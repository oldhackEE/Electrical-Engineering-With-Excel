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Terry's Presentations\Opamps\"/>
    </mc:Choice>
  </mc:AlternateContent>
  <xr:revisionPtr revIDLastSave="0" documentId="13_ncr:1_{2D2B6644-D8EB-4FFB-9B8F-595D51A968F3}" xr6:coauthVersionLast="47" xr6:coauthVersionMax="47" xr10:uidLastSave="{00000000-0000-0000-0000-000000000000}"/>
  <bookViews>
    <workbookView xWindow="-120" yWindow="-120" windowWidth="29040" windowHeight="15840" tabRatio="587" xr2:uid="{643AB1C8-10E1-4E4F-A5A6-A8800BC42DA4}"/>
  </bookViews>
  <sheets>
    <sheet name="Noise Calc" sheetId="3" r:id="rId1"/>
  </sheets>
  <functionGroups builtInGroupCount="19"/>
  <externalReferences>
    <externalReference r:id="rId2"/>
  </externalReferences>
  <definedNames>
    <definedName name="_R1">'Noise Calc'!$B$4</definedName>
    <definedName name="_Rf">'Noise Calc'!$B$5</definedName>
    <definedName name="BB_Noise_Current">'Noise Calc'!$B$31</definedName>
    <definedName name="BB_Noise_Due_to_Current">'Noise Calc'!$B$32</definedName>
    <definedName name="Boltzmann_Const">'Noise Calc'!$O$1</definedName>
    <definedName name="Brickwall_P1">'Noise Calc'!$O$4</definedName>
    <definedName name="Brickwall_P2">'Noise Calc'!$O$5</definedName>
    <definedName name="Brickwall_P3">'Noise Calc'!$O$6</definedName>
    <definedName name="Brickwall_P4">'Noise Calc'!$O$7</definedName>
    <definedName name="Brickwall_P5">'Noise Calc'!$O$8</definedName>
    <definedName name="Brickwall_Table">'Noise Calc'!$N$4:$O$8</definedName>
    <definedName name="Closed_Loop_BW">'Noise Calc'!$B$10</definedName>
    <definedName name="Corrected_BW">'Noise Calc'!$B$14</definedName>
    <definedName name="Correction_Ratio">'Noise Calc'!$B$13</definedName>
    <definedName name="Flicker_Across_BW">'Noise Calc'!$B$24</definedName>
    <definedName name="Flicker_at_1Hz">'Noise Calc'!$B$23</definedName>
    <definedName name="Flicker_Freq">'Noise Calc'!$B$22</definedName>
    <definedName name="Flicker_NP">'Noise Calc'!$B$21</definedName>
    <definedName name="Freezing_Point_Water">'Noise Calc'!$O$10</definedName>
    <definedName name="h">'[1]Microstrip L'!$B$9</definedName>
    <definedName name="Input_Bias_ND">'Noise Calc'!$B$30</definedName>
    <definedName name="l">'[1]Microstrip L'!$B$7</definedName>
    <definedName name="Noise_Gain">'Noise Calc'!$B$9</definedName>
    <definedName name="Noise_STDEV">'Noise Calc'!$B$40</definedName>
    <definedName name="Num_Poles">'Noise Calc'!$N$4:$N$8</definedName>
    <definedName name="NumPoles">'Noise Calc'!$B$12</definedName>
    <definedName name="Opamp_BB_Noise">'Noise Calc'!$B$18</definedName>
    <definedName name="Opamp_Noise_Density">'Noise Calc'!$B$17</definedName>
    <definedName name="_xlnm.Print_Area" localSheetId="0">'Noise Calc'!$A$1:$F$56</definedName>
    <definedName name="Req">'Noise Calc'!$B$8</definedName>
    <definedName name="Resistor_noise_RTI">'Noise Calc'!$B$35</definedName>
    <definedName name="TempC">'Noise Calc'!$B$3</definedName>
    <definedName name="TempK">'Noise Calc'!$B$7</definedName>
    <definedName name="Total_Noise_RTI">'Noise Calc'!$B$38</definedName>
    <definedName name="Total_Noise_RTO">'Noise Calc'!$B$39</definedName>
    <definedName name="Total_Noise_RTP_PP">'Noise Calc'!$B$41</definedName>
    <definedName name="Total_Opamp_Noise">'Noise Calc'!$B$27</definedName>
    <definedName name="Unity_Gain_Bandwidth">'Noise Calc'!$B$6</definedName>
    <definedName name="w">'[1]Microstrip L'!$B$8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3" l="1"/>
  <c r="B7" i="3"/>
  <c r="B13" i="3"/>
  <c r="B23" i="3"/>
  <c r="B9" i="3"/>
  <c r="B10" i="3" s="1"/>
  <c r="B8" i="3"/>
  <c r="O4" i="3"/>
  <c r="B14" i="3" l="1"/>
  <c r="B46" i="3" s="1"/>
  <c r="B24" i="3" l="1"/>
  <c r="B31" i="3"/>
  <c r="B32" i="3" s="1"/>
  <c r="B45" i="3" s="1"/>
  <c r="B18" i="3"/>
  <c r="B27" i="3" l="1"/>
  <c r="B38" i="3" l="1"/>
  <c r="B39" i="3" s="1"/>
  <c r="B41" i="3" s="1"/>
  <c r="B44" i="3"/>
</calcChain>
</file>

<file path=xl/sharedStrings.xml><?xml version="1.0" encoding="utf-8"?>
<sst xmlns="http://schemas.openxmlformats.org/spreadsheetml/2006/main" count="72" uniqueCount="53">
  <si>
    <t>Temperature</t>
  </si>
  <si>
    <t>Boltzmann's Constant (k)</t>
  </si>
  <si>
    <t>Brickwall Corrections</t>
  </si>
  <si>
    <t>Poles</t>
  </si>
  <si>
    <t>Ratio</t>
  </si>
  <si>
    <t>Hz</t>
  </si>
  <si>
    <t>Brickwall Correction</t>
  </si>
  <si>
    <t>Opamp Broadband Noise Density</t>
  </si>
  <si>
    <r>
      <t>V/</t>
    </r>
    <r>
      <rPr>
        <sz val="11"/>
        <color theme="1"/>
        <rFont val="Calibri"/>
        <family val="2"/>
      </rPr>
      <t>√Hz</t>
    </r>
  </si>
  <si>
    <r>
      <t>Opamp Broadband Noise (en</t>
    </r>
    <r>
      <rPr>
        <vertAlign val="subscript"/>
        <sz val="11"/>
        <color theme="1"/>
        <rFont val="Calibri"/>
        <family val="2"/>
        <scheme val="minor"/>
      </rPr>
      <t>bb</t>
    </r>
    <r>
      <rPr>
        <sz val="11"/>
        <color theme="1"/>
        <rFont val="Calibri"/>
        <family val="2"/>
      </rPr>
      <t>)</t>
    </r>
  </si>
  <si>
    <r>
      <t>Corrected Bandwidth (BW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</rPr>
      <t>)</t>
    </r>
  </si>
  <si>
    <r>
      <t>Correction Ratio (K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</rPr>
      <t>)</t>
    </r>
  </si>
  <si>
    <r>
      <t>Closed Loop Bandwidth (f</t>
    </r>
    <r>
      <rPr>
        <vertAlign val="subscript"/>
        <sz val="11"/>
        <color theme="1"/>
        <rFont val="Calibri"/>
        <family val="2"/>
        <scheme val="minor"/>
      </rPr>
      <t>CL</t>
    </r>
    <r>
      <rPr>
        <sz val="11"/>
        <color theme="1"/>
        <rFont val="Calibri"/>
        <family val="2"/>
      </rPr>
      <t>)</t>
    </r>
  </si>
  <si>
    <r>
      <rPr>
        <sz val="11"/>
        <color theme="1"/>
        <rFont val="Calibri"/>
        <family val="2"/>
      </rPr>
      <t>←</t>
    </r>
    <r>
      <rPr>
        <sz val="11"/>
        <color theme="1"/>
        <rFont val="Calibri"/>
        <family val="2"/>
      </rPr>
      <t>From Datasheet</t>
    </r>
  </si>
  <si>
    <t>Broadband Noise</t>
  </si>
  <si>
    <t>1/f Noise</t>
  </si>
  <si>
    <r>
      <t>Opamp 1/f Noise Across Bandwidth (en</t>
    </r>
    <r>
      <rPr>
        <vertAlign val="subscript"/>
        <sz val="11"/>
        <color theme="1"/>
        <rFont val="Calibri"/>
        <family val="2"/>
        <scheme val="minor"/>
      </rPr>
      <t>1/f</t>
    </r>
    <r>
      <rPr>
        <sz val="11"/>
        <color theme="1"/>
        <rFont val="Calibri"/>
        <family val="2"/>
      </rPr>
      <t>)</t>
    </r>
  </si>
  <si>
    <t>Total Opamp Device Noise</t>
  </si>
  <si>
    <r>
      <t>A/</t>
    </r>
    <r>
      <rPr>
        <sz val="11"/>
        <color theme="1"/>
        <rFont val="Calibri"/>
        <family val="2"/>
      </rPr>
      <t>√Hz</t>
    </r>
  </si>
  <si>
    <t>R1</t>
  </si>
  <si>
    <t>Rf</t>
  </si>
  <si>
    <t>Ω</t>
  </si>
  <si>
    <t>°C</t>
  </si>
  <si>
    <t>Freezing Point of Water</t>
  </si>
  <si>
    <t>°K</t>
  </si>
  <si>
    <t>Resistor Noise Due to Current</t>
  </si>
  <si>
    <t>Resistor Noise Voltage</t>
  </si>
  <si>
    <r>
      <t>Noise Voltage Relative to Input (e</t>
    </r>
    <r>
      <rPr>
        <vertAlign val="subscript"/>
        <sz val="11"/>
        <color theme="1"/>
        <rFont val="Calibri"/>
        <family val="2"/>
        <scheme val="minor"/>
      </rPr>
      <t>NR</t>
    </r>
    <r>
      <rPr>
        <sz val="11"/>
        <color theme="1"/>
        <rFont val="Calibri"/>
        <family val="2"/>
      </rPr>
      <t>)</t>
    </r>
  </si>
  <si>
    <r>
      <t>Input Bias Current Noise Density (I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</rPr>
      <t>)</t>
    </r>
  </si>
  <si>
    <r>
      <t>Broadband Noise Current (i</t>
    </r>
    <r>
      <rPr>
        <vertAlign val="subscript"/>
        <sz val="11"/>
        <color theme="1"/>
        <rFont val="Calibri"/>
        <family val="2"/>
        <scheme val="minor"/>
      </rPr>
      <t>nBB</t>
    </r>
    <r>
      <rPr>
        <sz val="11"/>
        <color theme="1"/>
        <rFont val="Calibri"/>
        <family val="2"/>
      </rPr>
      <t>)</t>
    </r>
  </si>
  <si>
    <r>
      <t>Broadband Noise Voltage Due to Current Noise (e</t>
    </r>
    <r>
      <rPr>
        <vertAlign val="subscript"/>
        <sz val="11"/>
        <color theme="1"/>
        <rFont val="Calibri"/>
        <family val="2"/>
        <scheme val="minor"/>
      </rPr>
      <t>ni</t>
    </r>
    <r>
      <rPr>
        <sz val="11"/>
        <color theme="1"/>
        <rFont val="Calibri"/>
        <family val="2"/>
      </rPr>
      <t>)</t>
    </r>
  </si>
  <si>
    <t>INPUTS</t>
  </si>
  <si>
    <t>OUTPUTS</t>
  </si>
  <si>
    <t>Total Noise Calculation</t>
  </si>
  <si>
    <r>
      <t>Total Opamp Voltage Noise Relative to Input (e</t>
    </r>
    <r>
      <rPr>
        <vertAlign val="subscript"/>
        <sz val="11"/>
        <color theme="1"/>
        <rFont val="Calibri"/>
        <family val="2"/>
        <scheme val="minor"/>
      </rPr>
      <t>NV</t>
    </r>
    <r>
      <rPr>
        <sz val="11"/>
        <color theme="1"/>
        <rFont val="Calibri"/>
        <family val="2"/>
      </rPr>
      <t>)</t>
    </r>
  </si>
  <si>
    <r>
      <t>Total Noise Relative to Input (e</t>
    </r>
    <r>
      <rPr>
        <vertAlign val="subscript"/>
        <sz val="11"/>
        <color theme="1"/>
        <rFont val="Calibri"/>
        <family val="2"/>
        <scheme val="minor"/>
      </rPr>
      <t>nRTI</t>
    </r>
    <r>
      <rPr>
        <sz val="11"/>
        <color theme="1"/>
        <rFont val="Calibri"/>
        <family val="2"/>
      </rPr>
      <t>)</t>
    </r>
  </si>
  <si>
    <t>Noise Gain (A)</t>
  </si>
  <si>
    <r>
      <t>R</t>
    </r>
    <r>
      <rPr>
        <vertAlign val="subscript"/>
        <sz val="11"/>
        <color theme="1"/>
        <rFont val="Calibri"/>
        <family val="2"/>
        <scheme val="minor"/>
      </rPr>
      <t>eq</t>
    </r>
  </si>
  <si>
    <r>
      <t>Total Noise Relative to Output (e</t>
    </r>
    <r>
      <rPr>
        <vertAlign val="subscript"/>
        <sz val="11"/>
        <color theme="1"/>
        <rFont val="Calibri"/>
        <family val="2"/>
        <scheme val="minor"/>
      </rPr>
      <t>nRTO</t>
    </r>
    <r>
      <rPr>
        <sz val="11"/>
        <color theme="1"/>
        <rFont val="Calibri"/>
        <family val="2"/>
      </rPr>
      <t>)</t>
    </r>
  </si>
  <si>
    <r>
      <t>Noise Standard Deviation (</t>
    </r>
    <r>
      <rPr>
        <sz val="11"/>
        <color theme="1"/>
        <rFont val="Calibri"/>
        <family val="2"/>
      </rPr>
      <t>σ)</t>
    </r>
  </si>
  <si>
    <r>
      <t>Total Noise Relative to Output (e</t>
    </r>
    <r>
      <rPr>
        <vertAlign val="subscript"/>
        <sz val="11"/>
        <color theme="1"/>
        <rFont val="Calibri"/>
        <family val="2"/>
        <scheme val="minor"/>
      </rPr>
      <t>nRTO</t>
    </r>
    <r>
      <rPr>
        <sz val="11"/>
        <color theme="1"/>
        <rFont val="Calibri"/>
        <family val="2"/>
      </rPr>
      <t>) Peak-to-Peak</t>
    </r>
  </si>
  <si>
    <t>Unity Gain Bandwidth</t>
  </si>
  <si>
    <r>
      <t>A</t>
    </r>
    <r>
      <rPr>
        <vertAlign val="subscript"/>
        <sz val="11"/>
        <color theme="1"/>
        <rFont val="Calibri"/>
        <family val="2"/>
        <scheme val="minor"/>
      </rPr>
      <t>rms</t>
    </r>
  </si>
  <si>
    <r>
      <t>V</t>
    </r>
    <r>
      <rPr>
        <vertAlign val="subscript"/>
        <sz val="11"/>
        <color theme="1"/>
        <rFont val="Calibri"/>
        <family val="2"/>
        <scheme val="minor"/>
      </rPr>
      <t>rms</t>
    </r>
  </si>
  <si>
    <r>
      <t>V</t>
    </r>
    <r>
      <rPr>
        <vertAlign val="subscript"/>
        <sz val="11"/>
        <color theme="1"/>
        <rFont val="Calibri"/>
        <family val="2"/>
        <scheme val="minor"/>
      </rPr>
      <t>p-p</t>
    </r>
  </si>
  <si>
    <t>Device Noise</t>
  </si>
  <si>
    <t>Current Noise</t>
  </si>
  <si>
    <t>Resistor Noise</t>
  </si>
  <si>
    <t>J/°K</t>
  </si>
  <si>
    <r>
      <t>Opamp 1/f Noise Density @ a Frequency Point (e</t>
    </r>
    <r>
      <rPr>
        <vertAlign val="subscript"/>
        <sz val="11"/>
        <color theme="1"/>
        <rFont val="Calibri"/>
        <family val="2"/>
        <scheme val="minor"/>
      </rPr>
      <t>1/f@f</t>
    </r>
    <r>
      <rPr>
        <sz val="11"/>
        <color theme="1"/>
        <rFont val="Calibri"/>
        <family val="2"/>
      </rPr>
      <t>)</t>
    </r>
  </si>
  <si>
    <r>
      <t>Opamp 1/f Voltage Noise @ 1Hz (e</t>
    </r>
    <r>
      <rPr>
        <vertAlign val="subscript"/>
        <sz val="11"/>
        <color theme="1"/>
        <rFont val="Calibri"/>
        <family val="2"/>
        <scheme val="minor"/>
      </rPr>
      <t>1/f@fp</t>
    </r>
    <r>
      <rPr>
        <sz val="11"/>
        <color theme="1"/>
        <rFont val="Calibri"/>
        <family val="2"/>
      </rPr>
      <t>)</t>
    </r>
  </si>
  <si>
    <t>1/f Frequency Point</t>
  </si>
  <si>
    <t>Opamp Noise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</si>
</sst>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0.000E+0"/>
    <numFmt numFmtId="165" formatCode="##0.00E+0"/>
    <numFmt numFmtId="168" formatCode="0.0000"/>
  </numFmts>
  <fonts count="6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2" borderId="1">
      <alignment horizontal="center"/>
      <protection locked="0"/>
    </xf>
    <xf numFmtId="0" fontId="2" fillId="4" borderId="1">
      <alignment horizontal="center"/>
    </xf>
    <xf numFmtId="0" fontId="2" fillId="5" borderId="1">
      <alignment horizontal="center"/>
    </xf>
  </cellStyleXfs>
  <cellXfs count="3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2" xfId="0" applyFont="1" applyBorder="1" applyAlignment="1">
      <alignment horizontal="left" vertical="center"/>
    </xf>
    <xf numFmtId="0" fontId="0" fillId="0" borderId="7" xfId="0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1" fillId="2" borderId="1" xfId="1">
      <alignment horizontal="center"/>
      <protection locked="0"/>
    </xf>
    <xf numFmtId="48" fontId="1" fillId="2" borderId="1" xfId="1" applyNumberFormat="1">
      <alignment horizontal="center"/>
      <protection locked="0"/>
    </xf>
    <xf numFmtId="0" fontId="2" fillId="4" borderId="1" xfId="2">
      <alignment horizontal="center"/>
    </xf>
    <xf numFmtId="48" fontId="2" fillId="4" borderId="1" xfId="2" applyNumberFormat="1">
      <alignment horizontal="center"/>
    </xf>
    <xf numFmtId="165" fontId="2" fillId="4" borderId="1" xfId="2" applyNumberFormat="1">
      <alignment horizontal="center"/>
    </xf>
    <xf numFmtId="164" fontId="2" fillId="4" borderId="1" xfId="2" applyNumberFormat="1">
      <alignment horizontal="center"/>
    </xf>
    <xf numFmtId="165" fontId="1" fillId="2" borderId="1" xfId="1" applyNumberFormat="1">
      <alignment horizontal="center"/>
      <protection locked="0"/>
    </xf>
    <xf numFmtId="164" fontId="5" fillId="4" borderId="1" xfId="2" applyNumberFormat="1" applyFont="1">
      <alignment horizontal="center"/>
    </xf>
    <xf numFmtId="168" fontId="2" fillId="4" borderId="1" xfId="2" applyNumberFormat="1">
      <alignment horizontal="center"/>
    </xf>
    <xf numFmtId="0" fontId="2" fillId="5" borderId="1" xfId="3">
      <alignment horizontal="center"/>
    </xf>
    <xf numFmtId="164" fontId="1" fillId="2" borderId="1" xfId="1" applyNumberFormat="1">
      <alignment horizontal="center"/>
      <protection locked="0"/>
    </xf>
  </cellXfs>
  <cellStyles count="4">
    <cellStyle name="INPUTS" xfId="1" xr:uid="{E3D22050-A75E-43A6-965E-6E8580CBFC13}"/>
    <cellStyle name="Normal" xfId="0" builtinId="0" customBuiltin="1"/>
    <cellStyle name="OUTPUTS" xfId="2" xr:uid="{B7A7C741-2570-4C07-87EA-B5DC0F5D04C0}"/>
    <cellStyle name="SPECS" xfId="3" xr:uid="{D0475ADC-0DF7-4F17-867B-F6F8ABD79BCA}"/>
  </cellStyles>
  <dxfs count="4"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 Contributors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43007217847769"/>
          <c:y val="0.17171296296296298"/>
          <c:w val="0.46398578302712151"/>
          <c:h val="0.77330963837853584"/>
        </c:manualLayout>
      </c:layout>
      <c:pieChart>
        <c:varyColors val="1"/>
        <c:ser>
          <c:idx val="0"/>
          <c:order val="0"/>
          <c:spPr>
            <a:solidFill>
              <a:schemeClr val="accent1"/>
            </a:solidFill>
          </c:spPr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2E-4693-98C2-EDE16EDFFB22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2E-4693-98C2-EDE16EDFFB22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2E-4693-98C2-EDE16EDFFB22}"/>
              </c:ext>
            </c:extLst>
          </c:dPt>
          <c:cat>
            <c:strRef>
              <c:f>'Noise Calc'!$A$44:$A$46</c:f>
              <c:strCache>
                <c:ptCount val="3"/>
                <c:pt idx="0">
                  <c:v>Device Noise</c:v>
                </c:pt>
                <c:pt idx="1">
                  <c:v>Current Noise</c:v>
                </c:pt>
                <c:pt idx="2">
                  <c:v>Resistor Noise</c:v>
                </c:pt>
              </c:strCache>
            </c:strRef>
          </c:cat>
          <c:val>
            <c:numRef>
              <c:f>'Noise Calc'!$B$44:$B$46</c:f>
              <c:numCache>
                <c:formatCode>##0.000E+0</c:formatCode>
                <c:ptCount val="3"/>
                <c:pt idx="0">
                  <c:v>2.500407357878829E-6</c:v>
                </c:pt>
                <c:pt idx="1">
                  <c:v>1.2347467105394772E-9</c:v>
                </c:pt>
                <c:pt idx="2">
                  <c:v>2.0141304715644039E-6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F-47F4-B111-ADCD6E024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9788276465441821E-2"/>
          <c:y val="0.18113371245261009"/>
          <c:w val="0.20097878390201224"/>
          <c:h val="0.53182925051035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90487</xdr:colOff>
      <xdr:row>13</xdr:row>
      <xdr:rowOff>19050</xdr:rowOff>
    </xdr:from>
    <xdr:ext cx="8345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3367087" y="1428750"/>
              <a:ext cx="8345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𝐵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𝐶𝐿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1344574D-96E2-491B-8BA3-3AEEB025BE79}"/>
                </a:ext>
              </a:extLst>
            </xdr:cNvPr>
            <xdr:cNvSpPr txBox="1"/>
          </xdr:nvSpPr>
          <xdr:spPr>
            <a:xfrm>
              <a:off x="3367087" y="1428750"/>
              <a:ext cx="8345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𝐵𝑊_𝑛=𝑓_𝐶𝐿 𝐾_𝑛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85725</xdr:colOff>
      <xdr:row>17</xdr:row>
      <xdr:rowOff>9525</xdr:rowOff>
    </xdr:from>
    <xdr:ext cx="1111137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3362325" y="2028825"/>
              <a:ext cx="1111137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𝐵𝐵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𝐵𝐵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51E4742-822C-4FF2-8A3F-E297DE2A8865}"/>
                </a:ext>
              </a:extLst>
            </xdr:cNvPr>
            <xdr:cNvSpPr txBox="1"/>
          </xdr:nvSpPr>
          <xdr:spPr>
            <a:xfrm>
              <a:off x="3362325" y="2028825"/>
              <a:ext cx="1111137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𝑒𝑛_𝐵𝐵=𝑒_𝐵𝐵 √(𝐵𝑊_𝑛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28575</xdr:colOff>
      <xdr:row>22</xdr:row>
      <xdr:rowOff>9525</xdr:rowOff>
    </xdr:from>
    <xdr:ext cx="1487650" cy="2121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572000" y="4695825"/>
              <a:ext cx="1487650" cy="2121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1/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@1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𝐻𝑧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1/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@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𝑓𝑝</m:t>
                        </m:r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572000" y="4695825"/>
              <a:ext cx="1487650" cy="2121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𝑒𝑛_(1/𝑓@1𝐻𝑧)=𝑒_(1/𝑓@𝑓) √𝑓𝑝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28575</xdr:colOff>
      <xdr:row>23</xdr:row>
      <xdr:rowOff>0</xdr:rowOff>
    </xdr:from>
    <xdr:ext cx="162365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3990975" y="3276600"/>
              <a:ext cx="162365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1/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1/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@1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𝐻𝑧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unc>
                          <m:func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1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𝑓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𝐻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𝑓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𝐿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47A0261-9707-424A-9329-0B3E0D016F79}"/>
                </a:ext>
              </a:extLst>
            </xdr:cNvPr>
            <xdr:cNvSpPr txBox="1"/>
          </xdr:nvSpPr>
          <xdr:spPr>
            <a:xfrm>
              <a:off x="3990975" y="3276600"/>
              <a:ext cx="162365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𝑒𝑛_(1/𝑓)=𝑒_(1/𝑓@1𝐻𝑧) √(ln⁡(𝑓_𝐻/𝑓_𝐿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95250</xdr:colOff>
      <xdr:row>25</xdr:row>
      <xdr:rowOff>152400</xdr:rowOff>
    </xdr:from>
    <xdr:ext cx="1434239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4638675" y="5619750"/>
              <a:ext cx="1434239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𝑒𝑛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1/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𝑒𝑛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𝐵𝐵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4638675" y="5619750"/>
              <a:ext cx="1434239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𝑒_𝑛𝑡=√(〖〖𝑒𝑛〗_(1/𝑓)〗^2+〖〖𝑒𝑛〗_𝐵𝐵〗^2 )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2009775</xdr:colOff>
      <xdr:row>7</xdr:row>
      <xdr:rowOff>47625</xdr:rowOff>
    </xdr:from>
    <xdr:ext cx="81766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2009775" y="1381125"/>
              <a:ext cx="81766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𝑒𝑞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||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B0DF2AAE-DE47-4FA6-B7FF-8584A834E740}"/>
                </a:ext>
              </a:extLst>
            </xdr:cNvPr>
            <xdr:cNvSpPr txBox="1"/>
          </xdr:nvSpPr>
          <xdr:spPr>
            <a:xfrm>
              <a:off x="2009775" y="1381125"/>
              <a:ext cx="81766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𝑅_𝑒𝑞=𝑅_𝑓 ||𝑅_1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476250</xdr:colOff>
      <xdr:row>31</xdr:row>
      <xdr:rowOff>9525</xdr:rowOff>
    </xdr:from>
    <xdr:ext cx="867482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4257675" y="6248400"/>
              <a:ext cx="867482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𝑛𝐵𝐵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𝑒𝑞</m:t>
                        </m:r>
                      </m:sub>
                    </m:sSub>
                  </m:oMath>
                </m:oMathPara>
              </a14:m>
              <a:endParaRPr lang="en-US" sz="1100" b="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F32281E7-803C-42C3-97EB-4ACC577D0B47}"/>
                </a:ext>
              </a:extLst>
            </xdr:cNvPr>
            <xdr:cNvSpPr txBox="1"/>
          </xdr:nvSpPr>
          <xdr:spPr>
            <a:xfrm>
              <a:off x="4257675" y="6248400"/>
              <a:ext cx="867482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𝑒_𝑛𝑖=𝑖_𝑛𝐵𝐵 𝑅_𝑒𝑞</a:t>
              </a:r>
              <a:endParaRPr lang="en-US" sz="1100" b="0"/>
            </a:p>
          </xdr:txBody>
        </xdr:sp>
      </mc:Fallback>
    </mc:AlternateContent>
    <xdr:clientData/>
  </xdr:oneCellAnchor>
  <xdr:oneCellAnchor>
    <xdr:from>
      <xdr:col>2</xdr:col>
      <xdr:colOff>447675</xdr:colOff>
      <xdr:row>30</xdr:row>
      <xdr:rowOff>38100</xdr:rowOff>
    </xdr:from>
    <xdr:ext cx="977767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4229100" y="6086475"/>
              <a:ext cx="977767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𝑛𝐵𝐵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C7D9158A-4FED-49F1-8B98-2F908DDC501E}"/>
                </a:ext>
              </a:extLst>
            </xdr:cNvPr>
            <xdr:cNvSpPr txBox="1"/>
          </xdr:nvSpPr>
          <xdr:spPr>
            <a:xfrm>
              <a:off x="4229100" y="6086475"/>
              <a:ext cx="977767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𝑖_𝑛𝐵𝐵=𝑖_𝐵 √(𝐵𝑊_𝑛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466725</xdr:colOff>
      <xdr:row>33</xdr:row>
      <xdr:rowOff>104775</xdr:rowOff>
    </xdr:from>
    <xdr:ext cx="1249060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4486275" y="7781925"/>
              <a:ext cx="1249060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𝑛𝑟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4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𝑘𝑇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𝑒𝑞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66CAFFBF-7742-4A67-B1D5-15F047599626}"/>
                </a:ext>
              </a:extLst>
            </xdr:cNvPr>
            <xdr:cNvSpPr txBox="1"/>
          </xdr:nvSpPr>
          <xdr:spPr>
            <a:xfrm>
              <a:off x="4486275" y="7781925"/>
              <a:ext cx="1249060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𝑒_𝑛𝑟=√(4𝑘𝑇𝑅_𝑒𝑞 𝐵𝑊_𝑛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1571625</xdr:colOff>
      <xdr:row>8</xdr:row>
      <xdr:rowOff>38100</xdr:rowOff>
    </xdr:from>
    <xdr:ext cx="703591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1571625" y="1600200"/>
              <a:ext cx="703591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=1+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1530F5B-5BE1-4E12-AB1C-D68416F98BA3}"/>
                </a:ext>
              </a:extLst>
            </xdr:cNvPr>
            <xdr:cNvSpPr txBox="1"/>
          </xdr:nvSpPr>
          <xdr:spPr>
            <a:xfrm>
              <a:off x="1571625" y="1600200"/>
              <a:ext cx="703591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𝐴=1+𝑅_𝑓/𝑅_𝑟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421821</xdr:colOff>
      <xdr:row>37</xdr:row>
      <xdr:rowOff>25854</xdr:rowOff>
    </xdr:from>
    <xdr:ext cx="172701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4355646" y="8331654"/>
              <a:ext cx="172701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𝑛𝑅𝑇𝐼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𝑛𝑡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𝑒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𝑛𝑖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𝑒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𝑛𝑟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4355646" y="8331654"/>
              <a:ext cx="172701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𝑒_𝑛𝑅𝑇𝐼=√(〖𝑒_𝑛𝑡〗^2+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〖𝑒_𝑛𝑖〗^2+〖𝑒_𝑛𝑟〗^2 )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424542</xdr:colOff>
      <xdr:row>38</xdr:row>
      <xdr:rowOff>111579</xdr:rowOff>
    </xdr:from>
    <xdr:ext cx="95013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4444092" y="8731704"/>
              <a:ext cx="9501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𝑛𝑅𝑇𝑂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𝑛𝑅𝑇𝐼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𝐴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AC6D9D7E-17CE-4264-A676-E2CC161180DF}"/>
                </a:ext>
              </a:extLst>
            </xdr:cNvPr>
            <xdr:cNvSpPr txBox="1"/>
          </xdr:nvSpPr>
          <xdr:spPr>
            <a:xfrm>
              <a:off x="4444092" y="8731704"/>
              <a:ext cx="9501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𝑒_𝑛𝑅𝑇𝑂=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𝑒_𝑛𝑅𝑇𝐼 𝐴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2</xdr:col>
      <xdr:colOff>128588</xdr:colOff>
      <xdr:row>0</xdr:row>
      <xdr:rowOff>76200</xdr:rowOff>
    </xdr:from>
    <xdr:to>
      <xdr:col>5</xdr:col>
      <xdr:colOff>363046</xdr:colOff>
      <xdr:row>9</xdr:row>
      <xdr:rowOff>19050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48138" y="76200"/>
          <a:ext cx="3368183" cy="1962150"/>
        </a:xfrm>
        <a:prstGeom prst="rect">
          <a:avLst/>
        </a:prstGeom>
      </xdr:spPr>
    </xdr:pic>
    <xdr:clientData/>
  </xdr:twoCellAnchor>
  <xdr:oneCellAnchor>
    <xdr:from>
      <xdr:col>2</xdr:col>
      <xdr:colOff>447675</xdr:colOff>
      <xdr:row>40</xdr:row>
      <xdr:rowOff>28575</xdr:rowOff>
    </xdr:from>
    <xdr:ext cx="11997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4467225" y="9153525"/>
              <a:ext cx="11997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𝑛𝑅𝑇𝑂𝑃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𝑛𝑅𝑇𝑂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BB8366C1-D55A-4336-B69D-5DF979B19881}"/>
                </a:ext>
              </a:extLst>
            </xdr:cNvPr>
            <xdr:cNvSpPr txBox="1"/>
          </xdr:nvSpPr>
          <xdr:spPr>
            <a:xfrm>
              <a:off x="4467225" y="9153525"/>
              <a:ext cx="11997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𝑒_(𝑛𝑅𝑇𝑂𝑃−𝑃)=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𝜎𝑒_𝑛𝑅𝑇𝑂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9525</xdr:colOff>
      <xdr:row>41</xdr:row>
      <xdr:rowOff>47625</xdr:rowOff>
    </xdr:from>
    <xdr:to>
      <xdr:col>2</xdr:col>
      <xdr:colOff>561975</xdr:colOff>
      <xdr:row>55</xdr:row>
      <xdr:rowOff>123825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amps%20Present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in Stabilizing"/>
      <sheetName val="LC Decoupling"/>
      <sheetName val="RC Decoupling"/>
      <sheetName val="Microstrip L"/>
      <sheetName val="Spec Comparisons"/>
      <sheetName val="PSRR"/>
      <sheetName val="Noise Gen"/>
      <sheetName val="Stats"/>
      <sheetName val="Resistor Noise Chart"/>
      <sheetName val="Noise Chart"/>
      <sheetName val="Constants"/>
    </sheetNames>
    <sheetDataSet>
      <sheetData sheetId="0" refreshError="1"/>
      <sheetData sheetId="1" refreshError="1"/>
      <sheetData sheetId="2" refreshError="1"/>
      <sheetData sheetId="3">
        <row r="7">
          <cell r="B7">
            <v>1.2699999999999999E-2</v>
          </cell>
        </row>
        <row r="8">
          <cell r="B8">
            <v>5.0799999999999999E-4</v>
          </cell>
        </row>
        <row r="9">
          <cell r="B9">
            <v>1.2191999999999999E-3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1DE7D9-3068-4561-B42D-E03C928410FE}" name="Table1" displayName="Table1" ref="N3:O8" totalsRowShown="0" headerRowDxfId="0" dataDxfId="1">
  <autoFilter ref="N3:O8" xr:uid="{0B1DE7D9-3068-4561-B42D-E03C928410FE}">
    <filterColumn colId="0" hiddenButton="1"/>
    <filterColumn colId="1" hiddenButton="1"/>
  </autoFilter>
  <tableColumns count="2">
    <tableColumn id="1" xr3:uid="{26E47D27-C836-4693-9A02-815D2319032B}" name="Poles" dataDxfId="3"/>
    <tableColumn id="2" xr3:uid="{B7901B4F-2198-48D4-9B19-3C1BD52A4279}" name="Ratio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27502-91BA-4C37-96B3-67061D6E9E05}">
  <sheetPr codeName="Sheet1"/>
  <dimension ref="A1:P46"/>
  <sheetViews>
    <sheetView showGridLines="0" tabSelected="1" zoomScaleNormal="100" workbookViewId="0">
      <selection activeCell="B3" sqref="B3"/>
    </sheetView>
  </sheetViews>
  <sheetFormatPr defaultRowHeight="15" x14ac:dyDescent="0.25"/>
  <cols>
    <col min="1" max="1" width="47.7109375" style="7" customWidth="1"/>
    <col min="2" max="2" width="11.28515625" style="6" customWidth="1"/>
    <col min="3" max="3" width="9.140625" style="7"/>
    <col min="4" max="4" width="28.7109375" style="7" customWidth="1"/>
    <col min="5" max="13" width="9.140625" style="7"/>
    <col min="14" max="14" width="13.42578125" style="7" customWidth="1"/>
    <col min="15" max="15" width="15.85546875" style="7" customWidth="1"/>
    <col min="16" max="16384" width="9.140625" style="7"/>
  </cols>
  <sheetData>
    <row r="1" spans="1:16" x14ac:dyDescent="0.25">
      <c r="A1" s="5" t="s">
        <v>52</v>
      </c>
      <c r="B1" s="23" t="s">
        <v>31</v>
      </c>
      <c r="C1" s="25" t="s">
        <v>32</v>
      </c>
      <c r="N1" s="2" t="s">
        <v>1</v>
      </c>
      <c r="O1" s="32">
        <v>1.3806490000000001E-23</v>
      </c>
      <c r="P1" t="s">
        <v>48</v>
      </c>
    </row>
    <row r="2" spans="1:16" x14ac:dyDescent="0.25">
      <c r="N2" s="1" t="s">
        <v>2</v>
      </c>
      <c r="O2" s="1"/>
      <c r="P2"/>
    </row>
    <row r="3" spans="1:16" x14ac:dyDescent="0.25">
      <c r="A3" s="20" t="s">
        <v>0</v>
      </c>
      <c r="B3" s="23">
        <v>25</v>
      </c>
      <c r="C3" s="7" t="s">
        <v>22</v>
      </c>
      <c r="N3" s="3" t="s">
        <v>3</v>
      </c>
      <c r="O3" s="3" t="s">
        <v>4</v>
      </c>
      <c r="P3"/>
    </row>
    <row r="4" spans="1:16" x14ac:dyDescent="0.25">
      <c r="A4" s="20" t="s">
        <v>19</v>
      </c>
      <c r="B4" s="23">
        <v>1000</v>
      </c>
      <c r="C4" s="7" t="s">
        <v>21</v>
      </c>
      <c r="N4" s="4">
        <v>1</v>
      </c>
      <c r="O4" s="4">
        <f>PI()/2</f>
        <v>1.5707963267948966</v>
      </c>
      <c r="P4"/>
    </row>
    <row r="5" spans="1:16" x14ac:dyDescent="0.25">
      <c r="A5" s="20" t="s">
        <v>20</v>
      </c>
      <c r="B5" s="23">
        <v>100000</v>
      </c>
      <c r="C5" s="7" t="s">
        <v>21</v>
      </c>
      <c r="N5" s="4">
        <v>2</v>
      </c>
      <c r="O5" s="4">
        <v>1.22</v>
      </c>
      <c r="P5"/>
    </row>
    <row r="6" spans="1:16" x14ac:dyDescent="0.25">
      <c r="A6" s="20" t="s">
        <v>41</v>
      </c>
      <c r="B6" s="33">
        <v>16000000</v>
      </c>
      <c r="C6" s="7" t="s">
        <v>5</v>
      </c>
      <c r="N6" s="4">
        <v>3</v>
      </c>
      <c r="O6" s="4">
        <v>1.1599999999999999</v>
      </c>
      <c r="P6"/>
    </row>
    <row r="7" spans="1:16" x14ac:dyDescent="0.25">
      <c r="A7" s="20" t="s">
        <v>0</v>
      </c>
      <c r="B7" s="25">
        <f>TempC+Freezing_Point_Water</f>
        <v>298.14999999999998</v>
      </c>
      <c r="C7" s="7" t="s">
        <v>24</v>
      </c>
      <c r="N7" s="4">
        <v>4</v>
      </c>
      <c r="O7" s="4">
        <v>1.1299999999999999</v>
      </c>
      <c r="P7"/>
    </row>
    <row r="8" spans="1:16" ht="18" x14ac:dyDescent="0.25">
      <c r="A8" s="20" t="s">
        <v>37</v>
      </c>
      <c r="B8" s="31">
        <f>(_R1*_Rf)/(_R1+_Rf)</f>
        <v>990.09900990099015</v>
      </c>
      <c r="C8" s="7" t="s">
        <v>21</v>
      </c>
      <c r="N8" s="4">
        <v>5</v>
      </c>
      <c r="O8" s="4">
        <v>1.1200000000000001</v>
      </c>
      <c r="P8"/>
    </row>
    <row r="9" spans="1:16" ht="36" customHeight="1" x14ac:dyDescent="0.25">
      <c r="A9" s="20" t="s">
        <v>36</v>
      </c>
      <c r="B9" s="25">
        <f>1+(_Rf/_R1)</f>
        <v>101</v>
      </c>
      <c r="P9"/>
    </row>
    <row r="10" spans="1:16" ht="18" x14ac:dyDescent="0.25">
      <c r="A10" s="20" t="s">
        <v>12</v>
      </c>
      <c r="B10" s="26">
        <f>Unity_Gain_Bandwidth/Noise_Gain</f>
        <v>158415.84158415842</v>
      </c>
      <c r="C10" s="7" t="s">
        <v>5</v>
      </c>
      <c r="N10" s="2" t="s">
        <v>23</v>
      </c>
      <c r="O10" s="32">
        <v>273.14999999999998</v>
      </c>
      <c r="P10" t="s">
        <v>24</v>
      </c>
    </row>
    <row r="11" spans="1:16" x14ac:dyDescent="0.25">
      <c r="A11" s="8" t="s">
        <v>6</v>
      </c>
      <c r="B11" s="9"/>
      <c r="C11" s="10"/>
      <c r="D11" s="11"/>
    </row>
    <row r="12" spans="1:16" x14ac:dyDescent="0.25">
      <c r="A12" s="12" t="s">
        <v>3</v>
      </c>
      <c r="B12" s="23">
        <v>1</v>
      </c>
      <c r="C12" s="13"/>
      <c r="D12" s="14"/>
    </row>
    <row r="13" spans="1:16" ht="18" x14ac:dyDescent="0.25">
      <c r="A13" s="12" t="s">
        <v>11</v>
      </c>
      <c r="B13" s="25">
        <f>VLOOKUP(NumPoles,Brickwall_Table,2)</f>
        <v>1.5707963267948966</v>
      </c>
      <c r="C13" s="13"/>
      <c r="D13" s="14"/>
    </row>
    <row r="14" spans="1:16" ht="18" x14ac:dyDescent="0.25">
      <c r="A14" s="15" t="s">
        <v>10</v>
      </c>
      <c r="B14" s="26">
        <f>Correction_Ratio*Closed_Loop_BW</f>
        <v>248839.02206651829</v>
      </c>
      <c r="C14" s="16" t="s">
        <v>5</v>
      </c>
      <c r="D14" s="17"/>
    </row>
    <row r="16" spans="1:16" x14ac:dyDescent="0.25">
      <c r="A16" s="18" t="s">
        <v>14</v>
      </c>
      <c r="B16" s="9"/>
      <c r="C16" s="10"/>
      <c r="D16" s="11"/>
    </row>
    <row r="17" spans="1:4" x14ac:dyDescent="0.25">
      <c r="A17" s="12" t="s">
        <v>7</v>
      </c>
      <c r="B17" s="29">
        <v>5.0000000000000001E-9</v>
      </c>
      <c r="C17" s="13" t="s">
        <v>8</v>
      </c>
      <c r="D17" s="22" t="s">
        <v>13</v>
      </c>
    </row>
    <row r="18" spans="1:4" ht="18" x14ac:dyDescent="0.25">
      <c r="A18" s="15" t="s">
        <v>9</v>
      </c>
      <c r="B18" s="28">
        <f>Opamp_Noise_Density*SQRT(Corrected_BW)</f>
        <v>2.4941883552897437E-6</v>
      </c>
      <c r="C18" s="16" t="s">
        <v>43</v>
      </c>
      <c r="D18" s="17"/>
    </row>
    <row r="20" spans="1:4" x14ac:dyDescent="0.25">
      <c r="A20" s="18" t="s">
        <v>15</v>
      </c>
      <c r="B20" s="9"/>
      <c r="C20" s="10"/>
      <c r="D20" s="11"/>
    </row>
    <row r="21" spans="1:4" ht="18" x14ac:dyDescent="0.25">
      <c r="A21" s="12" t="s">
        <v>49</v>
      </c>
      <c r="B21" s="24">
        <v>4.9999999999999998E-8</v>
      </c>
      <c r="C21" s="13" t="s">
        <v>8</v>
      </c>
      <c r="D21" s="22" t="s">
        <v>13</v>
      </c>
    </row>
    <row r="22" spans="1:4" x14ac:dyDescent="0.25">
      <c r="A22" s="12" t="s">
        <v>51</v>
      </c>
      <c r="B22" s="24">
        <v>1</v>
      </c>
      <c r="C22" s="13" t="s">
        <v>5</v>
      </c>
      <c r="D22" s="22" t="s">
        <v>13</v>
      </c>
    </row>
    <row r="23" spans="1:4" ht="18" x14ac:dyDescent="0.25">
      <c r="A23" s="12" t="s">
        <v>50</v>
      </c>
      <c r="B23" s="27">
        <f>Flicker_NP*SQRT(Flicker_Freq)</f>
        <v>4.9999999999999998E-8</v>
      </c>
      <c r="C23" s="13" t="s">
        <v>43</v>
      </c>
      <c r="D23" s="14"/>
    </row>
    <row r="24" spans="1:4" ht="43.5" customHeight="1" x14ac:dyDescent="0.25">
      <c r="A24" s="15" t="s">
        <v>16</v>
      </c>
      <c r="B24" s="27">
        <f>Flicker_at_1Hz*SQRT(LN(Corrected_BW/Flicker_Freq))</f>
        <v>1.7624245706307723E-7</v>
      </c>
      <c r="C24" s="16" t="s">
        <v>43</v>
      </c>
      <c r="D24" s="17"/>
    </row>
    <row r="26" spans="1:4" x14ac:dyDescent="0.25">
      <c r="A26" s="8" t="s">
        <v>17</v>
      </c>
      <c r="B26" s="9"/>
      <c r="C26" s="10"/>
      <c r="D26" s="11"/>
    </row>
    <row r="27" spans="1:4" ht="33.75" customHeight="1" x14ac:dyDescent="0.25">
      <c r="A27" s="19" t="s">
        <v>34</v>
      </c>
      <c r="B27" s="28">
        <f>SQRT(Flicker_Across_BW^2+Opamp_BB_Noise^2)</f>
        <v>2.500407357878829E-6</v>
      </c>
      <c r="C27" s="16" t="s">
        <v>43</v>
      </c>
      <c r="D27" s="17"/>
    </row>
    <row r="29" spans="1:4" x14ac:dyDescent="0.25">
      <c r="A29" s="8" t="s">
        <v>25</v>
      </c>
      <c r="B29" s="9"/>
      <c r="C29" s="10"/>
      <c r="D29" s="11"/>
    </row>
    <row r="30" spans="1:4" ht="18" x14ac:dyDescent="0.25">
      <c r="A30" s="12" t="s">
        <v>28</v>
      </c>
      <c r="B30" s="24">
        <v>2.5E-15</v>
      </c>
      <c r="C30" s="13" t="s">
        <v>18</v>
      </c>
      <c r="D30" s="22" t="s">
        <v>13</v>
      </c>
    </row>
    <row r="31" spans="1:4" ht="23.25" customHeight="1" x14ac:dyDescent="0.25">
      <c r="A31" s="12" t="s">
        <v>29</v>
      </c>
      <c r="B31" s="28">
        <f>Input_Bias_ND*SQRT(Corrected_BW)</f>
        <v>1.2470941776448719E-12</v>
      </c>
      <c r="C31" s="13" t="s">
        <v>42</v>
      </c>
      <c r="D31" s="14"/>
    </row>
    <row r="32" spans="1:4" ht="18" x14ac:dyDescent="0.25">
      <c r="A32" s="15" t="s">
        <v>30</v>
      </c>
      <c r="B32" s="28">
        <f>BB_Noise_Current*Req</f>
        <v>1.2347467105394772E-9</v>
      </c>
      <c r="C32" s="16" t="s">
        <v>43</v>
      </c>
      <c r="D32" s="17"/>
    </row>
    <row r="34" spans="1:4" x14ac:dyDescent="0.25">
      <c r="A34" s="8" t="s">
        <v>26</v>
      </c>
      <c r="B34" s="9"/>
      <c r="C34" s="10"/>
      <c r="D34" s="11"/>
    </row>
    <row r="35" spans="1:4" ht="25.5" customHeight="1" x14ac:dyDescent="0.25">
      <c r="A35" s="15" t="s">
        <v>27</v>
      </c>
      <c r="B35" s="28">
        <f>SQRT(4*Boltzmann_Const*TempK*Req*Corrected_BW)</f>
        <v>2.0141304715644039E-6</v>
      </c>
      <c r="C35" s="16" t="s">
        <v>43</v>
      </c>
      <c r="D35" s="17"/>
    </row>
    <row r="37" spans="1:4" x14ac:dyDescent="0.25">
      <c r="A37" s="8" t="s">
        <v>33</v>
      </c>
      <c r="B37" s="9"/>
      <c r="C37" s="10"/>
      <c r="D37" s="11"/>
    </row>
    <row r="38" spans="1:4" ht="24.75" customHeight="1" x14ac:dyDescent="0.25">
      <c r="A38" s="12" t="s">
        <v>35</v>
      </c>
      <c r="B38" s="28">
        <f>SQRT(Total_Opamp_Noise^2+BB_Noise_Due_to_Current^2+Resistor_noise_RTI^2)</f>
        <v>3.2107257803210589E-6</v>
      </c>
      <c r="C38" s="13" t="s">
        <v>43</v>
      </c>
      <c r="D38" s="14"/>
    </row>
    <row r="39" spans="1:4" ht="24.75" customHeight="1" x14ac:dyDescent="0.25">
      <c r="A39" s="12" t="s">
        <v>38</v>
      </c>
      <c r="B39" s="27">
        <f>Total_Noise_RTI*Noise_Gain</f>
        <v>3.2428330381242696E-4</v>
      </c>
      <c r="C39" s="13" t="s">
        <v>43</v>
      </c>
      <c r="D39" s="14"/>
    </row>
    <row r="40" spans="1:4" x14ac:dyDescent="0.25">
      <c r="A40" s="12" t="s">
        <v>39</v>
      </c>
      <c r="B40" s="23">
        <v>6</v>
      </c>
      <c r="C40" s="13"/>
      <c r="D40" s="14"/>
    </row>
    <row r="41" spans="1:4" ht="18" x14ac:dyDescent="0.25">
      <c r="A41" s="15" t="s">
        <v>40</v>
      </c>
      <c r="B41" s="30">
        <f>Total_Noise_RTO*Noise_STDEV</f>
        <v>1.9456998228745618E-3</v>
      </c>
      <c r="C41" s="16" t="s">
        <v>44</v>
      </c>
      <c r="D41" s="17"/>
    </row>
    <row r="44" spans="1:4" x14ac:dyDescent="0.25">
      <c r="A44" s="20" t="s">
        <v>45</v>
      </c>
      <c r="B44" s="21">
        <f>Total_Opamp_Noise</f>
        <v>2.500407357878829E-6</v>
      </c>
    </row>
    <row r="45" spans="1:4" x14ac:dyDescent="0.25">
      <c r="A45" s="20" t="s">
        <v>46</v>
      </c>
      <c r="B45" s="21">
        <f>BB_Noise_Due_to_Current</f>
        <v>1.2347467105394772E-9</v>
      </c>
    </row>
    <row r="46" spans="1:4" x14ac:dyDescent="0.25">
      <c r="A46" s="20" t="s">
        <v>47</v>
      </c>
      <c r="B46" s="21">
        <f>Resistor_noise_RTI</f>
        <v>2.0141304715644039E-6</v>
      </c>
    </row>
  </sheetData>
  <dataValidations count="1">
    <dataValidation type="list" allowBlank="1" showInputMessage="1" showErrorMessage="1" promptTitle="Number of Poles" prompt="Closed Loop Poles to Correct Brick Wall to Approzimated Bandwidth" sqref="B12" xr:uid="{402E107F-9FAB-4DAA-98C3-5536D7C5F0A5}">
      <formula1>$N$4:$N$8</formula1>
    </dataValidation>
  </dataValidations>
  <pageMargins left="0.7" right="0.7" top="0.75" bottom="0.75" header="0.3" footer="0.3"/>
  <pageSetup orientation="landscape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Noise Calc</vt:lpstr>
      <vt:lpstr>_R1</vt:lpstr>
      <vt:lpstr>_Rf</vt:lpstr>
      <vt:lpstr>BB_Noise_Current</vt:lpstr>
      <vt:lpstr>BB_Noise_Due_to_Current</vt:lpstr>
      <vt:lpstr>Boltzmann_Const</vt:lpstr>
      <vt:lpstr>Brickwall_P1</vt:lpstr>
      <vt:lpstr>Brickwall_P2</vt:lpstr>
      <vt:lpstr>Brickwall_P3</vt:lpstr>
      <vt:lpstr>Brickwall_P4</vt:lpstr>
      <vt:lpstr>Brickwall_P5</vt:lpstr>
      <vt:lpstr>Brickwall_Table</vt:lpstr>
      <vt:lpstr>Closed_Loop_BW</vt:lpstr>
      <vt:lpstr>Corrected_BW</vt:lpstr>
      <vt:lpstr>Correction_Ratio</vt:lpstr>
      <vt:lpstr>Flicker_Across_BW</vt:lpstr>
      <vt:lpstr>Flicker_at_1Hz</vt:lpstr>
      <vt:lpstr>Flicker_Freq</vt:lpstr>
      <vt:lpstr>Flicker_NP</vt:lpstr>
      <vt:lpstr>Freezing_Point_Water</vt:lpstr>
      <vt:lpstr>Input_Bias_ND</vt:lpstr>
      <vt:lpstr>Noise_Gain</vt:lpstr>
      <vt:lpstr>Noise_STDEV</vt:lpstr>
      <vt:lpstr>Num_Poles</vt:lpstr>
      <vt:lpstr>NumPoles</vt:lpstr>
      <vt:lpstr>Opamp_BB_Noise</vt:lpstr>
      <vt:lpstr>Opamp_Noise_Density</vt:lpstr>
      <vt:lpstr>'Noise Calc'!Print_Area</vt:lpstr>
      <vt:lpstr>Req</vt:lpstr>
      <vt:lpstr>Resistor_noise_RTI</vt:lpstr>
      <vt:lpstr>TempC</vt:lpstr>
      <vt:lpstr>TempK</vt:lpstr>
      <vt:lpstr>Total_Noise_RTI</vt:lpstr>
      <vt:lpstr>Total_Noise_RTO</vt:lpstr>
      <vt:lpstr>Total_Noise_RTP_PP</vt:lpstr>
      <vt:lpstr>Total_Opamp_Noise</vt:lpstr>
      <vt:lpstr>Unity_Gain_Bandwidth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Downs</dc:creator>
  <cp:lastModifiedBy>Terry Downs</cp:lastModifiedBy>
  <cp:lastPrinted>2021-12-18T23:18:37Z</cp:lastPrinted>
  <dcterms:created xsi:type="dcterms:W3CDTF">2021-12-18T18:11:09Z</dcterms:created>
  <dcterms:modified xsi:type="dcterms:W3CDTF">2022-08-21T21:51:27Z</dcterms:modified>
</cp:coreProperties>
</file>