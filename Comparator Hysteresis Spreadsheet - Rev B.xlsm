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Excel for Electrical Engineering/Comparator Hysteresis Spreadsheet/"/>
    </mc:Choice>
  </mc:AlternateContent>
  <xr:revisionPtr revIDLastSave="0" documentId="8_{936D7EA1-3499-45CC-BDAE-A2494293B2A3}" xr6:coauthVersionLast="47" xr6:coauthVersionMax="47" xr10:uidLastSave="{00000000-0000-0000-0000-000000000000}"/>
  <bookViews>
    <workbookView xWindow="4320" yWindow="2290" windowWidth="31200" windowHeight="18190" xr2:uid="{FA6E7859-73E7-4D0C-99C6-0BFFEF618850}"/>
  </bookViews>
  <sheets>
    <sheet name="Comparator Circuit" sheetId="2" r:id="rId1"/>
    <sheet name="Device Specs" sheetId="3" r:id="rId2"/>
    <sheet name="VOL vs ISINK" sheetId="4" r:id="rId3"/>
  </sheets>
  <functionGroups builtInGroupCount="19"/>
  <definedNames>
    <definedName name="_a">'VOL vs ISINK'!$A$5</definedName>
    <definedName name="_b">'VOL vs ISINK'!$B$5</definedName>
    <definedName name="_c">'VOL vs ISINK'!$C$5</definedName>
    <definedName name="_d">'VOL vs ISINK'!$D$5</definedName>
    <definedName name="_e">'VOL vs ISINK'!$E$5</definedName>
    <definedName name="_IOL">'Comparator Circuit'!$C$11</definedName>
    <definedName name="_R1" localSheetId="0">'Comparator Circuit'!$C$24</definedName>
    <definedName name="_R2" localSheetId="0">'Comparator Circuit'!$C$23</definedName>
    <definedName name="_RH" localSheetId="0">'Comparator Circuit'!$C$19</definedName>
    <definedName name="_RP" localSheetId="0">'Comparator Circuit'!$C$13</definedName>
    <definedName name="_VOLCalc">'VOL vs ISINK'!$B$8</definedName>
    <definedName name="a" localSheetId="0">'Comparator Circuit'!$C$22</definedName>
    <definedName name="IIB" localSheetId="0">'Device Specs'!$C$4</definedName>
    <definedName name="IIB">'Device Specs'!$C$4</definedName>
    <definedName name="IIH">'Device Specs'!$C$20</definedName>
    <definedName name="IIL">'Device Specs'!$C$22</definedName>
    <definedName name="ILKG">'Device Specs'!$C$22</definedName>
    <definedName name="IOH_LKG">'Device Specs'!$C$6</definedName>
    <definedName name="IOL">'VOL vs ISINK'!$B$7</definedName>
    <definedName name="IOL_MAX">'Device Specs'!$C$5</definedName>
    <definedName name="lblR1">'Comparator Circuit'!$O$2</definedName>
    <definedName name="lblR2">'Comparator Circuit'!$O$3</definedName>
    <definedName name="lblRH">'Comparator Circuit'!$O$5</definedName>
    <definedName name="lblRP">'Comparator Circuit'!$O$4</definedName>
    <definedName name="lblVP">'Comparator Circuit'!$O$7</definedName>
    <definedName name="lblVR">'Comparator Circuit'!$O$6</definedName>
    <definedName name="Llimit">'Device Specs'!$B$53</definedName>
    <definedName name="Res_Vh">'Comparator Circuit'!$C$27</definedName>
    <definedName name="Res_VL">'Comparator Circuit'!$C$29</definedName>
    <definedName name="Rseries">'Comparator Circuit'!$R$10</definedName>
    <definedName name="RseriesSel">'Comparator Circuit'!$C$8</definedName>
    <definedName name="Sens_Gain">'Device Specs'!$B$54</definedName>
    <definedName name="SensVoutHigh">'Device Specs'!$B$60</definedName>
    <definedName name="SensVoutLow">'Device Specs'!$B$59</definedName>
    <definedName name="SFIB">'Comparator Circuit'!$C$17</definedName>
    <definedName name="SFSINK">'Comparator Circuit'!$C$10</definedName>
    <definedName name="TempH">'Device Specs'!$B$57</definedName>
    <definedName name="TempL">'Device Specs'!$B$56</definedName>
    <definedName name="Ulimit">'Device Specs'!$B$52</definedName>
    <definedName name="Vh" localSheetId="0">'Comparator Circuit'!$C$6</definedName>
    <definedName name="VH_MIN">'Comparator Circuit'!$C$18</definedName>
    <definedName name="Vhreserr">'Comparator Circuit'!$C$28</definedName>
    <definedName name="VIH">'Comparator Circuit'!$C$14</definedName>
    <definedName name="VIHmin">'Device Specs'!$C$23</definedName>
    <definedName name="VL" localSheetId="0">'Comparator Circuit'!$C$7</definedName>
    <definedName name="Vlreserror">'Comparator Circuit'!$C$30</definedName>
    <definedName name="Vol" localSheetId="0">'Comparator Circuit'!$C$12</definedName>
    <definedName name="Vout0C">'Device Specs'!$B$51</definedName>
    <definedName name="Vp" localSheetId="0">'Comparator Circuit'!$C$4</definedName>
    <definedName name="Vr" localSheetId="0">'Comparator Circuit'!$C$5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" i="2" l="1"/>
  <c r="C11" i="2" l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O6" i="2"/>
  <c r="O7" i="2"/>
  <c r="B7" i="4" l="1"/>
  <c r="B8" i="4" s="1"/>
  <c r="C12" i="2" s="1"/>
  <c r="C18" i="2"/>
  <c r="C19" i="2" a="1"/>
  <c r="C19" i="2" l="1"/>
  <c r="E18" i="2"/>
  <c r="C13" i="2" a="1"/>
  <c r="O5" i="2" a="1"/>
  <c r="C13" i="2" l="1"/>
  <c r="O5" i="2"/>
  <c r="O4" i="2" a="1"/>
  <c r="C14" i="2" l="1"/>
  <c r="C15" i="2" s="1"/>
  <c r="C22" i="2"/>
  <c r="O4" i="2"/>
  <c r="C23" i="2" a="1"/>
  <c r="C23" i="2" l="1"/>
  <c r="C24" i="2" a="1"/>
  <c r="O3" i="2" a="1"/>
  <c r="O3" i="2" l="1"/>
  <c r="C24" i="2"/>
  <c r="C29" i="2" s="1"/>
  <c r="C30" i="2" s="1"/>
  <c r="O2" i="2" a="1"/>
  <c r="O2" i="2" l="1"/>
  <c r="C27" i="2"/>
  <c r="C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C14" authorId="0" shapeId="0" xr:uid="{8BE8353A-0CC2-4F77-87E3-973BA8B7EF5D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High Level Threshold Voltage must be greater than the logic device V in minimum.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<sst xmlns="http://schemas.openxmlformats.org/spreadsheetml/2006/main" count="112" uniqueCount="87">
  <si>
    <t>a</t>
  </si>
  <si>
    <t>R1</t>
  </si>
  <si>
    <t>R2</t>
  </si>
  <si>
    <t>RH</t>
  </si>
  <si>
    <t>RP</t>
  </si>
  <si>
    <t>Inverting Comparator With Hysteresis</t>
  </si>
  <si>
    <t>Input Bias Current</t>
  </si>
  <si>
    <r>
      <t>(I</t>
    </r>
    <r>
      <rPr>
        <vertAlign val="subscript"/>
        <sz val="11"/>
        <color theme="1"/>
        <rFont val="Calibri"/>
        <family val="2"/>
      </rPr>
      <t>IB</t>
    </r>
    <r>
      <rPr>
        <sz val="11"/>
        <color theme="1"/>
        <rFont val="Calibri"/>
        <family val="2"/>
      </rPr>
      <t>)</t>
    </r>
  </si>
  <si>
    <t>A</t>
  </si>
  <si>
    <t>V</t>
  </si>
  <si>
    <t>Ω</t>
  </si>
  <si>
    <t>Coefficients</t>
  </si>
  <si>
    <t>Device Specifications</t>
  </si>
  <si>
    <t>Comparator</t>
  </si>
  <si>
    <t>Part Number</t>
  </si>
  <si>
    <t>LM339B</t>
  </si>
  <si>
    <t>Output Sink Current (Typ)</t>
  </si>
  <si>
    <t>x</t>
  </si>
  <si>
    <r>
      <t>(V</t>
    </r>
    <r>
      <rPr>
        <vertAlign val="subscript"/>
        <sz val="11"/>
        <color theme="1"/>
        <rFont val="Calibri"/>
        <family val="2"/>
      </rPr>
      <t>OL</t>
    </r>
    <r>
      <rPr>
        <sz val="11"/>
        <color theme="1"/>
        <rFont val="Calibri"/>
        <family val="2"/>
      </rPr>
      <t>)</t>
    </r>
  </si>
  <si>
    <t>Comparator Parameters</t>
  </si>
  <si>
    <t>High Level Threshold Voltage</t>
  </si>
  <si>
    <t>Low Level Threshold Voltage</t>
  </si>
  <si>
    <t>Pull-up Supply Voltage</t>
  </si>
  <si>
    <t>Divider Reference Voltage</t>
  </si>
  <si>
    <t>Input Bias Scale Factor</t>
  </si>
  <si>
    <t>(Vh)</t>
  </si>
  <si>
    <t>(Vl)</t>
  </si>
  <si>
    <t>(Vp)</t>
  </si>
  <si>
    <t>(Vr)</t>
  </si>
  <si>
    <t>Pull-up Resistor Selection</t>
  </si>
  <si>
    <r>
      <t>(R</t>
    </r>
    <r>
      <rPr>
        <vertAlign val="subscript"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)</t>
    </r>
  </si>
  <si>
    <t>Pull-up Resistor</t>
  </si>
  <si>
    <r>
      <t>(SF</t>
    </r>
    <r>
      <rPr>
        <vertAlign val="subscript"/>
        <sz val="11"/>
        <color theme="1"/>
        <rFont val="Calibri"/>
        <family val="2"/>
      </rPr>
      <t>SINK</t>
    </r>
    <r>
      <rPr>
        <sz val="11"/>
        <color theme="1"/>
        <rFont val="Calibri"/>
        <family val="2"/>
      </rPr>
      <t>)</t>
    </r>
  </si>
  <si>
    <t>Low Level Output Voltage</t>
  </si>
  <si>
    <t>Hysteresis Resistor Selection</t>
  </si>
  <si>
    <r>
      <t>V</t>
    </r>
    <r>
      <rPr>
        <vertAlign val="subscript"/>
        <sz val="11"/>
        <color theme="1"/>
        <rFont val="Calibri"/>
        <family val="2"/>
      </rPr>
      <t>H(MIN)</t>
    </r>
  </si>
  <si>
    <t>Minimum Hysteresis Voltage</t>
  </si>
  <si>
    <t>Hysteresis Resistor</t>
  </si>
  <si>
    <r>
      <t>(R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>)</t>
    </r>
  </si>
  <si>
    <t>Reference Divider</t>
  </si>
  <si>
    <t>Coefficient</t>
  </si>
  <si>
    <t>Reference Divider Resistor</t>
  </si>
  <si>
    <t>Resultant Thresolds</t>
  </si>
  <si>
    <t>Component Labels</t>
  </si>
  <si>
    <t>VR</t>
  </si>
  <si>
    <t>VP</t>
  </si>
  <si>
    <r>
      <t>(I</t>
    </r>
    <r>
      <rPr>
        <vertAlign val="subscript"/>
        <sz val="11"/>
        <color theme="1"/>
        <rFont val="Calibri"/>
        <family val="2"/>
      </rPr>
      <t>OL(MAX)</t>
    </r>
    <r>
      <rPr>
        <sz val="11"/>
        <color theme="1"/>
        <rFont val="Calibri"/>
        <family val="2"/>
      </rPr>
      <t>)</t>
    </r>
  </si>
  <si>
    <t>Scale of Output Sink (Max)</t>
  </si>
  <si>
    <r>
      <t>I</t>
    </r>
    <r>
      <rPr>
        <vertAlign val="subscript"/>
        <sz val="11"/>
        <color theme="1"/>
        <rFont val="Calibri"/>
        <family val="2"/>
      </rPr>
      <t>OL</t>
    </r>
  </si>
  <si>
    <r>
      <t>V</t>
    </r>
    <r>
      <rPr>
        <vertAlign val="subscript"/>
        <sz val="11"/>
        <color theme="1"/>
        <rFont val="Calibri"/>
        <family val="2"/>
      </rPr>
      <t>OL</t>
    </r>
  </si>
  <si>
    <t>b</t>
  </si>
  <si>
    <t>c</t>
  </si>
  <si>
    <t>d</t>
  </si>
  <si>
    <t>e</t>
  </si>
  <si>
    <t>Scaled Output Sink Current</t>
  </si>
  <si>
    <r>
      <t>(SF</t>
    </r>
    <r>
      <rPr>
        <vertAlign val="subscript"/>
        <sz val="11"/>
        <color theme="1"/>
        <rFont val="Calibri"/>
        <family val="2"/>
      </rPr>
      <t>IB</t>
    </r>
    <r>
      <rPr>
        <sz val="11"/>
        <color theme="1"/>
        <rFont val="Calibri"/>
        <family val="2"/>
      </rPr>
      <t>)</t>
    </r>
  </si>
  <si>
    <t>Component Series Lookup</t>
  </si>
  <si>
    <t>E3 (40%)</t>
  </si>
  <si>
    <t>E6 (20%)</t>
  </si>
  <si>
    <t>E12 (10%)</t>
  </si>
  <si>
    <t>E24 (5%)</t>
  </si>
  <si>
    <t>E48 (2%)</t>
  </si>
  <si>
    <t>E96 (1%)</t>
  </si>
  <si>
    <t>E192 (&lt;= 0.5%)</t>
  </si>
  <si>
    <t>Resistor Series</t>
  </si>
  <si>
    <t>R Series</t>
  </si>
  <si>
    <r>
      <t>(I</t>
    </r>
    <r>
      <rPr>
        <vertAlign val="subscript"/>
        <sz val="11"/>
        <color theme="1"/>
        <rFont val="Calibri"/>
        <family val="2"/>
      </rPr>
      <t>OL</t>
    </r>
    <r>
      <rPr>
        <sz val="11"/>
        <color theme="1"/>
        <rFont val="Calibri"/>
        <family val="2"/>
      </rPr>
      <t>)</t>
    </r>
  </si>
  <si>
    <r>
      <t>V</t>
    </r>
    <r>
      <rPr>
        <vertAlign val="subscript"/>
        <sz val="11"/>
        <color theme="1"/>
        <rFont val="Calibri"/>
        <family val="2"/>
      </rPr>
      <t>H(RES)</t>
    </r>
  </si>
  <si>
    <r>
      <t>V</t>
    </r>
    <r>
      <rPr>
        <vertAlign val="subscript"/>
        <sz val="11"/>
        <color theme="1"/>
        <rFont val="Calibri"/>
        <family val="2"/>
      </rPr>
      <t>L(RES)</t>
    </r>
  </si>
  <si>
    <t>Error due to resistor tolerance</t>
  </si>
  <si>
    <t>Text</t>
  </si>
  <si>
    <r>
      <t>LM339B V</t>
    </r>
    <r>
      <rPr>
        <b/>
        <i/>
        <vertAlign val="subscript"/>
        <sz val="11"/>
        <color theme="1"/>
        <rFont val="Calibri"/>
        <family val="2"/>
      </rPr>
      <t>OL</t>
    </r>
    <r>
      <rPr>
        <b/>
        <i/>
        <sz val="11"/>
        <color theme="1"/>
        <rFont val="Calibri"/>
        <family val="2"/>
      </rPr>
      <t xml:space="preserve"> vs. I</t>
    </r>
    <r>
      <rPr>
        <b/>
        <i/>
        <vertAlign val="subscript"/>
        <sz val="11"/>
        <color theme="1"/>
        <rFont val="Calibri"/>
        <family val="2"/>
      </rPr>
      <t>SINK</t>
    </r>
    <r>
      <rPr>
        <b/>
        <i/>
        <sz val="11"/>
        <color theme="1"/>
        <rFont val="Calibri"/>
        <family val="2"/>
      </rPr>
      <t xml:space="preserve"> Polynomial</t>
    </r>
  </si>
  <si>
    <t>From VOL Curve</t>
  </si>
  <si>
    <t>Alt D+L</t>
  </si>
  <si>
    <t>VIDEO: Comprehensive Comparator Hysteresis Design</t>
  </si>
  <si>
    <t>Argument</t>
  </si>
  <si>
    <t>Logic Input Device</t>
  </si>
  <si>
    <t>Input Leakage Current High</t>
  </si>
  <si>
    <r>
      <t>(I</t>
    </r>
    <r>
      <rPr>
        <vertAlign val="subscript"/>
        <sz val="11"/>
        <color theme="1"/>
        <rFont val="Calibri"/>
        <family val="2"/>
      </rPr>
      <t>IH</t>
    </r>
    <r>
      <rPr>
        <sz val="11"/>
        <color theme="1"/>
        <rFont val="Calibri"/>
        <family val="2"/>
      </rPr>
      <t>)</t>
    </r>
  </si>
  <si>
    <t>Input Leakage Current Low</t>
  </si>
  <si>
    <r>
      <t>(I</t>
    </r>
    <r>
      <rPr>
        <vertAlign val="subscript"/>
        <sz val="11"/>
        <color theme="1"/>
        <rFont val="Calibri"/>
        <family val="2"/>
      </rPr>
      <t>IL</t>
    </r>
    <r>
      <rPr>
        <sz val="11"/>
        <color theme="1"/>
        <rFont val="Calibri"/>
        <family val="2"/>
      </rPr>
      <t>)</t>
    </r>
  </si>
  <si>
    <t>Logic 1 Minimum Input Voltage</t>
  </si>
  <si>
    <r>
      <t>(V</t>
    </r>
    <r>
      <rPr>
        <vertAlign val="subscript"/>
        <sz val="11"/>
        <color theme="1"/>
        <rFont val="Calibri"/>
        <family val="2"/>
      </rPr>
      <t>IH</t>
    </r>
    <r>
      <rPr>
        <sz val="11"/>
        <color theme="1"/>
        <rFont val="Calibri"/>
        <family val="2"/>
      </rPr>
      <t>)</t>
    </r>
  </si>
  <si>
    <t>Lattice ispMACH 4000V/B/C</t>
  </si>
  <si>
    <t>High-Level Output Leakage Current</t>
  </si>
  <si>
    <r>
      <t>(I</t>
    </r>
    <r>
      <rPr>
        <vertAlign val="subscript"/>
        <sz val="11"/>
        <color theme="1"/>
        <rFont val="Calibri"/>
        <family val="2"/>
      </rPr>
      <t>OH-LKG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</si>
  <si>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</rPr>
      <t>IH-MIN</t>
    </r>
    <r>
      <rPr>
        <sz val="11"/>
        <color theme="1"/>
        <rFont val="Calibri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</si>
</sst>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+0;\-0;\-0\ &quot;V&quot;"/>
    <numFmt numFmtId="165" formatCode="##0E+0"/>
    <numFmt numFmtId="166" formatCode="##0.00E+0"/>
    <numFmt numFmtId="167" formatCode="0.000%"/>
    <numFmt numFmtId="168" formatCode="0.0%"/>
  </numFmts>
  <fonts count="11" x14ac:knownFonts="1">
    <font>
      <sz val="11"/>
      <color theme="1"/>
      <name val="Calibri"/>
      <family val="2"/>
    </font>
    <font>
      <b/>
      <i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i/>
      <sz val="12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ourier New"/>
      <family val="3"/>
    </font>
    <font>
      <b/>
      <sz val="11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gradientFill degree="180">
        <stop position="0">
          <color theme="0"/>
        </stop>
        <stop position="1">
          <color theme="7" tint="0.40000610370189521"/>
        </stop>
      </gradient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3" fillId="2" borderId="1">
      <alignment horizontal="center" vertical="center"/>
      <protection locked="0"/>
    </xf>
    <xf numFmtId="0" fontId="3" fillId="3" borderId="1">
      <alignment horizontal="center" vertical="center"/>
    </xf>
    <xf numFmtId="0" fontId="3" fillId="4" borderId="1">
      <alignment horizontal="center" vertical="center"/>
    </xf>
    <xf numFmtId="0" fontId="3" fillId="5" borderId="1">
      <alignment horizontal="center" vertical="center"/>
    </xf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11" fontId="0" fillId="0" borderId="0" xfId="0" applyNumberForma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8" fontId="0" fillId="0" borderId="0" xfId="0" applyNumberFormat="1" applyAlignment="1">
      <alignment vertical="center"/>
    </xf>
    <xf numFmtId="0" fontId="3" fillId="2" borderId="1" xfId="2">
      <alignment horizontal="center" vertical="center"/>
      <protection locked="0"/>
    </xf>
    <xf numFmtId="164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1" xfId="3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3" fillId="2" borderId="5" xfId="1" applyNumberFormat="1" applyFill="1" applyBorder="1" applyAlignment="1" applyProtection="1">
      <alignment horizontal="center" vertical="center"/>
      <protection locked="0"/>
    </xf>
    <xf numFmtId="0" fontId="3" fillId="3" borderId="5" xfId="3" applyBorder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3" fillId="5" borderId="1" xfId="5">
      <alignment horizontal="center" vertical="center"/>
    </xf>
    <xf numFmtId="165" fontId="3" fillId="5" borderId="1" xfId="5" applyNumberForma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48" fontId="3" fillId="3" borderId="1" xfId="3" applyNumberFormat="1">
      <alignment horizontal="center" vertical="center"/>
    </xf>
    <xf numFmtId="166" fontId="3" fillId="3" borderId="1" xfId="3" applyNumberForma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3" fillId="6" borderId="5" xfId="3" applyFill="1" applyBorder="1">
      <alignment horizontal="center" vertical="center"/>
    </xf>
    <xf numFmtId="167" fontId="3" fillId="3" borderId="1" xfId="1" applyNumberFormat="1" applyFill="1" applyBorder="1" applyAlignment="1">
      <alignment horizontal="center" vertical="center"/>
    </xf>
    <xf numFmtId="0" fontId="0" fillId="0" borderId="12" xfId="0" applyBorder="1"/>
    <xf numFmtId="167" fontId="3" fillId="3" borderId="5" xfId="1" applyNumberFormat="1" applyFill="1" applyBorder="1" applyAlignment="1">
      <alignment horizontal="center" vertical="center"/>
    </xf>
    <xf numFmtId="0" fontId="0" fillId="0" borderId="13" xfId="0" applyBorder="1"/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0" borderId="8" xfId="0" applyBorder="1" applyAlignment="1">
      <alignment horizontal="center" vertical="center"/>
    </xf>
    <xf numFmtId="0" fontId="6" fillId="0" borderId="4" xfId="6" applyBorder="1" applyAlignment="1">
      <alignment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0" fillId="0" borderId="2" xfId="0" applyBorder="1"/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/>
    </xf>
    <xf numFmtId="168" fontId="3" fillId="2" borderId="5" xfId="1" applyNumberFormat="1" applyFill="1" applyBorder="1" applyAlignment="1" applyProtection="1">
      <alignment horizontal="center"/>
      <protection locked="0"/>
    </xf>
    <xf numFmtId="0" fontId="6" fillId="0" borderId="0" xfId="6" quotePrefix="1" applyAlignment="1">
      <alignment vertical="center"/>
    </xf>
    <xf numFmtId="0" fontId="6" fillId="0" borderId="0" xfId="6" applyAlignment="1">
      <alignment vertical="center"/>
    </xf>
    <xf numFmtId="0" fontId="0" fillId="0" borderId="0" xfId="0"/>
  </cellXfs>
  <cellStyles count="7">
    <cellStyle name="Hyperlink" xfId="6" builtinId="8"/>
    <cellStyle name="INPUTS" xfId="2" xr:uid="{900B727F-F173-4B06-BF10-5D38359D0434}"/>
    <cellStyle name="Normal" xfId="0" builtinId="0"/>
    <cellStyle name="OUTPUTS" xfId="3" xr:uid="{CAF7EAC6-56BF-4516-8A05-D09570DCF2BC}"/>
    <cellStyle name="Percent" xfId="1" builtinId="5"/>
    <cellStyle name="REFERENCE" xfId="4" xr:uid="{59F8C599-92B2-490E-9A71-1FE4B899B9EE}"/>
    <cellStyle name="SPECS" xfId="5" xr:uid="{892C6F06-AC94-4AAC-9237-18512D2BD6D3}"/>
  </cellStyles>
  <dxfs count="3">
    <dxf>
      <numFmt numFmtId="15" formatCode="0.00E+00"/>
    </dxf>
    <dxf>
      <alignment horizontal="general" vertical="center" textRotation="0" wrapText="0" indent="0" justifyLastLine="0" shrinkToFit="0" readingOrder="0"/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LM339B Output Low Voltage vs. Output Sinking</a:t>
            </a:r>
            <a:r>
              <a:rPr lang="en-US" baseline="0"/>
              <a:t> </a:t>
            </a:r>
            <a:r>
              <a:rPr lang="en-US"/>
              <a:t>Current</a:t>
            </a:r>
            <a:r>
              <a:rPr lang="en-US" baseline="0"/>
              <a:t> @ 5V</a:t>
            </a:r>
            <a:endParaRPr lang="en-US"/>
          </a:p>
        </c:rich>
      </c:tx>
      <c:layout>
        <c:manualLayout>
          <c:xMode val="edge"/>
          <c:yMode val="edge"/>
          <c:x val="0.1381898117006731"/>
          <c:y val="2.77778067476664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96130257587148"/>
          <c:y val="0.12281456953642383"/>
          <c:w val="0.8497505902214485"/>
          <c:h val="0.73015461229597955"/>
        </c:manualLayout>
      </c:layout>
      <c:scatterChart>
        <c:scatterStyle val="smoothMarker"/>
        <c:varyColors val="0"/>
        <c:ser>
          <c:idx val="0"/>
          <c:order val="0"/>
          <c:tx>
            <c:v>Characteristic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'VOL vs ISINK'!$G$2:$G$45</c:f>
              <c:numCache>
                <c:formatCode>General</c:formatCode>
                <c:ptCount val="44"/>
                <c:pt idx="0" formatCode="0.00E+00">
                  <c:v>1E-4</c:v>
                </c:pt>
                <c:pt idx="1">
                  <c:v>1E-3</c:v>
                </c:pt>
                <c:pt idx="2">
                  <c:v>1.5E-3</c:v>
                </c:pt>
                <c:pt idx="3">
                  <c:v>2E-3</c:v>
                </c:pt>
                <c:pt idx="4">
                  <c:v>2.5000000000000001E-3</c:v>
                </c:pt>
                <c:pt idx="5">
                  <c:v>3.0000000000000001E-3</c:v>
                </c:pt>
                <c:pt idx="6">
                  <c:v>3.5000000000000001E-3</c:v>
                </c:pt>
                <c:pt idx="7">
                  <c:v>4.0000000000000001E-3</c:v>
                </c:pt>
                <c:pt idx="8">
                  <c:v>4.4999999999999997E-3</c:v>
                </c:pt>
                <c:pt idx="9">
                  <c:v>5.0000000000000001E-3</c:v>
                </c:pt>
                <c:pt idx="10">
                  <c:v>5.4999999999999997E-3</c:v>
                </c:pt>
                <c:pt idx="11">
                  <c:v>6.0000000000000001E-3</c:v>
                </c:pt>
                <c:pt idx="12">
                  <c:v>6.4999999999999997E-3</c:v>
                </c:pt>
                <c:pt idx="13">
                  <c:v>7.0000000000000001E-3</c:v>
                </c:pt>
                <c:pt idx="14">
                  <c:v>7.4999999999999997E-3</c:v>
                </c:pt>
                <c:pt idx="15">
                  <c:v>8.0000000000000002E-3</c:v>
                </c:pt>
                <c:pt idx="16">
                  <c:v>8.5000000000000006E-3</c:v>
                </c:pt>
                <c:pt idx="17">
                  <c:v>8.9999999999999993E-3</c:v>
                </c:pt>
                <c:pt idx="18">
                  <c:v>9.4999999999999998E-3</c:v>
                </c:pt>
                <c:pt idx="19">
                  <c:v>0.01</c:v>
                </c:pt>
                <c:pt idx="20">
                  <c:v>1.0500000000000001E-2</c:v>
                </c:pt>
                <c:pt idx="21">
                  <c:v>1.0999999999999999E-2</c:v>
                </c:pt>
                <c:pt idx="22">
                  <c:v>1.15E-2</c:v>
                </c:pt>
                <c:pt idx="23">
                  <c:v>1.2E-2</c:v>
                </c:pt>
                <c:pt idx="24">
                  <c:v>1.2500000000000001E-2</c:v>
                </c:pt>
                <c:pt idx="25">
                  <c:v>1.2999999999999999E-2</c:v>
                </c:pt>
                <c:pt idx="26">
                  <c:v>1.35E-2</c:v>
                </c:pt>
                <c:pt idx="27">
                  <c:v>1.4E-2</c:v>
                </c:pt>
                <c:pt idx="28">
                  <c:v>1.4500000000000001E-2</c:v>
                </c:pt>
                <c:pt idx="29">
                  <c:v>1.4999999999999999E-2</c:v>
                </c:pt>
                <c:pt idx="30">
                  <c:v>1.55E-2</c:v>
                </c:pt>
                <c:pt idx="31">
                  <c:v>1.6E-2</c:v>
                </c:pt>
                <c:pt idx="32">
                  <c:v>1.6500000000000001E-2</c:v>
                </c:pt>
                <c:pt idx="33">
                  <c:v>1.7000000000000001E-2</c:v>
                </c:pt>
                <c:pt idx="34">
                  <c:v>1.7500000000000002E-2</c:v>
                </c:pt>
                <c:pt idx="35">
                  <c:v>1.7999999999999999E-2</c:v>
                </c:pt>
                <c:pt idx="36">
                  <c:v>1.8499999999999999E-2</c:v>
                </c:pt>
                <c:pt idx="37">
                  <c:v>1.9E-2</c:v>
                </c:pt>
                <c:pt idx="38">
                  <c:v>1.95E-2</c:v>
                </c:pt>
                <c:pt idx="39">
                  <c:v>0.02</c:v>
                </c:pt>
                <c:pt idx="40">
                  <c:v>2.0500000000000001E-2</c:v>
                </c:pt>
                <c:pt idx="41">
                  <c:v>2.1000000000000001E-2</c:v>
                </c:pt>
                <c:pt idx="42">
                  <c:v>2.1499999999999998E-2</c:v>
                </c:pt>
                <c:pt idx="43">
                  <c:v>2.1999999999999999E-2</c:v>
                </c:pt>
              </c:numCache>
            </c:numRef>
          </c:xVal>
          <c:yVal>
            <c:numRef>
              <c:f>'VOL vs ISINK'!$H$2:$H$45</c:f>
              <c:numCache>
                <c:formatCode>0.00E+00</c:formatCode>
                <c:ptCount val="44"/>
                <c:pt idx="0">
                  <c:v>1.5905693519252393E-2</c:v>
                </c:pt>
                <c:pt idx="1">
                  <c:v>3.8423358481371336E-2</c:v>
                </c:pt>
                <c:pt idx="2">
                  <c:v>5.0985998972304637E-2</c:v>
                </c:pt>
                <c:pt idx="3">
                  <c:v>6.3410045251101443E-2</c:v>
                </c:pt>
                <c:pt idx="4">
                  <c:v>7.5585003957448438E-2</c:v>
                </c:pt>
                <c:pt idx="5">
                  <c:v>8.7424308874418058E-2</c:v>
                </c:pt>
                <c:pt idx="6">
                  <c:v>9.8865320928468545E-2</c:v>
                </c:pt>
                <c:pt idx="7">
                  <c:v>0.10986932818944388</c:v>
                </c:pt>
                <c:pt idx="8">
                  <c:v>0.12042154587057385</c:v>
                </c:pt>
                <c:pt idx="9">
                  <c:v>0.13053111632847403</c:v>
                </c:pt>
                <c:pt idx="10">
                  <c:v>0.14023110906314568</c:v>
                </c:pt>
                <c:pt idx="11">
                  <c:v>0.14957852071797592</c:v>
                </c:pt>
                <c:pt idx="12">
                  <c:v>0.15865427507973762</c:v>
                </c:pt>
                <c:pt idx="13">
                  <c:v>0.1675632230785894</c:v>
                </c:pt>
                <c:pt idx="14">
                  <c:v>0.17643414278807568</c:v>
                </c:pt>
                <c:pt idx="15">
                  <c:v>0.18541973942512663</c:v>
                </c:pt>
                <c:pt idx="16">
                  <c:v>0.19469664535005823</c:v>
                </c:pt>
                <c:pt idx="17">
                  <c:v>0.2044654200665722</c:v>
                </c:pt>
                <c:pt idx="18">
                  <c:v>0.21495055022175602</c:v>
                </c:pt>
                <c:pt idx="19">
                  <c:v>0.22640044960608305</c:v>
                </c:pt>
                <c:pt idx="20">
                  <c:v>0.23908745915341223</c:v>
                </c:pt>
                <c:pt idx="21">
                  <c:v>0.2533078469409884</c:v>
                </c:pt>
                <c:pt idx="22">
                  <c:v>0.2693818081894423</c:v>
                </c:pt>
                <c:pt idx="23">
                  <c:v>0.28765346526279012</c:v>
                </c:pt>
                <c:pt idx="24">
                  <c:v>0.30849086766843409</c:v>
                </c:pt>
                <c:pt idx="25">
                  <c:v>0.33228599205716197</c:v>
                </c:pt>
                <c:pt idx="26">
                  <c:v>0.35945474222314761</c:v>
                </c:pt>
                <c:pt idx="27">
                  <c:v>0.39043694910395055</c:v>
                </c:pt>
                <c:pt idx="28">
                  <c:v>0.42569637078051581</c:v>
                </c:pt>
                <c:pt idx="29">
                  <c:v>0.4657206924771744</c:v>
                </c:pt>
                <c:pt idx="30">
                  <c:v>0.51102152656164335</c:v>
                </c:pt>
                <c:pt idx="31">
                  <c:v>0.56213441254502483</c:v>
                </c:pt>
                <c:pt idx="32">
                  <c:v>0.61961881708180788</c:v>
                </c:pt>
                <c:pt idx="33">
                  <c:v>0.6840581339698657</c:v>
                </c:pt>
                <c:pt idx="34">
                  <c:v>0.75605968415045843</c:v>
                </c:pt>
                <c:pt idx="35">
                  <c:v>0.83625471570823195</c:v>
                </c:pt>
                <c:pt idx="36">
                  <c:v>0.92529840387121765</c:v>
                </c:pt>
                <c:pt idx="37">
                  <c:v>1.0238698510108324</c:v>
                </c:pt>
                <c:pt idx="38">
                  <c:v>1.1326720866418802</c:v>
                </c:pt>
                <c:pt idx="39">
                  <c:v>1.2524320674225486</c:v>
                </c:pt>
                <c:pt idx="40">
                  <c:v>1.3839006771544127</c:v>
                </c:pt>
                <c:pt idx="41">
                  <c:v>1.5278527267824322</c:v>
                </c:pt>
                <c:pt idx="42">
                  <c:v>1.6850869543949529</c:v>
                </c:pt>
                <c:pt idx="43">
                  <c:v>1.8564260252237079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D-4367-A265-E84DF448DCC0}"/>
            </c:ext>
          </c:extLst>
        </c:ser>
        <c:ser>
          <c:idx val="1"/>
          <c:order val="1"/>
          <c:tx>
            <c:v>Resultant Value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 vs ISINK'!$B$7</c:f>
              <c:numCache>
                <c:formatCode>##0.0E+0</c:formatCode>
                <c:ptCount val="1"/>
                <c:pt idx="0">
                  <c:v>2.1000000000000001E-4</c:v>
                </c:pt>
              </c:numCache>
            </c:numRef>
          </c:xVal>
          <c:yVal>
            <c:numRef>
              <c:f>'VOL vs ISINK'!$B$8</c:f>
              <c:numCache>
                <c:formatCode>General</c:formatCode>
                <c:ptCount val="1"/>
                <c:pt idx="0">
                  <c:v>1.8627286863624609E-2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47-4DB7-9BFE-D46C62051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05720"/>
        <c:axId val="626706440"/>
      </c:scatterChart>
      <c:valAx>
        <c:axId val="62670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Output Sinking Current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#0.0E+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6440"/>
        <c:crosses val="autoZero"/>
        <c:crossBetween val="midCat"/>
      </c:valAx>
      <c:valAx>
        <c:axId val="62670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Output Voltage to GND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5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228302492339211"/>
          <c:y val="0.13632398185326172"/>
          <c:w val="0.22389796752792834"/>
          <c:h val="0.1277858893466131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28576</xdr:colOff>
      <xdr:row>21</xdr:row>
      <xdr:rowOff>19050</xdr:rowOff>
    </xdr:from>
    <xdr:to>
      <xdr:col>4</xdr:col>
      <xdr:colOff>847726</xdr:colOff>
      <xdr:row>22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495676" y="5676900"/>
              <a:ext cx="819150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sub>
                        </m:sSub>
                        <m:r>
                          <a:rPr lang="en-US" sz="11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495676" y="5676900"/>
              <a:ext cx="819150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𝑅_𝐻/(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𝑅_𝑃+𝑅_𝐻 )</a:t>
              </a:r>
              <a:endParaRPr lang="en-US" sz="1100"/>
            </a:p>
          </xdr:txBody>
        </xdr:sp>
      </mc:Fallback>
    </mc:AlternateContent>
    <xdr:clientData/>
  </xdr:twoCellAnchor>
  <xdr:oneCellAnchor>
    <xdr:from>
      <xdr:col>3</xdr:col>
      <xdr:colOff>234950</xdr:colOff>
      <xdr:row>12</xdr:row>
      <xdr:rowOff>26987</xdr:rowOff>
    </xdr:from>
    <xdr:ext cx="896656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3492500" y="2322512"/>
              <a:ext cx="896656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𝑂𝐿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𝑂𝐿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 txBox="1"/>
          </xdr:nvSpPr>
          <xdr:spPr>
            <a:xfrm>
              <a:off x="3492500" y="2322512"/>
              <a:ext cx="896656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𝑅_𝑃=(𝑉_𝑃−𝑉_𝑂𝐿)/𝐼_𝑂𝐿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28576</xdr:colOff>
      <xdr:row>18</xdr:row>
      <xdr:rowOff>38101</xdr:rowOff>
    </xdr:from>
    <xdr:to>
      <xdr:col>4</xdr:col>
      <xdr:colOff>885825</xdr:colOff>
      <xdr:row>18</xdr:row>
      <xdr:rowOff>342901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10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3495676" y="4933951"/>
              <a:ext cx="85724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sub>
                    </m:sSub>
                    <m:r>
                      <a:rPr lang="en-US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  <m:d>
                              <m:dPr>
                                <m:ctrlPr>
                                  <a:rPr lang="en-US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05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𝑀𝐼𝑁</m:t>
                                </m:r>
                              </m:e>
                            </m:d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𝐼𝐵</m:t>
                            </m:r>
                          </m:sub>
                        </m:sSub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𝑆𝐹</m:t>
                        </m:r>
                      </m:den>
                    </m:f>
                  </m:oMath>
                </m:oMathPara>
              </a14:m>
              <a:endParaRPr lang="en-US" sz="1050"/>
            </a:p>
          </xdr:txBody>
        </xdr:sp>
      </mc:Choice>
      <mc:Fallback xmlns="">
        <xdr:sp macro="" textlink="">
          <xdr:nvSpPr>
            <xdr:cNvPr id="32" name="TextBox 10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3495676" y="4933951"/>
              <a:ext cx="857249" cy="304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𝑅_𝐻=𝑉_𝑅𝐻(𝑀𝐼𝑁) /(𝐼_𝐼𝐵∙𝑆𝐹)</a:t>
              </a:r>
              <a:endParaRPr lang="en-US" sz="1050"/>
            </a:p>
          </xdr:txBody>
        </xdr:sp>
      </mc:Fallback>
    </mc:AlternateContent>
    <xdr:clientData/>
  </xdr:twoCellAnchor>
  <xdr:twoCellAnchor>
    <xdr:from>
      <xdr:col>4</xdr:col>
      <xdr:colOff>28574</xdr:colOff>
      <xdr:row>26</xdr:row>
      <xdr:rowOff>28575</xdr:rowOff>
    </xdr:from>
    <xdr:to>
      <xdr:col>4</xdr:col>
      <xdr:colOff>1433187</xdr:colOff>
      <xdr:row>26</xdr:row>
      <xdr:rowOff>619378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6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3495674" y="8239125"/>
              <a:ext cx="1404613" cy="590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sub>
                    </m:sSub>
                    <m:r>
                      <a:rPr lang="en-US" sz="105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  <m: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</m:den>
                        </m:f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den>
                        </m:f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  <m: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05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050"/>
            </a:p>
          </xdr:txBody>
        </xdr:sp>
      </mc:Choice>
      <mc:Fallback xmlns="">
        <xdr:sp macro="" textlink="">
          <xdr:nvSpPr>
            <xdr:cNvPr id="20" name="TextBox 16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3495674" y="8239125"/>
              <a:ext cx="1404613" cy="590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5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𝑉_𝐻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050" i="0">
                  <a:latin typeface="Cambria Math" panose="02040503050406030204" pitchFamily="18" charset="0"/>
                  <a:ea typeface="Cambria Math" panose="02040503050406030204" pitchFamily="18" charset="0"/>
                </a:rPr>
                <a:t>((𝑅_1 𝑉_𝑃)/(𝑅_𝑃+𝑅_𝐻 )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05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𝑉_𝑅)/(1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05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𝑅_1/𝑅_2 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05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𝑅_1/(𝑅_𝑃+𝑅_𝐻 ))</a:t>
              </a:r>
              <a:endParaRPr lang="en-US" sz="1050"/>
            </a:p>
          </xdr:txBody>
        </xdr:sp>
      </mc:Fallback>
    </mc:AlternateContent>
    <xdr:clientData/>
  </xdr:twoCellAnchor>
  <xdr:twoCellAnchor editAs="absolute">
    <xdr:from>
      <xdr:col>5</xdr:col>
      <xdr:colOff>358914</xdr:colOff>
      <xdr:row>1</xdr:row>
      <xdr:rowOff>49212</xdr:rowOff>
    </xdr:from>
    <xdr:to>
      <xdr:col>9</xdr:col>
      <xdr:colOff>65430</xdr:colOff>
      <xdr:row>15</xdr:row>
      <xdr:rowOff>153694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>
          <a:grpSpLocks noChangeAspect="1"/>
        </xdr:cNvGrpSpPr>
      </xdr:nvGrpSpPr>
      <xdr:grpSpPr>
        <a:xfrm>
          <a:off x="6023114" y="246062"/>
          <a:ext cx="3814966" cy="3019132"/>
          <a:chOff x="5463968" y="261937"/>
          <a:chExt cx="3676107" cy="3069932"/>
        </a:xfrm>
      </xdr:grpSpPr>
      <xdr:sp macro="" textlink="lblR1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5511848" y="839907"/>
            <a:ext cx="807901" cy="2871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fld id="{5766B120-657B-453E-AE0C-D19D9057B879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7.87kΩ</a:t>
            </a:fld>
            <a:endParaRPr lang="en-US" sz="1200"/>
          </a:p>
        </xdr:txBody>
      </xdr:sp>
      <xdr:sp macro="" textlink="lblRH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 txBox="1"/>
        </xdr:nvSpPr>
        <xdr:spPr>
          <a:xfrm>
            <a:off x="6921644" y="895466"/>
            <a:ext cx="797997" cy="2871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25BF6BEC-6F41-4D2D-A29D-9FD63543801B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105kΩ</a:t>
            </a:fld>
            <a:endParaRPr lang="en-US" sz="1200"/>
          </a:p>
        </xdr:txBody>
      </xdr:sp>
      <xdr:sp macro="" textlink="lblRP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/>
        </xdr:nvSpPr>
        <xdr:spPr>
          <a:xfrm>
            <a:off x="8206727" y="839907"/>
            <a:ext cx="933348" cy="2871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fld id="{ED7888E5-D5A9-43C7-BDEB-E5BB17B6CC13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15.8kΩ</a:t>
            </a:fld>
            <a:endParaRPr lang="en-US" sz="1200"/>
          </a:p>
        </xdr:txBody>
      </xdr:sp>
      <xdr:pic>
        <xdr:nvPicPr>
          <xdr:cNvPr id="34" name="Graphic 4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839533" y="395064"/>
            <a:ext cx="2847269" cy="2936805"/>
          </a:xfrm>
          <a:prstGeom prst="rect">
            <a:avLst/>
          </a:prstGeom>
        </xdr:spPr>
      </xdr:pic>
      <xdr:sp macro="" textlink="lblR2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5463968" y="2596103"/>
            <a:ext cx="855780" cy="2866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fld id="{0D4CEF10-7DA4-40F6-94D9-2FE6170CBC08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2.15kΩ</a:t>
            </a:fld>
            <a:endParaRPr lang="en-US" sz="1200"/>
          </a:p>
        </xdr:txBody>
      </xdr:sp>
      <xdr:sp macro="" textlink="lblVR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 txBox="1"/>
        </xdr:nvSpPr>
        <xdr:spPr>
          <a:xfrm>
            <a:off x="6257924" y="261937"/>
            <a:ext cx="790575" cy="2871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8EBF3E6-F248-463C-A1D2-4D2F7D274EB4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+2.5V</a:t>
            </a:fld>
            <a:endParaRPr lang="en-US" sz="1200"/>
          </a:p>
        </xdr:txBody>
      </xdr:sp>
      <xdr:sp macro="" textlink="lblVP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/>
        </xdr:nvSpPr>
        <xdr:spPr>
          <a:xfrm>
            <a:off x="8067673" y="261937"/>
            <a:ext cx="763843" cy="2871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7297B051-1780-4A21-A1FA-1AD9E5A61B65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+3.3V</a:t>
            </a:fld>
            <a:endParaRPr lang="en-US" sz="1200"/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 txBox="1"/>
        </xdr:nvSpPr>
        <xdr:spPr>
          <a:xfrm>
            <a:off x="5973562" y="663695"/>
            <a:ext cx="346185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r"/>
            <a:r>
              <a:rPr lang="en-US" sz="1200"/>
              <a:t>R1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 txBox="1"/>
        </xdr:nvSpPr>
        <xdr:spPr>
          <a:xfrm>
            <a:off x="8212046" y="663695"/>
            <a:ext cx="34772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l"/>
            <a:r>
              <a:rPr lang="en-US" sz="1200"/>
              <a:t>RP</a:t>
            </a: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 txBox="1"/>
        </xdr:nvSpPr>
        <xdr:spPr>
          <a:xfrm>
            <a:off x="5905526" y="2427966"/>
            <a:ext cx="414221" cy="2866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en-US" sz="1200"/>
              <a:t>R2</a:t>
            </a: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 txBox="1"/>
        </xdr:nvSpPr>
        <xdr:spPr>
          <a:xfrm>
            <a:off x="7123799" y="752475"/>
            <a:ext cx="364074" cy="2767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/>
              <a:t>RH</a:t>
            </a: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 txBox="1"/>
        </xdr:nvSpPr>
        <xdr:spPr>
          <a:xfrm>
            <a:off x="6048375" y="261937"/>
            <a:ext cx="3555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/>
              <a:t>VR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 txBox="1"/>
        </xdr:nvSpPr>
        <xdr:spPr>
          <a:xfrm>
            <a:off x="7867650" y="261937"/>
            <a:ext cx="35150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/>
              <a:t>VP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 txBox="1"/>
        </xdr:nvSpPr>
        <xdr:spPr>
          <a:xfrm>
            <a:off x="5622298" y="2132358"/>
            <a:ext cx="36407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r"/>
            <a:r>
              <a:rPr lang="en-US" sz="1200"/>
              <a:t>V</a:t>
            </a:r>
            <a:r>
              <a:rPr lang="en-US" sz="1200" baseline="-25000"/>
              <a:t>IN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 txBox="1"/>
        </xdr:nvSpPr>
        <xdr:spPr>
          <a:xfrm>
            <a:off x="8588131" y="1979958"/>
            <a:ext cx="455766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r"/>
            <a:r>
              <a:rPr lang="en-US" sz="1200"/>
              <a:t>V</a:t>
            </a:r>
            <a:r>
              <a:rPr lang="en-US" sz="1200" baseline="-25000"/>
              <a:t>OUT</a:t>
            </a: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 txBox="1"/>
        </xdr:nvSpPr>
        <xdr:spPr>
          <a:xfrm>
            <a:off x="5710543" y="1541808"/>
            <a:ext cx="41870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r"/>
            <a:r>
              <a:rPr lang="en-US" sz="1200"/>
              <a:t>V</a:t>
            </a:r>
            <a:r>
              <a:rPr lang="en-US" sz="1200" baseline="-25000"/>
              <a:t>H/L</a:t>
            </a:r>
          </a:p>
        </xdr:txBody>
      </xdr:sp>
    </xdr:grpSp>
    <xdr:clientData/>
  </xdr:twoCellAnchor>
  <xdr:twoCellAnchor>
    <xdr:from>
      <xdr:col>4</xdr:col>
      <xdr:colOff>9525</xdr:colOff>
      <xdr:row>23</xdr:row>
      <xdr:rowOff>66675</xdr:rowOff>
    </xdr:from>
    <xdr:to>
      <xdr:col>4</xdr:col>
      <xdr:colOff>1505849</xdr:colOff>
      <xdr:row>24</xdr:row>
      <xdr:rowOff>119385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22">
              <a:extLst>
                <a:ext uri="{FF2B5EF4-FFF2-40B4-BE49-F238E27FC236}">
                  <a16:creationId xmlns:a16="http://schemas.microsoft.com/office/drawing/2014/main" id="{27917953-E88A-C1C0-6011-09684CFBDC62}"/>
                </a:ext>
              </a:extLst>
            </xdr:cNvPr>
            <xdr:cNvSpPr txBox="1"/>
          </xdr:nvSpPr>
          <xdr:spPr>
            <a:xfrm>
              <a:off x="3476625" y="6638925"/>
              <a:ext cx="1496324" cy="6242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𝑅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𝐿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𝑂𝐿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𝐿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22">
              <a:extLst>
                <a:ext uri="{FF2B5EF4-FFF2-40B4-BE49-F238E27FC236}">
                  <a16:creationId xmlns:a16="http://schemas.microsoft.com/office/drawing/2014/main" id="{27917953-E88A-C1C0-6011-09684CFBDC62}"/>
                </a:ext>
              </a:extLst>
            </xdr:cNvPr>
            <xdr:cNvSpPr txBox="1"/>
          </xdr:nvSpPr>
          <xdr:spPr>
            <a:xfrm>
              <a:off x="3476625" y="6638925"/>
              <a:ext cx="1496324" cy="6242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=(𝑅_2 𝑅_𝐻 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/𝑉_𝐿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1))/(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𝑅_𝐻+𝑅_2 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1−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𝑉_𝑂𝐿/𝑉_𝐿 )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3</xdr:col>
      <xdr:colOff>254000</xdr:colOff>
      <xdr:row>28</xdr:row>
      <xdr:rowOff>136525</xdr:rowOff>
    </xdr:from>
    <xdr:to>
      <xdr:col>5</xdr:col>
      <xdr:colOff>282575</xdr:colOff>
      <xdr:row>29</xdr:row>
      <xdr:rowOff>90284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9">
              <a:extLst>
                <a:ext uri="{FF2B5EF4-FFF2-40B4-BE49-F238E27FC236}">
                  <a16:creationId xmlns:a16="http://schemas.microsoft.com/office/drawing/2014/main" id="{FDF6673A-E34C-0B2F-574F-5F20455F3DE6}"/>
                </a:ext>
              </a:extLst>
            </xdr:cNvPr>
            <xdr:cNvSpPr txBox="1"/>
          </xdr:nvSpPr>
          <xdr:spPr>
            <a:xfrm>
              <a:off x="3517900" y="7559675"/>
              <a:ext cx="2428875" cy="544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f>
                                  <m:f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𝑉</m:t>
                                        </m:r>
                                      </m:e>
                                      <m:sub>
                                        <m: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𝑂𝐿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𝑉</m:t>
                                        </m:r>
                                      </m:e>
                                      <m:sub>
                                        <m:r>
                                          <a:rPr lang="en-US" sz="11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𝐿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d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9">
              <a:extLst>
                <a:ext uri="{FF2B5EF4-FFF2-40B4-BE49-F238E27FC236}">
                  <a16:creationId xmlns:a16="http://schemas.microsoft.com/office/drawing/2014/main" id="{FDF6673A-E34C-0B2F-574F-5F20455F3DE6}"/>
                </a:ext>
              </a:extLst>
            </xdr:cNvPr>
            <xdr:cNvSpPr txBox="1"/>
          </xdr:nvSpPr>
          <xdr:spPr>
            <a:xfrm>
              <a:off x="3517900" y="7559675"/>
              <a:ext cx="2428875" cy="5443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𝑉_𝐿=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〖𝑅_2 𝑅_𝐻 𝑉〗_𝑅/(𝑅_1 (𝑅_𝐻+𝑅_2 (1−𝑉_𝑂𝐿/𝑉_𝐿 ))+𝑅_2 𝑅_𝐻 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4</xdr:col>
      <xdr:colOff>38100</xdr:colOff>
      <xdr:row>22</xdr:row>
      <xdr:rowOff>47625</xdr:rowOff>
    </xdr:from>
    <xdr:to>
      <xdr:col>6</xdr:col>
      <xdr:colOff>23286</xdr:colOff>
      <xdr:row>22</xdr:row>
      <xdr:rowOff>667282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6">
              <a:extLst>
                <a:ext uri="{FF2B5EF4-FFF2-40B4-BE49-F238E27FC236}">
                  <a16:creationId xmlns:a16="http://schemas.microsoft.com/office/drawing/2014/main" id="{EB002D37-2A41-3814-F377-D6D3472D456A}"/>
                </a:ext>
              </a:extLst>
            </xdr:cNvPr>
            <xdr:cNvSpPr txBox="1"/>
          </xdr:nvSpPr>
          <xdr:spPr>
            <a:xfrm>
              <a:off x="3505200" y="5905500"/>
              <a:ext cx="3928536" cy="619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sub>
                                </m:s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𝑂𝐿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𝑂𝐿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</m:den>
                        </m:f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𝑎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6">
              <a:extLst>
                <a:ext uri="{FF2B5EF4-FFF2-40B4-BE49-F238E27FC236}">
                  <a16:creationId xmlns:a16="http://schemas.microsoft.com/office/drawing/2014/main" id="{EB002D37-2A41-3814-F377-D6D3472D456A}"/>
                </a:ext>
              </a:extLst>
            </xdr:cNvPr>
            <xdr:cNvSpPr txBox="1"/>
          </xdr:nvSpPr>
          <xdr:spPr>
            <a:xfrm>
              <a:off x="3505200" y="5905500"/>
              <a:ext cx="3928536" cy="619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𝑅_2=((〖𝑅_𝐻 𝑉〗_𝑅 𝑉_𝐻)/𝑉_𝐿 −𝑅_𝐻 𝑉_𝑅)/(𝑉_𝑅−𝑉_𝐻−(𝑉_𝑂𝐿 𝑉_𝑅)/𝑉_𝐿 +(𝑉_𝑂𝐿 𝑉_𝐻)/𝑉_𝐿 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 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𝑉_𝑅 𝑉_𝐻)/𝑉_𝐿 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 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𝑉_𝑅 𝑉_𝑃)/𝑉_𝐿 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𝑉_𝐻−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𝑎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𝑉_𝑃 )</a:t>
              </a:r>
              <a:endParaRPr lang="en-US" sz="1100"/>
            </a:p>
          </xdr:txBody>
        </xdr:sp>
      </mc:Fallback>
    </mc:AlternateContent>
    <xdr:clientData/>
  </xdr:twoCellAnchor>
  <xdr:oneCellAnchor>
    <xdr:from>
      <xdr:col>3</xdr:col>
      <xdr:colOff>200025</xdr:colOff>
      <xdr:row>10</xdr:row>
      <xdr:rowOff>33337</xdr:rowOff>
    </xdr:from>
    <xdr:ext cx="1307474" cy="181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97DC1-FA5F-CC9C-2A22-42456F44E0D3}"/>
                </a:ext>
              </a:extLst>
            </xdr:cNvPr>
            <xdr:cNvSpPr txBox="1"/>
          </xdr:nvSpPr>
          <xdr:spPr>
            <a:xfrm>
              <a:off x="3362325" y="1947862"/>
              <a:ext cx="1307474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𝑂𝐿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𝑆𝐼𝑁𝐾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𝑂𝐿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𝑀𝐴𝑋</m:t>
                            </m:r>
                          </m:e>
                        </m:d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0E97DC1-FA5F-CC9C-2A22-42456F44E0D3}"/>
                </a:ext>
              </a:extLst>
            </xdr:cNvPr>
            <xdr:cNvSpPr txBox="1"/>
          </xdr:nvSpPr>
          <xdr:spPr>
            <a:xfrm>
              <a:off x="3362325" y="1947862"/>
              <a:ext cx="1307474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𝐼_𝑂𝐿=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𝑆𝐹_𝑆𝐼𝑁𝐾 𝐼_𝑂𝐿(𝑀𝐴𝑋) 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4</xdr:col>
      <xdr:colOff>57150</xdr:colOff>
      <xdr:row>0</xdr:row>
      <xdr:rowOff>38100</xdr:rowOff>
    </xdr:from>
    <xdr:to>
      <xdr:col>4</xdr:col>
      <xdr:colOff>1324152</xdr:colOff>
      <xdr:row>1</xdr:row>
      <xdr:rowOff>104812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68663DF-3EE5-A3C5-1526-11CCC54A1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76625" y="38100"/>
          <a:ext cx="1267002" cy="266737"/>
        </a:xfrm>
        <a:prstGeom prst="rect">
          <a:avLst/>
        </a:prstGeom>
      </xdr:spPr>
    </xdr:pic>
    <xdr:clientData/>
  </xdr:twoCellAnchor>
  <xdr:oneCellAnchor>
    <xdr:from>
      <xdr:col>3</xdr:col>
      <xdr:colOff>222250</xdr:colOff>
      <xdr:row>13</xdr:row>
      <xdr:rowOff>7937</xdr:rowOff>
    </xdr:from>
    <xdr:ext cx="182639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9E3D7CB5-750A-094D-1AE6-A9C14CBC0296}"/>
                </a:ext>
              </a:extLst>
            </xdr:cNvPr>
            <xdr:cNvSpPr txBox="1"/>
          </xdr:nvSpPr>
          <xdr:spPr>
            <a:xfrm>
              <a:off x="3486150" y="2725737"/>
              <a:ext cx="18263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𝐼𝐻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𝑂𝐻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𝐿𝐾𝐺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9E3D7CB5-750A-094D-1AE6-A9C14CBC0296}"/>
                </a:ext>
              </a:extLst>
            </xdr:cNvPr>
            <xdr:cNvSpPr txBox="1"/>
          </xdr:nvSpPr>
          <xdr:spPr>
            <a:xfrm>
              <a:off x="3486150" y="2725737"/>
              <a:ext cx="18263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𝑉_𝐻=𝑉_𝑃−(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𝐼_𝐼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𝐻+𝐼_(𝑂𝐻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−𝐿𝐾𝐺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𝑅_𝑃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320675</xdr:colOff>
      <xdr:row>0</xdr:row>
      <xdr:rowOff>75160</xdr:rowOff>
    </xdr:from>
    <xdr:to>
      <xdr:col>13</xdr:col>
      <xdr:colOff>157164</xdr:colOff>
      <xdr:row>16</xdr:row>
      <xdr:rowOff>126707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92D1E97-C215-1C36-B2A7-3BA3A286D67D}"/>
            </a:ext>
          </a:extLst>
        </xdr:cNvPr>
        <xdr:cNvGrpSpPr/>
      </xdr:nvGrpSpPr>
      <xdr:grpSpPr>
        <a:xfrm>
          <a:off x="4162425" y="75160"/>
          <a:ext cx="5322889" cy="3080497"/>
          <a:chOff x="3457575" y="75160"/>
          <a:chExt cx="5322889" cy="3213847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927AC4F9-7940-4A44-927A-572A226E77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457575" y="75160"/>
            <a:ext cx="5322889" cy="3213847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E9DBD8DC-B6ED-42BF-8161-D1B0E6DEB6D6}"/>
              </a:ext>
            </a:extLst>
          </xdr:cNvPr>
          <xdr:cNvSpPr/>
        </xdr:nvSpPr>
        <xdr:spPr>
          <a:xfrm>
            <a:off x="3552824" y="1247775"/>
            <a:ext cx="5172075" cy="224579"/>
          </a:xfrm>
          <a:prstGeom prst="rect">
            <a:avLst/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1273058-9629-46B4-6E65-93DB4C0B17CF}"/>
              </a:ext>
            </a:extLst>
          </xdr:cNvPr>
          <xdr:cNvSpPr/>
        </xdr:nvSpPr>
        <xdr:spPr>
          <a:xfrm>
            <a:off x="3552824" y="2594599"/>
            <a:ext cx="5172075" cy="377201"/>
          </a:xfrm>
          <a:prstGeom prst="rect">
            <a:avLst/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353273</xdr:colOff>
      <xdr:row>17</xdr:row>
      <xdr:rowOff>152400</xdr:rowOff>
    </xdr:from>
    <xdr:to>
      <xdr:col>13</xdr:col>
      <xdr:colOff>215527</xdr:colOff>
      <xdr:row>33</xdr:row>
      <xdr:rowOff>53833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E827993-A8B3-43D2-BA4C-67E360645243}"/>
            </a:ext>
          </a:extLst>
        </xdr:cNvPr>
        <xdr:cNvGrpSpPr/>
      </xdr:nvGrpSpPr>
      <xdr:grpSpPr>
        <a:xfrm>
          <a:off x="4195023" y="3365500"/>
          <a:ext cx="5348654" cy="2930383"/>
          <a:chOff x="11572228" y="1388888"/>
          <a:chExt cx="3898586" cy="23073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D2E646BB-5BD0-C7AC-E52C-5B6230B6A7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72228" y="1388888"/>
            <a:ext cx="3898586" cy="2307336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DAFD26F9-0FDA-BD91-9316-C1DBA513F213}"/>
              </a:ext>
            </a:extLst>
          </xdr:cNvPr>
          <xdr:cNvSpPr/>
        </xdr:nvSpPr>
        <xdr:spPr>
          <a:xfrm>
            <a:off x="11638170" y="2174679"/>
            <a:ext cx="2457106" cy="197827"/>
          </a:xfrm>
          <a:prstGeom prst="rect">
            <a:avLst/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342154</xdr:colOff>
      <xdr:row>33</xdr:row>
      <xdr:rowOff>75008</xdr:rowOff>
    </xdr:from>
    <xdr:to>
      <xdr:col>13</xdr:col>
      <xdr:colOff>120277</xdr:colOff>
      <xdr:row>46</xdr:row>
      <xdr:rowOff>79083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EDA68D8-1023-467B-96BA-8CA5F7C6F050}"/>
            </a:ext>
          </a:extLst>
        </xdr:cNvPr>
        <xdr:cNvGrpSpPr/>
      </xdr:nvGrpSpPr>
      <xdr:grpSpPr>
        <a:xfrm>
          <a:off x="4183904" y="6317058"/>
          <a:ext cx="5264523" cy="2398025"/>
          <a:chOff x="11723077" y="3981468"/>
          <a:chExt cx="4037867" cy="184908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3F1209E1-AB22-1520-11AC-6570A572C8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77" y="3981468"/>
            <a:ext cx="4037867" cy="1849085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91829C6E-C8C2-2D7D-265C-A6C8D85F026C}"/>
              </a:ext>
            </a:extLst>
          </xdr:cNvPr>
          <xdr:cNvSpPr/>
        </xdr:nvSpPr>
        <xdr:spPr>
          <a:xfrm>
            <a:off x="11762613" y="4396154"/>
            <a:ext cx="3968292" cy="190500"/>
          </a:xfrm>
          <a:prstGeom prst="rect">
            <a:avLst/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0</xdr:row>
      <xdr:rowOff>47625</xdr:rowOff>
    </xdr:from>
    <xdr:to>
      <xdr:col>17</xdr:col>
      <xdr:colOff>285750</xdr:colOff>
      <xdr:row>20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8044E2-C3B8-40EB-B692-5A94B83C6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257175</xdr:colOff>
      <xdr:row>9</xdr:row>
      <xdr:rowOff>139700</xdr:rowOff>
    </xdr:from>
    <xdr:ext cx="2780954" cy="1913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259631D-F4A9-0B7D-24E7-9990F10A2C04}"/>
                </a:ext>
              </a:extLst>
            </xdr:cNvPr>
            <xdr:cNvSpPr txBox="1"/>
          </xdr:nvSpPr>
          <xdr:spPr>
            <a:xfrm>
              <a:off x="257175" y="1854200"/>
              <a:ext cx="2780954" cy="1913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𝑂𝐿</m:t>
                        </m:r>
                      </m:sub>
                    </m:sSub>
                    <m:r>
                      <a:rPr lang="en-US" sz="12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𝑎𝐼𝑂</m:t>
                    </m:r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p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n-US" sz="120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𝑏𝐼𝑂</m:t>
                    </m:r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p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n-US" sz="120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𝑐𝐼𝑂</m:t>
                    </m:r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p>
                        <m:r>
                          <a:rPr lang="en-US" sz="120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20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𝑑𝐼𝑂𝐿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200" i="1">
                        <a:latin typeface="Cambria Math" panose="02040503050406030204" pitchFamily="18" charset="0"/>
                      </a:rPr>
                      <m:t>𝑒</m:t>
                    </m:r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259631D-F4A9-0B7D-24E7-9990F10A2C04}"/>
                </a:ext>
              </a:extLst>
            </xdr:cNvPr>
            <xdr:cNvSpPr txBox="1"/>
          </xdr:nvSpPr>
          <xdr:spPr>
            <a:xfrm>
              <a:off x="257175" y="1854200"/>
              <a:ext cx="2780954" cy="1913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𝑉_𝑂𝐿</a:t>
              </a:r>
              <a:r>
                <a:rPr lang="en-US" sz="1200" i="0">
                  <a:latin typeface="Cambria Math" panose="02040503050406030204" pitchFamily="18" charset="0"/>
                </a:rPr>
                <a:t>=𝑎𝐼𝑂𝐿^4+𝑏𝐼𝑂𝐿^3+𝑐𝐼𝑂𝐿^2+𝑑𝐼𝑂𝐿+𝑒</a:t>
              </a:r>
              <a:endParaRPr lang="en-US" sz="1200"/>
            </a:p>
          </xdr:txBody>
        </xdr:sp>
      </mc:Fallback>
    </mc:AlternateContent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68A9C9-BD3A-4557-89E0-DE9C74366F1C}" name="Component_Series" displayName="Component_Series" ref="Q1:R8" totalsRowShown="0">
  <autoFilter ref="Q1:R8" xr:uid="{7468A9C9-BD3A-4557-89E0-DE9C74366F1C}">
    <filterColumn colId="0" hiddenButton="1"/>
    <filterColumn colId="1" hiddenButton="1"/>
  </autoFilter>
  <tableColumns count="2">
    <tableColumn id="1" xr3:uid="{37C9B4FA-ADF9-4572-BB9E-518BAF95ADF7}" name="Component Series Lookup"/>
    <tableColumn id="2" xr3:uid="{6977D3E8-A0E0-4B5F-BA38-B24E3DBEB56F}" name="Argu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66A4E-196D-4F47-A84E-A142C42A6D79}" name="Component_Labels" displayName="Component_Labels" ref="N1:O7" totalsRowShown="0">
  <autoFilter ref="N1:O7" xr:uid="{EB666A4E-196D-4F47-A84E-A142C42A6D79}">
    <filterColumn colId="0" hiddenButton="1"/>
    <filterColumn colId="1" hiddenButton="1"/>
  </autoFilter>
  <tableColumns count="2">
    <tableColumn id="1" xr3:uid="{BDD6BD96-D3D6-4A99-8964-9C69646168B1}" name="Component Labels" dataDxfId="1"/>
    <tableColumn id="2" xr3:uid="{CC1FE7B1-6475-424F-8153-2405F8007B52}" name="Tex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DB750-B3F7-4884-B4A9-8E336648A0D5}" name="Table1" displayName="Table1" ref="G1:H45" totalsRowShown="0">
  <autoFilter ref="G1:H45" xr:uid="{EE7DB750-B3F7-4884-B4A9-8E336648A0D5}">
    <filterColumn colId="0" hiddenButton="1"/>
    <filterColumn colId="1" hiddenButton="1"/>
  </autoFilter>
  <tableColumns count="2">
    <tableColumn id="1" xr3:uid="{A4E9B702-6335-45CD-A952-ACA7E063EFC5}" name="IOL"/>
    <tableColumn id="2" xr3:uid="{2FE4C288-F4E4-465F-B4ED-77FBF55845A1}" name="VOL" dataDxfId="0">
      <calculatedColumnFormula>_a*Table1[[#This Row],[IOL]]^4+_b*Table1[[#This Row],[IOL]]^3+_c*Table1[[#This Row],[IOL]]^2+_d*Table1[[#This Row],[IOL]]+_e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nRCbGyBBm8E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1FBC-6B2C-427B-B7F5-053603D9356C}">
  <sheetPr codeName="Sheet2"/>
  <dimension ref="A1:AA78"/>
  <sheetViews>
    <sheetView showGridLines="0" tabSelected="1" zoomScaleNormal="100" workbookViewId="0">
      <selection activeCell="C18" sqref="C18"/>
    </sheetView>
  </sheetViews>
  <sheetFormatPr defaultRowHeight="14.5" x14ac:dyDescent="0.35"/>
  <cols>
    <col min="1" max="1" width="28.26953125" customWidth="1"/>
    <col min="2" max="2" width="6.453125" customWidth="1"/>
    <col min="3" max="3" width="12" bestFit="1" customWidth="1"/>
    <col min="4" max="4" width="3.81640625" customWidth="1"/>
    <col min="5" max="5" width="30.54296875" customWidth="1"/>
    <col min="6" max="6" width="28.54296875" customWidth="1"/>
    <col min="7" max="7" width="12.81640625" bestFit="1" customWidth="1"/>
    <col min="12" max="12" width="11.453125" customWidth="1"/>
    <col min="13" max="13" width="7.81640625" customWidth="1"/>
    <col min="14" max="14" width="19.7265625" customWidth="1"/>
    <col min="15" max="15" width="11" customWidth="1"/>
    <col min="17" max="17" width="26.1796875" customWidth="1"/>
    <col min="18" max="18" width="11" customWidth="1"/>
    <col min="26" max="26" width="10.26953125" customWidth="1"/>
    <col min="27" max="27" width="12.81640625" customWidth="1"/>
    <col min="28" max="28" width="9.1796875" customWidth="1"/>
  </cols>
  <sheetData>
    <row r="1" spans="1:27" ht="15.5" x14ac:dyDescent="0.35">
      <c r="A1" s="24" t="s">
        <v>5</v>
      </c>
      <c r="B1" s="4"/>
      <c r="C1" s="4"/>
      <c r="D1" s="4"/>
      <c r="E1" s="4"/>
      <c r="F1" s="4"/>
      <c r="G1" s="4"/>
      <c r="J1" s="4"/>
      <c r="K1" s="4"/>
      <c r="N1" s="1" t="s">
        <v>43</v>
      </c>
      <c r="O1" t="s">
        <v>70</v>
      </c>
      <c r="P1" s="4"/>
      <c r="Q1" s="1" t="s">
        <v>56</v>
      </c>
      <c r="R1" t="s">
        <v>75</v>
      </c>
      <c r="S1" s="4"/>
      <c r="T1" s="4"/>
      <c r="U1" s="4"/>
      <c r="V1" s="4"/>
      <c r="W1" s="4"/>
      <c r="X1" s="4"/>
      <c r="Y1" s="4"/>
    </row>
    <row r="2" spans="1:27" x14ac:dyDescent="0.35">
      <c r="A2" s="50" t="s">
        <v>74</v>
      </c>
      <c r="B2" s="50"/>
      <c r="C2" s="50"/>
      <c r="D2" s="4"/>
      <c r="E2" s="4"/>
      <c r="F2" s="4"/>
      <c r="G2" s="4"/>
      <c r="N2" s="4" t="s">
        <v>1</v>
      </c>
      <c r="O2" t="str" cm="1">
        <f t="array" ref="O2">EngPrefix(_R1)&amp;"Ω"</f>
        <v>7.87kΩ</v>
      </c>
      <c r="P2" s="4"/>
      <c r="Q2" t="s">
        <v>57</v>
      </c>
      <c r="R2">
        <v>1</v>
      </c>
      <c r="S2" s="4"/>
      <c r="T2" s="4"/>
      <c r="U2" s="4"/>
      <c r="V2" s="4"/>
      <c r="W2" s="4"/>
      <c r="X2" s="4"/>
      <c r="Y2" s="4"/>
    </row>
    <row r="3" spans="1:27" x14ac:dyDescent="0.35">
      <c r="A3" s="3" t="s">
        <v>19</v>
      </c>
      <c r="B3" s="4"/>
      <c r="C3" s="4"/>
      <c r="D3" s="4"/>
      <c r="E3" s="4"/>
      <c r="F3" s="4"/>
      <c r="G3" s="4"/>
      <c r="H3" s="4"/>
      <c r="I3" s="8"/>
      <c r="J3" s="4"/>
      <c r="K3" s="4"/>
      <c r="N3" s="4" t="s">
        <v>2</v>
      </c>
      <c r="O3" t="str" cm="1">
        <f t="array" ref="O3">EngPrefix(_R2)&amp;"Ω"</f>
        <v>2.15kΩ</v>
      </c>
      <c r="P3" s="4"/>
      <c r="Q3" t="s">
        <v>58</v>
      </c>
      <c r="R3">
        <v>2</v>
      </c>
      <c r="S3" s="4"/>
      <c r="T3" s="4"/>
      <c r="U3" s="4"/>
      <c r="V3" s="4"/>
      <c r="W3" s="4"/>
      <c r="X3" s="4"/>
      <c r="Y3" s="4"/>
    </row>
    <row r="4" spans="1:27" x14ac:dyDescent="0.35">
      <c r="A4" s="6" t="s">
        <v>22</v>
      </c>
      <c r="B4" s="7" t="s">
        <v>27</v>
      </c>
      <c r="C4" s="9">
        <v>3.3</v>
      </c>
      <c r="D4" s="4" t="s">
        <v>9</v>
      </c>
      <c r="E4" s="4"/>
      <c r="F4" s="4"/>
      <c r="G4" s="4"/>
      <c r="H4" s="4"/>
      <c r="I4" s="8"/>
      <c r="J4" s="4"/>
      <c r="K4" s="4"/>
      <c r="N4" s="4" t="s">
        <v>4</v>
      </c>
      <c r="O4" t="str" cm="1">
        <f t="array" ref="O4">EngPrefix(_RP)&amp;"Ω"</f>
        <v>15.8kΩ</v>
      </c>
      <c r="P4" s="4"/>
      <c r="Q4" t="s">
        <v>59</v>
      </c>
      <c r="R4">
        <v>3</v>
      </c>
      <c r="S4" s="4"/>
      <c r="T4" s="4"/>
      <c r="U4" s="4"/>
      <c r="V4" s="4"/>
      <c r="W4" s="4"/>
      <c r="X4" s="4"/>
      <c r="Y4" s="4"/>
    </row>
    <row r="5" spans="1:27" x14ac:dyDescent="0.35">
      <c r="A5" s="6" t="s">
        <v>23</v>
      </c>
      <c r="B5" s="7" t="s">
        <v>28</v>
      </c>
      <c r="C5" s="9">
        <v>2.5</v>
      </c>
      <c r="D5" s="4" t="s">
        <v>9</v>
      </c>
      <c r="E5" s="4"/>
      <c r="F5" s="4"/>
      <c r="G5" s="4"/>
      <c r="H5" s="4"/>
      <c r="I5" s="4"/>
      <c r="J5" s="4"/>
      <c r="K5" s="4"/>
      <c r="N5" s="4" t="s">
        <v>3</v>
      </c>
      <c r="O5" t="str" cm="1">
        <f t="array" ref="O5">EngPrefix(_RH)&amp;"Ω"</f>
        <v>105kΩ</v>
      </c>
      <c r="P5" s="4"/>
      <c r="Q5" t="s">
        <v>60</v>
      </c>
      <c r="R5">
        <v>4</v>
      </c>
      <c r="S5" s="4"/>
      <c r="T5" s="4"/>
      <c r="U5" s="4"/>
      <c r="V5" s="4"/>
      <c r="W5" s="4"/>
      <c r="X5" s="4"/>
      <c r="Y5" s="4"/>
    </row>
    <row r="6" spans="1:27" x14ac:dyDescent="0.35">
      <c r="A6" s="6" t="s">
        <v>20</v>
      </c>
      <c r="B6" s="7" t="s">
        <v>25</v>
      </c>
      <c r="C6" s="9">
        <v>0.5736</v>
      </c>
      <c r="D6" s="4" t="s">
        <v>9</v>
      </c>
      <c r="E6" s="49"/>
      <c r="F6" s="4"/>
      <c r="G6" s="4"/>
      <c r="H6" s="4"/>
      <c r="I6" s="4"/>
      <c r="J6" s="4"/>
      <c r="K6" s="4"/>
      <c r="N6" s="4" t="s">
        <v>44</v>
      </c>
      <c r="O6" s="10" t="str">
        <f>TEXT(Vr,"+General;-General;-0")&amp;"V"</f>
        <v>+2.5V</v>
      </c>
      <c r="P6" s="4"/>
      <c r="Q6" t="s">
        <v>61</v>
      </c>
      <c r="R6">
        <v>5</v>
      </c>
      <c r="S6" s="4"/>
      <c r="T6" s="4"/>
      <c r="U6" s="4"/>
      <c r="V6" s="4"/>
      <c r="W6" s="4"/>
      <c r="X6" s="4"/>
      <c r="Y6" s="4"/>
    </row>
    <row r="7" spans="1:27" x14ac:dyDescent="0.35">
      <c r="A7" s="6" t="s">
        <v>21</v>
      </c>
      <c r="B7" s="7" t="s">
        <v>26</v>
      </c>
      <c r="C7" s="9">
        <v>0.52680000000000005</v>
      </c>
      <c r="D7" s="4" t="s">
        <v>9</v>
      </c>
      <c r="E7" s="4"/>
      <c r="F7" s="4"/>
      <c r="G7" s="4"/>
      <c r="H7" s="4"/>
      <c r="I7" s="4"/>
      <c r="J7" s="4"/>
      <c r="K7" s="4"/>
      <c r="N7" s="4" t="s">
        <v>45</v>
      </c>
      <c r="O7" s="10" t="str">
        <f>TEXT(Vp,"+General;-General;-0")&amp;"V"</f>
        <v>+3.3V</v>
      </c>
      <c r="P7" s="4"/>
      <c r="Q7" t="s">
        <v>62</v>
      </c>
      <c r="R7">
        <v>6</v>
      </c>
      <c r="S7" s="4"/>
      <c r="T7" s="4"/>
      <c r="U7" s="4"/>
      <c r="V7" s="4"/>
      <c r="W7" s="4"/>
      <c r="X7" s="4"/>
      <c r="Y7" s="4"/>
    </row>
    <row r="8" spans="1:27" x14ac:dyDescent="0.35">
      <c r="B8" s="6" t="s">
        <v>64</v>
      </c>
      <c r="C8" s="9" t="s">
        <v>62</v>
      </c>
      <c r="D8" s="4"/>
      <c r="E8" s="4"/>
      <c r="F8" s="4"/>
      <c r="G8" s="4"/>
      <c r="H8" s="4"/>
      <c r="I8" s="4"/>
      <c r="J8" s="4"/>
      <c r="K8" s="4"/>
      <c r="P8" s="4"/>
      <c r="Q8" t="s">
        <v>63</v>
      </c>
      <c r="R8">
        <v>7</v>
      </c>
      <c r="S8" s="4"/>
      <c r="T8" s="4"/>
      <c r="U8" s="4"/>
      <c r="V8" s="4"/>
      <c r="W8" s="4"/>
      <c r="X8" s="4"/>
      <c r="Y8" s="4"/>
      <c r="Z8" s="4"/>
      <c r="AA8" s="4"/>
    </row>
    <row r="9" spans="1:27" x14ac:dyDescent="0.35">
      <c r="A9" s="3" t="s">
        <v>29</v>
      </c>
      <c r="B9" s="7"/>
      <c r="C9" s="4"/>
      <c r="D9" s="4"/>
      <c r="E9" s="4"/>
      <c r="F9" s="4"/>
      <c r="G9" s="4"/>
      <c r="H9" s="4"/>
      <c r="I9" s="4"/>
      <c r="J9" s="4"/>
      <c r="K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ht="15" customHeight="1" x14ac:dyDescent="0.35">
      <c r="A10" s="29" t="s">
        <v>47</v>
      </c>
      <c r="B10" s="41" t="s">
        <v>32</v>
      </c>
      <c r="C10" s="48">
        <v>0.01</v>
      </c>
      <c r="D10" s="4"/>
      <c r="F10" s="4"/>
      <c r="G10" s="4"/>
      <c r="H10" s="4"/>
      <c r="I10" s="4"/>
      <c r="J10" s="4"/>
      <c r="K10" s="4"/>
      <c r="P10" s="4"/>
      <c r="Q10" s="4" t="s">
        <v>65</v>
      </c>
      <c r="R10" s="4">
        <f>_xlfn.XLOOKUP(RseriesSel,Q2:Q8,R2:R8)</f>
        <v>6</v>
      </c>
      <c r="S10" s="4"/>
      <c r="T10" s="4"/>
      <c r="U10" s="4"/>
      <c r="V10" s="4"/>
      <c r="W10" s="4"/>
      <c r="X10" s="4"/>
      <c r="Y10" s="4"/>
      <c r="Z10" s="4"/>
      <c r="AA10" s="4"/>
    </row>
    <row r="11" spans="1:27" ht="19.5" customHeight="1" x14ac:dyDescent="0.35">
      <c r="A11" s="28" t="s">
        <v>54</v>
      </c>
      <c r="B11" s="11" t="s">
        <v>66</v>
      </c>
      <c r="C11" s="25">
        <f>SFSINK*IOL_MAX</f>
        <v>2.1000000000000001E-4</v>
      </c>
      <c r="D11" s="12" t="s">
        <v>8</v>
      </c>
      <c r="E11" s="13"/>
      <c r="F11" s="4"/>
      <c r="G11" s="4"/>
      <c r="H11" s="4"/>
      <c r="I11" s="4"/>
      <c r="J11" s="4"/>
      <c r="K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ht="16.5" x14ac:dyDescent="0.35">
      <c r="A12" s="28" t="s">
        <v>33</v>
      </c>
      <c r="B12" s="11" t="s">
        <v>18</v>
      </c>
      <c r="C12" s="26">
        <f>_VOLCalc</f>
        <v>1.8627286863624609E-2</v>
      </c>
      <c r="D12" s="12" t="s">
        <v>9</v>
      </c>
      <c r="E12" s="42" t="s">
        <v>72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ht="31.5" customHeight="1" x14ac:dyDescent="0.35">
      <c r="A13" s="28" t="s">
        <v>31</v>
      </c>
      <c r="B13" s="11" t="s">
        <v>30</v>
      </c>
      <c r="C13" s="14" cm="1">
        <f t="array" ref="C13">eseries((Vp-_VOLCalc)/(SFSINK*IOL_MAX),Rseries)</f>
        <v>15800</v>
      </c>
      <c r="D13" s="12" t="s">
        <v>10</v>
      </c>
      <c r="E13" s="13"/>
      <c r="F13" s="4"/>
      <c r="G13" s="4"/>
      <c r="H13" s="4"/>
      <c r="I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ht="16.5" x14ac:dyDescent="0.35">
      <c r="A14" s="28" t="s">
        <v>20</v>
      </c>
      <c r="B14" s="46" t="s">
        <v>82</v>
      </c>
      <c r="C14" s="14">
        <f>Vp-(IIH+IOH_LKG)*_RP</f>
        <v>3.2984199999999997</v>
      </c>
      <c r="D14" s="45"/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x14ac:dyDescent="0.35">
      <c r="A15" s="4"/>
      <c r="C15" s="47" t="str">
        <f>IF(VIH&lt;VIHmin,"CAUTION: High Level Threshold Voltage is below the spec of "&amp;VIHmin&amp;" volts","")</f>
        <v/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x14ac:dyDescent="0.35">
      <c r="A16" s="3" t="s">
        <v>34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ht="16.5" x14ac:dyDescent="0.35">
      <c r="A17" s="29" t="s">
        <v>24</v>
      </c>
      <c r="B17" s="16" t="s">
        <v>55</v>
      </c>
      <c r="C17" s="17">
        <v>100</v>
      </c>
      <c r="D17" s="4" t="s">
        <v>17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ht="16.5" x14ac:dyDescent="0.35">
      <c r="A18" s="29" t="s">
        <v>36</v>
      </c>
      <c r="B18" s="16" t="s">
        <v>35</v>
      </c>
      <c r="C18" s="18">
        <f>MIN(VL,Vp-Vh)</f>
        <v>0.52680000000000005</v>
      </c>
      <c r="D18" s="27" t="s">
        <v>9</v>
      </c>
      <c r="E18" s="31" t="str">
        <f>IF(VH_MIN=VL,"Minimum VH(MIN) is VL","Minimum VH(MIN) is VP-VH")</f>
        <v>Minimum VH(MIN) is VL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8"/>
    </row>
    <row r="19" spans="1:27" ht="30" customHeight="1" x14ac:dyDescent="0.35">
      <c r="A19" s="28" t="s">
        <v>37</v>
      </c>
      <c r="B19" s="11" t="s">
        <v>38</v>
      </c>
      <c r="C19" s="14" cm="1">
        <f t="array" ref="C19">eseries(VH_MIN/(IIB*SFIB),Rseries)</f>
        <v>105000</v>
      </c>
      <c r="D19" s="12" t="s">
        <v>10</v>
      </c>
      <c r="E19" s="13"/>
      <c r="F19" s="4"/>
      <c r="G19" s="4"/>
      <c r="H19" s="4" t="s">
        <v>73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8"/>
    </row>
    <row r="20" spans="1:27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8"/>
    </row>
    <row r="21" spans="1:27" x14ac:dyDescent="0.35">
      <c r="A21" s="3" t="s">
        <v>39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30" customHeight="1" x14ac:dyDescent="0.35">
      <c r="A22" s="29" t="s">
        <v>40</v>
      </c>
      <c r="B22" s="16" t="s">
        <v>0</v>
      </c>
      <c r="C22" s="18">
        <f>_RH/(_RP+_RH)</f>
        <v>0.86920529801324509</v>
      </c>
      <c r="D22" s="19"/>
      <c r="E22" s="20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ht="56.25" customHeight="1" x14ac:dyDescent="0.35">
      <c r="A23" s="28" t="s">
        <v>41</v>
      </c>
      <c r="B23" s="11" t="s">
        <v>2</v>
      </c>
      <c r="C23" s="14" cm="1">
        <f t="array" ref="C23">eseries((_RH*Vh*Vr/VL-Vr*_RH)/(Vr-Vh-(Vol*Vr/VL)+(Vol*Vh/VL)-a*Vr*Vh/VL+a*Vr*Vp/VL+a*Vh-a*Vp),Rseries)</f>
        <v>2150</v>
      </c>
      <c r="D23" s="12" t="s">
        <v>10</v>
      </c>
      <c r="E23" s="12"/>
      <c r="F23" s="13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ht="58.5" customHeight="1" x14ac:dyDescent="0.35">
      <c r="A24" s="28" t="s">
        <v>41</v>
      </c>
      <c r="B24" s="11" t="s">
        <v>1</v>
      </c>
      <c r="C24" s="14" cm="1">
        <f t="array" ref="C24">eseries(_R2*_RH*(Vr/VL-1)/(_R2*(1-Vol/VL)+_RH),Rseries)</f>
        <v>7870</v>
      </c>
      <c r="D24" s="12" t="s">
        <v>10</v>
      </c>
      <c r="E24" s="13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x14ac:dyDescent="0.35"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x14ac:dyDescent="0.35">
      <c r="A26" s="3" t="s">
        <v>42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 ht="45" customHeight="1" x14ac:dyDescent="0.35">
      <c r="A27" s="15"/>
      <c r="B27" s="30" t="s">
        <v>67</v>
      </c>
      <c r="C27" s="18">
        <f>(_R1*Vp/(_RH+_RP)+Vr)/(1+_R1/_R2+_R1/(_RH+_RP))</f>
        <v>0.57452674959149341</v>
      </c>
      <c r="D27" s="19" t="s">
        <v>9</v>
      </c>
      <c r="E27" s="20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x14ac:dyDescent="0.35">
      <c r="A28" s="33"/>
      <c r="B28" s="39" t="s">
        <v>69</v>
      </c>
      <c r="C28" s="34">
        <f>Res_Vh/Vh-1</f>
        <v>1.6156722306370774E-3</v>
      </c>
      <c r="E28" s="35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27" ht="46.5" customHeight="1" x14ac:dyDescent="0.35">
      <c r="A29" s="15"/>
      <c r="B29" s="30" t="s">
        <v>68</v>
      </c>
      <c r="C29" s="14">
        <f>_R2*_RH*Vr/(_R1*(_RH+_R2*(1-(Vol/VL)))+_R2*_RH)</f>
        <v>0.52823219001203936</v>
      </c>
      <c r="D29" s="19" t="s">
        <v>9</v>
      </c>
      <c r="E29" s="19"/>
      <c r="F29" s="20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1:27" x14ac:dyDescent="0.35">
      <c r="A30" s="36"/>
      <c r="B30" s="40" t="s">
        <v>69</v>
      </c>
      <c r="C30" s="32">
        <f>Res_VL/VL-1</f>
        <v>2.7186598558073261E-3</v>
      </c>
      <c r="D30" s="37"/>
      <c r="E30" s="37"/>
      <c r="F30" s="38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27" x14ac:dyDescent="0.35"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1:27" x14ac:dyDescent="0.35"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x14ac:dyDescent="0.35"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:27" x14ac:dyDescent="0.35"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:27" x14ac:dyDescent="0.35"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:27" x14ac:dyDescent="0.35"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x14ac:dyDescent="0.35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x14ac:dyDescent="0.3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x14ac:dyDescent="0.3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x14ac:dyDescent="0.3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x14ac:dyDescent="0.3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x14ac:dyDescent="0.3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x14ac:dyDescent="0.3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x14ac:dyDescent="0.3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</row>
    <row r="51" spans="1:27" x14ac:dyDescent="0.3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</row>
    <row r="52" spans="1:27" x14ac:dyDescent="0.3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</row>
    <row r="53" spans="1:27" x14ac:dyDescent="0.3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</row>
    <row r="54" spans="1:27" x14ac:dyDescent="0.3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</row>
    <row r="55" spans="1:27" x14ac:dyDescent="0.3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</row>
    <row r="56" spans="1:27" x14ac:dyDescent="0.3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  <row r="57" spans="1:27" x14ac:dyDescent="0.3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x14ac:dyDescent="0.3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</row>
    <row r="59" spans="1:27" x14ac:dyDescent="0.3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</row>
    <row r="60" spans="1:27" x14ac:dyDescent="0.3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</row>
    <row r="61" spans="1:27" x14ac:dyDescent="0.3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</row>
    <row r="62" spans="1:27" x14ac:dyDescent="0.3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x14ac:dyDescent="0.3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</row>
    <row r="64" spans="1:27" x14ac:dyDescent="0.3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</row>
    <row r="65" spans="1:27" x14ac:dyDescent="0.3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</row>
    <row r="66" spans="1:27" x14ac:dyDescent="0.3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</row>
    <row r="67" spans="1:27" x14ac:dyDescent="0.3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</row>
    <row r="68" spans="1:27" x14ac:dyDescent="0.3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x14ac:dyDescent="0.3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</row>
    <row r="70" spans="1:27" x14ac:dyDescent="0.3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</row>
    <row r="71" spans="1:27" x14ac:dyDescent="0.3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</row>
    <row r="72" spans="1:27" x14ac:dyDescent="0.3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</row>
    <row r="73" spans="1:27" x14ac:dyDescent="0.3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</row>
    <row r="74" spans="1:27" x14ac:dyDescent="0.3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</row>
    <row r="75" spans="1:27" x14ac:dyDescent="0.3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</row>
    <row r="76" spans="1:27" x14ac:dyDescent="0.3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</row>
    <row r="77" spans="1:27" x14ac:dyDescent="0.3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</row>
    <row r="78" spans="1:27" x14ac:dyDescent="0.3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</row>
  </sheetData>
  <mergeCells count="1">
    <mergeCell ref="A2:C2"/>
  </mergeCells>
  <dataValidations xWindow="388" yWindow="318" count="9">
    <dataValidation type="decimal" operator="greaterThan" allowBlank="1" showInputMessage="1" showErrorMessage="1" errorTitle="Out of range" error="Input must be greater than VH." promptTitle="Divider Reference Voltage" prompt="The voltage source for the reference divider." sqref="C5" xr:uid="{0E7ADA67-30F3-44AE-B0E6-3D7D441B606E}">
      <formula1>Vh</formula1>
    </dataValidation>
    <dataValidation type="decimal" operator="greaterThan" allowBlank="1" showInputMessage="1" showErrorMessage="1" errorTitle="Out of range" error="Input must be a decimal number greater than zero." promptTitle="Pull-up Supply Voltage" prompt="The supply voltage the pull-up resistor is connected to." sqref="C5" xr:uid="{5655A94A-84FE-4BE6-B501-A62D9085AE6E}">
      <formula1>0</formula1>
    </dataValidation>
    <dataValidation type="custom" allowBlank="1" showInputMessage="1" showErrorMessage="1" errorTitle="Out of Range" error="Must be greater than VL, and less than VR." promptTitle="High Level Threshold Voltage" prompt="Must be greater than VL, and less than VR." sqref="C6" xr:uid="{CF662D35-D4BB-4FA8-A378-0E552206D91E}">
      <formula1>AND(Vh&gt;VL,Vh&lt;Vr)</formula1>
    </dataValidation>
    <dataValidation type="custom" allowBlank="1" showInputMessage="1" showErrorMessage="1" sqref="E7" xr:uid="{9E3F7D0C-378A-4F49-BCEB-5948A699F052}">
      <formula1>AND(VL&lt;Vh,VL&gt;0)</formula1>
    </dataValidation>
    <dataValidation type="list" allowBlank="1" showInputMessage="1" showErrorMessage="1" promptTitle="Standard Resistor Series" prompt="Select the resistor precision series." sqref="C8" xr:uid="{AF820787-AE17-41C2-94C1-2962B3264E24}">
      <formula1>$Q$4:$Q$8</formula1>
    </dataValidation>
    <dataValidation type="decimal" operator="greaterThan" allowBlank="1" showInputMessage="1" showErrorMessage="1" errorTitle="Out of range" error="Input must be greater then VH" promptTitle="Pull-up Supply Voltage" prompt="The supply voltage the pull-up resistor is connected to." sqref="C4" xr:uid="{949E3D20-0A89-4B2C-A052-F9AFE156FBE1}">
      <formula1>Vh</formula1>
    </dataValidation>
    <dataValidation type="custom" allowBlank="1" showInputMessage="1" showErrorMessage="1" errorTitle="Out of Range" error="Must be less than VH and greater than zero." promptTitle="Low Level Threshold Voltage" prompt="Must be less than VH and greater than zero." sqref="C7" xr:uid="{426B5586-80E5-4ED5-8B7E-82C6658B7E93}">
      <formula1>AND(VL&lt;Vh,VL&gt;0)</formula1>
    </dataValidation>
    <dataValidation type="custom" allowBlank="1" showInputMessage="1" showErrorMessage="1" errorTitle="Out of Range" error="Input must be greater than zero and less than or equal to 100%." promptTitle="Scale of Output Sink" prompt="Percent of maximum sink current." sqref="C10" xr:uid="{84A368EC-A3B8-4FD4-8A21-AA59CE8C7C79}">
      <formula1>AND(SFSINK&gt;0,SFSINK&lt;=1)</formula1>
    </dataValidation>
    <dataValidation type="decimal" operator="greaterThan" allowBlank="1" showInputMessage="1" showErrorMessage="1" errorTitle="Out of range" error="Must be greater than 1. Typical value is 100." promptTitle="Input Bias Current Scale Factor" prompt="The scale factor is to insure the current through the hysteresis resistor is significantly larger than the comparator's input bias current. Typical value is 100." sqref="C17" xr:uid="{86BCA600-EE0F-4BAA-99F5-C81A7DDE05AF}">
      <formula1>1</formula1>
    </dataValidation>
  </dataValidations>
  <hyperlinks>
    <hyperlink ref="E12" location="'VOL vs ISINK'!B8" tooltip="Go to VOL vs. IOL calculation cell" display="From VOL Curve" xr:uid="{DAC4B0DA-3E41-4BFF-BCD5-B6C1DC87DAE8}"/>
    <hyperlink ref="A2" r:id="rId1" tooltip="Watch this video to learn about the circuit analysis associated with this workbook." xr:uid="{AB9E9C1B-8067-4BF8-A5E8-1BA29734F2C9}"/>
  </hyperlinks>
  <pageMargins left="0.45" right="0.2" top="0.3" bottom="0.25" header="0.3" footer="0.3"/>
  <pageSetup scale="80" orientation="landscape" horizontalDpi="0" verticalDpi="0" r:id="rId2"/>
  <drawing r:id="rId3"/>
  <legacyDrawing r:id="rId4"/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lessThan" id="{C8BCFC25-394D-4995-A343-70A2AA49D912}">
            <xm:f>'Device Specs'!$C$23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78AA4-9CFF-4A4B-8054-01866C817E73}">
  <dimension ref="A1:D53"/>
  <sheetViews>
    <sheetView showGridLines="0" workbookViewId="0">
      <selection activeCell="C22" sqref="C22"/>
    </sheetView>
  </sheetViews>
  <sheetFormatPr defaultRowHeight="14.5" x14ac:dyDescent="0.35"/>
  <cols>
    <col min="1" max="1" width="28.81640625" bestFit="1" customWidth="1"/>
    <col min="4" max="4" width="8.7265625" customWidth="1"/>
  </cols>
  <sheetData>
    <row r="1" spans="1:4" x14ac:dyDescent="0.35">
      <c r="A1" s="43" t="s">
        <v>12</v>
      </c>
      <c r="C1" s="4"/>
      <c r="D1" s="4"/>
    </row>
    <row r="2" spans="1:4" x14ac:dyDescent="0.35">
      <c r="A2" s="5" t="s">
        <v>13</v>
      </c>
      <c r="B2" s="4"/>
      <c r="C2" s="4"/>
      <c r="D2" s="4"/>
    </row>
    <row r="3" spans="1:4" ht="15" x14ac:dyDescent="0.35">
      <c r="A3" s="6" t="s">
        <v>14</v>
      </c>
      <c r="B3" s="44" t="s">
        <v>15</v>
      </c>
      <c r="C3" s="4"/>
      <c r="D3" s="4"/>
    </row>
    <row r="4" spans="1:4" ht="16.5" x14ac:dyDescent="0.35">
      <c r="A4" s="6" t="s">
        <v>6</v>
      </c>
      <c r="B4" s="7" t="s">
        <v>7</v>
      </c>
      <c r="C4" s="22">
        <v>4.9999999999999998E-8</v>
      </c>
      <c r="D4" s="4" t="s">
        <v>8</v>
      </c>
    </row>
    <row r="5" spans="1:4" ht="16.5" x14ac:dyDescent="0.35">
      <c r="A5" s="6" t="s">
        <v>16</v>
      </c>
      <c r="B5" s="7" t="s">
        <v>46</v>
      </c>
      <c r="C5" s="21">
        <v>2.1000000000000001E-2</v>
      </c>
      <c r="D5" s="4" t="s">
        <v>8</v>
      </c>
    </row>
    <row r="6" spans="1:4" ht="16.5" x14ac:dyDescent="0.45">
      <c r="A6" s="6" t="s">
        <v>84</v>
      </c>
      <c r="B6" s="23" t="s">
        <v>85</v>
      </c>
      <c r="C6" s="22">
        <v>9.9999999999999995E-8</v>
      </c>
    </row>
    <row r="7" spans="1:4" x14ac:dyDescent="0.35">
      <c r="A7" s="4"/>
      <c r="B7" s="4"/>
      <c r="C7" s="4"/>
      <c r="D7" s="4"/>
    </row>
    <row r="8" spans="1:4" x14ac:dyDescent="0.35">
      <c r="A8" s="4"/>
      <c r="B8" s="4"/>
      <c r="C8" s="4"/>
      <c r="D8" s="4"/>
    </row>
    <row r="19" spans="1:4" x14ac:dyDescent="0.35">
      <c r="A19" s="5" t="s">
        <v>76</v>
      </c>
      <c r="B19" s="4"/>
      <c r="C19" s="4"/>
      <c r="D19" s="4"/>
    </row>
    <row r="20" spans="1:4" ht="15" x14ac:dyDescent="0.35">
      <c r="A20" s="6" t="s">
        <v>14</v>
      </c>
      <c r="B20" s="44" t="s">
        <v>83</v>
      </c>
      <c r="C20" s="4"/>
      <c r="D20" s="4"/>
    </row>
    <row r="21" spans="1:4" ht="16.5" x14ac:dyDescent="0.35">
      <c r="A21" s="6" t="s">
        <v>77</v>
      </c>
      <c r="B21" s="7" t="s">
        <v>78</v>
      </c>
      <c r="C21" s="22">
        <v>9.9999999999999995E-7</v>
      </c>
      <c r="D21" s="4" t="s">
        <v>8</v>
      </c>
    </row>
    <row r="22" spans="1:4" ht="16.5" x14ac:dyDescent="0.35">
      <c r="A22" s="6" t="s">
        <v>79</v>
      </c>
      <c r="B22" s="7" t="s">
        <v>80</v>
      </c>
      <c r="C22" s="22">
        <v>9.9999999999999995E-7</v>
      </c>
      <c r="D22" s="4" t="s">
        <v>8</v>
      </c>
    </row>
    <row r="23" spans="1:4" ht="16.5" x14ac:dyDescent="0.35">
      <c r="A23" s="6" t="s">
        <v>81</v>
      </c>
      <c r="B23" s="7" t="s">
        <v>86</v>
      </c>
      <c r="C23" s="21">
        <v>2</v>
      </c>
      <c r="D23" s="4" t="s">
        <v>9</v>
      </c>
    </row>
    <row r="52" spans="1:1" x14ac:dyDescent="0.35">
      <c r="A52" s="51"/>
    </row>
    <row r="53" spans="1:1" x14ac:dyDescent="0.35">
      <c r="A53" s="51"/>
    </row>
  </sheetData>
  <sheetProtection sheet="1" objects="1" scenarios="1"/>
  <mergeCells count="1">
    <mergeCell ref="A52:A53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84102-D1FD-4725-8A72-0DC09A231855}">
  <dimension ref="A1:H45"/>
  <sheetViews>
    <sheetView showGridLines="0" workbookViewId="0">
      <selection activeCell="B8" sqref="B8"/>
    </sheetView>
  </sheetViews>
  <sheetFormatPr defaultRowHeight="14.5" x14ac:dyDescent="0.35"/>
  <sheetData>
    <row r="1" spans="1:8" ht="16.5" x14ac:dyDescent="0.45">
      <c r="A1" s="1" t="s">
        <v>71</v>
      </c>
      <c r="G1" t="s">
        <v>48</v>
      </c>
      <c r="H1" t="s">
        <v>49</v>
      </c>
    </row>
    <row r="2" spans="1:8" x14ac:dyDescent="0.35">
      <c r="G2" s="2">
        <v>1E-4</v>
      </c>
      <c r="H2" s="2">
        <f>_a*Table1[[#This Row],[IOL]]^4+_b*Table1[[#This Row],[IOL]]^3+_c*Table1[[#This Row],[IOL]]^2+_d*Table1[[#This Row],[IOL]]+_e</f>
        <v>1.5905693519252393E-2</v>
      </c>
    </row>
    <row r="3" spans="1:8" x14ac:dyDescent="0.35">
      <c r="A3" t="s">
        <v>11</v>
      </c>
      <c r="G3">
        <v>1E-3</v>
      </c>
      <c r="H3" s="2">
        <f>_a*Table1[[#This Row],[IOL]]^4+_b*Table1[[#This Row],[IOL]]^3+_c*Table1[[#This Row],[IOL]]^2+_d*Table1[[#This Row],[IOL]]+_e</f>
        <v>3.8423358481371336E-2</v>
      </c>
    </row>
    <row r="4" spans="1:8" x14ac:dyDescent="0.35">
      <c r="A4" s="23" t="s">
        <v>0</v>
      </c>
      <c r="B4" s="23" t="s">
        <v>50</v>
      </c>
      <c r="C4" s="23" t="s">
        <v>51</v>
      </c>
      <c r="D4" s="23" t="s">
        <v>52</v>
      </c>
      <c r="E4" s="23" t="s">
        <v>53</v>
      </c>
      <c r="G4">
        <v>1.5E-3</v>
      </c>
      <c r="H4" s="2">
        <f>_a*Table1[[#This Row],[IOL]]^4+_b*Table1[[#This Row],[IOL]]^3+_c*Table1[[#This Row],[IOL]]^2+_d*Table1[[#This Row],[IOL]]+_e</f>
        <v>5.0985998972304637E-2</v>
      </c>
    </row>
    <row r="5" spans="1:8" x14ac:dyDescent="0.35">
      <c r="A5" s="21">
        <v>15951428.923848687</v>
      </c>
      <c r="B5" s="21">
        <v>-258984.48288470064</v>
      </c>
      <c r="C5" s="21">
        <v>668.90960100523728</v>
      </c>
      <c r="D5" s="21">
        <v>24.553577913049573</v>
      </c>
      <c r="E5" s="21">
        <v>1.3443904021277375E-2</v>
      </c>
      <c r="G5">
        <v>2E-3</v>
      </c>
      <c r="H5" s="2">
        <f>_a*Table1[[#This Row],[IOL]]^4+_b*Table1[[#This Row],[IOL]]^3+_c*Table1[[#This Row],[IOL]]^2+_d*Table1[[#This Row],[IOL]]+_e</f>
        <v>6.3410045251101443E-2</v>
      </c>
    </row>
    <row r="6" spans="1:8" x14ac:dyDescent="0.35">
      <c r="G6">
        <v>2.5000000000000001E-3</v>
      </c>
      <c r="H6" s="2">
        <f>_a*Table1[[#This Row],[IOL]]^4+_b*Table1[[#This Row],[IOL]]^3+_c*Table1[[#This Row],[IOL]]^2+_d*Table1[[#This Row],[IOL]]+_e</f>
        <v>7.5585003957448438E-2</v>
      </c>
    </row>
    <row r="7" spans="1:8" ht="16.5" x14ac:dyDescent="0.45">
      <c r="A7" t="s">
        <v>48</v>
      </c>
      <c r="B7" s="25">
        <f>_IOL</f>
        <v>2.1000000000000001E-4</v>
      </c>
      <c r="G7">
        <v>3.0000000000000001E-3</v>
      </c>
      <c r="H7" s="2">
        <f>_a*Table1[[#This Row],[IOL]]^4+_b*Table1[[#This Row],[IOL]]^3+_c*Table1[[#This Row],[IOL]]^2+_d*Table1[[#This Row],[IOL]]+_e</f>
        <v>8.7424308874418058E-2</v>
      </c>
    </row>
    <row r="8" spans="1:8" ht="16.5" x14ac:dyDescent="0.45">
      <c r="A8" t="s">
        <v>49</v>
      </c>
      <c r="B8" s="14">
        <f>_a*IOL^4+_b*IOL^3+_c*IOL^2+_d*IOL+_e</f>
        <v>1.8627286863624609E-2</v>
      </c>
      <c r="G8">
        <v>3.5000000000000001E-3</v>
      </c>
      <c r="H8" s="2">
        <f>_a*Table1[[#This Row],[IOL]]^4+_b*Table1[[#This Row],[IOL]]^3+_c*Table1[[#This Row],[IOL]]^2+_d*Table1[[#This Row],[IOL]]+_e</f>
        <v>9.8865320928468545E-2</v>
      </c>
    </row>
    <row r="9" spans="1:8" x14ac:dyDescent="0.35">
      <c r="G9">
        <v>4.0000000000000001E-3</v>
      </c>
      <c r="H9" s="2">
        <f>_a*Table1[[#This Row],[IOL]]^4+_b*Table1[[#This Row],[IOL]]^3+_c*Table1[[#This Row],[IOL]]^2+_d*Table1[[#This Row],[IOL]]+_e</f>
        <v>0.10986932818944388</v>
      </c>
    </row>
    <row r="10" spans="1:8" x14ac:dyDescent="0.35">
      <c r="G10">
        <v>4.4999999999999997E-3</v>
      </c>
      <c r="H10" s="2">
        <f>_a*Table1[[#This Row],[IOL]]^4+_b*Table1[[#This Row],[IOL]]^3+_c*Table1[[#This Row],[IOL]]^2+_d*Table1[[#This Row],[IOL]]+_e</f>
        <v>0.12042154587057385</v>
      </c>
    </row>
    <row r="11" spans="1:8" x14ac:dyDescent="0.35">
      <c r="G11">
        <v>5.0000000000000001E-3</v>
      </c>
      <c r="H11" s="2">
        <f>_a*Table1[[#This Row],[IOL]]^4+_b*Table1[[#This Row],[IOL]]^3+_c*Table1[[#This Row],[IOL]]^2+_d*Table1[[#This Row],[IOL]]+_e</f>
        <v>0.13053111632847403</v>
      </c>
    </row>
    <row r="12" spans="1:8" x14ac:dyDescent="0.35">
      <c r="G12">
        <v>5.4999999999999997E-3</v>
      </c>
      <c r="H12" s="2">
        <f>_a*Table1[[#This Row],[IOL]]^4+_b*Table1[[#This Row],[IOL]]^3+_c*Table1[[#This Row],[IOL]]^2+_d*Table1[[#This Row],[IOL]]+_e</f>
        <v>0.14023110906314568</v>
      </c>
    </row>
    <row r="13" spans="1:8" x14ac:dyDescent="0.35">
      <c r="G13">
        <v>6.0000000000000001E-3</v>
      </c>
      <c r="H13" s="2">
        <f>_a*Table1[[#This Row],[IOL]]^4+_b*Table1[[#This Row],[IOL]]^3+_c*Table1[[#This Row],[IOL]]^2+_d*Table1[[#This Row],[IOL]]+_e</f>
        <v>0.14957852071797592</v>
      </c>
    </row>
    <row r="14" spans="1:8" x14ac:dyDescent="0.35">
      <c r="G14">
        <v>6.4999999999999997E-3</v>
      </c>
      <c r="H14" s="2">
        <f>_a*Table1[[#This Row],[IOL]]^4+_b*Table1[[#This Row],[IOL]]^3+_c*Table1[[#This Row],[IOL]]^2+_d*Table1[[#This Row],[IOL]]+_e</f>
        <v>0.15865427507973762</v>
      </c>
    </row>
    <row r="15" spans="1:8" x14ac:dyDescent="0.35">
      <c r="G15">
        <v>7.0000000000000001E-3</v>
      </c>
      <c r="H15" s="2">
        <f>_a*Table1[[#This Row],[IOL]]^4+_b*Table1[[#This Row],[IOL]]^3+_c*Table1[[#This Row],[IOL]]^2+_d*Table1[[#This Row],[IOL]]+_e</f>
        <v>0.1675632230785894</v>
      </c>
    </row>
    <row r="16" spans="1:8" x14ac:dyDescent="0.35">
      <c r="G16">
        <v>7.4999999999999997E-3</v>
      </c>
      <c r="H16" s="2">
        <f>_a*Table1[[#This Row],[IOL]]^4+_b*Table1[[#This Row],[IOL]]^3+_c*Table1[[#This Row],[IOL]]^2+_d*Table1[[#This Row],[IOL]]+_e</f>
        <v>0.17643414278807568</v>
      </c>
    </row>
    <row r="17" spans="7:8" x14ac:dyDescent="0.35">
      <c r="G17">
        <v>8.0000000000000002E-3</v>
      </c>
      <c r="H17" s="2">
        <f>_a*Table1[[#This Row],[IOL]]^4+_b*Table1[[#This Row],[IOL]]^3+_c*Table1[[#This Row],[IOL]]^2+_d*Table1[[#This Row],[IOL]]+_e</f>
        <v>0.18541973942512663</v>
      </c>
    </row>
    <row r="18" spans="7:8" x14ac:dyDescent="0.35">
      <c r="G18">
        <v>8.5000000000000006E-3</v>
      </c>
      <c r="H18" s="2">
        <f>_a*Table1[[#This Row],[IOL]]^4+_b*Table1[[#This Row],[IOL]]^3+_c*Table1[[#This Row],[IOL]]^2+_d*Table1[[#This Row],[IOL]]+_e</f>
        <v>0.19469664535005823</v>
      </c>
    </row>
    <row r="19" spans="7:8" x14ac:dyDescent="0.35">
      <c r="G19">
        <v>8.9999999999999993E-3</v>
      </c>
      <c r="H19" s="2">
        <f>_a*Table1[[#This Row],[IOL]]^4+_b*Table1[[#This Row],[IOL]]^3+_c*Table1[[#This Row],[IOL]]^2+_d*Table1[[#This Row],[IOL]]+_e</f>
        <v>0.2044654200665722</v>
      </c>
    </row>
    <row r="20" spans="7:8" x14ac:dyDescent="0.35">
      <c r="G20">
        <v>9.4999999999999998E-3</v>
      </c>
      <c r="H20" s="2">
        <f>_a*Table1[[#This Row],[IOL]]^4+_b*Table1[[#This Row],[IOL]]^3+_c*Table1[[#This Row],[IOL]]^2+_d*Table1[[#This Row],[IOL]]+_e</f>
        <v>0.21495055022175602</v>
      </c>
    </row>
    <row r="21" spans="7:8" x14ac:dyDescent="0.35">
      <c r="G21">
        <v>0.01</v>
      </c>
      <c r="H21" s="2">
        <f>_a*Table1[[#This Row],[IOL]]^4+_b*Table1[[#This Row],[IOL]]^3+_c*Table1[[#This Row],[IOL]]^2+_d*Table1[[#This Row],[IOL]]+_e</f>
        <v>0.22640044960608305</v>
      </c>
    </row>
    <row r="22" spans="7:8" x14ac:dyDescent="0.35">
      <c r="G22">
        <v>1.0500000000000001E-2</v>
      </c>
      <c r="H22" s="2">
        <f>_a*Table1[[#This Row],[IOL]]^4+_b*Table1[[#This Row],[IOL]]^3+_c*Table1[[#This Row],[IOL]]^2+_d*Table1[[#This Row],[IOL]]+_e</f>
        <v>0.23908745915341223</v>
      </c>
    </row>
    <row r="23" spans="7:8" x14ac:dyDescent="0.35">
      <c r="G23">
        <v>1.0999999999999999E-2</v>
      </c>
      <c r="H23" s="2">
        <f>_a*Table1[[#This Row],[IOL]]^4+_b*Table1[[#This Row],[IOL]]^3+_c*Table1[[#This Row],[IOL]]^2+_d*Table1[[#This Row],[IOL]]+_e</f>
        <v>0.2533078469409884</v>
      </c>
    </row>
    <row r="24" spans="7:8" x14ac:dyDescent="0.35">
      <c r="G24">
        <v>1.15E-2</v>
      </c>
      <c r="H24" s="2">
        <f>_a*Table1[[#This Row],[IOL]]^4+_b*Table1[[#This Row],[IOL]]^3+_c*Table1[[#This Row],[IOL]]^2+_d*Table1[[#This Row],[IOL]]+_e</f>
        <v>0.2693818081894423</v>
      </c>
    </row>
    <row r="25" spans="7:8" x14ac:dyDescent="0.35">
      <c r="G25">
        <v>1.2E-2</v>
      </c>
      <c r="H25" s="2">
        <f>_a*Table1[[#This Row],[IOL]]^4+_b*Table1[[#This Row],[IOL]]^3+_c*Table1[[#This Row],[IOL]]^2+_d*Table1[[#This Row],[IOL]]+_e</f>
        <v>0.28765346526279012</v>
      </c>
    </row>
    <row r="26" spans="7:8" x14ac:dyDescent="0.35">
      <c r="G26">
        <v>1.2500000000000001E-2</v>
      </c>
      <c r="H26" s="2">
        <f>_a*Table1[[#This Row],[IOL]]^4+_b*Table1[[#This Row],[IOL]]^3+_c*Table1[[#This Row],[IOL]]^2+_d*Table1[[#This Row],[IOL]]+_e</f>
        <v>0.30849086766843409</v>
      </c>
    </row>
    <row r="27" spans="7:8" x14ac:dyDescent="0.35">
      <c r="G27">
        <v>1.2999999999999999E-2</v>
      </c>
      <c r="H27" s="2">
        <f>_a*Table1[[#This Row],[IOL]]^4+_b*Table1[[#This Row],[IOL]]^3+_c*Table1[[#This Row],[IOL]]^2+_d*Table1[[#This Row],[IOL]]+_e</f>
        <v>0.33228599205716197</v>
      </c>
    </row>
    <row r="28" spans="7:8" x14ac:dyDescent="0.35">
      <c r="G28">
        <v>1.35E-2</v>
      </c>
      <c r="H28" s="2">
        <f>_a*Table1[[#This Row],[IOL]]^4+_b*Table1[[#This Row],[IOL]]^3+_c*Table1[[#This Row],[IOL]]^2+_d*Table1[[#This Row],[IOL]]+_e</f>
        <v>0.35945474222314761</v>
      </c>
    </row>
    <row r="29" spans="7:8" x14ac:dyDescent="0.35">
      <c r="G29">
        <v>1.4E-2</v>
      </c>
      <c r="H29" s="2">
        <f>_a*Table1[[#This Row],[IOL]]^4+_b*Table1[[#This Row],[IOL]]^3+_c*Table1[[#This Row],[IOL]]^2+_d*Table1[[#This Row],[IOL]]+_e</f>
        <v>0.39043694910395055</v>
      </c>
    </row>
    <row r="30" spans="7:8" x14ac:dyDescent="0.35">
      <c r="G30">
        <v>1.4500000000000001E-2</v>
      </c>
      <c r="H30" s="2">
        <f>_a*Table1[[#This Row],[IOL]]^4+_b*Table1[[#This Row],[IOL]]^3+_c*Table1[[#This Row],[IOL]]^2+_d*Table1[[#This Row],[IOL]]+_e</f>
        <v>0.42569637078051581</v>
      </c>
    </row>
    <row r="31" spans="7:8" x14ac:dyDescent="0.35">
      <c r="G31">
        <v>1.4999999999999999E-2</v>
      </c>
      <c r="H31" s="2">
        <f>_a*Table1[[#This Row],[IOL]]^4+_b*Table1[[#This Row],[IOL]]^3+_c*Table1[[#This Row],[IOL]]^2+_d*Table1[[#This Row],[IOL]]+_e</f>
        <v>0.4657206924771744</v>
      </c>
    </row>
    <row r="32" spans="7:8" x14ac:dyDescent="0.35">
      <c r="G32">
        <v>1.55E-2</v>
      </c>
      <c r="H32" s="2">
        <f>_a*Table1[[#This Row],[IOL]]^4+_b*Table1[[#This Row],[IOL]]^3+_c*Table1[[#This Row],[IOL]]^2+_d*Table1[[#This Row],[IOL]]+_e</f>
        <v>0.51102152656164335</v>
      </c>
    </row>
    <row r="33" spans="7:8" x14ac:dyDescent="0.35">
      <c r="G33">
        <v>1.6E-2</v>
      </c>
      <c r="H33" s="2">
        <f>_a*Table1[[#This Row],[IOL]]^4+_b*Table1[[#This Row],[IOL]]^3+_c*Table1[[#This Row],[IOL]]^2+_d*Table1[[#This Row],[IOL]]+_e</f>
        <v>0.56213441254502483</v>
      </c>
    </row>
    <row r="34" spans="7:8" x14ac:dyDescent="0.35">
      <c r="G34">
        <v>1.6500000000000001E-2</v>
      </c>
      <c r="H34" s="2">
        <f>_a*Table1[[#This Row],[IOL]]^4+_b*Table1[[#This Row],[IOL]]^3+_c*Table1[[#This Row],[IOL]]^2+_d*Table1[[#This Row],[IOL]]+_e</f>
        <v>0.61961881708180788</v>
      </c>
    </row>
    <row r="35" spans="7:8" x14ac:dyDescent="0.35">
      <c r="G35">
        <v>1.7000000000000001E-2</v>
      </c>
      <c r="H35" s="2">
        <f>_a*Table1[[#This Row],[IOL]]^4+_b*Table1[[#This Row],[IOL]]^3+_c*Table1[[#This Row],[IOL]]^2+_d*Table1[[#This Row],[IOL]]+_e</f>
        <v>0.6840581339698657</v>
      </c>
    </row>
    <row r="36" spans="7:8" x14ac:dyDescent="0.35">
      <c r="G36">
        <v>1.7500000000000002E-2</v>
      </c>
      <c r="H36" s="2">
        <f>_a*Table1[[#This Row],[IOL]]^4+_b*Table1[[#This Row],[IOL]]^3+_c*Table1[[#This Row],[IOL]]^2+_d*Table1[[#This Row],[IOL]]+_e</f>
        <v>0.75605968415045843</v>
      </c>
    </row>
    <row r="37" spans="7:8" x14ac:dyDescent="0.35">
      <c r="G37">
        <v>1.7999999999999999E-2</v>
      </c>
      <c r="H37" s="2">
        <f>_a*Table1[[#This Row],[IOL]]^4+_b*Table1[[#This Row],[IOL]]^3+_c*Table1[[#This Row],[IOL]]^2+_d*Table1[[#This Row],[IOL]]+_e</f>
        <v>0.83625471570823195</v>
      </c>
    </row>
    <row r="38" spans="7:8" x14ac:dyDescent="0.35">
      <c r="G38">
        <v>1.8499999999999999E-2</v>
      </c>
      <c r="H38" s="2">
        <f>_a*Table1[[#This Row],[IOL]]^4+_b*Table1[[#This Row],[IOL]]^3+_c*Table1[[#This Row],[IOL]]^2+_d*Table1[[#This Row],[IOL]]+_e</f>
        <v>0.92529840387121765</v>
      </c>
    </row>
    <row r="39" spans="7:8" x14ac:dyDescent="0.35">
      <c r="G39">
        <v>1.9E-2</v>
      </c>
      <c r="H39" s="2">
        <f>_a*Table1[[#This Row],[IOL]]^4+_b*Table1[[#This Row],[IOL]]^3+_c*Table1[[#This Row],[IOL]]^2+_d*Table1[[#This Row],[IOL]]+_e</f>
        <v>1.0238698510108324</v>
      </c>
    </row>
    <row r="40" spans="7:8" x14ac:dyDescent="0.35">
      <c r="G40">
        <v>1.95E-2</v>
      </c>
      <c r="H40" s="2">
        <f>_a*Table1[[#This Row],[IOL]]^4+_b*Table1[[#This Row],[IOL]]^3+_c*Table1[[#This Row],[IOL]]^2+_d*Table1[[#This Row],[IOL]]+_e</f>
        <v>1.1326720866418802</v>
      </c>
    </row>
    <row r="41" spans="7:8" x14ac:dyDescent="0.35">
      <c r="G41">
        <v>0.02</v>
      </c>
      <c r="H41" s="2">
        <f>_a*Table1[[#This Row],[IOL]]^4+_b*Table1[[#This Row],[IOL]]^3+_c*Table1[[#This Row],[IOL]]^2+_d*Table1[[#This Row],[IOL]]+_e</f>
        <v>1.2524320674225486</v>
      </c>
    </row>
    <row r="42" spans="7:8" x14ac:dyDescent="0.35">
      <c r="G42">
        <v>2.0500000000000001E-2</v>
      </c>
      <c r="H42" s="2">
        <f>_a*Table1[[#This Row],[IOL]]^4+_b*Table1[[#This Row],[IOL]]^3+_c*Table1[[#This Row],[IOL]]^2+_d*Table1[[#This Row],[IOL]]+_e</f>
        <v>1.3839006771544127</v>
      </c>
    </row>
    <row r="43" spans="7:8" x14ac:dyDescent="0.35">
      <c r="G43">
        <v>2.1000000000000001E-2</v>
      </c>
      <c r="H43" s="2">
        <f>_a*Table1[[#This Row],[IOL]]^4+_b*Table1[[#This Row],[IOL]]^3+_c*Table1[[#This Row],[IOL]]^2+_d*Table1[[#This Row],[IOL]]+_e</f>
        <v>1.5278527267824322</v>
      </c>
    </row>
    <row r="44" spans="7:8" x14ac:dyDescent="0.35">
      <c r="G44">
        <v>2.1499999999999998E-2</v>
      </c>
      <c r="H44" s="2">
        <f>_a*Table1[[#This Row],[IOL]]^4+_b*Table1[[#This Row],[IOL]]^3+_c*Table1[[#This Row],[IOL]]^2+_d*Table1[[#This Row],[IOL]]+_e</f>
        <v>1.6850869543949529</v>
      </c>
    </row>
    <row r="45" spans="7:8" x14ac:dyDescent="0.35">
      <c r="G45">
        <v>2.1999999999999999E-2</v>
      </c>
      <c r="H45" s="2">
        <f>_a*Table1[[#This Row],[IOL]]^4+_b*Table1[[#This Row],[IOL]]^3+_c*Table1[[#This Row],[IOL]]^2+_d*Table1[[#This Row],[IOL]]+_e</f>
        <v>1.8564260252237079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Comparator Circuit</vt:lpstr>
      <vt:lpstr>Device Specs</vt:lpstr>
      <vt:lpstr>VOL vs ISINK</vt:lpstr>
      <vt:lpstr>_a</vt:lpstr>
      <vt:lpstr>_b</vt:lpstr>
      <vt:lpstr>_c</vt:lpstr>
      <vt:lpstr>_d</vt:lpstr>
      <vt:lpstr>_e</vt:lpstr>
      <vt:lpstr>_IOL</vt:lpstr>
      <vt:lpstr>'Comparator Circuit'!_R1</vt:lpstr>
      <vt:lpstr>'Comparator Circuit'!_R2</vt:lpstr>
      <vt:lpstr>'Comparator Circuit'!_RH</vt:lpstr>
      <vt:lpstr>'Comparator Circuit'!_RP</vt:lpstr>
      <vt:lpstr>_VOLCalc</vt:lpstr>
      <vt:lpstr>'Comparator Circuit'!a</vt:lpstr>
      <vt:lpstr>'Comparator Circuit'!IIB</vt:lpstr>
      <vt:lpstr>IIB</vt:lpstr>
      <vt:lpstr>IIH</vt:lpstr>
      <vt:lpstr>IIL</vt:lpstr>
      <vt:lpstr>ILKG</vt:lpstr>
      <vt:lpstr>IOH_LKG</vt:lpstr>
      <vt:lpstr>IOL</vt:lpstr>
      <vt:lpstr>IOL_MAX</vt:lpstr>
      <vt:lpstr>lblR1</vt:lpstr>
      <vt:lpstr>lblR2</vt:lpstr>
      <vt:lpstr>lblRH</vt:lpstr>
      <vt:lpstr>lblRP</vt:lpstr>
      <vt:lpstr>lblVP</vt:lpstr>
      <vt:lpstr>lblVR</vt:lpstr>
      <vt:lpstr>Llimit</vt:lpstr>
      <vt:lpstr>Res_Vh</vt:lpstr>
      <vt:lpstr>Res_VL</vt:lpstr>
      <vt:lpstr>Rseries</vt:lpstr>
      <vt:lpstr>RseriesSel</vt:lpstr>
      <vt:lpstr>Sens_Gain</vt:lpstr>
      <vt:lpstr>SensVoutHigh</vt:lpstr>
      <vt:lpstr>SensVoutLow</vt:lpstr>
      <vt:lpstr>SFIB</vt:lpstr>
      <vt:lpstr>SFSINK</vt:lpstr>
      <vt:lpstr>TempH</vt:lpstr>
      <vt:lpstr>TempL</vt:lpstr>
      <vt:lpstr>Ulimit</vt:lpstr>
      <vt:lpstr>'Comparator Circuit'!Vh</vt:lpstr>
      <vt:lpstr>VH_MIN</vt:lpstr>
      <vt:lpstr>Vhreserr</vt:lpstr>
      <vt:lpstr>VIH</vt:lpstr>
      <vt:lpstr>VIHmin</vt:lpstr>
      <vt:lpstr>'Comparator Circuit'!VL</vt:lpstr>
      <vt:lpstr>Vlreserror</vt:lpstr>
      <vt:lpstr>'Comparator Circuit'!Vol</vt:lpstr>
      <vt:lpstr>Vout0C</vt:lpstr>
      <vt:lpstr>'Comparator Circuit'!Vp</vt:lpstr>
      <vt:lpstr>'Comparator Circuit'!Vr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Oldhack EE</dc:creator>
  <cp:lastModifiedBy>Oldhack EE</cp:lastModifiedBy>
  <cp:lastPrinted>2024-01-29T17:07:10Z</cp:lastPrinted>
  <dcterms:created xsi:type="dcterms:W3CDTF">2024-01-22T13:58:14Z</dcterms:created>
  <dcterms:modified xsi:type="dcterms:W3CDTF">2024-03-31T21:48:44Z</dcterms:modified>
</cp:coreProperties>
</file>