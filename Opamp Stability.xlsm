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Terry's Presentations\Opamps\13_Stability\"/>
    </mc:Choice>
  </mc:AlternateContent>
  <xr:revisionPtr revIDLastSave="0" documentId="13_ncr:1_{CE2951E8-DC2F-4739-8125-6F4EF3D4C7A6}" xr6:coauthVersionLast="47" xr6:coauthVersionMax="47" xr10:uidLastSave="{00000000-0000-0000-0000-000000000000}"/>
  <bookViews>
    <workbookView xWindow="-28485" yWindow="-900" windowWidth="19425" windowHeight="13275" tabRatio="593" firstSheet="6" activeTab="7" xr2:uid="{CDCD2FDB-8CC5-4704-B071-AB21BBA62760}"/>
  </bookViews>
  <sheets>
    <sheet name="Opamp Response" sheetId="4" r:id="rId1"/>
    <sheet name="Opamp and Cload Pole" sheetId="5" r:id="rId2"/>
    <sheet name="Opamp and Iso R" sheetId="6" r:id="rId3"/>
    <sheet name="Opamp and C Stray" sheetId="7" r:id="rId4"/>
    <sheet name="Opamp and C Stray Using B" sheetId="10" r:id="rId5"/>
    <sheet name="Opamp and C Stray Using B (2)" sheetId="12" r:id="rId6"/>
    <sheet name="Overshoot" sheetId="14" r:id="rId7"/>
    <sheet name="Phase Margin Example" sheetId="11" r:id="rId8"/>
    <sheet name="Opamp and C Stray (2)" sheetId="9" r:id="rId9"/>
    <sheet name="PWB Trace Capacitance" sheetId="13" r:id="rId10"/>
  </sheets>
  <functionGroups builtInGroupCount="19"/>
  <definedNames>
    <definedName name="AoldB" localSheetId="3">'Opamp and C Stray'!$B$4</definedName>
    <definedName name="AoldB" localSheetId="8">'Opamp and C Stray (2)'!$B$4</definedName>
    <definedName name="AoldB" localSheetId="4">'Opamp and C Stray Using B'!$B$4</definedName>
    <definedName name="AoldB" localSheetId="5">'Opamp and C Stray Using B (2)'!$B$4</definedName>
    <definedName name="AoldB" localSheetId="1">'Opamp and Cload Pole'!$B$4</definedName>
    <definedName name="AoldB" localSheetId="2">'Opamp and Iso R'!$B$4</definedName>
    <definedName name="AoldB" localSheetId="7">'Phase Margin Example'!$B$4</definedName>
    <definedName name="AoldB">'Opamp Response'!$B$4</definedName>
    <definedName name="Aolv" localSheetId="3">'Opamp and C Stray'!$B$10</definedName>
    <definedName name="Aolv" localSheetId="8">'Opamp and C Stray (2)'!$B$10</definedName>
    <definedName name="Aolv" localSheetId="4">'Opamp and C Stray Using B'!$B$10</definedName>
    <definedName name="Aolv" localSheetId="5">'Opamp and C Stray Using B (2)'!$B$10</definedName>
    <definedName name="Aolv" localSheetId="1">'Opamp and Cload Pole'!$B$9</definedName>
    <definedName name="Aolv" localSheetId="2">'Opamp and Iso R'!$B$10</definedName>
    <definedName name="Aolv" localSheetId="7">'Phase Margin Example'!$B$10</definedName>
    <definedName name="Aolv">'Opamp Response'!$B$5</definedName>
    <definedName name="C_L" localSheetId="2">'Opamp and Iso R'!$B$6</definedName>
    <definedName name="C_L">'Opamp and Cload Pole'!$B$6</definedName>
    <definedName name="C_s" localSheetId="8">'Opamp and C Stray (2)'!$B$6</definedName>
    <definedName name="C_s" localSheetId="4">'Opamp and C Stray Using B'!$B$6</definedName>
    <definedName name="C_s" localSheetId="5">'Opamp and C Stray Using B (2)'!$B$6</definedName>
    <definedName name="C_s" localSheetId="7">'Phase Margin Example'!$B$6</definedName>
    <definedName name="C_s">'Opamp and C Stray'!$B$6</definedName>
    <definedName name="Cg">#REF!</definedName>
    <definedName name="Cin">#REF!</definedName>
    <definedName name="fc">#REF!</definedName>
    <definedName name="Gain">#REF!</definedName>
    <definedName name="ppd" localSheetId="3">'Opamp and C Stray'!$G$1</definedName>
    <definedName name="ppd" localSheetId="8">'Opamp and C Stray (2)'!$G$1</definedName>
    <definedName name="ppd" localSheetId="4">'Opamp and C Stray Using B'!$G$1</definedName>
    <definedName name="ppd" localSheetId="5">'Opamp and C Stray Using B (2)'!$G$1</definedName>
    <definedName name="ppd" localSheetId="2">'Opamp and Iso R'!$G$1</definedName>
    <definedName name="ppd" localSheetId="7">'Phase Margin Example'!$G$1</definedName>
    <definedName name="ppd">'Opamp and Cload Pole'!$G$1</definedName>
    <definedName name="R_1" localSheetId="8">'Opamp and C Stray (2)'!$B$7</definedName>
    <definedName name="R_1" localSheetId="4">'Opamp and C Stray Using B'!$B$7</definedName>
    <definedName name="R_1" localSheetId="5">'Opamp and C Stray Using B (2)'!$B$7</definedName>
    <definedName name="R_1" localSheetId="7">'Phase Margin Example'!$B$7</definedName>
    <definedName name="R_1">'Opamp and C Stray'!$B$7</definedName>
    <definedName name="R_f" localSheetId="8">'Opamp and C Stray (2)'!$B$5</definedName>
    <definedName name="R_f" localSheetId="4">'Opamp and C Stray Using B'!$B$5</definedName>
    <definedName name="R_f" localSheetId="5">'Opamp and C Stray Using B (2)'!$B$5</definedName>
    <definedName name="R_f" localSheetId="7">'Phase Margin Example'!$B$5</definedName>
    <definedName name="R_f">'Opamp and C Stray'!$B$5</definedName>
    <definedName name="R_I">'Opamp and Iso R'!$B$7</definedName>
    <definedName name="R_O" localSheetId="3">'Opamp and C Stray'!$B$5</definedName>
    <definedName name="R_O" localSheetId="8">'Opamp and C Stray (2)'!$B$5</definedName>
    <definedName name="R_O" localSheetId="4">'Opamp and C Stray Using B'!$B$5</definedName>
    <definedName name="R_O" localSheetId="5">'Opamp and C Stray Using B (2)'!$B$5</definedName>
    <definedName name="R_O" localSheetId="2">'Opamp and Iso R'!$B$5</definedName>
    <definedName name="R_O" localSheetId="7">'Phase Margin Example'!$B$5</definedName>
    <definedName name="R_O">'Opamp and Cload Pole'!$B$5</definedName>
    <definedName name="Rf">#REF!</definedName>
    <definedName name="Rg">#REF!</definedName>
    <definedName name="wc" localSheetId="3">'Opamp and C Stray'!$B$11</definedName>
    <definedName name="wc" localSheetId="8">'Opamp and C Stray (2)'!$B$11</definedName>
    <definedName name="wc" localSheetId="4">'Opamp and C Stray Using B'!$B$11</definedName>
    <definedName name="wc" localSheetId="5">'Opamp and C Stray Using B (2)'!$B$11</definedName>
    <definedName name="wc" localSheetId="1">'Opamp and Cload Pole'!$B$10</definedName>
    <definedName name="wc" localSheetId="2">'Opamp and Iso R'!$B$11</definedName>
    <definedName name="wc" localSheetId="7">'Phase Margin Example'!$B$11</definedName>
    <definedName name="wc">'Opamp Response'!$B$6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9" i="14" l="1"/>
  <c r="B10" i="14"/>
  <c r="B13" i="14" s="1"/>
  <c r="B5" i="14"/>
  <c r="B4" i="14"/>
  <c r="B7" i="14"/>
  <c r="B3" i="14"/>
  <c r="B2" i="14"/>
  <c r="B12" i="10"/>
  <c r="B12" i="12"/>
  <c r="F4" i="13"/>
  <c r="F5" i="13"/>
  <c r="F3" i="13"/>
  <c r="B11" i="12"/>
  <c r="B10" i="12"/>
  <c r="G5" i="12"/>
  <c r="G6" i="12" s="1"/>
  <c r="H4" i="12"/>
  <c r="I4" i="12" s="1"/>
  <c r="G4" i="12"/>
  <c r="O3" i="12"/>
  <c r="Q3" i="12" s="1"/>
  <c r="I3" i="12"/>
  <c r="J3" i="12" s="1"/>
  <c r="H3" i="12"/>
  <c r="B12" i="14" l="1"/>
  <c r="F6" i="13"/>
  <c r="F7" i="13" s="1"/>
  <c r="B8" i="13" s="1"/>
  <c r="N3" i="12"/>
  <c r="M3" i="12"/>
  <c r="K3" i="12"/>
  <c r="L3" i="12"/>
  <c r="S3" i="12" s="1"/>
  <c r="G7" i="12"/>
  <c r="H6" i="12"/>
  <c r="I6" i="12" s="1"/>
  <c r="J4" i="12"/>
  <c r="O4" i="12"/>
  <c r="P3" i="12"/>
  <c r="R3" i="12" s="1"/>
  <c r="H5" i="12"/>
  <c r="I5" i="12" s="1"/>
  <c r="B12" i="11"/>
  <c r="B11" i="11"/>
  <c r="B10" i="11"/>
  <c r="H4" i="11"/>
  <c r="I4" i="11" s="1"/>
  <c r="G4" i="11"/>
  <c r="G5" i="11" s="1"/>
  <c r="G6" i="11" s="1"/>
  <c r="O3" i="11"/>
  <c r="Q3" i="11" s="1"/>
  <c r="I3" i="11"/>
  <c r="J3" i="11" s="1"/>
  <c r="H3" i="11"/>
  <c r="J3" i="10"/>
  <c r="B11" i="10"/>
  <c r="B10" i="10"/>
  <c r="G4" i="10"/>
  <c r="G5" i="10" s="1"/>
  <c r="H3" i="10"/>
  <c r="I3" i="10" s="1"/>
  <c r="O3" i="10" s="1"/>
  <c r="Q3" i="10" s="1"/>
  <c r="J3" i="9"/>
  <c r="B12" i="9"/>
  <c r="B11" i="9"/>
  <c r="B10" i="9"/>
  <c r="G4" i="9"/>
  <c r="G5" i="9" s="1"/>
  <c r="H3" i="9"/>
  <c r="I3" i="9" s="1"/>
  <c r="B12" i="7"/>
  <c r="B11" i="7"/>
  <c r="B10" i="7"/>
  <c r="G4" i="7"/>
  <c r="H4" i="7" s="1"/>
  <c r="I4" i="7" s="1"/>
  <c r="H3" i="7"/>
  <c r="I3" i="7" s="1"/>
  <c r="J3" i="7" s="1"/>
  <c r="B13" i="6"/>
  <c r="B12" i="6"/>
  <c r="J3" i="6"/>
  <c r="B11" i="6"/>
  <c r="B10" i="6"/>
  <c r="G4" i="6"/>
  <c r="H4" i="6" s="1"/>
  <c r="I4" i="6" s="1"/>
  <c r="J4" i="6" s="1"/>
  <c r="H3" i="6"/>
  <c r="I3" i="6" s="1"/>
  <c r="G4" i="5"/>
  <c r="G5" i="5" s="1"/>
  <c r="G6" i="5" s="1"/>
  <c r="G7" i="5" s="1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B11" i="5"/>
  <c r="M4" i="12" l="1"/>
  <c r="L4" i="12"/>
  <c r="K4" i="12"/>
  <c r="N4" i="12"/>
  <c r="H4" i="9"/>
  <c r="I4" i="9" s="1"/>
  <c r="J4" i="9" s="1"/>
  <c r="K4" i="9" s="1"/>
  <c r="O5" i="12"/>
  <c r="J5" i="12"/>
  <c r="O6" i="12"/>
  <c r="J6" i="12"/>
  <c r="Q4" i="12"/>
  <c r="S4" i="12" s="1"/>
  <c r="P4" i="12"/>
  <c r="R4" i="12" s="1"/>
  <c r="G8" i="12"/>
  <c r="H7" i="12"/>
  <c r="I7" i="12" s="1"/>
  <c r="N3" i="11"/>
  <c r="K3" i="11"/>
  <c r="M3" i="11"/>
  <c r="L3" i="11"/>
  <c r="S3" i="11" s="1"/>
  <c r="H6" i="11"/>
  <c r="I6" i="11" s="1"/>
  <c r="G7" i="11"/>
  <c r="J4" i="11"/>
  <c r="O4" i="11"/>
  <c r="H4" i="10"/>
  <c r="I4" i="10" s="1"/>
  <c r="J4" i="10" s="1"/>
  <c r="M4" i="10" s="1"/>
  <c r="P3" i="11"/>
  <c r="R3" i="11" s="1"/>
  <c r="H5" i="11"/>
  <c r="I5" i="11" s="1"/>
  <c r="N3" i="10"/>
  <c r="O4" i="10"/>
  <c r="P4" i="10" s="1"/>
  <c r="H5" i="10"/>
  <c r="I5" i="10" s="1"/>
  <c r="G6" i="10"/>
  <c r="P3" i="10"/>
  <c r="M3" i="10"/>
  <c r="O3" i="7"/>
  <c r="J4" i="7"/>
  <c r="M4" i="7" s="1"/>
  <c r="O4" i="7"/>
  <c r="K3" i="9"/>
  <c r="N3" i="9"/>
  <c r="L3" i="9"/>
  <c r="M3" i="9"/>
  <c r="G6" i="9"/>
  <c r="H5" i="9"/>
  <c r="I5" i="9" s="1"/>
  <c r="J5" i="9" s="1"/>
  <c r="N3" i="7"/>
  <c r="G5" i="7"/>
  <c r="M3" i="6"/>
  <c r="K3" i="6"/>
  <c r="N3" i="6"/>
  <c r="L3" i="6"/>
  <c r="M4" i="6"/>
  <c r="N4" i="6"/>
  <c r="K4" i="6"/>
  <c r="L4" i="6"/>
  <c r="G5" i="6"/>
  <c r="H353" i="5"/>
  <c r="I353" i="5" s="1"/>
  <c r="H352" i="5"/>
  <c r="I352" i="5" s="1"/>
  <c r="H351" i="5"/>
  <c r="I351" i="5" s="1"/>
  <c r="H350" i="5"/>
  <c r="I350" i="5" s="1"/>
  <c r="H349" i="5"/>
  <c r="I349" i="5" s="1"/>
  <c r="H348" i="5"/>
  <c r="I348" i="5" s="1"/>
  <c r="H347" i="5"/>
  <c r="I347" i="5" s="1"/>
  <c r="H346" i="5"/>
  <c r="I346" i="5" s="1"/>
  <c r="H345" i="5"/>
  <c r="I345" i="5" s="1"/>
  <c r="H344" i="5"/>
  <c r="I344" i="5" s="1"/>
  <c r="H343" i="5"/>
  <c r="I343" i="5" s="1"/>
  <c r="H342" i="5"/>
  <c r="I342" i="5" s="1"/>
  <c r="H341" i="5"/>
  <c r="I341" i="5" s="1"/>
  <c r="H340" i="5"/>
  <c r="I340" i="5" s="1"/>
  <c r="H339" i="5"/>
  <c r="I339" i="5" s="1"/>
  <c r="H338" i="5"/>
  <c r="I338" i="5" s="1"/>
  <c r="H337" i="5"/>
  <c r="I337" i="5" s="1"/>
  <c r="H336" i="5"/>
  <c r="I336" i="5" s="1"/>
  <c r="H335" i="5"/>
  <c r="I335" i="5" s="1"/>
  <c r="H334" i="5"/>
  <c r="I334" i="5" s="1"/>
  <c r="H333" i="5"/>
  <c r="I333" i="5" s="1"/>
  <c r="H332" i="5"/>
  <c r="I332" i="5" s="1"/>
  <c r="H331" i="5"/>
  <c r="I331" i="5" s="1"/>
  <c r="H330" i="5"/>
  <c r="I330" i="5" s="1"/>
  <c r="H329" i="5"/>
  <c r="I329" i="5" s="1"/>
  <c r="H328" i="5"/>
  <c r="I328" i="5" s="1"/>
  <c r="H327" i="5"/>
  <c r="I327" i="5" s="1"/>
  <c r="H326" i="5"/>
  <c r="I326" i="5" s="1"/>
  <c r="H325" i="5"/>
  <c r="I325" i="5" s="1"/>
  <c r="H324" i="5"/>
  <c r="I324" i="5" s="1"/>
  <c r="H323" i="5"/>
  <c r="I323" i="5" s="1"/>
  <c r="H322" i="5"/>
  <c r="I322" i="5" s="1"/>
  <c r="H321" i="5"/>
  <c r="I321" i="5" s="1"/>
  <c r="H320" i="5"/>
  <c r="I320" i="5" s="1"/>
  <c r="H319" i="5"/>
  <c r="I319" i="5" s="1"/>
  <c r="H318" i="5"/>
  <c r="I318" i="5" s="1"/>
  <c r="H317" i="5"/>
  <c r="I317" i="5" s="1"/>
  <c r="H316" i="5"/>
  <c r="I316" i="5" s="1"/>
  <c r="H315" i="5"/>
  <c r="I315" i="5" s="1"/>
  <c r="H314" i="5"/>
  <c r="I314" i="5" s="1"/>
  <c r="H313" i="5"/>
  <c r="I313" i="5" s="1"/>
  <c r="H312" i="5"/>
  <c r="I312" i="5" s="1"/>
  <c r="H311" i="5"/>
  <c r="I311" i="5" s="1"/>
  <c r="H310" i="5"/>
  <c r="I310" i="5" s="1"/>
  <c r="H309" i="5"/>
  <c r="I309" i="5" s="1"/>
  <c r="H308" i="5"/>
  <c r="I308" i="5" s="1"/>
  <c r="H307" i="5"/>
  <c r="I307" i="5" s="1"/>
  <c r="H306" i="5"/>
  <c r="I306" i="5" s="1"/>
  <c r="H305" i="5"/>
  <c r="I305" i="5" s="1"/>
  <c r="H304" i="5"/>
  <c r="I304" i="5" s="1"/>
  <c r="H303" i="5"/>
  <c r="I303" i="5" s="1"/>
  <c r="H302" i="5"/>
  <c r="I302" i="5" s="1"/>
  <c r="H301" i="5"/>
  <c r="I301" i="5" s="1"/>
  <c r="H300" i="5"/>
  <c r="I300" i="5" s="1"/>
  <c r="H299" i="5"/>
  <c r="I299" i="5" s="1"/>
  <c r="H298" i="5"/>
  <c r="I298" i="5" s="1"/>
  <c r="H297" i="5"/>
  <c r="I297" i="5" s="1"/>
  <c r="H296" i="5"/>
  <c r="I296" i="5" s="1"/>
  <c r="H295" i="5"/>
  <c r="I295" i="5" s="1"/>
  <c r="H294" i="5"/>
  <c r="I294" i="5" s="1"/>
  <c r="H293" i="5"/>
  <c r="I293" i="5" s="1"/>
  <c r="H292" i="5"/>
  <c r="I292" i="5" s="1"/>
  <c r="H291" i="5"/>
  <c r="I291" i="5" s="1"/>
  <c r="H290" i="5"/>
  <c r="I290" i="5" s="1"/>
  <c r="H289" i="5"/>
  <c r="I289" i="5" s="1"/>
  <c r="H288" i="5"/>
  <c r="I288" i="5" s="1"/>
  <c r="H287" i="5"/>
  <c r="I287" i="5" s="1"/>
  <c r="H286" i="5"/>
  <c r="I286" i="5" s="1"/>
  <c r="H285" i="5"/>
  <c r="I285" i="5" s="1"/>
  <c r="H284" i="5"/>
  <c r="I284" i="5" s="1"/>
  <c r="H283" i="5"/>
  <c r="I283" i="5" s="1"/>
  <c r="H282" i="5"/>
  <c r="I282" i="5" s="1"/>
  <c r="H281" i="5"/>
  <c r="I281" i="5" s="1"/>
  <c r="H280" i="5"/>
  <c r="I280" i="5" s="1"/>
  <c r="H279" i="5"/>
  <c r="I279" i="5" s="1"/>
  <c r="H278" i="5"/>
  <c r="I278" i="5" s="1"/>
  <c r="H277" i="5"/>
  <c r="I277" i="5" s="1"/>
  <c r="H276" i="5"/>
  <c r="I276" i="5" s="1"/>
  <c r="H275" i="5"/>
  <c r="I275" i="5" s="1"/>
  <c r="H274" i="5"/>
  <c r="I274" i="5" s="1"/>
  <c r="H273" i="5"/>
  <c r="I273" i="5" s="1"/>
  <c r="H272" i="5"/>
  <c r="I272" i="5" s="1"/>
  <c r="H271" i="5"/>
  <c r="I271" i="5" s="1"/>
  <c r="H270" i="5"/>
  <c r="I270" i="5" s="1"/>
  <c r="H269" i="5"/>
  <c r="I269" i="5" s="1"/>
  <c r="H268" i="5"/>
  <c r="I268" i="5" s="1"/>
  <c r="H267" i="5"/>
  <c r="I267" i="5" s="1"/>
  <c r="H266" i="5"/>
  <c r="I266" i="5" s="1"/>
  <c r="H265" i="5"/>
  <c r="I265" i="5" s="1"/>
  <c r="H264" i="5"/>
  <c r="I264" i="5" s="1"/>
  <c r="H263" i="5"/>
  <c r="I263" i="5" s="1"/>
  <c r="H262" i="5"/>
  <c r="I262" i="5" s="1"/>
  <c r="H261" i="5"/>
  <c r="I261" i="5" s="1"/>
  <c r="H260" i="5"/>
  <c r="I260" i="5" s="1"/>
  <c r="H259" i="5"/>
  <c r="I259" i="5" s="1"/>
  <c r="H258" i="5"/>
  <c r="I258" i="5" s="1"/>
  <c r="H257" i="5"/>
  <c r="I257" i="5" s="1"/>
  <c r="H256" i="5"/>
  <c r="I256" i="5" s="1"/>
  <c r="H255" i="5"/>
  <c r="I255" i="5" s="1"/>
  <c r="H254" i="5"/>
  <c r="I254" i="5" s="1"/>
  <c r="H253" i="5"/>
  <c r="I253" i="5" s="1"/>
  <c r="H252" i="5"/>
  <c r="I252" i="5" s="1"/>
  <c r="H251" i="5"/>
  <c r="I251" i="5" s="1"/>
  <c r="H250" i="5"/>
  <c r="I250" i="5" s="1"/>
  <c r="H249" i="5"/>
  <c r="I249" i="5" s="1"/>
  <c r="H248" i="5"/>
  <c r="I248" i="5" s="1"/>
  <c r="H247" i="5"/>
  <c r="I247" i="5" s="1"/>
  <c r="H246" i="5"/>
  <c r="I246" i="5" s="1"/>
  <c r="H245" i="5"/>
  <c r="I245" i="5" s="1"/>
  <c r="H244" i="5"/>
  <c r="I244" i="5" s="1"/>
  <c r="H243" i="5"/>
  <c r="I243" i="5" s="1"/>
  <c r="H242" i="5"/>
  <c r="I242" i="5" s="1"/>
  <c r="H241" i="5"/>
  <c r="I241" i="5" s="1"/>
  <c r="H240" i="5"/>
  <c r="I240" i="5" s="1"/>
  <c r="H239" i="5"/>
  <c r="I239" i="5" s="1"/>
  <c r="H238" i="5"/>
  <c r="I238" i="5" s="1"/>
  <c r="H237" i="5"/>
  <c r="I237" i="5" s="1"/>
  <c r="H236" i="5"/>
  <c r="I236" i="5" s="1"/>
  <c r="H235" i="5"/>
  <c r="I235" i="5" s="1"/>
  <c r="H234" i="5"/>
  <c r="I234" i="5" s="1"/>
  <c r="H233" i="5"/>
  <c r="I233" i="5" s="1"/>
  <c r="H232" i="5"/>
  <c r="I232" i="5" s="1"/>
  <c r="H231" i="5"/>
  <c r="I231" i="5" s="1"/>
  <c r="H230" i="5"/>
  <c r="I230" i="5" s="1"/>
  <c r="H229" i="5"/>
  <c r="I229" i="5" s="1"/>
  <c r="H228" i="5"/>
  <c r="I228" i="5" s="1"/>
  <c r="H227" i="5"/>
  <c r="I227" i="5" s="1"/>
  <c r="H226" i="5"/>
  <c r="I226" i="5" s="1"/>
  <c r="H225" i="5"/>
  <c r="I225" i="5" s="1"/>
  <c r="H224" i="5"/>
  <c r="I224" i="5" s="1"/>
  <c r="H223" i="5"/>
  <c r="I223" i="5" s="1"/>
  <c r="H222" i="5"/>
  <c r="I222" i="5" s="1"/>
  <c r="H221" i="5"/>
  <c r="I221" i="5" s="1"/>
  <c r="H220" i="5"/>
  <c r="I220" i="5" s="1"/>
  <c r="H219" i="5"/>
  <c r="I219" i="5" s="1"/>
  <c r="H218" i="5"/>
  <c r="I218" i="5" s="1"/>
  <c r="H217" i="5"/>
  <c r="I217" i="5" s="1"/>
  <c r="H216" i="5"/>
  <c r="I216" i="5" s="1"/>
  <c r="H215" i="5"/>
  <c r="I215" i="5" s="1"/>
  <c r="H214" i="5"/>
  <c r="I214" i="5" s="1"/>
  <c r="H213" i="5"/>
  <c r="I213" i="5" s="1"/>
  <c r="H212" i="5"/>
  <c r="I212" i="5" s="1"/>
  <c r="H211" i="5"/>
  <c r="I211" i="5" s="1"/>
  <c r="H210" i="5"/>
  <c r="I210" i="5" s="1"/>
  <c r="H209" i="5"/>
  <c r="I209" i="5" s="1"/>
  <c r="H208" i="5"/>
  <c r="I208" i="5" s="1"/>
  <c r="H207" i="5"/>
  <c r="I207" i="5" s="1"/>
  <c r="H206" i="5"/>
  <c r="I206" i="5" s="1"/>
  <c r="H205" i="5"/>
  <c r="I205" i="5" s="1"/>
  <c r="H204" i="5"/>
  <c r="I204" i="5" s="1"/>
  <c r="H203" i="5"/>
  <c r="I203" i="5" s="1"/>
  <c r="H202" i="5"/>
  <c r="I202" i="5" s="1"/>
  <c r="H201" i="5"/>
  <c r="I201" i="5" s="1"/>
  <c r="H200" i="5"/>
  <c r="I200" i="5" s="1"/>
  <c r="H199" i="5"/>
  <c r="I199" i="5" s="1"/>
  <c r="H198" i="5"/>
  <c r="I198" i="5" s="1"/>
  <c r="H197" i="5"/>
  <c r="I197" i="5" s="1"/>
  <c r="H196" i="5"/>
  <c r="I196" i="5" s="1"/>
  <c r="H195" i="5"/>
  <c r="I195" i="5" s="1"/>
  <c r="H194" i="5"/>
  <c r="I194" i="5" s="1"/>
  <c r="H193" i="5"/>
  <c r="I193" i="5" s="1"/>
  <c r="H192" i="5"/>
  <c r="I192" i="5" s="1"/>
  <c r="H191" i="5"/>
  <c r="I191" i="5" s="1"/>
  <c r="H190" i="5"/>
  <c r="I190" i="5" s="1"/>
  <c r="H189" i="5"/>
  <c r="I189" i="5" s="1"/>
  <c r="H188" i="5"/>
  <c r="I188" i="5" s="1"/>
  <c r="H187" i="5"/>
  <c r="I187" i="5" s="1"/>
  <c r="H186" i="5"/>
  <c r="I186" i="5" s="1"/>
  <c r="H185" i="5"/>
  <c r="I185" i="5" s="1"/>
  <c r="H184" i="5"/>
  <c r="I184" i="5" s="1"/>
  <c r="H183" i="5"/>
  <c r="I183" i="5" s="1"/>
  <c r="H182" i="5"/>
  <c r="I182" i="5" s="1"/>
  <c r="H181" i="5"/>
  <c r="I181" i="5" s="1"/>
  <c r="H180" i="5"/>
  <c r="I180" i="5" s="1"/>
  <c r="H179" i="5"/>
  <c r="I179" i="5" s="1"/>
  <c r="H178" i="5"/>
  <c r="I178" i="5" s="1"/>
  <c r="H177" i="5"/>
  <c r="I177" i="5" s="1"/>
  <c r="H176" i="5"/>
  <c r="I176" i="5" s="1"/>
  <c r="H175" i="5"/>
  <c r="I175" i="5" s="1"/>
  <c r="H174" i="5"/>
  <c r="I174" i="5" s="1"/>
  <c r="H173" i="5"/>
  <c r="I173" i="5" s="1"/>
  <c r="H172" i="5"/>
  <c r="I172" i="5" s="1"/>
  <c r="H171" i="5"/>
  <c r="I171" i="5" s="1"/>
  <c r="H170" i="5"/>
  <c r="I170" i="5" s="1"/>
  <c r="H169" i="5"/>
  <c r="I169" i="5" s="1"/>
  <c r="H168" i="5"/>
  <c r="I168" i="5" s="1"/>
  <c r="H167" i="5"/>
  <c r="I167" i="5" s="1"/>
  <c r="H166" i="5"/>
  <c r="I166" i="5" s="1"/>
  <c r="H165" i="5"/>
  <c r="I165" i="5" s="1"/>
  <c r="H164" i="5"/>
  <c r="I164" i="5" s="1"/>
  <c r="H163" i="5"/>
  <c r="I163" i="5" s="1"/>
  <c r="H162" i="5"/>
  <c r="I162" i="5" s="1"/>
  <c r="H161" i="5"/>
  <c r="I161" i="5" s="1"/>
  <c r="H160" i="5"/>
  <c r="I160" i="5" s="1"/>
  <c r="H159" i="5"/>
  <c r="I159" i="5" s="1"/>
  <c r="H158" i="5"/>
  <c r="I158" i="5" s="1"/>
  <c r="H157" i="5"/>
  <c r="I157" i="5" s="1"/>
  <c r="H156" i="5"/>
  <c r="I156" i="5" s="1"/>
  <c r="H155" i="5"/>
  <c r="I155" i="5" s="1"/>
  <c r="H154" i="5"/>
  <c r="I154" i="5" s="1"/>
  <c r="H153" i="5"/>
  <c r="I153" i="5" s="1"/>
  <c r="H152" i="5"/>
  <c r="I152" i="5" s="1"/>
  <c r="H151" i="5"/>
  <c r="I151" i="5" s="1"/>
  <c r="H150" i="5"/>
  <c r="I150" i="5" s="1"/>
  <c r="H149" i="5"/>
  <c r="I149" i="5" s="1"/>
  <c r="H148" i="5"/>
  <c r="I148" i="5" s="1"/>
  <c r="H147" i="5"/>
  <c r="I147" i="5" s="1"/>
  <c r="H146" i="5"/>
  <c r="I146" i="5" s="1"/>
  <c r="H145" i="5"/>
  <c r="I145" i="5" s="1"/>
  <c r="H144" i="5"/>
  <c r="I144" i="5" s="1"/>
  <c r="H143" i="5"/>
  <c r="I143" i="5" s="1"/>
  <c r="H142" i="5"/>
  <c r="I142" i="5" s="1"/>
  <c r="H141" i="5"/>
  <c r="I141" i="5" s="1"/>
  <c r="H140" i="5"/>
  <c r="I140" i="5" s="1"/>
  <c r="H139" i="5"/>
  <c r="I139" i="5" s="1"/>
  <c r="H138" i="5"/>
  <c r="I138" i="5" s="1"/>
  <c r="H137" i="5"/>
  <c r="I137" i="5" s="1"/>
  <c r="H136" i="5"/>
  <c r="I136" i="5" s="1"/>
  <c r="H135" i="5"/>
  <c r="I135" i="5" s="1"/>
  <c r="H134" i="5"/>
  <c r="I134" i="5" s="1"/>
  <c r="H133" i="5"/>
  <c r="I133" i="5" s="1"/>
  <c r="H132" i="5"/>
  <c r="I132" i="5" s="1"/>
  <c r="H131" i="5"/>
  <c r="I131" i="5" s="1"/>
  <c r="H130" i="5"/>
  <c r="I130" i="5" s="1"/>
  <c r="H129" i="5"/>
  <c r="I129" i="5" s="1"/>
  <c r="H128" i="5"/>
  <c r="I128" i="5" s="1"/>
  <c r="H127" i="5"/>
  <c r="I127" i="5" s="1"/>
  <c r="H126" i="5"/>
  <c r="I126" i="5" s="1"/>
  <c r="H125" i="5"/>
  <c r="I125" i="5" s="1"/>
  <c r="H124" i="5"/>
  <c r="I124" i="5" s="1"/>
  <c r="H123" i="5"/>
  <c r="I123" i="5" s="1"/>
  <c r="H122" i="5"/>
  <c r="I122" i="5" s="1"/>
  <c r="H121" i="5"/>
  <c r="I121" i="5" s="1"/>
  <c r="H120" i="5"/>
  <c r="I120" i="5" s="1"/>
  <c r="H119" i="5"/>
  <c r="I119" i="5" s="1"/>
  <c r="H118" i="5"/>
  <c r="I118" i="5" s="1"/>
  <c r="H117" i="5"/>
  <c r="I117" i="5" s="1"/>
  <c r="H116" i="5"/>
  <c r="I116" i="5" s="1"/>
  <c r="H115" i="5"/>
  <c r="I115" i="5" s="1"/>
  <c r="H114" i="5"/>
  <c r="I114" i="5" s="1"/>
  <c r="H113" i="5"/>
  <c r="I113" i="5" s="1"/>
  <c r="H112" i="5"/>
  <c r="I112" i="5" s="1"/>
  <c r="H111" i="5"/>
  <c r="I111" i="5" s="1"/>
  <c r="H110" i="5"/>
  <c r="I110" i="5" s="1"/>
  <c r="H109" i="5"/>
  <c r="I109" i="5" s="1"/>
  <c r="H108" i="5"/>
  <c r="I108" i="5" s="1"/>
  <c r="H107" i="5"/>
  <c r="I107" i="5" s="1"/>
  <c r="H106" i="5"/>
  <c r="I106" i="5" s="1"/>
  <c r="H105" i="5"/>
  <c r="I105" i="5" s="1"/>
  <c r="H104" i="5"/>
  <c r="I104" i="5" s="1"/>
  <c r="H103" i="5"/>
  <c r="I103" i="5" s="1"/>
  <c r="H102" i="5"/>
  <c r="I102" i="5" s="1"/>
  <c r="H101" i="5"/>
  <c r="I101" i="5" s="1"/>
  <c r="H100" i="5"/>
  <c r="I100" i="5" s="1"/>
  <c r="H99" i="5"/>
  <c r="I99" i="5" s="1"/>
  <c r="H98" i="5"/>
  <c r="I98" i="5" s="1"/>
  <c r="H97" i="5"/>
  <c r="I97" i="5" s="1"/>
  <c r="H96" i="5"/>
  <c r="I96" i="5" s="1"/>
  <c r="H95" i="5"/>
  <c r="I95" i="5" s="1"/>
  <c r="H94" i="5"/>
  <c r="I94" i="5" s="1"/>
  <c r="H93" i="5"/>
  <c r="I93" i="5" s="1"/>
  <c r="H92" i="5"/>
  <c r="I92" i="5" s="1"/>
  <c r="H91" i="5"/>
  <c r="I91" i="5" s="1"/>
  <c r="H90" i="5"/>
  <c r="I90" i="5" s="1"/>
  <c r="H89" i="5"/>
  <c r="I89" i="5" s="1"/>
  <c r="H88" i="5"/>
  <c r="I88" i="5" s="1"/>
  <c r="H87" i="5"/>
  <c r="I87" i="5" s="1"/>
  <c r="H86" i="5"/>
  <c r="I86" i="5" s="1"/>
  <c r="H85" i="5"/>
  <c r="I85" i="5" s="1"/>
  <c r="H84" i="5"/>
  <c r="I84" i="5" s="1"/>
  <c r="H83" i="5"/>
  <c r="I83" i="5" s="1"/>
  <c r="H82" i="5"/>
  <c r="I82" i="5" s="1"/>
  <c r="H81" i="5"/>
  <c r="I81" i="5" s="1"/>
  <c r="H80" i="5"/>
  <c r="I80" i="5" s="1"/>
  <c r="H79" i="5"/>
  <c r="I79" i="5" s="1"/>
  <c r="H78" i="5"/>
  <c r="I78" i="5" s="1"/>
  <c r="H77" i="5"/>
  <c r="I77" i="5" s="1"/>
  <c r="H76" i="5"/>
  <c r="I76" i="5" s="1"/>
  <c r="H75" i="5"/>
  <c r="I75" i="5" s="1"/>
  <c r="H74" i="5"/>
  <c r="I74" i="5" s="1"/>
  <c r="H73" i="5"/>
  <c r="I73" i="5" s="1"/>
  <c r="H72" i="5"/>
  <c r="I72" i="5" s="1"/>
  <c r="H71" i="5"/>
  <c r="I71" i="5" s="1"/>
  <c r="H70" i="5"/>
  <c r="I70" i="5" s="1"/>
  <c r="H69" i="5"/>
  <c r="I69" i="5" s="1"/>
  <c r="H68" i="5"/>
  <c r="I68" i="5" s="1"/>
  <c r="H67" i="5"/>
  <c r="I67" i="5" s="1"/>
  <c r="H66" i="5"/>
  <c r="I66" i="5" s="1"/>
  <c r="H65" i="5"/>
  <c r="I65" i="5" s="1"/>
  <c r="H64" i="5"/>
  <c r="I64" i="5" s="1"/>
  <c r="H63" i="5"/>
  <c r="I63" i="5" s="1"/>
  <c r="H62" i="5"/>
  <c r="I62" i="5" s="1"/>
  <c r="H61" i="5"/>
  <c r="I61" i="5" s="1"/>
  <c r="H60" i="5"/>
  <c r="I60" i="5" s="1"/>
  <c r="H59" i="5"/>
  <c r="I59" i="5" s="1"/>
  <c r="H58" i="5"/>
  <c r="I58" i="5" s="1"/>
  <c r="H57" i="5"/>
  <c r="I57" i="5" s="1"/>
  <c r="H56" i="5"/>
  <c r="I56" i="5" s="1"/>
  <c r="H55" i="5"/>
  <c r="I55" i="5" s="1"/>
  <c r="H54" i="5"/>
  <c r="I54" i="5" s="1"/>
  <c r="H53" i="5"/>
  <c r="I53" i="5" s="1"/>
  <c r="H52" i="5"/>
  <c r="I52" i="5" s="1"/>
  <c r="H51" i="5"/>
  <c r="I51" i="5" s="1"/>
  <c r="H50" i="5"/>
  <c r="I50" i="5" s="1"/>
  <c r="H49" i="5"/>
  <c r="I49" i="5" s="1"/>
  <c r="H48" i="5"/>
  <c r="I48" i="5" s="1"/>
  <c r="H47" i="5"/>
  <c r="I47" i="5" s="1"/>
  <c r="H46" i="5"/>
  <c r="I46" i="5" s="1"/>
  <c r="H45" i="5"/>
  <c r="I45" i="5" s="1"/>
  <c r="H44" i="5"/>
  <c r="I44" i="5" s="1"/>
  <c r="H43" i="5"/>
  <c r="I43" i="5" s="1"/>
  <c r="H42" i="5"/>
  <c r="I42" i="5" s="1"/>
  <c r="H41" i="5"/>
  <c r="I41" i="5" s="1"/>
  <c r="H40" i="5"/>
  <c r="I40" i="5" s="1"/>
  <c r="H39" i="5"/>
  <c r="I39" i="5" s="1"/>
  <c r="H38" i="5"/>
  <c r="I38" i="5" s="1"/>
  <c r="H37" i="5"/>
  <c r="I37" i="5" s="1"/>
  <c r="H36" i="5"/>
  <c r="I36" i="5" s="1"/>
  <c r="H35" i="5"/>
  <c r="I35" i="5" s="1"/>
  <c r="H34" i="5"/>
  <c r="I34" i="5" s="1"/>
  <c r="H33" i="5"/>
  <c r="I33" i="5" s="1"/>
  <c r="H32" i="5"/>
  <c r="I32" i="5" s="1"/>
  <c r="H31" i="5"/>
  <c r="I31" i="5" s="1"/>
  <c r="H30" i="5"/>
  <c r="I30" i="5" s="1"/>
  <c r="H29" i="5"/>
  <c r="I29" i="5" s="1"/>
  <c r="H28" i="5"/>
  <c r="I28" i="5" s="1"/>
  <c r="H27" i="5"/>
  <c r="I27" i="5" s="1"/>
  <c r="H26" i="5"/>
  <c r="I26" i="5" s="1"/>
  <c r="H25" i="5"/>
  <c r="I25" i="5" s="1"/>
  <c r="H24" i="5"/>
  <c r="I24" i="5" s="1"/>
  <c r="H23" i="5"/>
  <c r="I23" i="5" s="1"/>
  <c r="H22" i="5"/>
  <c r="I22" i="5" s="1"/>
  <c r="H21" i="5"/>
  <c r="I21" i="5" s="1"/>
  <c r="H20" i="5"/>
  <c r="I20" i="5" s="1"/>
  <c r="H19" i="5"/>
  <c r="I19" i="5" s="1"/>
  <c r="H18" i="5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I7" i="5" s="1"/>
  <c r="H6" i="5"/>
  <c r="I6" i="5" s="1"/>
  <c r="B10" i="5"/>
  <c r="H5" i="5"/>
  <c r="I5" i="5" s="1"/>
  <c r="B9" i="5"/>
  <c r="H4" i="5"/>
  <c r="I4" i="5" s="1"/>
  <c r="H3" i="5"/>
  <c r="I3" i="5" s="1"/>
  <c r="H304" i="4"/>
  <c r="I304" i="4" s="1"/>
  <c r="H305" i="4"/>
  <c r="I305" i="4" s="1"/>
  <c r="H306" i="4"/>
  <c r="I306" i="4" s="1"/>
  <c r="H307" i="4"/>
  <c r="I307" i="4" s="1"/>
  <c r="J307" i="4" s="1"/>
  <c r="K307" i="4" s="1"/>
  <c r="H308" i="4"/>
  <c r="I308" i="4" s="1"/>
  <c r="H309" i="4"/>
  <c r="I309" i="4" s="1"/>
  <c r="H310" i="4"/>
  <c r="I310" i="4" s="1"/>
  <c r="H311" i="4"/>
  <c r="I311" i="4" s="1"/>
  <c r="H312" i="4"/>
  <c r="I312" i="4" s="1"/>
  <c r="J312" i="4" s="1"/>
  <c r="H313" i="4"/>
  <c r="I313" i="4" s="1"/>
  <c r="H314" i="4"/>
  <c r="I314" i="4" s="1"/>
  <c r="H315" i="4"/>
  <c r="I315" i="4" s="1"/>
  <c r="H316" i="4"/>
  <c r="I316" i="4" s="1"/>
  <c r="H317" i="4"/>
  <c r="I317" i="4" s="1"/>
  <c r="H318" i="4"/>
  <c r="I318" i="4" s="1"/>
  <c r="H319" i="4"/>
  <c r="I319" i="4" s="1"/>
  <c r="H320" i="4"/>
  <c r="I320" i="4"/>
  <c r="J320" i="4" s="1"/>
  <c r="H321" i="4"/>
  <c r="I321" i="4" s="1"/>
  <c r="H322" i="4"/>
  <c r="I322" i="4" s="1"/>
  <c r="H323" i="4"/>
  <c r="I323" i="4" s="1"/>
  <c r="J323" i="4" s="1"/>
  <c r="N323" i="4" s="1"/>
  <c r="H324" i="4"/>
  <c r="I324" i="4"/>
  <c r="H325" i="4"/>
  <c r="I325" i="4" s="1"/>
  <c r="H326" i="4"/>
  <c r="I326" i="4" s="1"/>
  <c r="H327" i="4"/>
  <c r="I327" i="4" s="1"/>
  <c r="J327" i="4" s="1"/>
  <c r="H328" i="4"/>
  <c r="I328" i="4" s="1"/>
  <c r="H329" i="4"/>
  <c r="I329" i="4" s="1"/>
  <c r="H330" i="4"/>
  <c r="I330" i="4"/>
  <c r="H331" i="4"/>
  <c r="I331" i="4"/>
  <c r="H332" i="4"/>
  <c r="I332" i="4"/>
  <c r="H333" i="4"/>
  <c r="I333" i="4" s="1"/>
  <c r="H334" i="4"/>
  <c r="I334" i="4" s="1"/>
  <c r="H335" i="4"/>
  <c r="I335" i="4"/>
  <c r="H336" i="4"/>
  <c r="I336" i="4"/>
  <c r="H337" i="4"/>
  <c r="I337" i="4" s="1"/>
  <c r="H338" i="4"/>
  <c r="I338" i="4" s="1"/>
  <c r="J338" i="4" s="1"/>
  <c r="M338" i="4" s="1"/>
  <c r="H339" i="4"/>
  <c r="I339" i="4"/>
  <c r="H340" i="4"/>
  <c r="I340" i="4"/>
  <c r="H341" i="4"/>
  <c r="I341" i="4" s="1"/>
  <c r="H342" i="4"/>
  <c r="I342" i="4" s="1"/>
  <c r="H343" i="4"/>
  <c r="I343" i="4" s="1"/>
  <c r="H344" i="4"/>
  <c r="I344" i="4" s="1"/>
  <c r="H345" i="4"/>
  <c r="I345" i="4" s="1"/>
  <c r="H346" i="4"/>
  <c r="I346" i="4"/>
  <c r="H347" i="4"/>
  <c r="I347" i="4"/>
  <c r="H348" i="4"/>
  <c r="I348" i="4" s="1"/>
  <c r="H349" i="4"/>
  <c r="I349" i="4" s="1"/>
  <c r="H350" i="4"/>
  <c r="I350" i="4"/>
  <c r="H351" i="4"/>
  <c r="I351" i="4"/>
  <c r="H352" i="4"/>
  <c r="I352" i="4" s="1"/>
  <c r="H353" i="4"/>
  <c r="I353" i="4" s="1"/>
  <c r="B5" i="4"/>
  <c r="B6" i="4"/>
  <c r="H303" i="4"/>
  <c r="H302" i="4"/>
  <c r="I301" i="4"/>
  <c r="J301" i="4" s="1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I261" i="4"/>
  <c r="J261" i="4" s="1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M4" i="9" l="1"/>
  <c r="L4" i="9"/>
  <c r="N4" i="9"/>
  <c r="N4" i="10"/>
  <c r="Q6" i="12"/>
  <c r="P6" i="12"/>
  <c r="L5" i="12"/>
  <c r="K5" i="12"/>
  <c r="M5" i="12"/>
  <c r="N5" i="12"/>
  <c r="P5" i="12"/>
  <c r="R5" i="12" s="1"/>
  <c r="Q5" i="12"/>
  <c r="G9" i="12"/>
  <c r="H8" i="12"/>
  <c r="I8" i="12" s="1"/>
  <c r="J7" i="12"/>
  <c r="O7" i="12"/>
  <c r="K6" i="12"/>
  <c r="L6" i="12"/>
  <c r="N6" i="12"/>
  <c r="M6" i="12"/>
  <c r="M4" i="11"/>
  <c r="L4" i="11"/>
  <c r="K4" i="11"/>
  <c r="N4" i="11"/>
  <c r="O5" i="10"/>
  <c r="Q5" i="10" s="1"/>
  <c r="J5" i="10"/>
  <c r="M5" i="10" s="1"/>
  <c r="O5" i="11"/>
  <c r="J5" i="11"/>
  <c r="G8" i="11"/>
  <c r="H7" i="11"/>
  <c r="I7" i="11" s="1"/>
  <c r="Q4" i="11"/>
  <c r="P4" i="11"/>
  <c r="O6" i="11"/>
  <c r="J6" i="11"/>
  <c r="L3" i="10"/>
  <c r="S3" i="10" s="1"/>
  <c r="P5" i="10"/>
  <c r="K4" i="10"/>
  <c r="R4" i="10" s="1"/>
  <c r="K3" i="10"/>
  <c r="R3" i="10" s="1"/>
  <c r="Q4" i="10"/>
  <c r="H6" i="10"/>
  <c r="I6" i="10" s="1"/>
  <c r="J6" i="10" s="1"/>
  <c r="G7" i="10"/>
  <c r="L4" i="10"/>
  <c r="Q4" i="7"/>
  <c r="P4" i="7"/>
  <c r="Q3" i="7"/>
  <c r="P3" i="7"/>
  <c r="K5" i="9"/>
  <c r="N5" i="9"/>
  <c r="L5" i="9"/>
  <c r="M5" i="9"/>
  <c r="G7" i="9"/>
  <c r="H6" i="9"/>
  <c r="I6" i="9" s="1"/>
  <c r="J6" i="9" s="1"/>
  <c r="N4" i="7"/>
  <c r="L4" i="7"/>
  <c r="K3" i="7"/>
  <c r="K4" i="7"/>
  <c r="R4" i="7" s="1"/>
  <c r="L3" i="7"/>
  <c r="M3" i="7"/>
  <c r="H5" i="7"/>
  <c r="I5" i="7" s="1"/>
  <c r="G6" i="7"/>
  <c r="J19" i="5"/>
  <c r="N19" i="5" s="1"/>
  <c r="J83" i="5"/>
  <c r="M83" i="5" s="1"/>
  <c r="J131" i="5"/>
  <c r="J147" i="5"/>
  <c r="J163" i="5"/>
  <c r="J259" i="5"/>
  <c r="J275" i="5"/>
  <c r="J291" i="5"/>
  <c r="J307" i="5"/>
  <c r="J323" i="5"/>
  <c r="J67" i="5"/>
  <c r="N67" i="5" s="1"/>
  <c r="J179" i="5"/>
  <c r="J195" i="5"/>
  <c r="J336" i="5"/>
  <c r="J344" i="5"/>
  <c r="J348" i="5"/>
  <c r="J352" i="5"/>
  <c r="J35" i="5"/>
  <c r="K35" i="5" s="1"/>
  <c r="J99" i="5"/>
  <c r="M99" i="5" s="1"/>
  <c r="J211" i="5"/>
  <c r="J227" i="5"/>
  <c r="J51" i="5"/>
  <c r="N51" i="5" s="1"/>
  <c r="J115" i="5"/>
  <c r="K115" i="5" s="1"/>
  <c r="J243" i="5"/>
  <c r="G6" i="6"/>
  <c r="H5" i="6"/>
  <c r="I5" i="6" s="1"/>
  <c r="J5" i="6" s="1"/>
  <c r="J4" i="5"/>
  <c r="N4" i="5" s="1"/>
  <c r="J8" i="5"/>
  <c r="N8" i="5" s="1"/>
  <c r="J12" i="5"/>
  <c r="L12" i="5" s="1"/>
  <c r="J16" i="5"/>
  <c r="L16" i="5" s="1"/>
  <c r="J20" i="5"/>
  <c r="K20" i="5" s="1"/>
  <c r="J24" i="5"/>
  <c r="L24" i="5" s="1"/>
  <c r="J28" i="5"/>
  <c r="N28" i="5" s="1"/>
  <c r="J32" i="5"/>
  <c r="K32" i="5" s="1"/>
  <c r="J36" i="5"/>
  <c r="M36" i="5" s="1"/>
  <c r="J40" i="5"/>
  <c r="N40" i="5" s="1"/>
  <c r="J44" i="5"/>
  <c r="L44" i="5" s="1"/>
  <c r="J48" i="5"/>
  <c r="K48" i="5" s="1"/>
  <c r="J52" i="5"/>
  <c r="L52" i="5" s="1"/>
  <c r="J56" i="5"/>
  <c r="L56" i="5" s="1"/>
  <c r="J60" i="5"/>
  <c r="L60" i="5" s="1"/>
  <c r="J64" i="5"/>
  <c r="K64" i="5" s="1"/>
  <c r="J68" i="5"/>
  <c r="N68" i="5" s="1"/>
  <c r="J72" i="5"/>
  <c r="N72" i="5" s="1"/>
  <c r="J76" i="5"/>
  <c r="L76" i="5" s="1"/>
  <c r="J80" i="5"/>
  <c r="N80" i="5" s="1"/>
  <c r="J84" i="5"/>
  <c r="K84" i="5" s="1"/>
  <c r="J88" i="5"/>
  <c r="L88" i="5" s="1"/>
  <c r="J92" i="5"/>
  <c r="M92" i="5" s="1"/>
  <c r="J96" i="5"/>
  <c r="N96" i="5" s="1"/>
  <c r="J100" i="5"/>
  <c r="M100" i="5" s="1"/>
  <c r="J104" i="5"/>
  <c r="L104" i="5" s="1"/>
  <c r="J108" i="5"/>
  <c r="M108" i="5" s="1"/>
  <c r="J112" i="5"/>
  <c r="M112" i="5" s="1"/>
  <c r="J116" i="5"/>
  <c r="M116" i="5" s="1"/>
  <c r="J120" i="5"/>
  <c r="M120" i="5" s="1"/>
  <c r="J124" i="5"/>
  <c r="M124" i="5" s="1"/>
  <c r="J128" i="5"/>
  <c r="J132" i="5"/>
  <c r="J136" i="5"/>
  <c r="J140" i="5"/>
  <c r="J144" i="5"/>
  <c r="K144" i="5" s="1"/>
  <c r="J148" i="5"/>
  <c r="K148" i="5" s="1"/>
  <c r="J152" i="5"/>
  <c r="N152" i="5" s="1"/>
  <c r="J156" i="5"/>
  <c r="L156" i="5" s="1"/>
  <c r="J160" i="5"/>
  <c r="M160" i="5" s="1"/>
  <c r="J164" i="5"/>
  <c r="J168" i="5"/>
  <c r="J172" i="5"/>
  <c r="J176" i="5"/>
  <c r="J180" i="5"/>
  <c r="N180" i="5" s="1"/>
  <c r="J184" i="5"/>
  <c r="J188" i="5"/>
  <c r="J192" i="5"/>
  <c r="J196" i="5"/>
  <c r="J200" i="5"/>
  <c r="J204" i="5"/>
  <c r="J208" i="5"/>
  <c r="J212" i="5"/>
  <c r="K212" i="5" s="1"/>
  <c r="J216" i="5"/>
  <c r="J220" i="5"/>
  <c r="J224" i="5"/>
  <c r="J228" i="5"/>
  <c r="J232" i="5"/>
  <c r="J236" i="5"/>
  <c r="J240" i="5"/>
  <c r="J244" i="5"/>
  <c r="J248" i="5"/>
  <c r="J252" i="5"/>
  <c r="J256" i="5"/>
  <c r="J260" i="5"/>
  <c r="J264" i="5"/>
  <c r="J268" i="5"/>
  <c r="J272" i="5"/>
  <c r="J276" i="5"/>
  <c r="J280" i="5"/>
  <c r="J284" i="5"/>
  <c r="J288" i="5"/>
  <c r="J292" i="5"/>
  <c r="J296" i="5"/>
  <c r="J300" i="5"/>
  <c r="J304" i="5"/>
  <c r="J308" i="5"/>
  <c r="J312" i="5"/>
  <c r="J316" i="5"/>
  <c r="J320" i="5"/>
  <c r="J324" i="5"/>
  <c r="J328" i="5"/>
  <c r="J332" i="5"/>
  <c r="J5" i="5"/>
  <c r="M5" i="5" s="1"/>
  <c r="J9" i="5"/>
  <c r="N9" i="5" s="1"/>
  <c r="J13" i="5"/>
  <c r="M13" i="5" s="1"/>
  <c r="J17" i="5"/>
  <c r="K17" i="5" s="1"/>
  <c r="J21" i="5"/>
  <c r="K21" i="5" s="1"/>
  <c r="J25" i="5"/>
  <c r="N25" i="5" s="1"/>
  <c r="J29" i="5"/>
  <c r="K29" i="5" s="1"/>
  <c r="J33" i="5"/>
  <c r="K33" i="5" s="1"/>
  <c r="J37" i="5"/>
  <c r="K37" i="5" s="1"/>
  <c r="J41" i="5"/>
  <c r="N41" i="5" s="1"/>
  <c r="J45" i="5"/>
  <c r="M45" i="5" s="1"/>
  <c r="J49" i="5"/>
  <c r="K49" i="5" s="1"/>
  <c r="J53" i="5"/>
  <c r="K53" i="5" s="1"/>
  <c r="J57" i="5"/>
  <c r="N57" i="5" s="1"/>
  <c r="J61" i="5"/>
  <c r="M61" i="5" s="1"/>
  <c r="J65" i="5"/>
  <c r="K65" i="5" s="1"/>
  <c r="J69" i="5"/>
  <c r="L69" i="5" s="1"/>
  <c r="J73" i="5"/>
  <c r="N73" i="5" s="1"/>
  <c r="J77" i="5"/>
  <c r="N77" i="5" s="1"/>
  <c r="J81" i="5"/>
  <c r="L81" i="5" s="1"/>
  <c r="J85" i="5"/>
  <c r="L85" i="5" s="1"/>
  <c r="J89" i="5"/>
  <c r="N89" i="5" s="1"/>
  <c r="J93" i="5"/>
  <c r="K93" i="5" s="1"/>
  <c r="J97" i="5"/>
  <c r="N97" i="5" s="1"/>
  <c r="J101" i="5"/>
  <c r="M101" i="5" s="1"/>
  <c r="J105" i="5"/>
  <c r="N105" i="5" s="1"/>
  <c r="J109" i="5"/>
  <c r="K109" i="5" s="1"/>
  <c r="J113" i="5"/>
  <c r="K113" i="5" s="1"/>
  <c r="J117" i="5"/>
  <c r="K117" i="5" s="1"/>
  <c r="J121" i="5"/>
  <c r="K121" i="5" s="1"/>
  <c r="J125" i="5"/>
  <c r="K125" i="5" s="1"/>
  <c r="J129" i="5"/>
  <c r="J133" i="5"/>
  <c r="J137" i="5"/>
  <c r="J141" i="5"/>
  <c r="J145" i="5"/>
  <c r="J149" i="5"/>
  <c r="J153" i="5"/>
  <c r="J157" i="5"/>
  <c r="J161" i="5"/>
  <c r="K161" i="5" s="1"/>
  <c r="J165" i="5"/>
  <c r="J169" i="5"/>
  <c r="J173" i="5"/>
  <c r="J177" i="5"/>
  <c r="K177" i="5" s="1"/>
  <c r="J181" i="5"/>
  <c r="J185" i="5"/>
  <c r="K185" i="5" s="1"/>
  <c r="J189" i="5"/>
  <c r="N189" i="5" s="1"/>
  <c r="J193" i="5"/>
  <c r="K193" i="5" s="1"/>
  <c r="J197" i="5"/>
  <c r="J201" i="5"/>
  <c r="J205" i="5"/>
  <c r="J209" i="5"/>
  <c r="K209" i="5" s="1"/>
  <c r="J213" i="5"/>
  <c r="J217" i="5"/>
  <c r="L217" i="5" s="1"/>
  <c r="J221" i="5"/>
  <c r="L221" i="5" s="1"/>
  <c r="J225" i="5"/>
  <c r="K225" i="5" s="1"/>
  <c r="J229" i="5"/>
  <c r="N229" i="5" s="1"/>
  <c r="J233" i="5"/>
  <c r="J237" i="5"/>
  <c r="J241" i="5"/>
  <c r="J245" i="5"/>
  <c r="J249" i="5"/>
  <c r="J253" i="5"/>
  <c r="J257" i="5"/>
  <c r="J261" i="5"/>
  <c r="J265" i="5"/>
  <c r="J269" i="5"/>
  <c r="J273" i="5"/>
  <c r="J277" i="5"/>
  <c r="J281" i="5"/>
  <c r="J285" i="5"/>
  <c r="J289" i="5"/>
  <c r="J293" i="5"/>
  <c r="J297" i="5"/>
  <c r="J301" i="5"/>
  <c r="J305" i="5"/>
  <c r="J309" i="5"/>
  <c r="J313" i="5"/>
  <c r="J317" i="5"/>
  <c r="J321" i="5"/>
  <c r="J325" i="5"/>
  <c r="J329" i="5"/>
  <c r="J333" i="5"/>
  <c r="J337" i="5"/>
  <c r="J341" i="5"/>
  <c r="J6" i="5"/>
  <c r="K6" i="5" s="1"/>
  <c r="J10" i="5"/>
  <c r="N10" i="5" s="1"/>
  <c r="J14" i="5"/>
  <c r="L14" i="5" s="1"/>
  <c r="J18" i="5"/>
  <c r="K18" i="5" s="1"/>
  <c r="J22" i="5"/>
  <c r="K22" i="5" s="1"/>
  <c r="J26" i="5"/>
  <c r="N26" i="5" s="1"/>
  <c r="J30" i="5"/>
  <c r="K30" i="5" s="1"/>
  <c r="J34" i="5"/>
  <c r="M34" i="5" s="1"/>
  <c r="J38" i="5"/>
  <c r="K38" i="5" s="1"/>
  <c r="J42" i="5"/>
  <c r="N42" i="5" s="1"/>
  <c r="J46" i="5"/>
  <c r="L46" i="5" s="1"/>
  <c r="J50" i="5"/>
  <c r="N50" i="5" s="1"/>
  <c r="J54" i="5"/>
  <c r="K54" i="5" s="1"/>
  <c r="J58" i="5"/>
  <c r="N58" i="5" s="1"/>
  <c r="J62" i="5"/>
  <c r="K62" i="5" s="1"/>
  <c r="J66" i="5"/>
  <c r="L66" i="5" s="1"/>
  <c r="J70" i="5"/>
  <c r="K70" i="5" s="1"/>
  <c r="J74" i="5"/>
  <c r="N74" i="5" s="1"/>
  <c r="J78" i="5"/>
  <c r="M78" i="5" s="1"/>
  <c r="J82" i="5"/>
  <c r="M82" i="5" s="1"/>
  <c r="J86" i="5"/>
  <c r="M86" i="5" s="1"/>
  <c r="J90" i="5"/>
  <c r="L90" i="5" s="1"/>
  <c r="J94" i="5"/>
  <c r="M94" i="5" s="1"/>
  <c r="J98" i="5"/>
  <c r="N98" i="5" s="1"/>
  <c r="J102" i="5"/>
  <c r="M102" i="5" s="1"/>
  <c r="J106" i="5"/>
  <c r="N106" i="5" s="1"/>
  <c r="J110" i="5"/>
  <c r="N110" i="5" s="1"/>
  <c r="J114" i="5"/>
  <c r="N114" i="5" s="1"/>
  <c r="J118" i="5"/>
  <c r="N118" i="5" s="1"/>
  <c r="J122" i="5"/>
  <c r="N122" i="5" s="1"/>
  <c r="J126" i="5"/>
  <c r="J130" i="5"/>
  <c r="J134" i="5"/>
  <c r="J138" i="5"/>
  <c r="J142" i="5"/>
  <c r="K142" i="5" s="1"/>
  <c r="J146" i="5"/>
  <c r="L146" i="5" s="1"/>
  <c r="J150" i="5"/>
  <c r="L150" i="5" s="1"/>
  <c r="J154" i="5"/>
  <c r="K154" i="5" s="1"/>
  <c r="J158" i="5"/>
  <c r="J162" i="5"/>
  <c r="J166" i="5"/>
  <c r="J170" i="5"/>
  <c r="J174" i="5"/>
  <c r="J178" i="5"/>
  <c r="J182" i="5"/>
  <c r="J186" i="5"/>
  <c r="J190" i="5"/>
  <c r="K190" i="5" s="1"/>
  <c r="J194" i="5"/>
  <c r="J198" i="5"/>
  <c r="J202" i="5"/>
  <c r="J206" i="5"/>
  <c r="J210" i="5"/>
  <c r="J214" i="5"/>
  <c r="J218" i="5"/>
  <c r="J222" i="5"/>
  <c r="L222" i="5" s="1"/>
  <c r="J226" i="5"/>
  <c r="J230" i="5"/>
  <c r="J234" i="5"/>
  <c r="J238" i="5"/>
  <c r="J242" i="5"/>
  <c r="J246" i="5"/>
  <c r="L246" i="5" s="1"/>
  <c r="J250" i="5"/>
  <c r="J254" i="5"/>
  <c r="J258" i="5"/>
  <c r="J262" i="5"/>
  <c r="L262" i="5" s="1"/>
  <c r="J266" i="5"/>
  <c r="J270" i="5"/>
  <c r="J274" i="5"/>
  <c r="J278" i="5"/>
  <c r="J282" i="5"/>
  <c r="J286" i="5"/>
  <c r="J290" i="5"/>
  <c r="J294" i="5"/>
  <c r="J298" i="5"/>
  <c r="J302" i="5"/>
  <c r="J306" i="5"/>
  <c r="J310" i="5"/>
  <c r="J314" i="5"/>
  <c r="J318" i="5"/>
  <c r="J322" i="5"/>
  <c r="M322" i="5" s="1"/>
  <c r="J326" i="5"/>
  <c r="J330" i="5"/>
  <c r="J334" i="5"/>
  <c r="J338" i="5"/>
  <c r="M338" i="5" s="1"/>
  <c r="J342" i="5"/>
  <c r="J351" i="5"/>
  <c r="J347" i="5"/>
  <c r="J343" i="5"/>
  <c r="J335" i="5"/>
  <c r="J319" i="5"/>
  <c r="J303" i="5"/>
  <c r="J287" i="5"/>
  <c r="J271" i="5"/>
  <c r="J255" i="5"/>
  <c r="J239" i="5"/>
  <c r="J223" i="5"/>
  <c r="J207" i="5"/>
  <c r="J191" i="5"/>
  <c r="J175" i="5"/>
  <c r="J159" i="5"/>
  <c r="L159" i="5" s="1"/>
  <c r="J143" i="5"/>
  <c r="J127" i="5"/>
  <c r="J111" i="5"/>
  <c r="K111" i="5" s="1"/>
  <c r="J95" i="5"/>
  <c r="M95" i="5" s="1"/>
  <c r="J79" i="5"/>
  <c r="N79" i="5" s="1"/>
  <c r="J63" i="5"/>
  <c r="L63" i="5" s="1"/>
  <c r="J47" i="5"/>
  <c r="L47" i="5" s="1"/>
  <c r="J31" i="5"/>
  <c r="K31" i="5" s="1"/>
  <c r="J15" i="5"/>
  <c r="K15" i="5" s="1"/>
  <c r="J3" i="5"/>
  <c r="M3" i="5" s="1"/>
  <c r="J350" i="5"/>
  <c r="J346" i="5"/>
  <c r="J340" i="5"/>
  <c r="J331" i="5"/>
  <c r="J315" i="5"/>
  <c r="J299" i="5"/>
  <c r="J283" i="5"/>
  <c r="J267" i="5"/>
  <c r="J251" i="5"/>
  <c r="J235" i="5"/>
  <c r="J219" i="5"/>
  <c r="M219" i="5" s="1"/>
  <c r="J203" i="5"/>
  <c r="J187" i="5"/>
  <c r="M187" i="5" s="1"/>
  <c r="J171" i="5"/>
  <c r="J155" i="5"/>
  <c r="J139" i="5"/>
  <c r="J123" i="5"/>
  <c r="K123" i="5" s="1"/>
  <c r="J107" i="5"/>
  <c r="K107" i="5" s="1"/>
  <c r="J91" i="5"/>
  <c r="K91" i="5" s="1"/>
  <c r="J75" i="5"/>
  <c r="N75" i="5" s="1"/>
  <c r="J59" i="5"/>
  <c r="K59" i="5" s="1"/>
  <c r="J43" i="5"/>
  <c r="N43" i="5" s="1"/>
  <c r="J27" i="5"/>
  <c r="L27" i="5" s="1"/>
  <c r="J11" i="5"/>
  <c r="N11" i="5" s="1"/>
  <c r="J353" i="5"/>
  <c r="J349" i="5"/>
  <c r="J345" i="5"/>
  <c r="J339" i="5"/>
  <c r="J327" i="5"/>
  <c r="J311" i="5"/>
  <c r="J295" i="5"/>
  <c r="J279" i="5"/>
  <c r="J263" i="5"/>
  <c r="J247" i="5"/>
  <c r="J231" i="5"/>
  <c r="J215" i="5"/>
  <c r="J199" i="5"/>
  <c r="N199" i="5" s="1"/>
  <c r="J183" i="5"/>
  <c r="J167" i="5"/>
  <c r="K167" i="5" s="1"/>
  <c r="J151" i="5"/>
  <c r="J135" i="5"/>
  <c r="J119" i="5"/>
  <c r="M119" i="5" s="1"/>
  <c r="J103" i="5"/>
  <c r="K103" i="5" s="1"/>
  <c r="J87" i="5"/>
  <c r="K87" i="5" s="1"/>
  <c r="J71" i="5"/>
  <c r="N71" i="5" s="1"/>
  <c r="J55" i="5"/>
  <c r="N55" i="5" s="1"/>
  <c r="J39" i="5"/>
  <c r="N39" i="5" s="1"/>
  <c r="J23" i="5"/>
  <c r="N23" i="5" s="1"/>
  <c r="J7" i="5"/>
  <c r="N7" i="5" s="1"/>
  <c r="L17" i="5"/>
  <c r="M46" i="5"/>
  <c r="K73" i="5"/>
  <c r="L51" i="5"/>
  <c r="M67" i="5"/>
  <c r="K156" i="5"/>
  <c r="M76" i="5"/>
  <c r="L193" i="5"/>
  <c r="L212" i="5"/>
  <c r="M190" i="5"/>
  <c r="N100" i="5"/>
  <c r="L113" i="5"/>
  <c r="I103" i="4"/>
  <c r="J103" i="4" s="1"/>
  <c r="J352" i="4"/>
  <c r="L352" i="4" s="1"/>
  <c r="J306" i="4"/>
  <c r="N306" i="4" s="1"/>
  <c r="J315" i="4"/>
  <c r="N315" i="4" s="1"/>
  <c r="J334" i="4"/>
  <c r="K334" i="4" s="1"/>
  <c r="J331" i="4"/>
  <c r="N331" i="4" s="1"/>
  <c r="J324" i="4"/>
  <c r="K324" i="4" s="1"/>
  <c r="J319" i="4"/>
  <c r="L319" i="4" s="1"/>
  <c r="J316" i="4"/>
  <c r="L316" i="4" s="1"/>
  <c r="I6" i="4"/>
  <c r="J6" i="4" s="1"/>
  <c r="M6" i="4" s="1"/>
  <c r="I287" i="4"/>
  <c r="J287" i="4" s="1"/>
  <c r="J348" i="4"/>
  <c r="K348" i="4" s="1"/>
  <c r="J310" i="4"/>
  <c r="K310" i="4" s="1"/>
  <c r="L320" i="4"/>
  <c r="N320" i="4"/>
  <c r="K320" i="4"/>
  <c r="L312" i="4"/>
  <c r="K312" i="4"/>
  <c r="N312" i="4"/>
  <c r="I83" i="4"/>
  <c r="J83" i="4" s="1"/>
  <c r="I144" i="4"/>
  <c r="J144" i="4" s="1"/>
  <c r="I162" i="4"/>
  <c r="J162" i="4" s="1"/>
  <c r="I220" i="4"/>
  <c r="J220" i="4" s="1"/>
  <c r="I246" i="4"/>
  <c r="J246" i="4" s="1"/>
  <c r="I249" i="4"/>
  <c r="J249" i="4" s="1"/>
  <c r="J337" i="4"/>
  <c r="L337" i="4" s="1"/>
  <c r="J330" i="4"/>
  <c r="M330" i="4" s="1"/>
  <c r="J326" i="4"/>
  <c r="N326" i="4" s="1"/>
  <c r="J313" i="4"/>
  <c r="M313" i="4" s="1"/>
  <c r="J349" i="4"/>
  <c r="L349" i="4" s="1"/>
  <c r="J345" i="4"/>
  <c r="L345" i="4" s="1"/>
  <c r="J341" i="4"/>
  <c r="N341" i="4" s="1"/>
  <c r="J317" i="4"/>
  <c r="L317" i="4" s="1"/>
  <c r="J353" i="4"/>
  <c r="M353" i="4" s="1"/>
  <c r="J350" i="4"/>
  <c r="M350" i="4" s="1"/>
  <c r="J346" i="4"/>
  <c r="N346" i="4" s="1"/>
  <c r="J339" i="4"/>
  <c r="N339" i="4" s="1"/>
  <c r="J335" i="4"/>
  <c r="M335" i="4" s="1"/>
  <c r="J332" i="4"/>
  <c r="M332" i="4" s="1"/>
  <c r="J328" i="4"/>
  <c r="M328" i="4" s="1"/>
  <c r="J325" i="4"/>
  <c r="L325" i="4" s="1"/>
  <c r="J321" i="4"/>
  <c r="L321" i="4" s="1"/>
  <c r="J314" i="4"/>
  <c r="M314" i="4" s="1"/>
  <c r="J311" i="4"/>
  <c r="K311" i="4" s="1"/>
  <c r="J308" i="4"/>
  <c r="M308" i="4" s="1"/>
  <c r="J305" i="4"/>
  <c r="N305" i="4" s="1"/>
  <c r="I39" i="4"/>
  <c r="J39" i="4" s="1"/>
  <c r="I128" i="4"/>
  <c r="J128" i="4" s="1"/>
  <c r="I154" i="4"/>
  <c r="J154" i="4" s="1"/>
  <c r="I204" i="4"/>
  <c r="J204" i="4" s="1"/>
  <c r="I230" i="4"/>
  <c r="J230" i="4" s="1"/>
  <c r="I255" i="4"/>
  <c r="J255" i="4" s="1"/>
  <c r="I269" i="4"/>
  <c r="J269" i="4" s="1"/>
  <c r="I295" i="4"/>
  <c r="J295" i="4" s="1"/>
  <c r="J351" i="4"/>
  <c r="N351" i="4" s="1"/>
  <c r="J347" i="4"/>
  <c r="M347" i="4" s="1"/>
  <c r="J344" i="4"/>
  <c r="M344" i="4" s="1"/>
  <c r="J343" i="4"/>
  <c r="N343" i="4" s="1"/>
  <c r="J342" i="4"/>
  <c r="M342" i="4" s="1"/>
  <c r="J340" i="4"/>
  <c r="N340" i="4" s="1"/>
  <c r="J336" i="4"/>
  <c r="M336" i="4" s="1"/>
  <c r="J333" i="4"/>
  <c r="L333" i="4" s="1"/>
  <c r="J329" i="4"/>
  <c r="L329" i="4" s="1"/>
  <c r="J322" i="4"/>
  <c r="M322" i="4" s="1"/>
  <c r="J318" i="4"/>
  <c r="N318" i="4" s="1"/>
  <c r="J309" i="4"/>
  <c r="K309" i="4" s="1"/>
  <c r="J304" i="4"/>
  <c r="L304" i="4" s="1"/>
  <c r="M341" i="4"/>
  <c r="M306" i="4"/>
  <c r="K327" i="4"/>
  <c r="L327" i="4"/>
  <c r="M327" i="4"/>
  <c r="K350" i="4"/>
  <c r="N338" i="4"/>
  <c r="K338" i="4"/>
  <c r="L338" i="4"/>
  <c r="K323" i="4"/>
  <c r="L323" i="4"/>
  <c r="M323" i="4"/>
  <c r="N327" i="4"/>
  <c r="M307" i="4"/>
  <c r="N307" i="4"/>
  <c r="M348" i="4"/>
  <c r="M320" i="4"/>
  <c r="M312" i="4"/>
  <c r="L307" i="4"/>
  <c r="I138" i="4"/>
  <c r="J138" i="4" s="1"/>
  <c r="I51" i="4"/>
  <c r="J51" i="4" s="1"/>
  <c r="I71" i="4"/>
  <c r="J71" i="4" s="1"/>
  <c r="I115" i="4"/>
  <c r="J115" i="4" s="1"/>
  <c r="I22" i="4"/>
  <c r="J22" i="4" s="1"/>
  <c r="M22" i="4" s="1"/>
  <c r="I37" i="4"/>
  <c r="J37" i="4" s="1"/>
  <c r="I44" i="4"/>
  <c r="J44" i="4" s="1"/>
  <c r="I66" i="4"/>
  <c r="J66" i="4" s="1"/>
  <c r="I76" i="4"/>
  <c r="J76" i="4" s="1"/>
  <c r="I94" i="4"/>
  <c r="J94" i="4" s="1"/>
  <c r="I104" i="4"/>
  <c r="J104" i="4" s="1"/>
  <c r="I126" i="4"/>
  <c r="J126" i="4" s="1"/>
  <c r="I132" i="4"/>
  <c r="J132" i="4" s="1"/>
  <c r="I174" i="4"/>
  <c r="J174" i="4" s="1"/>
  <c r="I190" i="4"/>
  <c r="J190" i="4" s="1"/>
  <c r="I209" i="4"/>
  <c r="J209" i="4" s="1"/>
  <c r="I213" i="4"/>
  <c r="J213" i="4" s="1"/>
  <c r="I217" i="4"/>
  <c r="J217" i="4" s="1"/>
  <c r="I239" i="4"/>
  <c r="J239" i="4" s="1"/>
  <c r="I4" i="4"/>
  <c r="J4" i="4" s="1"/>
  <c r="L4" i="4" s="1"/>
  <c r="I9" i="4"/>
  <c r="J9" i="4" s="1"/>
  <c r="I13" i="4"/>
  <c r="J13" i="4" s="1"/>
  <c r="I16" i="4"/>
  <c r="J16" i="4" s="1"/>
  <c r="I19" i="4"/>
  <c r="J19" i="4" s="1"/>
  <c r="L19" i="4" s="1"/>
  <c r="I26" i="4"/>
  <c r="J26" i="4" s="1"/>
  <c r="I29" i="4"/>
  <c r="J29" i="4" s="1"/>
  <c r="I33" i="4"/>
  <c r="J33" i="4" s="1"/>
  <c r="I36" i="4"/>
  <c r="J36" i="4" s="1"/>
  <c r="I43" i="4"/>
  <c r="J43" i="4" s="1"/>
  <c r="I47" i="4"/>
  <c r="J47" i="4" s="1"/>
  <c r="I54" i="4"/>
  <c r="J54" i="4" s="1"/>
  <c r="I57" i="4"/>
  <c r="J57" i="4" s="1"/>
  <c r="I61" i="4"/>
  <c r="J61" i="4" s="1"/>
  <c r="I65" i="4"/>
  <c r="J65" i="4" s="1"/>
  <c r="I68" i="4"/>
  <c r="J68" i="4" s="1"/>
  <c r="I75" i="4"/>
  <c r="J75" i="4" s="1"/>
  <c r="I79" i="4"/>
  <c r="J79" i="4" s="1"/>
  <c r="I86" i="4"/>
  <c r="J86" i="4" s="1"/>
  <c r="I89" i="4"/>
  <c r="J89" i="4" s="1"/>
  <c r="I93" i="4"/>
  <c r="J93" i="4" s="1"/>
  <c r="I97" i="4"/>
  <c r="J97" i="4" s="1"/>
  <c r="I100" i="4"/>
  <c r="J100" i="4" s="1"/>
  <c r="I107" i="4"/>
  <c r="J107" i="4" s="1"/>
  <c r="I111" i="4"/>
  <c r="J111" i="4" s="1"/>
  <c r="I118" i="4"/>
  <c r="J118" i="4" s="1"/>
  <c r="I121" i="4"/>
  <c r="J121" i="4" s="1"/>
  <c r="I125" i="4"/>
  <c r="J125" i="4" s="1"/>
  <c r="I131" i="4"/>
  <c r="J131" i="4" s="1"/>
  <c r="I135" i="4"/>
  <c r="J135" i="4" s="1"/>
  <c r="I141" i="4"/>
  <c r="J141" i="4" s="1"/>
  <c r="I147" i="4"/>
  <c r="J147" i="4" s="1"/>
  <c r="I151" i="4"/>
  <c r="J151" i="4" s="1"/>
  <c r="L151" i="4" s="1"/>
  <c r="I158" i="4"/>
  <c r="J158" i="4" s="1"/>
  <c r="I169" i="4"/>
  <c r="J169" i="4" s="1"/>
  <c r="I177" i="4"/>
  <c r="J177" i="4" s="1"/>
  <c r="I185" i="4"/>
  <c r="J185" i="4" s="1"/>
  <c r="I193" i="4"/>
  <c r="J193" i="4" s="1"/>
  <c r="I197" i="4"/>
  <c r="J197" i="4" s="1"/>
  <c r="I201" i="4"/>
  <c r="J201" i="4" s="1"/>
  <c r="I208" i="4"/>
  <c r="J208" i="4" s="1"/>
  <c r="I227" i="4"/>
  <c r="J227" i="4" s="1"/>
  <c r="I234" i="4"/>
  <c r="J234" i="4" s="1"/>
  <c r="I266" i="4"/>
  <c r="J266" i="4" s="1"/>
  <c r="I273" i="4"/>
  <c r="J273" i="4" s="1"/>
  <c r="I277" i="4"/>
  <c r="J277" i="4" s="1"/>
  <c r="I281" i="4"/>
  <c r="J281" i="4" s="1"/>
  <c r="I292" i="4"/>
  <c r="J292" i="4" s="1"/>
  <c r="I253" i="4"/>
  <c r="J253" i="4" s="1"/>
  <c r="I260" i="4"/>
  <c r="J260" i="4" s="1"/>
  <c r="I263" i="4"/>
  <c r="J263" i="4" s="1"/>
  <c r="I282" i="4"/>
  <c r="J282" i="4" s="1"/>
  <c r="I286" i="4"/>
  <c r="J286" i="4" s="1"/>
  <c r="I289" i="4"/>
  <c r="J289" i="4" s="1"/>
  <c r="I300" i="4"/>
  <c r="J300" i="4" s="1"/>
  <c r="I14" i="4"/>
  <c r="J14" i="4" s="1"/>
  <c r="K14" i="4" s="1"/>
  <c r="I23" i="4"/>
  <c r="J23" i="4" s="1"/>
  <c r="I34" i="4"/>
  <c r="J34" i="4" s="1"/>
  <c r="I40" i="4"/>
  <c r="J40" i="4" s="1"/>
  <c r="I48" i="4"/>
  <c r="J48" i="4" s="1"/>
  <c r="I58" i="4"/>
  <c r="J58" i="4" s="1"/>
  <c r="I224" i="4"/>
  <c r="J224" i="4" s="1"/>
  <c r="I235" i="4"/>
  <c r="J235" i="4" s="1"/>
  <c r="I243" i="4"/>
  <c r="J243" i="4" s="1"/>
  <c r="I5" i="4"/>
  <c r="J5" i="4" s="1"/>
  <c r="M5" i="4" s="1"/>
  <c r="I7" i="4"/>
  <c r="J7" i="4" s="1"/>
  <c r="I11" i="4"/>
  <c r="J11" i="4" s="1"/>
  <c r="N11" i="4" s="1"/>
  <c r="I17" i="4"/>
  <c r="J17" i="4" s="1"/>
  <c r="I21" i="4"/>
  <c r="J21" i="4" s="1"/>
  <c r="I24" i="4"/>
  <c r="J24" i="4" s="1"/>
  <c r="I27" i="4"/>
  <c r="J27" i="4" s="1"/>
  <c r="L27" i="4" s="1"/>
  <c r="I31" i="4"/>
  <c r="J31" i="4" s="1"/>
  <c r="I38" i="4"/>
  <c r="J38" i="4" s="1"/>
  <c r="I41" i="4"/>
  <c r="J41" i="4" s="1"/>
  <c r="I45" i="4"/>
  <c r="J45" i="4" s="1"/>
  <c r="I49" i="4"/>
  <c r="J49" i="4" s="1"/>
  <c r="I52" i="4"/>
  <c r="J52" i="4" s="1"/>
  <c r="I55" i="4"/>
  <c r="J55" i="4" s="1"/>
  <c r="I59" i="4"/>
  <c r="J59" i="4" s="1"/>
  <c r="I63" i="4"/>
  <c r="J63" i="4" s="1"/>
  <c r="I70" i="4"/>
  <c r="J70" i="4" s="1"/>
  <c r="I73" i="4"/>
  <c r="J73" i="4" s="1"/>
  <c r="I77" i="4"/>
  <c r="J77" i="4" s="1"/>
  <c r="I81" i="4"/>
  <c r="J81" i="4" s="1"/>
  <c r="I84" i="4"/>
  <c r="J84" i="4" s="1"/>
  <c r="I87" i="4"/>
  <c r="J87" i="4" s="1"/>
  <c r="I91" i="4"/>
  <c r="J91" i="4" s="1"/>
  <c r="I95" i="4"/>
  <c r="J95" i="4" s="1"/>
  <c r="I102" i="4"/>
  <c r="J102" i="4" s="1"/>
  <c r="I105" i="4"/>
  <c r="J105" i="4" s="1"/>
  <c r="I109" i="4"/>
  <c r="J109" i="4" s="1"/>
  <c r="I113" i="4"/>
  <c r="J113" i="4" s="1"/>
  <c r="I116" i="4"/>
  <c r="J116" i="4" s="1"/>
  <c r="I119" i="4"/>
  <c r="J119" i="4" s="1"/>
  <c r="I123" i="4"/>
  <c r="J123" i="4" s="1"/>
  <c r="I127" i="4"/>
  <c r="J127" i="4" s="1"/>
  <c r="I133" i="4"/>
  <c r="J133" i="4" s="1"/>
  <c r="I136" i="4"/>
  <c r="J136" i="4" s="1"/>
  <c r="I139" i="4"/>
  <c r="J139" i="4" s="1"/>
  <c r="I143" i="4"/>
  <c r="J143" i="4" s="1"/>
  <c r="I149" i="4"/>
  <c r="J149" i="4" s="1"/>
  <c r="I153" i="4"/>
  <c r="J153" i="4" s="1"/>
  <c r="I156" i="4"/>
  <c r="J156" i="4" s="1"/>
  <c r="I160" i="4"/>
  <c r="J160" i="4" s="1"/>
  <c r="I171" i="4"/>
  <c r="J171" i="4" s="1"/>
  <c r="I179" i="4"/>
  <c r="J179" i="4" s="1"/>
  <c r="I187" i="4"/>
  <c r="J187" i="4" s="1"/>
  <c r="I195" i="4"/>
  <c r="J195" i="4" s="1"/>
  <c r="I199" i="4"/>
  <c r="J199" i="4" s="1"/>
  <c r="I203" i="4"/>
  <c r="J203" i="4" s="1"/>
  <c r="I206" i="4"/>
  <c r="J206" i="4" s="1"/>
  <c r="I225" i="4"/>
  <c r="J225" i="4" s="1"/>
  <c r="I229" i="4"/>
  <c r="J229" i="4" s="1"/>
  <c r="I232" i="4"/>
  <c r="J232" i="4" s="1"/>
  <c r="I254" i="4"/>
  <c r="J254" i="4" s="1"/>
  <c r="I257" i="4"/>
  <c r="J257" i="4" s="1"/>
  <c r="I264" i="4"/>
  <c r="J264" i="4" s="1"/>
  <c r="I268" i="4"/>
  <c r="J268" i="4" s="1"/>
  <c r="I271" i="4"/>
  <c r="J271" i="4" s="1"/>
  <c r="I275" i="4"/>
  <c r="J275" i="4" s="1"/>
  <c r="I279" i="4"/>
  <c r="J279" i="4" s="1"/>
  <c r="I290" i="4"/>
  <c r="J290" i="4" s="1"/>
  <c r="I294" i="4"/>
  <c r="J294" i="4" s="1"/>
  <c r="I297" i="4"/>
  <c r="J297" i="4" s="1"/>
  <c r="I10" i="4"/>
  <c r="J10" i="4" s="1"/>
  <c r="I20" i="4"/>
  <c r="J20" i="4" s="1"/>
  <c r="L20" i="4" s="1"/>
  <c r="I30" i="4"/>
  <c r="J30" i="4" s="1"/>
  <c r="I62" i="4"/>
  <c r="J62" i="4" s="1"/>
  <c r="I69" i="4"/>
  <c r="J69" i="4" s="1"/>
  <c r="I72" i="4"/>
  <c r="J72" i="4" s="1"/>
  <c r="I80" i="4"/>
  <c r="J80" i="4" s="1"/>
  <c r="I90" i="4"/>
  <c r="J90" i="4" s="1"/>
  <c r="I98" i="4"/>
  <c r="J98" i="4" s="1"/>
  <c r="I101" i="4"/>
  <c r="J101" i="4" s="1"/>
  <c r="I108" i="4"/>
  <c r="J108" i="4" s="1"/>
  <c r="I112" i="4"/>
  <c r="J112" i="4" s="1"/>
  <c r="I122" i="4"/>
  <c r="J122" i="4" s="1"/>
  <c r="I129" i="4"/>
  <c r="J129" i="4" s="1"/>
  <c r="I142" i="4"/>
  <c r="J142" i="4" s="1"/>
  <c r="I145" i="4"/>
  <c r="J145" i="4" s="1"/>
  <c r="I148" i="4"/>
  <c r="J148" i="4" s="1"/>
  <c r="I152" i="4"/>
  <c r="J152" i="4" s="1"/>
  <c r="I166" i="4"/>
  <c r="J166" i="4" s="1"/>
  <c r="I182" i="4"/>
  <c r="J182" i="4" s="1"/>
  <c r="I3" i="4"/>
  <c r="J3" i="4" s="1"/>
  <c r="I8" i="4"/>
  <c r="J8" i="4" s="1"/>
  <c r="I12" i="4"/>
  <c r="J12" i="4" s="1"/>
  <c r="K12" i="4" s="1"/>
  <c r="I15" i="4"/>
  <c r="J15" i="4" s="1"/>
  <c r="I18" i="4"/>
  <c r="J18" i="4" s="1"/>
  <c r="I25" i="4"/>
  <c r="J25" i="4" s="1"/>
  <c r="I28" i="4"/>
  <c r="J28" i="4" s="1"/>
  <c r="M28" i="4" s="1"/>
  <c r="I32" i="4"/>
  <c r="J32" i="4" s="1"/>
  <c r="I35" i="4"/>
  <c r="J35" i="4" s="1"/>
  <c r="I42" i="4"/>
  <c r="J42" i="4" s="1"/>
  <c r="I46" i="4"/>
  <c r="J46" i="4" s="1"/>
  <c r="I50" i="4"/>
  <c r="J50" i="4" s="1"/>
  <c r="I53" i="4"/>
  <c r="J53" i="4" s="1"/>
  <c r="I56" i="4"/>
  <c r="J56" i="4" s="1"/>
  <c r="I60" i="4"/>
  <c r="J60" i="4" s="1"/>
  <c r="I64" i="4"/>
  <c r="J64" i="4" s="1"/>
  <c r="I67" i="4"/>
  <c r="J67" i="4" s="1"/>
  <c r="I74" i="4"/>
  <c r="J74" i="4" s="1"/>
  <c r="I78" i="4"/>
  <c r="J78" i="4" s="1"/>
  <c r="I82" i="4"/>
  <c r="J82" i="4" s="1"/>
  <c r="I85" i="4"/>
  <c r="J85" i="4" s="1"/>
  <c r="I88" i="4"/>
  <c r="J88" i="4" s="1"/>
  <c r="I92" i="4"/>
  <c r="J92" i="4" s="1"/>
  <c r="I96" i="4"/>
  <c r="J96" i="4" s="1"/>
  <c r="I99" i="4"/>
  <c r="J99" i="4" s="1"/>
  <c r="I106" i="4"/>
  <c r="J106" i="4" s="1"/>
  <c r="I110" i="4"/>
  <c r="J110" i="4" s="1"/>
  <c r="I114" i="4"/>
  <c r="J114" i="4" s="1"/>
  <c r="I117" i="4"/>
  <c r="J117" i="4" s="1"/>
  <c r="I120" i="4"/>
  <c r="J120" i="4" s="1"/>
  <c r="I124" i="4"/>
  <c r="J124" i="4" s="1"/>
  <c r="I130" i="4"/>
  <c r="J130" i="4" s="1"/>
  <c r="I134" i="4"/>
  <c r="J134" i="4" s="1"/>
  <c r="I137" i="4"/>
  <c r="J137" i="4" s="1"/>
  <c r="I140" i="4"/>
  <c r="J140" i="4" s="1"/>
  <c r="I146" i="4"/>
  <c r="J146" i="4" s="1"/>
  <c r="I150" i="4"/>
  <c r="J150" i="4" s="1"/>
  <c r="I161" i="4"/>
  <c r="J161" i="4" s="1"/>
  <c r="I164" i="4"/>
  <c r="J164" i="4" s="1"/>
  <c r="I168" i="4"/>
  <c r="J168" i="4" s="1"/>
  <c r="I172" i="4"/>
  <c r="J172" i="4" s="1"/>
  <c r="I176" i="4"/>
  <c r="J176" i="4" s="1"/>
  <c r="I180" i="4"/>
  <c r="J180" i="4" s="1"/>
  <c r="I184" i="4"/>
  <c r="J184" i="4" s="1"/>
  <c r="I188" i="4"/>
  <c r="J188" i="4" s="1"/>
  <c r="I192" i="4"/>
  <c r="J192" i="4" s="1"/>
  <c r="I211" i="4"/>
  <c r="J211" i="4" s="1"/>
  <c r="I215" i="4"/>
  <c r="J215" i="4" s="1"/>
  <c r="I219" i="4"/>
  <c r="J219" i="4" s="1"/>
  <c r="I222" i="4"/>
  <c r="J222" i="4" s="1"/>
  <c r="I237" i="4"/>
  <c r="J237" i="4" s="1"/>
  <c r="I241" i="4"/>
  <c r="J241" i="4" s="1"/>
  <c r="I245" i="4"/>
  <c r="J245" i="4" s="1"/>
  <c r="I248" i="4"/>
  <c r="J248" i="4" s="1"/>
  <c r="I251" i="4"/>
  <c r="J251" i="4" s="1"/>
  <c r="I258" i="4"/>
  <c r="J258" i="4" s="1"/>
  <c r="I284" i="4"/>
  <c r="J284" i="4" s="1"/>
  <c r="I298" i="4"/>
  <c r="J298" i="4" s="1"/>
  <c r="I155" i="4"/>
  <c r="J155" i="4" s="1"/>
  <c r="I159" i="4"/>
  <c r="J159" i="4" s="1"/>
  <c r="I165" i="4"/>
  <c r="J165" i="4" s="1"/>
  <c r="I175" i="4"/>
  <c r="J175" i="4" s="1"/>
  <c r="I178" i="4"/>
  <c r="J178" i="4" s="1"/>
  <c r="I181" i="4"/>
  <c r="J181" i="4" s="1"/>
  <c r="I191" i="4"/>
  <c r="J191" i="4" s="1"/>
  <c r="I194" i="4"/>
  <c r="J194" i="4" s="1"/>
  <c r="I198" i="4"/>
  <c r="J198" i="4" s="1"/>
  <c r="I202" i="4"/>
  <c r="J202" i="4" s="1"/>
  <c r="I205" i="4"/>
  <c r="J205" i="4" s="1"/>
  <c r="I212" i="4"/>
  <c r="J212" i="4" s="1"/>
  <c r="I216" i="4"/>
  <c r="J216" i="4" s="1"/>
  <c r="I223" i="4"/>
  <c r="J223" i="4" s="1"/>
  <c r="I226" i="4"/>
  <c r="J226" i="4" s="1"/>
  <c r="I233" i="4"/>
  <c r="J233" i="4" s="1"/>
  <c r="I236" i="4"/>
  <c r="J236" i="4" s="1"/>
  <c r="I240" i="4"/>
  <c r="J240" i="4" s="1"/>
  <c r="I244" i="4"/>
  <c r="J244" i="4" s="1"/>
  <c r="I247" i="4"/>
  <c r="J247" i="4" s="1"/>
  <c r="I250" i="4"/>
  <c r="J250" i="4" s="1"/>
  <c r="I256" i="4"/>
  <c r="J256" i="4" s="1"/>
  <c r="I259" i="4"/>
  <c r="J259" i="4" s="1"/>
  <c r="I262" i="4"/>
  <c r="J262" i="4" s="1"/>
  <c r="I265" i="4"/>
  <c r="J265" i="4" s="1"/>
  <c r="I272" i="4"/>
  <c r="J272" i="4" s="1"/>
  <c r="I276" i="4"/>
  <c r="J276" i="4" s="1"/>
  <c r="I280" i="4"/>
  <c r="J280" i="4" s="1"/>
  <c r="I283" i="4"/>
  <c r="J283" i="4" s="1"/>
  <c r="I293" i="4"/>
  <c r="J293" i="4" s="1"/>
  <c r="I296" i="4"/>
  <c r="J296" i="4" s="1"/>
  <c r="I299" i="4"/>
  <c r="J299" i="4" s="1"/>
  <c r="I302" i="4"/>
  <c r="J302" i="4" s="1"/>
  <c r="I157" i="4"/>
  <c r="J157" i="4" s="1"/>
  <c r="I163" i="4"/>
  <c r="J163" i="4" s="1"/>
  <c r="I167" i="4"/>
  <c r="J167" i="4" s="1"/>
  <c r="I170" i="4"/>
  <c r="J170" i="4" s="1"/>
  <c r="I173" i="4"/>
  <c r="J173" i="4" s="1"/>
  <c r="I183" i="4"/>
  <c r="J183" i="4" s="1"/>
  <c r="I186" i="4"/>
  <c r="J186" i="4" s="1"/>
  <c r="I189" i="4"/>
  <c r="J189" i="4" s="1"/>
  <c r="I196" i="4"/>
  <c r="J196" i="4" s="1"/>
  <c r="I200" i="4"/>
  <c r="J200" i="4" s="1"/>
  <c r="I207" i="4"/>
  <c r="J207" i="4" s="1"/>
  <c r="I210" i="4"/>
  <c r="J210" i="4" s="1"/>
  <c r="I214" i="4"/>
  <c r="J214" i="4" s="1"/>
  <c r="I218" i="4"/>
  <c r="J218" i="4" s="1"/>
  <c r="I221" i="4"/>
  <c r="J221" i="4" s="1"/>
  <c r="I228" i="4"/>
  <c r="J228" i="4" s="1"/>
  <c r="I231" i="4"/>
  <c r="J231" i="4" s="1"/>
  <c r="I238" i="4"/>
  <c r="J238" i="4" s="1"/>
  <c r="I242" i="4"/>
  <c r="J242" i="4" s="1"/>
  <c r="I252" i="4"/>
  <c r="J252" i="4" s="1"/>
  <c r="I267" i="4"/>
  <c r="J267" i="4" s="1"/>
  <c r="I270" i="4"/>
  <c r="J270" i="4" s="1"/>
  <c r="I274" i="4"/>
  <c r="J274" i="4" s="1"/>
  <c r="I278" i="4"/>
  <c r="J278" i="4" s="1"/>
  <c r="I285" i="4"/>
  <c r="J285" i="4" s="1"/>
  <c r="I288" i="4"/>
  <c r="J288" i="4" s="1"/>
  <c r="I291" i="4"/>
  <c r="J291" i="4" s="1"/>
  <c r="I303" i="4"/>
  <c r="J303" i="4" s="1"/>
  <c r="K22" i="4"/>
  <c r="N22" i="4"/>
  <c r="N7" i="12" l="1"/>
  <c r="M7" i="12"/>
  <c r="L7" i="12"/>
  <c r="K7" i="12"/>
  <c r="K99" i="5"/>
  <c r="N20" i="5"/>
  <c r="L6" i="5"/>
  <c r="M115" i="5"/>
  <c r="S4" i="10"/>
  <c r="J8" i="12"/>
  <c r="O8" i="12"/>
  <c r="K6" i="4"/>
  <c r="N345" i="4"/>
  <c r="L115" i="5"/>
  <c r="K180" i="5"/>
  <c r="N99" i="5"/>
  <c r="M150" i="5"/>
  <c r="G10" i="12"/>
  <c r="H9" i="12"/>
  <c r="I9" i="12" s="1"/>
  <c r="R6" i="12"/>
  <c r="N6" i="4"/>
  <c r="L6" i="4"/>
  <c r="M84" i="5"/>
  <c r="M148" i="5"/>
  <c r="M52" i="5"/>
  <c r="L22" i="5"/>
  <c r="R4" i="11"/>
  <c r="Q7" i="12"/>
  <c r="P7" i="12"/>
  <c r="S5" i="12"/>
  <c r="S6" i="12"/>
  <c r="L5" i="11"/>
  <c r="K5" i="11"/>
  <c r="N5" i="11"/>
  <c r="M5" i="11"/>
  <c r="M19" i="4"/>
  <c r="N334" i="4"/>
  <c r="N123" i="5"/>
  <c r="L187" i="5"/>
  <c r="M246" i="5"/>
  <c r="L99" i="5"/>
  <c r="L68" i="5"/>
  <c r="L67" i="5"/>
  <c r="N142" i="5"/>
  <c r="L70" i="5"/>
  <c r="K67" i="5"/>
  <c r="S4" i="11"/>
  <c r="P5" i="11"/>
  <c r="Q5" i="11"/>
  <c r="S5" i="11" s="1"/>
  <c r="L38" i="5"/>
  <c r="L54" i="5"/>
  <c r="L118" i="5"/>
  <c r="S3" i="7"/>
  <c r="K6" i="11"/>
  <c r="N6" i="11"/>
  <c r="M6" i="11"/>
  <c r="L6" i="11"/>
  <c r="J7" i="11"/>
  <c r="O7" i="11"/>
  <c r="N121" i="5"/>
  <c r="N115" i="5"/>
  <c r="N84" i="5"/>
  <c r="L185" i="5"/>
  <c r="N36" i="5"/>
  <c r="K9" i="5"/>
  <c r="K25" i="5"/>
  <c r="Q6" i="11"/>
  <c r="S6" i="11" s="1"/>
  <c r="P6" i="11"/>
  <c r="G9" i="11"/>
  <c r="H8" i="11"/>
  <c r="I8" i="11" s="1"/>
  <c r="K5" i="10"/>
  <c r="R5" i="10" s="1"/>
  <c r="N5" i="10"/>
  <c r="G8" i="10"/>
  <c r="H7" i="10"/>
  <c r="I7" i="10" s="1"/>
  <c r="J7" i="10" s="1"/>
  <c r="L5" i="10"/>
  <c r="S5" i="10" s="1"/>
  <c r="O6" i="10"/>
  <c r="L346" i="4"/>
  <c r="M319" i="4"/>
  <c r="L315" i="4"/>
  <c r="N319" i="4"/>
  <c r="K319" i="4"/>
  <c r="K315" i="4"/>
  <c r="L326" i="4"/>
  <c r="M21" i="5"/>
  <c r="N85" i="5"/>
  <c r="M144" i="5"/>
  <c r="L80" i="5"/>
  <c r="M35" i="5"/>
  <c r="K229" i="5"/>
  <c r="K34" i="5"/>
  <c r="K160" i="5"/>
  <c r="N338" i="5"/>
  <c r="M146" i="5"/>
  <c r="M69" i="5"/>
  <c r="K83" i="5"/>
  <c r="M51" i="5"/>
  <c r="L21" i="5"/>
  <c r="L160" i="5"/>
  <c r="N322" i="5"/>
  <c r="L101" i="5"/>
  <c r="L83" i="5"/>
  <c r="M50" i="5"/>
  <c r="K82" i="5"/>
  <c r="L18" i="5"/>
  <c r="L117" i="5"/>
  <c r="N159" i="5"/>
  <c r="L95" i="5"/>
  <c r="M159" i="5"/>
  <c r="M98" i="5"/>
  <c r="N34" i="5"/>
  <c r="N83" i="5"/>
  <c r="L53" i="5"/>
  <c r="L35" i="5"/>
  <c r="K50" i="5"/>
  <c r="N69" i="5"/>
  <c r="N5" i="5"/>
  <c r="K51" i="5"/>
  <c r="N311" i="4"/>
  <c r="M326" i="4"/>
  <c r="M346" i="4"/>
  <c r="K346" i="4"/>
  <c r="K341" i="4"/>
  <c r="L311" i="4"/>
  <c r="M311" i="4"/>
  <c r="L341" i="4"/>
  <c r="K326" i="4"/>
  <c r="K347" i="4"/>
  <c r="S4" i="7"/>
  <c r="K331" i="4"/>
  <c r="L335" i="4"/>
  <c r="L103" i="5"/>
  <c r="L305" i="4"/>
  <c r="R3" i="7"/>
  <c r="J5" i="7"/>
  <c r="L5" i="7" s="1"/>
  <c r="O5" i="7"/>
  <c r="K47" i="5"/>
  <c r="L33" i="5"/>
  <c r="L78" i="5"/>
  <c r="L28" i="5"/>
  <c r="N304" i="4"/>
  <c r="N350" i="4"/>
  <c r="L306" i="4"/>
  <c r="N111" i="5"/>
  <c r="M19" i="5"/>
  <c r="L225" i="5"/>
  <c r="M111" i="5"/>
  <c r="K19" i="4"/>
  <c r="K304" i="4"/>
  <c r="L353" i="4"/>
  <c r="K314" i="4"/>
  <c r="K330" i="4"/>
  <c r="K306" i="4"/>
  <c r="L111" i="5"/>
  <c r="M97" i="5"/>
  <c r="K222" i="5"/>
  <c r="K60" i="5"/>
  <c r="M12" i="5"/>
  <c r="L177" i="5"/>
  <c r="L62" i="5"/>
  <c r="N14" i="5"/>
  <c r="K6" i="9"/>
  <c r="N6" i="9"/>
  <c r="M6" i="9"/>
  <c r="L6" i="9"/>
  <c r="L330" i="4"/>
  <c r="N5" i="4"/>
  <c r="K345" i="4"/>
  <c r="N314" i="4"/>
  <c r="N330" i="4"/>
  <c r="K342" i="4"/>
  <c r="M110" i="5"/>
  <c r="M217" i="5"/>
  <c r="M262" i="5"/>
  <c r="L209" i="5"/>
  <c r="M60" i="5"/>
  <c r="L161" i="5"/>
  <c r="L30" i="5"/>
  <c r="K41" i="5"/>
  <c r="L65" i="5"/>
  <c r="K57" i="5"/>
  <c r="L49" i="5"/>
  <c r="K86" i="5"/>
  <c r="G8" i="9"/>
  <c r="H7" i="9"/>
  <c r="I7" i="9" s="1"/>
  <c r="J7" i="9" s="1"/>
  <c r="N309" i="4"/>
  <c r="K351" i="4"/>
  <c r="N342" i="4"/>
  <c r="M310" i="4"/>
  <c r="L322" i="4"/>
  <c r="L324" i="4"/>
  <c r="L347" i="4"/>
  <c r="N19" i="4"/>
  <c r="L22" i="4"/>
  <c r="M324" i="4"/>
  <c r="M352" i="4"/>
  <c r="K317" i="4"/>
  <c r="M334" i="4"/>
  <c r="M345" i="4"/>
  <c r="L314" i="4"/>
  <c r="M331" i="4"/>
  <c r="L350" i="4"/>
  <c r="N310" i="4"/>
  <c r="N349" i="4"/>
  <c r="K353" i="4"/>
  <c r="K352" i="4"/>
  <c r="K124" i="5"/>
  <c r="N113" i="5"/>
  <c r="K110" i="5"/>
  <c r="N81" i="5"/>
  <c r="N190" i="5"/>
  <c r="M81" i="5"/>
  <c r="M222" i="5"/>
  <c r="K44" i="5"/>
  <c r="M209" i="5"/>
  <c r="M193" i="5"/>
  <c r="N76" i="5"/>
  <c r="N60" i="5"/>
  <c r="M28" i="5"/>
  <c r="N12" i="5"/>
  <c r="M156" i="5"/>
  <c r="M225" i="5"/>
  <c r="M177" i="5"/>
  <c r="M161" i="5"/>
  <c r="L142" i="5"/>
  <c r="M62" i="5"/>
  <c r="M30" i="5"/>
  <c r="M65" i="5"/>
  <c r="N46" i="5"/>
  <c r="M33" i="5"/>
  <c r="M14" i="5"/>
  <c r="M49" i="5"/>
  <c r="M17" i="5"/>
  <c r="K78" i="5"/>
  <c r="H6" i="7"/>
  <c r="I6" i="7" s="1"/>
  <c r="G7" i="7"/>
  <c r="N352" i="4"/>
  <c r="L334" i="4"/>
  <c r="L331" i="4"/>
  <c r="L310" i="4"/>
  <c r="N337" i="4"/>
  <c r="N313" i="4"/>
  <c r="N316" i="4"/>
  <c r="K108" i="5"/>
  <c r="L190" i="5"/>
  <c r="N94" i="5"/>
  <c r="N78" i="5"/>
  <c r="N222" i="5"/>
  <c r="K28" i="5"/>
  <c r="N209" i="5"/>
  <c r="N193" i="5"/>
  <c r="M44" i="5"/>
  <c r="N156" i="5"/>
  <c r="N225" i="5"/>
  <c r="N177" i="5"/>
  <c r="N161" i="5"/>
  <c r="M142" i="5"/>
  <c r="N62" i="5"/>
  <c r="N30" i="5"/>
  <c r="N65" i="5"/>
  <c r="K46" i="5"/>
  <c r="N33" i="5"/>
  <c r="K14" i="5"/>
  <c r="N49" i="5"/>
  <c r="N17" i="5"/>
  <c r="L110" i="5"/>
  <c r="K94" i="5"/>
  <c r="M113" i="5"/>
  <c r="M316" i="4"/>
  <c r="K339" i="4"/>
  <c r="K316" i="4"/>
  <c r="N92" i="5"/>
  <c r="K76" i="5"/>
  <c r="K12" i="5"/>
  <c r="L91" i="5"/>
  <c r="N44" i="5"/>
  <c r="L19" i="5"/>
  <c r="L94" i="5"/>
  <c r="K19" i="5"/>
  <c r="K81" i="5"/>
  <c r="M47" i="5"/>
  <c r="L59" i="5"/>
  <c r="N15" i="5"/>
  <c r="L87" i="5"/>
  <c r="L15" i="5"/>
  <c r="M79" i="5"/>
  <c r="L43" i="5"/>
  <c r="M15" i="5"/>
  <c r="K79" i="5"/>
  <c r="N119" i="5"/>
  <c r="L79" i="5"/>
  <c r="K116" i="5"/>
  <c r="L105" i="5"/>
  <c r="N217" i="5"/>
  <c r="L180" i="5"/>
  <c r="K219" i="5"/>
  <c r="M89" i="5"/>
  <c r="N262" i="5"/>
  <c r="N246" i="5"/>
  <c r="M212" i="5"/>
  <c r="M185" i="5"/>
  <c r="N148" i="5"/>
  <c r="K150" i="5"/>
  <c r="N52" i="5"/>
  <c r="L73" i="5"/>
  <c r="M70" i="5"/>
  <c r="L41" i="5"/>
  <c r="M38" i="5"/>
  <c r="L9" i="5"/>
  <c r="M6" i="5"/>
  <c r="L57" i="5"/>
  <c r="M54" i="5"/>
  <c r="L25" i="5"/>
  <c r="M22" i="5"/>
  <c r="L4" i="5"/>
  <c r="L84" i="5"/>
  <c r="M121" i="5"/>
  <c r="N35" i="5"/>
  <c r="K262" i="5"/>
  <c r="K246" i="5"/>
  <c r="N212" i="5"/>
  <c r="N185" i="5"/>
  <c r="L36" i="5"/>
  <c r="L148" i="5"/>
  <c r="K68" i="5"/>
  <c r="K52" i="5"/>
  <c r="N150" i="5"/>
  <c r="M68" i="5"/>
  <c r="M73" i="5"/>
  <c r="N70" i="5"/>
  <c r="M41" i="5"/>
  <c r="N38" i="5"/>
  <c r="M9" i="5"/>
  <c r="N6" i="5"/>
  <c r="M57" i="5"/>
  <c r="N54" i="5"/>
  <c r="M25" i="5"/>
  <c r="N22" i="5"/>
  <c r="L86" i="5"/>
  <c r="L102" i="5"/>
  <c r="M118" i="5"/>
  <c r="K217" i="5"/>
  <c r="M180" i="5"/>
  <c r="L121" i="5"/>
  <c r="K118" i="5"/>
  <c r="N102" i="5"/>
  <c r="N86" i="5"/>
  <c r="K199" i="5"/>
  <c r="M27" i="5"/>
  <c r="L20" i="5"/>
  <c r="M20" i="5"/>
  <c r="K36" i="5"/>
  <c r="K102" i="5"/>
  <c r="N117" i="5"/>
  <c r="N160" i="5"/>
  <c r="K338" i="5"/>
  <c r="K322" i="5"/>
  <c r="L229" i="5"/>
  <c r="N144" i="5"/>
  <c r="N101" i="5"/>
  <c r="L96" i="5"/>
  <c r="M64" i="5"/>
  <c r="K55" i="5"/>
  <c r="K3" i="5"/>
  <c r="K146" i="5"/>
  <c r="K98" i="5"/>
  <c r="M53" i="5"/>
  <c r="N31" i="5"/>
  <c r="M80" i="5"/>
  <c r="K85" i="5"/>
  <c r="L50" i="5"/>
  <c r="L34" i="5"/>
  <c r="L82" i="5"/>
  <c r="K69" i="5"/>
  <c r="L31" i="5"/>
  <c r="K5" i="5"/>
  <c r="K16" i="5"/>
  <c r="K95" i="5"/>
  <c r="N95" i="5"/>
  <c r="L48" i="5"/>
  <c r="L32" i="5"/>
  <c r="M114" i="5"/>
  <c r="L338" i="5"/>
  <c r="L144" i="5"/>
  <c r="M96" i="5"/>
  <c r="N64" i="5"/>
  <c r="M48" i="5"/>
  <c r="M32" i="5"/>
  <c r="M16" i="5"/>
  <c r="N146" i="5"/>
  <c r="K101" i="5"/>
  <c r="N66" i="5"/>
  <c r="M37" i="5"/>
  <c r="N18" i="5"/>
  <c r="K80" i="5"/>
  <c r="L37" i="5"/>
  <c r="M85" i="5"/>
  <c r="N53" i="5"/>
  <c r="N37" i="5"/>
  <c r="N21" i="5"/>
  <c r="N82" i="5"/>
  <c r="K66" i="5"/>
  <c r="M31" i="5"/>
  <c r="L5" i="5"/>
  <c r="K112" i="5"/>
  <c r="M87" i="5"/>
  <c r="L322" i="5"/>
  <c r="M229" i="5"/>
  <c r="L98" i="5"/>
  <c r="K114" i="5"/>
  <c r="K159" i="5"/>
  <c r="K96" i="5"/>
  <c r="N48" i="5"/>
  <c r="N32" i="5"/>
  <c r="N16" i="5"/>
  <c r="M66" i="5"/>
  <c r="M18" i="5"/>
  <c r="L114" i="5"/>
  <c r="N344" i="4"/>
  <c r="M317" i="4"/>
  <c r="N325" i="4"/>
  <c r="M315" i="4"/>
  <c r="K322" i="4"/>
  <c r="L318" i="4"/>
  <c r="N348" i="4"/>
  <c r="N324" i="4"/>
  <c r="M318" i="4"/>
  <c r="M325" i="4"/>
  <c r="M339" i="4"/>
  <c r="K313" i="4"/>
  <c r="L348" i="4"/>
  <c r="M5" i="6"/>
  <c r="K5" i="6"/>
  <c r="N5" i="6"/>
  <c r="L5" i="6"/>
  <c r="H6" i="6"/>
  <c r="I6" i="6" s="1"/>
  <c r="J6" i="6" s="1"/>
  <c r="G7" i="6"/>
  <c r="N317" i="4"/>
  <c r="K325" i="4"/>
  <c r="L313" i="4"/>
  <c r="K7" i="5"/>
  <c r="L55" i="5"/>
  <c r="K119" i="5"/>
  <c r="L122" i="5"/>
  <c r="L106" i="5"/>
  <c r="M43" i="5"/>
  <c r="N107" i="5"/>
  <c r="M107" i="5"/>
  <c r="L119" i="5"/>
  <c r="M55" i="5"/>
  <c r="M93" i="5"/>
  <c r="K43" i="5"/>
  <c r="L107" i="5"/>
  <c r="K71" i="5"/>
  <c r="N154" i="5"/>
  <c r="K58" i="5"/>
  <c r="M8" i="5"/>
  <c r="L123" i="5"/>
  <c r="K120" i="5"/>
  <c r="N187" i="5"/>
  <c r="L199" i="5"/>
  <c r="M59" i="5"/>
  <c r="N13" i="5"/>
  <c r="M88" i="5"/>
  <c r="L71" i="5"/>
  <c r="N61" i="5"/>
  <c r="L42" i="5"/>
  <c r="N90" i="5"/>
  <c r="M104" i="5"/>
  <c r="N59" i="5"/>
  <c r="K187" i="5"/>
  <c r="K122" i="5"/>
  <c r="M199" i="5"/>
  <c r="L152" i="5"/>
  <c r="L13" i="5"/>
  <c r="M7" i="5"/>
  <c r="K88" i="5"/>
  <c r="K45" i="5"/>
  <c r="K63" i="5"/>
  <c r="M63" i="5"/>
  <c r="M123" i="5"/>
  <c r="M125" i="5"/>
  <c r="K106" i="5"/>
  <c r="K221" i="5"/>
  <c r="L189" i="5"/>
  <c r="K152" i="5"/>
  <c r="L125" i="5"/>
  <c r="L109" i="5"/>
  <c r="L219" i="5"/>
  <c r="K189" i="5"/>
  <c r="M152" i="5"/>
  <c r="M91" i="5"/>
  <c r="M74" i="5"/>
  <c r="L61" i="5"/>
  <c r="M58" i="5"/>
  <c r="L45" i="5"/>
  <c r="M42" i="5"/>
  <c r="L29" i="5"/>
  <c r="M26" i="5"/>
  <c r="K13" i="5"/>
  <c r="L154" i="5"/>
  <c r="N91" i="5"/>
  <c r="K77" i="5"/>
  <c r="K74" i="5"/>
  <c r="K61" i="5"/>
  <c r="L58" i="5"/>
  <c r="L39" i="5"/>
  <c r="L93" i="5"/>
  <c r="M90" i="5"/>
  <c r="M72" i="5"/>
  <c r="M56" i="5"/>
  <c r="M40" i="5"/>
  <c r="M24" i="5"/>
  <c r="K104" i="5"/>
  <c r="M29" i="5"/>
  <c r="M109" i="5"/>
  <c r="N125" i="5"/>
  <c r="N109" i="5"/>
  <c r="M189" i="5"/>
  <c r="N221" i="5"/>
  <c r="N219" i="5"/>
  <c r="L167" i="5"/>
  <c r="N88" i="5"/>
  <c r="K39" i="5"/>
  <c r="M10" i="5"/>
  <c r="M154" i="5"/>
  <c r="L77" i="5"/>
  <c r="L74" i="5"/>
  <c r="N29" i="5"/>
  <c r="K26" i="5"/>
  <c r="K10" i="5"/>
  <c r="N104" i="5"/>
  <c r="K90" i="5"/>
  <c r="N56" i="5"/>
  <c r="N24" i="5"/>
  <c r="K56" i="5"/>
  <c r="K24" i="5"/>
  <c r="N93" i="5"/>
  <c r="M122" i="5"/>
  <c r="M106" i="5"/>
  <c r="M221" i="5"/>
  <c r="M167" i="5"/>
  <c r="M77" i="5"/>
  <c r="N63" i="5"/>
  <c r="N45" i="5"/>
  <c r="K42" i="5"/>
  <c r="L26" i="5"/>
  <c r="L10" i="5"/>
  <c r="M4" i="5"/>
  <c r="K4" i="5"/>
  <c r="N3" i="5"/>
  <c r="L3" i="5"/>
  <c r="K23" i="5"/>
  <c r="K75" i="5"/>
  <c r="N87" i="5"/>
  <c r="K27" i="5"/>
  <c r="N27" i="5"/>
  <c r="L120" i="5"/>
  <c r="N120" i="5"/>
  <c r="K72" i="5"/>
  <c r="L72" i="5"/>
  <c r="L40" i="5"/>
  <c r="K40" i="5"/>
  <c r="K8" i="5"/>
  <c r="L8" i="5"/>
  <c r="K11" i="5"/>
  <c r="M103" i="5"/>
  <c r="N167" i="5"/>
  <c r="L75" i="5"/>
  <c r="L11" i="5"/>
  <c r="L23" i="5"/>
  <c r="L7" i="5"/>
  <c r="M71" i="5"/>
  <c r="N47" i="5"/>
  <c r="M39" i="5"/>
  <c r="N103" i="5"/>
  <c r="K105" i="5"/>
  <c r="M105" i="5"/>
  <c r="K89" i="5"/>
  <c r="L89" i="5"/>
  <c r="L116" i="5"/>
  <c r="N116" i="5"/>
  <c r="L100" i="5"/>
  <c r="K100" i="5"/>
  <c r="M75" i="5"/>
  <c r="M11" i="5"/>
  <c r="M23" i="5"/>
  <c r="L112" i="5"/>
  <c r="N112" i="5"/>
  <c r="M117" i="5"/>
  <c r="L97" i="5"/>
  <c r="K97" i="5"/>
  <c r="N124" i="5"/>
  <c r="L124" i="5"/>
  <c r="N108" i="5"/>
  <c r="L108" i="5"/>
  <c r="K92" i="5"/>
  <c r="L92" i="5"/>
  <c r="L64" i="5"/>
  <c r="K151" i="4"/>
  <c r="M151" i="4"/>
  <c r="L339" i="4"/>
  <c r="K329" i="4"/>
  <c r="L339" i="5"/>
  <c r="K339" i="5"/>
  <c r="N339" i="5"/>
  <c r="M339" i="5"/>
  <c r="N353" i="5"/>
  <c r="M353" i="5"/>
  <c r="L353" i="5"/>
  <c r="K353" i="5"/>
  <c r="N337" i="5"/>
  <c r="M337" i="5"/>
  <c r="L337" i="5"/>
  <c r="K337" i="5"/>
  <c r="N321" i="5"/>
  <c r="M321" i="5"/>
  <c r="L321" i="5"/>
  <c r="K321" i="5"/>
  <c r="L351" i="5"/>
  <c r="K351" i="5"/>
  <c r="N351" i="5"/>
  <c r="M351" i="5"/>
  <c r="L319" i="5"/>
  <c r="K319" i="5"/>
  <c r="N319" i="5"/>
  <c r="M319" i="5"/>
  <c r="M305" i="5"/>
  <c r="L305" i="5"/>
  <c r="K305" i="5"/>
  <c r="N305" i="5"/>
  <c r="K307" i="5"/>
  <c r="N307" i="5"/>
  <c r="M307" i="5"/>
  <c r="L307" i="5"/>
  <c r="N325" i="5"/>
  <c r="M325" i="5"/>
  <c r="L325" i="5"/>
  <c r="K325" i="5"/>
  <c r="L292" i="5"/>
  <c r="K292" i="5"/>
  <c r="N292" i="5"/>
  <c r="M292" i="5"/>
  <c r="N290" i="5"/>
  <c r="M290" i="5"/>
  <c r="L290" i="5"/>
  <c r="K290" i="5"/>
  <c r="L280" i="5"/>
  <c r="K280" i="5"/>
  <c r="N280" i="5"/>
  <c r="M280" i="5"/>
  <c r="K330" i="5"/>
  <c r="N330" i="5"/>
  <c r="M330" i="5"/>
  <c r="L330" i="5"/>
  <c r="K283" i="5"/>
  <c r="N283" i="5"/>
  <c r="L283" i="5"/>
  <c r="M283" i="5"/>
  <c r="N242" i="5"/>
  <c r="K242" i="5"/>
  <c r="M242" i="5"/>
  <c r="L242" i="5"/>
  <c r="M316" i="5"/>
  <c r="L316" i="5"/>
  <c r="K316" i="5"/>
  <c r="N316" i="5"/>
  <c r="L284" i="5"/>
  <c r="K284" i="5"/>
  <c r="N284" i="5"/>
  <c r="M284" i="5"/>
  <c r="N270" i="5"/>
  <c r="M270" i="5"/>
  <c r="L270" i="5"/>
  <c r="K270" i="5"/>
  <c r="M249" i="5"/>
  <c r="L249" i="5"/>
  <c r="K249" i="5"/>
  <c r="N249" i="5"/>
  <c r="N216" i="5"/>
  <c r="K216" i="5"/>
  <c r="M216" i="5"/>
  <c r="L216" i="5"/>
  <c r="N184" i="5"/>
  <c r="K184" i="5"/>
  <c r="M184" i="5"/>
  <c r="L184" i="5"/>
  <c r="K271" i="5"/>
  <c r="L271" i="5"/>
  <c r="N271" i="5"/>
  <c r="M271" i="5"/>
  <c r="K239" i="5"/>
  <c r="L239" i="5"/>
  <c r="N239" i="5"/>
  <c r="M239" i="5"/>
  <c r="L198" i="5"/>
  <c r="N198" i="5"/>
  <c r="M198" i="5"/>
  <c r="K198" i="5"/>
  <c r="M175" i="5"/>
  <c r="L175" i="5"/>
  <c r="K175" i="5"/>
  <c r="N175" i="5"/>
  <c r="L155" i="5"/>
  <c r="N155" i="5"/>
  <c r="K155" i="5"/>
  <c r="M155" i="5"/>
  <c r="L147" i="5"/>
  <c r="N147" i="5"/>
  <c r="K147" i="5"/>
  <c r="M147" i="5"/>
  <c r="M140" i="5"/>
  <c r="K140" i="5"/>
  <c r="L140" i="5"/>
  <c r="N140" i="5"/>
  <c r="M136" i="5"/>
  <c r="K136" i="5"/>
  <c r="L136" i="5"/>
  <c r="N136" i="5"/>
  <c r="M132" i="5"/>
  <c r="K132" i="5"/>
  <c r="N132" i="5"/>
  <c r="L132" i="5"/>
  <c r="M128" i="5"/>
  <c r="K128" i="5"/>
  <c r="N128" i="5"/>
  <c r="L128" i="5"/>
  <c r="M215" i="5"/>
  <c r="L215" i="5"/>
  <c r="K215" i="5"/>
  <c r="N215" i="5"/>
  <c r="K201" i="5"/>
  <c r="N201" i="5"/>
  <c r="M201" i="5"/>
  <c r="L201" i="5"/>
  <c r="K173" i="5"/>
  <c r="L173" i="5"/>
  <c r="N173" i="5"/>
  <c r="M173" i="5"/>
  <c r="M223" i="5"/>
  <c r="L223" i="5"/>
  <c r="K223" i="5"/>
  <c r="N223" i="5"/>
  <c r="K213" i="5"/>
  <c r="L213" i="5"/>
  <c r="N213" i="5"/>
  <c r="M213" i="5"/>
  <c r="M191" i="5"/>
  <c r="L191" i="5"/>
  <c r="K191" i="5"/>
  <c r="N191" i="5"/>
  <c r="M179" i="5"/>
  <c r="N179" i="5"/>
  <c r="L179" i="5"/>
  <c r="K179" i="5"/>
  <c r="K243" i="5"/>
  <c r="N243" i="5"/>
  <c r="M243" i="5"/>
  <c r="L243" i="5"/>
  <c r="K259" i="5"/>
  <c r="N259" i="5"/>
  <c r="M259" i="5"/>
  <c r="L259" i="5"/>
  <c r="L178" i="5"/>
  <c r="K178" i="5"/>
  <c r="N178" i="5"/>
  <c r="M178" i="5"/>
  <c r="L210" i="5"/>
  <c r="K210" i="5"/>
  <c r="N210" i="5"/>
  <c r="M210" i="5"/>
  <c r="L268" i="5"/>
  <c r="K268" i="5"/>
  <c r="N268" i="5"/>
  <c r="M268" i="5"/>
  <c r="L244" i="5"/>
  <c r="K244" i="5"/>
  <c r="N244" i="5"/>
  <c r="M244" i="5"/>
  <c r="M273" i="5"/>
  <c r="L273" i="5"/>
  <c r="K273" i="5"/>
  <c r="N273" i="5"/>
  <c r="M245" i="5"/>
  <c r="N245" i="5"/>
  <c r="L245" i="5"/>
  <c r="K245" i="5"/>
  <c r="M265" i="5"/>
  <c r="L265" i="5"/>
  <c r="N265" i="5"/>
  <c r="K265" i="5"/>
  <c r="M320" i="5"/>
  <c r="L320" i="5"/>
  <c r="K320" i="5"/>
  <c r="N320" i="5"/>
  <c r="M352" i="5"/>
  <c r="L352" i="5"/>
  <c r="K352" i="5"/>
  <c r="N352" i="5"/>
  <c r="L331" i="5"/>
  <c r="K331" i="5"/>
  <c r="N331" i="5"/>
  <c r="M331" i="5"/>
  <c r="K350" i="5"/>
  <c r="N350" i="5"/>
  <c r="M350" i="5"/>
  <c r="L350" i="5"/>
  <c r="K334" i="5"/>
  <c r="N334" i="5"/>
  <c r="M334" i="5"/>
  <c r="L334" i="5"/>
  <c r="K318" i="5"/>
  <c r="N318" i="5"/>
  <c r="M318" i="5"/>
  <c r="L318" i="5"/>
  <c r="L343" i="5"/>
  <c r="K343" i="5"/>
  <c r="N343" i="5"/>
  <c r="M343" i="5"/>
  <c r="L311" i="5"/>
  <c r="K311" i="5"/>
  <c r="N311" i="5"/>
  <c r="M311" i="5"/>
  <c r="K303" i="5"/>
  <c r="N303" i="5"/>
  <c r="M303" i="5"/>
  <c r="L303" i="5"/>
  <c r="N349" i="5"/>
  <c r="M349" i="5"/>
  <c r="L349" i="5"/>
  <c r="K349" i="5"/>
  <c r="N317" i="5"/>
  <c r="M317" i="5"/>
  <c r="L317" i="5"/>
  <c r="K317" i="5"/>
  <c r="M340" i="5"/>
  <c r="L340" i="5"/>
  <c r="K340" i="5"/>
  <c r="N340" i="5"/>
  <c r="L288" i="5"/>
  <c r="K288" i="5"/>
  <c r="N288" i="5"/>
  <c r="M288" i="5"/>
  <c r="M269" i="5"/>
  <c r="N269" i="5"/>
  <c r="L269" i="5"/>
  <c r="K269" i="5"/>
  <c r="K314" i="5"/>
  <c r="N314" i="5"/>
  <c r="M314" i="5"/>
  <c r="L314" i="5"/>
  <c r="N274" i="5"/>
  <c r="K274" i="5"/>
  <c r="L274" i="5"/>
  <c r="M274" i="5"/>
  <c r="N234" i="5"/>
  <c r="K234" i="5"/>
  <c r="M234" i="5"/>
  <c r="L234" i="5"/>
  <c r="M301" i="5"/>
  <c r="L301" i="5"/>
  <c r="K301" i="5"/>
  <c r="N301" i="5"/>
  <c r="M281" i="5"/>
  <c r="L281" i="5"/>
  <c r="N281" i="5"/>
  <c r="K281" i="5"/>
  <c r="K231" i="5"/>
  <c r="N231" i="5"/>
  <c r="M231" i="5"/>
  <c r="L231" i="5"/>
  <c r="M241" i="5"/>
  <c r="L241" i="5"/>
  <c r="K241" i="5"/>
  <c r="N241" i="5"/>
  <c r="N208" i="5"/>
  <c r="K208" i="5"/>
  <c r="M208" i="5"/>
  <c r="L208" i="5"/>
  <c r="N176" i="5"/>
  <c r="K176" i="5"/>
  <c r="M176" i="5"/>
  <c r="L176" i="5"/>
  <c r="K263" i="5"/>
  <c r="L263" i="5"/>
  <c r="M263" i="5"/>
  <c r="N263" i="5"/>
  <c r="M227" i="5"/>
  <c r="N227" i="5"/>
  <c r="L227" i="5"/>
  <c r="K227" i="5"/>
  <c r="K197" i="5"/>
  <c r="L197" i="5"/>
  <c r="N197" i="5"/>
  <c r="M197" i="5"/>
  <c r="L166" i="5"/>
  <c r="N166" i="5"/>
  <c r="M166" i="5"/>
  <c r="K166" i="5"/>
  <c r="N153" i="5"/>
  <c r="L153" i="5"/>
  <c r="K153" i="5"/>
  <c r="M153" i="5"/>
  <c r="N145" i="5"/>
  <c r="L145" i="5"/>
  <c r="K145" i="5"/>
  <c r="M145" i="5"/>
  <c r="L139" i="5"/>
  <c r="N139" i="5"/>
  <c r="K139" i="5"/>
  <c r="M139" i="5"/>
  <c r="L135" i="5"/>
  <c r="N135" i="5"/>
  <c r="M135" i="5"/>
  <c r="K135" i="5"/>
  <c r="L131" i="5"/>
  <c r="N131" i="5"/>
  <c r="M131" i="5"/>
  <c r="K131" i="5"/>
  <c r="L127" i="5"/>
  <c r="N127" i="5"/>
  <c r="M127" i="5"/>
  <c r="K127" i="5"/>
  <c r="N254" i="5"/>
  <c r="M254" i="5"/>
  <c r="L254" i="5"/>
  <c r="K254" i="5"/>
  <c r="L206" i="5"/>
  <c r="N206" i="5"/>
  <c r="M206" i="5"/>
  <c r="K206" i="5"/>
  <c r="N196" i="5"/>
  <c r="M196" i="5"/>
  <c r="L196" i="5"/>
  <c r="K196" i="5"/>
  <c r="M171" i="5"/>
  <c r="N171" i="5"/>
  <c r="L171" i="5"/>
  <c r="K171" i="5"/>
  <c r="L158" i="5"/>
  <c r="N158" i="5"/>
  <c r="K158" i="5"/>
  <c r="M158" i="5"/>
  <c r="M211" i="5"/>
  <c r="N211" i="5"/>
  <c r="L211" i="5"/>
  <c r="K211" i="5"/>
  <c r="N172" i="5"/>
  <c r="M172" i="5"/>
  <c r="L172" i="5"/>
  <c r="K172" i="5"/>
  <c r="L248" i="5"/>
  <c r="N248" i="5"/>
  <c r="M248" i="5"/>
  <c r="K248" i="5"/>
  <c r="M297" i="5"/>
  <c r="N297" i="5"/>
  <c r="L297" i="5"/>
  <c r="K297" i="5"/>
  <c r="L186" i="5"/>
  <c r="K186" i="5"/>
  <c r="N186" i="5"/>
  <c r="M186" i="5"/>
  <c r="L218" i="5"/>
  <c r="K218" i="5"/>
  <c r="N218" i="5"/>
  <c r="M218" i="5"/>
  <c r="K279" i="5"/>
  <c r="N279" i="5"/>
  <c r="L279" i="5"/>
  <c r="M279" i="5"/>
  <c r="L252" i="5"/>
  <c r="K252" i="5"/>
  <c r="N252" i="5"/>
  <c r="M252" i="5"/>
  <c r="K275" i="5"/>
  <c r="N275" i="5"/>
  <c r="L275" i="5"/>
  <c r="M275" i="5"/>
  <c r="M253" i="5"/>
  <c r="N253" i="5"/>
  <c r="L253" i="5"/>
  <c r="K253" i="5"/>
  <c r="K267" i="5"/>
  <c r="N267" i="5"/>
  <c r="M267" i="5"/>
  <c r="L267" i="5"/>
  <c r="M328" i="5"/>
  <c r="L328" i="5"/>
  <c r="K328" i="5"/>
  <c r="N328" i="5"/>
  <c r="M308" i="5"/>
  <c r="L308" i="5"/>
  <c r="K308" i="5"/>
  <c r="N308" i="5"/>
  <c r="K318" i="4"/>
  <c r="L323" i="5"/>
  <c r="K323" i="5"/>
  <c r="N323" i="5"/>
  <c r="M323" i="5"/>
  <c r="N345" i="5"/>
  <c r="M345" i="5"/>
  <c r="L345" i="5"/>
  <c r="K345" i="5"/>
  <c r="N329" i="5"/>
  <c r="M329" i="5"/>
  <c r="L329" i="5"/>
  <c r="K329" i="5"/>
  <c r="N313" i="5"/>
  <c r="M313" i="5"/>
  <c r="L313" i="5"/>
  <c r="K313" i="5"/>
  <c r="L335" i="5"/>
  <c r="K335" i="5"/>
  <c r="N335" i="5"/>
  <c r="M335" i="5"/>
  <c r="N306" i="5"/>
  <c r="M306" i="5"/>
  <c r="L306" i="5"/>
  <c r="K306" i="5"/>
  <c r="N298" i="5"/>
  <c r="M298" i="5"/>
  <c r="L298" i="5"/>
  <c r="K298" i="5"/>
  <c r="N341" i="5"/>
  <c r="M341" i="5"/>
  <c r="L341" i="5"/>
  <c r="K341" i="5"/>
  <c r="N309" i="5"/>
  <c r="M309" i="5"/>
  <c r="L309" i="5"/>
  <c r="K309" i="5"/>
  <c r="M324" i="5"/>
  <c r="L324" i="5"/>
  <c r="K324" i="5"/>
  <c r="N324" i="5"/>
  <c r="M285" i="5"/>
  <c r="L285" i="5"/>
  <c r="N285" i="5"/>
  <c r="K285" i="5"/>
  <c r="N266" i="5"/>
  <c r="K266" i="5"/>
  <c r="M266" i="5"/>
  <c r="L266" i="5"/>
  <c r="K299" i="5"/>
  <c r="N299" i="5"/>
  <c r="M299" i="5"/>
  <c r="L299" i="5"/>
  <c r="N258" i="5"/>
  <c r="K258" i="5"/>
  <c r="M258" i="5"/>
  <c r="L258" i="5"/>
  <c r="M348" i="5"/>
  <c r="L348" i="5"/>
  <c r="K348" i="5"/>
  <c r="N348" i="5"/>
  <c r="M289" i="5"/>
  <c r="L289" i="5"/>
  <c r="N289" i="5"/>
  <c r="K289" i="5"/>
  <c r="N278" i="5"/>
  <c r="K278" i="5"/>
  <c r="M278" i="5"/>
  <c r="L278" i="5"/>
  <c r="K287" i="5"/>
  <c r="N287" i="5"/>
  <c r="L287" i="5"/>
  <c r="M287" i="5"/>
  <c r="L232" i="5"/>
  <c r="K232" i="5"/>
  <c r="N232" i="5"/>
  <c r="M232" i="5"/>
  <c r="N200" i="5"/>
  <c r="K200" i="5"/>
  <c r="M200" i="5"/>
  <c r="L200" i="5"/>
  <c r="N168" i="5"/>
  <c r="K168" i="5"/>
  <c r="M168" i="5"/>
  <c r="L168" i="5"/>
  <c r="K255" i="5"/>
  <c r="L255" i="5"/>
  <c r="N255" i="5"/>
  <c r="M255" i="5"/>
  <c r="N220" i="5"/>
  <c r="M220" i="5"/>
  <c r="L220" i="5"/>
  <c r="K220" i="5"/>
  <c r="M195" i="5"/>
  <c r="N195" i="5"/>
  <c r="L195" i="5"/>
  <c r="K195" i="5"/>
  <c r="K165" i="5"/>
  <c r="L165" i="5"/>
  <c r="N165" i="5"/>
  <c r="M165" i="5"/>
  <c r="L151" i="5"/>
  <c r="N151" i="5"/>
  <c r="K151" i="5"/>
  <c r="M151" i="5"/>
  <c r="L143" i="5"/>
  <c r="N143" i="5"/>
  <c r="K143" i="5"/>
  <c r="M143" i="5"/>
  <c r="K138" i="5"/>
  <c r="M138" i="5"/>
  <c r="N138" i="5"/>
  <c r="L138" i="5"/>
  <c r="K134" i="5"/>
  <c r="M134" i="5"/>
  <c r="N134" i="5"/>
  <c r="L134" i="5"/>
  <c r="K130" i="5"/>
  <c r="M130" i="5"/>
  <c r="N130" i="5"/>
  <c r="L130" i="5"/>
  <c r="K126" i="5"/>
  <c r="M126" i="5"/>
  <c r="N126" i="5"/>
  <c r="L126" i="5"/>
  <c r="N238" i="5"/>
  <c r="M238" i="5"/>
  <c r="L238" i="5"/>
  <c r="K238" i="5"/>
  <c r="K205" i="5"/>
  <c r="L205" i="5"/>
  <c r="N205" i="5"/>
  <c r="M205" i="5"/>
  <c r="M183" i="5"/>
  <c r="L183" i="5"/>
  <c r="K183" i="5"/>
  <c r="N183" i="5"/>
  <c r="K169" i="5"/>
  <c r="N169" i="5"/>
  <c r="M169" i="5"/>
  <c r="L169" i="5"/>
  <c r="K157" i="5"/>
  <c r="L157" i="5"/>
  <c r="N157" i="5"/>
  <c r="M157" i="5"/>
  <c r="N204" i="5"/>
  <c r="M204" i="5"/>
  <c r="L204" i="5"/>
  <c r="K204" i="5"/>
  <c r="L182" i="5"/>
  <c r="N182" i="5"/>
  <c r="M182" i="5"/>
  <c r="K182" i="5"/>
  <c r="K235" i="5"/>
  <c r="N235" i="5"/>
  <c r="M235" i="5"/>
  <c r="L235" i="5"/>
  <c r="K251" i="5"/>
  <c r="N251" i="5"/>
  <c r="M251" i="5"/>
  <c r="L251" i="5"/>
  <c r="L162" i="5"/>
  <c r="K162" i="5"/>
  <c r="N162" i="5"/>
  <c r="M162" i="5"/>
  <c r="L194" i="5"/>
  <c r="K194" i="5"/>
  <c r="N194" i="5"/>
  <c r="M194" i="5"/>
  <c r="L226" i="5"/>
  <c r="K226" i="5"/>
  <c r="N226" i="5"/>
  <c r="M226" i="5"/>
  <c r="M293" i="5"/>
  <c r="L293" i="5"/>
  <c r="K293" i="5"/>
  <c r="N293" i="5"/>
  <c r="L260" i="5"/>
  <c r="K260" i="5"/>
  <c r="N260" i="5"/>
  <c r="M260" i="5"/>
  <c r="N230" i="5"/>
  <c r="M230" i="5"/>
  <c r="L230" i="5"/>
  <c r="K230" i="5"/>
  <c r="M261" i="5"/>
  <c r="N261" i="5"/>
  <c r="L261" i="5"/>
  <c r="K261" i="5"/>
  <c r="L276" i="5"/>
  <c r="N276" i="5"/>
  <c r="K276" i="5"/>
  <c r="M276" i="5"/>
  <c r="M336" i="5"/>
  <c r="L336" i="5"/>
  <c r="K336" i="5"/>
  <c r="N336" i="5"/>
  <c r="L347" i="5"/>
  <c r="K347" i="5"/>
  <c r="N347" i="5"/>
  <c r="M347" i="5"/>
  <c r="L315" i="5"/>
  <c r="K315" i="5"/>
  <c r="N315" i="5"/>
  <c r="M315" i="5"/>
  <c r="K342" i="5"/>
  <c r="N342" i="5"/>
  <c r="M342" i="5"/>
  <c r="L342" i="5"/>
  <c r="K326" i="5"/>
  <c r="N326" i="5"/>
  <c r="M326" i="5"/>
  <c r="L326" i="5"/>
  <c r="K310" i="5"/>
  <c r="N310" i="5"/>
  <c r="M310" i="5"/>
  <c r="L310" i="5"/>
  <c r="L327" i="5"/>
  <c r="K327" i="5"/>
  <c r="N327" i="5"/>
  <c r="M327" i="5"/>
  <c r="N302" i="5"/>
  <c r="M302" i="5"/>
  <c r="L302" i="5"/>
  <c r="K302" i="5"/>
  <c r="L296" i="5"/>
  <c r="K296" i="5"/>
  <c r="N296" i="5"/>
  <c r="M296" i="5"/>
  <c r="N333" i="5"/>
  <c r="M333" i="5"/>
  <c r="L333" i="5"/>
  <c r="K333" i="5"/>
  <c r="L304" i="5"/>
  <c r="K304" i="5"/>
  <c r="M304" i="5"/>
  <c r="N304" i="5"/>
  <c r="K295" i="5"/>
  <c r="N295" i="5"/>
  <c r="M295" i="5"/>
  <c r="L295" i="5"/>
  <c r="N282" i="5"/>
  <c r="M282" i="5"/>
  <c r="K282" i="5"/>
  <c r="L282" i="5"/>
  <c r="K346" i="5"/>
  <c r="N346" i="5"/>
  <c r="M346" i="5"/>
  <c r="L346" i="5"/>
  <c r="N294" i="5"/>
  <c r="M294" i="5"/>
  <c r="L294" i="5"/>
  <c r="K294" i="5"/>
  <c r="N250" i="5"/>
  <c r="K250" i="5"/>
  <c r="M250" i="5"/>
  <c r="L250" i="5"/>
  <c r="M332" i="5"/>
  <c r="L332" i="5"/>
  <c r="K332" i="5"/>
  <c r="N332" i="5"/>
  <c r="N286" i="5"/>
  <c r="M286" i="5"/>
  <c r="K286" i="5"/>
  <c r="L286" i="5"/>
  <c r="M277" i="5"/>
  <c r="L277" i="5"/>
  <c r="N277" i="5"/>
  <c r="K277" i="5"/>
  <c r="M257" i="5"/>
  <c r="L257" i="5"/>
  <c r="K257" i="5"/>
  <c r="N257" i="5"/>
  <c r="N224" i="5"/>
  <c r="K224" i="5"/>
  <c r="M224" i="5"/>
  <c r="L224" i="5"/>
  <c r="N192" i="5"/>
  <c r="K192" i="5"/>
  <c r="M192" i="5"/>
  <c r="L192" i="5"/>
  <c r="L300" i="5"/>
  <c r="K300" i="5"/>
  <c r="M300" i="5"/>
  <c r="N300" i="5"/>
  <c r="K247" i="5"/>
  <c r="L247" i="5"/>
  <c r="N247" i="5"/>
  <c r="M247" i="5"/>
  <c r="M207" i="5"/>
  <c r="L207" i="5"/>
  <c r="K207" i="5"/>
  <c r="N207" i="5"/>
  <c r="N188" i="5"/>
  <c r="M188" i="5"/>
  <c r="L188" i="5"/>
  <c r="K188" i="5"/>
  <c r="M163" i="5"/>
  <c r="N163" i="5"/>
  <c r="L163" i="5"/>
  <c r="K163" i="5"/>
  <c r="N149" i="5"/>
  <c r="L149" i="5"/>
  <c r="K149" i="5"/>
  <c r="M149" i="5"/>
  <c r="N141" i="5"/>
  <c r="L141" i="5"/>
  <c r="K141" i="5"/>
  <c r="M141" i="5"/>
  <c r="N137" i="5"/>
  <c r="L137" i="5"/>
  <c r="K137" i="5"/>
  <c r="M137" i="5"/>
  <c r="N133" i="5"/>
  <c r="L133" i="5"/>
  <c r="M133" i="5"/>
  <c r="K133" i="5"/>
  <c r="N129" i="5"/>
  <c r="L129" i="5"/>
  <c r="M129" i="5"/>
  <c r="K129" i="5"/>
  <c r="K228" i="5"/>
  <c r="N228" i="5"/>
  <c r="M228" i="5"/>
  <c r="L228" i="5"/>
  <c r="M203" i="5"/>
  <c r="N203" i="5"/>
  <c r="L203" i="5"/>
  <c r="K203" i="5"/>
  <c r="L174" i="5"/>
  <c r="N174" i="5"/>
  <c r="M174" i="5"/>
  <c r="K174" i="5"/>
  <c r="N164" i="5"/>
  <c r="M164" i="5"/>
  <c r="L164" i="5"/>
  <c r="K164" i="5"/>
  <c r="K291" i="5"/>
  <c r="N291" i="5"/>
  <c r="M291" i="5"/>
  <c r="L291" i="5"/>
  <c r="L214" i="5"/>
  <c r="N214" i="5"/>
  <c r="M214" i="5"/>
  <c r="K214" i="5"/>
  <c r="K181" i="5"/>
  <c r="L181" i="5"/>
  <c r="N181" i="5"/>
  <c r="M181" i="5"/>
  <c r="L240" i="5"/>
  <c r="N240" i="5"/>
  <c r="M240" i="5"/>
  <c r="K240" i="5"/>
  <c r="L256" i="5"/>
  <c r="N256" i="5"/>
  <c r="M256" i="5"/>
  <c r="K256" i="5"/>
  <c r="L170" i="5"/>
  <c r="K170" i="5"/>
  <c r="N170" i="5"/>
  <c r="M170" i="5"/>
  <c r="L202" i="5"/>
  <c r="K202" i="5"/>
  <c r="N202" i="5"/>
  <c r="M202" i="5"/>
  <c r="M233" i="5"/>
  <c r="L233" i="5"/>
  <c r="K233" i="5"/>
  <c r="N233" i="5"/>
  <c r="L236" i="5"/>
  <c r="K236" i="5"/>
  <c r="N236" i="5"/>
  <c r="M236" i="5"/>
  <c r="L272" i="5"/>
  <c r="N272" i="5"/>
  <c r="K272" i="5"/>
  <c r="M272" i="5"/>
  <c r="M237" i="5"/>
  <c r="N237" i="5"/>
  <c r="L237" i="5"/>
  <c r="K237" i="5"/>
  <c r="L264" i="5"/>
  <c r="N264" i="5"/>
  <c r="M264" i="5"/>
  <c r="K264" i="5"/>
  <c r="M312" i="5"/>
  <c r="L312" i="5"/>
  <c r="K312" i="5"/>
  <c r="N312" i="5"/>
  <c r="M344" i="5"/>
  <c r="L344" i="5"/>
  <c r="K344" i="5"/>
  <c r="N344" i="5"/>
  <c r="N151" i="4"/>
  <c r="M340" i="4"/>
  <c r="N347" i="4"/>
  <c r="N322" i="4"/>
  <c r="N27" i="4"/>
  <c r="K27" i="4"/>
  <c r="M304" i="4"/>
  <c r="L309" i="4"/>
  <c r="K333" i="4"/>
  <c r="N335" i="4"/>
  <c r="M305" i="4"/>
  <c r="L351" i="4"/>
  <c r="K335" i="4"/>
  <c r="K321" i="4"/>
  <c r="N329" i="4"/>
  <c r="M337" i="4"/>
  <c r="M343" i="4"/>
  <c r="K349" i="4"/>
  <c r="N353" i="4"/>
  <c r="L336" i="4"/>
  <c r="K336" i="4"/>
  <c r="N336" i="4"/>
  <c r="L344" i="4"/>
  <c r="K344" i="4"/>
  <c r="L308" i="4"/>
  <c r="K308" i="4"/>
  <c r="N308" i="4"/>
  <c r="M11" i="4"/>
  <c r="K5" i="4"/>
  <c r="M309" i="4"/>
  <c r="N333" i="4"/>
  <c r="K305" i="4"/>
  <c r="M351" i="4"/>
  <c r="N321" i="4"/>
  <c r="M329" i="4"/>
  <c r="L342" i="4"/>
  <c r="L343" i="4"/>
  <c r="M349" i="4"/>
  <c r="L340" i="4"/>
  <c r="K340" i="4"/>
  <c r="L328" i="4"/>
  <c r="K328" i="4"/>
  <c r="N328" i="4"/>
  <c r="M333" i="4"/>
  <c r="M321" i="4"/>
  <c r="K337" i="4"/>
  <c r="K343" i="4"/>
  <c r="L332" i="4"/>
  <c r="K332" i="4"/>
  <c r="N332" i="4"/>
  <c r="M12" i="4"/>
  <c r="L5" i="4"/>
  <c r="K20" i="4"/>
  <c r="N4" i="4"/>
  <c r="M27" i="4"/>
  <c r="K4" i="4"/>
  <c r="N20" i="4"/>
  <c r="L11" i="4"/>
  <c r="K11" i="4"/>
  <c r="M4" i="4"/>
  <c r="M20" i="4"/>
  <c r="N14" i="4"/>
  <c r="M14" i="4"/>
  <c r="L12" i="4"/>
  <c r="L14" i="4"/>
  <c r="L28" i="4"/>
  <c r="N12" i="4"/>
  <c r="N28" i="4"/>
  <c r="K28" i="4"/>
  <c r="M120" i="4"/>
  <c r="L120" i="4"/>
  <c r="K120" i="4"/>
  <c r="N120" i="4"/>
  <c r="L75" i="4"/>
  <c r="K75" i="4"/>
  <c r="N75" i="4"/>
  <c r="M75" i="4"/>
  <c r="K155" i="4"/>
  <c r="L155" i="4"/>
  <c r="N155" i="4"/>
  <c r="M155" i="4"/>
  <c r="K70" i="4"/>
  <c r="N70" i="4"/>
  <c r="M70" i="4"/>
  <c r="L70" i="4"/>
  <c r="K118" i="4"/>
  <c r="N118" i="4"/>
  <c r="M118" i="4"/>
  <c r="L118" i="4"/>
  <c r="L144" i="4"/>
  <c r="K144" i="4"/>
  <c r="N144" i="4"/>
  <c r="M144" i="4"/>
  <c r="N41" i="4"/>
  <c r="M41" i="4"/>
  <c r="L41" i="4"/>
  <c r="K41" i="4"/>
  <c r="N89" i="4"/>
  <c r="M89" i="4"/>
  <c r="L89" i="4"/>
  <c r="K89" i="4"/>
  <c r="N122" i="4"/>
  <c r="L122" i="4"/>
  <c r="K122" i="4"/>
  <c r="M122" i="4"/>
  <c r="M197" i="4"/>
  <c r="L197" i="4"/>
  <c r="K197" i="4"/>
  <c r="N197" i="4"/>
  <c r="M145" i="4"/>
  <c r="L145" i="4"/>
  <c r="N145" i="4"/>
  <c r="K145" i="4"/>
  <c r="M181" i="4"/>
  <c r="L181" i="4"/>
  <c r="N181" i="4"/>
  <c r="K181" i="4"/>
  <c r="L208" i="4"/>
  <c r="K208" i="4"/>
  <c r="N208" i="4"/>
  <c r="M208" i="4"/>
  <c r="K179" i="4"/>
  <c r="N179" i="4"/>
  <c r="L179" i="4"/>
  <c r="M179" i="4"/>
  <c r="L230" i="4"/>
  <c r="K230" i="4"/>
  <c r="M230" i="4"/>
  <c r="N230" i="4"/>
  <c r="M274" i="4"/>
  <c r="L274" i="4"/>
  <c r="K274" i="4"/>
  <c r="N274" i="4"/>
  <c r="N162" i="4"/>
  <c r="M162" i="4"/>
  <c r="K162" i="4"/>
  <c r="L162" i="4"/>
  <c r="L226" i="4"/>
  <c r="N226" i="4"/>
  <c r="M226" i="4"/>
  <c r="K226" i="4"/>
  <c r="K248" i="4"/>
  <c r="L248" i="4"/>
  <c r="N248" i="4"/>
  <c r="M248" i="4"/>
  <c r="K280" i="4"/>
  <c r="L280" i="4"/>
  <c r="N280" i="4"/>
  <c r="M280" i="4"/>
  <c r="M294" i="4"/>
  <c r="N294" i="4"/>
  <c r="L294" i="4"/>
  <c r="K294" i="4"/>
  <c r="N291" i="4"/>
  <c r="K291" i="4"/>
  <c r="M291" i="4"/>
  <c r="L291" i="4"/>
  <c r="L55" i="4"/>
  <c r="K55" i="4"/>
  <c r="M55" i="4"/>
  <c r="N55" i="4"/>
  <c r="L39" i="4"/>
  <c r="K39" i="4"/>
  <c r="M39" i="4"/>
  <c r="N39" i="4"/>
  <c r="M84" i="4"/>
  <c r="L84" i="4"/>
  <c r="K84" i="4"/>
  <c r="N84" i="4"/>
  <c r="M112" i="4"/>
  <c r="L112" i="4"/>
  <c r="K112" i="4"/>
  <c r="N112" i="4"/>
  <c r="M80" i="4"/>
  <c r="L80" i="4"/>
  <c r="K80" i="4"/>
  <c r="N80" i="4"/>
  <c r="L79" i="4"/>
  <c r="K79" i="4"/>
  <c r="N79" i="4"/>
  <c r="M79" i="4"/>
  <c r="L95" i="4"/>
  <c r="K95" i="4"/>
  <c r="N95" i="4"/>
  <c r="M95" i="4"/>
  <c r="L111" i="4"/>
  <c r="K111" i="4"/>
  <c r="N111" i="4"/>
  <c r="M111" i="4"/>
  <c r="L156" i="4"/>
  <c r="N156" i="4"/>
  <c r="K156" i="4"/>
  <c r="M156" i="4"/>
  <c r="K42" i="4"/>
  <c r="N42" i="4"/>
  <c r="M42" i="4"/>
  <c r="L42" i="4"/>
  <c r="K58" i="4"/>
  <c r="N58" i="4"/>
  <c r="M58" i="4"/>
  <c r="L58" i="4"/>
  <c r="K74" i="4"/>
  <c r="N74" i="4"/>
  <c r="M74" i="4"/>
  <c r="L74" i="4"/>
  <c r="K90" i="4"/>
  <c r="N90" i="4"/>
  <c r="M90" i="4"/>
  <c r="L90" i="4"/>
  <c r="K106" i="4"/>
  <c r="N106" i="4"/>
  <c r="M106" i="4"/>
  <c r="L106" i="4"/>
  <c r="M123" i="4"/>
  <c r="K123" i="4"/>
  <c r="L123" i="4"/>
  <c r="N123" i="4"/>
  <c r="M131" i="4"/>
  <c r="K131" i="4"/>
  <c r="L131" i="4"/>
  <c r="N131" i="4"/>
  <c r="M139" i="4"/>
  <c r="K139" i="4"/>
  <c r="L139" i="4"/>
  <c r="N139" i="4"/>
  <c r="K159" i="4"/>
  <c r="N159" i="4"/>
  <c r="L159" i="4"/>
  <c r="M159" i="4"/>
  <c r="N13" i="4"/>
  <c r="K13" i="4"/>
  <c r="M13" i="4"/>
  <c r="L13" i="4"/>
  <c r="N29" i="4"/>
  <c r="M29" i="4"/>
  <c r="L29" i="4"/>
  <c r="K29" i="4"/>
  <c r="N45" i="4"/>
  <c r="M45" i="4"/>
  <c r="L45" i="4"/>
  <c r="K45" i="4"/>
  <c r="N61" i="4"/>
  <c r="M61" i="4"/>
  <c r="L61" i="4"/>
  <c r="K61" i="4"/>
  <c r="N77" i="4"/>
  <c r="M77" i="4"/>
  <c r="L77" i="4"/>
  <c r="K77" i="4"/>
  <c r="N93" i="4"/>
  <c r="M93" i="4"/>
  <c r="L93" i="4"/>
  <c r="K93" i="4"/>
  <c r="N109" i="4"/>
  <c r="M109" i="4"/>
  <c r="L109" i="4"/>
  <c r="K109" i="4"/>
  <c r="K147" i="4"/>
  <c r="L147" i="4"/>
  <c r="N147" i="4"/>
  <c r="M147" i="4"/>
  <c r="L126" i="4"/>
  <c r="N126" i="4"/>
  <c r="K126" i="4"/>
  <c r="M126" i="4"/>
  <c r="L142" i="4"/>
  <c r="N142" i="4"/>
  <c r="K142" i="4"/>
  <c r="M142" i="4"/>
  <c r="M205" i="4"/>
  <c r="L205" i="4"/>
  <c r="K205" i="4"/>
  <c r="N205" i="4"/>
  <c r="M258" i="4"/>
  <c r="L258" i="4"/>
  <c r="K258" i="4"/>
  <c r="N258" i="4"/>
  <c r="N132" i="4"/>
  <c r="L132" i="4"/>
  <c r="K132" i="4"/>
  <c r="M132" i="4"/>
  <c r="M153" i="4"/>
  <c r="L153" i="4"/>
  <c r="K153" i="4"/>
  <c r="N153" i="4"/>
  <c r="L168" i="4"/>
  <c r="K168" i="4"/>
  <c r="N168" i="4"/>
  <c r="M168" i="4"/>
  <c r="L176" i="4"/>
  <c r="K176" i="4"/>
  <c r="N176" i="4"/>
  <c r="M176" i="4"/>
  <c r="L184" i="4"/>
  <c r="K184" i="4"/>
  <c r="N184" i="4"/>
  <c r="M184" i="4"/>
  <c r="L192" i="4"/>
  <c r="K192" i="4"/>
  <c r="N192" i="4"/>
  <c r="M192" i="4"/>
  <c r="M217" i="4"/>
  <c r="L217" i="4"/>
  <c r="K217" i="4"/>
  <c r="N217" i="4"/>
  <c r="L196" i="4"/>
  <c r="K196" i="4"/>
  <c r="N196" i="4"/>
  <c r="M196" i="4"/>
  <c r="L212" i="4"/>
  <c r="K212" i="4"/>
  <c r="N212" i="4"/>
  <c r="M212" i="4"/>
  <c r="M250" i="4"/>
  <c r="L250" i="4"/>
  <c r="K250" i="4"/>
  <c r="N250" i="4"/>
  <c r="K167" i="4"/>
  <c r="N167" i="4"/>
  <c r="L167" i="4"/>
  <c r="M167" i="4"/>
  <c r="K183" i="4"/>
  <c r="N183" i="4"/>
  <c r="L183" i="4"/>
  <c r="M183" i="4"/>
  <c r="K199" i="4"/>
  <c r="N199" i="4"/>
  <c r="M199" i="4"/>
  <c r="L199" i="4"/>
  <c r="K215" i="4"/>
  <c r="N215" i="4"/>
  <c r="M215" i="4"/>
  <c r="L215" i="4"/>
  <c r="M231" i="4"/>
  <c r="L231" i="4"/>
  <c r="K231" i="4"/>
  <c r="N231" i="4"/>
  <c r="M239" i="4"/>
  <c r="L239" i="4"/>
  <c r="K239" i="4"/>
  <c r="N239" i="4"/>
  <c r="N247" i="4"/>
  <c r="M247" i="4"/>
  <c r="L247" i="4"/>
  <c r="K247" i="4"/>
  <c r="L281" i="4"/>
  <c r="N281" i="4"/>
  <c r="M281" i="4"/>
  <c r="K281" i="4"/>
  <c r="N150" i="4"/>
  <c r="K150" i="4"/>
  <c r="M150" i="4"/>
  <c r="L150" i="4"/>
  <c r="N166" i="4"/>
  <c r="M166" i="4"/>
  <c r="K166" i="4"/>
  <c r="L166" i="4"/>
  <c r="N182" i="4"/>
  <c r="M182" i="4"/>
  <c r="K182" i="4"/>
  <c r="L182" i="4"/>
  <c r="N198" i="4"/>
  <c r="M198" i="4"/>
  <c r="L198" i="4"/>
  <c r="K198" i="4"/>
  <c r="N214" i="4"/>
  <c r="M214" i="4"/>
  <c r="L214" i="4"/>
  <c r="K214" i="4"/>
  <c r="K252" i="4"/>
  <c r="N252" i="4"/>
  <c r="M252" i="4"/>
  <c r="L252" i="4"/>
  <c r="M290" i="4"/>
  <c r="L290" i="4"/>
  <c r="K290" i="4"/>
  <c r="N290" i="4"/>
  <c r="K237" i="4"/>
  <c r="N237" i="4"/>
  <c r="M237" i="4"/>
  <c r="L237" i="4"/>
  <c r="L253" i="4"/>
  <c r="K253" i="4"/>
  <c r="M253" i="4"/>
  <c r="N253" i="4"/>
  <c r="L269" i="4"/>
  <c r="K269" i="4"/>
  <c r="N269" i="4"/>
  <c r="M269" i="4"/>
  <c r="L285" i="4"/>
  <c r="K285" i="4"/>
  <c r="M285" i="4"/>
  <c r="N285" i="4"/>
  <c r="L301" i="4"/>
  <c r="K301" i="4"/>
  <c r="N301" i="4"/>
  <c r="M301" i="4"/>
  <c r="N240" i="4"/>
  <c r="M240" i="4"/>
  <c r="L240" i="4"/>
  <c r="K240" i="4"/>
  <c r="M270" i="4"/>
  <c r="N270" i="4"/>
  <c r="L270" i="4"/>
  <c r="K270" i="4"/>
  <c r="M302" i="4"/>
  <c r="N302" i="4"/>
  <c r="L302" i="4"/>
  <c r="K302" i="4"/>
  <c r="N263" i="4"/>
  <c r="M263" i="4"/>
  <c r="L263" i="4"/>
  <c r="K263" i="4"/>
  <c r="N279" i="4"/>
  <c r="M279" i="4"/>
  <c r="L279" i="4"/>
  <c r="K279" i="4"/>
  <c r="N295" i="4"/>
  <c r="M295" i="4"/>
  <c r="L295" i="4"/>
  <c r="K295" i="4"/>
  <c r="M68" i="4"/>
  <c r="L68" i="4"/>
  <c r="K68" i="4"/>
  <c r="N68" i="4"/>
  <c r="M60" i="4"/>
  <c r="L60" i="4"/>
  <c r="K60" i="4"/>
  <c r="N60" i="4"/>
  <c r="M52" i="4"/>
  <c r="L52" i="4"/>
  <c r="K52" i="4"/>
  <c r="N52" i="4"/>
  <c r="M44" i="4"/>
  <c r="L44" i="4"/>
  <c r="K44" i="4"/>
  <c r="N44" i="4"/>
  <c r="M36" i="4"/>
  <c r="L36" i="4"/>
  <c r="K36" i="4"/>
  <c r="N36" i="4"/>
  <c r="M108" i="4"/>
  <c r="L108" i="4"/>
  <c r="K108" i="4"/>
  <c r="N108" i="4"/>
  <c r="M76" i="4"/>
  <c r="L76" i="4"/>
  <c r="K76" i="4"/>
  <c r="N76" i="4"/>
  <c r="M88" i="4"/>
  <c r="L88" i="4"/>
  <c r="K88" i="4"/>
  <c r="N88" i="4"/>
  <c r="L91" i="4"/>
  <c r="K91" i="4"/>
  <c r="N91" i="4"/>
  <c r="M91" i="4"/>
  <c r="K38" i="4"/>
  <c r="N38" i="4"/>
  <c r="M38" i="4"/>
  <c r="L38" i="4"/>
  <c r="K86" i="4"/>
  <c r="N86" i="4"/>
  <c r="M86" i="4"/>
  <c r="L86" i="4"/>
  <c r="K129" i="4"/>
  <c r="M129" i="4"/>
  <c r="L129" i="4"/>
  <c r="N129" i="4"/>
  <c r="N9" i="4"/>
  <c r="M9" i="4"/>
  <c r="L9" i="4"/>
  <c r="K9" i="4"/>
  <c r="N57" i="4"/>
  <c r="M57" i="4"/>
  <c r="L57" i="4"/>
  <c r="K57" i="4"/>
  <c r="N105" i="4"/>
  <c r="M105" i="4"/>
  <c r="L105" i="4"/>
  <c r="K105" i="4"/>
  <c r="L138" i="4"/>
  <c r="N138" i="4"/>
  <c r="K138" i="4"/>
  <c r="M138" i="4"/>
  <c r="N128" i="4"/>
  <c r="L128" i="4"/>
  <c r="K128" i="4"/>
  <c r="M128" i="4"/>
  <c r="M173" i="4"/>
  <c r="L173" i="4"/>
  <c r="N173" i="4"/>
  <c r="K173" i="4"/>
  <c r="M209" i="4"/>
  <c r="L209" i="4"/>
  <c r="K209" i="4"/>
  <c r="N209" i="4"/>
  <c r="L224" i="4"/>
  <c r="K224" i="4"/>
  <c r="N224" i="4"/>
  <c r="M224" i="4"/>
  <c r="K195" i="4"/>
  <c r="N195" i="4"/>
  <c r="M195" i="4"/>
  <c r="L195" i="4"/>
  <c r="L238" i="4"/>
  <c r="K238" i="4"/>
  <c r="M238" i="4"/>
  <c r="N238" i="4"/>
  <c r="N146" i="4"/>
  <c r="M146" i="4"/>
  <c r="K146" i="4"/>
  <c r="L146" i="4"/>
  <c r="N194" i="4"/>
  <c r="M194" i="4"/>
  <c r="L194" i="4"/>
  <c r="K194" i="4"/>
  <c r="K284" i="4"/>
  <c r="N284" i="4"/>
  <c r="M284" i="4"/>
  <c r="L284" i="4"/>
  <c r="K264" i="4"/>
  <c r="L264" i="4"/>
  <c r="N264" i="4"/>
  <c r="M264" i="4"/>
  <c r="M262" i="4"/>
  <c r="N262" i="4"/>
  <c r="L262" i="4"/>
  <c r="K262" i="4"/>
  <c r="N275" i="4"/>
  <c r="K275" i="4"/>
  <c r="M275" i="4"/>
  <c r="L275" i="4"/>
  <c r="L63" i="4"/>
  <c r="K63" i="4"/>
  <c r="M63" i="4"/>
  <c r="N63" i="4"/>
  <c r="L31" i="4"/>
  <c r="K31" i="4"/>
  <c r="M31" i="4"/>
  <c r="N31" i="4"/>
  <c r="M104" i="4"/>
  <c r="L104" i="4"/>
  <c r="K104" i="4"/>
  <c r="N104" i="4"/>
  <c r="M72" i="4"/>
  <c r="L72" i="4"/>
  <c r="K72" i="4"/>
  <c r="N72" i="4"/>
  <c r="M8" i="4"/>
  <c r="N8" i="4"/>
  <c r="K8" i="4"/>
  <c r="L8" i="4"/>
  <c r="L83" i="4"/>
  <c r="K83" i="4"/>
  <c r="N83" i="4"/>
  <c r="M83" i="4"/>
  <c r="L99" i="4"/>
  <c r="K99" i="4"/>
  <c r="N99" i="4"/>
  <c r="M99" i="4"/>
  <c r="L115" i="4"/>
  <c r="K115" i="4"/>
  <c r="N115" i="4"/>
  <c r="M115" i="4"/>
  <c r="K30" i="4"/>
  <c r="N30" i="4"/>
  <c r="M30" i="4"/>
  <c r="L30" i="4"/>
  <c r="K46" i="4"/>
  <c r="N46" i="4"/>
  <c r="M46" i="4"/>
  <c r="L46" i="4"/>
  <c r="K62" i="4"/>
  <c r="N62" i="4"/>
  <c r="M62" i="4"/>
  <c r="L62" i="4"/>
  <c r="K78" i="4"/>
  <c r="N78" i="4"/>
  <c r="M78" i="4"/>
  <c r="L78" i="4"/>
  <c r="K94" i="4"/>
  <c r="N94" i="4"/>
  <c r="M94" i="4"/>
  <c r="L94" i="4"/>
  <c r="K110" i="4"/>
  <c r="N110" i="4"/>
  <c r="M110" i="4"/>
  <c r="L110" i="4"/>
  <c r="K125" i="4"/>
  <c r="M125" i="4"/>
  <c r="L125" i="4"/>
  <c r="N125" i="4"/>
  <c r="K133" i="4"/>
  <c r="M133" i="4"/>
  <c r="L133" i="4"/>
  <c r="N133" i="4"/>
  <c r="K141" i="4"/>
  <c r="M141" i="4"/>
  <c r="L141" i="4"/>
  <c r="N141" i="4"/>
  <c r="L160" i="4"/>
  <c r="K160" i="4"/>
  <c r="N160" i="4"/>
  <c r="M160" i="4"/>
  <c r="N17" i="4"/>
  <c r="M17" i="4"/>
  <c r="L17" i="4"/>
  <c r="K17" i="4"/>
  <c r="N33" i="4"/>
  <c r="M33" i="4"/>
  <c r="L33" i="4"/>
  <c r="K33" i="4"/>
  <c r="N49" i="4"/>
  <c r="M49" i="4"/>
  <c r="L49" i="4"/>
  <c r="K49" i="4"/>
  <c r="N65" i="4"/>
  <c r="M65" i="4"/>
  <c r="L65" i="4"/>
  <c r="K65" i="4"/>
  <c r="N81" i="4"/>
  <c r="M81" i="4"/>
  <c r="L81" i="4"/>
  <c r="K81" i="4"/>
  <c r="N97" i="4"/>
  <c r="M97" i="4"/>
  <c r="L97" i="4"/>
  <c r="K97" i="4"/>
  <c r="N113" i="4"/>
  <c r="M113" i="4"/>
  <c r="L113" i="4"/>
  <c r="K113" i="4"/>
  <c r="L148" i="4"/>
  <c r="N148" i="4"/>
  <c r="K148" i="4"/>
  <c r="M148" i="4"/>
  <c r="L130" i="4"/>
  <c r="N130" i="4"/>
  <c r="K130" i="4"/>
  <c r="M130" i="4"/>
  <c r="M149" i="4"/>
  <c r="L149" i="4"/>
  <c r="N149" i="4"/>
  <c r="K149" i="4"/>
  <c r="M213" i="4"/>
  <c r="L213" i="4"/>
  <c r="K213" i="4"/>
  <c r="N213" i="4"/>
  <c r="K300" i="4"/>
  <c r="N300" i="4"/>
  <c r="M300" i="4"/>
  <c r="L300" i="4"/>
  <c r="N136" i="4"/>
  <c r="L136" i="4"/>
  <c r="K136" i="4"/>
  <c r="M136" i="4"/>
  <c r="M161" i="4"/>
  <c r="L161" i="4"/>
  <c r="N161" i="4"/>
  <c r="K161" i="4"/>
  <c r="M169" i="4"/>
  <c r="L169" i="4"/>
  <c r="N169" i="4"/>
  <c r="K169" i="4"/>
  <c r="M177" i="4"/>
  <c r="L177" i="4"/>
  <c r="N177" i="4"/>
  <c r="K177" i="4"/>
  <c r="M185" i="4"/>
  <c r="L185" i="4"/>
  <c r="N185" i="4"/>
  <c r="K185" i="4"/>
  <c r="M193" i="4"/>
  <c r="L193" i="4"/>
  <c r="K193" i="4"/>
  <c r="N193" i="4"/>
  <c r="M225" i="4"/>
  <c r="L225" i="4"/>
  <c r="K225" i="4"/>
  <c r="N225" i="4"/>
  <c r="L200" i="4"/>
  <c r="K200" i="4"/>
  <c r="N200" i="4"/>
  <c r="M200" i="4"/>
  <c r="L216" i="4"/>
  <c r="K216" i="4"/>
  <c r="N216" i="4"/>
  <c r="M216" i="4"/>
  <c r="L257" i="4"/>
  <c r="N257" i="4"/>
  <c r="M257" i="4"/>
  <c r="K257" i="4"/>
  <c r="K171" i="4"/>
  <c r="N171" i="4"/>
  <c r="L171" i="4"/>
  <c r="M171" i="4"/>
  <c r="K187" i="4"/>
  <c r="N187" i="4"/>
  <c r="L187" i="4"/>
  <c r="M187" i="4"/>
  <c r="K203" i="4"/>
  <c r="N203" i="4"/>
  <c r="M203" i="4"/>
  <c r="L203" i="4"/>
  <c r="K219" i="4"/>
  <c r="N219" i="4"/>
  <c r="M219" i="4"/>
  <c r="L219" i="4"/>
  <c r="L234" i="4"/>
  <c r="K234" i="4"/>
  <c r="M234" i="4"/>
  <c r="N234" i="4"/>
  <c r="L242" i="4"/>
  <c r="K242" i="4"/>
  <c r="M242" i="4"/>
  <c r="N242" i="4"/>
  <c r="L249" i="4"/>
  <c r="N249" i="4"/>
  <c r="M249" i="4"/>
  <c r="K249" i="4"/>
  <c r="K292" i="4"/>
  <c r="N292" i="4"/>
  <c r="M292" i="4"/>
  <c r="L292" i="4"/>
  <c r="N154" i="4"/>
  <c r="M154" i="4"/>
  <c r="K154" i="4"/>
  <c r="L154" i="4"/>
  <c r="N170" i="4"/>
  <c r="M170" i="4"/>
  <c r="K170" i="4"/>
  <c r="L170" i="4"/>
  <c r="N186" i="4"/>
  <c r="M186" i="4"/>
  <c r="K186" i="4"/>
  <c r="L186" i="4"/>
  <c r="N202" i="4"/>
  <c r="M202" i="4"/>
  <c r="L202" i="4"/>
  <c r="K202" i="4"/>
  <c r="N218" i="4"/>
  <c r="M218" i="4"/>
  <c r="L218" i="4"/>
  <c r="K218" i="4"/>
  <c r="M266" i="4"/>
  <c r="L266" i="4"/>
  <c r="K266" i="4"/>
  <c r="N266" i="4"/>
  <c r="M298" i="4"/>
  <c r="L298" i="4"/>
  <c r="K298" i="4"/>
  <c r="N298" i="4"/>
  <c r="K241" i="4"/>
  <c r="N241" i="4"/>
  <c r="M241" i="4"/>
  <c r="L241" i="4"/>
  <c r="K256" i="4"/>
  <c r="L256" i="4"/>
  <c r="N256" i="4"/>
  <c r="M256" i="4"/>
  <c r="K272" i="4"/>
  <c r="L272" i="4"/>
  <c r="M272" i="4"/>
  <c r="N272" i="4"/>
  <c r="K288" i="4"/>
  <c r="L288" i="4"/>
  <c r="N288" i="4"/>
  <c r="M288" i="4"/>
  <c r="N228" i="4"/>
  <c r="M228" i="4"/>
  <c r="L228" i="4"/>
  <c r="K228" i="4"/>
  <c r="N244" i="4"/>
  <c r="M244" i="4"/>
  <c r="L244" i="4"/>
  <c r="K244" i="4"/>
  <c r="M278" i="4"/>
  <c r="N278" i="4"/>
  <c r="K278" i="4"/>
  <c r="L278" i="4"/>
  <c r="N251" i="4"/>
  <c r="K251" i="4"/>
  <c r="M251" i="4"/>
  <c r="L251" i="4"/>
  <c r="N267" i="4"/>
  <c r="K267" i="4"/>
  <c r="M267" i="4"/>
  <c r="L267" i="4"/>
  <c r="N283" i="4"/>
  <c r="K283" i="4"/>
  <c r="M283" i="4"/>
  <c r="L283" i="4"/>
  <c r="N299" i="4"/>
  <c r="K299" i="4"/>
  <c r="M299" i="4"/>
  <c r="L299" i="4"/>
  <c r="L67" i="4"/>
  <c r="K67" i="4"/>
  <c r="M67" i="4"/>
  <c r="N67" i="4"/>
  <c r="L59" i="4"/>
  <c r="K59" i="4"/>
  <c r="M59" i="4"/>
  <c r="N59" i="4"/>
  <c r="L51" i="4"/>
  <c r="K51" i="4"/>
  <c r="M51" i="4"/>
  <c r="N51" i="4"/>
  <c r="L43" i="4"/>
  <c r="K43" i="4"/>
  <c r="M43" i="4"/>
  <c r="N43" i="4"/>
  <c r="L35" i="4"/>
  <c r="K35" i="4"/>
  <c r="M35" i="4"/>
  <c r="N35" i="4"/>
  <c r="K26" i="4"/>
  <c r="L26" i="4"/>
  <c r="M26" i="4"/>
  <c r="N26" i="4"/>
  <c r="K18" i="4"/>
  <c r="L18" i="4"/>
  <c r="N18" i="4"/>
  <c r="M18" i="4"/>
  <c r="K10" i="4"/>
  <c r="L10" i="4"/>
  <c r="M10" i="4"/>
  <c r="N10" i="4"/>
  <c r="K3" i="4"/>
  <c r="N3" i="4"/>
  <c r="M3" i="4"/>
  <c r="L3" i="4"/>
  <c r="M100" i="4"/>
  <c r="L100" i="4"/>
  <c r="K100" i="4"/>
  <c r="N100" i="4"/>
  <c r="M24" i="4"/>
  <c r="K24" i="4"/>
  <c r="N24" i="4"/>
  <c r="L24" i="4"/>
  <c r="L107" i="4"/>
  <c r="K107" i="4"/>
  <c r="N107" i="4"/>
  <c r="M107" i="4"/>
  <c r="K54" i="4"/>
  <c r="N54" i="4"/>
  <c r="M54" i="4"/>
  <c r="L54" i="4"/>
  <c r="K102" i="4"/>
  <c r="N102" i="4"/>
  <c r="M102" i="4"/>
  <c r="L102" i="4"/>
  <c r="K137" i="4"/>
  <c r="M137" i="4"/>
  <c r="L137" i="4"/>
  <c r="N137" i="4"/>
  <c r="N25" i="4"/>
  <c r="M25" i="4"/>
  <c r="L25" i="4"/>
  <c r="K25" i="4"/>
  <c r="N73" i="4"/>
  <c r="M73" i="4"/>
  <c r="L73" i="4"/>
  <c r="K73" i="4"/>
  <c r="N121" i="4"/>
  <c r="M121" i="4"/>
  <c r="L121" i="4"/>
  <c r="K121" i="4"/>
  <c r="L289" i="4"/>
  <c r="N289" i="4"/>
  <c r="M289" i="4"/>
  <c r="K289" i="4"/>
  <c r="M165" i="4"/>
  <c r="L165" i="4"/>
  <c r="N165" i="4"/>
  <c r="K165" i="4"/>
  <c r="M189" i="4"/>
  <c r="L189" i="4"/>
  <c r="N189" i="4"/>
  <c r="K189" i="4"/>
  <c r="K276" i="4"/>
  <c r="N276" i="4"/>
  <c r="M276" i="4"/>
  <c r="L276" i="4"/>
  <c r="M282" i="4"/>
  <c r="L282" i="4"/>
  <c r="K282" i="4"/>
  <c r="N282" i="4"/>
  <c r="K211" i="4"/>
  <c r="N211" i="4"/>
  <c r="M211" i="4"/>
  <c r="L211" i="4"/>
  <c r="L246" i="4"/>
  <c r="K246" i="4"/>
  <c r="M246" i="4"/>
  <c r="N246" i="4"/>
  <c r="N178" i="4"/>
  <c r="M178" i="4"/>
  <c r="K178" i="4"/>
  <c r="L178" i="4"/>
  <c r="N210" i="4"/>
  <c r="M210" i="4"/>
  <c r="L210" i="4"/>
  <c r="K210" i="4"/>
  <c r="K233" i="4"/>
  <c r="N233" i="4"/>
  <c r="M233" i="4"/>
  <c r="L233" i="4"/>
  <c r="K296" i="4"/>
  <c r="L296" i="4"/>
  <c r="N296" i="4"/>
  <c r="M296" i="4"/>
  <c r="N236" i="4"/>
  <c r="M236" i="4"/>
  <c r="L236" i="4"/>
  <c r="K236" i="4"/>
  <c r="N259" i="4"/>
  <c r="K259" i="4"/>
  <c r="L259" i="4"/>
  <c r="M259" i="4"/>
  <c r="L47" i="4"/>
  <c r="K47" i="4"/>
  <c r="M47" i="4"/>
  <c r="N47" i="4"/>
  <c r="M116" i="4"/>
  <c r="L116" i="4"/>
  <c r="K116" i="4"/>
  <c r="N116" i="4"/>
  <c r="M96" i="4"/>
  <c r="L96" i="4"/>
  <c r="K96" i="4"/>
  <c r="N96" i="4"/>
  <c r="M16" i="4"/>
  <c r="K16" i="4"/>
  <c r="N16" i="4"/>
  <c r="L16" i="4"/>
  <c r="L71" i="4"/>
  <c r="K71" i="4"/>
  <c r="N71" i="4"/>
  <c r="M71" i="4"/>
  <c r="L87" i="4"/>
  <c r="K87" i="4"/>
  <c r="N87" i="4"/>
  <c r="M87" i="4"/>
  <c r="L103" i="4"/>
  <c r="K103" i="4"/>
  <c r="N103" i="4"/>
  <c r="M103" i="4"/>
  <c r="L119" i="4"/>
  <c r="K119" i="4"/>
  <c r="N119" i="4"/>
  <c r="M119" i="4"/>
  <c r="K34" i="4"/>
  <c r="N34" i="4"/>
  <c r="M34" i="4"/>
  <c r="L34" i="4"/>
  <c r="K50" i="4"/>
  <c r="N50" i="4"/>
  <c r="M50" i="4"/>
  <c r="L50" i="4"/>
  <c r="K66" i="4"/>
  <c r="N66" i="4"/>
  <c r="M66" i="4"/>
  <c r="L66" i="4"/>
  <c r="K82" i="4"/>
  <c r="N82" i="4"/>
  <c r="M82" i="4"/>
  <c r="L82" i="4"/>
  <c r="K98" i="4"/>
  <c r="N98" i="4"/>
  <c r="M98" i="4"/>
  <c r="L98" i="4"/>
  <c r="K114" i="4"/>
  <c r="N114" i="4"/>
  <c r="M114" i="4"/>
  <c r="L114" i="4"/>
  <c r="M127" i="4"/>
  <c r="K127" i="4"/>
  <c r="L127" i="4"/>
  <c r="N127" i="4"/>
  <c r="M135" i="4"/>
  <c r="K135" i="4"/>
  <c r="L135" i="4"/>
  <c r="N135" i="4"/>
  <c r="K143" i="4"/>
  <c r="N143" i="4"/>
  <c r="L143" i="4"/>
  <c r="M143" i="4"/>
  <c r="M227" i="4"/>
  <c r="N227" i="4"/>
  <c r="L227" i="4"/>
  <c r="K227" i="4"/>
  <c r="N21" i="4"/>
  <c r="K21" i="4"/>
  <c r="L21" i="4"/>
  <c r="M21" i="4"/>
  <c r="N37" i="4"/>
  <c r="M37" i="4"/>
  <c r="L37" i="4"/>
  <c r="K37" i="4"/>
  <c r="N53" i="4"/>
  <c r="M53" i="4"/>
  <c r="L53" i="4"/>
  <c r="K53" i="4"/>
  <c r="N69" i="4"/>
  <c r="M69" i="4"/>
  <c r="L69" i="4"/>
  <c r="K69" i="4"/>
  <c r="N85" i="4"/>
  <c r="M85" i="4"/>
  <c r="L85" i="4"/>
  <c r="K85" i="4"/>
  <c r="N101" i="4"/>
  <c r="M101" i="4"/>
  <c r="L101" i="4"/>
  <c r="K101" i="4"/>
  <c r="N117" i="4"/>
  <c r="M117" i="4"/>
  <c r="L117" i="4"/>
  <c r="K117" i="4"/>
  <c r="K163" i="4"/>
  <c r="N163" i="4"/>
  <c r="L163" i="4"/>
  <c r="M163" i="4"/>
  <c r="L134" i="4"/>
  <c r="N134" i="4"/>
  <c r="K134" i="4"/>
  <c r="M134" i="4"/>
  <c r="M157" i="4"/>
  <c r="L157" i="4"/>
  <c r="N157" i="4"/>
  <c r="K157" i="4"/>
  <c r="M221" i="4"/>
  <c r="L221" i="4"/>
  <c r="K221" i="4"/>
  <c r="N221" i="4"/>
  <c r="N124" i="4"/>
  <c r="L124" i="4"/>
  <c r="K124" i="4"/>
  <c r="M124" i="4"/>
  <c r="N140" i="4"/>
  <c r="L140" i="4"/>
  <c r="K140" i="4"/>
  <c r="M140" i="4"/>
  <c r="L164" i="4"/>
  <c r="K164" i="4"/>
  <c r="N164" i="4"/>
  <c r="M164" i="4"/>
  <c r="L172" i="4"/>
  <c r="K172" i="4"/>
  <c r="N172" i="4"/>
  <c r="M172" i="4"/>
  <c r="L180" i="4"/>
  <c r="K180" i="4"/>
  <c r="N180" i="4"/>
  <c r="M180" i="4"/>
  <c r="L188" i="4"/>
  <c r="K188" i="4"/>
  <c r="N188" i="4"/>
  <c r="M188" i="4"/>
  <c r="M201" i="4"/>
  <c r="L201" i="4"/>
  <c r="K201" i="4"/>
  <c r="N201" i="4"/>
  <c r="L265" i="4"/>
  <c r="N265" i="4"/>
  <c r="M265" i="4"/>
  <c r="K265" i="4"/>
  <c r="L204" i="4"/>
  <c r="K204" i="4"/>
  <c r="N204" i="4"/>
  <c r="M204" i="4"/>
  <c r="L220" i="4"/>
  <c r="K220" i="4"/>
  <c r="N220" i="4"/>
  <c r="M220" i="4"/>
  <c r="K268" i="4"/>
  <c r="N268" i="4"/>
  <c r="M268" i="4"/>
  <c r="L268" i="4"/>
  <c r="K175" i="4"/>
  <c r="N175" i="4"/>
  <c r="L175" i="4"/>
  <c r="M175" i="4"/>
  <c r="K191" i="4"/>
  <c r="N191" i="4"/>
  <c r="L191" i="4"/>
  <c r="M191" i="4"/>
  <c r="K207" i="4"/>
  <c r="N207" i="4"/>
  <c r="M207" i="4"/>
  <c r="L207" i="4"/>
  <c r="K223" i="4"/>
  <c r="N223" i="4"/>
  <c r="M223" i="4"/>
  <c r="L223" i="4"/>
  <c r="M235" i="4"/>
  <c r="L235" i="4"/>
  <c r="K235" i="4"/>
  <c r="N235" i="4"/>
  <c r="M243" i="4"/>
  <c r="L243" i="4"/>
  <c r="K243" i="4"/>
  <c r="N243" i="4"/>
  <c r="K260" i="4"/>
  <c r="N260" i="4"/>
  <c r="M260" i="4"/>
  <c r="L260" i="4"/>
  <c r="L297" i="4"/>
  <c r="N297" i="4"/>
  <c r="M297" i="4"/>
  <c r="K297" i="4"/>
  <c r="N158" i="4"/>
  <c r="K158" i="4"/>
  <c r="M158" i="4"/>
  <c r="L158" i="4"/>
  <c r="N174" i="4"/>
  <c r="M174" i="4"/>
  <c r="K174" i="4"/>
  <c r="L174" i="4"/>
  <c r="N190" i="4"/>
  <c r="M190" i="4"/>
  <c r="K190" i="4"/>
  <c r="L190" i="4"/>
  <c r="N206" i="4"/>
  <c r="M206" i="4"/>
  <c r="L206" i="4"/>
  <c r="K206" i="4"/>
  <c r="N222" i="4"/>
  <c r="M222" i="4"/>
  <c r="L222" i="4"/>
  <c r="K222" i="4"/>
  <c r="L273" i="4"/>
  <c r="N273" i="4"/>
  <c r="M273" i="4"/>
  <c r="K273" i="4"/>
  <c r="K229" i="4"/>
  <c r="N229" i="4"/>
  <c r="M229" i="4"/>
  <c r="L229" i="4"/>
  <c r="K245" i="4"/>
  <c r="N245" i="4"/>
  <c r="M245" i="4"/>
  <c r="L245" i="4"/>
  <c r="L261" i="4"/>
  <c r="K261" i="4"/>
  <c r="N261" i="4"/>
  <c r="M261" i="4"/>
  <c r="L277" i="4"/>
  <c r="K277" i="4"/>
  <c r="N277" i="4"/>
  <c r="M277" i="4"/>
  <c r="L293" i="4"/>
  <c r="K293" i="4"/>
  <c r="N293" i="4"/>
  <c r="M293" i="4"/>
  <c r="N232" i="4"/>
  <c r="M232" i="4"/>
  <c r="L232" i="4"/>
  <c r="K232" i="4"/>
  <c r="M254" i="4"/>
  <c r="N254" i="4"/>
  <c r="L254" i="4"/>
  <c r="K254" i="4"/>
  <c r="M286" i="4"/>
  <c r="N286" i="4"/>
  <c r="L286" i="4"/>
  <c r="K286" i="4"/>
  <c r="N255" i="4"/>
  <c r="M255" i="4"/>
  <c r="L255" i="4"/>
  <c r="K255" i="4"/>
  <c r="N271" i="4"/>
  <c r="M271" i="4"/>
  <c r="L271" i="4"/>
  <c r="K271" i="4"/>
  <c r="N287" i="4"/>
  <c r="M287" i="4"/>
  <c r="L287" i="4"/>
  <c r="K287" i="4"/>
  <c r="N303" i="4"/>
  <c r="M303" i="4"/>
  <c r="L303" i="4"/>
  <c r="K303" i="4"/>
  <c r="M64" i="4"/>
  <c r="L64" i="4"/>
  <c r="K64" i="4"/>
  <c r="N64" i="4"/>
  <c r="M56" i="4"/>
  <c r="L56" i="4"/>
  <c r="K56" i="4"/>
  <c r="N56" i="4"/>
  <c r="M48" i="4"/>
  <c r="L48" i="4"/>
  <c r="K48" i="4"/>
  <c r="N48" i="4"/>
  <c r="M40" i="4"/>
  <c r="L40" i="4"/>
  <c r="K40" i="4"/>
  <c r="N40" i="4"/>
  <c r="M32" i="4"/>
  <c r="L32" i="4"/>
  <c r="K32" i="4"/>
  <c r="N32" i="4"/>
  <c r="L23" i="4"/>
  <c r="K23" i="4"/>
  <c r="M23" i="4"/>
  <c r="N23" i="4"/>
  <c r="L15" i="4"/>
  <c r="K15" i="4"/>
  <c r="M15" i="4"/>
  <c r="N15" i="4"/>
  <c r="L7" i="4"/>
  <c r="K7" i="4"/>
  <c r="M7" i="4"/>
  <c r="N7" i="4"/>
  <c r="L152" i="4"/>
  <c r="K152" i="4"/>
  <c r="N152" i="4"/>
  <c r="M152" i="4"/>
  <c r="M92" i="4"/>
  <c r="L92" i="4"/>
  <c r="K92" i="4"/>
  <c r="N92" i="4"/>
  <c r="R7" i="12" l="1"/>
  <c r="O9" i="12"/>
  <c r="J9" i="12"/>
  <c r="Q8" i="12"/>
  <c r="P8" i="12"/>
  <c r="R8" i="12" s="1"/>
  <c r="G11" i="12"/>
  <c r="H10" i="12"/>
  <c r="I10" i="12" s="1"/>
  <c r="M8" i="12"/>
  <c r="N8" i="12"/>
  <c r="L8" i="12"/>
  <c r="K8" i="12"/>
  <c r="R5" i="11"/>
  <c r="S7" i="12"/>
  <c r="O8" i="11"/>
  <c r="J8" i="11"/>
  <c r="N7" i="11"/>
  <c r="M7" i="11"/>
  <c r="L7" i="11"/>
  <c r="K7" i="11"/>
  <c r="H9" i="11"/>
  <c r="I9" i="11" s="1"/>
  <c r="G10" i="11"/>
  <c r="R6" i="11"/>
  <c r="Q7" i="11"/>
  <c r="P7" i="11"/>
  <c r="M5" i="7"/>
  <c r="O7" i="10"/>
  <c r="P6" i="10"/>
  <c r="Q6" i="10"/>
  <c r="H8" i="10"/>
  <c r="I8" i="10" s="1"/>
  <c r="J8" i="10" s="1"/>
  <c r="G9" i="10"/>
  <c r="N6" i="10"/>
  <c r="K6" i="10"/>
  <c r="M6" i="10"/>
  <c r="L6" i="10"/>
  <c r="S6" i="10" s="1"/>
  <c r="K5" i="7"/>
  <c r="N5" i="7"/>
  <c r="J6" i="7"/>
  <c r="N6" i="7" s="1"/>
  <c r="O6" i="7"/>
  <c r="Q5" i="7"/>
  <c r="S5" i="7" s="1"/>
  <c r="P5" i="7"/>
  <c r="G9" i="9"/>
  <c r="H8" i="9"/>
  <c r="I8" i="9" s="1"/>
  <c r="J8" i="9" s="1"/>
  <c r="K7" i="9"/>
  <c r="N7" i="9"/>
  <c r="L7" i="9"/>
  <c r="M7" i="9"/>
  <c r="H7" i="7"/>
  <c r="I7" i="7" s="1"/>
  <c r="G8" i="7"/>
  <c r="G8" i="6"/>
  <c r="H7" i="6"/>
  <c r="I7" i="6" s="1"/>
  <c r="J7" i="6" s="1"/>
  <c r="M6" i="6"/>
  <c r="N6" i="6"/>
  <c r="K6" i="6"/>
  <c r="L6" i="6"/>
  <c r="B12" i="5" a="1"/>
  <c r="B12" i="5" s="1"/>
  <c r="B14" i="5" s="1"/>
  <c r="B15" i="5" s="1"/>
  <c r="S8" i="12" l="1"/>
  <c r="O10" i="12"/>
  <c r="J10" i="12"/>
  <c r="L9" i="12"/>
  <c r="M9" i="12"/>
  <c r="K9" i="12"/>
  <c r="N9" i="12"/>
  <c r="H11" i="12"/>
  <c r="I11" i="12" s="1"/>
  <c r="G12" i="12"/>
  <c r="P9" i="12"/>
  <c r="R9" i="12" s="1"/>
  <c r="Q9" i="12"/>
  <c r="G11" i="11"/>
  <c r="H10" i="11"/>
  <c r="I10" i="11" s="1"/>
  <c r="R6" i="10"/>
  <c r="R7" i="11"/>
  <c r="O9" i="11"/>
  <c r="J9" i="11"/>
  <c r="S7" i="11"/>
  <c r="M8" i="11"/>
  <c r="L8" i="11"/>
  <c r="K8" i="11"/>
  <c r="N8" i="11"/>
  <c r="Q8" i="11"/>
  <c r="P8" i="11"/>
  <c r="R8" i="11" s="1"/>
  <c r="H9" i="10"/>
  <c r="I9" i="10" s="1"/>
  <c r="J9" i="10" s="1"/>
  <c r="G10" i="10"/>
  <c r="Q7" i="10"/>
  <c r="P7" i="10"/>
  <c r="O8" i="10"/>
  <c r="K7" i="10"/>
  <c r="L7" i="10"/>
  <c r="S7" i="10" s="1"/>
  <c r="N7" i="10"/>
  <c r="M7" i="10"/>
  <c r="R5" i="7"/>
  <c r="L6" i="7"/>
  <c r="Q6" i="7"/>
  <c r="P6" i="7"/>
  <c r="M6" i="7"/>
  <c r="K6" i="7"/>
  <c r="J7" i="7"/>
  <c r="N7" i="7" s="1"/>
  <c r="O7" i="7"/>
  <c r="K8" i="9"/>
  <c r="N8" i="9"/>
  <c r="M8" i="9"/>
  <c r="L8" i="9"/>
  <c r="G10" i="9"/>
  <c r="H9" i="9"/>
  <c r="I9" i="9" s="1"/>
  <c r="J9" i="9" s="1"/>
  <c r="G9" i="7"/>
  <c r="H8" i="7"/>
  <c r="I8" i="7" s="1"/>
  <c r="M7" i="6"/>
  <c r="K7" i="6"/>
  <c r="N7" i="6"/>
  <c r="L7" i="6"/>
  <c r="H8" i="6"/>
  <c r="I8" i="6" s="1"/>
  <c r="J8" i="6" s="1"/>
  <c r="G9" i="6"/>
  <c r="B13" i="5"/>
  <c r="S8" i="11" l="1"/>
  <c r="S9" i="12"/>
  <c r="M10" i="12"/>
  <c r="L10" i="12"/>
  <c r="N10" i="12"/>
  <c r="K10" i="12"/>
  <c r="O11" i="12"/>
  <c r="J11" i="12"/>
  <c r="R7" i="10"/>
  <c r="Q10" i="12"/>
  <c r="P10" i="12"/>
  <c r="G13" i="12"/>
  <c r="H12" i="12"/>
  <c r="I12" i="12" s="1"/>
  <c r="L9" i="11"/>
  <c r="K9" i="11"/>
  <c r="N9" i="11"/>
  <c r="M9" i="11"/>
  <c r="J10" i="11"/>
  <c r="O10" i="11"/>
  <c r="P9" i="11"/>
  <c r="Q9" i="11"/>
  <c r="H11" i="11"/>
  <c r="I11" i="11" s="1"/>
  <c r="G12" i="11"/>
  <c r="L8" i="10"/>
  <c r="K8" i="10"/>
  <c r="M8" i="10"/>
  <c r="N8" i="10"/>
  <c r="O9" i="10"/>
  <c r="G11" i="10"/>
  <c r="H10" i="10"/>
  <c r="I10" i="10" s="1"/>
  <c r="J10" i="10" s="1"/>
  <c r="P8" i="10"/>
  <c r="Q8" i="10"/>
  <c r="R6" i="7"/>
  <c r="L7" i="7"/>
  <c r="M7" i="7"/>
  <c r="S6" i="7"/>
  <c r="K7" i="7"/>
  <c r="J8" i="7"/>
  <c r="M8" i="7" s="1"/>
  <c r="O8" i="7"/>
  <c r="Q7" i="7"/>
  <c r="P7" i="7"/>
  <c r="K9" i="9"/>
  <c r="N9" i="9"/>
  <c r="M9" i="9"/>
  <c r="L9" i="9"/>
  <c r="G11" i="9"/>
  <c r="H10" i="9"/>
  <c r="I10" i="9" s="1"/>
  <c r="J10" i="9" s="1"/>
  <c r="G10" i="7"/>
  <c r="H9" i="7"/>
  <c r="I9" i="7" s="1"/>
  <c r="G10" i="6"/>
  <c r="H9" i="6"/>
  <c r="I9" i="6" s="1"/>
  <c r="J9" i="6" s="1"/>
  <c r="M8" i="6"/>
  <c r="N8" i="6"/>
  <c r="L8" i="6"/>
  <c r="K8" i="6"/>
  <c r="R10" i="12" l="1"/>
  <c r="G14" i="12"/>
  <c r="H13" i="12"/>
  <c r="I13" i="12" s="1"/>
  <c r="K11" i="12"/>
  <c r="N11" i="12"/>
  <c r="M11" i="12"/>
  <c r="L11" i="12"/>
  <c r="P11" i="12"/>
  <c r="R11" i="12" s="1"/>
  <c r="Q11" i="12"/>
  <c r="S10" i="12"/>
  <c r="S9" i="11"/>
  <c r="J12" i="12"/>
  <c r="O12" i="12"/>
  <c r="R8" i="10"/>
  <c r="S8" i="10"/>
  <c r="R9" i="11"/>
  <c r="G13" i="11"/>
  <c r="H12" i="11"/>
  <c r="I12" i="11" s="1"/>
  <c r="Q10" i="11"/>
  <c r="P10" i="11"/>
  <c r="O11" i="11"/>
  <c r="J11" i="11"/>
  <c r="N10" i="11"/>
  <c r="M10" i="11"/>
  <c r="L10" i="11"/>
  <c r="K10" i="11"/>
  <c r="K9" i="10"/>
  <c r="N9" i="10"/>
  <c r="L9" i="10"/>
  <c r="S9" i="10" s="1"/>
  <c r="M9" i="10"/>
  <c r="P9" i="10"/>
  <c r="Q9" i="10"/>
  <c r="O10" i="10"/>
  <c r="H11" i="10"/>
  <c r="I11" i="10" s="1"/>
  <c r="J11" i="10" s="1"/>
  <c r="G12" i="10"/>
  <c r="R7" i="7"/>
  <c r="S7" i="7"/>
  <c r="K8" i="7"/>
  <c r="Q8" i="7"/>
  <c r="P8" i="7"/>
  <c r="N8" i="7"/>
  <c r="J9" i="7"/>
  <c r="K9" i="7" s="1"/>
  <c r="O9" i="7"/>
  <c r="L8" i="7"/>
  <c r="N10" i="9"/>
  <c r="M10" i="9"/>
  <c r="L10" i="9"/>
  <c r="K10" i="9"/>
  <c r="G12" i="9"/>
  <c r="H11" i="9"/>
  <c r="I11" i="9" s="1"/>
  <c r="J11" i="9" s="1"/>
  <c r="G11" i="7"/>
  <c r="H10" i="7"/>
  <c r="I10" i="7" s="1"/>
  <c r="L9" i="6"/>
  <c r="M9" i="6"/>
  <c r="N9" i="6"/>
  <c r="K9" i="6"/>
  <c r="G11" i="6"/>
  <c r="H10" i="6"/>
  <c r="I10" i="6" s="1"/>
  <c r="J10" i="6" s="1"/>
  <c r="Q12" i="12" l="1"/>
  <c r="P12" i="12"/>
  <c r="S11" i="12"/>
  <c r="G15" i="12"/>
  <c r="H14" i="12"/>
  <c r="I14" i="12" s="1"/>
  <c r="N12" i="12"/>
  <c r="M12" i="12"/>
  <c r="L12" i="12"/>
  <c r="K12" i="12"/>
  <c r="O13" i="12"/>
  <c r="J13" i="12"/>
  <c r="P11" i="11"/>
  <c r="Q11" i="11"/>
  <c r="G14" i="11"/>
  <c r="H13" i="11"/>
  <c r="I13" i="11" s="1"/>
  <c r="R10" i="11"/>
  <c r="R9" i="10"/>
  <c r="S10" i="11"/>
  <c r="L11" i="11"/>
  <c r="K11" i="11"/>
  <c r="N11" i="11"/>
  <c r="M11" i="11"/>
  <c r="J12" i="11"/>
  <c r="O12" i="11"/>
  <c r="O11" i="10"/>
  <c r="Q10" i="10"/>
  <c r="P10" i="10"/>
  <c r="N10" i="10"/>
  <c r="M10" i="10"/>
  <c r="L10" i="10"/>
  <c r="S10" i="10" s="1"/>
  <c r="K10" i="10"/>
  <c r="R10" i="10" s="1"/>
  <c r="G13" i="10"/>
  <c r="H12" i="10"/>
  <c r="I12" i="10" s="1"/>
  <c r="J12" i="10" s="1"/>
  <c r="R8" i="7"/>
  <c r="N9" i="7"/>
  <c r="L9" i="7"/>
  <c r="Q9" i="7"/>
  <c r="P9" i="7"/>
  <c r="R9" i="7" s="1"/>
  <c r="M9" i="7"/>
  <c r="J10" i="7"/>
  <c r="M10" i="7" s="1"/>
  <c r="O10" i="7"/>
  <c r="S8" i="7"/>
  <c r="H12" i="9"/>
  <c r="I12" i="9" s="1"/>
  <c r="J12" i="9" s="1"/>
  <c r="G13" i="9"/>
  <c r="M11" i="9"/>
  <c r="L11" i="9"/>
  <c r="N11" i="9"/>
  <c r="K11" i="9"/>
  <c r="G12" i="7"/>
  <c r="H11" i="7"/>
  <c r="I11" i="7" s="1"/>
  <c r="G12" i="6"/>
  <c r="H11" i="6"/>
  <c r="I11" i="6" s="1"/>
  <c r="J11" i="6" s="1"/>
  <c r="K10" i="6"/>
  <c r="L10" i="6"/>
  <c r="N10" i="6"/>
  <c r="M10" i="6"/>
  <c r="S12" i="12" l="1"/>
  <c r="H15" i="12"/>
  <c r="I15" i="12" s="1"/>
  <c r="G16" i="12"/>
  <c r="K13" i="12"/>
  <c r="N13" i="12"/>
  <c r="M13" i="12"/>
  <c r="L13" i="12"/>
  <c r="Q13" i="12"/>
  <c r="P13" i="12"/>
  <c r="R13" i="12" s="1"/>
  <c r="R12" i="12"/>
  <c r="O14" i="12"/>
  <c r="J14" i="12"/>
  <c r="G15" i="11"/>
  <c r="H14" i="11"/>
  <c r="I14" i="11" s="1"/>
  <c r="S11" i="11"/>
  <c r="Q12" i="11"/>
  <c r="P12" i="11"/>
  <c r="R11" i="11"/>
  <c r="N12" i="11"/>
  <c r="K12" i="11"/>
  <c r="M12" i="11"/>
  <c r="L12" i="11"/>
  <c r="O13" i="11"/>
  <c r="J13" i="11"/>
  <c r="P11" i="10"/>
  <c r="Q11" i="10"/>
  <c r="M11" i="10"/>
  <c r="L11" i="10"/>
  <c r="K11" i="10"/>
  <c r="R11" i="10" s="1"/>
  <c r="N11" i="10"/>
  <c r="O12" i="10"/>
  <c r="G14" i="10"/>
  <c r="H13" i="10"/>
  <c r="I13" i="10" s="1"/>
  <c r="J13" i="10" s="1"/>
  <c r="S9" i="7"/>
  <c r="J11" i="7"/>
  <c r="M11" i="7" s="1"/>
  <c r="O11" i="7"/>
  <c r="N10" i="7"/>
  <c r="L10" i="7"/>
  <c r="K10" i="7"/>
  <c r="Q10" i="7"/>
  <c r="P10" i="7"/>
  <c r="G14" i="9"/>
  <c r="H13" i="9"/>
  <c r="I13" i="9" s="1"/>
  <c r="J13" i="9" s="1"/>
  <c r="L12" i="9"/>
  <c r="K12" i="9"/>
  <c r="N12" i="9"/>
  <c r="M12" i="9"/>
  <c r="G13" i="7"/>
  <c r="H12" i="7"/>
  <c r="I12" i="7" s="1"/>
  <c r="N11" i="6"/>
  <c r="L11" i="6"/>
  <c r="K11" i="6"/>
  <c r="M11" i="6"/>
  <c r="G13" i="6"/>
  <c r="H12" i="6"/>
  <c r="I12" i="6" s="1"/>
  <c r="J12" i="6" s="1"/>
  <c r="S11" i="10" l="1"/>
  <c r="S12" i="11"/>
  <c r="M14" i="12"/>
  <c r="L14" i="12"/>
  <c r="K14" i="12"/>
  <c r="N14" i="12"/>
  <c r="S13" i="12"/>
  <c r="Q14" i="12"/>
  <c r="S14" i="12" s="1"/>
  <c r="P14" i="12"/>
  <c r="R14" i="12" s="1"/>
  <c r="G17" i="12"/>
  <c r="H16" i="12"/>
  <c r="I16" i="12" s="1"/>
  <c r="O15" i="12"/>
  <c r="J15" i="12"/>
  <c r="K13" i="11"/>
  <c r="N13" i="11"/>
  <c r="M13" i="11"/>
  <c r="L13" i="11"/>
  <c r="Q13" i="11"/>
  <c r="P13" i="11"/>
  <c r="R13" i="11" s="1"/>
  <c r="O14" i="11"/>
  <c r="J14" i="11"/>
  <c r="R12" i="11"/>
  <c r="G16" i="11"/>
  <c r="H15" i="11"/>
  <c r="I15" i="11" s="1"/>
  <c r="O13" i="10"/>
  <c r="H14" i="10"/>
  <c r="I14" i="10" s="1"/>
  <c r="J14" i="10" s="1"/>
  <c r="G15" i="10"/>
  <c r="N12" i="10"/>
  <c r="M12" i="10"/>
  <c r="L12" i="10"/>
  <c r="K12" i="10"/>
  <c r="P12" i="10"/>
  <c r="Q12" i="10"/>
  <c r="R10" i="7"/>
  <c r="K11" i="7"/>
  <c r="L11" i="7"/>
  <c r="N11" i="7"/>
  <c r="S10" i="7"/>
  <c r="J12" i="7"/>
  <c r="L12" i="7" s="1"/>
  <c r="O12" i="7"/>
  <c r="Q11" i="7"/>
  <c r="P11" i="7"/>
  <c r="G15" i="9"/>
  <c r="H14" i="9"/>
  <c r="I14" i="9" s="1"/>
  <c r="J14" i="9" s="1"/>
  <c r="N13" i="9"/>
  <c r="M13" i="9"/>
  <c r="L13" i="9"/>
  <c r="K13" i="9"/>
  <c r="G14" i="7"/>
  <c r="H13" i="7"/>
  <c r="I13" i="7" s="1"/>
  <c r="L12" i="6"/>
  <c r="M12" i="6"/>
  <c r="K12" i="6"/>
  <c r="N12" i="6"/>
  <c r="H13" i="6"/>
  <c r="I13" i="6" s="1"/>
  <c r="J13" i="6" s="1"/>
  <c r="G14" i="6"/>
  <c r="J16" i="12" l="1"/>
  <c r="O16" i="12"/>
  <c r="Q15" i="12"/>
  <c r="P15" i="12"/>
  <c r="R15" i="12" s="1"/>
  <c r="G18" i="12"/>
  <c r="H17" i="12"/>
  <c r="I17" i="12" s="1"/>
  <c r="K15" i="12"/>
  <c r="N15" i="12"/>
  <c r="M15" i="12"/>
  <c r="L15" i="12"/>
  <c r="M14" i="11"/>
  <c r="L14" i="11"/>
  <c r="K14" i="11"/>
  <c r="N14" i="11"/>
  <c r="O15" i="11"/>
  <c r="J15" i="11"/>
  <c r="Q14" i="11"/>
  <c r="S14" i="11" s="1"/>
  <c r="P14" i="11"/>
  <c r="R12" i="10"/>
  <c r="G17" i="11"/>
  <c r="H16" i="11"/>
  <c r="I16" i="11" s="1"/>
  <c r="S12" i="10"/>
  <c r="S13" i="11"/>
  <c r="G16" i="10"/>
  <c r="H15" i="10"/>
  <c r="I15" i="10" s="1"/>
  <c r="J15" i="10" s="1"/>
  <c r="O14" i="10"/>
  <c r="L13" i="10"/>
  <c r="M13" i="10"/>
  <c r="K13" i="10"/>
  <c r="R13" i="10" s="1"/>
  <c r="N13" i="10"/>
  <c r="Q13" i="10"/>
  <c r="P13" i="10"/>
  <c r="R11" i="7"/>
  <c r="S11" i="7"/>
  <c r="N12" i="7"/>
  <c r="K12" i="7"/>
  <c r="Q12" i="7"/>
  <c r="S12" i="7" s="1"/>
  <c r="P12" i="7"/>
  <c r="M12" i="7"/>
  <c r="J13" i="7"/>
  <c r="M13" i="7" s="1"/>
  <c r="O13" i="7"/>
  <c r="M14" i="9"/>
  <c r="L14" i="9"/>
  <c r="N14" i="9"/>
  <c r="K14" i="9"/>
  <c r="G16" i="9"/>
  <c r="H15" i="9"/>
  <c r="I15" i="9" s="1"/>
  <c r="J15" i="9" s="1"/>
  <c r="G15" i="7"/>
  <c r="H14" i="7"/>
  <c r="I14" i="7" s="1"/>
  <c r="K13" i="6"/>
  <c r="N13" i="6"/>
  <c r="M13" i="6"/>
  <c r="L13" i="6"/>
  <c r="G15" i="6"/>
  <c r="H14" i="6"/>
  <c r="I14" i="6" s="1"/>
  <c r="J14" i="6" s="1"/>
  <c r="S15" i="12" l="1"/>
  <c r="O17" i="12"/>
  <c r="J17" i="12"/>
  <c r="Q16" i="12"/>
  <c r="P16" i="12"/>
  <c r="G19" i="12"/>
  <c r="H18" i="12"/>
  <c r="I18" i="12" s="1"/>
  <c r="N16" i="12"/>
  <c r="M16" i="12"/>
  <c r="L16" i="12"/>
  <c r="K16" i="12"/>
  <c r="H17" i="11"/>
  <c r="I17" i="11" s="1"/>
  <c r="G18" i="11"/>
  <c r="R14" i="11"/>
  <c r="O16" i="11"/>
  <c r="J16" i="11"/>
  <c r="K15" i="11"/>
  <c r="N15" i="11"/>
  <c r="M15" i="11"/>
  <c r="L15" i="11"/>
  <c r="S13" i="10"/>
  <c r="Q15" i="11"/>
  <c r="S15" i="11" s="1"/>
  <c r="P15" i="11"/>
  <c r="Q14" i="10"/>
  <c r="P14" i="10"/>
  <c r="N14" i="10"/>
  <c r="K14" i="10"/>
  <c r="M14" i="10"/>
  <c r="L14" i="10"/>
  <c r="O15" i="10"/>
  <c r="G17" i="10"/>
  <c r="H16" i="10"/>
  <c r="I16" i="10" s="1"/>
  <c r="J16" i="10" s="1"/>
  <c r="R12" i="7"/>
  <c r="L13" i="7"/>
  <c r="J14" i="7"/>
  <c r="M14" i="7" s="1"/>
  <c r="O14" i="7"/>
  <c r="N13" i="7"/>
  <c r="Q13" i="7"/>
  <c r="P13" i="7"/>
  <c r="K13" i="7"/>
  <c r="L15" i="9"/>
  <c r="K15" i="9"/>
  <c r="M15" i="9"/>
  <c r="N15" i="9"/>
  <c r="G17" i="9"/>
  <c r="H16" i="9"/>
  <c r="I16" i="9" s="1"/>
  <c r="J16" i="9" s="1"/>
  <c r="H15" i="7"/>
  <c r="I15" i="7" s="1"/>
  <c r="G16" i="7"/>
  <c r="G16" i="6"/>
  <c r="H15" i="6"/>
  <c r="I15" i="6" s="1"/>
  <c r="J15" i="6" s="1"/>
  <c r="N14" i="6"/>
  <c r="K14" i="6"/>
  <c r="M14" i="6"/>
  <c r="L14" i="6"/>
  <c r="H19" i="12" l="1"/>
  <c r="I19" i="12" s="1"/>
  <c r="G20" i="12"/>
  <c r="Q17" i="12"/>
  <c r="P17" i="12"/>
  <c r="S14" i="10"/>
  <c r="R16" i="12"/>
  <c r="M17" i="12"/>
  <c r="L17" i="12"/>
  <c r="K17" i="12"/>
  <c r="N17" i="12"/>
  <c r="S16" i="12"/>
  <c r="O18" i="12"/>
  <c r="J18" i="12"/>
  <c r="R14" i="10"/>
  <c r="R15" i="11"/>
  <c r="P16" i="11"/>
  <c r="Q16" i="11"/>
  <c r="S16" i="11" s="1"/>
  <c r="G19" i="11"/>
  <c r="H18" i="11"/>
  <c r="I18" i="11" s="1"/>
  <c r="K16" i="11"/>
  <c r="N16" i="11"/>
  <c r="M16" i="11"/>
  <c r="L16" i="11"/>
  <c r="J17" i="11"/>
  <c r="O17" i="11"/>
  <c r="Q15" i="10"/>
  <c r="P15" i="10"/>
  <c r="M15" i="10"/>
  <c r="N15" i="10"/>
  <c r="K15" i="10"/>
  <c r="L15" i="10"/>
  <c r="O16" i="10"/>
  <c r="G18" i="10"/>
  <c r="H17" i="10"/>
  <c r="I17" i="10" s="1"/>
  <c r="J17" i="10" s="1"/>
  <c r="R13" i="7"/>
  <c r="S13" i="7"/>
  <c r="N14" i="7"/>
  <c r="L14" i="7"/>
  <c r="Q14" i="7"/>
  <c r="P14" i="7"/>
  <c r="K14" i="7"/>
  <c r="J15" i="7"/>
  <c r="L15" i="7" s="1"/>
  <c r="O15" i="7"/>
  <c r="K16" i="9"/>
  <c r="N16" i="9"/>
  <c r="L16" i="9"/>
  <c r="M16" i="9"/>
  <c r="G18" i="9"/>
  <c r="H17" i="9"/>
  <c r="I17" i="9" s="1"/>
  <c r="J17" i="9" s="1"/>
  <c r="H16" i="7"/>
  <c r="I16" i="7" s="1"/>
  <c r="G17" i="7"/>
  <c r="M15" i="6"/>
  <c r="L15" i="6"/>
  <c r="K15" i="6"/>
  <c r="N15" i="6"/>
  <c r="H16" i="6"/>
  <c r="I16" i="6" s="1"/>
  <c r="J16" i="6" s="1"/>
  <c r="G17" i="6"/>
  <c r="R17" i="12" l="1"/>
  <c r="P18" i="12"/>
  <c r="Q18" i="12"/>
  <c r="S17" i="12"/>
  <c r="R15" i="10"/>
  <c r="G21" i="12"/>
  <c r="H20" i="12"/>
  <c r="I20" i="12" s="1"/>
  <c r="L18" i="12"/>
  <c r="K18" i="12"/>
  <c r="N18" i="12"/>
  <c r="M18" i="12"/>
  <c r="O19" i="12"/>
  <c r="J19" i="12"/>
  <c r="Q17" i="11"/>
  <c r="P17" i="11"/>
  <c r="N17" i="11"/>
  <c r="M17" i="11"/>
  <c r="L17" i="11"/>
  <c r="K17" i="11"/>
  <c r="R16" i="11"/>
  <c r="S15" i="10"/>
  <c r="O18" i="11"/>
  <c r="J18" i="11"/>
  <c r="G20" i="11"/>
  <c r="H19" i="11"/>
  <c r="I19" i="11" s="1"/>
  <c r="G19" i="10"/>
  <c r="H18" i="10"/>
  <c r="I18" i="10" s="1"/>
  <c r="J18" i="10" s="1"/>
  <c r="Q16" i="10"/>
  <c r="P16" i="10"/>
  <c r="N16" i="10"/>
  <c r="L16" i="10"/>
  <c r="M16" i="10"/>
  <c r="K16" i="10"/>
  <c r="R16" i="10" s="1"/>
  <c r="O17" i="10"/>
  <c r="R14" i="7"/>
  <c r="S14" i="7"/>
  <c r="J16" i="7"/>
  <c r="M16" i="7" s="1"/>
  <c r="O16" i="7"/>
  <c r="M15" i="7"/>
  <c r="N15" i="7"/>
  <c r="K15" i="7"/>
  <c r="Q15" i="7"/>
  <c r="S15" i="7" s="1"/>
  <c r="P15" i="7"/>
  <c r="K17" i="9"/>
  <c r="N17" i="9"/>
  <c r="M17" i="9"/>
  <c r="L17" i="9"/>
  <c r="G19" i="9"/>
  <c r="H18" i="9"/>
  <c r="I18" i="9" s="1"/>
  <c r="J18" i="9" s="1"/>
  <c r="H17" i="7"/>
  <c r="I17" i="7" s="1"/>
  <c r="G18" i="7"/>
  <c r="H17" i="6"/>
  <c r="I17" i="6" s="1"/>
  <c r="J17" i="6" s="1"/>
  <c r="G18" i="6"/>
  <c r="N16" i="6"/>
  <c r="M16" i="6"/>
  <c r="L16" i="6"/>
  <c r="K16" i="6"/>
  <c r="Q19" i="12" l="1"/>
  <c r="P19" i="12"/>
  <c r="J20" i="12"/>
  <c r="O20" i="12"/>
  <c r="S18" i="12"/>
  <c r="K19" i="12"/>
  <c r="N19" i="12"/>
  <c r="M19" i="12"/>
  <c r="L19" i="12"/>
  <c r="S16" i="10"/>
  <c r="G22" i="12"/>
  <c r="H21" i="12"/>
  <c r="I21" i="12" s="1"/>
  <c r="R18" i="12"/>
  <c r="O19" i="11"/>
  <c r="J19" i="11"/>
  <c r="G21" i="11"/>
  <c r="H20" i="11"/>
  <c r="I20" i="11" s="1"/>
  <c r="M18" i="11"/>
  <c r="K18" i="11"/>
  <c r="N18" i="11"/>
  <c r="L18" i="11"/>
  <c r="R17" i="11"/>
  <c r="Q18" i="11"/>
  <c r="S18" i="11" s="1"/>
  <c r="P18" i="11"/>
  <c r="R18" i="11" s="1"/>
  <c r="S17" i="11"/>
  <c r="K17" i="10"/>
  <c r="L17" i="10"/>
  <c r="N17" i="10"/>
  <c r="M17" i="10"/>
  <c r="O18" i="10"/>
  <c r="P17" i="10"/>
  <c r="Q17" i="10"/>
  <c r="H19" i="10"/>
  <c r="I19" i="10" s="1"/>
  <c r="J19" i="10" s="1"/>
  <c r="G20" i="10"/>
  <c r="R15" i="7"/>
  <c r="N16" i="7"/>
  <c r="K16" i="7"/>
  <c r="Q16" i="7"/>
  <c r="P16" i="7"/>
  <c r="J17" i="7"/>
  <c r="K17" i="7" s="1"/>
  <c r="O17" i="7"/>
  <c r="L16" i="7"/>
  <c r="S16" i="7" s="1"/>
  <c r="K18" i="9"/>
  <c r="N18" i="9"/>
  <c r="M18" i="9"/>
  <c r="L18" i="9"/>
  <c r="G20" i="9"/>
  <c r="H19" i="9"/>
  <c r="I19" i="9" s="1"/>
  <c r="J19" i="9" s="1"/>
  <c r="H18" i="7"/>
  <c r="I18" i="7" s="1"/>
  <c r="G19" i="7"/>
  <c r="N17" i="6"/>
  <c r="M17" i="6"/>
  <c r="L17" i="6"/>
  <c r="K17" i="6"/>
  <c r="H18" i="6"/>
  <c r="I18" i="6" s="1"/>
  <c r="J18" i="6" s="1"/>
  <c r="G19" i="6"/>
  <c r="N20" i="12" l="1"/>
  <c r="M20" i="12"/>
  <c r="L20" i="12"/>
  <c r="K20" i="12"/>
  <c r="O21" i="12"/>
  <c r="J21" i="12"/>
  <c r="R19" i="12"/>
  <c r="Q20" i="12"/>
  <c r="S20" i="12" s="1"/>
  <c r="P20" i="12"/>
  <c r="G23" i="12"/>
  <c r="H22" i="12"/>
  <c r="I22" i="12" s="1"/>
  <c r="S19" i="12"/>
  <c r="O20" i="11"/>
  <c r="J20" i="11"/>
  <c r="G22" i="11"/>
  <c r="H21" i="11"/>
  <c r="I21" i="11" s="1"/>
  <c r="L19" i="11"/>
  <c r="N19" i="11"/>
  <c r="M19" i="11"/>
  <c r="K19" i="11"/>
  <c r="S17" i="10"/>
  <c r="R17" i="10"/>
  <c r="P19" i="11"/>
  <c r="Q19" i="11"/>
  <c r="O19" i="10"/>
  <c r="G21" i="10"/>
  <c r="H20" i="10"/>
  <c r="I20" i="10" s="1"/>
  <c r="J20" i="10" s="1"/>
  <c r="P18" i="10"/>
  <c r="Q18" i="10"/>
  <c r="K18" i="10"/>
  <c r="N18" i="10"/>
  <c r="M18" i="10"/>
  <c r="L18" i="10"/>
  <c r="R16" i="7"/>
  <c r="N17" i="7"/>
  <c r="L17" i="7"/>
  <c r="M17" i="7"/>
  <c r="Q17" i="7"/>
  <c r="P17" i="7"/>
  <c r="R17" i="7" s="1"/>
  <c r="J18" i="7"/>
  <c r="N18" i="7" s="1"/>
  <c r="O18" i="7"/>
  <c r="K19" i="9"/>
  <c r="N19" i="9"/>
  <c r="L19" i="9"/>
  <c r="M19" i="9"/>
  <c r="G21" i="9"/>
  <c r="H20" i="9"/>
  <c r="I20" i="9" s="1"/>
  <c r="J20" i="9" s="1"/>
  <c r="H19" i="7"/>
  <c r="I19" i="7" s="1"/>
  <c r="G20" i="7"/>
  <c r="N18" i="6"/>
  <c r="M18" i="6"/>
  <c r="L18" i="6"/>
  <c r="K18" i="6"/>
  <c r="H19" i="6"/>
  <c r="I19" i="6" s="1"/>
  <c r="J19" i="6" s="1"/>
  <c r="G20" i="6"/>
  <c r="R20" i="12" l="1"/>
  <c r="S18" i="10"/>
  <c r="O22" i="12"/>
  <c r="J22" i="12"/>
  <c r="Q21" i="12"/>
  <c r="P21" i="12"/>
  <c r="S19" i="11"/>
  <c r="G24" i="12"/>
  <c r="H23" i="12"/>
  <c r="I23" i="12" s="1"/>
  <c r="M21" i="12"/>
  <c r="L21" i="12"/>
  <c r="K21" i="12"/>
  <c r="N21" i="12"/>
  <c r="J21" i="11"/>
  <c r="O21" i="11"/>
  <c r="R19" i="11"/>
  <c r="G23" i="11"/>
  <c r="H22" i="11"/>
  <c r="I22" i="11" s="1"/>
  <c r="R18" i="10"/>
  <c r="K20" i="11"/>
  <c r="L20" i="11"/>
  <c r="N20" i="11"/>
  <c r="M20" i="11"/>
  <c r="Q20" i="11"/>
  <c r="P20" i="11"/>
  <c r="R20" i="11" s="1"/>
  <c r="O20" i="10"/>
  <c r="H21" i="10"/>
  <c r="I21" i="10" s="1"/>
  <c r="J21" i="10" s="1"/>
  <c r="G22" i="10"/>
  <c r="K19" i="10"/>
  <c r="N19" i="10"/>
  <c r="L19" i="10"/>
  <c r="M19" i="10"/>
  <c r="Q19" i="10"/>
  <c r="P19" i="10"/>
  <c r="S17" i="7"/>
  <c r="K18" i="7"/>
  <c r="J19" i="7"/>
  <c r="L19" i="7" s="1"/>
  <c r="O19" i="7"/>
  <c r="M18" i="7"/>
  <c r="L18" i="7"/>
  <c r="Q18" i="7"/>
  <c r="P18" i="7"/>
  <c r="K20" i="9"/>
  <c r="N20" i="9"/>
  <c r="L20" i="9"/>
  <c r="M20" i="9"/>
  <c r="G22" i="9"/>
  <c r="H21" i="9"/>
  <c r="I21" i="9" s="1"/>
  <c r="J21" i="9" s="1"/>
  <c r="H20" i="7"/>
  <c r="I20" i="7" s="1"/>
  <c r="G21" i="7"/>
  <c r="H20" i="6"/>
  <c r="I20" i="6" s="1"/>
  <c r="J20" i="6" s="1"/>
  <c r="G21" i="6"/>
  <c r="N19" i="6"/>
  <c r="M19" i="6"/>
  <c r="L19" i="6"/>
  <c r="K19" i="6"/>
  <c r="R21" i="12" l="1"/>
  <c r="S21" i="12"/>
  <c r="G25" i="12"/>
  <c r="H24" i="12"/>
  <c r="I24" i="12" s="1"/>
  <c r="L22" i="12"/>
  <c r="K22" i="12"/>
  <c r="N22" i="12"/>
  <c r="M22" i="12"/>
  <c r="O23" i="12"/>
  <c r="J23" i="12"/>
  <c r="P22" i="12"/>
  <c r="Q22" i="12"/>
  <c r="R19" i="10"/>
  <c r="G24" i="11"/>
  <c r="H23" i="11"/>
  <c r="I23" i="11" s="1"/>
  <c r="S20" i="11"/>
  <c r="S19" i="10"/>
  <c r="Q21" i="11"/>
  <c r="P21" i="11"/>
  <c r="O22" i="11"/>
  <c r="J22" i="11"/>
  <c r="N21" i="11"/>
  <c r="M21" i="11"/>
  <c r="L21" i="11"/>
  <c r="K21" i="11"/>
  <c r="G23" i="10"/>
  <c r="H22" i="10"/>
  <c r="I22" i="10" s="1"/>
  <c r="J22" i="10" s="1"/>
  <c r="O21" i="10"/>
  <c r="Q20" i="10"/>
  <c r="P20" i="10"/>
  <c r="M20" i="10"/>
  <c r="N20" i="10"/>
  <c r="L20" i="10"/>
  <c r="S20" i="10" s="1"/>
  <c r="K20" i="10"/>
  <c r="R20" i="10" s="1"/>
  <c r="R18" i="7"/>
  <c r="M19" i="7"/>
  <c r="Q19" i="7"/>
  <c r="S19" i="7" s="1"/>
  <c r="P19" i="7"/>
  <c r="K19" i="7"/>
  <c r="N19" i="7"/>
  <c r="J20" i="7"/>
  <c r="N20" i="7" s="1"/>
  <c r="O20" i="7"/>
  <c r="S18" i="7"/>
  <c r="K21" i="9"/>
  <c r="N21" i="9"/>
  <c r="M21" i="9"/>
  <c r="L21" i="9"/>
  <c r="G23" i="9"/>
  <c r="H22" i="9"/>
  <c r="I22" i="9" s="1"/>
  <c r="J22" i="9" s="1"/>
  <c r="H21" i="7"/>
  <c r="I21" i="7" s="1"/>
  <c r="G22" i="7"/>
  <c r="H21" i="6"/>
  <c r="I21" i="6" s="1"/>
  <c r="J21" i="6" s="1"/>
  <c r="G22" i="6"/>
  <c r="N20" i="6"/>
  <c r="M20" i="6"/>
  <c r="L20" i="6"/>
  <c r="K20" i="6"/>
  <c r="Q23" i="12" l="1"/>
  <c r="P23" i="12"/>
  <c r="K23" i="12"/>
  <c r="N23" i="12"/>
  <c r="M23" i="12"/>
  <c r="L23" i="12"/>
  <c r="S22" i="12"/>
  <c r="J24" i="12"/>
  <c r="O24" i="12"/>
  <c r="R22" i="12"/>
  <c r="G26" i="12"/>
  <c r="H25" i="12"/>
  <c r="I25" i="12" s="1"/>
  <c r="Q22" i="11"/>
  <c r="P22" i="11"/>
  <c r="R21" i="11"/>
  <c r="O23" i="11"/>
  <c r="J23" i="11"/>
  <c r="S21" i="11"/>
  <c r="H24" i="11"/>
  <c r="I24" i="11" s="1"/>
  <c r="G25" i="11"/>
  <c r="M22" i="11"/>
  <c r="L22" i="11"/>
  <c r="K22" i="11"/>
  <c r="N22" i="11"/>
  <c r="N21" i="10"/>
  <c r="M21" i="10"/>
  <c r="L21" i="10"/>
  <c r="K21" i="10"/>
  <c r="R21" i="10" s="1"/>
  <c r="O22" i="10"/>
  <c r="P21" i="10"/>
  <c r="Q21" i="10"/>
  <c r="H23" i="10"/>
  <c r="I23" i="10" s="1"/>
  <c r="J23" i="10" s="1"/>
  <c r="G24" i="10"/>
  <c r="R19" i="7"/>
  <c r="Q20" i="7"/>
  <c r="P20" i="7"/>
  <c r="L20" i="7"/>
  <c r="M20" i="7"/>
  <c r="K20" i="7"/>
  <c r="J21" i="7"/>
  <c r="L21" i="7" s="1"/>
  <c r="O21" i="7"/>
  <c r="G24" i="9"/>
  <c r="H23" i="9"/>
  <c r="I23" i="9" s="1"/>
  <c r="J23" i="9" s="1"/>
  <c r="K22" i="9"/>
  <c r="N22" i="9"/>
  <c r="M22" i="9"/>
  <c r="L22" i="9"/>
  <c r="H22" i="7"/>
  <c r="I22" i="7" s="1"/>
  <c r="G23" i="7"/>
  <c r="N21" i="6"/>
  <c r="M21" i="6"/>
  <c r="L21" i="6"/>
  <c r="K21" i="6"/>
  <c r="H22" i="6"/>
  <c r="I22" i="6" s="1"/>
  <c r="J22" i="6" s="1"/>
  <c r="G23" i="6"/>
  <c r="S23" i="12" l="1"/>
  <c r="O25" i="12"/>
  <c r="J25" i="12"/>
  <c r="G27" i="12"/>
  <c r="H26" i="12"/>
  <c r="I26" i="12" s="1"/>
  <c r="R23" i="12"/>
  <c r="N24" i="12"/>
  <c r="M24" i="12"/>
  <c r="L24" i="12"/>
  <c r="K24" i="12"/>
  <c r="Q24" i="12"/>
  <c r="P24" i="12"/>
  <c r="R24" i="12" s="1"/>
  <c r="G26" i="11"/>
  <c r="H25" i="11"/>
  <c r="I25" i="11" s="1"/>
  <c r="P23" i="11"/>
  <c r="Q23" i="11"/>
  <c r="S21" i="10"/>
  <c r="O24" i="11"/>
  <c r="J24" i="11"/>
  <c r="R22" i="11"/>
  <c r="L23" i="11"/>
  <c r="N23" i="11"/>
  <c r="M23" i="11"/>
  <c r="K23" i="11"/>
  <c r="S22" i="11"/>
  <c r="H24" i="10"/>
  <c r="I24" i="10" s="1"/>
  <c r="J24" i="10" s="1"/>
  <c r="G25" i="10"/>
  <c r="K22" i="10"/>
  <c r="N22" i="10"/>
  <c r="M22" i="10"/>
  <c r="L22" i="10"/>
  <c r="O23" i="10"/>
  <c r="Q22" i="10"/>
  <c r="P22" i="10"/>
  <c r="S20" i="7"/>
  <c r="R20" i="7"/>
  <c r="Q21" i="7"/>
  <c r="S21" i="7" s="1"/>
  <c r="P21" i="7"/>
  <c r="M21" i="7"/>
  <c r="N21" i="7"/>
  <c r="K21" i="7"/>
  <c r="J22" i="7"/>
  <c r="M22" i="7" s="1"/>
  <c r="O22" i="7"/>
  <c r="K23" i="9"/>
  <c r="N23" i="9"/>
  <c r="L23" i="9"/>
  <c r="M23" i="9"/>
  <c r="G25" i="9"/>
  <c r="H24" i="9"/>
  <c r="I24" i="9" s="1"/>
  <c r="J24" i="9" s="1"/>
  <c r="H23" i="7"/>
  <c r="I23" i="7" s="1"/>
  <c r="G24" i="7"/>
  <c r="N22" i="6"/>
  <c r="M22" i="6"/>
  <c r="L22" i="6"/>
  <c r="K22" i="6"/>
  <c r="H23" i="6"/>
  <c r="I23" i="6" s="1"/>
  <c r="J23" i="6" s="1"/>
  <c r="G24" i="6"/>
  <c r="O26" i="12" l="1"/>
  <c r="J26" i="12"/>
  <c r="S23" i="11"/>
  <c r="H27" i="12"/>
  <c r="I27" i="12" s="1"/>
  <c r="G28" i="12"/>
  <c r="S22" i="10"/>
  <c r="S24" i="12"/>
  <c r="M25" i="12"/>
  <c r="L25" i="12"/>
  <c r="K25" i="12"/>
  <c r="N25" i="12"/>
  <c r="Q25" i="12"/>
  <c r="S25" i="12" s="1"/>
  <c r="P25" i="12"/>
  <c r="R22" i="10"/>
  <c r="K24" i="11"/>
  <c r="M24" i="11"/>
  <c r="L24" i="11"/>
  <c r="N24" i="11"/>
  <c r="R23" i="11"/>
  <c r="Q24" i="11"/>
  <c r="P24" i="11"/>
  <c r="J25" i="11"/>
  <c r="O25" i="11"/>
  <c r="H26" i="11"/>
  <c r="I26" i="11" s="1"/>
  <c r="G27" i="11"/>
  <c r="Q23" i="10"/>
  <c r="P23" i="10"/>
  <c r="G26" i="10"/>
  <c r="H25" i="10"/>
  <c r="I25" i="10" s="1"/>
  <c r="J25" i="10" s="1"/>
  <c r="K23" i="10"/>
  <c r="N23" i="10"/>
  <c r="M23" i="10"/>
  <c r="L23" i="10"/>
  <c r="S23" i="10" s="1"/>
  <c r="O24" i="10"/>
  <c r="R21" i="7"/>
  <c r="K22" i="7"/>
  <c r="Q22" i="7"/>
  <c r="P22" i="7"/>
  <c r="N22" i="7"/>
  <c r="J23" i="7"/>
  <c r="N23" i="7" s="1"/>
  <c r="O23" i="7"/>
  <c r="L22" i="7"/>
  <c r="K24" i="9"/>
  <c r="N24" i="9"/>
  <c r="M24" i="9"/>
  <c r="L24" i="9"/>
  <c r="G26" i="9"/>
  <c r="H25" i="9"/>
  <c r="I25" i="9" s="1"/>
  <c r="J25" i="9" s="1"/>
  <c r="H24" i="7"/>
  <c r="I24" i="7" s="1"/>
  <c r="G25" i="7"/>
  <c r="N23" i="6"/>
  <c r="M23" i="6"/>
  <c r="L23" i="6"/>
  <c r="K23" i="6"/>
  <c r="H24" i="6"/>
  <c r="I24" i="6" s="1"/>
  <c r="J24" i="6" s="1"/>
  <c r="G25" i="6"/>
  <c r="R25" i="12" l="1"/>
  <c r="O27" i="12"/>
  <c r="J27" i="12"/>
  <c r="L26" i="12"/>
  <c r="K26" i="12"/>
  <c r="N26" i="12"/>
  <c r="M26" i="12"/>
  <c r="G29" i="12"/>
  <c r="H28" i="12"/>
  <c r="I28" i="12" s="1"/>
  <c r="P26" i="12"/>
  <c r="Q26" i="12"/>
  <c r="G28" i="11"/>
  <c r="H27" i="11"/>
  <c r="I27" i="11" s="1"/>
  <c r="R24" i="11"/>
  <c r="O26" i="11"/>
  <c r="J26" i="11"/>
  <c r="S24" i="11"/>
  <c r="P25" i="11"/>
  <c r="Q25" i="11"/>
  <c r="S22" i="7"/>
  <c r="R23" i="10"/>
  <c r="N25" i="11"/>
  <c r="K25" i="11"/>
  <c r="M25" i="11"/>
  <c r="L25" i="11"/>
  <c r="O25" i="10"/>
  <c r="G27" i="10"/>
  <c r="H26" i="10"/>
  <c r="I26" i="10" s="1"/>
  <c r="J26" i="10" s="1"/>
  <c r="Q24" i="10"/>
  <c r="P24" i="10"/>
  <c r="L24" i="10"/>
  <c r="K24" i="10"/>
  <c r="N24" i="10"/>
  <c r="M24" i="10"/>
  <c r="R22" i="7"/>
  <c r="M23" i="7"/>
  <c r="K23" i="7"/>
  <c r="L23" i="7"/>
  <c r="J24" i="7"/>
  <c r="L24" i="7" s="1"/>
  <c r="O24" i="7"/>
  <c r="Q23" i="7"/>
  <c r="P23" i="7"/>
  <c r="K25" i="9"/>
  <c r="N25" i="9"/>
  <c r="L25" i="9"/>
  <c r="M25" i="9"/>
  <c r="G27" i="9"/>
  <c r="H26" i="9"/>
  <c r="I26" i="9" s="1"/>
  <c r="J26" i="9" s="1"/>
  <c r="H25" i="7"/>
  <c r="I25" i="7" s="1"/>
  <c r="G26" i="7"/>
  <c r="N24" i="6"/>
  <c r="M24" i="6"/>
  <c r="L24" i="6"/>
  <c r="K24" i="6"/>
  <c r="H25" i="6"/>
  <c r="I25" i="6" s="1"/>
  <c r="J25" i="6" s="1"/>
  <c r="G26" i="6"/>
  <c r="S26" i="12" l="1"/>
  <c r="J28" i="12"/>
  <c r="O28" i="12"/>
  <c r="G30" i="12"/>
  <c r="H29" i="12"/>
  <c r="I29" i="12" s="1"/>
  <c r="K27" i="12"/>
  <c r="N27" i="12"/>
  <c r="M27" i="12"/>
  <c r="L27" i="12"/>
  <c r="R25" i="11"/>
  <c r="R26" i="12"/>
  <c r="Q27" i="12"/>
  <c r="P27" i="12"/>
  <c r="R24" i="10"/>
  <c r="S24" i="10"/>
  <c r="S25" i="11"/>
  <c r="Q26" i="11"/>
  <c r="S26" i="11" s="1"/>
  <c r="P26" i="11"/>
  <c r="O27" i="11"/>
  <c r="J27" i="11"/>
  <c r="M26" i="11"/>
  <c r="N26" i="11"/>
  <c r="L26" i="11"/>
  <c r="K26" i="11"/>
  <c r="G29" i="11"/>
  <c r="H28" i="11"/>
  <c r="I28" i="11" s="1"/>
  <c r="O26" i="10"/>
  <c r="H27" i="10"/>
  <c r="I27" i="10" s="1"/>
  <c r="J27" i="10" s="1"/>
  <c r="G28" i="10"/>
  <c r="K25" i="10"/>
  <c r="N25" i="10"/>
  <c r="M25" i="10"/>
  <c r="L25" i="10"/>
  <c r="Q25" i="10"/>
  <c r="P25" i="10"/>
  <c r="S23" i="7"/>
  <c r="R23" i="7"/>
  <c r="M24" i="7"/>
  <c r="K24" i="7"/>
  <c r="J25" i="7"/>
  <c r="N25" i="7" s="1"/>
  <c r="O25" i="7"/>
  <c r="N24" i="7"/>
  <c r="Q24" i="7"/>
  <c r="S24" i="7" s="1"/>
  <c r="P24" i="7"/>
  <c r="G28" i="9"/>
  <c r="H27" i="9"/>
  <c r="I27" i="9" s="1"/>
  <c r="J27" i="9" s="1"/>
  <c r="K26" i="9"/>
  <c r="N26" i="9"/>
  <c r="M26" i="9"/>
  <c r="L26" i="9"/>
  <c r="H26" i="7"/>
  <c r="I26" i="7" s="1"/>
  <c r="G27" i="7"/>
  <c r="H26" i="6"/>
  <c r="I26" i="6" s="1"/>
  <c r="J26" i="6" s="1"/>
  <c r="G27" i="6"/>
  <c r="N25" i="6"/>
  <c r="M25" i="6"/>
  <c r="L25" i="6"/>
  <c r="K25" i="6"/>
  <c r="R27" i="12" l="1"/>
  <c r="S25" i="10"/>
  <c r="O29" i="12"/>
  <c r="J29" i="12"/>
  <c r="S27" i="12"/>
  <c r="G31" i="12"/>
  <c r="H30" i="12"/>
  <c r="I30" i="12" s="1"/>
  <c r="Q28" i="12"/>
  <c r="P28" i="12"/>
  <c r="N28" i="12"/>
  <c r="M28" i="12"/>
  <c r="L28" i="12"/>
  <c r="K28" i="12"/>
  <c r="G30" i="11"/>
  <c r="H29" i="11"/>
  <c r="I29" i="11" s="1"/>
  <c r="L27" i="11"/>
  <c r="K27" i="11"/>
  <c r="N27" i="11"/>
  <c r="M27" i="11"/>
  <c r="P27" i="11"/>
  <c r="Q27" i="11"/>
  <c r="S27" i="11" s="1"/>
  <c r="R25" i="10"/>
  <c r="O28" i="11"/>
  <c r="J28" i="11"/>
  <c r="R26" i="11"/>
  <c r="G29" i="10"/>
  <c r="H28" i="10"/>
  <c r="I28" i="10" s="1"/>
  <c r="J28" i="10" s="1"/>
  <c r="O27" i="10"/>
  <c r="N26" i="10"/>
  <c r="M26" i="10"/>
  <c r="K26" i="10"/>
  <c r="R26" i="10" s="1"/>
  <c r="L26" i="10"/>
  <c r="Q26" i="10"/>
  <c r="P26" i="10"/>
  <c r="R24" i="7"/>
  <c r="M25" i="7"/>
  <c r="L25" i="7"/>
  <c r="J26" i="7"/>
  <c r="L26" i="7" s="1"/>
  <c r="O26" i="7"/>
  <c r="K25" i="7"/>
  <c r="Q25" i="7"/>
  <c r="P25" i="7"/>
  <c r="K27" i="9"/>
  <c r="N27" i="9"/>
  <c r="M27" i="9"/>
  <c r="L27" i="9"/>
  <c r="G29" i="9"/>
  <c r="H28" i="9"/>
  <c r="I28" i="9" s="1"/>
  <c r="J28" i="9" s="1"/>
  <c r="H27" i="7"/>
  <c r="I27" i="7" s="1"/>
  <c r="G28" i="7"/>
  <c r="H27" i="6"/>
  <c r="I27" i="6" s="1"/>
  <c r="J27" i="6" s="1"/>
  <c r="G28" i="6"/>
  <c r="N26" i="6"/>
  <c r="M26" i="6"/>
  <c r="L26" i="6"/>
  <c r="K26" i="6"/>
  <c r="R28" i="12" l="1"/>
  <c r="S28" i="12"/>
  <c r="M29" i="12"/>
  <c r="L29" i="12"/>
  <c r="K29" i="12"/>
  <c r="N29" i="12"/>
  <c r="O30" i="12"/>
  <c r="J30" i="12"/>
  <c r="Q29" i="12"/>
  <c r="P29" i="12"/>
  <c r="R29" i="12" s="1"/>
  <c r="H31" i="12"/>
  <c r="I31" i="12" s="1"/>
  <c r="G32" i="12"/>
  <c r="S26" i="10"/>
  <c r="K28" i="11"/>
  <c r="N28" i="11"/>
  <c r="M28" i="11"/>
  <c r="L28" i="11"/>
  <c r="R27" i="11"/>
  <c r="Q28" i="11"/>
  <c r="S28" i="11" s="1"/>
  <c r="P28" i="11"/>
  <c r="R28" i="11" s="1"/>
  <c r="J29" i="11"/>
  <c r="O29" i="11"/>
  <c r="G31" i="11"/>
  <c r="H30" i="11"/>
  <c r="I30" i="11" s="1"/>
  <c r="M27" i="10"/>
  <c r="L27" i="10"/>
  <c r="N27" i="10"/>
  <c r="K27" i="10"/>
  <c r="R27" i="10" s="1"/>
  <c r="O28" i="10"/>
  <c r="Q27" i="10"/>
  <c r="P27" i="10"/>
  <c r="G30" i="10"/>
  <c r="H29" i="10"/>
  <c r="I29" i="10" s="1"/>
  <c r="J29" i="10" s="1"/>
  <c r="R25" i="7"/>
  <c r="M26" i="7"/>
  <c r="J27" i="7"/>
  <c r="N27" i="7" s="1"/>
  <c r="O27" i="7"/>
  <c r="S25" i="7"/>
  <c r="Q26" i="7"/>
  <c r="S26" i="7" s="1"/>
  <c r="P26" i="7"/>
  <c r="N26" i="7"/>
  <c r="K26" i="7"/>
  <c r="K28" i="9"/>
  <c r="N28" i="9"/>
  <c r="M28" i="9"/>
  <c r="L28" i="9"/>
  <c r="G30" i="9"/>
  <c r="H29" i="9"/>
  <c r="I29" i="9" s="1"/>
  <c r="J29" i="9" s="1"/>
  <c r="H28" i="7"/>
  <c r="I28" i="7" s="1"/>
  <c r="G29" i="7"/>
  <c r="H28" i="6"/>
  <c r="I28" i="6" s="1"/>
  <c r="J28" i="6" s="1"/>
  <c r="G29" i="6"/>
  <c r="N27" i="6"/>
  <c r="M27" i="6"/>
  <c r="L27" i="6"/>
  <c r="K27" i="6"/>
  <c r="L30" i="12" l="1"/>
  <c r="K30" i="12"/>
  <c r="N30" i="12"/>
  <c r="M30" i="12"/>
  <c r="O31" i="12"/>
  <c r="J31" i="12"/>
  <c r="P30" i="12"/>
  <c r="Q30" i="12"/>
  <c r="S30" i="12" s="1"/>
  <c r="G33" i="12"/>
  <c r="H32" i="12"/>
  <c r="I32" i="12" s="1"/>
  <c r="S29" i="12"/>
  <c r="G32" i="11"/>
  <c r="H31" i="11"/>
  <c r="I31" i="11" s="1"/>
  <c r="S27" i="10"/>
  <c r="Q29" i="11"/>
  <c r="P29" i="11"/>
  <c r="O30" i="11"/>
  <c r="J30" i="11"/>
  <c r="N29" i="11"/>
  <c r="L29" i="11"/>
  <c r="K29" i="11"/>
  <c r="M29" i="11"/>
  <c r="O29" i="10"/>
  <c r="P28" i="10"/>
  <c r="Q28" i="10"/>
  <c r="G31" i="10"/>
  <c r="H30" i="10"/>
  <c r="I30" i="10" s="1"/>
  <c r="J30" i="10" s="1"/>
  <c r="N28" i="10"/>
  <c r="M28" i="10"/>
  <c r="K28" i="10"/>
  <c r="L28" i="10"/>
  <c r="R26" i="7"/>
  <c r="K27" i="7"/>
  <c r="J28" i="7"/>
  <c r="N28" i="7" s="1"/>
  <c r="O28" i="7"/>
  <c r="Q27" i="7"/>
  <c r="P27" i="7"/>
  <c r="L27" i="7"/>
  <c r="M27" i="7"/>
  <c r="K29" i="9"/>
  <c r="N29" i="9"/>
  <c r="M29" i="9"/>
  <c r="L29" i="9"/>
  <c r="G31" i="9"/>
  <c r="H30" i="9"/>
  <c r="I30" i="9" s="1"/>
  <c r="J30" i="9" s="1"/>
  <c r="H29" i="7"/>
  <c r="I29" i="7" s="1"/>
  <c r="G30" i="7"/>
  <c r="H29" i="6"/>
  <c r="I29" i="6" s="1"/>
  <c r="J29" i="6" s="1"/>
  <c r="G30" i="6"/>
  <c r="N28" i="6"/>
  <c r="M28" i="6"/>
  <c r="L28" i="6"/>
  <c r="K28" i="6"/>
  <c r="S28" i="10" l="1"/>
  <c r="S29" i="11"/>
  <c r="R30" i="12"/>
  <c r="J32" i="12"/>
  <c r="O32" i="12"/>
  <c r="K31" i="12"/>
  <c r="N31" i="12"/>
  <c r="M31" i="12"/>
  <c r="L31" i="12"/>
  <c r="G34" i="12"/>
  <c r="H33" i="12"/>
  <c r="I33" i="12" s="1"/>
  <c r="Q31" i="12"/>
  <c r="P31" i="12"/>
  <c r="R31" i="12" s="1"/>
  <c r="R28" i="10"/>
  <c r="M30" i="11"/>
  <c r="N30" i="11"/>
  <c r="L30" i="11"/>
  <c r="K30" i="11"/>
  <c r="Q30" i="11"/>
  <c r="P30" i="11"/>
  <c r="O31" i="11"/>
  <c r="J31" i="11"/>
  <c r="R29" i="11"/>
  <c r="G33" i="11"/>
  <c r="H32" i="11"/>
  <c r="I32" i="11" s="1"/>
  <c r="K29" i="10"/>
  <c r="N29" i="10"/>
  <c r="M29" i="10"/>
  <c r="L29" i="10"/>
  <c r="O30" i="10"/>
  <c r="G32" i="10"/>
  <c r="H31" i="10"/>
  <c r="I31" i="10" s="1"/>
  <c r="J31" i="10" s="1"/>
  <c r="Q29" i="10"/>
  <c r="P29" i="10"/>
  <c r="R27" i="7"/>
  <c r="L28" i="7"/>
  <c r="M28" i="7"/>
  <c r="K28" i="7"/>
  <c r="Q28" i="7"/>
  <c r="P28" i="7"/>
  <c r="J29" i="7"/>
  <c r="K29" i="7" s="1"/>
  <c r="O29" i="7"/>
  <c r="S27" i="7"/>
  <c r="K30" i="9"/>
  <c r="N30" i="9"/>
  <c r="M30" i="9"/>
  <c r="L30" i="9"/>
  <c r="G32" i="9"/>
  <c r="H31" i="9"/>
  <c r="I31" i="9" s="1"/>
  <c r="J31" i="9" s="1"/>
  <c r="H30" i="7"/>
  <c r="I30" i="7" s="1"/>
  <c r="G31" i="7"/>
  <c r="H30" i="6"/>
  <c r="I30" i="6" s="1"/>
  <c r="J30" i="6" s="1"/>
  <c r="G31" i="6"/>
  <c r="N29" i="6"/>
  <c r="M29" i="6"/>
  <c r="L29" i="6"/>
  <c r="K29" i="6"/>
  <c r="S31" i="12" l="1"/>
  <c r="N32" i="12"/>
  <c r="M32" i="12"/>
  <c r="L32" i="12"/>
  <c r="K32" i="12"/>
  <c r="O33" i="12"/>
  <c r="J33" i="12"/>
  <c r="G35" i="12"/>
  <c r="H34" i="12"/>
  <c r="I34" i="12" s="1"/>
  <c r="Q32" i="12"/>
  <c r="P32" i="12"/>
  <c r="S29" i="10"/>
  <c r="O32" i="11"/>
  <c r="J32" i="11"/>
  <c r="H33" i="11"/>
  <c r="I33" i="11" s="1"/>
  <c r="G34" i="11"/>
  <c r="R30" i="11"/>
  <c r="P31" i="11"/>
  <c r="Q31" i="11"/>
  <c r="S31" i="11" s="1"/>
  <c r="S30" i="11"/>
  <c r="R29" i="10"/>
  <c r="L31" i="11"/>
  <c r="M31" i="11"/>
  <c r="K31" i="11"/>
  <c r="N31" i="11"/>
  <c r="O31" i="10"/>
  <c r="G33" i="10"/>
  <c r="H32" i="10"/>
  <c r="I32" i="10" s="1"/>
  <c r="J32" i="10" s="1"/>
  <c r="L30" i="10"/>
  <c r="K30" i="10"/>
  <c r="N30" i="10"/>
  <c r="M30" i="10"/>
  <c r="P30" i="10"/>
  <c r="Q30" i="10"/>
  <c r="R28" i="7"/>
  <c r="S28" i="7"/>
  <c r="M29" i="7"/>
  <c r="N29" i="7"/>
  <c r="L29" i="7"/>
  <c r="J30" i="7"/>
  <c r="L30" i="7" s="1"/>
  <c r="O30" i="7"/>
  <c r="Q29" i="7"/>
  <c r="P29" i="7"/>
  <c r="R29" i="7" s="1"/>
  <c r="K31" i="9"/>
  <c r="N31" i="9"/>
  <c r="M31" i="9"/>
  <c r="L31" i="9"/>
  <c r="G33" i="9"/>
  <c r="H32" i="9"/>
  <c r="I32" i="9" s="1"/>
  <c r="J32" i="9" s="1"/>
  <c r="H31" i="7"/>
  <c r="I31" i="7" s="1"/>
  <c r="G32" i="7"/>
  <c r="H31" i="6"/>
  <c r="I31" i="6" s="1"/>
  <c r="J31" i="6" s="1"/>
  <c r="G32" i="6"/>
  <c r="L30" i="6"/>
  <c r="N30" i="6"/>
  <c r="M30" i="6"/>
  <c r="K30" i="6"/>
  <c r="R32" i="12" l="1"/>
  <c r="H35" i="12"/>
  <c r="I35" i="12" s="1"/>
  <c r="G36" i="12"/>
  <c r="M33" i="12"/>
  <c r="L33" i="12"/>
  <c r="K33" i="12"/>
  <c r="N33" i="12"/>
  <c r="S32" i="12"/>
  <c r="Q33" i="12"/>
  <c r="P33" i="12"/>
  <c r="R33" i="12" s="1"/>
  <c r="S30" i="10"/>
  <c r="O34" i="12"/>
  <c r="J34" i="12"/>
  <c r="J33" i="11"/>
  <c r="O33" i="11"/>
  <c r="R30" i="10"/>
  <c r="R31" i="11"/>
  <c r="K32" i="11"/>
  <c r="N32" i="11"/>
  <c r="M32" i="11"/>
  <c r="L32" i="11"/>
  <c r="P32" i="11"/>
  <c r="R32" i="11" s="1"/>
  <c r="Q32" i="11"/>
  <c r="G35" i="11"/>
  <c r="H34" i="11"/>
  <c r="I34" i="11" s="1"/>
  <c r="O32" i="10"/>
  <c r="H33" i="10"/>
  <c r="I33" i="10" s="1"/>
  <c r="J33" i="10" s="1"/>
  <c r="G34" i="10"/>
  <c r="K31" i="10"/>
  <c r="L31" i="10"/>
  <c r="N31" i="10"/>
  <c r="M31" i="10"/>
  <c r="Q31" i="10"/>
  <c r="P31" i="10"/>
  <c r="S29" i="7"/>
  <c r="K30" i="7"/>
  <c r="N30" i="7"/>
  <c r="J31" i="7"/>
  <c r="M31" i="7" s="1"/>
  <c r="O31" i="7"/>
  <c r="M30" i="7"/>
  <c r="Q30" i="7"/>
  <c r="S30" i="7" s="1"/>
  <c r="P30" i="7"/>
  <c r="M32" i="9"/>
  <c r="K32" i="9"/>
  <c r="N32" i="9"/>
  <c r="L32" i="9"/>
  <c r="H33" i="9"/>
  <c r="I33" i="9" s="1"/>
  <c r="J33" i="9" s="1"/>
  <c r="G34" i="9"/>
  <c r="H32" i="7"/>
  <c r="I32" i="7" s="1"/>
  <c r="G33" i="7"/>
  <c r="H32" i="6"/>
  <c r="I32" i="6" s="1"/>
  <c r="J32" i="6" s="1"/>
  <c r="G33" i="6"/>
  <c r="L31" i="6"/>
  <c r="N31" i="6"/>
  <c r="M31" i="6"/>
  <c r="K31" i="6"/>
  <c r="S33" i="12" l="1"/>
  <c r="L34" i="12"/>
  <c r="K34" i="12"/>
  <c r="N34" i="12"/>
  <c r="M34" i="12"/>
  <c r="P34" i="12"/>
  <c r="Q34" i="12"/>
  <c r="S34" i="12" s="1"/>
  <c r="S32" i="11"/>
  <c r="G37" i="12"/>
  <c r="H36" i="12"/>
  <c r="I36" i="12" s="1"/>
  <c r="S31" i="10"/>
  <c r="O35" i="12"/>
  <c r="J35" i="12"/>
  <c r="R31" i="10"/>
  <c r="O34" i="11"/>
  <c r="J34" i="11"/>
  <c r="G36" i="11"/>
  <c r="H35" i="11"/>
  <c r="I35" i="11" s="1"/>
  <c r="Q33" i="11"/>
  <c r="P33" i="11"/>
  <c r="N33" i="11"/>
  <c r="M33" i="11"/>
  <c r="L33" i="11"/>
  <c r="K33" i="11"/>
  <c r="H34" i="10"/>
  <c r="I34" i="10" s="1"/>
  <c r="J34" i="10" s="1"/>
  <c r="G35" i="10"/>
  <c r="O33" i="10"/>
  <c r="P32" i="10"/>
  <c r="Q32" i="10"/>
  <c r="L32" i="10"/>
  <c r="K32" i="10"/>
  <c r="M32" i="10"/>
  <c r="N32" i="10"/>
  <c r="R30" i="7"/>
  <c r="N31" i="7"/>
  <c r="J32" i="7"/>
  <c r="L32" i="7" s="1"/>
  <c r="O32" i="7"/>
  <c r="K31" i="7"/>
  <c r="L31" i="7"/>
  <c r="Q31" i="7"/>
  <c r="P31" i="7"/>
  <c r="G35" i="9"/>
  <c r="H34" i="9"/>
  <c r="I34" i="9" s="1"/>
  <c r="J34" i="9" s="1"/>
  <c r="M33" i="9"/>
  <c r="N33" i="9"/>
  <c r="L33" i="9"/>
  <c r="K33" i="9"/>
  <c r="H33" i="7"/>
  <c r="I33" i="7" s="1"/>
  <c r="G34" i="7"/>
  <c r="H33" i="6"/>
  <c r="I33" i="6" s="1"/>
  <c r="J33" i="6" s="1"/>
  <c r="G34" i="6"/>
  <c r="N32" i="6"/>
  <c r="M32" i="6"/>
  <c r="L32" i="6"/>
  <c r="K32" i="6"/>
  <c r="R34" i="12" l="1"/>
  <c r="K35" i="12"/>
  <c r="N35" i="12"/>
  <c r="M35" i="12"/>
  <c r="L35" i="12"/>
  <c r="Q35" i="12"/>
  <c r="P35" i="12"/>
  <c r="R32" i="10"/>
  <c r="G38" i="12"/>
  <c r="H37" i="12"/>
  <c r="I37" i="12" s="1"/>
  <c r="J36" i="12"/>
  <c r="O36" i="12"/>
  <c r="G37" i="11"/>
  <c r="H36" i="11"/>
  <c r="I36" i="11" s="1"/>
  <c r="R33" i="11"/>
  <c r="M34" i="11"/>
  <c r="K34" i="11"/>
  <c r="N34" i="11"/>
  <c r="L34" i="11"/>
  <c r="S33" i="11"/>
  <c r="Q34" i="11"/>
  <c r="S34" i="11" s="1"/>
  <c r="P34" i="11"/>
  <c r="S32" i="10"/>
  <c r="O35" i="11"/>
  <c r="J35" i="11"/>
  <c r="Q33" i="10"/>
  <c r="P33" i="10"/>
  <c r="G36" i="10"/>
  <c r="H35" i="10"/>
  <c r="I35" i="10" s="1"/>
  <c r="J35" i="10" s="1"/>
  <c r="M33" i="10"/>
  <c r="L33" i="10"/>
  <c r="N33" i="10"/>
  <c r="K33" i="10"/>
  <c r="R33" i="10" s="1"/>
  <c r="O34" i="10"/>
  <c r="R31" i="7"/>
  <c r="Q32" i="7"/>
  <c r="S32" i="7" s="1"/>
  <c r="P32" i="7"/>
  <c r="M32" i="7"/>
  <c r="K32" i="7"/>
  <c r="N32" i="7"/>
  <c r="J33" i="7"/>
  <c r="N33" i="7" s="1"/>
  <c r="O33" i="7"/>
  <c r="S31" i="7"/>
  <c r="M34" i="9"/>
  <c r="K34" i="9"/>
  <c r="L34" i="9"/>
  <c r="N34" i="9"/>
  <c r="H35" i="9"/>
  <c r="I35" i="9" s="1"/>
  <c r="J35" i="9" s="1"/>
  <c r="G36" i="9"/>
  <c r="H34" i="7"/>
  <c r="I34" i="7" s="1"/>
  <c r="G35" i="7"/>
  <c r="H34" i="6"/>
  <c r="I34" i="6" s="1"/>
  <c r="J34" i="6" s="1"/>
  <c r="G35" i="6"/>
  <c r="L33" i="6"/>
  <c r="N33" i="6"/>
  <c r="M33" i="6"/>
  <c r="K33" i="6"/>
  <c r="R35" i="12" l="1"/>
  <c r="Q36" i="12"/>
  <c r="P36" i="12"/>
  <c r="N36" i="12"/>
  <c r="M36" i="12"/>
  <c r="L36" i="12"/>
  <c r="K36" i="12"/>
  <c r="G39" i="12"/>
  <c r="H38" i="12"/>
  <c r="I38" i="12" s="1"/>
  <c r="R34" i="11"/>
  <c r="O37" i="12"/>
  <c r="J37" i="12"/>
  <c r="S35" i="12"/>
  <c r="P35" i="11"/>
  <c r="Q35" i="11"/>
  <c r="S33" i="10"/>
  <c r="O36" i="11"/>
  <c r="J36" i="11"/>
  <c r="L35" i="11"/>
  <c r="N35" i="11"/>
  <c r="M35" i="11"/>
  <c r="K35" i="11"/>
  <c r="G38" i="11"/>
  <c r="H37" i="11"/>
  <c r="I37" i="11" s="1"/>
  <c r="O35" i="10"/>
  <c r="H36" i="10"/>
  <c r="I36" i="10" s="1"/>
  <c r="J36" i="10" s="1"/>
  <c r="G37" i="10"/>
  <c r="Q34" i="10"/>
  <c r="P34" i="10"/>
  <c r="M34" i="10"/>
  <c r="K34" i="10"/>
  <c r="N34" i="10"/>
  <c r="L34" i="10"/>
  <c r="R32" i="7"/>
  <c r="K33" i="7"/>
  <c r="M33" i="7"/>
  <c r="J34" i="7"/>
  <c r="N34" i="7" s="1"/>
  <c r="O34" i="7"/>
  <c r="Q33" i="7"/>
  <c r="P33" i="7"/>
  <c r="L33" i="7"/>
  <c r="G37" i="9"/>
  <c r="H36" i="9"/>
  <c r="I36" i="9" s="1"/>
  <c r="J36" i="9" s="1"/>
  <c r="M35" i="9"/>
  <c r="N35" i="9"/>
  <c r="L35" i="9"/>
  <c r="K35" i="9"/>
  <c r="H35" i="7"/>
  <c r="I35" i="7" s="1"/>
  <c r="G36" i="7"/>
  <c r="H35" i="6"/>
  <c r="I35" i="6" s="1"/>
  <c r="J35" i="6" s="1"/>
  <c r="G36" i="6"/>
  <c r="L34" i="6"/>
  <c r="N34" i="6"/>
  <c r="M34" i="6"/>
  <c r="K34" i="6"/>
  <c r="M37" i="12" l="1"/>
  <c r="L37" i="12"/>
  <c r="K37" i="12"/>
  <c r="N37" i="12"/>
  <c r="G40" i="12"/>
  <c r="H39" i="12"/>
  <c r="I39" i="12" s="1"/>
  <c r="S34" i="10"/>
  <c r="O38" i="12"/>
  <c r="J38" i="12"/>
  <c r="R34" i="10"/>
  <c r="Q37" i="12"/>
  <c r="P37" i="12"/>
  <c r="R37" i="12" s="1"/>
  <c r="R36" i="12"/>
  <c r="S36" i="12"/>
  <c r="Q36" i="11"/>
  <c r="P36" i="11"/>
  <c r="J37" i="11"/>
  <c r="O37" i="11"/>
  <c r="G39" i="11"/>
  <c r="H38" i="11"/>
  <c r="I38" i="11" s="1"/>
  <c r="S35" i="11"/>
  <c r="K36" i="11"/>
  <c r="L36" i="11"/>
  <c r="N36" i="11"/>
  <c r="M36" i="11"/>
  <c r="R35" i="11"/>
  <c r="G38" i="10"/>
  <c r="H37" i="10"/>
  <c r="I37" i="10" s="1"/>
  <c r="J37" i="10" s="1"/>
  <c r="O36" i="10"/>
  <c r="K35" i="10"/>
  <c r="N35" i="10"/>
  <c r="M35" i="10"/>
  <c r="L35" i="10"/>
  <c r="Q35" i="10"/>
  <c r="P35" i="10"/>
  <c r="R33" i="7"/>
  <c r="M34" i="7"/>
  <c r="L34" i="7"/>
  <c r="Q34" i="7"/>
  <c r="P34" i="7"/>
  <c r="K34" i="7"/>
  <c r="S33" i="7"/>
  <c r="J35" i="7"/>
  <c r="L35" i="7" s="1"/>
  <c r="O35" i="7"/>
  <c r="M36" i="9"/>
  <c r="K36" i="9"/>
  <c r="N36" i="9"/>
  <c r="L36" i="9"/>
  <c r="H37" i="9"/>
  <c r="I37" i="9" s="1"/>
  <c r="J37" i="9" s="1"/>
  <c r="G38" i="9"/>
  <c r="H36" i="7"/>
  <c r="I36" i="7" s="1"/>
  <c r="G37" i="7"/>
  <c r="H36" i="6"/>
  <c r="I36" i="6" s="1"/>
  <c r="J36" i="6" s="1"/>
  <c r="G37" i="6"/>
  <c r="L35" i="6"/>
  <c r="N35" i="6"/>
  <c r="M35" i="6"/>
  <c r="K35" i="6"/>
  <c r="S37" i="12" l="1"/>
  <c r="P38" i="12"/>
  <c r="Q38" i="12"/>
  <c r="R35" i="10"/>
  <c r="O39" i="12"/>
  <c r="J39" i="12"/>
  <c r="L38" i="12"/>
  <c r="K38" i="12"/>
  <c r="N38" i="12"/>
  <c r="M38" i="12"/>
  <c r="G41" i="12"/>
  <c r="H40" i="12"/>
  <c r="I40" i="12" s="1"/>
  <c r="S35" i="10"/>
  <c r="N37" i="11"/>
  <c r="M37" i="11"/>
  <c r="L37" i="11"/>
  <c r="K37" i="11"/>
  <c r="O38" i="11"/>
  <c r="J38" i="11"/>
  <c r="R36" i="11"/>
  <c r="Q37" i="11"/>
  <c r="P37" i="11"/>
  <c r="G40" i="11"/>
  <c r="H39" i="11"/>
  <c r="I39" i="11" s="1"/>
  <c r="S36" i="11"/>
  <c r="L36" i="10"/>
  <c r="S36" i="10" s="1"/>
  <c r="K36" i="10"/>
  <c r="M36" i="10"/>
  <c r="N36" i="10"/>
  <c r="P36" i="10"/>
  <c r="Q36" i="10"/>
  <c r="O37" i="10"/>
  <c r="H38" i="10"/>
  <c r="I38" i="10" s="1"/>
  <c r="J38" i="10" s="1"/>
  <c r="G39" i="10"/>
  <c r="R34" i="7"/>
  <c r="S34" i="7"/>
  <c r="K35" i="7"/>
  <c r="M35" i="7"/>
  <c r="Q35" i="7"/>
  <c r="S35" i="7" s="1"/>
  <c r="P35" i="7"/>
  <c r="N35" i="7"/>
  <c r="J36" i="7"/>
  <c r="K36" i="7" s="1"/>
  <c r="O36" i="7"/>
  <c r="G39" i="9"/>
  <c r="H38" i="9"/>
  <c r="I38" i="9" s="1"/>
  <c r="J38" i="9" s="1"/>
  <c r="M37" i="9"/>
  <c r="N37" i="9"/>
  <c r="L37" i="9"/>
  <c r="K37" i="9"/>
  <c r="H37" i="7"/>
  <c r="I37" i="7" s="1"/>
  <c r="G38" i="7"/>
  <c r="H37" i="6"/>
  <c r="I37" i="6" s="1"/>
  <c r="J37" i="6" s="1"/>
  <c r="G38" i="6"/>
  <c r="N36" i="6"/>
  <c r="M36" i="6"/>
  <c r="L36" i="6"/>
  <c r="K36" i="6"/>
  <c r="J40" i="12" l="1"/>
  <c r="O40" i="12"/>
  <c r="Q39" i="12"/>
  <c r="P39" i="12"/>
  <c r="G42" i="12"/>
  <c r="H41" i="12"/>
  <c r="I41" i="12" s="1"/>
  <c r="S38" i="12"/>
  <c r="R37" i="11"/>
  <c r="K39" i="12"/>
  <c r="N39" i="12"/>
  <c r="M39" i="12"/>
  <c r="L39" i="12"/>
  <c r="R38" i="12"/>
  <c r="R36" i="10"/>
  <c r="H40" i="11"/>
  <c r="I40" i="11" s="1"/>
  <c r="G41" i="11"/>
  <c r="M38" i="11"/>
  <c r="L38" i="11"/>
  <c r="K38" i="11"/>
  <c r="N38" i="11"/>
  <c r="O39" i="11"/>
  <c r="J39" i="11"/>
  <c r="Q38" i="11"/>
  <c r="S38" i="11" s="1"/>
  <c r="P38" i="11"/>
  <c r="R38" i="11" s="1"/>
  <c r="S37" i="11"/>
  <c r="Q37" i="10"/>
  <c r="P37" i="10"/>
  <c r="H39" i="10"/>
  <c r="I39" i="10" s="1"/>
  <c r="J39" i="10" s="1"/>
  <c r="G40" i="10"/>
  <c r="M37" i="10"/>
  <c r="L37" i="10"/>
  <c r="N37" i="10"/>
  <c r="K37" i="10"/>
  <c r="R37" i="10" s="1"/>
  <c r="O38" i="10"/>
  <c r="R35" i="7"/>
  <c r="N36" i="7"/>
  <c r="L36" i="7"/>
  <c r="M36" i="7"/>
  <c r="Q36" i="7"/>
  <c r="P36" i="7"/>
  <c r="R36" i="7" s="1"/>
  <c r="J37" i="7"/>
  <c r="K37" i="7" s="1"/>
  <c r="O37" i="7"/>
  <c r="M38" i="9"/>
  <c r="K38" i="9"/>
  <c r="N38" i="9"/>
  <c r="L38" i="9"/>
  <c r="H39" i="9"/>
  <c r="I39" i="9" s="1"/>
  <c r="J39" i="9" s="1"/>
  <c r="G40" i="9"/>
  <c r="H38" i="7"/>
  <c r="I38" i="7" s="1"/>
  <c r="G39" i="7"/>
  <c r="L37" i="6"/>
  <c r="N37" i="6"/>
  <c r="M37" i="6"/>
  <c r="K37" i="6"/>
  <c r="H38" i="6"/>
  <c r="I38" i="6" s="1"/>
  <c r="J38" i="6" s="1"/>
  <c r="G39" i="6"/>
  <c r="R39" i="12" l="1"/>
  <c r="S37" i="10"/>
  <c r="S39" i="12"/>
  <c r="O41" i="12"/>
  <c r="J41" i="12"/>
  <c r="Q40" i="12"/>
  <c r="P40" i="12"/>
  <c r="G43" i="12"/>
  <c r="H42" i="12"/>
  <c r="I42" i="12" s="1"/>
  <c r="N40" i="12"/>
  <c r="M40" i="12"/>
  <c r="L40" i="12"/>
  <c r="K40" i="12"/>
  <c r="P39" i="11"/>
  <c r="Q39" i="11"/>
  <c r="G42" i="11"/>
  <c r="H41" i="11"/>
  <c r="I41" i="11" s="1"/>
  <c r="O40" i="11"/>
  <c r="J40" i="11"/>
  <c r="L39" i="11"/>
  <c r="N39" i="11"/>
  <c r="M39" i="11"/>
  <c r="K39" i="11"/>
  <c r="H40" i="10"/>
  <c r="I40" i="10" s="1"/>
  <c r="J40" i="10" s="1"/>
  <c r="G41" i="10"/>
  <c r="O39" i="10"/>
  <c r="N38" i="10"/>
  <c r="K38" i="10"/>
  <c r="R38" i="10" s="1"/>
  <c r="M38" i="10"/>
  <c r="L38" i="10"/>
  <c r="P38" i="10"/>
  <c r="Q38" i="10"/>
  <c r="S36" i="7"/>
  <c r="L37" i="7"/>
  <c r="M37" i="7"/>
  <c r="N37" i="7"/>
  <c r="J38" i="7"/>
  <c r="L38" i="7" s="1"/>
  <c r="O38" i="7"/>
  <c r="Q37" i="7"/>
  <c r="P37" i="7"/>
  <c r="R37" i="7" s="1"/>
  <c r="G41" i="9"/>
  <c r="H40" i="9"/>
  <c r="I40" i="9" s="1"/>
  <c r="J40" i="9" s="1"/>
  <c r="M39" i="9"/>
  <c r="N39" i="9"/>
  <c r="L39" i="9"/>
  <c r="K39" i="9"/>
  <c r="H39" i="7"/>
  <c r="I39" i="7" s="1"/>
  <c r="G40" i="7"/>
  <c r="H39" i="6"/>
  <c r="I39" i="6" s="1"/>
  <c r="J39" i="6" s="1"/>
  <c r="G40" i="6"/>
  <c r="L38" i="6"/>
  <c r="N38" i="6"/>
  <c r="M38" i="6"/>
  <c r="K38" i="6"/>
  <c r="O42" i="12" l="1"/>
  <c r="J42" i="12"/>
  <c r="H43" i="12"/>
  <c r="I43" i="12" s="1"/>
  <c r="G44" i="12"/>
  <c r="Q41" i="12"/>
  <c r="P41" i="12"/>
  <c r="R41" i="12" s="1"/>
  <c r="M41" i="12"/>
  <c r="L41" i="12"/>
  <c r="K41" i="12"/>
  <c r="N41" i="12"/>
  <c r="R40" i="12"/>
  <c r="R39" i="11"/>
  <c r="S40" i="12"/>
  <c r="J41" i="11"/>
  <c r="O41" i="11"/>
  <c r="H42" i="11"/>
  <c r="I42" i="11" s="1"/>
  <c r="G43" i="11"/>
  <c r="K40" i="11"/>
  <c r="M40" i="11"/>
  <c r="L40" i="11"/>
  <c r="N40" i="11"/>
  <c r="S39" i="11"/>
  <c r="S38" i="10"/>
  <c r="Q40" i="11"/>
  <c r="S40" i="11" s="1"/>
  <c r="P40" i="11"/>
  <c r="Q39" i="10"/>
  <c r="P39" i="10"/>
  <c r="K39" i="10"/>
  <c r="N39" i="10"/>
  <c r="M39" i="10"/>
  <c r="L39" i="10"/>
  <c r="S39" i="10" s="1"/>
  <c r="G42" i="10"/>
  <c r="H41" i="10"/>
  <c r="I41" i="10" s="1"/>
  <c r="J41" i="10" s="1"/>
  <c r="O40" i="10"/>
  <c r="M38" i="7"/>
  <c r="J39" i="7"/>
  <c r="K39" i="7" s="1"/>
  <c r="O39" i="7"/>
  <c r="K38" i="7"/>
  <c r="N38" i="7"/>
  <c r="Q38" i="7"/>
  <c r="S38" i="7" s="1"/>
  <c r="P38" i="7"/>
  <c r="S37" i="7"/>
  <c r="M40" i="9"/>
  <c r="K40" i="9"/>
  <c r="L40" i="9"/>
  <c r="N40" i="9"/>
  <c r="H41" i="9"/>
  <c r="I41" i="9" s="1"/>
  <c r="J41" i="9" s="1"/>
  <c r="G42" i="9"/>
  <c r="H40" i="7"/>
  <c r="I40" i="7" s="1"/>
  <c r="G41" i="7"/>
  <c r="H40" i="6"/>
  <c r="I40" i="6" s="1"/>
  <c r="J40" i="6" s="1"/>
  <c r="G41" i="6"/>
  <c r="L39" i="6"/>
  <c r="N39" i="6"/>
  <c r="M39" i="6"/>
  <c r="K39" i="6"/>
  <c r="G45" i="12" l="1"/>
  <c r="H44" i="12"/>
  <c r="I44" i="12" s="1"/>
  <c r="O43" i="12"/>
  <c r="J43" i="12"/>
  <c r="L42" i="12"/>
  <c r="K42" i="12"/>
  <c r="N42" i="12"/>
  <c r="M42" i="12"/>
  <c r="R40" i="11"/>
  <c r="S41" i="12"/>
  <c r="P42" i="12"/>
  <c r="R42" i="12" s="1"/>
  <c r="Q42" i="12"/>
  <c r="S42" i="12" s="1"/>
  <c r="G44" i="11"/>
  <c r="H43" i="11"/>
  <c r="I43" i="11" s="1"/>
  <c r="R39" i="10"/>
  <c r="O42" i="11"/>
  <c r="J42" i="11"/>
  <c r="P41" i="11"/>
  <c r="Q41" i="11"/>
  <c r="N41" i="11"/>
  <c r="K41" i="11"/>
  <c r="M41" i="11"/>
  <c r="L41" i="11"/>
  <c r="O41" i="10"/>
  <c r="G43" i="10"/>
  <c r="H42" i="10"/>
  <c r="I42" i="10" s="1"/>
  <c r="J42" i="10" s="1"/>
  <c r="Q40" i="10"/>
  <c r="P40" i="10"/>
  <c r="L40" i="10"/>
  <c r="K40" i="10"/>
  <c r="N40" i="10"/>
  <c r="M40" i="10"/>
  <c r="R38" i="7"/>
  <c r="N39" i="7"/>
  <c r="J40" i="7"/>
  <c r="K40" i="7" s="1"/>
  <c r="O40" i="7"/>
  <c r="Q39" i="7"/>
  <c r="P39" i="7"/>
  <c r="R39" i="7" s="1"/>
  <c r="L39" i="7"/>
  <c r="M39" i="7"/>
  <c r="G43" i="9"/>
  <c r="H42" i="9"/>
  <c r="I42" i="9" s="1"/>
  <c r="J42" i="9" s="1"/>
  <c r="M41" i="9"/>
  <c r="N41" i="9"/>
  <c r="L41" i="9"/>
  <c r="K41" i="9"/>
  <c r="H41" i="7"/>
  <c r="I41" i="7" s="1"/>
  <c r="G42" i="7"/>
  <c r="H41" i="6"/>
  <c r="I41" i="6" s="1"/>
  <c r="J41" i="6" s="1"/>
  <c r="G42" i="6"/>
  <c r="L40" i="6"/>
  <c r="N40" i="6"/>
  <c r="M40" i="6"/>
  <c r="K40" i="6"/>
  <c r="K43" i="12" l="1"/>
  <c r="N43" i="12"/>
  <c r="M43" i="12"/>
  <c r="L43" i="12"/>
  <c r="Q43" i="12"/>
  <c r="P43" i="12"/>
  <c r="R40" i="10"/>
  <c r="R41" i="11"/>
  <c r="J44" i="12"/>
  <c r="O44" i="12"/>
  <c r="S40" i="10"/>
  <c r="G46" i="12"/>
  <c r="H45" i="12"/>
  <c r="I45" i="12" s="1"/>
  <c r="Q42" i="11"/>
  <c r="P42" i="11"/>
  <c r="S41" i="11"/>
  <c r="O43" i="11"/>
  <c r="J43" i="11"/>
  <c r="M42" i="11"/>
  <c r="N42" i="11"/>
  <c r="L42" i="11"/>
  <c r="K42" i="11"/>
  <c r="G45" i="11"/>
  <c r="H44" i="11"/>
  <c r="I44" i="11" s="1"/>
  <c r="O42" i="10"/>
  <c r="H43" i="10"/>
  <c r="I43" i="10" s="1"/>
  <c r="J43" i="10" s="1"/>
  <c r="G44" i="10"/>
  <c r="K41" i="10"/>
  <c r="M41" i="10"/>
  <c r="L41" i="10"/>
  <c r="S41" i="10" s="1"/>
  <c r="N41" i="10"/>
  <c r="Q41" i="10"/>
  <c r="P41" i="10"/>
  <c r="S39" i="7"/>
  <c r="J41" i="7"/>
  <c r="N41" i="7" s="1"/>
  <c r="O41" i="7"/>
  <c r="L40" i="7"/>
  <c r="M40" i="7"/>
  <c r="N40" i="7"/>
  <c r="Q40" i="7"/>
  <c r="P40" i="7"/>
  <c r="R40" i="7" s="1"/>
  <c r="M42" i="9"/>
  <c r="K42" i="9"/>
  <c r="N42" i="9"/>
  <c r="L42" i="9"/>
  <c r="H43" i="9"/>
  <c r="I43" i="9" s="1"/>
  <c r="J43" i="9" s="1"/>
  <c r="G44" i="9"/>
  <c r="H42" i="7"/>
  <c r="I42" i="7" s="1"/>
  <c r="G43" i="7"/>
  <c r="H42" i="6"/>
  <c r="I42" i="6" s="1"/>
  <c r="J42" i="6" s="1"/>
  <c r="G43" i="6"/>
  <c r="L41" i="6"/>
  <c r="N41" i="6"/>
  <c r="M41" i="6"/>
  <c r="K41" i="6"/>
  <c r="S43" i="12" l="1"/>
  <c r="O45" i="12"/>
  <c r="J45" i="12"/>
  <c r="G47" i="12"/>
  <c r="H46" i="12"/>
  <c r="I46" i="12" s="1"/>
  <c r="Q44" i="12"/>
  <c r="P44" i="12"/>
  <c r="R43" i="12"/>
  <c r="N44" i="12"/>
  <c r="M44" i="12"/>
  <c r="L44" i="12"/>
  <c r="K44" i="12"/>
  <c r="Q43" i="11"/>
  <c r="P43" i="11"/>
  <c r="R41" i="10"/>
  <c r="O44" i="11"/>
  <c r="J44" i="11"/>
  <c r="H45" i="11"/>
  <c r="I45" i="11" s="1"/>
  <c r="G46" i="11"/>
  <c r="R42" i="11"/>
  <c r="L43" i="11"/>
  <c r="K43" i="11"/>
  <c r="N43" i="11"/>
  <c r="M43" i="11"/>
  <c r="S42" i="11"/>
  <c r="G45" i="10"/>
  <c r="H44" i="10"/>
  <c r="I44" i="10" s="1"/>
  <c r="J44" i="10" s="1"/>
  <c r="O43" i="10"/>
  <c r="L42" i="10"/>
  <c r="M42" i="10"/>
  <c r="K42" i="10"/>
  <c r="N42" i="10"/>
  <c r="Q42" i="10"/>
  <c r="P42" i="10"/>
  <c r="L41" i="7"/>
  <c r="M41" i="7"/>
  <c r="K41" i="7"/>
  <c r="Q41" i="7"/>
  <c r="P41" i="7"/>
  <c r="S40" i="7"/>
  <c r="J42" i="7"/>
  <c r="N42" i="7" s="1"/>
  <c r="O42" i="7"/>
  <c r="G45" i="9"/>
  <c r="H44" i="9"/>
  <c r="I44" i="9" s="1"/>
  <c r="J44" i="9" s="1"/>
  <c r="M43" i="9"/>
  <c r="N43" i="9"/>
  <c r="L43" i="9"/>
  <c r="K43" i="9"/>
  <c r="H43" i="7"/>
  <c r="I43" i="7" s="1"/>
  <c r="G44" i="7"/>
  <c r="H43" i="6"/>
  <c r="I43" i="6" s="1"/>
  <c r="J43" i="6" s="1"/>
  <c r="G44" i="6"/>
  <c r="L42" i="6"/>
  <c r="N42" i="6"/>
  <c r="M42" i="6"/>
  <c r="K42" i="6"/>
  <c r="O46" i="12" l="1"/>
  <c r="J46" i="12"/>
  <c r="H47" i="12"/>
  <c r="I47" i="12" s="1"/>
  <c r="G48" i="12"/>
  <c r="M45" i="12"/>
  <c r="L45" i="12"/>
  <c r="K45" i="12"/>
  <c r="N45" i="12"/>
  <c r="R44" i="12"/>
  <c r="S44" i="12"/>
  <c r="Q45" i="12"/>
  <c r="P45" i="12"/>
  <c r="P44" i="11"/>
  <c r="Q44" i="11"/>
  <c r="R42" i="10"/>
  <c r="H46" i="11"/>
  <c r="I46" i="11" s="1"/>
  <c r="G47" i="11"/>
  <c r="O45" i="11"/>
  <c r="J45" i="11"/>
  <c r="R43" i="11"/>
  <c r="S42" i="10"/>
  <c r="L44" i="11"/>
  <c r="K44" i="11"/>
  <c r="M44" i="11"/>
  <c r="N44" i="11"/>
  <c r="S43" i="11"/>
  <c r="M43" i="10"/>
  <c r="L43" i="10"/>
  <c r="N43" i="10"/>
  <c r="K43" i="10"/>
  <c r="R43" i="10" s="1"/>
  <c r="O44" i="10"/>
  <c r="Q43" i="10"/>
  <c r="P43" i="10"/>
  <c r="G46" i="10"/>
  <c r="H45" i="10"/>
  <c r="I45" i="10" s="1"/>
  <c r="J45" i="10" s="1"/>
  <c r="R41" i="7"/>
  <c r="S41" i="7"/>
  <c r="M42" i="7"/>
  <c r="L42" i="7"/>
  <c r="K42" i="7"/>
  <c r="J43" i="7"/>
  <c r="L43" i="7" s="1"/>
  <c r="O43" i="7"/>
  <c r="Q42" i="7"/>
  <c r="P42" i="7"/>
  <c r="M44" i="9"/>
  <c r="K44" i="9"/>
  <c r="L44" i="9"/>
  <c r="N44" i="9"/>
  <c r="H45" i="9"/>
  <c r="I45" i="9" s="1"/>
  <c r="J45" i="9" s="1"/>
  <c r="G46" i="9"/>
  <c r="H44" i="7"/>
  <c r="I44" i="7" s="1"/>
  <c r="G45" i="7"/>
  <c r="H44" i="6"/>
  <c r="I44" i="6" s="1"/>
  <c r="J44" i="6" s="1"/>
  <c r="G45" i="6"/>
  <c r="L43" i="6"/>
  <c r="N43" i="6"/>
  <c r="M43" i="6"/>
  <c r="K43" i="6"/>
  <c r="R45" i="12" l="1"/>
  <c r="G49" i="12"/>
  <c r="H48" i="12"/>
  <c r="I48" i="12" s="1"/>
  <c r="S45" i="12"/>
  <c r="O47" i="12"/>
  <c r="J47" i="12"/>
  <c r="L46" i="12"/>
  <c r="K46" i="12"/>
  <c r="N46" i="12"/>
  <c r="M46" i="12"/>
  <c r="P46" i="12"/>
  <c r="Q46" i="12"/>
  <c r="S43" i="10"/>
  <c r="K45" i="11"/>
  <c r="N45" i="11"/>
  <c r="M45" i="11"/>
  <c r="L45" i="11"/>
  <c r="J46" i="11"/>
  <c r="O46" i="11"/>
  <c r="P45" i="11"/>
  <c r="Q45" i="11"/>
  <c r="S45" i="11" s="1"/>
  <c r="S44" i="11"/>
  <c r="G48" i="11"/>
  <c r="H47" i="11"/>
  <c r="I47" i="11" s="1"/>
  <c r="R44" i="11"/>
  <c r="N44" i="10"/>
  <c r="M44" i="10"/>
  <c r="L44" i="10"/>
  <c r="K44" i="10"/>
  <c r="O45" i="10"/>
  <c r="G47" i="10"/>
  <c r="H46" i="10"/>
  <c r="I46" i="10" s="1"/>
  <c r="J46" i="10" s="1"/>
  <c r="Q44" i="10"/>
  <c r="P44" i="10"/>
  <c r="R42" i="7"/>
  <c r="K43" i="7"/>
  <c r="M43" i="7"/>
  <c r="N43" i="7"/>
  <c r="J44" i="7"/>
  <c r="L44" i="7" s="1"/>
  <c r="O44" i="7"/>
  <c r="S42" i="7"/>
  <c r="Q43" i="7"/>
  <c r="S43" i="7" s="1"/>
  <c r="P43" i="7"/>
  <c r="G47" i="9"/>
  <c r="H46" i="9"/>
  <c r="I46" i="9" s="1"/>
  <c r="J46" i="9" s="1"/>
  <c r="M45" i="9"/>
  <c r="N45" i="9"/>
  <c r="L45" i="9"/>
  <c r="K45" i="9"/>
  <c r="H45" i="7"/>
  <c r="I45" i="7" s="1"/>
  <c r="G46" i="7"/>
  <c r="H45" i="6"/>
  <c r="I45" i="6" s="1"/>
  <c r="J45" i="6" s="1"/>
  <c r="G46" i="6"/>
  <c r="L44" i="6"/>
  <c r="N44" i="6"/>
  <c r="M44" i="6"/>
  <c r="K44" i="6"/>
  <c r="R46" i="12" l="1"/>
  <c r="S44" i="10"/>
  <c r="R45" i="11"/>
  <c r="S46" i="12"/>
  <c r="Q47" i="12"/>
  <c r="P47" i="12"/>
  <c r="J48" i="12"/>
  <c r="O48" i="12"/>
  <c r="K47" i="12"/>
  <c r="N47" i="12"/>
  <c r="M47" i="12"/>
  <c r="L47" i="12"/>
  <c r="G50" i="12"/>
  <c r="H49" i="12"/>
  <c r="I49" i="12" s="1"/>
  <c r="J47" i="11"/>
  <c r="O47" i="11"/>
  <c r="G49" i="11"/>
  <c r="H48" i="11"/>
  <c r="I48" i="11" s="1"/>
  <c r="Q46" i="11"/>
  <c r="P46" i="11"/>
  <c r="R46" i="11" s="1"/>
  <c r="N46" i="11"/>
  <c r="M46" i="11"/>
  <c r="K46" i="11"/>
  <c r="L46" i="11"/>
  <c r="R44" i="10"/>
  <c r="O46" i="10"/>
  <c r="G48" i="10"/>
  <c r="H47" i="10"/>
  <c r="I47" i="10" s="1"/>
  <c r="J47" i="10" s="1"/>
  <c r="Q45" i="10"/>
  <c r="P45" i="10"/>
  <c r="K45" i="10"/>
  <c r="N45" i="10"/>
  <c r="M45" i="10"/>
  <c r="L45" i="10"/>
  <c r="R43" i="7"/>
  <c r="N44" i="7"/>
  <c r="M44" i="7"/>
  <c r="K44" i="7"/>
  <c r="J45" i="7"/>
  <c r="K45" i="7" s="1"/>
  <c r="O45" i="7"/>
  <c r="Q44" i="7"/>
  <c r="S44" i="7" s="1"/>
  <c r="P44" i="7"/>
  <c r="M46" i="9"/>
  <c r="K46" i="9"/>
  <c r="L46" i="9"/>
  <c r="N46" i="9"/>
  <c r="H47" i="9"/>
  <c r="I47" i="9" s="1"/>
  <c r="J47" i="9" s="1"/>
  <c r="G48" i="9"/>
  <c r="H46" i="7"/>
  <c r="I46" i="7" s="1"/>
  <c r="G47" i="7"/>
  <c r="H46" i="6"/>
  <c r="I46" i="6" s="1"/>
  <c r="J46" i="6" s="1"/>
  <c r="G47" i="6"/>
  <c r="L45" i="6"/>
  <c r="N45" i="6"/>
  <c r="M45" i="6"/>
  <c r="K45" i="6"/>
  <c r="S47" i="12" l="1"/>
  <c r="G51" i="12"/>
  <c r="H50" i="12"/>
  <c r="I50" i="12" s="1"/>
  <c r="Q48" i="12"/>
  <c r="S48" i="12" s="1"/>
  <c r="P48" i="12"/>
  <c r="R45" i="10"/>
  <c r="N48" i="12"/>
  <c r="M48" i="12"/>
  <c r="L48" i="12"/>
  <c r="K48" i="12"/>
  <c r="S45" i="10"/>
  <c r="O49" i="12"/>
  <c r="J49" i="12"/>
  <c r="R47" i="12"/>
  <c r="O48" i="11"/>
  <c r="J48" i="11"/>
  <c r="G50" i="11"/>
  <c r="H49" i="11"/>
  <c r="I49" i="11" s="1"/>
  <c r="Q47" i="11"/>
  <c r="P47" i="11"/>
  <c r="S46" i="11"/>
  <c r="M47" i="11"/>
  <c r="L47" i="11"/>
  <c r="N47" i="11"/>
  <c r="K47" i="11"/>
  <c r="O47" i="10"/>
  <c r="G49" i="10"/>
  <c r="H48" i="10"/>
  <c r="I48" i="10" s="1"/>
  <c r="J48" i="10" s="1"/>
  <c r="N46" i="10"/>
  <c r="M46" i="10"/>
  <c r="L46" i="10"/>
  <c r="S46" i="10" s="1"/>
  <c r="K46" i="10"/>
  <c r="P46" i="10"/>
  <c r="Q46" i="10"/>
  <c r="R44" i="7"/>
  <c r="Q45" i="7"/>
  <c r="P45" i="7"/>
  <c r="R45" i="7" s="1"/>
  <c r="N45" i="7"/>
  <c r="J46" i="7"/>
  <c r="L46" i="7" s="1"/>
  <c r="O46" i="7"/>
  <c r="L45" i="7"/>
  <c r="M45" i="7"/>
  <c r="G49" i="9"/>
  <c r="H48" i="9"/>
  <c r="I48" i="9" s="1"/>
  <c r="J48" i="9" s="1"/>
  <c r="M47" i="9"/>
  <c r="N47" i="9"/>
  <c r="L47" i="9"/>
  <c r="K47" i="9"/>
  <c r="H47" i="7"/>
  <c r="I47" i="7" s="1"/>
  <c r="G48" i="7"/>
  <c r="L46" i="6"/>
  <c r="N46" i="6"/>
  <c r="M46" i="6"/>
  <c r="K46" i="6"/>
  <c r="H47" i="6"/>
  <c r="I47" i="6" s="1"/>
  <c r="J47" i="6" s="1"/>
  <c r="G48" i="6"/>
  <c r="M49" i="12" l="1"/>
  <c r="L49" i="12"/>
  <c r="K49" i="12"/>
  <c r="N49" i="12"/>
  <c r="R48" i="12"/>
  <c r="Q49" i="12"/>
  <c r="S49" i="12" s="1"/>
  <c r="P49" i="12"/>
  <c r="O50" i="12"/>
  <c r="J50" i="12"/>
  <c r="H51" i="12"/>
  <c r="I51" i="12" s="1"/>
  <c r="G52" i="12"/>
  <c r="S47" i="11"/>
  <c r="P48" i="11"/>
  <c r="Q48" i="11"/>
  <c r="O49" i="11"/>
  <c r="J49" i="11"/>
  <c r="G51" i="11"/>
  <c r="H50" i="11"/>
  <c r="I50" i="11" s="1"/>
  <c r="R46" i="10"/>
  <c r="L48" i="11"/>
  <c r="K48" i="11"/>
  <c r="N48" i="11"/>
  <c r="M48" i="11"/>
  <c r="R47" i="11"/>
  <c r="O48" i="10"/>
  <c r="G50" i="10"/>
  <c r="H49" i="10"/>
  <c r="I49" i="10" s="1"/>
  <c r="J49" i="10" s="1"/>
  <c r="M47" i="10"/>
  <c r="L47" i="10"/>
  <c r="N47" i="10"/>
  <c r="K47" i="10"/>
  <c r="R47" i="10" s="1"/>
  <c r="P47" i="10"/>
  <c r="Q47" i="10"/>
  <c r="S45" i="7"/>
  <c r="K46" i="7"/>
  <c r="M46" i="7"/>
  <c r="N46" i="7"/>
  <c r="J47" i="7"/>
  <c r="K47" i="7" s="1"/>
  <c r="O47" i="7"/>
  <c r="Q46" i="7"/>
  <c r="S46" i="7" s="1"/>
  <c r="P46" i="7"/>
  <c r="M48" i="9"/>
  <c r="K48" i="9"/>
  <c r="N48" i="9"/>
  <c r="L48" i="9"/>
  <c r="H49" i="9"/>
  <c r="I49" i="9" s="1"/>
  <c r="J49" i="9" s="1"/>
  <c r="G50" i="9"/>
  <c r="H48" i="7"/>
  <c r="I48" i="7" s="1"/>
  <c r="G49" i="7"/>
  <c r="H48" i="6"/>
  <c r="I48" i="6" s="1"/>
  <c r="J48" i="6" s="1"/>
  <c r="G49" i="6"/>
  <c r="L47" i="6"/>
  <c r="N47" i="6"/>
  <c r="M47" i="6"/>
  <c r="K47" i="6"/>
  <c r="R49" i="12" l="1"/>
  <c r="P50" i="12"/>
  <c r="Q50" i="12"/>
  <c r="G53" i="12"/>
  <c r="H52" i="12"/>
  <c r="I52" i="12" s="1"/>
  <c r="O51" i="12"/>
  <c r="J51" i="12"/>
  <c r="L50" i="12"/>
  <c r="K50" i="12"/>
  <c r="N50" i="12"/>
  <c r="M50" i="12"/>
  <c r="Q49" i="11"/>
  <c r="P49" i="11"/>
  <c r="J50" i="11"/>
  <c r="O50" i="11"/>
  <c r="S48" i="11"/>
  <c r="S47" i="10"/>
  <c r="G52" i="11"/>
  <c r="H51" i="11"/>
  <c r="I51" i="11" s="1"/>
  <c r="R48" i="11"/>
  <c r="K49" i="11"/>
  <c r="N49" i="11"/>
  <c r="L49" i="11"/>
  <c r="M49" i="11"/>
  <c r="O49" i="10"/>
  <c r="G51" i="10"/>
  <c r="H50" i="10"/>
  <c r="I50" i="10" s="1"/>
  <c r="J50" i="10" s="1"/>
  <c r="N48" i="10"/>
  <c r="M48" i="10"/>
  <c r="K48" i="10"/>
  <c r="L48" i="10"/>
  <c r="P48" i="10"/>
  <c r="Q48" i="10"/>
  <c r="R46" i="7"/>
  <c r="M47" i="7"/>
  <c r="N47" i="7"/>
  <c r="L47" i="7"/>
  <c r="J48" i="7"/>
  <c r="L48" i="7" s="1"/>
  <c r="O48" i="7"/>
  <c r="Q47" i="7"/>
  <c r="P47" i="7"/>
  <c r="R47" i="7" s="1"/>
  <c r="G51" i="9"/>
  <c r="H50" i="9"/>
  <c r="I50" i="9" s="1"/>
  <c r="J50" i="9" s="1"/>
  <c r="M49" i="9"/>
  <c r="N49" i="9"/>
  <c r="L49" i="9"/>
  <c r="K49" i="9"/>
  <c r="H49" i="7"/>
  <c r="I49" i="7" s="1"/>
  <c r="G50" i="7"/>
  <c r="L48" i="6"/>
  <c r="N48" i="6"/>
  <c r="M48" i="6"/>
  <c r="K48" i="6"/>
  <c r="H49" i="6"/>
  <c r="I49" i="6" s="1"/>
  <c r="J49" i="6" s="1"/>
  <c r="G50" i="6"/>
  <c r="S50" i="12" l="1"/>
  <c r="R50" i="12"/>
  <c r="J52" i="12"/>
  <c r="O52" i="12"/>
  <c r="S49" i="11"/>
  <c r="G54" i="12"/>
  <c r="H53" i="12"/>
  <c r="I53" i="12" s="1"/>
  <c r="K51" i="12"/>
  <c r="N51" i="12"/>
  <c r="M51" i="12"/>
  <c r="L51" i="12"/>
  <c r="Q51" i="12"/>
  <c r="S51" i="12" s="1"/>
  <c r="P51" i="12"/>
  <c r="S48" i="10"/>
  <c r="J51" i="11"/>
  <c r="O51" i="11"/>
  <c r="Q50" i="11"/>
  <c r="P50" i="11"/>
  <c r="R48" i="10"/>
  <c r="G53" i="11"/>
  <c r="H52" i="11"/>
  <c r="I52" i="11" s="1"/>
  <c r="N50" i="11"/>
  <c r="M50" i="11"/>
  <c r="L50" i="11"/>
  <c r="K50" i="11"/>
  <c r="R49" i="11"/>
  <c r="O50" i="10"/>
  <c r="H51" i="10"/>
  <c r="I51" i="10" s="1"/>
  <c r="J51" i="10" s="1"/>
  <c r="G52" i="10"/>
  <c r="M49" i="10"/>
  <c r="N49" i="10"/>
  <c r="L49" i="10"/>
  <c r="S49" i="10" s="1"/>
  <c r="K49" i="10"/>
  <c r="R49" i="10" s="1"/>
  <c r="P49" i="10"/>
  <c r="Q49" i="10"/>
  <c r="M48" i="7"/>
  <c r="S47" i="7"/>
  <c r="N48" i="7"/>
  <c r="K48" i="7"/>
  <c r="J49" i="7"/>
  <c r="K49" i="7" s="1"/>
  <c r="O49" i="7"/>
  <c r="Q48" i="7"/>
  <c r="S48" i="7" s="1"/>
  <c r="P48" i="7"/>
  <c r="M50" i="9"/>
  <c r="K50" i="9"/>
  <c r="L50" i="9"/>
  <c r="N50" i="9"/>
  <c r="H51" i="9"/>
  <c r="I51" i="9" s="1"/>
  <c r="J51" i="9" s="1"/>
  <c r="G52" i="9"/>
  <c r="H50" i="7"/>
  <c r="I50" i="7" s="1"/>
  <c r="G51" i="7"/>
  <c r="H50" i="6"/>
  <c r="I50" i="6" s="1"/>
  <c r="J50" i="6" s="1"/>
  <c r="G51" i="6"/>
  <c r="L49" i="6"/>
  <c r="N49" i="6"/>
  <c r="M49" i="6"/>
  <c r="K49" i="6"/>
  <c r="R51" i="12" l="1"/>
  <c r="N52" i="12"/>
  <c r="M52" i="12"/>
  <c r="L52" i="12"/>
  <c r="K52" i="12"/>
  <c r="G55" i="12"/>
  <c r="H54" i="12"/>
  <c r="I54" i="12" s="1"/>
  <c r="Q52" i="12"/>
  <c r="S52" i="12" s="1"/>
  <c r="P52" i="12"/>
  <c r="R52" i="12" s="1"/>
  <c r="O53" i="12"/>
  <c r="J53" i="12"/>
  <c r="O52" i="11"/>
  <c r="J52" i="11"/>
  <c r="S50" i="11"/>
  <c r="H53" i="11"/>
  <c r="I53" i="11" s="1"/>
  <c r="G54" i="11"/>
  <c r="Q51" i="11"/>
  <c r="P51" i="11"/>
  <c r="M51" i="11"/>
  <c r="L51" i="11"/>
  <c r="N51" i="11"/>
  <c r="K51" i="11"/>
  <c r="R50" i="11"/>
  <c r="O51" i="10"/>
  <c r="N50" i="10"/>
  <c r="M50" i="10"/>
  <c r="K50" i="10"/>
  <c r="L50" i="10"/>
  <c r="H52" i="10"/>
  <c r="I52" i="10" s="1"/>
  <c r="J52" i="10" s="1"/>
  <c r="G53" i="10"/>
  <c r="P50" i="10"/>
  <c r="Q50" i="10"/>
  <c r="R48" i="7"/>
  <c r="N49" i="7"/>
  <c r="L49" i="7"/>
  <c r="J50" i="7"/>
  <c r="L50" i="7" s="1"/>
  <c r="O50" i="7"/>
  <c r="Q49" i="7"/>
  <c r="P49" i="7"/>
  <c r="R49" i="7" s="1"/>
  <c r="M49" i="7"/>
  <c r="G53" i="9"/>
  <c r="H52" i="9"/>
  <c r="I52" i="9" s="1"/>
  <c r="J52" i="9" s="1"/>
  <c r="M51" i="9"/>
  <c r="N51" i="9"/>
  <c r="L51" i="9"/>
  <c r="K51" i="9"/>
  <c r="H51" i="7"/>
  <c r="I51" i="7" s="1"/>
  <c r="G52" i="7"/>
  <c r="H51" i="6"/>
  <c r="I51" i="6" s="1"/>
  <c r="J51" i="6" s="1"/>
  <c r="G52" i="6"/>
  <c r="L50" i="6"/>
  <c r="N50" i="6"/>
  <c r="M50" i="6"/>
  <c r="K50" i="6"/>
  <c r="S51" i="11" l="1"/>
  <c r="M53" i="12"/>
  <c r="L53" i="12"/>
  <c r="K53" i="12"/>
  <c r="N53" i="12"/>
  <c r="O54" i="12"/>
  <c r="J54" i="12"/>
  <c r="Q53" i="12"/>
  <c r="P53" i="12"/>
  <c r="G56" i="12"/>
  <c r="H55" i="12"/>
  <c r="I55" i="12" s="1"/>
  <c r="R51" i="11"/>
  <c r="R50" i="10"/>
  <c r="O53" i="11"/>
  <c r="J53" i="11"/>
  <c r="L52" i="11"/>
  <c r="K52" i="11"/>
  <c r="M52" i="11"/>
  <c r="N52" i="11"/>
  <c r="S50" i="10"/>
  <c r="H54" i="11"/>
  <c r="I54" i="11" s="1"/>
  <c r="G55" i="11"/>
  <c r="P52" i="11"/>
  <c r="R52" i="11" s="1"/>
  <c r="Q52" i="11"/>
  <c r="S52" i="11" s="1"/>
  <c r="G54" i="10"/>
  <c r="H53" i="10"/>
  <c r="I53" i="10" s="1"/>
  <c r="J53" i="10" s="1"/>
  <c r="O52" i="10"/>
  <c r="Q51" i="10"/>
  <c r="P51" i="10"/>
  <c r="K51" i="10"/>
  <c r="R51" i="10" s="1"/>
  <c r="N51" i="10"/>
  <c r="L51" i="10"/>
  <c r="S51" i="10" s="1"/>
  <c r="M51" i="10"/>
  <c r="S49" i="7"/>
  <c r="M50" i="7"/>
  <c r="Q50" i="7"/>
  <c r="S50" i="7" s="1"/>
  <c r="P50" i="7"/>
  <c r="K50" i="7"/>
  <c r="N50" i="7"/>
  <c r="J51" i="7"/>
  <c r="L51" i="7" s="1"/>
  <c r="O51" i="7"/>
  <c r="M52" i="9"/>
  <c r="K52" i="9"/>
  <c r="N52" i="9"/>
  <c r="L52" i="9"/>
  <c r="H53" i="9"/>
  <c r="I53" i="9" s="1"/>
  <c r="J53" i="9" s="1"/>
  <c r="G54" i="9"/>
  <c r="H52" i="7"/>
  <c r="I52" i="7" s="1"/>
  <c r="G53" i="7"/>
  <c r="H52" i="6"/>
  <c r="I52" i="6" s="1"/>
  <c r="J52" i="6" s="1"/>
  <c r="G53" i="6"/>
  <c r="L51" i="6"/>
  <c r="N51" i="6"/>
  <c r="M51" i="6"/>
  <c r="K51" i="6"/>
  <c r="R53" i="12" l="1"/>
  <c r="S53" i="12"/>
  <c r="O55" i="12"/>
  <c r="J55" i="12"/>
  <c r="L54" i="12"/>
  <c r="K54" i="12"/>
  <c r="N54" i="12"/>
  <c r="M54" i="12"/>
  <c r="P54" i="12"/>
  <c r="Q54" i="12"/>
  <c r="S54" i="12" s="1"/>
  <c r="G57" i="12"/>
  <c r="H56" i="12"/>
  <c r="I56" i="12" s="1"/>
  <c r="G56" i="11"/>
  <c r="H55" i="11"/>
  <c r="I55" i="11" s="1"/>
  <c r="P53" i="11"/>
  <c r="Q53" i="11"/>
  <c r="S53" i="11" s="1"/>
  <c r="J54" i="11"/>
  <c r="O54" i="11"/>
  <c r="K53" i="11"/>
  <c r="N53" i="11"/>
  <c r="M53" i="11"/>
  <c r="L53" i="11"/>
  <c r="P52" i="10"/>
  <c r="Q52" i="10"/>
  <c r="N52" i="10"/>
  <c r="M52" i="10"/>
  <c r="K52" i="10"/>
  <c r="R52" i="10" s="1"/>
  <c r="L52" i="10"/>
  <c r="O53" i="10"/>
  <c r="G55" i="10"/>
  <c r="H54" i="10"/>
  <c r="I54" i="10" s="1"/>
  <c r="J54" i="10" s="1"/>
  <c r="R50" i="7"/>
  <c r="Q51" i="7"/>
  <c r="S51" i="7" s="1"/>
  <c r="P51" i="7"/>
  <c r="M51" i="7"/>
  <c r="K51" i="7"/>
  <c r="N51" i="7"/>
  <c r="J52" i="7"/>
  <c r="M52" i="7" s="1"/>
  <c r="O52" i="7"/>
  <c r="G55" i="9"/>
  <c r="H54" i="9"/>
  <c r="I54" i="9" s="1"/>
  <c r="J54" i="9" s="1"/>
  <c r="M53" i="9"/>
  <c r="N53" i="9"/>
  <c r="L53" i="9"/>
  <c r="K53" i="9"/>
  <c r="H53" i="7"/>
  <c r="I53" i="7" s="1"/>
  <c r="G54" i="7"/>
  <c r="H53" i="6"/>
  <c r="I53" i="6" s="1"/>
  <c r="J53" i="6" s="1"/>
  <c r="G54" i="6"/>
  <c r="L52" i="6"/>
  <c r="N52" i="6"/>
  <c r="M52" i="6"/>
  <c r="K52" i="6"/>
  <c r="R54" i="12" l="1"/>
  <c r="J56" i="12"/>
  <c r="O56" i="12"/>
  <c r="K55" i="12"/>
  <c r="N55" i="12"/>
  <c r="M55" i="12"/>
  <c r="L55" i="12"/>
  <c r="G58" i="12"/>
  <c r="H57" i="12"/>
  <c r="I57" i="12" s="1"/>
  <c r="Q55" i="12"/>
  <c r="P55" i="12"/>
  <c r="R53" i="11"/>
  <c r="S52" i="10"/>
  <c r="Q54" i="11"/>
  <c r="P54" i="11"/>
  <c r="J55" i="11"/>
  <c r="O55" i="11"/>
  <c r="N54" i="11"/>
  <c r="M54" i="11"/>
  <c r="K54" i="11"/>
  <c r="L54" i="11"/>
  <c r="G57" i="11"/>
  <c r="H56" i="11"/>
  <c r="I56" i="11" s="1"/>
  <c r="M53" i="10"/>
  <c r="L53" i="10"/>
  <c r="K53" i="10"/>
  <c r="N53" i="10"/>
  <c r="O54" i="10"/>
  <c r="Q53" i="10"/>
  <c r="P53" i="10"/>
  <c r="H55" i="10"/>
  <c r="I55" i="10" s="1"/>
  <c r="J55" i="10" s="1"/>
  <c r="G56" i="10"/>
  <c r="R51" i="7"/>
  <c r="K52" i="7"/>
  <c r="Q52" i="7"/>
  <c r="P52" i="7"/>
  <c r="N52" i="7"/>
  <c r="J53" i="7"/>
  <c r="N53" i="7" s="1"/>
  <c r="O53" i="7"/>
  <c r="L52" i="7"/>
  <c r="M54" i="9"/>
  <c r="K54" i="9"/>
  <c r="L54" i="9"/>
  <c r="N54" i="9"/>
  <c r="H55" i="9"/>
  <c r="I55" i="9" s="1"/>
  <c r="J55" i="9" s="1"/>
  <c r="G56" i="9"/>
  <c r="H54" i="7"/>
  <c r="I54" i="7" s="1"/>
  <c r="G55" i="7"/>
  <c r="L53" i="6"/>
  <c r="N53" i="6"/>
  <c r="M53" i="6"/>
  <c r="K53" i="6"/>
  <c r="H54" i="6"/>
  <c r="I54" i="6" s="1"/>
  <c r="J54" i="6" s="1"/>
  <c r="G55" i="6"/>
  <c r="R55" i="12" l="1"/>
  <c r="S55" i="12"/>
  <c r="G59" i="12"/>
  <c r="H58" i="12"/>
  <c r="I58" i="12" s="1"/>
  <c r="Q56" i="12"/>
  <c r="P56" i="12"/>
  <c r="N56" i="12"/>
  <c r="M56" i="12"/>
  <c r="L56" i="12"/>
  <c r="K56" i="12"/>
  <c r="O57" i="12"/>
  <c r="J57" i="12"/>
  <c r="O56" i="11"/>
  <c r="J56" i="11"/>
  <c r="R54" i="11"/>
  <c r="R53" i="10"/>
  <c r="G58" i="11"/>
  <c r="H57" i="11"/>
  <c r="I57" i="11" s="1"/>
  <c r="S54" i="11"/>
  <c r="S53" i="10"/>
  <c r="Q55" i="11"/>
  <c r="S55" i="11" s="1"/>
  <c r="P55" i="11"/>
  <c r="M55" i="11"/>
  <c r="L55" i="11"/>
  <c r="N55" i="11"/>
  <c r="K55" i="11"/>
  <c r="G57" i="10"/>
  <c r="H56" i="10"/>
  <c r="I56" i="10" s="1"/>
  <c r="J56" i="10" s="1"/>
  <c r="P54" i="10"/>
  <c r="Q54" i="10"/>
  <c r="O55" i="10"/>
  <c r="N54" i="10"/>
  <c r="M54" i="10"/>
  <c r="K54" i="10"/>
  <c r="L54" i="10"/>
  <c r="S52" i="7"/>
  <c r="R52" i="7"/>
  <c r="M53" i="7"/>
  <c r="L53" i="7"/>
  <c r="K53" i="7"/>
  <c r="J54" i="7"/>
  <c r="L54" i="7" s="1"/>
  <c r="O54" i="7"/>
  <c r="Q53" i="7"/>
  <c r="P53" i="7"/>
  <c r="G57" i="9"/>
  <c r="H56" i="9"/>
  <c r="I56" i="9" s="1"/>
  <c r="J56" i="9" s="1"/>
  <c r="M55" i="9"/>
  <c r="N55" i="9"/>
  <c r="L55" i="9"/>
  <c r="K55" i="9"/>
  <c r="H55" i="7"/>
  <c r="I55" i="7" s="1"/>
  <c r="G56" i="7"/>
  <c r="L54" i="6"/>
  <c r="N54" i="6"/>
  <c r="M54" i="6"/>
  <c r="K54" i="6"/>
  <c r="H55" i="6"/>
  <c r="I55" i="6" s="1"/>
  <c r="J55" i="6" s="1"/>
  <c r="G56" i="6"/>
  <c r="R54" i="10" l="1"/>
  <c r="R56" i="12"/>
  <c r="S56" i="12"/>
  <c r="M57" i="12"/>
  <c r="L57" i="12"/>
  <c r="K57" i="12"/>
  <c r="N57" i="12"/>
  <c r="O58" i="12"/>
  <c r="J58" i="12"/>
  <c r="Q57" i="12"/>
  <c r="P57" i="12"/>
  <c r="R57" i="12" s="1"/>
  <c r="G60" i="12"/>
  <c r="H59" i="12"/>
  <c r="I59" i="12" s="1"/>
  <c r="R55" i="11"/>
  <c r="O57" i="11"/>
  <c r="J57" i="11"/>
  <c r="S54" i="10"/>
  <c r="L56" i="11"/>
  <c r="K56" i="11"/>
  <c r="N56" i="11"/>
  <c r="M56" i="11"/>
  <c r="G59" i="11"/>
  <c r="H58" i="11"/>
  <c r="I58" i="11" s="1"/>
  <c r="P56" i="11"/>
  <c r="Q56" i="11"/>
  <c r="S56" i="11" s="1"/>
  <c r="L55" i="10"/>
  <c r="K55" i="10"/>
  <c r="N55" i="10"/>
  <c r="M55" i="10"/>
  <c r="O56" i="10"/>
  <c r="Q55" i="10"/>
  <c r="P55" i="10"/>
  <c r="H57" i="10"/>
  <c r="I57" i="10" s="1"/>
  <c r="J57" i="10" s="1"/>
  <c r="G58" i="10"/>
  <c r="R53" i="7"/>
  <c r="K54" i="7"/>
  <c r="J55" i="7"/>
  <c r="K55" i="7" s="1"/>
  <c r="O55" i="7"/>
  <c r="S53" i="7"/>
  <c r="M54" i="7"/>
  <c r="N54" i="7"/>
  <c r="Q54" i="7"/>
  <c r="S54" i="7" s="1"/>
  <c r="P54" i="7"/>
  <c r="M56" i="9"/>
  <c r="K56" i="9"/>
  <c r="N56" i="9"/>
  <c r="L56" i="9"/>
  <c r="H57" i="9"/>
  <c r="I57" i="9" s="1"/>
  <c r="J57" i="9" s="1"/>
  <c r="G58" i="9"/>
  <c r="H56" i="7"/>
  <c r="I56" i="7" s="1"/>
  <c r="G57" i="7"/>
  <c r="H56" i="6"/>
  <c r="I56" i="6" s="1"/>
  <c r="J56" i="6" s="1"/>
  <c r="G57" i="6"/>
  <c r="L55" i="6"/>
  <c r="N55" i="6"/>
  <c r="M55" i="6"/>
  <c r="K55" i="6"/>
  <c r="R56" i="11" l="1"/>
  <c r="G61" i="12"/>
  <c r="H60" i="12"/>
  <c r="I60" i="12" s="1"/>
  <c r="P58" i="12"/>
  <c r="Q58" i="12"/>
  <c r="O59" i="12"/>
  <c r="J59" i="12"/>
  <c r="S57" i="12"/>
  <c r="L58" i="12"/>
  <c r="K58" i="12"/>
  <c r="N58" i="12"/>
  <c r="M58" i="12"/>
  <c r="K57" i="11"/>
  <c r="N57" i="11"/>
  <c r="L57" i="11"/>
  <c r="M57" i="11"/>
  <c r="R55" i="10"/>
  <c r="J58" i="11"/>
  <c r="O58" i="11"/>
  <c r="Q57" i="11"/>
  <c r="P57" i="11"/>
  <c r="R57" i="11" s="1"/>
  <c r="S55" i="10"/>
  <c r="G60" i="11"/>
  <c r="H59" i="11"/>
  <c r="I59" i="11" s="1"/>
  <c r="H58" i="10"/>
  <c r="I58" i="10" s="1"/>
  <c r="J58" i="10" s="1"/>
  <c r="G59" i="10"/>
  <c r="Q56" i="10"/>
  <c r="P56" i="10"/>
  <c r="O57" i="10"/>
  <c r="K56" i="10"/>
  <c r="R56" i="10" s="1"/>
  <c r="N56" i="10"/>
  <c r="M56" i="10"/>
  <c r="L56" i="10"/>
  <c r="R54" i="7"/>
  <c r="J56" i="7"/>
  <c r="K56" i="7" s="1"/>
  <c r="O56" i="7"/>
  <c r="N55" i="7"/>
  <c r="Q55" i="7"/>
  <c r="P55" i="7"/>
  <c r="R55" i="7" s="1"/>
  <c r="L55" i="7"/>
  <c r="M55" i="7"/>
  <c r="M57" i="9"/>
  <c r="N57" i="9"/>
  <c r="L57" i="9"/>
  <c r="K57" i="9"/>
  <c r="G59" i="9"/>
  <c r="H58" i="9"/>
  <c r="I58" i="9" s="1"/>
  <c r="J58" i="9" s="1"/>
  <c r="H57" i="7"/>
  <c r="I57" i="7" s="1"/>
  <c r="G58" i="7"/>
  <c r="H57" i="6"/>
  <c r="I57" i="6" s="1"/>
  <c r="J57" i="6" s="1"/>
  <c r="G58" i="6"/>
  <c r="L56" i="6"/>
  <c r="N56" i="6"/>
  <c r="M56" i="6"/>
  <c r="K56" i="6"/>
  <c r="S56" i="10" l="1"/>
  <c r="S58" i="12"/>
  <c r="S57" i="11"/>
  <c r="R58" i="12"/>
  <c r="K59" i="12"/>
  <c r="N59" i="12"/>
  <c r="M59" i="12"/>
  <c r="L59" i="12"/>
  <c r="J60" i="12"/>
  <c r="O60" i="12"/>
  <c r="Q59" i="12"/>
  <c r="P59" i="12"/>
  <c r="G62" i="12"/>
  <c r="H61" i="12"/>
  <c r="I61" i="12" s="1"/>
  <c r="J59" i="11"/>
  <c r="O59" i="11"/>
  <c r="G61" i="11"/>
  <c r="H60" i="11"/>
  <c r="I60" i="11" s="1"/>
  <c r="Q58" i="11"/>
  <c r="P58" i="11"/>
  <c r="N58" i="11"/>
  <c r="M58" i="11"/>
  <c r="L58" i="11"/>
  <c r="K58" i="11"/>
  <c r="K57" i="10"/>
  <c r="N57" i="10"/>
  <c r="M57" i="10"/>
  <c r="L57" i="10"/>
  <c r="H59" i="10"/>
  <c r="I59" i="10" s="1"/>
  <c r="J59" i="10" s="1"/>
  <c r="G60" i="10"/>
  <c r="Q57" i="10"/>
  <c r="P57" i="10"/>
  <c r="O58" i="10"/>
  <c r="S55" i="7"/>
  <c r="L56" i="7"/>
  <c r="M56" i="7"/>
  <c r="N56" i="7"/>
  <c r="Q56" i="7"/>
  <c r="P56" i="7"/>
  <c r="R56" i="7" s="1"/>
  <c r="J57" i="7"/>
  <c r="K57" i="7" s="1"/>
  <c r="O57" i="7"/>
  <c r="H59" i="9"/>
  <c r="I59" i="9" s="1"/>
  <c r="J59" i="9" s="1"/>
  <c r="G60" i="9"/>
  <c r="M58" i="9"/>
  <c r="K58" i="9"/>
  <c r="N58" i="9"/>
  <c r="L58" i="9"/>
  <c r="H58" i="7"/>
  <c r="I58" i="7" s="1"/>
  <c r="G59" i="7"/>
  <c r="H58" i="6"/>
  <c r="I58" i="6" s="1"/>
  <c r="J58" i="6" s="1"/>
  <c r="G59" i="6"/>
  <c r="L57" i="6"/>
  <c r="N57" i="6"/>
  <c r="M57" i="6"/>
  <c r="K57" i="6"/>
  <c r="S59" i="12" l="1"/>
  <c r="G63" i="12"/>
  <c r="H62" i="12"/>
  <c r="I62" i="12" s="1"/>
  <c r="R59" i="12"/>
  <c r="O61" i="12"/>
  <c r="J61" i="12"/>
  <c r="Q60" i="12"/>
  <c r="P60" i="12"/>
  <c r="N60" i="12"/>
  <c r="M60" i="12"/>
  <c r="L60" i="12"/>
  <c r="K60" i="12"/>
  <c r="O60" i="11"/>
  <c r="J60" i="11"/>
  <c r="R57" i="10"/>
  <c r="H61" i="11"/>
  <c r="I61" i="11" s="1"/>
  <c r="G62" i="11"/>
  <c r="S57" i="10"/>
  <c r="R58" i="11"/>
  <c r="Q59" i="11"/>
  <c r="P59" i="11"/>
  <c r="S58" i="11"/>
  <c r="M59" i="11"/>
  <c r="L59" i="11"/>
  <c r="N59" i="11"/>
  <c r="K59" i="11"/>
  <c r="M58" i="10"/>
  <c r="K58" i="10"/>
  <c r="L58" i="10"/>
  <c r="N58" i="10"/>
  <c r="H60" i="10"/>
  <c r="I60" i="10" s="1"/>
  <c r="J60" i="10" s="1"/>
  <c r="G61" i="10"/>
  <c r="Q58" i="10"/>
  <c r="P58" i="10"/>
  <c r="O59" i="10"/>
  <c r="S56" i="7"/>
  <c r="J58" i="7"/>
  <c r="N58" i="7" s="1"/>
  <c r="O58" i="7"/>
  <c r="L57" i="7"/>
  <c r="M57" i="7"/>
  <c r="N57" i="7"/>
  <c r="Q57" i="7"/>
  <c r="P57" i="7"/>
  <c r="R57" i="7" s="1"/>
  <c r="G61" i="9"/>
  <c r="H60" i="9"/>
  <c r="I60" i="9" s="1"/>
  <c r="J60" i="9" s="1"/>
  <c r="M59" i="9"/>
  <c r="N59" i="9"/>
  <c r="L59" i="9"/>
  <c r="K59" i="9"/>
  <c r="H59" i="7"/>
  <c r="I59" i="7" s="1"/>
  <c r="G60" i="7"/>
  <c r="H59" i="6"/>
  <c r="I59" i="6" s="1"/>
  <c r="J59" i="6" s="1"/>
  <c r="G60" i="6"/>
  <c r="L58" i="6"/>
  <c r="N58" i="6"/>
  <c r="M58" i="6"/>
  <c r="K58" i="6"/>
  <c r="Q61" i="12" l="1"/>
  <c r="P61" i="12"/>
  <c r="R60" i="12"/>
  <c r="S60" i="12"/>
  <c r="O62" i="12"/>
  <c r="J62" i="12"/>
  <c r="M61" i="12"/>
  <c r="L61" i="12"/>
  <c r="K61" i="12"/>
  <c r="N61" i="12"/>
  <c r="H63" i="12"/>
  <c r="I63" i="12" s="1"/>
  <c r="G64" i="12"/>
  <c r="R58" i="10"/>
  <c r="S59" i="11"/>
  <c r="O61" i="11"/>
  <c r="J61" i="11"/>
  <c r="L60" i="11"/>
  <c r="K60" i="11"/>
  <c r="M60" i="11"/>
  <c r="N60" i="11"/>
  <c r="S58" i="10"/>
  <c r="R59" i="11"/>
  <c r="H62" i="11"/>
  <c r="I62" i="11" s="1"/>
  <c r="G63" i="11"/>
  <c r="P60" i="11"/>
  <c r="Q60" i="11"/>
  <c r="Q59" i="10"/>
  <c r="P59" i="10"/>
  <c r="H61" i="10"/>
  <c r="I61" i="10" s="1"/>
  <c r="J61" i="10" s="1"/>
  <c r="G62" i="10"/>
  <c r="M59" i="10"/>
  <c r="L59" i="10"/>
  <c r="S59" i="10" s="1"/>
  <c r="K59" i="10"/>
  <c r="R59" i="10" s="1"/>
  <c r="N59" i="10"/>
  <c r="O60" i="10"/>
  <c r="M58" i="7"/>
  <c r="K58" i="7"/>
  <c r="L58" i="7"/>
  <c r="S57" i="7"/>
  <c r="J59" i="7"/>
  <c r="N59" i="7" s="1"/>
  <c r="O59" i="7"/>
  <c r="Q58" i="7"/>
  <c r="P58" i="7"/>
  <c r="M60" i="9"/>
  <c r="K60" i="9"/>
  <c r="L60" i="9"/>
  <c r="N60" i="9"/>
  <c r="H61" i="9"/>
  <c r="I61" i="9" s="1"/>
  <c r="J61" i="9" s="1"/>
  <c r="G62" i="9"/>
  <c r="H60" i="7"/>
  <c r="I60" i="7" s="1"/>
  <c r="G61" i="7"/>
  <c r="H60" i="6"/>
  <c r="I60" i="6" s="1"/>
  <c r="J60" i="6" s="1"/>
  <c r="G61" i="6"/>
  <c r="L59" i="6"/>
  <c r="N59" i="6"/>
  <c r="M59" i="6"/>
  <c r="K59" i="6"/>
  <c r="R61" i="12" l="1"/>
  <c r="S61" i="12"/>
  <c r="G65" i="12"/>
  <c r="H64" i="12"/>
  <c r="I64" i="12" s="1"/>
  <c r="O63" i="12"/>
  <c r="J63" i="12"/>
  <c r="L62" i="12"/>
  <c r="K62" i="12"/>
  <c r="N62" i="12"/>
  <c r="M62" i="12"/>
  <c r="R60" i="11"/>
  <c r="P62" i="12"/>
  <c r="R62" i="12" s="1"/>
  <c r="Q62" i="12"/>
  <c r="G64" i="11"/>
  <c r="H63" i="11"/>
  <c r="I63" i="11" s="1"/>
  <c r="K61" i="11"/>
  <c r="N61" i="11"/>
  <c r="M61" i="11"/>
  <c r="L61" i="11"/>
  <c r="J62" i="11"/>
  <c r="O62" i="11"/>
  <c r="P61" i="11"/>
  <c r="Q61" i="11"/>
  <c r="S61" i="11" s="1"/>
  <c r="S60" i="11"/>
  <c r="H62" i="10"/>
  <c r="I62" i="10" s="1"/>
  <c r="J62" i="10" s="1"/>
  <c r="G63" i="10"/>
  <c r="O61" i="10"/>
  <c r="Q60" i="10"/>
  <c r="P60" i="10"/>
  <c r="K60" i="10"/>
  <c r="N60" i="10"/>
  <c r="M60" i="10"/>
  <c r="L60" i="10"/>
  <c r="R58" i="7"/>
  <c r="S58" i="7"/>
  <c r="Q59" i="7"/>
  <c r="P59" i="7"/>
  <c r="L59" i="7"/>
  <c r="M59" i="7"/>
  <c r="K59" i="7"/>
  <c r="J60" i="7"/>
  <c r="L60" i="7" s="1"/>
  <c r="O60" i="7"/>
  <c r="G63" i="9"/>
  <c r="H62" i="9"/>
  <c r="I62" i="9" s="1"/>
  <c r="J62" i="9" s="1"/>
  <c r="M61" i="9"/>
  <c r="N61" i="9"/>
  <c r="L61" i="9"/>
  <c r="K61" i="9"/>
  <c r="H61" i="7"/>
  <c r="I61" i="7" s="1"/>
  <c r="G62" i="7"/>
  <c r="H61" i="6"/>
  <c r="I61" i="6" s="1"/>
  <c r="J61" i="6" s="1"/>
  <c r="G62" i="6"/>
  <c r="L60" i="6"/>
  <c r="N60" i="6"/>
  <c r="M60" i="6"/>
  <c r="K60" i="6"/>
  <c r="K63" i="12" l="1"/>
  <c r="N63" i="12"/>
  <c r="M63" i="12"/>
  <c r="L63" i="12"/>
  <c r="S60" i="10"/>
  <c r="S62" i="12"/>
  <c r="Q63" i="12"/>
  <c r="P63" i="12"/>
  <c r="J64" i="12"/>
  <c r="O64" i="12"/>
  <c r="G66" i="12"/>
  <c r="H65" i="12"/>
  <c r="I65" i="12" s="1"/>
  <c r="Q62" i="11"/>
  <c r="P62" i="11"/>
  <c r="N62" i="11"/>
  <c r="M62" i="11"/>
  <c r="K62" i="11"/>
  <c r="L62" i="11"/>
  <c r="J63" i="11"/>
  <c r="O63" i="11"/>
  <c r="S59" i="7"/>
  <c r="R60" i="10"/>
  <c r="R61" i="11"/>
  <c r="G65" i="11"/>
  <c r="H64" i="11"/>
  <c r="I64" i="11" s="1"/>
  <c r="P61" i="10"/>
  <c r="Q61" i="10"/>
  <c r="N61" i="10"/>
  <c r="L61" i="10"/>
  <c r="M61" i="10"/>
  <c r="K61" i="10"/>
  <c r="H63" i="10"/>
  <c r="I63" i="10" s="1"/>
  <c r="J63" i="10" s="1"/>
  <c r="G64" i="10"/>
  <c r="O62" i="10"/>
  <c r="R59" i="7"/>
  <c r="Q60" i="7"/>
  <c r="S60" i="7" s="1"/>
  <c r="P60" i="7"/>
  <c r="M60" i="7"/>
  <c r="K60" i="7"/>
  <c r="N60" i="7"/>
  <c r="J61" i="7"/>
  <c r="M61" i="7" s="1"/>
  <c r="O61" i="7"/>
  <c r="M62" i="9"/>
  <c r="K62" i="9"/>
  <c r="N62" i="9"/>
  <c r="L62" i="9"/>
  <c r="H63" i="9"/>
  <c r="I63" i="9" s="1"/>
  <c r="J63" i="9" s="1"/>
  <c r="G64" i="9"/>
  <c r="H62" i="7"/>
  <c r="I62" i="7" s="1"/>
  <c r="G63" i="7"/>
  <c r="H62" i="6"/>
  <c r="I62" i="6" s="1"/>
  <c r="J62" i="6" s="1"/>
  <c r="G63" i="6"/>
  <c r="L61" i="6"/>
  <c r="N61" i="6"/>
  <c r="M61" i="6"/>
  <c r="K61" i="6"/>
  <c r="S63" i="12" l="1"/>
  <c r="O65" i="12"/>
  <c r="J65" i="12"/>
  <c r="R63" i="12"/>
  <c r="R61" i="10"/>
  <c r="G67" i="12"/>
  <c r="H66" i="12"/>
  <c r="I66" i="12" s="1"/>
  <c r="R62" i="11"/>
  <c r="Q64" i="12"/>
  <c r="P64" i="12"/>
  <c r="N64" i="12"/>
  <c r="M64" i="12"/>
  <c r="L64" i="12"/>
  <c r="K64" i="12"/>
  <c r="G66" i="11"/>
  <c r="H65" i="11"/>
  <c r="I65" i="11" s="1"/>
  <c r="Q63" i="11"/>
  <c r="P63" i="11"/>
  <c r="M63" i="11"/>
  <c r="L63" i="11"/>
  <c r="N63" i="11"/>
  <c r="K63" i="11"/>
  <c r="S61" i="10"/>
  <c r="O64" i="11"/>
  <c r="J64" i="11"/>
  <c r="S62" i="11"/>
  <c r="G65" i="10"/>
  <c r="H64" i="10"/>
  <c r="I64" i="10" s="1"/>
  <c r="J64" i="10" s="1"/>
  <c r="O63" i="10"/>
  <c r="Q62" i="10"/>
  <c r="P62" i="10"/>
  <c r="N62" i="10"/>
  <c r="M62" i="10"/>
  <c r="L62" i="10"/>
  <c r="S62" i="10" s="1"/>
  <c r="K62" i="10"/>
  <c r="R62" i="10" s="1"/>
  <c r="R60" i="7"/>
  <c r="Q61" i="7"/>
  <c r="P61" i="7"/>
  <c r="N61" i="7"/>
  <c r="K61" i="7"/>
  <c r="J62" i="7"/>
  <c r="K62" i="7" s="1"/>
  <c r="O62" i="7"/>
  <c r="L61" i="7"/>
  <c r="G65" i="9"/>
  <c r="H64" i="9"/>
  <c r="I64" i="9" s="1"/>
  <c r="J64" i="9" s="1"/>
  <c r="M63" i="9"/>
  <c r="N63" i="9"/>
  <c r="L63" i="9"/>
  <c r="K63" i="9"/>
  <c r="H63" i="7"/>
  <c r="I63" i="7" s="1"/>
  <c r="G64" i="7"/>
  <c r="H63" i="6"/>
  <c r="I63" i="6" s="1"/>
  <c r="J63" i="6" s="1"/>
  <c r="G64" i="6"/>
  <c r="L62" i="6"/>
  <c r="N62" i="6"/>
  <c r="M62" i="6"/>
  <c r="K62" i="6"/>
  <c r="S64" i="12" l="1"/>
  <c r="O66" i="12"/>
  <c r="J66" i="12"/>
  <c r="M65" i="12"/>
  <c r="L65" i="12"/>
  <c r="K65" i="12"/>
  <c r="N65" i="12"/>
  <c r="R64" i="12"/>
  <c r="H67" i="12"/>
  <c r="I67" i="12" s="1"/>
  <c r="G68" i="12"/>
  <c r="Q65" i="12"/>
  <c r="P65" i="12"/>
  <c r="R63" i="11"/>
  <c r="L64" i="11"/>
  <c r="K64" i="11"/>
  <c r="N64" i="11"/>
  <c r="M64" i="11"/>
  <c r="S63" i="11"/>
  <c r="P64" i="11"/>
  <c r="R64" i="11" s="1"/>
  <c r="Q64" i="11"/>
  <c r="O65" i="11"/>
  <c r="J65" i="11"/>
  <c r="G67" i="11"/>
  <c r="H66" i="11"/>
  <c r="I66" i="11" s="1"/>
  <c r="P63" i="10"/>
  <c r="Q63" i="10"/>
  <c r="O64" i="10"/>
  <c r="M63" i="10"/>
  <c r="K63" i="10"/>
  <c r="R63" i="10" s="1"/>
  <c r="N63" i="10"/>
  <c r="L63" i="10"/>
  <c r="G66" i="10"/>
  <c r="H65" i="10"/>
  <c r="I65" i="10" s="1"/>
  <c r="J65" i="10" s="1"/>
  <c r="R61" i="7"/>
  <c r="S61" i="7"/>
  <c r="N62" i="7"/>
  <c r="J63" i="7"/>
  <c r="M63" i="7" s="1"/>
  <c r="O63" i="7"/>
  <c r="L62" i="7"/>
  <c r="M62" i="7"/>
  <c r="Q62" i="7"/>
  <c r="P62" i="7"/>
  <c r="R62" i="7" s="1"/>
  <c r="M64" i="9"/>
  <c r="N64" i="9"/>
  <c r="K64" i="9"/>
  <c r="L64" i="9"/>
  <c r="G66" i="9"/>
  <c r="H65" i="9"/>
  <c r="I65" i="9" s="1"/>
  <c r="J65" i="9" s="1"/>
  <c r="H64" i="7"/>
  <c r="I64" i="7" s="1"/>
  <c r="G65" i="7"/>
  <c r="H64" i="6"/>
  <c r="I64" i="6" s="1"/>
  <c r="J64" i="6" s="1"/>
  <c r="G65" i="6"/>
  <c r="L63" i="6"/>
  <c r="N63" i="6"/>
  <c r="M63" i="6"/>
  <c r="K63" i="6"/>
  <c r="S64" i="11" l="1"/>
  <c r="R65" i="12"/>
  <c r="S65" i="12"/>
  <c r="L66" i="12"/>
  <c r="K66" i="12"/>
  <c r="N66" i="12"/>
  <c r="M66" i="12"/>
  <c r="G69" i="12"/>
  <c r="H68" i="12"/>
  <c r="I68" i="12" s="1"/>
  <c r="P66" i="12"/>
  <c r="R66" i="12" s="1"/>
  <c r="Q66" i="12"/>
  <c r="O67" i="12"/>
  <c r="J67" i="12"/>
  <c r="J66" i="11"/>
  <c r="O66" i="11"/>
  <c r="S63" i="10"/>
  <c r="G68" i="11"/>
  <c r="H67" i="11"/>
  <c r="I67" i="11" s="1"/>
  <c r="K65" i="11"/>
  <c r="N65" i="11"/>
  <c r="L65" i="11"/>
  <c r="M65" i="11"/>
  <c r="Q65" i="11"/>
  <c r="P65" i="11"/>
  <c r="L64" i="10"/>
  <c r="K64" i="10"/>
  <c r="R64" i="10" s="1"/>
  <c r="M64" i="10"/>
  <c r="N64" i="10"/>
  <c r="P64" i="10"/>
  <c r="Q64" i="10"/>
  <c r="O65" i="10"/>
  <c r="H66" i="10"/>
  <c r="I66" i="10" s="1"/>
  <c r="J66" i="10" s="1"/>
  <c r="G67" i="10"/>
  <c r="L63" i="7"/>
  <c r="K63" i="7"/>
  <c r="N63" i="7"/>
  <c r="J64" i="7"/>
  <c r="M64" i="7" s="1"/>
  <c r="O64" i="7"/>
  <c r="S62" i="7"/>
  <c r="Q63" i="7"/>
  <c r="P63" i="7"/>
  <c r="M65" i="9"/>
  <c r="K65" i="9"/>
  <c r="N65" i="9"/>
  <c r="L65" i="9"/>
  <c r="H66" i="9"/>
  <c r="I66" i="9" s="1"/>
  <c r="J66" i="9" s="1"/>
  <c r="G67" i="9"/>
  <c r="H65" i="7"/>
  <c r="I65" i="7" s="1"/>
  <c r="G66" i="7"/>
  <c r="H65" i="6"/>
  <c r="I65" i="6" s="1"/>
  <c r="J65" i="6" s="1"/>
  <c r="G66" i="6"/>
  <c r="L64" i="6"/>
  <c r="K64" i="6"/>
  <c r="N64" i="6"/>
  <c r="M64" i="6"/>
  <c r="S66" i="12" l="1"/>
  <c r="Q67" i="12"/>
  <c r="P67" i="12"/>
  <c r="G70" i="12"/>
  <c r="H69" i="12"/>
  <c r="I69" i="12" s="1"/>
  <c r="S65" i="11"/>
  <c r="K67" i="12"/>
  <c r="N67" i="12"/>
  <c r="M67" i="12"/>
  <c r="L67" i="12"/>
  <c r="J68" i="12"/>
  <c r="O68" i="12"/>
  <c r="S64" i="10"/>
  <c r="G69" i="11"/>
  <c r="H68" i="11"/>
  <c r="I68" i="11" s="1"/>
  <c r="J67" i="11"/>
  <c r="O67" i="11"/>
  <c r="R65" i="11"/>
  <c r="Q66" i="11"/>
  <c r="P66" i="11"/>
  <c r="N66" i="11"/>
  <c r="M66" i="11"/>
  <c r="L66" i="11"/>
  <c r="K66" i="11"/>
  <c r="Q65" i="10"/>
  <c r="P65" i="10"/>
  <c r="M65" i="10"/>
  <c r="L65" i="10"/>
  <c r="S65" i="10" s="1"/>
  <c r="K65" i="10"/>
  <c r="N65" i="10"/>
  <c r="G68" i="10"/>
  <c r="H67" i="10"/>
  <c r="I67" i="10" s="1"/>
  <c r="J67" i="10" s="1"/>
  <c r="O66" i="10"/>
  <c r="R63" i="7"/>
  <c r="S63" i="7"/>
  <c r="K64" i="7"/>
  <c r="N64" i="7"/>
  <c r="J65" i="7"/>
  <c r="M65" i="7" s="1"/>
  <c r="O65" i="7"/>
  <c r="L64" i="7"/>
  <c r="Q64" i="7"/>
  <c r="P64" i="7"/>
  <c r="M66" i="9"/>
  <c r="N66" i="9"/>
  <c r="K66" i="9"/>
  <c r="L66" i="9"/>
  <c r="G68" i="9"/>
  <c r="H67" i="9"/>
  <c r="I67" i="9" s="1"/>
  <c r="J67" i="9" s="1"/>
  <c r="H66" i="7"/>
  <c r="I66" i="7" s="1"/>
  <c r="G67" i="7"/>
  <c r="L65" i="6"/>
  <c r="K65" i="6"/>
  <c r="N65" i="6"/>
  <c r="M65" i="6"/>
  <c r="H66" i="6"/>
  <c r="I66" i="6" s="1"/>
  <c r="J66" i="6" s="1"/>
  <c r="G67" i="6"/>
  <c r="R65" i="10" l="1"/>
  <c r="O69" i="12"/>
  <c r="J69" i="12"/>
  <c r="Q68" i="12"/>
  <c r="P68" i="12"/>
  <c r="G71" i="12"/>
  <c r="H70" i="12"/>
  <c r="I70" i="12" s="1"/>
  <c r="N68" i="12"/>
  <c r="M68" i="12"/>
  <c r="L68" i="12"/>
  <c r="K68" i="12"/>
  <c r="R67" i="12"/>
  <c r="S67" i="12"/>
  <c r="R66" i="11"/>
  <c r="M67" i="11"/>
  <c r="L67" i="11"/>
  <c r="N67" i="11"/>
  <c r="K67" i="11"/>
  <c r="S66" i="11"/>
  <c r="O68" i="11"/>
  <c r="J68" i="11"/>
  <c r="H69" i="11"/>
  <c r="I69" i="11" s="1"/>
  <c r="G70" i="11"/>
  <c r="Q67" i="11"/>
  <c r="S67" i="11" s="1"/>
  <c r="P67" i="11"/>
  <c r="R67" i="11" s="1"/>
  <c r="O67" i="10"/>
  <c r="G69" i="10"/>
  <c r="H68" i="10"/>
  <c r="I68" i="10" s="1"/>
  <c r="J68" i="10" s="1"/>
  <c r="N66" i="10"/>
  <c r="K66" i="10"/>
  <c r="M66" i="10"/>
  <c r="L66" i="10"/>
  <c r="P66" i="10"/>
  <c r="Q66" i="10"/>
  <c r="R64" i="7"/>
  <c r="N65" i="7"/>
  <c r="K65" i="7"/>
  <c r="J66" i="7"/>
  <c r="M66" i="7" s="1"/>
  <c r="O66" i="7"/>
  <c r="L65" i="7"/>
  <c r="S64" i="7"/>
  <c r="Q65" i="7"/>
  <c r="P65" i="7"/>
  <c r="M67" i="9"/>
  <c r="K67" i="9"/>
  <c r="N67" i="9"/>
  <c r="L67" i="9"/>
  <c r="H68" i="9"/>
  <c r="I68" i="9" s="1"/>
  <c r="J68" i="9" s="1"/>
  <c r="G69" i="9"/>
  <c r="H67" i="7"/>
  <c r="I67" i="7" s="1"/>
  <c r="G68" i="7"/>
  <c r="H67" i="6"/>
  <c r="I67" i="6" s="1"/>
  <c r="J67" i="6" s="1"/>
  <c r="G68" i="6"/>
  <c r="L66" i="6"/>
  <c r="K66" i="6"/>
  <c r="N66" i="6"/>
  <c r="M66" i="6"/>
  <c r="S68" i="12" l="1"/>
  <c r="O70" i="12"/>
  <c r="J70" i="12"/>
  <c r="M69" i="12"/>
  <c r="L69" i="12"/>
  <c r="K69" i="12"/>
  <c r="N69" i="12"/>
  <c r="G72" i="12"/>
  <c r="H71" i="12"/>
  <c r="I71" i="12" s="1"/>
  <c r="Q69" i="12"/>
  <c r="S69" i="12" s="1"/>
  <c r="P69" i="12"/>
  <c r="R69" i="12" s="1"/>
  <c r="R68" i="12"/>
  <c r="L68" i="11"/>
  <c r="K68" i="11"/>
  <c r="M68" i="11"/>
  <c r="N68" i="11"/>
  <c r="P68" i="11"/>
  <c r="R68" i="11" s="1"/>
  <c r="Q68" i="11"/>
  <c r="S66" i="10"/>
  <c r="H70" i="11"/>
  <c r="I70" i="11" s="1"/>
  <c r="G71" i="11"/>
  <c r="R66" i="10"/>
  <c r="O69" i="11"/>
  <c r="J69" i="11"/>
  <c r="O68" i="10"/>
  <c r="G70" i="10"/>
  <c r="H69" i="10"/>
  <c r="I69" i="10" s="1"/>
  <c r="J69" i="10" s="1"/>
  <c r="P67" i="10"/>
  <c r="Q67" i="10"/>
  <c r="M67" i="10"/>
  <c r="K67" i="10"/>
  <c r="N67" i="10"/>
  <c r="L67" i="10"/>
  <c r="S67" i="10" s="1"/>
  <c r="R65" i="7"/>
  <c r="K66" i="7"/>
  <c r="N66" i="7"/>
  <c r="L66" i="7"/>
  <c r="S65" i="7"/>
  <c r="Q66" i="7"/>
  <c r="P66" i="7"/>
  <c r="J67" i="7"/>
  <c r="K67" i="7" s="1"/>
  <c r="O67" i="7"/>
  <c r="M68" i="9"/>
  <c r="N68" i="9"/>
  <c r="L68" i="9"/>
  <c r="K68" i="9"/>
  <c r="G70" i="9"/>
  <c r="H69" i="9"/>
  <c r="I69" i="9" s="1"/>
  <c r="J69" i="9" s="1"/>
  <c r="H68" i="7"/>
  <c r="I68" i="7" s="1"/>
  <c r="G69" i="7"/>
  <c r="L67" i="6"/>
  <c r="K67" i="6"/>
  <c r="N67" i="6"/>
  <c r="M67" i="6"/>
  <c r="H68" i="6"/>
  <c r="I68" i="6" s="1"/>
  <c r="J68" i="6" s="1"/>
  <c r="G69" i="6"/>
  <c r="G73" i="12" l="1"/>
  <c r="H72" i="12"/>
  <c r="I72" i="12" s="1"/>
  <c r="L70" i="12"/>
  <c r="K70" i="12"/>
  <c r="N70" i="12"/>
  <c r="M70" i="12"/>
  <c r="P70" i="12"/>
  <c r="Q70" i="12"/>
  <c r="O71" i="12"/>
  <c r="J71" i="12"/>
  <c r="K69" i="11"/>
  <c r="N69" i="11"/>
  <c r="M69" i="11"/>
  <c r="L69" i="11"/>
  <c r="J70" i="11"/>
  <c r="O70" i="11"/>
  <c r="P69" i="11"/>
  <c r="R69" i="11" s="1"/>
  <c r="Q69" i="11"/>
  <c r="S69" i="11" s="1"/>
  <c r="R67" i="10"/>
  <c r="S68" i="11"/>
  <c r="G72" i="11"/>
  <c r="H71" i="11"/>
  <c r="I71" i="11" s="1"/>
  <c r="O69" i="10"/>
  <c r="G71" i="10"/>
  <c r="H70" i="10"/>
  <c r="I70" i="10" s="1"/>
  <c r="J70" i="10" s="1"/>
  <c r="N68" i="10"/>
  <c r="M68" i="10"/>
  <c r="K68" i="10"/>
  <c r="L68" i="10"/>
  <c r="P68" i="10"/>
  <c r="Q68" i="10"/>
  <c r="R66" i="7"/>
  <c r="J68" i="7"/>
  <c r="L68" i="7" s="1"/>
  <c r="O68" i="7"/>
  <c r="M67" i="7"/>
  <c r="N67" i="7"/>
  <c r="L67" i="7"/>
  <c r="Q67" i="7"/>
  <c r="P67" i="7"/>
  <c r="R67" i="7" s="1"/>
  <c r="S66" i="7"/>
  <c r="M69" i="9"/>
  <c r="K69" i="9"/>
  <c r="N69" i="9"/>
  <c r="L69" i="9"/>
  <c r="H70" i="9"/>
  <c r="I70" i="9" s="1"/>
  <c r="J70" i="9" s="1"/>
  <c r="G71" i="9"/>
  <c r="H69" i="7"/>
  <c r="I69" i="7" s="1"/>
  <c r="G70" i="7"/>
  <c r="H69" i="6"/>
  <c r="I69" i="6" s="1"/>
  <c r="J69" i="6" s="1"/>
  <c r="G70" i="6"/>
  <c r="L68" i="6"/>
  <c r="K68" i="6"/>
  <c r="N68" i="6"/>
  <c r="M68" i="6"/>
  <c r="S70" i="12" l="1"/>
  <c r="R70" i="12"/>
  <c r="K71" i="12"/>
  <c r="N71" i="12"/>
  <c r="M71" i="12"/>
  <c r="L71" i="12"/>
  <c r="J72" i="12"/>
  <c r="O72" i="12"/>
  <c r="Q71" i="12"/>
  <c r="P71" i="12"/>
  <c r="G74" i="12"/>
  <c r="H73" i="12"/>
  <c r="I73" i="12" s="1"/>
  <c r="J71" i="11"/>
  <c r="O71" i="11"/>
  <c r="G73" i="11"/>
  <c r="H72" i="11"/>
  <c r="I72" i="11" s="1"/>
  <c r="S68" i="10"/>
  <c r="R68" i="10"/>
  <c r="Q70" i="11"/>
  <c r="P70" i="11"/>
  <c r="N70" i="11"/>
  <c r="M70" i="11"/>
  <c r="K70" i="11"/>
  <c r="L70" i="11"/>
  <c r="O70" i="10"/>
  <c r="H71" i="10"/>
  <c r="I71" i="10" s="1"/>
  <c r="J71" i="10" s="1"/>
  <c r="G72" i="10"/>
  <c r="P69" i="10"/>
  <c r="Q69" i="10"/>
  <c r="K69" i="10"/>
  <c r="R69" i="10" s="1"/>
  <c r="N69" i="10"/>
  <c r="L69" i="10"/>
  <c r="M69" i="10"/>
  <c r="S67" i="7"/>
  <c r="M68" i="7"/>
  <c r="N68" i="7"/>
  <c r="K68" i="7"/>
  <c r="J69" i="7"/>
  <c r="M69" i="7" s="1"/>
  <c r="O69" i="7"/>
  <c r="Q68" i="7"/>
  <c r="S68" i="7" s="1"/>
  <c r="P68" i="7"/>
  <c r="M70" i="9"/>
  <c r="N70" i="9"/>
  <c r="L70" i="9"/>
  <c r="K70" i="9"/>
  <c r="G72" i="9"/>
  <c r="H71" i="9"/>
  <c r="I71" i="9" s="1"/>
  <c r="J71" i="9" s="1"/>
  <c r="H70" i="7"/>
  <c r="I70" i="7" s="1"/>
  <c r="G71" i="7"/>
  <c r="H70" i="6"/>
  <c r="I70" i="6" s="1"/>
  <c r="J70" i="6" s="1"/>
  <c r="G71" i="6"/>
  <c r="L69" i="6"/>
  <c r="K69" i="6"/>
  <c r="N69" i="6"/>
  <c r="M69" i="6"/>
  <c r="R71" i="12" l="1"/>
  <c r="S71" i="12"/>
  <c r="R70" i="11"/>
  <c r="O73" i="12"/>
  <c r="J73" i="12"/>
  <c r="Q72" i="12"/>
  <c r="P72" i="12"/>
  <c r="G75" i="12"/>
  <c r="H74" i="12"/>
  <c r="I74" i="12" s="1"/>
  <c r="N72" i="12"/>
  <c r="M72" i="12"/>
  <c r="L72" i="12"/>
  <c r="K72" i="12"/>
  <c r="S69" i="10"/>
  <c r="O72" i="11"/>
  <c r="J72" i="11"/>
  <c r="S70" i="11"/>
  <c r="G74" i="11"/>
  <c r="H73" i="11"/>
  <c r="I73" i="11" s="1"/>
  <c r="Q71" i="11"/>
  <c r="P71" i="11"/>
  <c r="M71" i="11"/>
  <c r="L71" i="11"/>
  <c r="N71" i="11"/>
  <c r="K71" i="11"/>
  <c r="H72" i="10"/>
  <c r="I72" i="10" s="1"/>
  <c r="J72" i="10" s="1"/>
  <c r="G73" i="10"/>
  <c r="O71" i="10"/>
  <c r="N70" i="10"/>
  <c r="M70" i="10"/>
  <c r="K70" i="10"/>
  <c r="L70" i="10"/>
  <c r="S70" i="10" s="1"/>
  <c r="Q70" i="10"/>
  <c r="P70" i="10"/>
  <c r="R68" i="7"/>
  <c r="K69" i="7"/>
  <c r="J70" i="7"/>
  <c r="M70" i="7" s="1"/>
  <c r="O70" i="7"/>
  <c r="L69" i="7"/>
  <c r="N69" i="7"/>
  <c r="Q69" i="7"/>
  <c r="P69" i="7"/>
  <c r="M71" i="9"/>
  <c r="K71" i="9"/>
  <c r="N71" i="9"/>
  <c r="L71" i="9"/>
  <c r="H72" i="9"/>
  <c r="I72" i="9" s="1"/>
  <c r="J72" i="9" s="1"/>
  <c r="G73" i="9"/>
  <c r="H71" i="7"/>
  <c r="I71" i="7" s="1"/>
  <c r="G72" i="7"/>
  <c r="H71" i="6"/>
  <c r="I71" i="6" s="1"/>
  <c r="J71" i="6" s="1"/>
  <c r="G72" i="6"/>
  <c r="L70" i="6"/>
  <c r="K70" i="6"/>
  <c r="N70" i="6"/>
  <c r="M70" i="6"/>
  <c r="S72" i="12" l="1"/>
  <c r="O74" i="12"/>
  <c r="J74" i="12"/>
  <c r="M73" i="12"/>
  <c r="L73" i="12"/>
  <c r="K73" i="12"/>
  <c r="N73" i="12"/>
  <c r="S71" i="11"/>
  <c r="H75" i="12"/>
  <c r="I75" i="12" s="1"/>
  <c r="G76" i="12"/>
  <c r="Q73" i="12"/>
  <c r="S73" i="12" s="1"/>
  <c r="P73" i="12"/>
  <c r="R73" i="12" s="1"/>
  <c r="R72" i="12"/>
  <c r="R71" i="11"/>
  <c r="L72" i="11"/>
  <c r="K72" i="11"/>
  <c r="N72" i="11"/>
  <c r="M72" i="11"/>
  <c r="R70" i="10"/>
  <c r="O73" i="11"/>
  <c r="J73" i="11"/>
  <c r="P72" i="11"/>
  <c r="Q72" i="11"/>
  <c r="S72" i="11" s="1"/>
  <c r="G75" i="11"/>
  <c r="H74" i="11"/>
  <c r="I74" i="11" s="1"/>
  <c r="Q71" i="10"/>
  <c r="P71" i="10"/>
  <c r="M71" i="10"/>
  <c r="L71" i="10"/>
  <c r="S71" i="10" s="1"/>
  <c r="K71" i="10"/>
  <c r="N71" i="10"/>
  <c r="H73" i="10"/>
  <c r="I73" i="10" s="1"/>
  <c r="J73" i="10" s="1"/>
  <c r="G74" i="10"/>
  <c r="O72" i="10"/>
  <c r="R69" i="7"/>
  <c r="N70" i="7"/>
  <c r="K70" i="7"/>
  <c r="L70" i="7"/>
  <c r="S69" i="7"/>
  <c r="Q70" i="7"/>
  <c r="P70" i="7"/>
  <c r="J71" i="7"/>
  <c r="K71" i="7" s="1"/>
  <c r="O71" i="7"/>
  <c r="G74" i="9"/>
  <c r="H73" i="9"/>
  <c r="I73" i="9" s="1"/>
  <c r="J73" i="9" s="1"/>
  <c r="M72" i="9"/>
  <c r="N72" i="9"/>
  <c r="L72" i="9"/>
  <c r="K72" i="9"/>
  <c r="H72" i="7"/>
  <c r="I72" i="7" s="1"/>
  <c r="G73" i="7"/>
  <c r="G73" i="6"/>
  <c r="H72" i="6"/>
  <c r="I72" i="6" s="1"/>
  <c r="J72" i="6" s="1"/>
  <c r="M71" i="6"/>
  <c r="L71" i="6"/>
  <c r="K71" i="6"/>
  <c r="N71" i="6"/>
  <c r="L74" i="12" l="1"/>
  <c r="K74" i="12"/>
  <c r="N74" i="12"/>
  <c r="M74" i="12"/>
  <c r="G77" i="12"/>
  <c r="H76" i="12"/>
  <c r="I76" i="12" s="1"/>
  <c r="P74" i="12"/>
  <c r="R74" i="12" s="1"/>
  <c r="Q74" i="12"/>
  <c r="S74" i="12" s="1"/>
  <c r="O75" i="12"/>
  <c r="J75" i="12"/>
  <c r="J74" i="11"/>
  <c r="O74" i="11"/>
  <c r="K73" i="11"/>
  <c r="N73" i="11"/>
  <c r="L73" i="11"/>
  <c r="M73" i="11"/>
  <c r="G76" i="11"/>
  <c r="H75" i="11"/>
  <c r="I75" i="11" s="1"/>
  <c r="Q73" i="11"/>
  <c r="S73" i="11" s="1"/>
  <c r="P73" i="11"/>
  <c r="R73" i="11" s="1"/>
  <c r="R71" i="10"/>
  <c r="R72" i="11"/>
  <c r="O73" i="10"/>
  <c r="G75" i="10"/>
  <c r="H74" i="10"/>
  <c r="I74" i="10" s="1"/>
  <c r="J74" i="10" s="1"/>
  <c r="Q72" i="10"/>
  <c r="P72" i="10"/>
  <c r="L72" i="10"/>
  <c r="K72" i="10"/>
  <c r="M72" i="10"/>
  <c r="N72" i="10"/>
  <c r="R70" i="7"/>
  <c r="J72" i="7"/>
  <c r="L72" i="7" s="1"/>
  <c r="O72" i="7"/>
  <c r="M71" i="7"/>
  <c r="N71" i="7"/>
  <c r="L71" i="7"/>
  <c r="Q71" i="7"/>
  <c r="P71" i="7"/>
  <c r="R71" i="7" s="1"/>
  <c r="S70" i="7"/>
  <c r="M73" i="9"/>
  <c r="K73" i="9"/>
  <c r="L73" i="9"/>
  <c r="N73" i="9"/>
  <c r="H74" i="9"/>
  <c r="I74" i="9" s="1"/>
  <c r="J74" i="9" s="1"/>
  <c r="G75" i="9"/>
  <c r="H73" i="7"/>
  <c r="I73" i="7" s="1"/>
  <c r="G74" i="7"/>
  <c r="M72" i="6"/>
  <c r="N72" i="6"/>
  <c r="L72" i="6"/>
  <c r="K72" i="6"/>
  <c r="G74" i="6"/>
  <c r="H73" i="6"/>
  <c r="I73" i="6" s="1"/>
  <c r="J73" i="6" s="1"/>
  <c r="S72" i="10" l="1"/>
  <c r="K75" i="12"/>
  <c r="N75" i="12"/>
  <c r="M75" i="12"/>
  <c r="L75" i="12"/>
  <c r="J76" i="12"/>
  <c r="O76" i="12"/>
  <c r="Q75" i="12"/>
  <c r="P75" i="12"/>
  <c r="G78" i="12"/>
  <c r="H77" i="12"/>
  <c r="I77" i="12" s="1"/>
  <c r="J75" i="11"/>
  <c r="O75" i="11"/>
  <c r="G77" i="11"/>
  <c r="H76" i="11"/>
  <c r="I76" i="11" s="1"/>
  <c r="R72" i="10"/>
  <c r="Q74" i="11"/>
  <c r="P74" i="11"/>
  <c r="N74" i="11"/>
  <c r="M74" i="11"/>
  <c r="L74" i="11"/>
  <c r="K74" i="11"/>
  <c r="O74" i="10"/>
  <c r="G76" i="10"/>
  <c r="H75" i="10"/>
  <c r="I75" i="10" s="1"/>
  <c r="J75" i="10" s="1"/>
  <c r="K73" i="10"/>
  <c r="L73" i="10"/>
  <c r="S73" i="10" s="1"/>
  <c r="N73" i="10"/>
  <c r="M73" i="10"/>
  <c r="Q73" i="10"/>
  <c r="P73" i="10"/>
  <c r="S71" i="7"/>
  <c r="M72" i="7"/>
  <c r="N72" i="7"/>
  <c r="K72" i="7"/>
  <c r="J73" i="7"/>
  <c r="K73" i="7" s="1"/>
  <c r="O73" i="7"/>
  <c r="Q72" i="7"/>
  <c r="S72" i="7" s="1"/>
  <c r="P72" i="7"/>
  <c r="G76" i="9"/>
  <c r="H75" i="9"/>
  <c r="I75" i="9" s="1"/>
  <c r="J75" i="9" s="1"/>
  <c r="M74" i="9"/>
  <c r="N74" i="9"/>
  <c r="L74" i="9"/>
  <c r="K74" i="9"/>
  <c r="H74" i="7"/>
  <c r="I74" i="7" s="1"/>
  <c r="G75" i="7"/>
  <c r="M73" i="6"/>
  <c r="L73" i="6"/>
  <c r="K73" i="6"/>
  <c r="N73" i="6"/>
  <c r="G75" i="6"/>
  <c r="H74" i="6"/>
  <c r="I74" i="6" s="1"/>
  <c r="J74" i="6" s="1"/>
  <c r="R75" i="12" l="1"/>
  <c r="S75" i="12"/>
  <c r="O77" i="12"/>
  <c r="J77" i="12"/>
  <c r="Q76" i="12"/>
  <c r="P76" i="12"/>
  <c r="G79" i="12"/>
  <c r="H78" i="12"/>
  <c r="I78" i="12" s="1"/>
  <c r="N76" i="12"/>
  <c r="M76" i="12"/>
  <c r="L76" i="12"/>
  <c r="K76" i="12"/>
  <c r="O76" i="11"/>
  <c r="J76" i="11"/>
  <c r="R73" i="10"/>
  <c r="R74" i="11"/>
  <c r="H77" i="11"/>
  <c r="I77" i="11" s="1"/>
  <c r="G78" i="11"/>
  <c r="S74" i="11"/>
  <c r="Q75" i="11"/>
  <c r="P75" i="11"/>
  <c r="M75" i="11"/>
  <c r="L75" i="11"/>
  <c r="N75" i="11"/>
  <c r="K75" i="11"/>
  <c r="O75" i="10"/>
  <c r="G77" i="10"/>
  <c r="H76" i="10"/>
  <c r="I76" i="10" s="1"/>
  <c r="J76" i="10" s="1"/>
  <c r="L74" i="10"/>
  <c r="K74" i="10"/>
  <c r="M74" i="10"/>
  <c r="N74" i="10"/>
  <c r="P74" i="10"/>
  <c r="Q74" i="10"/>
  <c r="R72" i="7"/>
  <c r="Q73" i="7"/>
  <c r="P73" i="7"/>
  <c r="R73" i="7" s="1"/>
  <c r="N73" i="7"/>
  <c r="J74" i="7"/>
  <c r="L74" i="7" s="1"/>
  <c r="O74" i="7"/>
  <c r="L73" i="7"/>
  <c r="M73" i="7"/>
  <c r="M75" i="9"/>
  <c r="K75" i="9"/>
  <c r="N75" i="9"/>
  <c r="L75" i="9"/>
  <c r="H76" i="9"/>
  <c r="I76" i="9" s="1"/>
  <c r="J76" i="9" s="1"/>
  <c r="G77" i="9"/>
  <c r="H75" i="7"/>
  <c r="I75" i="7" s="1"/>
  <c r="G76" i="7"/>
  <c r="M74" i="6"/>
  <c r="N74" i="6"/>
  <c r="L74" i="6"/>
  <c r="K74" i="6"/>
  <c r="G76" i="6"/>
  <c r="H75" i="6"/>
  <c r="I75" i="6" s="1"/>
  <c r="J75" i="6" s="1"/>
  <c r="S76" i="12" l="1"/>
  <c r="O78" i="12"/>
  <c r="J78" i="12"/>
  <c r="M77" i="12"/>
  <c r="L77" i="12"/>
  <c r="K77" i="12"/>
  <c r="N77" i="12"/>
  <c r="H79" i="12"/>
  <c r="I79" i="12" s="1"/>
  <c r="G80" i="12"/>
  <c r="Q77" i="12"/>
  <c r="S77" i="12" s="1"/>
  <c r="P77" i="12"/>
  <c r="R77" i="12" s="1"/>
  <c r="R74" i="10"/>
  <c r="R76" i="12"/>
  <c r="S75" i="11"/>
  <c r="G79" i="11"/>
  <c r="H78" i="11"/>
  <c r="I78" i="11" s="1"/>
  <c r="L76" i="11"/>
  <c r="K76" i="11"/>
  <c r="M76" i="11"/>
  <c r="N76" i="11"/>
  <c r="S74" i="10"/>
  <c r="R75" i="11"/>
  <c r="O77" i="11"/>
  <c r="J77" i="11"/>
  <c r="P76" i="11"/>
  <c r="Q76" i="11"/>
  <c r="O76" i="10"/>
  <c r="G78" i="10"/>
  <c r="H77" i="10"/>
  <c r="I77" i="10" s="1"/>
  <c r="J77" i="10" s="1"/>
  <c r="M75" i="10"/>
  <c r="L75" i="10"/>
  <c r="K75" i="10"/>
  <c r="R75" i="10" s="1"/>
  <c r="N75" i="10"/>
  <c r="P75" i="10"/>
  <c r="Q75" i="10"/>
  <c r="S73" i="7"/>
  <c r="K74" i="7"/>
  <c r="J75" i="7"/>
  <c r="M75" i="7" s="1"/>
  <c r="O75" i="7"/>
  <c r="M74" i="7"/>
  <c r="N74" i="7"/>
  <c r="Q74" i="7"/>
  <c r="S74" i="7" s="1"/>
  <c r="P74" i="7"/>
  <c r="G78" i="9"/>
  <c r="H77" i="9"/>
  <c r="I77" i="9" s="1"/>
  <c r="J77" i="9" s="1"/>
  <c r="M76" i="9"/>
  <c r="N76" i="9"/>
  <c r="L76" i="9"/>
  <c r="K76" i="9"/>
  <c r="H76" i="7"/>
  <c r="I76" i="7" s="1"/>
  <c r="G77" i="7"/>
  <c r="M75" i="6"/>
  <c r="L75" i="6"/>
  <c r="K75" i="6"/>
  <c r="N75" i="6"/>
  <c r="G77" i="6"/>
  <c r="H76" i="6"/>
  <c r="I76" i="6" s="1"/>
  <c r="J76" i="6" s="1"/>
  <c r="O79" i="12" l="1"/>
  <c r="J79" i="12"/>
  <c r="L78" i="12"/>
  <c r="K78" i="12"/>
  <c r="N78" i="12"/>
  <c r="M78" i="12"/>
  <c r="P78" i="12"/>
  <c r="Q78" i="12"/>
  <c r="R76" i="11"/>
  <c r="G81" i="12"/>
  <c r="H80" i="12"/>
  <c r="I80" i="12" s="1"/>
  <c r="K77" i="11"/>
  <c r="N77" i="11"/>
  <c r="M77" i="11"/>
  <c r="L77" i="11"/>
  <c r="O78" i="11"/>
  <c r="J78" i="11"/>
  <c r="S75" i="10"/>
  <c r="P77" i="11"/>
  <c r="R77" i="11" s="1"/>
  <c r="Q77" i="11"/>
  <c r="S77" i="11" s="1"/>
  <c r="H79" i="11"/>
  <c r="I79" i="11" s="1"/>
  <c r="G80" i="11"/>
  <c r="S76" i="11"/>
  <c r="O77" i="10"/>
  <c r="H78" i="10"/>
  <c r="I78" i="10" s="1"/>
  <c r="J78" i="10" s="1"/>
  <c r="G79" i="10"/>
  <c r="P76" i="10"/>
  <c r="Q76" i="10"/>
  <c r="L76" i="10"/>
  <c r="S76" i="10" s="1"/>
  <c r="K76" i="10"/>
  <c r="M76" i="10"/>
  <c r="N76" i="10"/>
  <c r="R74" i="7"/>
  <c r="K75" i="7"/>
  <c r="J76" i="7"/>
  <c r="L76" i="7" s="1"/>
  <c r="O76" i="7"/>
  <c r="Q75" i="7"/>
  <c r="P75" i="7"/>
  <c r="N75" i="7"/>
  <c r="L75" i="7"/>
  <c r="M77" i="9"/>
  <c r="K77" i="9"/>
  <c r="L77" i="9"/>
  <c r="N77" i="9"/>
  <c r="H78" i="9"/>
  <c r="I78" i="9" s="1"/>
  <c r="J78" i="9" s="1"/>
  <c r="G79" i="9"/>
  <c r="H77" i="7"/>
  <c r="I77" i="7" s="1"/>
  <c r="G78" i="7"/>
  <c r="M76" i="6"/>
  <c r="N76" i="6"/>
  <c r="L76" i="6"/>
  <c r="K76" i="6"/>
  <c r="G78" i="6"/>
  <c r="H77" i="6"/>
  <c r="I77" i="6" s="1"/>
  <c r="J77" i="6" s="1"/>
  <c r="S78" i="12" l="1"/>
  <c r="R78" i="12"/>
  <c r="J80" i="12"/>
  <c r="O80" i="12"/>
  <c r="G82" i="12"/>
  <c r="H81" i="12"/>
  <c r="I81" i="12" s="1"/>
  <c r="K79" i="12"/>
  <c r="N79" i="12"/>
  <c r="M79" i="12"/>
  <c r="L79" i="12"/>
  <c r="Q79" i="12"/>
  <c r="S79" i="12" s="1"/>
  <c r="P79" i="12"/>
  <c r="R76" i="10"/>
  <c r="G81" i="11"/>
  <c r="H80" i="11"/>
  <c r="I80" i="11" s="1"/>
  <c r="J79" i="11"/>
  <c r="O79" i="11"/>
  <c r="N78" i="11"/>
  <c r="M78" i="11"/>
  <c r="K78" i="11"/>
  <c r="L78" i="11"/>
  <c r="Q78" i="11"/>
  <c r="P78" i="11"/>
  <c r="O78" i="10"/>
  <c r="K77" i="10"/>
  <c r="N77" i="10"/>
  <c r="L77" i="10"/>
  <c r="M77" i="10"/>
  <c r="H79" i="10"/>
  <c r="I79" i="10" s="1"/>
  <c r="J79" i="10" s="1"/>
  <c r="G80" i="10"/>
  <c r="Q77" i="10"/>
  <c r="P77" i="10"/>
  <c r="R75" i="7"/>
  <c r="M76" i="7"/>
  <c r="Q76" i="7"/>
  <c r="S76" i="7" s="1"/>
  <c r="P76" i="7"/>
  <c r="K76" i="7"/>
  <c r="S75" i="7"/>
  <c r="N76" i="7"/>
  <c r="J77" i="7"/>
  <c r="M77" i="7" s="1"/>
  <c r="O77" i="7"/>
  <c r="G80" i="9"/>
  <c r="H79" i="9"/>
  <c r="I79" i="9" s="1"/>
  <c r="J79" i="9" s="1"/>
  <c r="M78" i="9"/>
  <c r="N78" i="9"/>
  <c r="L78" i="9"/>
  <c r="K78" i="9"/>
  <c r="H78" i="7"/>
  <c r="I78" i="7" s="1"/>
  <c r="G79" i="7"/>
  <c r="M77" i="6"/>
  <c r="L77" i="6"/>
  <c r="K77" i="6"/>
  <c r="N77" i="6"/>
  <c r="G79" i="6"/>
  <c r="H78" i="6"/>
  <c r="I78" i="6" s="1"/>
  <c r="J78" i="6" s="1"/>
  <c r="O81" i="12" l="1"/>
  <c r="J81" i="12"/>
  <c r="H82" i="12"/>
  <c r="I82" i="12" s="1"/>
  <c r="G83" i="12"/>
  <c r="R79" i="12"/>
  <c r="Q80" i="12"/>
  <c r="P80" i="12"/>
  <c r="N80" i="12"/>
  <c r="M80" i="12"/>
  <c r="L80" i="12"/>
  <c r="K80" i="12"/>
  <c r="N79" i="11"/>
  <c r="L79" i="11"/>
  <c r="K79" i="11"/>
  <c r="M79" i="11"/>
  <c r="S77" i="10"/>
  <c r="R78" i="11"/>
  <c r="O80" i="11"/>
  <c r="J80" i="11"/>
  <c r="S78" i="11"/>
  <c r="G82" i="11"/>
  <c r="H81" i="11"/>
  <c r="I81" i="11" s="1"/>
  <c r="R77" i="10"/>
  <c r="Q79" i="11"/>
  <c r="S79" i="11" s="1"/>
  <c r="P79" i="11"/>
  <c r="O79" i="10"/>
  <c r="N78" i="10"/>
  <c r="M78" i="10"/>
  <c r="L78" i="10"/>
  <c r="K78" i="10"/>
  <c r="R78" i="10" s="1"/>
  <c r="G81" i="10"/>
  <c r="H80" i="10"/>
  <c r="I80" i="10" s="1"/>
  <c r="J80" i="10" s="1"/>
  <c r="P78" i="10"/>
  <c r="Q78" i="10"/>
  <c r="R76" i="7"/>
  <c r="K77" i="7"/>
  <c r="N77" i="7"/>
  <c r="Q77" i="7"/>
  <c r="P77" i="7"/>
  <c r="J78" i="7"/>
  <c r="K78" i="7" s="1"/>
  <c r="O78" i="7"/>
  <c r="L77" i="7"/>
  <c r="M79" i="9"/>
  <c r="K79" i="9"/>
  <c r="N79" i="9"/>
  <c r="L79" i="9"/>
  <c r="H80" i="9"/>
  <c r="I80" i="9" s="1"/>
  <c r="J80" i="9" s="1"/>
  <c r="G81" i="9"/>
  <c r="H79" i="7"/>
  <c r="I79" i="7" s="1"/>
  <c r="G80" i="7"/>
  <c r="M78" i="6"/>
  <c r="N78" i="6"/>
  <c r="L78" i="6"/>
  <c r="K78" i="6"/>
  <c r="G80" i="6"/>
  <c r="H79" i="6"/>
  <c r="I79" i="6" s="1"/>
  <c r="J79" i="6" s="1"/>
  <c r="G84" i="12" l="1"/>
  <c r="H83" i="12"/>
  <c r="I83" i="12" s="1"/>
  <c r="R80" i="12"/>
  <c r="J82" i="12"/>
  <c r="O82" i="12"/>
  <c r="S80" i="12"/>
  <c r="K81" i="12"/>
  <c r="N81" i="12"/>
  <c r="M81" i="12"/>
  <c r="L81" i="12"/>
  <c r="S77" i="7"/>
  <c r="R79" i="11"/>
  <c r="P81" i="12"/>
  <c r="Q81" i="12"/>
  <c r="M80" i="11"/>
  <c r="N80" i="11"/>
  <c r="L80" i="11"/>
  <c r="K80" i="11"/>
  <c r="J81" i="11"/>
  <c r="O81" i="11"/>
  <c r="Q80" i="11"/>
  <c r="S80" i="11" s="1"/>
  <c r="P80" i="11"/>
  <c r="R80" i="11" s="1"/>
  <c r="S78" i="10"/>
  <c r="G83" i="11"/>
  <c r="H82" i="11"/>
  <c r="I82" i="11" s="1"/>
  <c r="O80" i="10"/>
  <c r="G82" i="10"/>
  <c r="H81" i="10"/>
  <c r="I81" i="10" s="1"/>
  <c r="J81" i="10" s="1"/>
  <c r="P79" i="10"/>
  <c r="Q79" i="10"/>
  <c r="K79" i="10"/>
  <c r="R79" i="10" s="1"/>
  <c r="N79" i="10"/>
  <c r="L79" i="10"/>
  <c r="M79" i="10"/>
  <c r="R77" i="7"/>
  <c r="L78" i="7"/>
  <c r="M78" i="7"/>
  <c r="N78" i="7"/>
  <c r="J79" i="7"/>
  <c r="M79" i="7" s="1"/>
  <c r="O79" i="7"/>
  <c r="Q78" i="7"/>
  <c r="P78" i="7"/>
  <c r="R78" i="7" s="1"/>
  <c r="G82" i="9"/>
  <c r="H81" i="9"/>
  <c r="I81" i="9" s="1"/>
  <c r="J81" i="9" s="1"/>
  <c r="M80" i="9"/>
  <c r="N80" i="9"/>
  <c r="L80" i="9"/>
  <c r="K80" i="9"/>
  <c r="H80" i="7"/>
  <c r="I80" i="7" s="1"/>
  <c r="G81" i="7"/>
  <c r="M79" i="6"/>
  <c r="L79" i="6"/>
  <c r="K79" i="6"/>
  <c r="N79" i="6"/>
  <c r="H80" i="6"/>
  <c r="I80" i="6" s="1"/>
  <c r="J80" i="6" s="1"/>
  <c r="G81" i="6"/>
  <c r="S81" i="12" l="1"/>
  <c r="R81" i="12"/>
  <c r="N82" i="12"/>
  <c r="M82" i="12"/>
  <c r="L82" i="12"/>
  <c r="K82" i="12"/>
  <c r="O83" i="12"/>
  <c r="J83" i="12"/>
  <c r="Q82" i="12"/>
  <c r="S82" i="12" s="1"/>
  <c r="P82" i="12"/>
  <c r="R82" i="12" s="1"/>
  <c r="G85" i="12"/>
  <c r="H84" i="12"/>
  <c r="I84" i="12" s="1"/>
  <c r="S79" i="10"/>
  <c r="O82" i="11"/>
  <c r="J82" i="11"/>
  <c r="H83" i="11"/>
  <c r="I83" i="11" s="1"/>
  <c r="G84" i="11"/>
  <c r="P81" i="11"/>
  <c r="Q81" i="11"/>
  <c r="L81" i="11"/>
  <c r="M81" i="11"/>
  <c r="K81" i="11"/>
  <c r="N81" i="11"/>
  <c r="O81" i="10"/>
  <c r="G83" i="10"/>
  <c r="H82" i="10"/>
  <c r="I82" i="10" s="1"/>
  <c r="J82" i="10" s="1"/>
  <c r="N80" i="10"/>
  <c r="M80" i="10"/>
  <c r="L80" i="10"/>
  <c r="K80" i="10"/>
  <c r="R80" i="10" s="1"/>
  <c r="P80" i="10"/>
  <c r="Q80" i="10"/>
  <c r="S78" i="7"/>
  <c r="K79" i="7"/>
  <c r="J80" i="7"/>
  <c r="M80" i="7" s="1"/>
  <c r="O80" i="7"/>
  <c r="L79" i="7"/>
  <c r="N79" i="7"/>
  <c r="Q79" i="7"/>
  <c r="P79" i="7"/>
  <c r="M81" i="9"/>
  <c r="K81" i="9"/>
  <c r="L81" i="9"/>
  <c r="N81" i="9"/>
  <c r="H82" i="9"/>
  <c r="I82" i="9" s="1"/>
  <c r="J82" i="9" s="1"/>
  <c r="G83" i="9"/>
  <c r="H81" i="7"/>
  <c r="I81" i="7" s="1"/>
  <c r="G82" i="7"/>
  <c r="H81" i="6"/>
  <c r="I81" i="6" s="1"/>
  <c r="J81" i="6" s="1"/>
  <c r="G82" i="6"/>
  <c r="M80" i="6"/>
  <c r="L80" i="6"/>
  <c r="K80" i="6"/>
  <c r="N80" i="6"/>
  <c r="O84" i="12" l="1"/>
  <c r="J84" i="12"/>
  <c r="M83" i="12"/>
  <c r="K83" i="12"/>
  <c r="N83" i="12"/>
  <c r="L83" i="12"/>
  <c r="S81" i="11"/>
  <c r="G86" i="12"/>
  <c r="H85" i="12"/>
  <c r="I85" i="12" s="1"/>
  <c r="Q83" i="12"/>
  <c r="S83" i="12" s="1"/>
  <c r="P83" i="12"/>
  <c r="J83" i="11"/>
  <c r="O83" i="11"/>
  <c r="K82" i="11"/>
  <c r="N82" i="11"/>
  <c r="L82" i="11"/>
  <c r="M82" i="11"/>
  <c r="R81" i="11"/>
  <c r="P82" i="11"/>
  <c r="Q82" i="11"/>
  <c r="S82" i="11" s="1"/>
  <c r="S80" i="10"/>
  <c r="G85" i="11"/>
  <c r="H84" i="11"/>
  <c r="I84" i="11" s="1"/>
  <c r="O82" i="10"/>
  <c r="G84" i="10"/>
  <c r="H83" i="10"/>
  <c r="I83" i="10" s="1"/>
  <c r="J83" i="10" s="1"/>
  <c r="K81" i="10"/>
  <c r="N81" i="10"/>
  <c r="L81" i="10"/>
  <c r="M81" i="10"/>
  <c r="P81" i="10"/>
  <c r="Q81" i="10"/>
  <c r="R79" i="7"/>
  <c r="L80" i="7"/>
  <c r="K80" i="7"/>
  <c r="N80" i="7"/>
  <c r="S79" i="7"/>
  <c r="Q80" i="7"/>
  <c r="P80" i="7"/>
  <c r="J81" i="7"/>
  <c r="K81" i="7" s="1"/>
  <c r="O81" i="7"/>
  <c r="G84" i="9"/>
  <c r="H83" i="9"/>
  <c r="I83" i="9" s="1"/>
  <c r="J83" i="9" s="1"/>
  <c r="M82" i="9"/>
  <c r="N82" i="9"/>
  <c r="L82" i="9"/>
  <c r="K82" i="9"/>
  <c r="H82" i="7"/>
  <c r="I82" i="7" s="1"/>
  <c r="G83" i="7"/>
  <c r="H82" i="6"/>
  <c r="I82" i="6" s="1"/>
  <c r="J82" i="6" s="1"/>
  <c r="G83" i="6"/>
  <c r="M81" i="6"/>
  <c r="L81" i="6"/>
  <c r="K81" i="6"/>
  <c r="N81" i="6"/>
  <c r="R83" i="12" l="1"/>
  <c r="G87" i="12"/>
  <c r="H86" i="12"/>
  <c r="I86" i="12" s="1"/>
  <c r="R82" i="11"/>
  <c r="L84" i="12"/>
  <c r="N84" i="12"/>
  <c r="M84" i="12"/>
  <c r="K84" i="12"/>
  <c r="O85" i="12"/>
  <c r="J85" i="12"/>
  <c r="P84" i="12"/>
  <c r="Q84" i="12"/>
  <c r="S84" i="12" s="1"/>
  <c r="R81" i="10"/>
  <c r="O84" i="11"/>
  <c r="J84" i="11"/>
  <c r="G86" i="11"/>
  <c r="H85" i="11"/>
  <c r="I85" i="11" s="1"/>
  <c r="S81" i="10"/>
  <c r="Q83" i="11"/>
  <c r="P83" i="11"/>
  <c r="N83" i="11"/>
  <c r="M83" i="11"/>
  <c r="L83" i="11"/>
  <c r="K83" i="11"/>
  <c r="O83" i="10"/>
  <c r="H84" i="10"/>
  <c r="I84" i="10" s="1"/>
  <c r="J84" i="10" s="1"/>
  <c r="G85" i="10"/>
  <c r="M82" i="10"/>
  <c r="L82" i="10"/>
  <c r="N82" i="10"/>
  <c r="K82" i="10"/>
  <c r="R82" i="10" s="1"/>
  <c r="P82" i="10"/>
  <c r="Q82" i="10"/>
  <c r="S80" i="7"/>
  <c r="R80" i="7"/>
  <c r="N81" i="7"/>
  <c r="J82" i="7"/>
  <c r="M82" i="7" s="1"/>
  <c r="O82" i="7"/>
  <c r="L81" i="7"/>
  <c r="M81" i="7"/>
  <c r="Q81" i="7"/>
  <c r="P81" i="7"/>
  <c r="R81" i="7" s="1"/>
  <c r="M83" i="9"/>
  <c r="K83" i="9"/>
  <c r="N83" i="9"/>
  <c r="L83" i="9"/>
  <c r="H84" i="9"/>
  <c r="I84" i="9" s="1"/>
  <c r="J84" i="9" s="1"/>
  <c r="G85" i="9"/>
  <c r="H83" i="7"/>
  <c r="I83" i="7" s="1"/>
  <c r="G84" i="7"/>
  <c r="H83" i="6"/>
  <c r="I83" i="6" s="1"/>
  <c r="J83" i="6" s="1"/>
  <c r="G84" i="6"/>
  <c r="M82" i="6"/>
  <c r="L82" i="6"/>
  <c r="K82" i="6"/>
  <c r="N82" i="6"/>
  <c r="R84" i="12" l="1"/>
  <c r="Q85" i="12"/>
  <c r="P85" i="12"/>
  <c r="J86" i="12"/>
  <c r="O86" i="12"/>
  <c r="K85" i="12"/>
  <c r="L85" i="12"/>
  <c r="N85" i="12"/>
  <c r="M85" i="12"/>
  <c r="G88" i="12"/>
  <c r="H87" i="12"/>
  <c r="I87" i="12" s="1"/>
  <c r="R83" i="11"/>
  <c r="G87" i="11"/>
  <c r="H86" i="11"/>
  <c r="I86" i="11" s="1"/>
  <c r="S83" i="11"/>
  <c r="M84" i="11"/>
  <c r="K84" i="11"/>
  <c r="N84" i="11"/>
  <c r="L84" i="11"/>
  <c r="Q84" i="11"/>
  <c r="P84" i="11"/>
  <c r="R84" i="11" s="1"/>
  <c r="S82" i="10"/>
  <c r="O85" i="11"/>
  <c r="J85" i="11"/>
  <c r="G86" i="10"/>
  <c r="H85" i="10"/>
  <c r="I85" i="10" s="1"/>
  <c r="J85" i="10" s="1"/>
  <c r="O84" i="10"/>
  <c r="P83" i="10"/>
  <c r="Q83" i="10"/>
  <c r="K83" i="10"/>
  <c r="N83" i="10"/>
  <c r="L83" i="10"/>
  <c r="S83" i="10" s="1"/>
  <c r="M83" i="10"/>
  <c r="N82" i="7"/>
  <c r="K82" i="7"/>
  <c r="J83" i="7"/>
  <c r="M83" i="7" s="1"/>
  <c r="O83" i="7"/>
  <c r="L82" i="7"/>
  <c r="S81" i="7"/>
  <c r="Q82" i="7"/>
  <c r="P82" i="7"/>
  <c r="M84" i="9"/>
  <c r="N84" i="9"/>
  <c r="L84" i="9"/>
  <c r="K84" i="9"/>
  <c r="G86" i="9"/>
  <c r="H85" i="9"/>
  <c r="I85" i="9" s="1"/>
  <c r="J85" i="9" s="1"/>
  <c r="H84" i="7"/>
  <c r="I84" i="7" s="1"/>
  <c r="G85" i="7"/>
  <c r="H84" i="6"/>
  <c r="I84" i="6" s="1"/>
  <c r="J84" i="6" s="1"/>
  <c r="G85" i="6"/>
  <c r="M83" i="6"/>
  <c r="L83" i="6"/>
  <c r="K83" i="6"/>
  <c r="N83" i="6"/>
  <c r="Q86" i="12" l="1"/>
  <c r="P86" i="12"/>
  <c r="N86" i="12"/>
  <c r="M86" i="12"/>
  <c r="L86" i="12"/>
  <c r="K86" i="12"/>
  <c r="O87" i="12"/>
  <c r="J87" i="12"/>
  <c r="R85" i="12"/>
  <c r="R83" i="10"/>
  <c r="G89" i="12"/>
  <c r="H88" i="12"/>
  <c r="I88" i="12" s="1"/>
  <c r="S85" i="12"/>
  <c r="P85" i="11"/>
  <c r="Q85" i="11"/>
  <c r="O86" i="11"/>
  <c r="J86" i="11"/>
  <c r="G88" i="11"/>
  <c r="H87" i="11"/>
  <c r="I87" i="11" s="1"/>
  <c r="L85" i="11"/>
  <c r="N85" i="11"/>
  <c r="M85" i="11"/>
  <c r="K85" i="11"/>
  <c r="S84" i="11"/>
  <c r="N84" i="10"/>
  <c r="M84" i="10"/>
  <c r="K84" i="10"/>
  <c r="L84" i="10"/>
  <c r="S84" i="10" s="1"/>
  <c r="P84" i="10"/>
  <c r="Q84" i="10"/>
  <c r="O85" i="10"/>
  <c r="H86" i="10"/>
  <c r="I86" i="10" s="1"/>
  <c r="J86" i="10" s="1"/>
  <c r="G87" i="10"/>
  <c r="R82" i="7"/>
  <c r="K83" i="7"/>
  <c r="N83" i="7"/>
  <c r="J84" i="7"/>
  <c r="M84" i="7" s="1"/>
  <c r="O84" i="7"/>
  <c r="L83" i="7"/>
  <c r="S82" i="7"/>
  <c r="Q83" i="7"/>
  <c r="P83" i="7"/>
  <c r="M85" i="9"/>
  <c r="K85" i="9"/>
  <c r="L85" i="9"/>
  <c r="N85" i="9"/>
  <c r="H86" i="9"/>
  <c r="I86" i="9" s="1"/>
  <c r="J86" i="9" s="1"/>
  <c r="G87" i="9"/>
  <c r="H85" i="7"/>
  <c r="I85" i="7" s="1"/>
  <c r="G86" i="7"/>
  <c r="H85" i="6"/>
  <c r="I85" i="6" s="1"/>
  <c r="J85" i="6" s="1"/>
  <c r="G86" i="6"/>
  <c r="M84" i="6"/>
  <c r="L84" i="6"/>
  <c r="K84" i="6"/>
  <c r="N84" i="6"/>
  <c r="O88" i="12" l="1"/>
  <c r="J88" i="12"/>
  <c r="M87" i="12"/>
  <c r="L87" i="12"/>
  <c r="K87" i="12"/>
  <c r="N87" i="12"/>
  <c r="H89" i="12"/>
  <c r="I89" i="12" s="1"/>
  <c r="G90" i="12"/>
  <c r="Q87" i="12"/>
  <c r="P87" i="12"/>
  <c r="R87" i="12" s="1"/>
  <c r="R86" i="12"/>
  <c r="S86" i="12"/>
  <c r="K86" i="11"/>
  <c r="L86" i="11"/>
  <c r="M86" i="11"/>
  <c r="N86" i="11"/>
  <c r="Q86" i="11"/>
  <c r="P86" i="11"/>
  <c r="R86" i="11" s="1"/>
  <c r="R84" i="10"/>
  <c r="J87" i="11"/>
  <c r="O87" i="11"/>
  <c r="S85" i="11"/>
  <c r="H88" i="11"/>
  <c r="I88" i="11" s="1"/>
  <c r="G89" i="11"/>
  <c r="R85" i="11"/>
  <c r="Q85" i="10"/>
  <c r="P85" i="10"/>
  <c r="H87" i="10"/>
  <c r="I87" i="10" s="1"/>
  <c r="J87" i="10" s="1"/>
  <c r="G88" i="10"/>
  <c r="K85" i="10"/>
  <c r="N85" i="10"/>
  <c r="M85" i="10"/>
  <c r="L85" i="10"/>
  <c r="O86" i="10"/>
  <c r="R83" i="7"/>
  <c r="K84" i="7"/>
  <c r="N84" i="7"/>
  <c r="L84" i="7"/>
  <c r="S83" i="7"/>
  <c r="Q84" i="7"/>
  <c r="P84" i="7"/>
  <c r="J85" i="7"/>
  <c r="K85" i="7" s="1"/>
  <c r="O85" i="7"/>
  <c r="G88" i="9"/>
  <c r="H87" i="9"/>
  <c r="I87" i="9" s="1"/>
  <c r="J87" i="9" s="1"/>
  <c r="M86" i="9"/>
  <c r="N86" i="9"/>
  <c r="L86" i="9"/>
  <c r="K86" i="9"/>
  <c r="H86" i="7"/>
  <c r="I86" i="7" s="1"/>
  <c r="G87" i="7"/>
  <c r="H86" i="6"/>
  <c r="I86" i="6" s="1"/>
  <c r="J86" i="6" s="1"/>
  <c r="G87" i="6"/>
  <c r="M85" i="6"/>
  <c r="L85" i="6"/>
  <c r="K85" i="6"/>
  <c r="N85" i="6"/>
  <c r="S87" i="12" l="1"/>
  <c r="G91" i="12"/>
  <c r="H90" i="12"/>
  <c r="I90" i="12" s="1"/>
  <c r="O89" i="12"/>
  <c r="J89" i="12"/>
  <c r="L88" i="12"/>
  <c r="N88" i="12"/>
  <c r="M88" i="12"/>
  <c r="K88" i="12"/>
  <c r="S85" i="10"/>
  <c r="S86" i="11"/>
  <c r="P88" i="12"/>
  <c r="Q88" i="12"/>
  <c r="S88" i="12" s="1"/>
  <c r="G90" i="11"/>
  <c r="H89" i="11"/>
  <c r="I89" i="11" s="1"/>
  <c r="N87" i="11"/>
  <c r="M87" i="11"/>
  <c r="K87" i="11"/>
  <c r="L87" i="11"/>
  <c r="O88" i="11"/>
  <c r="J88" i="11"/>
  <c r="R85" i="10"/>
  <c r="Q87" i="11"/>
  <c r="S87" i="11" s="1"/>
  <c r="P87" i="11"/>
  <c r="R87" i="11" s="1"/>
  <c r="O87" i="10"/>
  <c r="L86" i="10"/>
  <c r="K86" i="10"/>
  <c r="M86" i="10"/>
  <c r="N86" i="10"/>
  <c r="G89" i="10"/>
  <c r="H88" i="10"/>
  <c r="I88" i="10" s="1"/>
  <c r="J88" i="10" s="1"/>
  <c r="P86" i="10"/>
  <c r="Q86" i="10"/>
  <c r="R84" i="7"/>
  <c r="J86" i="7"/>
  <c r="L86" i="7" s="1"/>
  <c r="O86" i="7"/>
  <c r="L85" i="7"/>
  <c r="M85" i="7"/>
  <c r="N85" i="7"/>
  <c r="Q85" i="7"/>
  <c r="P85" i="7"/>
  <c r="R85" i="7" s="1"/>
  <c r="S84" i="7"/>
  <c r="M87" i="9"/>
  <c r="K87" i="9"/>
  <c r="N87" i="9"/>
  <c r="L87" i="9"/>
  <c r="H88" i="9"/>
  <c r="I88" i="9" s="1"/>
  <c r="J88" i="9" s="1"/>
  <c r="G89" i="9"/>
  <c r="H87" i="7"/>
  <c r="I87" i="7" s="1"/>
  <c r="G88" i="7"/>
  <c r="G88" i="6"/>
  <c r="H87" i="6"/>
  <c r="I87" i="6" s="1"/>
  <c r="J87" i="6" s="1"/>
  <c r="M86" i="6"/>
  <c r="L86" i="6"/>
  <c r="K86" i="6"/>
  <c r="N86" i="6"/>
  <c r="K89" i="12" l="1"/>
  <c r="M89" i="12"/>
  <c r="L89" i="12"/>
  <c r="N89" i="12"/>
  <c r="R88" i="12"/>
  <c r="Q89" i="12"/>
  <c r="P89" i="12"/>
  <c r="R89" i="12" s="1"/>
  <c r="J90" i="12"/>
  <c r="O90" i="12"/>
  <c r="H91" i="12"/>
  <c r="I91" i="12" s="1"/>
  <c r="G92" i="12"/>
  <c r="M88" i="11"/>
  <c r="L88" i="11"/>
  <c r="K88" i="11"/>
  <c r="N88" i="11"/>
  <c r="Q88" i="11"/>
  <c r="P88" i="11"/>
  <c r="R86" i="10"/>
  <c r="O89" i="11"/>
  <c r="J89" i="11"/>
  <c r="S86" i="10"/>
  <c r="H90" i="11"/>
  <c r="I90" i="11" s="1"/>
  <c r="G91" i="11"/>
  <c r="O88" i="10"/>
  <c r="G90" i="10"/>
  <c r="H89" i="10"/>
  <c r="I89" i="10" s="1"/>
  <c r="J89" i="10" s="1"/>
  <c r="M87" i="10"/>
  <c r="L87" i="10"/>
  <c r="S87" i="10" s="1"/>
  <c r="K87" i="10"/>
  <c r="N87" i="10"/>
  <c r="Q87" i="10"/>
  <c r="P87" i="10"/>
  <c r="N86" i="7"/>
  <c r="M86" i="7"/>
  <c r="K86" i="7"/>
  <c r="J87" i="7"/>
  <c r="K87" i="7" s="1"/>
  <c r="O87" i="7"/>
  <c r="S85" i="7"/>
  <c r="Q86" i="7"/>
  <c r="S86" i="7" s="1"/>
  <c r="P86" i="7"/>
  <c r="G90" i="9"/>
  <c r="H89" i="9"/>
  <c r="I89" i="9" s="1"/>
  <c r="J89" i="9" s="1"/>
  <c r="M88" i="9"/>
  <c r="N88" i="9"/>
  <c r="L88" i="9"/>
  <c r="K88" i="9"/>
  <c r="H88" i="7"/>
  <c r="I88" i="7" s="1"/>
  <c r="G89" i="7"/>
  <c r="K87" i="6"/>
  <c r="M87" i="6"/>
  <c r="L87" i="6"/>
  <c r="N87" i="6"/>
  <c r="G89" i="6"/>
  <c r="H88" i="6"/>
  <c r="I88" i="6" s="1"/>
  <c r="J88" i="6" s="1"/>
  <c r="N90" i="12" l="1"/>
  <c r="K90" i="12"/>
  <c r="M90" i="12"/>
  <c r="L90" i="12"/>
  <c r="G93" i="12"/>
  <c r="H92" i="12"/>
  <c r="I92" i="12" s="1"/>
  <c r="O91" i="12"/>
  <c r="J91" i="12"/>
  <c r="S89" i="12"/>
  <c r="P90" i="12"/>
  <c r="Q90" i="12"/>
  <c r="G92" i="11"/>
  <c r="H91" i="11"/>
  <c r="I91" i="11" s="1"/>
  <c r="P89" i="11"/>
  <c r="Q89" i="11"/>
  <c r="O90" i="11"/>
  <c r="J90" i="11"/>
  <c r="R87" i="10"/>
  <c r="R88" i="11"/>
  <c r="L89" i="11"/>
  <c r="N89" i="11"/>
  <c r="M89" i="11"/>
  <c r="K89" i="11"/>
  <c r="S88" i="11"/>
  <c r="O89" i="10"/>
  <c r="H90" i="10"/>
  <c r="I90" i="10" s="1"/>
  <c r="J90" i="10" s="1"/>
  <c r="G91" i="10"/>
  <c r="Q88" i="10"/>
  <c r="P88" i="10"/>
  <c r="N88" i="10"/>
  <c r="M88" i="10"/>
  <c r="K88" i="10"/>
  <c r="L88" i="10"/>
  <c r="R86" i="7"/>
  <c r="J88" i="7"/>
  <c r="K88" i="7" s="1"/>
  <c r="O88" i="7"/>
  <c r="L87" i="7"/>
  <c r="M87" i="7"/>
  <c r="N87" i="7"/>
  <c r="Q87" i="7"/>
  <c r="P87" i="7"/>
  <c r="R87" i="7" s="1"/>
  <c r="M89" i="9"/>
  <c r="K89" i="9"/>
  <c r="L89" i="9"/>
  <c r="N89" i="9"/>
  <c r="H90" i="9"/>
  <c r="I90" i="9" s="1"/>
  <c r="J90" i="9" s="1"/>
  <c r="G91" i="9"/>
  <c r="H89" i="7"/>
  <c r="I89" i="7" s="1"/>
  <c r="G90" i="7"/>
  <c r="K88" i="6"/>
  <c r="M88" i="6"/>
  <c r="L88" i="6"/>
  <c r="N88" i="6"/>
  <c r="G90" i="6"/>
  <c r="H89" i="6"/>
  <c r="I89" i="6" s="1"/>
  <c r="J89" i="6" s="1"/>
  <c r="S90" i="12" l="1"/>
  <c r="R90" i="12"/>
  <c r="M91" i="12"/>
  <c r="N91" i="12"/>
  <c r="L91" i="12"/>
  <c r="K91" i="12"/>
  <c r="Q91" i="12"/>
  <c r="P91" i="12"/>
  <c r="O92" i="12"/>
  <c r="J92" i="12"/>
  <c r="S88" i="10"/>
  <c r="G94" i="12"/>
  <c r="H93" i="12"/>
  <c r="I93" i="12" s="1"/>
  <c r="S89" i="11"/>
  <c r="R89" i="11"/>
  <c r="K90" i="11"/>
  <c r="M90" i="11"/>
  <c r="L90" i="11"/>
  <c r="N90" i="11"/>
  <c r="J91" i="11"/>
  <c r="O91" i="11"/>
  <c r="R88" i="10"/>
  <c r="Q90" i="11"/>
  <c r="P90" i="11"/>
  <c r="R90" i="11" s="1"/>
  <c r="H92" i="11"/>
  <c r="I92" i="11" s="1"/>
  <c r="G93" i="11"/>
  <c r="H91" i="10"/>
  <c r="I91" i="10" s="1"/>
  <c r="J91" i="10" s="1"/>
  <c r="G92" i="10"/>
  <c r="O90" i="10"/>
  <c r="P89" i="10"/>
  <c r="Q89" i="10"/>
  <c r="M89" i="10"/>
  <c r="L89" i="10"/>
  <c r="S89" i="10" s="1"/>
  <c r="N89" i="10"/>
  <c r="K89" i="10"/>
  <c r="L88" i="7"/>
  <c r="M88" i="7"/>
  <c r="N88" i="7"/>
  <c r="S87" i="7"/>
  <c r="J89" i="7"/>
  <c r="N89" i="7" s="1"/>
  <c r="O89" i="7"/>
  <c r="Q88" i="7"/>
  <c r="P88" i="7"/>
  <c r="R88" i="7" s="1"/>
  <c r="G92" i="9"/>
  <c r="H91" i="9"/>
  <c r="I91" i="9" s="1"/>
  <c r="J91" i="9" s="1"/>
  <c r="M90" i="9"/>
  <c r="N90" i="9"/>
  <c r="L90" i="9"/>
  <c r="K90" i="9"/>
  <c r="H90" i="7"/>
  <c r="I90" i="7" s="1"/>
  <c r="G91" i="7"/>
  <c r="K89" i="6"/>
  <c r="M89" i="6"/>
  <c r="L89" i="6"/>
  <c r="N89" i="6"/>
  <c r="G91" i="6"/>
  <c r="H90" i="6"/>
  <c r="I90" i="6" s="1"/>
  <c r="J90" i="6" s="1"/>
  <c r="L92" i="12" l="1"/>
  <c r="K92" i="12"/>
  <c r="N92" i="12"/>
  <c r="M92" i="12"/>
  <c r="O93" i="12"/>
  <c r="J93" i="12"/>
  <c r="P92" i="12"/>
  <c r="R92" i="12" s="1"/>
  <c r="Q92" i="12"/>
  <c r="S92" i="12" s="1"/>
  <c r="G95" i="12"/>
  <c r="H94" i="12"/>
  <c r="I94" i="12" s="1"/>
  <c r="R91" i="12"/>
  <c r="R89" i="10"/>
  <c r="S90" i="11"/>
  <c r="S91" i="12"/>
  <c r="J92" i="11"/>
  <c r="O92" i="11"/>
  <c r="P91" i="11"/>
  <c r="Q91" i="11"/>
  <c r="N91" i="11"/>
  <c r="K91" i="11"/>
  <c r="L91" i="11"/>
  <c r="M91" i="11"/>
  <c r="G94" i="11"/>
  <c r="H93" i="11"/>
  <c r="I93" i="11" s="1"/>
  <c r="N90" i="10"/>
  <c r="M90" i="10"/>
  <c r="L90" i="10"/>
  <c r="S90" i="10" s="1"/>
  <c r="K90" i="10"/>
  <c r="Q90" i="10"/>
  <c r="P90" i="10"/>
  <c r="G93" i="10"/>
  <c r="H92" i="10"/>
  <c r="I92" i="10" s="1"/>
  <c r="J92" i="10" s="1"/>
  <c r="O91" i="10"/>
  <c r="S88" i="7"/>
  <c r="Q89" i="7"/>
  <c r="P89" i="7"/>
  <c r="L89" i="7"/>
  <c r="M89" i="7"/>
  <c r="K89" i="7"/>
  <c r="J90" i="7"/>
  <c r="L90" i="7" s="1"/>
  <c r="O90" i="7"/>
  <c r="M91" i="9"/>
  <c r="K91" i="9"/>
  <c r="N91" i="9"/>
  <c r="L91" i="9"/>
  <c r="H92" i="9"/>
  <c r="I92" i="9" s="1"/>
  <c r="J92" i="9" s="1"/>
  <c r="G93" i="9"/>
  <c r="H91" i="7"/>
  <c r="I91" i="7" s="1"/>
  <c r="G92" i="7"/>
  <c r="K90" i="6"/>
  <c r="M90" i="6"/>
  <c r="L90" i="6"/>
  <c r="N90" i="6"/>
  <c r="G92" i="6"/>
  <c r="H91" i="6"/>
  <c r="I91" i="6" s="1"/>
  <c r="J91" i="6" s="1"/>
  <c r="R90" i="10" l="1"/>
  <c r="J94" i="12"/>
  <c r="O94" i="12"/>
  <c r="K93" i="12"/>
  <c r="N93" i="12"/>
  <c r="M93" i="12"/>
  <c r="L93" i="12"/>
  <c r="G96" i="12"/>
  <c r="H95" i="12"/>
  <c r="I95" i="12" s="1"/>
  <c r="Q93" i="12"/>
  <c r="P93" i="12"/>
  <c r="S91" i="11"/>
  <c r="R91" i="11"/>
  <c r="O93" i="11"/>
  <c r="J93" i="11"/>
  <c r="Q92" i="11"/>
  <c r="P92" i="11"/>
  <c r="G95" i="11"/>
  <c r="H94" i="11"/>
  <c r="I94" i="11" s="1"/>
  <c r="M92" i="11"/>
  <c r="N92" i="11"/>
  <c r="L92" i="11"/>
  <c r="K92" i="11"/>
  <c r="O92" i="10"/>
  <c r="G94" i="10"/>
  <c r="H93" i="10"/>
  <c r="I93" i="10" s="1"/>
  <c r="J93" i="10" s="1"/>
  <c r="M91" i="10"/>
  <c r="L91" i="10"/>
  <c r="N91" i="10"/>
  <c r="K91" i="10"/>
  <c r="R91" i="10" s="1"/>
  <c r="Q91" i="10"/>
  <c r="P91" i="10"/>
  <c r="R89" i="7"/>
  <c r="S89" i="7"/>
  <c r="Q90" i="7"/>
  <c r="S90" i="7" s="1"/>
  <c r="P90" i="7"/>
  <c r="M90" i="7"/>
  <c r="K90" i="7"/>
  <c r="N90" i="7"/>
  <c r="J91" i="7"/>
  <c r="M91" i="7" s="1"/>
  <c r="O91" i="7"/>
  <c r="G94" i="9"/>
  <c r="H93" i="9"/>
  <c r="I93" i="9" s="1"/>
  <c r="J93" i="9" s="1"/>
  <c r="M92" i="9"/>
  <c r="N92" i="9"/>
  <c r="L92" i="9"/>
  <c r="K92" i="9"/>
  <c r="H92" i="7"/>
  <c r="I92" i="7" s="1"/>
  <c r="G93" i="7"/>
  <c r="K91" i="6"/>
  <c r="M91" i="6"/>
  <c r="L91" i="6"/>
  <c r="N91" i="6"/>
  <c r="G93" i="6"/>
  <c r="H92" i="6"/>
  <c r="I92" i="6" s="1"/>
  <c r="J92" i="6" s="1"/>
  <c r="R93" i="12" l="1"/>
  <c r="S93" i="12"/>
  <c r="G97" i="12"/>
  <c r="H96" i="12"/>
  <c r="I96" i="12" s="1"/>
  <c r="P94" i="12"/>
  <c r="Q94" i="12"/>
  <c r="N94" i="12"/>
  <c r="L94" i="12"/>
  <c r="K94" i="12"/>
  <c r="M94" i="12"/>
  <c r="O95" i="12"/>
  <c r="J95" i="12"/>
  <c r="O94" i="11"/>
  <c r="J94" i="11"/>
  <c r="L93" i="11"/>
  <c r="K93" i="11"/>
  <c r="N93" i="11"/>
  <c r="M93" i="11"/>
  <c r="G96" i="11"/>
  <c r="H95" i="11"/>
  <c r="I95" i="11" s="1"/>
  <c r="P93" i="11"/>
  <c r="Q93" i="11"/>
  <c r="S93" i="11" s="1"/>
  <c r="R92" i="11"/>
  <c r="S91" i="10"/>
  <c r="S92" i="11"/>
  <c r="O93" i="10"/>
  <c r="G95" i="10"/>
  <c r="H94" i="10"/>
  <c r="I94" i="10" s="1"/>
  <c r="J94" i="10" s="1"/>
  <c r="P92" i="10"/>
  <c r="Q92" i="10"/>
  <c r="N92" i="10"/>
  <c r="L92" i="10"/>
  <c r="S92" i="10" s="1"/>
  <c r="K92" i="10"/>
  <c r="R92" i="10" s="1"/>
  <c r="M92" i="10"/>
  <c r="R90" i="7"/>
  <c r="K91" i="7"/>
  <c r="R91" i="7" s="1"/>
  <c r="N91" i="7"/>
  <c r="Q91" i="7"/>
  <c r="P91" i="7"/>
  <c r="J92" i="7"/>
  <c r="K92" i="7" s="1"/>
  <c r="O92" i="7"/>
  <c r="L91" i="7"/>
  <c r="M93" i="9"/>
  <c r="K93" i="9"/>
  <c r="L93" i="9"/>
  <c r="N93" i="9"/>
  <c r="H94" i="9"/>
  <c r="I94" i="9" s="1"/>
  <c r="J94" i="9" s="1"/>
  <c r="G95" i="9"/>
  <c r="H93" i="7"/>
  <c r="I93" i="7" s="1"/>
  <c r="G94" i="7"/>
  <c r="G94" i="6"/>
  <c r="H93" i="6"/>
  <c r="I93" i="6" s="1"/>
  <c r="J93" i="6" s="1"/>
  <c r="K92" i="6"/>
  <c r="M92" i="6"/>
  <c r="L92" i="6"/>
  <c r="N92" i="6"/>
  <c r="S94" i="12" l="1"/>
  <c r="R93" i="11"/>
  <c r="R94" i="12"/>
  <c r="K95" i="12"/>
  <c r="N95" i="12"/>
  <c r="M95" i="12"/>
  <c r="L95" i="12"/>
  <c r="J96" i="12"/>
  <c r="O96" i="12"/>
  <c r="Q95" i="12"/>
  <c r="P95" i="12"/>
  <c r="G98" i="12"/>
  <c r="H97" i="12"/>
  <c r="I97" i="12" s="1"/>
  <c r="J95" i="11"/>
  <c r="O95" i="11"/>
  <c r="G97" i="11"/>
  <c r="H96" i="11"/>
  <c r="I96" i="11" s="1"/>
  <c r="K94" i="11"/>
  <c r="N94" i="11"/>
  <c r="M94" i="11"/>
  <c r="L94" i="11"/>
  <c r="P94" i="11"/>
  <c r="R94" i="11" s="1"/>
  <c r="Q94" i="11"/>
  <c r="O94" i="10"/>
  <c r="G96" i="10"/>
  <c r="H95" i="10"/>
  <c r="I95" i="10" s="1"/>
  <c r="J95" i="10" s="1"/>
  <c r="P93" i="10"/>
  <c r="Q93" i="10"/>
  <c r="K93" i="10"/>
  <c r="N93" i="10"/>
  <c r="L93" i="10"/>
  <c r="M93" i="10"/>
  <c r="S91" i="7"/>
  <c r="L92" i="7"/>
  <c r="M92" i="7"/>
  <c r="N92" i="7"/>
  <c r="J93" i="7"/>
  <c r="M93" i="7" s="1"/>
  <c r="O93" i="7"/>
  <c r="Q92" i="7"/>
  <c r="P92" i="7"/>
  <c r="R92" i="7" s="1"/>
  <c r="G96" i="9"/>
  <c r="H95" i="9"/>
  <c r="I95" i="9" s="1"/>
  <c r="J95" i="9" s="1"/>
  <c r="M94" i="9"/>
  <c r="N94" i="9"/>
  <c r="L94" i="9"/>
  <c r="K94" i="9"/>
  <c r="H94" i="7"/>
  <c r="I94" i="7" s="1"/>
  <c r="G95" i="7"/>
  <c r="K93" i="6"/>
  <c r="M93" i="6"/>
  <c r="L93" i="6"/>
  <c r="N93" i="6"/>
  <c r="G95" i="6"/>
  <c r="H94" i="6"/>
  <c r="I94" i="6" s="1"/>
  <c r="J94" i="6" s="1"/>
  <c r="R95" i="12" l="1"/>
  <c r="G99" i="12"/>
  <c r="H98" i="12"/>
  <c r="I98" i="12" s="1"/>
  <c r="N96" i="12"/>
  <c r="M96" i="12"/>
  <c r="L96" i="12"/>
  <c r="K96" i="12"/>
  <c r="S95" i="12"/>
  <c r="R93" i="10"/>
  <c r="O97" i="12"/>
  <c r="J97" i="12"/>
  <c r="Q96" i="12"/>
  <c r="S96" i="12" s="1"/>
  <c r="P96" i="12"/>
  <c r="O96" i="11"/>
  <c r="J96" i="11"/>
  <c r="G98" i="11"/>
  <c r="H97" i="11"/>
  <c r="I97" i="11" s="1"/>
  <c r="S93" i="10"/>
  <c r="S94" i="11"/>
  <c r="Q95" i="11"/>
  <c r="P95" i="11"/>
  <c r="R95" i="11" s="1"/>
  <c r="N95" i="11"/>
  <c r="L95" i="11"/>
  <c r="K95" i="11"/>
  <c r="M95" i="11"/>
  <c r="O95" i="10"/>
  <c r="H96" i="10"/>
  <c r="I96" i="10" s="1"/>
  <c r="J96" i="10" s="1"/>
  <c r="G97" i="10"/>
  <c r="Q94" i="10"/>
  <c r="P94" i="10"/>
  <c r="L94" i="10"/>
  <c r="S94" i="10" s="1"/>
  <c r="K94" i="10"/>
  <c r="M94" i="10"/>
  <c r="N94" i="10"/>
  <c r="S92" i="7"/>
  <c r="K93" i="7"/>
  <c r="J94" i="7"/>
  <c r="M94" i="7" s="1"/>
  <c r="O94" i="7"/>
  <c r="L93" i="7"/>
  <c r="N93" i="7"/>
  <c r="Q93" i="7"/>
  <c r="P93" i="7"/>
  <c r="M95" i="9"/>
  <c r="K95" i="9"/>
  <c r="N95" i="9"/>
  <c r="L95" i="9"/>
  <c r="H96" i="9"/>
  <c r="I96" i="9" s="1"/>
  <c r="J96" i="9" s="1"/>
  <c r="G97" i="9"/>
  <c r="H95" i="7"/>
  <c r="I95" i="7" s="1"/>
  <c r="G96" i="7"/>
  <c r="K94" i="6"/>
  <c r="M94" i="6"/>
  <c r="L94" i="6"/>
  <c r="N94" i="6"/>
  <c r="G96" i="6"/>
  <c r="H95" i="6"/>
  <c r="I95" i="6" s="1"/>
  <c r="J95" i="6" s="1"/>
  <c r="R96" i="12" l="1"/>
  <c r="M97" i="12"/>
  <c r="L97" i="12"/>
  <c r="K97" i="12"/>
  <c r="N97" i="12"/>
  <c r="O98" i="12"/>
  <c r="J98" i="12"/>
  <c r="Q97" i="12"/>
  <c r="S97" i="12" s="1"/>
  <c r="P97" i="12"/>
  <c r="H99" i="12"/>
  <c r="I99" i="12" s="1"/>
  <c r="G100" i="12"/>
  <c r="O97" i="11"/>
  <c r="J97" i="11"/>
  <c r="R94" i="10"/>
  <c r="S95" i="11"/>
  <c r="G99" i="11"/>
  <c r="H98" i="11"/>
  <c r="I98" i="11" s="1"/>
  <c r="M96" i="11"/>
  <c r="N96" i="11"/>
  <c r="K96" i="11"/>
  <c r="L96" i="11"/>
  <c r="Q96" i="11"/>
  <c r="P96" i="11"/>
  <c r="H97" i="10"/>
  <c r="I97" i="10" s="1"/>
  <c r="J97" i="10" s="1"/>
  <c r="G98" i="10"/>
  <c r="O96" i="10"/>
  <c r="M95" i="10"/>
  <c r="L95" i="10"/>
  <c r="S95" i="10" s="1"/>
  <c r="K95" i="10"/>
  <c r="N95" i="10"/>
  <c r="Q95" i="10"/>
  <c r="P95" i="10"/>
  <c r="R93" i="7"/>
  <c r="N94" i="7"/>
  <c r="K94" i="7"/>
  <c r="L94" i="7"/>
  <c r="S93" i="7"/>
  <c r="Q94" i="7"/>
  <c r="P94" i="7"/>
  <c r="J95" i="7"/>
  <c r="K95" i="7" s="1"/>
  <c r="O95" i="7"/>
  <c r="G98" i="9"/>
  <c r="H97" i="9"/>
  <c r="I97" i="9" s="1"/>
  <c r="J97" i="9" s="1"/>
  <c r="M96" i="9"/>
  <c r="N96" i="9"/>
  <c r="L96" i="9"/>
  <c r="K96" i="9"/>
  <c r="H96" i="7"/>
  <c r="I96" i="7" s="1"/>
  <c r="G97" i="7"/>
  <c r="K95" i="6"/>
  <c r="M95" i="6"/>
  <c r="L95" i="6"/>
  <c r="N95" i="6"/>
  <c r="G97" i="6"/>
  <c r="H96" i="6"/>
  <c r="I96" i="6" s="1"/>
  <c r="J96" i="6" s="1"/>
  <c r="R97" i="12" l="1"/>
  <c r="G101" i="12"/>
  <c r="H100" i="12"/>
  <c r="I100" i="12" s="1"/>
  <c r="L98" i="12"/>
  <c r="K98" i="12"/>
  <c r="N98" i="12"/>
  <c r="M98" i="12"/>
  <c r="S96" i="11"/>
  <c r="O99" i="12"/>
  <c r="J99" i="12"/>
  <c r="P98" i="12"/>
  <c r="R98" i="12" s="1"/>
  <c r="Q98" i="12"/>
  <c r="S98" i="12" s="1"/>
  <c r="R96" i="11"/>
  <c r="R95" i="10"/>
  <c r="O98" i="11"/>
  <c r="J98" i="11"/>
  <c r="L97" i="11"/>
  <c r="M97" i="11"/>
  <c r="K97" i="11"/>
  <c r="N97" i="11"/>
  <c r="H99" i="11"/>
  <c r="I99" i="11" s="1"/>
  <c r="G100" i="11"/>
  <c r="P97" i="11"/>
  <c r="R97" i="11" s="1"/>
  <c r="Q97" i="11"/>
  <c r="S97" i="11" s="1"/>
  <c r="N96" i="10"/>
  <c r="L96" i="10"/>
  <c r="M96" i="10"/>
  <c r="K96" i="10"/>
  <c r="G99" i="10"/>
  <c r="H98" i="10"/>
  <c r="I98" i="10" s="1"/>
  <c r="J98" i="10" s="1"/>
  <c r="Q96" i="10"/>
  <c r="P96" i="10"/>
  <c r="O97" i="10"/>
  <c r="R94" i="7"/>
  <c r="J96" i="7"/>
  <c r="L96" i="7" s="1"/>
  <c r="O96" i="7"/>
  <c r="L95" i="7"/>
  <c r="M95" i="7"/>
  <c r="N95" i="7"/>
  <c r="Q95" i="7"/>
  <c r="P95" i="7"/>
  <c r="R95" i="7" s="1"/>
  <c r="S94" i="7"/>
  <c r="M97" i="9"/>
  <c r="L97" i="9"/>
  <c r="K97" i="9"/>
  <c r="N97" i="9"/>
  <c r="G99" i="9"/>
  <c r="H98" i="9"/>
  <c r="I98" i="9" s="1"/>
  <c r="J98" i="9" s="1"/>
  <c r="H97" i="7"/>
  <c r="I97" i="7" s="1"/>
  <c r="G98" i="7"/>
  <c r="K96" i="6"/>
  <c r="M96" i="6"/>
  <c r="L96" i="6"/>
  <c r="N96" i="6"/>
  <c r="G98" i="6"/>
  <c r="H97" i="6"/>
  <c r="I97" i="6" s="1"/>
  <c r="J97" i="6" s="1"/>
  <c r="Q99" i="12" l="1"/>
  <c r="P99" i="12"/>
  <c r="J100" i="12"/>
  <c r="O100" i="12"/>
  <c r="K99" i="12"/>
  <c r="N99" i="12"/>
  <c r="M99" i="12"/>
  <c r="L99" i="12"/>
  <c r="G102" i="12"/>
  <c r="H101" i="12"/>
  <c r="I101" i="12" s="1"/>
  <c r="R96" i="10"/>
  <c r="K98" i="11"/>
  <c r="N98" i="11"/>
  <c r="M98" i="11"/>
  <c r="L98" i="11"/>
  <c r="P98" i="11"/>
  <c r="R98" i="11" s="1"/>
  <c r="Q98" i="11"/>
  <c r="S96" i="10"/>
  <c r="G101" i="11"/>
  <c r="H100" i="11"/>
  <c r="I100" i="11" s="1"/>
  <c r="J99" i="11"/>
  <c r="O99" i="11"/>
  <c r="L97" i="10"/>
  <c r="K97" i="10"/>
  <c r="M97" i="10"/>
  <c r="N97" i="10"/>
  <c r="O98" i="10"/>
  <c r="P97" i="10"/>
  <c r="Q97" i="10"/>
  <c r="G100" i="10"/>
  <c r="H99" i="10"/>
  <c r="I99" i="10" s="1"/>
  <c r="J99" i="10" s="1"/>
  <c r="N96" i="7"/>
  <c r="M96" i="7"/>
  <c r="K96" i="7"/>
  <c r="J97" i="7"/>
  <c r="K97" i="7" s="1"/>
  <c r="O97" i="7"/>
  <c r="S95" i="7"/>
  <c r="Q96" i="7"/>
  <c r="S96" i="7" s="1"/>
  <c r="P96" i="7"/>
  <c r="M98" i="9"/>
  <c r="N98" i="9"/>
  <c r="L98" i="9"/>
  <c r="K98" i="9"/>
  <c r="G100" i="9"/>
  <c r="H99" i="9"/>
  <c r="I99" i="9" s="1"/>
  <c r="J99" i="9" s="1"/>
  <c r="H98" i="7"/>
  <c r="I98" i="7" s="1"/>
  <c r="G99" i="7"/>
  <c r="K97" i="6"/>
  <c r="M97" i="6"/>
  <c r="L97" i="6"/>
  <c r="N97" i="6"/>
  <c r="G99" i="6"/>
  <c r="H98" i="6"/>
  <c r="I98" i="6" s="1"/>
  <c r="J98" i="6" s="1"/>
  <c r="Q100" i="12" l="1"/>
  <c r="P100" i="12"/>
  <c r="N100" i="12"/>
  <c r="M100" i="12"/>
  <c r="L100" i="12"/>
  <c r="K100" i="12"/>
  <c r="O101" i="12"/>
  <c r="J101" i="12"/>
  <c r="R99" i="12"/>
  <c r="S98" i="11"/>
  <c r="G103" i="12"/>
  <c r="H102" i="12"/>
  <c r="I102" i="12" s="1"/>
  <c r="S99" i="12"/>
  <c r="Q99" i="11"/>
  <c r="P99" i="11"/>
  <c r="N99" i="11"/>
  <c r="M99" i="11"/>
  <c r="L99" i="11"/>
  <c r="K99" i="11"/>
  <c r="R97" i="10"/>
  <c r="O100" i="11"/>
  <c r="J100" i="11"/>
  <c r="S97" i="10"/>
  <c r="G102" i="11"/>
  <c r="H101" i="11"/>
  <c r="I101" i="11" s="1"/>
  <c r="N98" i="10"/>
  <c r="L98" i="10"/>
  <c r="K98" i="10"/>
  <c r="M98" i="10"/>
  <c r="O99" i="10"/>
  <c r="G101" i="10"/>
  <c r="H100" i="10"/>
  <c r="I100" i="10" s="1"/>
  <c r="J100" i="10" s="1"/>
  <c r="P98" i="10"/>
  <c r="Q98" i="10"/>
  <c r="R96" i="7"/>
  <c r="J98" i="7"/>
  <c r="K98" i="7" s="1"/>
  <c r="O98" i="7"/>
  <c r="L97" i="7"/>
  <c r="M97" i="7"/>
  <c r="N97" i="7"/>
  <c r="Q97" i="7"/>
  <c r="P97" i="7"/>
  <c r="R97" i="7" s="1"/>
  <c r="M99" i="9"/>
  <c r="L99" i="9"/>
  <c r="K99" i="9"/>
  <c r="N99" i="9"/>
  <c r="G101" i="9"/>
  <c r="H100" i="9"/>
  <c r="I100" i="9" s="1"/>
  <c r="J100" i="9" s="1"/>
  <c r="H99" i="7"/>
  <c r="I99" i="7" s="1"/>
  <c r="G100" i="7"/>
  <c r="K98" i="6"/>
  <c r="M98" i="6"/>
  <c r="L98" i="6"/>
  <c r="N98" i="6"/>
  <c r="G100" i="6"/>
  <c r="H99" i="6"/>
  <c r="I99" i="6" s="1"/>
  <c r="J99" i="6" s="1"/>
  <c r="O102" i="12" l="1"/>
  <c r="J102" i="12"/>
  <c r="M101" i="12"/>
  <c r="L101" i="12"/>
  <c r="K101" i="12"/>
  <c r="N101" i="12"/>
  <c r="H103" i="12"/>
  <c r="I103" i="12" s="1"/>
  <c r="G104" i="12"/>
  <c r="Q101" i="12"/>
  <c r="P101" i="12"/>
  <c r="R101" i="12" s="1"/>
  <c r="R100" i="12"/>
  <c r="S100" i="12"/>
  <c r="J101" i="11"/>
  <c r="O101" i="11"/>
  <c r="Q100" i="11"/>
  <c r="P100" i="11"/>
  <c r="R98" i="10"/>
  <c r="H102" i="11"/>
  <c r="I102" i="11" s="1"/>
  <c r="G103" i="11"/>
  <c r="S98" i="10"/>
  <c r="R99" i="11"/>
  <c r="M100" i="11"/>
  <c r="K100" i="11"/>
  <c r="L100" i="11"/>
  <c r="N100" i="11"/>
  <c r="S99" i="11"/>
  <c r="O100" i="10"/>
  <c r="G102" i="10"/>
  <c r="H101" i="10"/>
  <c r="I101" i="10" s="1"/>
  <c r="J101" i="10" s="1"/>
  <c r="N99" i="10"/>
  <c r="L99" i="10"/>
  <c r="K99" i="10"/>
  <c r="M99" i="10"/>
  <c r="Q99" i="10"/>
  <c r="P99" i="10"/>
  <c r="L98" i="7"/>
  <c r="M98" i="7"/>
  <c r="N98" i="7"/>
  <c r="S97" i="7"/>
  <c r="J99" i="7"/>
  <c r="M99" i="7" s="1"/>
  <c r="O99" i="7"/>
  <c r="Q98" i="7"/>
  <c r="P98" i="7"/>
  <c r="R98" i="7" s="1"/>
  <c r="M100" i="9"/>
  <c r="N100" i="9"/>
  <c r="L100" i="9"/>
  <c r="K100" i="9"/>
  <c r="G102" i="9"/>
  <c r="H101" i="9"/>
  <c r="I101" i="9" s="1"/>
  <c r="J101" i="9" s="1"/>
  <c r="H100" i="7"/>
  <c r="I100" i="7" s="1"/>
  <c r="G101" i="7"/>
  <c r="K99" i="6"/>
  <c r="M99" i="6"/>
  <c r="L99" i="6"/>
  <c r="N99" i="6"/>
  <c r="G101" i="6"/>
  <c r="H100" i="6"/>
  <c r="I100" i="6" s="1"/>
  <c r="J100" i="6" s="1"/>
  <c r="S101" i="12" l="1"/>
  <c r="G105" i="12"/>
  <c r="H104" i="12"/>
  <c r="I104" i="12" s="1"/>
  <c r="S99" i="10"/>
  <c r="O103" i="12"/>
  <c r="J103" i="12"/>
  <c r="L102" i="12"/>
  <c r="K102" i="12"/>
  <c r="N102" i="12"/>
  <c r="M102" i="12"/>
  <c r="P102" i="12"/>
  <c r="Q102" i="12"/>
  <c r="R99" i="10"/>
  <c r="R100" i="11"/>
  <c r="G104" i="11"/>
  <c r="H103" i="11"/>
  <c r="I103" i="11" s="1"/>
  <c r="S100" i="11"/>
  <c r="O102" i="11"/>
  <c r="J102" i="11"/>
  <c r="P101" i="11"/>
  <c r="Q101" i="11"/>
  <c r="L101" i="11"/>
  <c r="N101" i="11"/>
  <c r="M101" i="11"/>
  <c r="K101" i="11"/>
  <c r="O101" i="10"/>
  <c r="G103" i="10"/>
  <c r="H102" i="10"/>
  <c r="I102" i="10" s="1"/>
  <c r="J102" i="10" s="1"/>
  <c r="N100" i="10"/>
  <c r="M100" i="10"/>
  <c r="K100" i="10"/>
  <c r="R100" i="10" s="1"/>
  <c r="L100" i="10"/>
  <c r="S100" i="10" s="1"/>
  <c r="P100" i="10"/>
  <c r="Q100" i="10"/>
  <c r="S98" i="7"/>
  <c r="Q99" i="7"/>
  <c r="P99" i="7"/>
  <c r="K99" i="7"/>
  <c r="N99" i="7"/>
  <c r="L99" i="7"/>
  <c r="J100" i="7"/>
  <c r="L100" i="7" s="1"/>
  <c r="O100" i="7"/>
  <c r="G103" i="9"/>
  <c r="H102" i="9"/>
  <c r="I102" i="9" s="1"/>
  <c r="J102" i="9" s="1"/>
  <c r="M101" i="9"/>
  <c r="L101" i="9"/>
  <c r="K101" i="9"/>
  <c r="N101" i="9"/>
  <c r="H101" i="7"/>
  <c r="I101" i="7" s="1"/>
  <c r="G102" i="7"/>
  <c r="K100" i="6"/>
  <c r="M100" i="6"/>
  <c r="L100" i="6"/>
  <c r="N100" i="6"/>
  <c r="G102" i="6"/>
  <c r="H101" i="6"/>
  <c r="I101" i="6" s="1"/>
  <c r="J101" i="6" s="1"/>
  <c r="S102" i="12" l="1"/>
  <c r="R102" i="12"/>
  <c r="Q103" i="12"/>
  <c r="P103" i="12"/>
  <c r="R101" i="11"/>
  <c r="J104" i="12"/>
  <c r="O104" i="12"/>
  <c r="K103" i="12"/>
  <c r="N103" i="12"/>
  <c r="M103" i="12"/>
  <c r="L103" i="12"/>
  <c r="G106" i="12"/>
  <c r="H105" i="12"/>
  <c r="I105" i="12" s="1"/>
  <c r="J103" i="11"/>
  <c r="O103" i="11"/>
  <c r="K102" i="11"/>
  <c r="L102" i="11"/>
  <c r="N102" i="11"/>
  <c r="M102" i="11"/>
  <c r="G105" i="11"/>
  <c r="H104" i="11"/>
  <c r="I104" i="11" s="1"/>
  <c r="Q102" i="11"/>
  <c r="S102" i="11" s="1"/>
  <c r="P102" i="11"/>
  <c r="R102" i="11" s="1"/>
  <c r="S101" i="11"/>
  <c r="O102" i="10"/>
  <c r="H103" i="10"/>
  <c r="I103" i="10" s="1"/>
  <c r="J103" i="10" s="1"/>
  <c r="G104" i="10"/>
  <c r="K101" i="10"/>
  <c r="N101" i="10"/>
  <c r="M101" i="10"/>
  <c r="L101" i="10"/>
  <c r="P101" i="10"/>
  <c r="Q101" i="10"/>
  <c r="R99" i="7"/>
  <c r="S99" i="7"/>
  <c r="Q100" i="7"/>
  <c r="S100" i="7" s="1"/>
  <c r="P100" i="7"/>
  <c r="M100" i="7"/>
  <c r="K100" i="7"/>
  <c r="N100" i="7"/>
  <c r="J101" i="7"/>
  <c r="M101" i="7" s="1"/>
  <c r="O101" i="7"/>
  <c r="M102" i="9"/>
  <c r="N102" i="9"/>
  <c r="L102" i="9"/>
  <c r="K102" i="9"/>
  <c r="G104" i="9"/>
  <c r="H103" i="9"/>
  <c r="I103" i="9" s="1"/>
  <c r="J103" i="9" s="1"/>
  <c r="H102" i="7"/>
  <c r="I102" i="7" s="1"/>
  <c r="G103" i="7"/>
  <c r="K101" i="6"/>
  <c r="M101" i="6"/>
  <c r="L101" i="6"/>
  <c r="N101" i="6"/>
  <c r="G103" i="6"/>
  <c r="H102" i="6"/>
  <c r="I102" i="6" s="1"/>
  <c r="J102" i="6" s="1"/>
  <c r="N104" i="12" l="1"/>
  <c r="M104" i="12"/>
  <c r="L104" i="12"/>
  <c r="K104" i="12"/>
  <c r="O105" i="12"/>
  <c r="J105" i="12"/>
  <c r="G107" i="12"/>
  <c r="H106" i="12"/>
  <c r="I106" i="12" s="1"/>
  <c r="R103" i="12"/>
  <c r="Q104" i="12"/>
  <c r="P104" i="12"/>
  <c r="S103" i="12"/>
  <c r="J104" i="11"/>
  <c r="O104" i="11"/>
  <c r="R101" i="10"/>
  <c r="G106" i="11"/>
  <c r="H105" i="11"/>
  <c r="I105" i="11" s="1"/>
  <c r="S101" i="10"/>
  <c r="P103" i="11"/>
  <c r="Q103" i="11"/>
  <c r="N103" i="11"/>
  <c r="M103" i="11"/>
  <c r="L103" i="11"/>
  <c r="K103" i="11"/>
  <c r="G105" i="10"/>
  <c r="H104" i="10"/>
  <c r="I104" i="10" s="1"/>
  <c r="J104" i="10" s="1"/>
  <c r="O103" i="10"/>
  <c r="Q102" i="10"/>
  <c r="P102" i="10"/>
  <c r="N102" i="10"/>
  <c r="M102" i="10"/>
  <c r="K102" i="10"/>
  <c r="L102" i="10"/>
  <c r="S102" i="10" s="1"/>
  <c r="R100" i="7"/>
  <c r="K101" i="7"/>
  <c r="N101" i="7"/>
  <c r="Q101" i="7"/>
  <c r="P101" i="7"/>
  <c r="J102" i="7"/>
  <c r="K102" i="7" s="1"/>
  <c r="O102" i="7"/>
  <c r="L101" i="7"/>
  <c r="S101" i="7" s="1"/>
  <c r="M103" i="9"/>
  <c r="L103" i="9"/>
  <c r="K103" i="9"/>
  <c r="N103" i="9"/>
  <c r="G105" i="9"/>
  <c r="H104" i="9"/>
  <c r="I104" i="9" s="1"/>
  <c r="J104" i="9" s="1"/>
  <c r="H103" i="7"/>
  <c r="I103" i="7" s="1"/>
  <c r="G104" i="7"/>
  <c r="K102" i="6"/>
  <c r="M102" i="6"/>
  <c r="L102" i="6"/>
  <c r="N102" i="6"/>
  <c r="G104" i="6"/>
  <c r="H103" i="6"/>
  <c r="I103" i="6" s="1"/>
  <c r="J103" i="6" s="1"/>
  <c r="R104" i="12" l="1"/>
  <c r="S104" i="12"/>
  <c r="O106" i="12"/>
  <c r="J106" i="12"/>
  <c r="G108" i="12"/>
  <c r="H107" i="12"/>
  <c r="I107" i="12" s="1"/>
  <c r="M105" i="12"/>
  <c r="L105" i="12"/>
  <c r="K105" i="12"/>
  <c r="N105" i="12"/>
  <c r="Q105" i="12"/>
  <c r="P105" i="12"/>
  <c r="R105" i="12" s="1"/>
  <c r="R102" i="10"/>
  <c r="S103" i="11"/>
  <c r="H106" i="11"/>
  <c r="I106" i="11" s="1"/>
  <c r="G107" i="11"/>
  <c r="R103" i="11"/>
  <c r="Q104" i="11"/>
  <c r="P104" i="11"/>
  <c r="O105" i="11"/>
  <c r="J105" i="11"/>
  <c r="M104" i="11"/>
  <c r="L104" i="11"/>
  <c r="K104" i="11"/>
  <c r="N104" i="11"/>
  <c r="Q103" i="10"/>
  <c r="P103" i="10"/>
  <c r="O104" i="10"/>
  <c r="K103" i="10"/>
  <c r="R103" i="10" s="1"/>
  <c r="N103" i="10"/>
  <c r="M103" i="10"/>
  <c r="L103" i="10"/>
  <c r="S103" i="10" s="1"/>
  <c r="G106" i="10"/>
  <c r="H105" i="10"/>
  <c r="I105" i="10" s="1"/>
  <c r="J105" i="10" s="1"/>
  <c r="R101" i="7"/>
  <c r="L102" i="7"/>
  <c r="M102" i="7"/>
  <c r="N102" i="7"/>
  <c r="J103" i="7"/>
  <c r="M103" i="7" s="1"/>
  <c r="O103" i="7"/>
  <c r="Q102" i="7"/>
  <c r="P102" i="7"/>
  <c r="R102" i="7" s="1"/>
  <c r="M104" i="9"/>
  <c r="N104" i="9"/>
  <c r="L104" i="9"/>
  <c r="K104" i="9"/>
  <c r="G106" i="9"/>
  <c r="H105" i="9"/>
  <c r="I105" i="9" s="1"/>
  <c r="J105" i="9" s="1"/>
  <c r="G105" i="7"/>
  <c r="H104" i="7"/>
  <c r="I104" i="7" s="1"/>
  <c r="K103" i="6"/>
  <c r="M103" i="6"/>
  <c r="L103" i="6"/>
  <c r="N103" i="6"/>
  <c r="G105" i="6"/>
  <c r="H104" i="6"/>
  <c r="I104" i="6" s="1"/>
  <c r="J104" i="6" s="1"/>
  <c r="O107" i="12" l="1"/>
  <c r="J107" i="12"/>
  <c r="G109" i="12"/>
  <c r="H108" i="12"/>
  <c r="I108" i="12" s="1"/>
  <c r="L106" i="12"/>
  <c r="K106" i="12"/>
  <c r="N106" i="12"/>
  <c r="M106" i="12"/>
  <c r="S105" i="12"/>
  <c r="P106" i="12"/>
  <c r="R106" i="12" s="1"/>
  <c r="Q106" i="12"/>
  <c r="P105" i="11"/>
  <c r="Q105" i="11"/>
  <c r="G108" i="11"/>
  <c r="H107" i="11"/>
  <c r="I107" i="11" s="1"/>
  <c r="R104" i="11"/>
  <c r="O106" i="11"/>
  <c r="J106" i="11"/>
  <c r="S104" i="11"/>
  <c r="L105" i="11"/>
  <c r="N105" i="11"/>
  <c r="K105" i="11"/>
  <c r="M105" i="11"/>
  <c r="S102" i="7"/>
  <c r="P104" i="10"/>
  <c r="Q104" i="10"/>
  <c r="O105" i="10"/>
  <c r="L104" i="10"/>
  <c r="N104" i="10"/>
  <c r="M104" i="10"/>
  <c r="K104" i="10"/>
  <c r="R104" i="10" s="1"/>
  <c r="G107" i="10"/>
  <c r="H106" i="10"/>
  <c r="I106" i="10" s="1"/>
  <c r="J106" i="10" s="1"/>
  <c r="K103" i="7"/>
  <c r="N103" i="7"/>
  <c r="L103" i="7"/>
  <c r="J104" i="7"/>
  <c r="N104" i="7" s="1"/>
  <c r="O104" i="7"/>
  <c r="Q103" i="7"/>
  <c r="P103" i="7"/>
  <c r="M105" i="9"/>
  <c r="L105" i="9"/>
  <c r="K105" i="9"/>
  <c r="N105" i="9"/>
  <c r="G107" i="9"/>
  <c r="H106" i="9"/>
  <c r="I106" i="9" s="1"/>
  <c r="J106" i="9" s="1"/>
  <c r="H105" i="7"/>
  <c r="I105" i="7" s="1"/>
  <c r="G106" i="7"/>
  <c r="K104" i="6"/>
  <c r="M104" i="6"/>
  <c r="L104" i="6"/>
  <c r="N104" i="6"/>
  <c r="G106" i="6"/>
  <c r="H105" i="6"/>
  <c r="I105" i="6" s="1"/>
  <c r="J105" i="6" s="1"/>
  <c r="J108" i="12" l="1"/>
  <c r="O108" i="12"/>
  <c r="S106" i="12"/>
  <c r="G110" i="12"/>
  <c r="H109" i="12"/>
  <c r="I109" i="12" s="1"/>
  <c r="K107" i="12"/>
  <c r="N107" i="12"/>
  <c r="M107" i="12"/>
  <c r="L107" i="12"/>
  <c r="Q107" i="12"/>
  <c r="P107" i="12"/>
  <c r="J107" i="11"/>
  <c r="O107" i="11"/>
  <c r="K106" i="11"/>
  <c r="M106" i="11"/>
  <c r="L106" i="11"/>
  <c r="N106" i="11"/>
  <c r="H108" i="11"/>
  <c r="I108" i="11" s="1"/>
  <c r="G109" i="11"/>
  <c r="Q106" i="11"/>
  <c r="S106" i="11" s="1"/>
  <c r="P106" i="11"/>
  <c r="R106" i="11" s="1"/>
  <c r="S105" i="11"/>
  <c r="S103" i="7"/>
  <c r="S104" i="10"/>
  <c r="R105" i="11"/>
  <c r="Q105" i="10"/>
  <c r="P105" i="10"/>
  <c r="O106" i="10"/>
  <c r="M105" i="10"/>
  <c r="L105" i="10"/>
  <c r="S105" i="10" s="1"/>
  <c r="K105" i="10"/>
  <c r="R105" i="10" s="1"/>
  <c r="N105" i="10"/>
  <c r="G108" i="10"/>
  <c r="H107" i="10"/>
  <c r="I107" i="10" s="1"/>
  <c r="J107" i="10" s="1"/>
  <c r="R103" i="7"/>
  <c r="Q104" i="7"/>
  <c r="P104" i="7"/>
  <c r="K104" i="7"/>
  <c r="R104" i="7" s="1"/>
  <c r="M104" i="7"/>
  <c r="L104" i="7"/>
  <c r="S104" i="7" s="1"/>
  <c r="J105" i="7"/>
  <c r="L105" i="7" s="1"/>
  <c r="O105" i="7"/>
  <c r="M106" i="9"/>
  <c r="N106" i="9"/>
  <c r="L106" i="9"/>
  <c r="K106" i="9"/>
  <c r="G108" i="9"/>
  <c r="H107" i="9"/>
  <c r="I107" i="9" s="1"/>
  <c r="J107" i="9" s="1"/>
  <c r="G107" i="7"/>
  <c r="H106" i="7"/>
  <c r="I106" i="7" s="1"/>
  <c r="K105" i="6"/>
  <c r="M105" i="6"/>
  <c r="L105" i="6"/>
  <c r="N105" i="6"/>
  <c r="G107" i="6"/>
  <c r="H106" i="6"/>
  <c r="I106" i="6" s="1"/>
  <c r="J106" i="6" s="1"/>
  <c r="G111" i="12" l="1"/>
  <c r="H110" i="12"/>
  <c r="I110" i="12" s="1"/>
  <c r="R107" i="12"/>
  <c r="S107" i="12"/>
  <c r="Q108" i="12"/>
  <c r="P108" i="12"/>
  <c r="O109" i="12"/>
  <c r="J109" i="12"/>
  <c r="N108" i="12"/>
  <c r="M108" i="12"/>
  <c r="L108" i="12"/>
  <c r="K108" i="12"/>
  <c r="G110" i="11"/>
  <c r="H109" i="11"/>
  <c r="I109" i="11" s="1"/>
  <c r="O108" i="11"/>
  <c r="J108" i="11"/>
  <c r="P107" i="11"/>
  <c r="Q107" i="11"/>
  <c r="N107" i="11"/>
  <c r="K107" i="11"/>
  <c r="M107" i="11"/>
  <c r="L107" i="11"/>
  <c r="L106" i="10"/>
  <c r="K106" i="10"/>
  <c r="R106" i="10" s="1"/>
  <c r="N106" i="10"/>
  <c r="M106" i="10"/>
  <c r="O107" i="10"/>
  <c r="Q106" i="10"/>
  <c r="P106" i="10"/>
  <c r="G109" i="10"/>
  <c r="H108" i="10"/>
  <c r="I108" i="10" s="1"/>
  <c r="J108" i="10" s="1"/>
  <c r="N105" i="7"/>
  <c r="M105" i="7"/>
  <c r="J106" i="7"/>
  <c r="L106" i="7" s="1"/>
  <c r="O106" i="7"/>
  <c r="Q105" i="7"/>
  <c r="S105" i="7" s="1"/>
  <c r="P105" i="7"/>
  <c r="K105" i="7"/>
  <c r="M107" i="9"/>
  <c r="L107" i="9"/>
  <c r="K107" i="9"/>
  <c r="N107" i="9"/>
  <c r="G109" i="9"/>
  <c r="H108" i="9"/>
  <c r="I108" i="9" s="1"/>
  <c r="J108" i="9" s="1"/>
  <c r="H107" i="7"/>
  <c r="I107" i="7" s="1"/>
  <c r="G108" i="7"/>
  <c r="K106" i="6"/>
  <c r="N106" i="6"/>
  <c r="M106" i="6"/>
  <c r="L106" i="6"/>
  <c r="G108" i="6"/>
  <c r="H107" i="6"/>
  <c r="I107" i="6" s="1"/>
  <c r="J107" i="6" s="1"/>
  <c r="M109" i="12" l="1"/>
  <c r="L109" i="12"/>
  <c r="K109" i="12"/>
  <c r="N109" i="12"/>
  <c r="Q109" i="12"/>
  <c r="P109" i="12"/>
  <c r="R108" i="12"/>
  <c r="O110" i="12"/>
  <c r="J110" i="12"/>
  <c r="S108" i="12"/>
  <c r="H111" i="12"/>
  <c r="I111" i="12" s="1"/>
  <c r="G112" i="12"/>
  <c r="M108" i="11"/>
  <c r="N108" i="11"/>
  <c r="L108" i="11"/>
  <c r="K108" i="11"/>
  <c r="S106" i="10"/>
  <c r="Q108" i="11"/>
  <c r="P108" i="11"/>
  <c r="S107" i="11"/>
  <c r="J109" i="11"/>
  <c r="O109" i="11"/>
  <c r="R107" i="11"/>
  <c r="G111" i="11"/>
  <c r="H110" i="11"/>
  <c r="I110" i="11" s="1"/>
  <c r="K107" i="10"/>
  <c r="N107" i="10"/>
  <c r="M107" i="10"/>
  <c r="L107" i="10"/>
  <c r="O108" i="10"/>
  <c r="H109" i="10"/>
  <c r="I109" i="10" s="1"/>
  <c r="J109" i="10" s="1"/>
  <c r="G110" i="10"/>
  <c r="Q107" i="10"/>
  <c r="P107" i="10"/>
  <c r="R105" i="7"/>
  <c r="J107" i="7"/>
  <c r="N107" i="7" s="1"/>
  <c r="O107" i="7"/>
  <c r="N106" i="7"/>
  <c r="M106" i="7"/>
  <c r="K106" i="7"/>
  <c r="Q106" i="7"/>
  <c r="S106" i="7" s="1"/>
  <c r="P106" i="7"/>
  <c r="M108" i="9"/>
  <c r="N108" i="9"/>
  <c r="L108" i="9"/>
  <c r="K108" i="9"/>
  <c r="G110" i="9"/>
  <c r="H109" i="9"/>
  <c r="I109" i="9" s="1"/>
  <c r="J109" i="9" s="1"/>
  <c r="G109" i="7"/>
  <c r="H108" i="7"/>
  <c r="I108" i="7" s="1"/>
  <c r="K107" i="6"/>
  <c r="N107" i="6"/>
  <c r="M107" i="6"/>
  <c r="L107" i="6"/>
  <c r="G109" i="6"/>
  <c r="H108" i="6"/>
  <c r="I108" i="6" s="1"/>
  <c r="J108" i="6" s="1"/>
  <c r="G113" i="12" l="1"/>
  <c r="H112" i="12"/>
  <c r="I112" i="12" s="1"/>
  <c r="P110" i="12"/>
  <c r="Q110" i="12"/>
  <c r="S110" i="12" s="1"/>
  <c r="R108" i="11"/>
  <c r="O111" i="12"/>
  <c r="J111" i="12"/>
  <c r="R109" i="12"/>
  <c r="L110" i="12"/>
  <c r="K110" i="12"/>
  <c r="N110" i="12"/>
  <c r="M110" i="12"/>
  <c r="S109" i="12"/>
  <c r="G112" i="11"/>
  <c r="H111" i="11"/>
  <c r="I111" i="11" s="1"/>
  <c r="R107" i="10"/>
  <c r="P109" i="11"/>
  <c r="Q109" i="11"/>
  <c r="S108" i="11"/>
  <c r="S107" i="10"/>
  <c r="O110" i="11"/>
  <c r="J110" i="11"/>
  <c r="N109" i="11"/>
  <c r="L109" i="11"/>
  <c r="M109" i="11"/>
  <c r="K109" i="11"/>
  <c r="O109" i="10"/>
  <c r="N108" i="10"/>
  <c r="M108" i="10"/>
  <c r="L108" i="10"/>
  <c r="K108" i="10"/>
  <c r="G111" i="10"/>
  <c r="H110" i="10"/>
  <c r="I110" i="10" s="1"/>
  <c r="J110" i="10" s="1"/>
  <c r="P108" i="10"/>
  <c r="Q108" i="10"/>
  <c r="R106" i="7"/>
  <c r="Q107" i="7"/>
  <c r="P107" i="7"/>
  <c r="M107" i="7"/>
  <c r="J108" i="7"/>
  <c r="L108" i="7" s="1"/>
  <c r="O108" i="7"/>
  <c r="K107" i="7"/>
  <c r="R107" i="7" s="1"/>
  <c r="L107" i="7"/>
  <c r="M109" i="9"/>
  <c r="L109" i="9"/>
  <c r="K109" i="9"/>
  <c r="N109" i="9"/>
  <c r="G111" i="9"/>
  <c r="H110" i="9"/>
  <c r="I110" i="9" s="1"/>
  <c r="J110" i="9" s="1"/>
  <c r="H109" i="7"/>
  <c r="I109" i="7" s="1"/>
  <c r="G110" i="7"/>
  <c r="K108" i="6"/>
  <c r="N108" i="6"/>
  <c r="M108" i="6"/>
  <c r="L108" i="6"/>
  <c r="G110" i="6"/>
  <c r="H109" i="6"/>
  <c r="I109" i="6" s="1"/>
  <c r="J109" i="6" s="1"/>
  <c r="K111" i="12" l="1"/>
  <c r="N111" i="12"/>
  <c r="M111" i="12"/>
  <c r="L111" i="12"/>
  <c r="R110" i="12"/>
  <c r="S108" i="10"/>
  <c r="Q111" i="12"/>
  <c r="P111" i="12"/>
  <c r="R111" i="12" s="1"/>
  <c r="J112" i="12"/>
  <c r="O112" i="12"/>
  <c r="G114" i="12"/>
  <c r="H113" i="12"/>
  <c r="I113" i="12" s="1"/>
  <c r="Q110" i="11"/>
  <c r="P110" i="11"/>
  <c r="R109" i="11"/>
  <c r="R108" i="10"/>
  <c r="J111" i="11"/>
  <c r="O111" i="11"/>
  <c r="M110" i="11"/>
  <c r="K110" i="11"/>
  <c r="L110" i="11"/>
  <c r="N110" i="11"/>
  <c r="S109" i="11"/>
  <c r="H112" i="11"/>
  <c r="I112" i="11" s="1"/>
  <c r="G113" i="11"/>
  <c r="O110" i="10"/>
  <c r="G112" i="10"/>
  <c r="H111" i="10"/>
  <c r="I111" i="10" s="1"/>
  <c r="J111" i="10" s="1"/>
  <c r="M109" i="10"/>
  <c r="L109" i="10"/>
  <c r="K109" i="10"/>
  <c r="N109" i="10"/>
  <c r="Q109" i="10"/>
  <c r="P109" i="10"/>
  <c r="S107" i="7"/>
  <c r="M108" i="7"/>
  <c r="J109" i="7"/>
  <c r="N109" i="7" s="1"/>
  <c r="O109" i="7"/>
  <c r="N108" i="7"/>
  <c r="K108" i="7"/>
  <c r="Q108" i="7"/>
  <c r="S108" i="7" s="1"/>
  <c r="P108" i="7"/>
  <c r="M110" i="9"/>
  <c r="N110" i="9"/>
  <c r="L110" i="9"/>
  <c r="K110" i="9"/>
  <c r="G112" i="9"/>
  <c r="H111" i="9"/>
  <c r="I111" i="9" s="1"/>
  <c r="J111" i="9" s="1"/>
  <c r="G111" i="7"/>
  <c r="H110" i="7"/>
  <c r="I110" i="7" s="1"/>
  <c r="K109" i="6"/>
  <c r="N109" i="6"/>
  <c r="M109" i="6"/>
  <c r="L109" i="6"/>
  <c r="G111" i="6"/>
  <c r="H110" i="6"/>
  <c r="I110" i="6" s="1"/>
  <c r="J110" i="6" s="1"/>
  <c r="O113" i="12" l="1"/>
  <c r="J113" i="12"/>
  <c r="G115" i="12"/>
  <c r="H114" i="12"/>
  <c r="I114" i="12" s="1"/>
  <c r="S111" i="12"/>
  <c r="Q112" i="12"/>
  <c r="P112" i="12"/>
  <c r="N112" i="12"/>
  <c r="M112" i="12"/>
  <c r="L112" i="12"/>
  <c r="K112" i="12"/>
  <c r="O112" i="11"/>
  <c r="J112" i="11"/>
  <c r="R109" i="10"/>
  <c r="S109" i="10"/>
  <c r="P111" i="11"/>
  <c r="Q111" i="11"/>
  <c r="R110" i="11"/>
  <c r="G114" i="11"/>
  <c r="H113" i="11"/>
  <c r="I113" i="11" s="1"/>
  <c r="L111" i="11"/>
  <c r="N111" i="11"/>
  <c r="M111" i="11"/>
  <c r="K111" i="11"/>
  <c r="S110" i="11"/>
  <c r="O111" i="10"/>
  <c r="H112" i="10"/>
  <c r="I112" i="10" s="1"/>
  <c r="J112" i="10" s="1"/>
  <c r="G113" i="10"/>
  <c r="N110" i="10"/>
  <c r="M110" i="10"/>
  <c r="L110" i="10"/>
  <c r="S110" i="10" s="1"/>
  <c r="K110" i="10"/>
  <c r="Q110" i="10"/>
  <c r="P110" i="10"/>
  <c r="R108" i="7"/>
  <c r="Q109" i="7"/>
  <c r="P109" i="7"/>
  <c r="K109" i="7"/>
  <c r="R109" i="7" s="1"/>
  <c r="L109" i="7"/>
  <c r="M109" i="7"/>
  <c r="J110" i="7"/>
  <c r="K110" i="7" s="1"/>
  <c r="O110" i="7"/>
  <c r="M111" i="9"/>
  <c r="L111" i="9"/>
  <c r="K111" i="9"/>
  <c r="N111" i="9"/>
  <c r="G113" i="9"/>
  <c r="H112" i="9"/>
  <c r="I112" i="9" s="1"/>
  <c r="J112" i="9" s="1"/>
  <c r="H111" i="7"/>
  <c r="I111" i="7" s="1"/>
  <c r="G112" i="7"/>
  <c r="K110" i="6"/>
  <c r="N110" i="6"/>
  <c r="M110" i="6"/>
  <c r="L110" i="6"/>
  <c r="G112" i="6"/>
  <c r="H111" i="6"/>
  <c r="I111" i="6" s="1"/>
  <c r="J111" i="6" s="1"/>
  <c r="O114" i="12" l="1"/>
  <c r="J114" i="12"/>
  <c r="R112" i="12"/>
  <c r="H115" i="12"/>
  <c r="I115" i="12" s="1"/>
  <c r="G116" i="12"/>
  <c r="S112" i="12"/>
  <c r="M113" i="12"/>
  <c r="L113" i="12"/>
  <c r="K113" i="12"/>
  <c r="N113" i="12"/>
  <c r="Q113" i="12"/>
  <c r="P113" i="12"/>
  <c r="R113" i="12" s="1"/>
  <c r="G115" i="11"/>
  <c r="H114" i="11"/>
  <c r="I114" i="11" s="1"/>
  <c r="S111" i="11"/>
  <c r="K112" i="11"/>
  <c r="M112" i="11"/>
  <c r="N112" i="11"/>
  <c r="L112" i="11"/>
  <c r="R110" i="10"/>
  <c r="J113" i="11"/>
  <c r="O113" i="11"/>
  <c r="R111" i="11"/>
  <c r="Q112" i="11"/>
  <c r="P112" i="11"/>
  <c r="O112" i="10"/>
  <c r="H113" i="10"/>
  <c r="I113" i="10" s="1"/>
  <c r="J113" i="10" s="1"/>
  <c r="G114" i="10"/>
  <c r="P111" i="10"/>
  <c r="Q111" i="10"/>
  <c r="N111" i="10"/>
  <c r="K111" i="10"/>
  <c r="M111" i="10"/>
  <c r="L111" i="10"/>
  <c r="S111" i="10" s="1"/>
  <c r="S109" i="7"/>
  <c r="Q110" i="7"/>
  <c r="P110" i="7"/>
  <c r="R110" i="7" s="1"/>
  <c r="L110" i="7"/>
  <c r="M110" i="7"/>
  <c r="J111" i="7"/>
  <c r="K111" i="7" s="1"/>
  <c r="O111" i="7"/>
  <c r="N110" i="7"/>
  <c r="M112" i="9"/>
  <c r="N112" i="9"/>
  <c r="L112" i="9"/>
  <c r="K112" i="9"/>
  <c r="G114" i="9"/>
  <c r="H113" i="9"/>
  <c r="I113" i="9" s="1"/>
  <c r="J113" i="9" s="1"/>
  <c r="G113" i="7"/>
  <c r="H112" i="7"/>
  <c r="I112" i="7" s="1"/>
  <c r="K111" i="6"/>
  <c r="N111" i="6"/>
  <c r="M111" i="6"/>
  <c r="L111" i="6"/>
  <c r="G113" i="6"/>
  <c r="H112" i="6"/>
  <c r="I112" i="6" s="1"/>
  <c r="J112" i="6" s="1"/>
  <c r="S113" i="12" l="1"/>
  <c r="R111" i="10"/>
  <c r="S112" i="11"/>
  <c r="O115" i="12"/>
  <c r="J115" i="12"/>
  <c r="L114" i="12"/>
  <c r="K114" i="12"/>
  <c r="N114" i="12"/>
  <c r="M114" i="12"/>
  <c r="G117" i="12"/>
  <c r="H116" i="12"/>
  <c r="I116" i="12" s="1"/>
  <c r="P114" i="12"/>
  <c r="R114" i="12" s="1"/>
  <c r="Q114" i="12"/>
  <c r="S114" i="12" s="1"/>
  <c r="P113" i="11"/>
  <c r="Q113" i="11"/>
  <c r="O114" i="11"/>
  <c r="J114" i="11"/>
  <c r="R112" i="11"/>
  <c r="N113" i="11"/>
  <c r="L113" i="11"/>
  <c r="M113" i="11"/>
  <c r="K113" i="11"/>
  <c r="G116" i="11"/>
  <c r="H115" i="11"/>
  <c r="I115" i="11" s="1"/>
  <c r="G115" i="10"/>
  <c r="H114" i="10"/>
  <c r="I114" i="10" s="1"/>
  <c r="J114" i="10" s="1"/>
  <c r="O113" i="10"/>
  <c r="P112" i="10"/>
  <c r="Q112" i="10"/>
  <c r="L112" i="10"/>
  <c r="K112" i="10"/>
  <c r="M112" i="10"/>
  <c r="N112" i="10"/>
  <c r="S110" i="7"/>
  <c r="N111" i="7"/>
  <c r="L111" i="7"/>
  <c r="M111" i="7"/>
  <c r="J112" i="7"/>
  <c r="K112" i="7" s="1"/>
  <c r="O112" i="7"/>
  <c r="Q111" i="7"/>
  <c r="P111" i="7"/>
  <c r="R111" i="7" s="1"/>
  <c r="M113" i="9"/>
  <c r="L113" i="9"/>
  <c r="K113" i="9"/>
  <c r="N113" i="9"/>
  <c r="G115" i="9"/>
  <c r="H114" i="9"/>
  <c r="I114" i="9" s="1"/>
  <c r="J114" i="9" s="1"/>
  <c r="H113" i="7"/>
  <c r="I113" i="7" s="1"/>
  <c r="G114" i="7"/>
  <c r="K112" i="6"/>
  <c r="N112" i="6"/>
  <c r="M112" i="6"/>
  <c r="L112" i="6"/>
  <c r="G114" i="6"/>
  <c r="H113" i="6"/>
  <c r="I113" i="6" s="1"/>
  <c r="J113" i="6" s="1"/>
  <c r="K115" i="12" l="1"/>
  <c r="N115" i="12"/>
  <c r="M115" i="12"/>
  <c r="L115" i="12"/>
  <c r="Q115" i="12"/>
  <c r="P115" i="12"/>
  <c r="R115" i="12" s="1"/>
  <c r="J116" i="12"/>
  <c r="O116" i="12"/>
  <c r="S112" i="10"/>
  <c r="G118" i="12"/>
  <c r="H117" i="12"/>
  <c r="I117" i="12" s="1"/>
  <c r="M114" i="11"/>
  <c r="L114" i="11"/>
  <c r="K114" i="11"/>
  <c r="N114" i="11"/>
  <c r="O115" i="11"/>
  <c r="J115" i="11"/>
  <c r="Q114" i="11"/>
  <c r="S114" i="11" s="1"/>
  <c r="P114" i="11"/>
  <c r="R114" i="11" s="1"/>
  <c r="R112" i="10"/>
  <c r="H116" i="11"/>
  <c r="I116" i="11" s="1"/>
  <c r="G117" i="11"/>
  <c r="S113" i="11"/>
  <c r="R113" i="11"/>
  <c r="M113" i="10"/>
  <c r="N113" i="10"/>
  <c r="L113" i="10"/>
  <c r="S113" i="10" s="1"/>
  <c r="K113" i="10"/>
  <c r="P113" i="10"/>
  <c r="Q113" i="10"/>
  <c r="O114" i="10"/>
  <c r="G116" i="10"/>
  <c r="H115" i="10"/>
  <c r="I115" i="10" s="1"/>
  <c r="J115" i="10" s="1"/>
  <c r="S111" i="7"/>
  <c r="M112" i="7"/>
  <c r="L112" i="7"/>
  <c r="J113" i="7"/>
  <c r="K113" i="7" s="1"/>
  <c r="O113" i="7"/>
  <c r="N112" i="7"/>
  <c r="Q112" i="7"/>
  <c r="P112" i="7"/>
  <c r="R112" i="7" s="1"/>
  <c r="M114" i="9"/>
  <c r="N114" i="9"/>
  <c r="L114" i="9"/>
  <c r="K114" i="9"/>
  <c r="G116" i="9"/>
  <c r="H115" i="9"/>
  <c r="I115" i="9" s="1"/>
  <c r="J115" i="9" s="1"/>
  <c r="G115" i="7"/>
  <c r="H114" i="7"/>
  <c r="I114" i="7" s="1"/>
  <c r="K113" i="6"/>
  <c r="N113" i="6"/>
  <c r="M113" i="6"/>
  <c r="L113" i="6"/>
  <c r="G115" i="6"/>
  <c r="H114" i="6"/>
  <c r="I114" i="6" s="1"/>
  <c r="J114" i="6" s="1"/>
  <c r="Q116" i="12" l="1"/>
  <c r="P116" i="12"/>
  <c r="N116" i="12"/>
  <c r="M116" i="12"/>
  <c r="L116" i="12"/>
  <c r="K116" i="12"/>
  <c r="O117" i="12"/>
  <c r="J117" i="12"/>
  <c r="G119" i="12"/>
  <c r="H118" i="12"/>
  <c r="I118" i="12" s="1"/>
  <c r="S115" i="12"/>
  <c r="G118" i="11"/>
  <c r="H117" i="11"/>
  <c r="I117" i="11" s="1"/>
  <c r="O116" i="11"/>
  <c r="J116" i="11"/>
  <c r="L115" i="11"/>
  <c r="K115" i="11"/>
  <c r="N115" i="11"/>
  <c r="M115" i="11"/>
  <c r="R113" i="10"/>
  <c r="P115" i="11"/>
  <c r="R115" i="11" s="1"/>
  <c r="Q115" i="11"/>
  <c r="N114" i="10"/>
  <c r="M114" i="10"/>
  <c r="L114" i="10"/>
  <c r="K114" i="10"/>
  <c r="R114" i="10" s="1"/>
  <c r="O115" i="10"/>
  <c r="Q114" i="10"/>
  <c r="P114" i="10"/>
  <c r="G117" i="10"/>
  <c r="H116" i="10"/>
  <c r="I116" i="10" s="1"/>
  <c r="J116" i="10" s="1"/>
  <c r="Q113" i="7"/>
  <c r="P113" i="7"/>
  <c r="R113" i="7" s="1"/>
  <c r="L113" i="7"/>
  <c r="N113" i="7"/>
  <c r="M113" i="7"/>
  <c r="J114" i="7"/>
  <c r="L114" i="7" s="1"/>
  <c r="O114" i="7"/>
  <c r="S112" i="7"/>
  <c r="M115" i="9"/>
  <c r="L115" i="9"/>
  <c r="K115" i="9"/>
  <c r="N115" i="9"/>
  <c r="G117" i="9"/>
  <c r="H116" i="9"/>
  <c r="I116" i="9" s="1"/>
  <c r="J116" i="9" s="1"/>
  <c r="H115" i="7"/>
  <c r="I115" i="7" s="1"/>
  <c r="G116" i="7"/>
  <c r="K114" i="6"/>
  <c r="N114" i="6"/>
  <c r="M114" i="6"/>
  <c r="L114" i="6"/>
  <c r="G116" i="6"/>
  <c r="H115" i="6"/>
  <c r="I115" i="6" s="1"/>
  <c r="J115" i="6" s="1"/>
  <c r="M117" i="12" l="1"/>
  <c r="L117" i="12"/>
  <c r="K117" i="12"/>
  <c r="N117" i="12"/>
  <c r="Q117" i="12"/>
  <c r="P117" i="12"/>
  <c r="S115" i="11"/>
  <c r="O118" i="12"/>
  <c r="J118" i="12"/>
  <c r="R116" i="12"/>
  <c r="S114" i="10"/>
  <c r="H119" i="12"/>
  <c r="I119" i="12" s="1"/>
  <c r="G120" i="12"/>
  <c r="S116" i="12"/>
  <c r="K116" i="11"/>
  <c r="N116" i="11"/>
  <c r="M116" i="11"/>
  <c r="L116" i="11"/>
  <c r="Q116" i="11"/>
  <c r="P116" i="11"/>
  <c r="R116" i="11" s="1"/>
  <c r="J117" i="11"/>
  <c r="O117" i="11"/>
  <c r="G119" i="11"/>
  <c r="H118" i="11"/>
  <c r="I118" i="11" s="1"/>
  <c r="M115" i="10"/>
  <c r="L115" i="10"/>
  <c r="N115" i="10"/>
  <c r="K115" i="10"/>
  <c r="O116" i="10"/>
  <c r="H117" i="10"/>
  <c r="I117" i="10" s="1"/>
  <c r="J117" i="10" s="1"/>
  <c r="G118" i="10"/>
  <c r="Q115" i="10"/>
  <c r="P115" i="10"/>
  <c r="S113" i="7"/>
  <c r="M114" i="7"/>
  <c r="J115" i="7"/>
  <c r="L115" i="7" s="1"/>
  <c r="O115" i="7"/>
  <c r="N114" i="7"/>
  <c r="Q114" i="7"/>
  <c r="S114" i="7" s="1"/>
  <c r="P114" i="7"/>
  <c r="K114" i="7"/>
  <c r="M116" i="9"/>
  <c r="N116" i="9"/>
  <c r="L116" i="9"/>
  <c r="K116" i="9"/>
  <c r="G118" i="9"/>
  <c r="H117" i="9"/>
  <c r="I117" i="9" s="1"/>
  <c r="J117" i="9" s="1"/>
  <c r="G117" i="7"/>
  <c r="H116" i="7"/>
  <c r="I116" i="7" s="1"/>
  <c r="K115" i="6"/>
  <c r="N115" i="6"/>
  <c r="M115" i="6"/>
  <c r="L115" i="6"/>
  <c r="G117" i="6"/>
  <c r="H116" i="6"/>
  <c r="I116" i="6" s="1"/>
  <c r="J116" i="6" s="1"/>
  <c r="O119" i="12" l="1"/>
  <c r="J119" i="12"/>
  <c r="P118" i="12"/>
  <c r="Q118" i="12"/>
  <c r="S115" i="10"/>
  <c r="R117" i="12"/>
  <c r="G121" i="12"/>
  <c r="H120" i="12"/>
  <c r="I120" i="12" s="1"/>
  <c r="L118" i="12"/>
  <c r="K118" i="12"/>
  <c r="N118" i="12"/>
  <c r="M118" i="12"/>
  <c r="S117" i="12"/>
  <c r="Q117" i="11"/>
  <c r="P117" i="11"/>
  <c r="N117" i="11"/>
  <c r="M117" i="11"/>
  <c r="L117" i="11"/>
  <c r="K117" i="11"/>
  <c r="R115" i="10"/>
  <c r="O118" i="11"/>
  <c r="J118" i="11"/>
  <c r="G120" i="11"/>
  <c r="H119" i="11"/>
  <c r="I119" i="11" s="1"/>
  <c r="S116" i="11"/>
  <c r="G119" i="10"/>
  <c r="H118" i="10"/>
  <c r="I118" i="10" s="1"/>
  <c r="J118" i="10" s="1"/>
  <c r="O117" i="10"/>
  <c r="L116" i="10"/>
  <c r="K116" i="10"/>
  <c r="M116" i="10"/>
  <c r="N116" i="10"/>
  <c r="Q116" i="10"/>
  <c r="P116" i="10"/>
  <c r="R114" i="7"/>
  <c r="Q115" i="7"/>
  <c r="S115" i="7" s="1"/>
  <c r="P115" i="7"/>
  <c r="N115" i="7"/>
  <c r="M115" i="7"/>
  <c r="J116" i="7"/>
  <c r="K116" i="7" s="1"/>
  <c r="O116" i="7"/>
  <c r="K115" i="7"/>
  <c r="M117" i="9"/>
  <c r="L117" i="9"/>
  <c r="K117" i="9"/>
  <c r="N117" i="9"/>
  <c r="G119" i="9"/>
  <c r="H118" i="9"/>
  <c r="I118" i="9" s="1"/>
  <c r="J118" i="9" s="1"/>
  <c r="H117" i="7"/>
  <c r="I117" i="7" s="1"/>
  <c r="G118" i="7"/>
  <c r="K116" i="6"/>
  <c r="N116" i="6"/>
  <c r="M116" i="6"/>
  <c r="L116" i="6"/>
  <c r="G118" i="6"/>
  <c r="H117" i="6"/>
  <c r="I117" i="6" s="1"/>
  <c r="J117" i="6" s="1"/>
  <c r="J120" i="12" l="1"/>
  <c r="O120" i="12"/>
  <c r="S118" i="12"/>
  <c r="G122" i="12"/>
  <c r="H121" i="12"/>
  <c r="I121" i="12" s="1"/>
  <c r="R118" i="12"/>
  <c r="K119" i="12"/>
  <c r="N119" i="12"/>
  <c r="M119" i="12"/>
  <c r="L119" i="12"/>
  <c r="Q119" i="12"/>
  <c r="P119" i="12"/>
  <c r="R119" i="12" s="1"/>
  <c r="S116" i="10"/>
  <c r="Q118" i="11"/>
  <c r="P118" i="11"/>
  <c r="O119" i="11"/>
  <c r="J119" i="11"/>
  <c r="H120" i="11"/>
  <c r="I120" i="11" s="1"/>
  <c r="G121" i="11"/>
  <c r="R117" i="11"/>
  <c r="R115" i="7"/>
  <c r="R116" i="10"/>
  <c r="M118" i="11"/>
  <c r="L118" i="11"/>
  <c r="K118" i="11"/>
  <c r="N118" i="11"/>
  <c r="S117" i="11"/>
  <c r="K117" i="10"/>
  <c r="R117" i="10" s="1"/>
  <c r="N117" i="10"/>
  <c r="M117" i="10"/>
  <c r="L117" i="10"/>
  <c r="O118" i="10"/>
  <c r="Q117" i="10"/>
  <c r="P117" i="10"/>
  <c r="H119" i="10"/>
  <c r="I119" i="10" s="1"/>
  <c r="J119" i="10" s="1"/>
  <c r="G120" i="10"/>
  <c r="M116" i="7"/>
  <c r="J117" i="7"/>
  <c r="N117" i="7" s="1"/>
  <c r="O117" i="7"/>
  <c r="N116" i="7"/>
  <c r="Q116" i="7"/>
  <c r="P116" i="7"/>
  <c r="R116" i="7" s="1"/>
  <c r="L116" i="7"/>
  <c r="M118" i="9"/>
  <c r="N118" i="9"/>
  <c r="L118" i="9"/>
  <c r="K118" i="9"/>
  <c r="G120" i="9"/>
  <c r="H119" i="9"/>
  <c r="I119" i="9" s="1"/>
  <c r="J119" i="9" s="1"/>
  <c r="G119" i="7"/>
  <c r="H118" i="7"/>
  <c r="I118" i="7" s="1"/>
  <c r="K117" i="6"/>
  <c r="N117" i="6"/>
  <c r="M117" i="6"/>
  <c r="L117" i="6"/>
  <c r="G119" i="6"/>
  <c r="H118" i="6"/>
  <c r="I118" i="6" s="1"/>
  <c r="J118" i="6" s="1"/>
  <c r="G123" i="12" l="1"/>
  <c r="H122" i="12"/>
  <c r="I122" i="12" s="1"/>
  <c r="S117" i="10"/>
  <c r="R118" i="11"/>
  <c r="S119" i="12"/>
  <c r="Q120" i="12"/>
  <c r="P120" i="12"/>
  <c r="O121" i="12"/>
  <c r="J121" i="12"/>
  <c r="N120" i="12"/>
  <c r="M120" i="12"/>
  <c r="L120" i="12"/>
  <c r="K120" i="12"/>
  <c r="G122" i="11"/>
  <c r="H121" i="11"/>
  <c r="I121" i="11" s="1"/>
  <c r="P119" i="11"/>
  <c r="Q119" i="11"/>
  <c r="O120" i="11"/>
  <c r="J120" i="11"/>
  <c r="S118" i="11"/>
  <c r="L119" i="11"/>
  <c r="K119" i="11"/>
  <c r="N119" i="11"/>
  <c r="M119" i="11"/>
  <c r="L118" i="10"/>
  <c r="M118" i="10"/>
  <c r="K118" i="10"/>
  <c r="N118" i="10"/>
  <c r="H120" i="10"/>
  <c r="I120" i="10" s="1"/>
  <c r="J120" i="10" s="1"/>
  <c r="G121" i="10"/>
  <c r="O119" i="10"/>
  <c r="P118" i="10"/>
  <c r="Q118" i="10"/>
  <c r="S116" i="7"/>
  <c r="K117" i="7"/>
  <c r="M117" i="7"/>
  <c r="L117" i="7"/>
  <c r="J118" i="7"/>
  <c r="M118" i="7" s="1"/>
  <c r="O118" i="7"/>
  <c r="Q117" i="7"/>
  <c r="P117" i="7"/>
  <c r="M119" i="9"/>
  <c r="L119" i="9"/>
  <c r="K119" i="9"/>
  <c r="N119" i="9"/>
  <c r="G121" i="9"/>
  <c r="H120" i="9"/>
  <c r="I120" i="9" s="1"/>
  <c r="J120" i="9" s="1"/>
  <c r="H119" i="7"/>
  <c r="I119" i="7" s="1"/>
  <c r="G120" i="7"/>
  <c r="K118" i="6"/>
  <c r="N118" i="6"/>
  <c r="M118" i="6"/>
  <c r="L118" i="6"/>
  <c r="G120" i="6"/>
  <c r="H119" i="6"/>
  <c r="I119" i="6" s="1"/>
  <c r="J119" i="6" s="1"/>
  <c r="R118" i="10" l="1"/>
  <c r="R120" i="12"/>
  <c r="S120" i="12"/>
  <c r="O122" i="12"/>
  <c r="J122" i="12"/>
  <c r="Q121" i="12"/>
  <c r="P121" i="12"/>
  <c r="R121" i="12" s="1"/>
  <c r="M121" i="12"/>
  <c r="L121" i="12"/>
  <c r="K121" i="12"/>
  <c r="N121" i="12"/>
  <c r="G124" i="12"/>
  <c r="H123" i="12"/>
  <c r="I123" i="12" s="1"/>
  <c r="S118" i="10"/>
  <c r="S119" i="11"/>
  <c r="R119" i="11"/>
  <c r="K120" i="11"/>
  <c r="N120" i="11"/>
  <c r="M120" i="11"/>
  <c r="L120" i="11"/>
  <c r="J121" i="11"/>
  <c r="O121" i="11"/>
  <c r="Q120" i="11"/>
  <c r="P120" i="11"/>
  <c r="G123" i="11"/>
  <c r="H122" i="11"/>
  <c r="I122" i="11" s="1"/>
  <c r="Q119" i="10"/>
  <c r="P119" i="10"/>
  <c r="G122" i="10"/>
  <c r="H121" i="10"/>
  <c r="I121" i="10" s="1"/>
  <c r="J121" i="10" s="1"/>
  <c r="K119" i="10"/>
  <c r="N119" i="10"/>
  <c r="M119" i="10"/>
  <c r="L119" i="10"/>
  <c r="S119" i="10" s="1"/>
  <c r="O120" i="10"/>
  <c r="R117" i="7"/>
  <c r="Q118" i="7"/>
  <c r="P118" i="7"/>
  <c r="J119" i="7"/>
  <c r="N119" i="7" s="1"/>
  <c r="O119" i="7"/>
  <c r="N118" i="7"/>
  <c r="K118" i="7"/>
  <c r="L118" i="7"/>
  <c r="S117" i="7"/>
  <c r="M120" i="9"/>
  <c r="N120" i="9"/>
  <c r="L120" i="9"/>
  <c r="K120" i="9"/>
  <c r="G122" i="9"/>
  <c r="H121" i="9"/>
  <c r="I121" i="9" s="1"/>
  <c r="J121" i="9" s="1"/>
  <c r="G121" i="7"/>
  <c r="H120" i="7"/>
  <c r="I120" i="7" s="1"/>
  <c r="K119" i="6"/>
  <c r="N119" i="6"/>
  <c r="M119" i="6"/>
  <c r="L119" i="6"/>
  <c r="G121" i="6"/>
  <c r="H120" i="6"/>
  <c r="I120" i="6" s="1"/>
  <c r="J120" i="6" s="1"/>
  <c r="G125" i="12" l="1"/>
  <c r="H124" i="12"/>
  <c r="I124" i="12" s="1"/>
  <c r="P122" i="12"/>
  <c r="R122" i="12" s="1"/>
  <c r="Q122" i="12"/>
  <c r="S121" i="12"/>
  <c r="O123" i="12"/>
  <c r="J123" i="12"/>
  <c r="L122" i="12"/>
  <c r="K122" i="12"/>
  <c r="N122" i="12"/>
  <c r="M122" i="12"/>
  <c r="G124" i="11"/>
  <c r="H123" i="11"/>
  <c r="I123" i="11" s="1"/>
  <c r="R120" i="11"/>
  <c r="N121" i="11"/>
  <c r="M121" i="11"/>
  <c r="L121" i="11"/>
  <c r="K121" i="11"/>
  <c r="R119" i="10"/>
  <c r="S120" i="11"/>
  <c r="O122" i="11"/>
  <c r="J122" i="11"/>
  <c r="Q121" i="11"/>
  <c r="S121" i="11" s="1"/>
  <c r="P121" i="11"/>
  <c r="O121" i="10"/>
  <c r="G123" i="10"/>
  <c r="H122" i="10"/>
  <c r="I122" i="10" s="1"/>
  <c r="J122" i="10" s="1"/>
  <c r="L120" i="10"/>
  <c r="K120" i="10"/>
  <c r="R120" i="10" s="1"/>
  <c r="N120" i="10"/>
  <c r="M120" i="10"/>
  <c r="P120" i="10"/>
  <c r="Q120" i="10"/>
  <c r="S118" i="7"/>
  <c r="R118" i="7"/>
  <c r="Q119" i="7"/>
  <c r="P119" i="7"/>
  <c r="K119" i="7"/>
  <c r="L119" i="7"/>
  <c r="M119" i="7"/>
  <c r="J120" i="7"/>
  <c r="L120" i="7" s="1"/>
  <c r="O120" i="7"/>
  <c r="M121" i="9"/>
  <c r="L121" i="9"/>
  <c r="K121" i="9"/>
  <c r="N121" i="9"/>
  <c r="G123" i="9"/>
  <c r="H122" i="9"/>
  <c r="I122" i="9" s="1"/>
  <c r="J122" i="9" s="1"/>
  <c r="H121" i="7"/>
  <c r="I121" i="7" s="1"/>
  <c r="G122" i="7"/>
  <c r="K120" i="6"/>
  <c r="N120" i="6"/>
  <c r="M120" i="6"/>
  <c r="L120" i="6"/>
  <c r="G122" i="6"/>
  <c r="H121" i="6"/>
  <c r="I121" i="6" s="1"/>
  <c r="J121" i="6" s="1"/>
  <c r="S122" i="12" l="1"/>
  <c r="K123" i="12"/>
  <c r="N123" i="12"/>
  <c r="M123" i="12"/>
  <c r="L123" i="12"/>
  <c r="Q123" i="12"/>
  <c r="S123" i="12" s="1"/>
  <c r="P123" i="12"/>
  <c r="R123" i="12" s="1"/>
  <c r="J124" i="12"/>
  <c r="O124" i="12"/>
  <c r="G126" i="12"/>
  <c r="H125" i="12"/>
  <c r="I125" i="12" s="1"/>
  <c r="M122" i="11"/>
  <c r="L122" i="11"/>
  <c r="K122" i="11"/>
  <c r="N122" i="11"/>
  <c r="Q122" i="11"/>
  <c r="P122" i="11"/>
  <c r="O123" i="11"/>
  <c r="J123" i="11"/>
  <c r="S120" i="10"/>
  <c r="R121" i="11"/>
  <c r="H124" i="11"/>
  <c r="I124" i="11" s="1"/>
  <c r="G125" i="11"/>
  <c r="O122" i="10"/>
  <c r="G124" i="10"/>
  <c r="H123" i="10"/>
  <c r="I123" i="10" s="1"/>
  <c r="J123" i="10" s="1"/>
  <c r="Q121" i="10"/>
  <c r="P121" i="10"/>
  <c r="M121" i="10"/>
  <c r="L121" i="10"/>
  <c r="K121" i="10"/>
  <c r="R121" i="10" s="1"/>
  <c r="N121" i="10"/>
  <c r="R119" i="7"/>
  <c r="S119" i="7"/>
  <c r="Q120" i="7"/>
  <c r="S120" i="7" s="1"/>
  <c r="P120" i="7"/>
  <c r="K120" i="7"/>
  <c r="M120" i="7"/>
  <c r="J121" i="7"/>
  <c r="N121" i="7" s="1"/>
  <c r="O121" i="7"/>
  <c r="N120" i="7"/>
  <c r="M122" i="9"/>
  <c r="N122" i="9"/>
  <c r="L122" i="9"/>
  <c r="K122" i="9"/>
  <c r="G124" i="9"/>
  <c r="H123" i="9"/>
  <c r="I123" i="9" s="1"/>
  <c r="J123" i="9" s="1"/>
  <c r="G123" i="7"/>
  <c r="H122" i="7"/>
  <c r="I122" i="7" s="1"/>
  <c r="K121" i="6"/>
  <c r="N121" i="6"/>
  <c r="M121" i="6"/>
  <c r="L121" i="6"/>
  <c r="G123" i="6"/>
  <c r="H122" i="6"/>
  <c r="I122" i="6" s="1"/>
  <c r="J122" i="6" s="1"/>
  <c r="N124" i="12" l="1"/>
  <c r="M124" i="12"/>
  <c r="L124" i="12"/>
  <c r="K124" i="12"/>
  <c r="O125" i="12"/>
  <c r="J125" i="12"/>
  <c r="G127" i="12"/>
  <c r="H126" i="12"/>
  <c r="I126" i="12" s="1"/>
  <c r="Q124" i="12"/>
  <c r="P124" i="12"/>
  <c r="G126" i="11"/>
  <c r="H125" i="11"/>
  <c r="I125" i="11" s="1"/>
  <c r="P123" i="11"/>
  <c r="Q123" i="11"/>
  <c r="S123" i="11" s="1"/>
  <c r="O124" i="11"/>
  <c r="J124" i="11"/>
  <c r="R120" i="7"/>
  <c r="R122" i="11"/>
  <c r="L123" i="11"/>
  <c r="K123" i="11"/>
  <c r="N123" i="11"/>
  <c r="M123" i="11"/>
  <c r="S121" i="10"/>
  <c r="S122" i="11"/>
  <c r="O123" i="10"/>
  <c r="H124" i="10"/>
  <c r="I124" i="10" s="1"/>
  <c r="J124" i="10" s="1"/>
  <c r="G125" i="10"/>
  <c r="Q122" i="10"/>
  <c r="P122" i="10"/>
  <c r="L122" i="10"/>
  <c r="S122" i="10" s="1"/>
  <c r="K122" i="10"/>
  <c r="N122" i="10"/>
  <c r="M122" i="10"/>
  <c r="J122" i="7"/>
  <c r="M122" i="7" s="1"/>
  <c r="O122" i="7"/>
  <c r="K121" i="7"/>
  <c r="M121" i="7"/>
  <c r="Q121" i="7"/>
  <c r="P121" i="7"/>
  <c r="L121" i="7"/>
  <c r="M123" i="9"/>
  <c r="L123" i="9"/>
  <c r="K123" i="9"/>
  <c r="N123" i="9"/>
  <c r="G125" i="9"/>
  <c r="H124" i="9"/>
  <c r="I124" i="9" s="1"/>
  <c r="J124" i="9" s="1"/>
  <c r="H123" i="7"/>
  <c r="I123" i="7" s="1"/>
  <c r="G124" i="7"/>
  <c r="K122" i="6"/>
  <c r="N122" i="6"/>
  <c r="M122" i="6"/>
  <c r="L122" i="6"/>
  <c r="G124" i="6"/>
  <c r="H123" i="6"/>
  <c r="I123" i="6" s="1"/>
  <c r="J123" i="6" s="1"/>
  <c r="R124" i="12" l="1"/>
  <c r="S124" i="12"/>
  <c r="O126" i="12"/>
  <c r="J126" i="12"/>
  <c r="H127" i="12"/>
  <c r="I127" i="12" s="1"/>
  <c r="G128" i="12"/>
  <c r="M125" i="12"/>
  <c r="L125" i="12"/>
  <c r="K125" i="12"/>
  <c r="N125" i="12"/>
  <c r="Q125" i="12"/>
  <c r="P125" i="12"/>
  <c r="R123" i="11"/>
  <c r="K124" i="11"/>
  <c r="N124" i="11"/>
  <c r="M124" i="11"/>
  <c r="L124" i="11"/>
  <c r="J125" i="11"/>
  <c r="O125" i="11"/>
  <c r="R122" i="10"/>
  <c r="Q124" i="11"/>
  <c r="S124" i="11" s="1"/>
  <c r="P124" i="11"/>
  <c r="R124" i="11" s="1"/>
  <c r="G127" i="11"/>
  <c r="H126" i="11"/>
  <c r="I126" i="11" s="1"/>
  <c r="O124" i="10"/>
  <c r="H125" i="10"/>
  <c r="I125" i="10" s="1"/>
  <c r="J125" i="10" s="1"/>
  <c r="G126" i="10"/>
  <c r="P123" i="10"/>
  <c r="Q123" i="10"/>
  <c r="K123" i="10"/>
  <c r="N123" i="10"/>
  <c r="L123" i="10"/>
  <c r="M123" i="10"/>
  <c r="R121" i="7"/>
  <c r="K122" i="7"/>
  <c r="L122" i="7"/>
  <c r="N122" i="7"/>
  <c r="S121" i="7"/>
  <c r="J123" i="7"/>
  <c r="K123" i="7" s="1"/>
  <c r="O123" i="7"/>
  <c r="Q122" i="7"/>
  <c r="P122" i="7"/>
  <c r="M124" i="9"/>
  <c r="N124" i="9"/>
  <c r="L124" i="9"/>
  <c r="K124" i="9"/>
  <c r="G126" i="9"/>
  <c r="H125" i="9"/>
  <c r="I125" i="9" s="1"/>
  <c r="J125" i="9" s="1"/>
  <c r="G125" i="7"/>
  <c r="H124" i="7"/>
  <c r="I124" i="7" s="1"/>
  <c r="K123" i="6"/>
  <c r="N123" i="6"/>
  <c r="M123" i="6"/>
  <c r="L123" i="6"/>
  <c r="G125" i="6"/>
  <c r="H124" i="6"/>
  <c r="I124" i="6" s="1"/>
  <c r="J124" i="6" s="1"/>
  <c r="G129" i="12" l="1"/>
  <c r="H128" i="12"/>
  <c r="I128" i="12" s="1"/>
  <c r="O127" i="12"/>
  <c r="J127" i="12"/>
  <c r="S123" i="10"/>
  <c r="R125" i="12"/>
  <c r="L126" i="12"/>
  <c r="K126" i="12"/>
  <c r="N126" i="12"/>
  <c r="M126" i="12"/>
  <c r="S125" i="12"/>
  <c r="P126" i="12"/>
  <c r="Q126" i="12"/>
  <c r="G128" i="11"/>
  <c r="H127" i="11"/>
  <c r="I127" i="11" s="1"/>
  <c r="Q125" i="11"/>
  <c r="P125" i="11"/>
  <c r="O126" i="11"/>
  <c r="J126" i="11"/>
  <c r="N125" i="11"/>
  <c r="M125" i="11"/>
  <c r="L125" i="11"/>
  <c r="K125" i="11"/>
  <c r="R123" i="10"/>
  <c r="G127" i="10"/>
  <c r="H126" i="10"/>
  <c r="I126" i="10" s="1"/>
  <c r="J126" i="10" s="1"/>
  <c r="O125" i="10"/>
  <c r="N124" i="10"/>
  <c r="M124" i="10"/>
  <c r="L124" i="10"/>
  <c r="K124" i="10"/>
  <c r="R124" i="10" s="1"/>
  <c r="P124" i="10"/>
  <c r="Q124" i="10"/>
  <c r="R122" i="7"/>
  <c r="S122" i="7"/>
  <c r="Q123" i="7"/>
  <c r="P123" i="7"/>
  <c r="R123" i="7" s="1"/>
  <c r="N123" i="7"/>
  <c r="M123" i="7"/>
  <c r="L123" i="7"/>
  <c r="J124" i="7"/>
  <c r="L124" i="7" s="1"/>
  <c r="O124" i="7"/>
  <c r="M125" i="9"/>
  <c r="L125" i="9"/>
  <c r="K125" i="9"/>
  <c r="N125" i="9"/>
  <c r="G127" i="9"/>
  <c r="H126" i="9"/>
  <c r="I126" i="9" s="1"/>
  <c r="J126" i="9" s="1"/>
  <c r="H125" i="7"/>
  <c r="I125" i="7" s="1"/>
  <c r="G126" i="7"/>
  <c r="K124" i="6"/>
  <c r="N124" i="6"/>
  <c r="M124" i="6"/>
  <c r="L124" i="6"/>
  <c r="G126" i="6"/>
  <c r="H125" i="6"/>
  <c r="I125" i="6" s="1"/>
  <c r="J125" i="6" s="1"/>
  <c r="R126" i="12" l="1"/>
  <c r="K127" i="12"/>
  <c r="N127" i="12"/>
  <c r="M127" i="12"/>
  <c r="L127" i="12"/>
  <c r="Q127" i="12"/>
  <c r="P127" i="12"/>
  <c r="R127" i="12" s="1"/>
  <c r="J128" i="12"/>
  <c r="O128" i="12"/>
  <c r="R125" i="11"/>
  <c r="S126" i="12"/>
  <c r="G130" i="12"/>
  <c r="H129" i="12"/>
  <c r="I129" i="12" s="1"/>
  <c r="S125" i="11"/>
  <c r="M126" i="11"/>
  <c r="L126" i="11"/>
  <c r="K126" i="11"/>
  <c r="N126" i="11"/>
  <c r="O127" i="11"/>
  <c r="J127" i="11"/>
  <c r="S124" i="10"/>
  <c r="Q126" i="11"/>
  <c r="P126" i="11"/>
  <c r="G129" i="11"/>
  <c r="H128" i="11"/>
  <c r="I128" i="11" s="1"/>
  <c r="Q125" i="10"/>
  <c r="P125" i="10"/>
  <c r="O126" i="10"/>
  <c r="M125" i="10"/>
  <c r="L125" i="10"/>
  <c r="S125" i="10" s="1"/>
  <c r="N125" i="10"/>
  <c r="K125" i="10"/>
  <c r="R125" i="10" s="1"/>
  <c r="H127" i="10"/>
  <c r="I127" i="10" s="1"/>
  <c r="J127" i="10" s="1"/>
  <c r="G128" i="10"/>
  <c r="S123" i="7"/>
  <c r="Q124" i="7"/>
  <c r="S124" i="7" s="1"/>
  <c r="P124" i="7"/>
  <c r="K124" i="7"/>
  <c r="M124" i="7"/>
  <c r="J125" i="7"/>
  <c r="N125" i="7" s="1"/>
  <c r="O125" i="7"/>
  <c r="N124" i="7"/>
  <c r="M126" i="9"/>
  <c r="N126" i="9"/>
  <c r="L126" i="9"/>
  <c r="K126" i="9"/>
  <c r="G128" i="9"/>
  <c r="H127" i="9"/>
  <c r="I127" i="9" s="1"/>
  <c r="J127" i="9" s="1"/>
  <c r="G127" i="7"/>
  <c r="H126" i="7"/>
  <c r="I126" i="7" s="1"/>
  <c r="K125" i="6"/>
  <c r="N125" i="6"/>
  <c r="M125" i="6"/>
  <c r="L125" i="6"/>
  <c r="G127" i="6"/>
  <c r="H126" i="6"/>
  <c r="I126" i="6" s="1"/>
  <c r="J126" i="6" s="1"/>
  <c r="O129" i="12" l="1"/>
  <c r="J129" i="12"/>
  <c r="Q128" i="12"/>
  <c r="P128" i="12"/>
  <c r="G131" i="12"/>
  <c r="H130" i="12"/>
  <c r="I130" i="12" s="1"/>
  <c r="N128" i="12"/>
  <c r="M128" i="12"/>
  <c r="L128" i="12"/>
  <c r="K128" i="12"/>
  <c r="S127" i="12"/>
  <c r="O128" i="11"/>
  <c r="J128" i="11"/>
  <c r="G130" i="11"/>
  <c r="H129" i="11"/>
  <c r="I129" i="11" s="1"/>
  <c r="R126" i="11"/>
  <c r="P127" i="11"/>
  <c r="R127" i="11" s="1"/>
  <c r="Q127" i="11"/>
  <c r="L127" i="11"/>
  <c r="K127" i="11"/>
  <c r="N127" i="11"/>
  <c r="M127" i="11"/>
  <c r="R124" i="7"/>
  <c r="S126" i="11"/>
  <c r="N126" i="10"/>
  <c r="M126" i="10"/>
  <c r="L126" i="10"/>
  <c r="K126" i="10"/>
  <c r="G129" i="10"/>
  <c r="H128" i="10"/>
  <c r="I128" i="10" s="1"/>
  <c r="J128" i="10" s="1"/>
  <c r="Q126" i="10"/>
  <c r="P126" i="10"/>
  <c r="O127" i="10"/>
  <c r="J126" i="7"/>
  <c r="K126" i="7" s="1"/>
  <c r="O126" i="7"/>
  <c r="K125" i="7"/>
  <c r="M125" i="7"/>
  <c r="Q125" i="7"/>
  <c r="P125" i="7"/>
  <c r="L125" i="7"/>
  <c r="M127" i="9"/>
  <c r="L127" i="9"/>
  <c r="K127" i="9"/>
  <c r="N127" i="9"/>
  <c r="G129" i="9"/>
  <c r="H128" i="9"/>
  <c r="I128" i="9" s="1"/>
  <c r="J128" i="9" s="1"/>
  <c r="H127" i="7"/>
  <c r="I127" i="7" s="1"/>
  <c r="G128" i="7"/>
  <c r="K126" i="6"/>
  <c r="N126" i="6"/>
  <c r="M126" i="6"/>
  <c r="L126" i="6"/>
  <c r="G128" i="6"/>
  <c r="H127" i="6"/>
  <c r="I127" i="6" s="1"/>
  <c r="J127" i="6" s="1"/>
  <c r="R128" i="12" l="1"/>
  <c r="S128" i="12"/>
  <c r="O130" i="12"/>
  <c r="J130" i="12"/>
  <c r="M129" i="12"/>
  <c r="L129" i="12"/>
  <c r="K129" i="12"/>
  <c r="N129" i="12"/>
  <c r="H131" i="12"/>
  <c r="I131" i="12" s="1"/>
  <c r="G132" i="12"/>
  <c r="Q129" i="12"/>
  <c r="P129" i="12"/>
  <c r="S127" i="11"/>
  <c r="G131" i="11"/>
  <c r="H130" i="11"/>
  <c r="I130" i="11" s="1"/>
  <c r="S126" i="10"/>
  <c r="J129" i="11"/>
  <c r="O129" i="11"/>
  <c r="K128" i="11"/>
  <c r="N128" i="11"/>
  <c r="M128" i="11"/>
  <c r="L128" i="11"/>
  <c r="R126" i="10"/>
  <c r="Q128" i="11"/>
  <c r="S128" i="11" s="1"/>
  <c r="P128" i="11"/>
  <c r="K127" i="10"/>
  <c r="N127" i="10"/>
  <c r="M127" i="10"/>
  <c r="L127" i="10"/>
  <c r="O128" i="10"/>
  <c r="Q127" i="10"/>
  <c r="P127" i="10"/>
  <c r="H129" i="10"/>
  <c r="I129" i="10" s="1"/>
  <c r="J129" i="10" s="1"/>
  <c r="G130" i="10"/>
  <c r="R125" i="7"/>
  <c r="L126" i="7"/>
  <c r="M126" i="7"/>
  <c r="N126" i="7"/>
  <c r="S125" i="7"/>
  <c r="J127" i="7"/>
  <c r="L127" i="7" s="1"/>
  <c r="O127" i="7"/>
  <c r="Q126" i="7"/>
  <c r="P126" i="7"/>
  <c r="R126" i="7" s="1"/>
  <c r="M128" i="9"/>
  <c r="N128" i="9"/>
  <c r="L128" i="9"/>
  <c r="K128" i="9"/>
  <c r="G130" i="9"/>
  <c r="H129" i="9"/>
  <c r="I129" i="9" s="1"/>
  <c r="J129" i="9" s="1"/>
  <c r="G129" i="7"/>
  <c r="H128" i="7"/>
  <c r="I128" i="7" s="1"/>
  <c r="K127" i="6"/>
  <c r="N127" i="6"/>
  <c r="M127" i="6"/>
  <c r="L127" i="6"/>
  <c r="G129" i="6"/>
  <c r="H128" i="6"/>
  <c r="I128" i="6" s="1"/>
  <c r="J128" i="6" s="1"/>
  <c r="R129" i="12" l="1"/>
  <c r="S129" i="12"/>
  <c r="P130" i="12"/>
  <c r="Q130" i="12"/>
  <c r="L130" i="12"/>
  <c r="K130" i="12"/>
  <c r="N130" i="12"/>
  <c r="M130" i="12"/>
  <c r="G133" i="12"/>
  <c r="H132" i="12"/>
  <c r="I132" i="12" s="1"/>
  <c r="S127" i="10"/>
  <c r="R128" i="11"/>
  <c r="O131" i="12"/>
  <c r="J131" i="12"/>
  <c r="O130" i="11"/>
  <c r="J130" i="11"/>
  <c r="R127" i="10"/>
  <c r="Q129" i="11"/>
  <c r="S129" i="11" s="1"/>
  <c r="P129" i="11"/>
  <c r="G132" i="11"/>
  <c r="H131" i="11"/>
  <c r="I131" i="11" s="1"/>
  <c r="N129" i="11"/>
  <c r="M129" i="11"/>
  <c r="L129" i="11"/>
  <c r="K129" i="11"/>
  <c r="S126" i="7"/>
  <c r="O129" i="10"/>
  <c r="G131" i="10"/>
  <c r="H130" i="10"/>
  <c r="I130" i="10" s="1"/>
  <c r="J130" i="10" s="1"/>
  <c r="N128" i="10"/>
  <c r="M128" i="10"/>
  <c r="L128" i="10"/>
  <c r="K128" i="10"/>
  <c r="P128" i="10"/>
  <c r="Q128" i="10"/>
  <c r="Q127" i="7"/>
  <c r="S127" i="7" s="1"/>
  <c r="P127" i="7"/>
  <c r="M127" i="7"/>
  <c r="N127" i="7"/>
  <c r="K127" i="7"/>
  <c r="J128" i="7"/>
  <c r="M128" i="7" s="1"/>
  <c r="O128" i="7"/>
  <c r="M129" i="9"/>
  <c r="L129" i="9"/>
  <c r="K129" i="9"/>
  <c r="N129" i="9"/>
  <c r="G131" i="9"/>
  <c r="H130" i="9"/>
  <c r="I130" i="9" s="1"/>
  <c r="J130" i="9" s="1"/>
  <c r="H129" i="7"/>
  <c r="I129" i="7" s="1"/>
  <c r="G130" i="7"/>
  <c r="K128" i="6"/>
  <c r="N128" i="6"/>
  <c r="M128" i="6"/>
  <c r="L128" i="6"/>
  <c r="G130" i="6"/>
  <c r="H129" i="6"/>
  <c r="I129" i="6" s="1"/>
  <c r="J129" i="6" s="1"/>
  <c r="J132" i="12" l="1"/>
  <c r="O132" i="12"/>
  <c r="Q131" i="12"/>
  <c r="P131" i="12"/>
  <c r="G134" i="12"/>
  <c r="H133" i="12"/>
  <c r="I133" i="12" s="1"/>
  <c r="K131" i="12"/>
  <c r="N131" i="12"/>
  <c r="M131" i="12"/>
  <c r="L131" i="12"/>
  <c r="S128" i="10"/>
  <c r="S130" i="12"/>
  <c r="R130" i="12"/>
  <c r="R128" i="10"/>
  <c r="O131" i="11"/>
  <c r="J131" i="11"/>
  <c r="G133" i="11"/>
  <c r="H132" i="11"/>
  <c r="I132" i="11" s="1"/>
  <c r="M130" i="11"/>
  <c r="L130" i="11"/>
  <c r="K130" i="11"/>
  <c r="N130" i="11"/>
  <c r="R129" i="11"/>
  <c r="Q130" i="11"/>
  <c r="S130" i="11" s="1"/>
  <c r="P130" i="11"/>
  <c r="R130" i="11" s="1"/>
  <c r="O130" i="10"/>
  <c r="G132" i="10"/>
  <c r="H131" i="10"/>
  <c r="I131" i="10" s="1"/>
  <c r="J131" i="10" s="1"/>
  <c r="M129" i="10"/>
  <c r="L129" i="10"/>
  <c r="K129" i="10"/>
  <c r="N129" i="10"/>
  <c r="Q129" i="10"/>
  <c r="P129" i="10"/>
  <c r="R127" i="7"/>
  <c r="Q128" i="7"/>
  <c r="P128" i="7"/>
  <c r="K128" i="7"/>
  <c r="J129" i="7"/>
  <c r="M129" i="7" s="1"/>
  <c r="O129" i="7"/>
  <c r="N128" i="7"/>
  <c r="L128" i="7"/>
  <c r="M130" i="9"/>
  <c r="N130" i="9"/>
  <c r="L130" i="9"/>
  <c r="K130" i="9"/>
  <c r="G132" i="9"/>
  <c r="H131" i="9"/>
  <c r="I131" i="9" s="1"/>
  <c r="J131" i="9" s="1"/>
  <c r="G131" i="7"/>
  <c r="H130" i="7"/>
  <c r="I130" i="7" s="1"/>
  <c r="K129" i="6"/>
  <c r="N129" i="6"/>
  <c r="M129" i="6"/>
  <c r="L129" i="6"/>
  <c r="G131" i="6"/>
  <c r="H130" i="6"/>
  <c r="I130" i="6" s="1"/>
  <c r="J130" i="6" s="1"/>
  <c r="R131" i="12" l="1"/>
  <c r="S131" i="12"/>
  <c r="O133" i="12"/>
  <c r="J133" i="12"/>
  <c r="Q132" i="12"/>
  <c r="P132" i="12"/>
  <c r="G135" i="12"/>
  <c r="H134" i="12"/>
  <c r="I134" i="12" s="1"/>
  <c r="N132" i="12"/>
  <c r="M132" i="12"/>
  <c r="L132" i="12"/>
  <c r="K132" i="12"/>
  <c r="G134" i="11"/>
  <c r="H133" i="11"/>
  <c r="I133" i="11" s="1"/>
  <c r="L131" i="11"/>
  <c r="K131" i="11"/>
  <c r="N131" i="11"/>
  <c r="M131" i="11"/>
  <c r="R129" i="10"/>
  <c r="P131" i="11"/>
  <c r="R131" i="11" s="1"/>
  <c r="Q131" i="11"/>
  <c r="R128" i="7"/>
  <c r="S129" i="10"/>
  <c r="J132" i="11"/>
  <c r="O132" i="11"/>
  <c r="O131" i="10"/>
  <c r="G133" i="10"/>
  <c r="H132" i="10"/>
  <c r="I132" i="10" s="1"/>
  <c r="J132" i="10" s="1"/>
  <c r="L130" i="10"/>
  <c r="K130" i="10"/>
  <c r="N130" i="10"/>
  <c r="M130" i="10"/>
  <c r="Q130" i="10"/>
  <c r="P130" i="10"/>
  <c r="S128" i="7"/>
  <c r="J130" i="7"/>
  <c r="K130" i="7" s="1"/>
  <c r="O130" i="7"/>
  <c r="K129" i="7"/>
  <c r="L129" i="7"/>
  <c r="N129" i="7"/>
  <c r="Q129" i="7"/>
  <c r="P129" i="7"/>
  <c r="M131" i="9"/>
  <c r="L131" i="9"/>
  <c r="K131" i="9"/>
  <c r="N131" i="9"/>
  <c r="G133" i="9"/>
  <c r="H132" i="9"/>
  <c r="I132" i="9" s="1"/>
  <c r="J132" i="9" s="1"/>
  <c r="H131" i="7"/>
  <c r="I131" i="7" s="1"/>
  <c r="G132" i="7"/>
  <c r="K130" i="6"/>
  <c r="N130" i="6"/>
  <c r="M130" i="6"/>
  <c r="L130" i="6"/>
  <c r="G132" i="6"/>
  <c r="H131" i="6"/>
  <c r="I131" i="6" s="1"/>
  <c r="J131" i="6" s="1"/>
  <c r="S132" i="12" l="1"/>
  <c r="O134" i="12"/>
  <c r="J134" i="12"/>
  <c r="M133" i="12"/>
  <c r="L133" i="12"/>
  <c r="K133" i="12"/>
  <c r="N133" i="12"/>
  <c r="H135" i="12"/>
  <c r="I135" i="12" s="1"/>
  <c r="G136" i="12"/>
  <c r="Q133" i="12"/>
  <c r="P133" i="12"/>
  <c r="R133" i="12" s="1"/>
  <c r="R132" i="12"/>
  <c r="N132" i="11"/>
  <c r="L132" i="11"/>
  <c r="K132" i="11"/>
  <c r="M132" i="11"/>
  <c r="R130" i="10"/>
  <c r="O133" i="11"/>
  <c r="J133" i="11"/>
  <c r="S130" i="10"/>
  <c r="Q132" i="11"/>
  <c r="S132" i="11" s="1"/>
  <c r="P132" i="11"/>
  <c r="S131" i="11"/>
  <c r="G135" i="11"/>
  <c r="H134" i="11"/>
  <c r="I134" i="11" s="1"/>
  <c r="O132" i="10"/>
  <c r="G134" i="10"/>
  <c r="H133" i="10"/>
  <c r="I133" i="10" s="1"/>
  <c r="J133" i="10" s="1"/>
  <c r="K131" i="10"/>
  <c r="N131" i="10"/>
  <c r="L131" i="10"/>
  <c r="M131" i="10"/>
  <c r="Q131" i="10"/>
  <c r="P131" i="10"/>
  <c r="R129" i="7"/>
  <c r="S129" i="7"/>
  <c r="M130" i="7"/>
  <c r="L130" i="7"/>
  <c r="N130" i="7"/>
  <c r="J131" i="7"/>
  <c r="N131" i="7" s="1"/>
  <c r="O131" i="7"/>
  <c r="Q130" i="7"/>
  <c r="P130" i="7"/>
  <c r="R130" i="7" s="1"/>
  <c r="M132" i="9"/>
  <c r="N132" i="9"/>
  <c r="L132" i="9"/>
  <c r="K132" i="9"/>
  <c r="G134" i="9"/>
  <c r="H133" i="9"/>
  <c r="I133" i="9" s="1"/>
  <c r="J133" i="9" s="1"/>
  <c r="G133" i="7"/>
  <c r="H132" i="7"/>
  <c r="I132" i="7" s="1"/>
  <c r="K131" i="6"/>
  <c r="N131" i="6"/>
  <c r="M131" i="6"/>
  <c r="L131" i="6"/>
  <c r="G133" i="6"/>
  <c r="H132" i="6"/>
  <c r="I132" i="6" s="1"/>
  <c r="J132" i="6" s="1"/>
  <c r="O135" i="12" l="1"/>
  <c r="J135" i="12"/>
  <c r="S131" i="10"/>
  <c r="L134" i="12"/>
  <c r="K134" i="12"/>
  <c r="N134" i="12"/>
  <c r="M134" i="12"/>
  <c r="G137" i="12"/>
  <c r="H136" i="12"/>
  <c r="I136" i="12" s="1"/>
  <c r="R132" i="11"/>
  <c r="S133" i="12"/>
  <c r="P134" i="12"/>
  <c r="R134" i="12" s="1"/>
  <c r="Q134" i="12"/>
  <c r="G136" i="11"/>
  <c r="H135" i="11"/>
  <c r="I135" i="11" s="1"/>
  <c r="M133" i="11"/>
  <c r="N133" i="11"/>
  <c r="L133" i="11"/>
  <c r="K133" i="11"/>
  <c r="Q133" i="11"/>
  <c r="S133" i="11" s="1"/>
  <c r="P133" i="11"/>
  <c r="R133" i="11" s="1"/>
  <c r="R131" i="10"/>
  <c r="O134" i="11"/>
  <c r="J134" i="11"/>
  <c r="O133" i="10"/>
  <c r="G135" i="10"/>
  <c r="H134" i="10"/>
  <c r="I134" i="10" s="1"/>
  <c r="J134" i="10" s="1"/>
  <c r="N132" i="10"/>
  <c r="M132" i="10"/>
  <c r="L132" i="10"/>
  <c r="K132" i="10"/>
  <c r="P132" i="10"/>
  <c r="Q132" i="10"/>
  <c r="S130" i="7"/>
  <c r="K131" i="7"/>
  <c r="J132" i="7"/>
  <c r="M132" i="7" s="1"/>
  <c r="O132" i="7"/>
  <c r="L131" i="7"/>
  <c r="M131" i="7"/>
  <c r="Q131" i="7"/>
  <c r="P131" i="7"/>
  <c r="M133" i="9"/>
  <c r="L133" i="9"/>
  <c r="K133" i="9"/>
  <c r="N133" i="9"/>
  <c r="G135" i="9"/>
  <c r="H134" i="9"/>
  <c r="I134" i="9" s="1"/>
  <c r="J134" i="9" s="1"/>
  <c r="H133" i="7"/>
  <c r="I133" i="7" s="1"/>
  <c r="G134" i="7"/>
  <c r="K132" i="6"/>
  <c r="N132" i="6"/>
  <c r="M132" i="6"/>
  <c r="L132" i="6"/>
  <c r="G134" i="6"/>
  <c r="H133" i="6"/>
  <c r="I133" i="6" s="1"/>
  <c r="J133" i="6" s="1"/>
  <c r="K135" i="12" l="1"/>
  <c r="N135" i="12"/>
  <c r="M135" i="12"/>
  <c r="L135" i="12"/>
  <c r="G138" i="12"/>
  <c r="H137" i="12"/>
  <c r="I137" i="12" s="1"/>
  <c r="S134" i="12"/>
  <c r="J136" i="12"/>
  <c r="O136" i="12"/>
  <c r="Q135" i="12"/>
  <c r="P135" i="12"/>
  <c r="R135" i="12" s="1"/>
  <c r="L134" i="11"/>
  <c r="M134" i="11"/>
  <c r="K134" i="11"/>
  <c r="N134" i="11"/>
  <c r="R132" i="10"/>
  <c r="P134" i="11"/>
  <c r="Q134" i="11"/>
  <c r="O135" i="11"/>
  <c r="J135" i="11"/>
  <c r="S132" i="10"/>
  <c r="H136" i="11"/>
  <c r="I136" i="11" s="1"/>
  <c r="G137" i="11"/>
  <c r="O134" i="10"/>
  <c r="G136" i="10"/>
  <c r="H135" i="10"/>
  <c r="I135" i="10" s="1"/>
  <c r="J135" i="10" s="1"/>
  <c r="Q133" i="10"/>
  <c r="P133" i="10"/>
  <c r="K133" i="10"/>
  <c r="M133" i="10"/>
  <c r="N133" i="10"/>
  <c r="L133" i="10"/>
  <c r="R131" i="7"/>
  <c r="K132" i="7"/>
  <c r="N132" i="7"/>
  <c r="J133" i="7"/>
  <c r="N133" i="7" s="1"/>
  <c r="O133" i="7"/>
  <c r="L132" i="7"/>
  <c r="S131" i="7"/>
  <c r="Q132" i="7"/>
  <c r="P132" i="7"/>
  <c r="M134" i="9"/>
  <c r="N134" i="9"/>
  <c r="L134" i="9"/>
  <c r="K134" i="9"/>
  <c r="G136" i="9"/>
  <c r="H135" i="9"/>
  <c r="I135" i="9" s="1"/>
  <c r="J135" i="9" s="1"/>
  <c r="G135" i="7"/>
  <c r="H134" i="7"/>
  <c r="I134" i="7" s="1"/>
  <c r="K133" i="6"/>
  <c r="N133" i="6"/>
  <c r="M133" i="6"/>
  <c r="L133" i="6"/>
  <c r="G135" i="6"/>
  <c r="H134" i="6"/>
  <c r="I134" i="6" s="1"/>
  <c r="J134" i="6" s="1"/>
  <c r="S135" i="12" l="1"/>
  <c r="N136" i="12"/>
  <c r="M136" i="12"/>
  <c r="L136" i="12"/>
  <c r="K136" i="12"/>
  <c r="S134" i="11"/>
  <c r="O137" i="12"/>
  <c r="J137" i="12"/>
  <c r="Q136" i="12"/>
  <c r="P136" i="12"/>
  <c r="G139" i="12"/>
  <c r="H138" i="12"/>
  <c r="I138" i="12" s="1"/>
  <c r="G138" i="11"/>
  <c r="H137" i="11"/>
  <c r="I137" i="11" s="1"/>
  <c r="J136" i="11"/>
  <c r="O136" i="11"/>
  <c r="P135" i="11"/>
  <c r="Q135" i="11"/>
  <c r="R133" i="10"/>
  <c r="R134" i="11"/>
  <c r="S133" i="10"/>
  <c r="K135" i="11"/>
  <c r="N135" i="11"/>
  <c r="M135" i="11"/>
  <c r="L135" i="11"/>
  <c r="O135" i="10"/>
  <c r="G137" i="10"/>
  <c r="H136" i="10"/>
  <c r="I136" i="10" s="1"/>
  <c r="J136" i="10" s="1"/>
  <c r="M134" i="10"/>
  <c r="L134" i="10"/>
  <c r="S134" i="10" s="1"/>
  <c r="K134" i="10"/>
  <c r="R134" i="10" s="1"/>
  <c r="N134" i="10"/>
  <c r="Q134" i="10"/>
  <c r="P134" i="10"/>
  <c r="R132" i="7"/>
  <c r="K133" i="7"/>
  <c r="R133" i="7" s="1"/>
  <c r="L133" i="7"/>
  <c r="M133" i="7"/>
  <c r="S132" i="7"/>
  <c r="J134" i="7"/>
  <c r="L134" i="7" s="1"/>
  <c r="O134" i="7"/>
  <c r="Q133" i="7"/>
  <c r="P133" i="7"/>
  <c r="M135" i="9"/>
  <c r="L135" i="9"/>
  <c r="K135" i="9"/>
  <c r="N135" i="9"/>
  <c r="G137" i="9"/>
  <c r="H136" i="9"/>
  <c r="I136" i="9" s="1"/>
  <c r="J136" i="9" s="1"/>
  <c r="H135" i="7"/>
  <c r="I135" i="7" s="1"/>
  <c r="G136" i="7"/>
  <c r="K134" i="6"/>
  <c r="N134" i="6"/>
  <c r="M134" i="6"/>
  <c r="L134" i="6"/>
  <c r="G136" i="6"/>
  <c r="H135" i="6"/>
  <c r="I135" i="6" s="1"/>
  <c r="J135" i="6" s="1"/>
  <c r="S136" i="12" l="1"/>
  <c r="O138" i="12"/>
  <c r="J138" i="12"/>
  <c r="M137" i="12"/>
  <c r="L137" i="12"/>
  <c r="K137" i="12"/>
  <c r="N137" i="12"/>
  <c r="G140" i="12"/>
  <c r="H139" i="12"/>
  <c r="I139" i="12" s="1"/>
  <c r="Q137" i="12"/>
  <c r="S137" i="12" s="1"/>
  <c r="P137" i="12"/>
  <c r="R137" i="12" s="1"/>
  <c r="S135" i="11"/>
  <c r="R136" i="12"/>
  <c r="N136" i="11"/>
  <c r="M136" i="11"/>
  <c r="L136" i="11"/>
  <c r="K136" i="11"/>
  <c r="Q136" i="11"/>
  <c r="P136" i="11"/>
  <c r="O137" i="11"/>
  <c r="J137" i="11"/>
  <c r="R135" i="11"/>
  <c r="G139" i="11"/>
  <c r="H138" i="11"/>
  <c r="I138" i="11" s="1"/>
  <c r="O136" i="10"/>
  <c r="H137" i="10"/>
  <c r="I137" i="10" s="1"/>
  <c r="J137" i="10" s="1"/>
  <c r="G138" i="10"/>
  <c r="L135" i="10"/>
  <c r="K135" i="10"/>
  <c r="N135" i="10"/>
  <c r="M135" i="10"/>
  <c r="Q135" i="10"/>
  <c r="P135" i="10"/>
  <c r="S133" i="7"/>
  <c r="Q134" i="7"/>
  <c r="S134" i="7" s="1"/>
  <c r="P134" i="7"/>
  <c r="K134" i="7"/>
  <c r="R134" i="7" s="1"/>
  <c r="M134" i="7"/>
  <c r="J135" i="7"/>
  <c r="L135" i="7" s="1"/>
  <c r="O135" i="7"/>
  <c r="N134" i="7"/>
  <c r="M136" i="9"/>
  <c r="N136" i="9"/>
  <c r="L136" i="9"/>
  <c r="K136" i="9"/>
  <c r="G138" i="9"/>
  <c r="H137" i="9"/>
  <c r="I137" i="9" s="1"/>
  <c r="J137" i="9" s="1"/>
  <c r="H136" i="7"/>
  <c r="I136" i="7" s="1"/>
  <c r="G137" i="7"/>
  <c r="K135" i="6"/>
  <c r="N135" i="6"/>
  <c r="M135" i="6"/>
  <c r="L135" i="6"/>
  <c r="G137" i="6"/>
  <c r="H136" i="6"/>
  <c r="I136" i="6" s="1"/>
  <c r="J136" i="6" s="1"/>
  <c r="O139" i="12" l="1"/>
  <c r="J139" i="12"/>
  <c r="G141" i="12"/>
  <c r="H140" i="12"/>
  <c r="I140" i="12" s="1"/>
  <c r="L138" i="12"/>
  <c r="K138" i="12"/>
  <c r="N138" i="12"/>
  <c r="M138" i="12"/>
  <c r="P138" i="12"/>
  <c r="Q138" i="12"/>
  <c r="S138" i="12" s="1"/>
  <c r="M137" i="11"/>
  <c r="K137" i="11"/>
  <c r="N137" i="11"/>
  <c r="L137" i="11"/>
  <c r="S135" i="10"/>
  <c r="O138" i="11"/>
  <c r="J138" i="11"/>
  <c r="Q137" i="11"/>
  <c r="S137" i="11" s="1"/>
  <c r="P137" i="11"/>
  <c r="R135" i="10"/>
  <c r="G140" i="11"/>
  <c r="H139" i="11"/>
  <c r="I139" i="11" s="1"/>
  <c r="R136" i="11"/>
  <c r="S136" i="11"/>
  <c r="Q136" i="10"/>
  <c r="P136" i="10"/>
  <c r="G139" i="10"/>
  <c r="H138" i="10"/>
  <c r="I138" i="10" s="1"/>
  <c r="J138" i="10" s="1"/>
  <c r="O137" i="10"/>
  <c r="L136" i="10"/>
  <c r="S136" i="10" s="1"/>
  <c r="K136" i="10"/>
  <c r="N136" i="10"/>
  <c r="M136" i="10"/>
  <c r="K135" i="7"/>
  <c r="M135" i="7"/>
  <c r="J136" i="7"/>
  <c r="N136" i="7" s="1"/>
  <c r="O136" i="7"/>
  <c r="Q135" i="7"/>
  <c r="S135" i="7" s="1"/>
  <c r="P135" i="7"/>
  <c r="N135" i="7"/>
  <c r="M137" i="9"/>
  <c r="L137" i="9"/>
  <c r="K137" i="9"/>
  <c r="N137" i="9"/>
  <c r="G139" i="9"/>
  <c r="H138" i="9"/>
  <c r="I138" i="9" s="1"/>
  <c r="J138" i="9" s="1"/>
  <c r="H137" i="7"/>
  <c r="I137" i="7" s="1"/>
  <c r="G138" i="7"/>
  <c r="K136" i="6"/>
  <c r="N136" i="6"/>
  <c r="M136" i="6"/>
  <c r="L136" i="6"/>
  <c r="G138" i="6"/>
  <c r="H137" i="6"/>
  <c r="I137" i="6" s="1"/>
  <c r="J137" i="6" s="1"/>
  <c r="J140" i="12" l="1"/>
  <c r="O140" i="12"/>
  <c r="R137" i="11"/>
  <c r="G142" i="12"/>
  <c r="H141" i="12"/>
  <c r="I141" i="12" s="1"/>
  <c r="K139" i="12"/>
  <c r="N139" i="12"/>
  <c r="M139" i="12"/>
  <c r="L139" i="12"/>
  <c r="R138" i="12"/>
  <c r="Q139" i="12"/>
  <c r="P139" i="12"/>
  <c r="R139" i="12" s="1"/>
  <c r="O139" i="11"/>
  <c r="J139" i="11"/>
  <c r="G141" i="11"/>
  <c r="H140" i="11"/>
  <c r="I140" i="11" s="1"/>
  <c r="L138" i="11"/>
  <c r="N138" i="11"/>
  <c r="M138" i="11"/>
  <c r="K138" i="11"/>
  <c r="P138" i="11"/>
  <c r="Q138" i="11"/>
  <c r="S138" i="11" s="1"/>
  <c r="R136" i="10"/>
  <c r="O138" i="10"/>
  <c r="G140" i="10"/>
  <c r="H139" i="10"/>
  <c r="I139" i="10" s="1"/>
  <c r="J139" i="10" s="1"/>
  <c r="K137" i="10"/>
  <c r="N137" i="10"/>
  <c r="L137" i="10"/>
  <c r="M137" i="10"/>
  <c r="P137" i="10"/>
  <c r="Q137" i="10"/>
  <c r="R135" i="7"/>
  <c r="L136" i="7"/>
  <c r="J137" i="7"/>
  <c r="N137" i="7" s="1"/>
  <c r="O137" i="7"/>
  <c r="Q136" i="7"/>
  <c r="P136" i="7"/>
  <c r="K136" i="7"/>
  <c r="M136" i="7"/>
  <c r="M138" i="9"/>
  <c r="N138" i="9"/>
  <c r="L138" i="9"/>
  <c r="K138" i="9"/>
  <c r="G140" i="9"/>
  <c r="H139" i="9"/>
  <c r="I139" i="9" s="1"/>
  <c r="J139" i="9" s="1"/>
  <c r="H138" i="7"/>
  <c r="I138" i="7" s="1"/>
  <c r="G139" i="7"/>
  <c r="K137" i="6"/>
  <c r="N137" i="6"/>
  <c r="M137" i="6"/>
  <c r="L137" i="6"/>
  <c r="G139" i="6"/>
  <c r="H138" i="6"/>
  <c r="I138" i="6" s="1"/>
  <c r="J138" i="6" s="1"/>
  <c r="G143" i="12" l="1"/>
  <c r="H142" i="12"/>
  <c r="I142" i="12" s="1"/>
  <c r="R136" i="7"/>
  <c r="S139" i="12"/>
  <c r="Q140" i="12"/>
  <c r="P140" i="12"/>
  <c r="O141" i="12"/>
  <c r="J141" i="12"/>
  <c r="N140" i="12"/>
  <c r="M140" i="12"/>
  <c r="L140" i="12"/>
  <c r="K140" i="12"/>
  <c r="J140" i="11"/>
  <c r="O140" i="11"/>
  <c r="R137" i="10"/>
  <c r="G142" i="11"/>
  <c r="H141" i="11"/>
  <c r="I141" i="11" s="1"/>
  <c r="K139" i="11"/>
  <c r="L139" i="11"/>
  <c r="N139" i="11"/>
  <c r="M139" i="11"/>
  <c r="S137" i="10"/>
  <c r="R138" i="11"/>
  <c r="Q139" i="11"/>
  <c r="S139" i="11" s="1"/>
  <c r="P139" i="11"/>
  <c r="R139" i="11" s="1"/>
  <c r="O139" i="10"/>
  <c r="G141" i="10"/>
  <c r="H140" i="10"/>
  <c r="I140" i="10" s="1"/>
  <c r="J140" i="10" s="1"/>
  <c r="P138" i="10"/>
  <c r="Q138" i="10"/>
  <c r="L138" i="10"/>
  <c r="N138" i="10"/>
  <c r="M138" i="10"/>
  <c r="K138" i="10"/>
  <c r="L137" i="7"/>
  <c r="Q137" i="7"/>
  <c r="P137" i="7"/>
  <c r="K137" i="7"/>
  <c r="M137" i="7"/>
  <c r="J138" i="7"/>
  <c r="L138" i="7" s="1"/>
  <c r="O138" i="7"/>
  <c r="S136" i="7"/>
  <c r="M139" i="9"/>
  <c r="L139" i="9"/>
  <c r="K139" i="9"/>
  <c r="N139" i="9"/>
  <c r="G141" i="9"/>
  <c r="H140" i="9"/>
  <c r="I140" i="9" s="1"/>
  <c r="J140" i="9" s="1"/>
  <c r="H139" i="7"/>
  <c r="I139" i="7" s="1"/>
  <c r="G140" i="7"/>
  <c r="K138" i="6"/>
  <c r="N138" i="6"/>
  <c r="M138" i="6"/>
  <c r="L138" i="6"/>
  <c r="G140" i="6"/>
  <c r="H139" i="6"/>
  <c r="I139" i="6" s="1"/>
  <c r="J139" i="6" s="1"/>
  <c r="M141" i="12" l="1"/>
  <c r="L141" i="12"/>
  <c r="K141" i="12"/>
  <c r="N141" i="12"/>
  <c r="Q141" i="12"/>
  <c r="P141" i="12"/>
  <c r="R140" i="12"/>
  <c r="O142" i="12"/>
  <c r="J142" i="12"/>
  <c r="S140" i="12"/>
  <c r="H143" i="12"/>
  <c r="I143" i="12" s="1"/>
  <c r="G144" i="12"/>
  <c r="G143" i="11"/>
  <c r="H142" i="11"/>
  <c r="I142" i="11" s="1"/>
  <c r="S138" i="10"/>
  <c r="R137" i="7"/>
  <c r="R138" i="10"/>
  <c r="Q140" i="11"/>
  <c r="P140" i="11"/>
  <c r="O141" i="11"/>
  <c r="J141" i="11"/>
  <c r="N140" i="11"/>
  <c r="M140" i="11"/>
  <c r="L140" i="11"/>
  <c r="K140" i="11"/>
  <c r="O140" i="10"/>
  <c r="G142" i="10"/>
  <c r="H141" i="10"/>
  <c r="I141" i="10" s="1"/>
  <c r="J141" i="10" s="1"/>
  <c r="K139" i="10"/>
  <c r="N139" i="10"/>
  <c r="M139" i="10"/>
  <c r="L139" i="10"/>
  <c r="Q139" i="10"/>
  <c r="P139" i="10"/>
  <c r="S137" i="7"/>
  <c r="K138" i="7"/>
  <c r="M138" i="7"/>
  <c r="J139" i="7"/>
  <c r="N139" i="7" s="1"/>
  <c r="O139" i="7"/>
  <c r="Q138" i="7"/>
  <c r="S138" i="7" s="1"/>
  <c r="P138" i="7"/>
  <c r="N138" i="7"/>
  <c r="M140" i="9"/>
  <c r="N140" i="9"/>
  <c r="L140" i="9"/>
  <c r="K140" i="9"/>
  <c r="G142" i="9"/>
  <c r="H141" i="9"/>
  <c r="I141" i="9" s="1"/>
  <c r="J141" i="9" s="1"/>
  <c r="H140" i="7"/>
  <c r="I140" i="7" s="1"/>
  <c r="G141" i="7"/>
  <c r="K139" i="6"/>
  <c r="N139" i="6"/>
  <c r="M139" i="6"/>
  <c r="L139" i="6"/>
  <c r="G141" i="6"/>
  <c r="H140" i="6"/>
  <c r="I140" i="6" s="1"/>
  <c r="J140" i="6" s="1"/>
  <c r="G145" i="12" l="1"/>
  <c r="H144" i="12"/>
  <c r="I144" i="12" s="1"/>
  <c r="P142" i="12"/>
  <c r="Q142" i="12"/>
  <c r="S142" i="12" s="1"/>
  <c r="S139" i="10"/>
  <c r="O143" i="12"/>
  <c r="J143" i="12"/>
  <c r="R141" i="12"/>
  <c r="L142" i="12"/>
  <c r="K142" i="12"/>
  <c r="N142" i="12"/>
  <c r="M142" i="12"/>
  <c r="S141" i="12"/>
  <c r="Q141" i="11"/>
  <c r="P141" i="11"/>
  <c r="R140" i="11"/>
  <c r="S140" i="11"/>
  <c r="O142" i="11"/>
  <c r="J142" i="11"/>
  <c r="R139" i="10"/>
  <c r="M141" i="11"/>
  <c r="L141" i="11"/>
  <c r="K141" i="11"/>
  <c r="N141" i="11"/>
  <c r="H143" i="11"/>
  <c r="I143" i="11" s="1"/>
  <c r="G144" i="11"/>
  <c r="O141" i="10"/>
  <c r="H142" i="10"/>
  <c r="I142" i="10" s="1"/>
  <c r="J142" i="10" s="1"/>
  <c r="G143" i="10"/>
  <c r="M140" i="10"/>
  <c r="L140" i="10"/>
  <c r="K140" i="10"/>
  <c r="R140" i="10" s="1"/>
  <c r="N140" i="10"/>
  <c r="P140" i="10"/>
  <c r="Q140" i="10"/>
  <c r="R138" i="7"/>
  <c r="L139" i="7"/>
  <c r="J140" i="7"/>
  <c r="N140" i="7" s="1"/>
  <c r="O140" i="7"/>
  <c r="Q139" i="7"/>
  <c r="P139" i="7"/>
  <c r="K139" i="7"/>
  <c r="R139" i="7" s="1"/>
  <c r="M139" i="7"/>
  <c r="M141" i="9"/>
  <c r="L141" i="9"/>
  <c r="K141" i="9"/>
  <c r="N141" i="9"/>
  <c r="G143" i="9"/>
  <c r="H142" i="9"/>
  <c r="I142" i="9" s="1"/>
  <c r="J142" i="9" s="1"/>
  <c r="H141" i="7"/>
  <c r="I141" i="7" s="1"/>
  <c r="G142" i="7"/>
  <c r="K140" i="6"/>
  <c r="N140" i="6"/>
  <c r="M140" i="6"/>
  <c r="L140" i="6"/>
  <c r="G142" i="6"/>
  <c r="H141" i="6"/>
  <c r="I141" i="6" s="1"/>
  <c r="J141" i="6" s="1"/>
  <c r="K143" i="12" l="1"/>
  <c r="N143" i="12"/>
  <c r="M143" i="12"/>
  <c r="L143" i="12"/>
  <c r="R142" i="12"/>
  <c r="Q143" i="12"/>
  <c r="P143" i="12"/>
  <c r="R143" i="12" s="1"/>
  <c r="J144" i="12"/>
  <c r="O144" i="12"/>
  <c r="G146" i="12"/>
  <c r="H145" i="12"/>
  <c r="I145" i="12" s="1"/>
  <c r="O143" i="11"/>
  <c r="J143" i="11"/>
  <c r="S140" i="10"/>
  <c r="L142" i="11"/>
  <c r="N142" i="11"/>
  <c r="M142" i="11"/>
  <c r="K142" i="11"/>
  <c r="R141" i="11"/>
  <c r="G145" i="11"/>
  <c r="H144" i="11"/>
  <c r="I144" i="11" s="1"/>
  <c r="P142" i="11"/>
  <c r="R142" i="11" s="1"/>
  <c r="Q142" i="11"/>
  <c r="S141" i="11"/>
  <c r="G144" i="10"/>
  <c r="H143" i="10"/>
  <c r="I143" i="10" s="1"/>
  <c r="J143" i="10" s="1"/>
  <c r="O142" i="10"/>
  <c r="K141" i="10"/>
  <c r="N141" i="10"/>
  <c r="M141" i="10"/>
  <c r="L141" i="10"/>
  <c r="Q141" i="10"/>
  <c r="P141" i="10"/>
  <c r="L140" i="7"/>
  <c r="Q140" i="7"/>
  <c r="P140" i="7"/>
  <c r="K140" i="7"/>
  <c r="M140" i="7"/>
  <c r="J141" i="7"/>
  <c r="L141" i="7" s="1"/>
  <c r="O141" i="7"/>
  <c r="S139" i="7"/>
  <c r="M142" i="9"/>
  <c r="N142" i="9"/>
  <c r="L142" i="9"/>
  <c r="K142" i="9"/>
  <c r="G144" i="9"/>
  <c r="H143" i="9"/>
  <c r="I143" i="9" s="1"/>
  <c r="J143" i="9" s="1"/>
  <c r="H142" i="7"/>
  <c r="I142" i="7" s="1"/>
  <c r="G143" i="7"/>
  <c r="K141" i="6"/>
  <c r="N141" i="6"/>
  <c r="M141" i="6"/>
  <c r="L141" i="6"/>
  <c r="G143" i="6"/>
  <c r="H142" i="6"/>
  <c r="I142" i="6" s="1"/>
  <c r="J142" i="6" s="1"/>
  <c r="N144" i="12" l="1"/>
  <c r="M144" i="12"/>
  <c r="L144" i="12"/>
  <c r="K144" i="12"/>
  <c r="O145" i="12"/>
  <c r="J145" i="12"/>
  <c r="S141" i="10"/>
  <c r="S142" i="11"/>
  <c r="G147" i="12"/>
  <c r="H146" i="12"/>
  <c r="I146" i="12" s="1"/>
  <c r="S143" i="12"/>
  <c r="Q144" i="12"/>
  <c r="S144" i="12" s="1"/>
  <c r="P144" i="12"/>
  <c r="J144" i="11"/>
  <c r="O144" i="11"/>
  <c r="K143" i="11"/>
  <c r="M143" i="11"/>
  <c r="L143" i="11"/>
  <c r="N143" i="11"/>
  <c r="R141" i="10"/>
  <c r="H145" i="11"/>
  <c r="I145" i="11" s="1"/>
  <c r="G146" i="11"/>
  <c r="Q143" i="11"/>
  <c r="P143" i="11"/>
  <c r="R143" i="11" s="1"/>
  <c r="Q142" i="10"/>
  <c r="P142" i="10"/>
  <c r="L142" i="10"/>
  <c r="S142" i="10" s="1"/>
  <c r="K142" i="10"/>
  <c r="N142" i="10"/>
  <c r="M142" i="10"/>
  <c r="O143" i="10"/>
  <c r="G145" i="10"/>
  <c r="H144" i="10"/>
  <c r="I144" i="10" s="1"/>
  <c r="J144" i="10" s="1"/>
  <c r="S140" i="7"/>
  <c r="R140" i="7"/>
  <c r="Q141" i="7"/>
  <c r="S141" i="7" s="1"/>
  <c r="P141" i="7"/>
  <c r="M141" i="7"/>
  <c r="K141" i="7"/>
  <c r="J142" i="7"/>
  <c r="L142" i="7" s="1"/>
  <c r="O142" i="7"/>
  <c r="N141" i="7"/>
  <c r="M143" i="9"/>
  <c r="L143" i="9"/>
  <c r="K143" i="9"/>
  <c r="N143" i="9"/>
  <c r="G145" i="9"/>
  <c r="H144" i="9"/>
  <c r="I144" i="9" s="1"/>
  <c r="J144" i="9" s="1"/>
  <c r="H143" i="7"/>
  <c r="I143" i="7" s="1"/>
  <c r="G144" i="7"/>
  <c r="K142" i="6"/>
  <c r="N142" i="6"/>
  <c r="M142" i="6"/>
  <c r="L142" i="6"/>
  <c r="G144" i="6"/>
  <c r="H143" i="6"/>
  <c r="I143" i="6" s="1"/>
  <c r="J143" i="6" s="1"/>
  <c r="R144" i="12" l="1"/>
  <c r="O146" i="12"/>
  <c r="J146" i="12"/>
  <c r="M145" i="12"/>
  <c r="L145" i="12"/>
  <c r="K145" i="12"/>
  <c r="N145" i="12"/>
  <c r="H147" i="12"/>
  <c r="I147" i="12" s="1"/>
  <c r="G148" i="12"/>
  <c r="Q145" i="12"/>
  <c r="S145" i="12" s="1"/>
  <c r="P145" i="12"/>
  <c r="R145" i="12" s="1"/>
  <c r="O145" i="11"/>
  <c r="J145" i="11"/>
  <c r="R142" i="10"/>
  <c r="S143" i="11"/>
  <c r="P144" i="11"/>
  <c r="Q144" i="11"/>
  <c r="S144" i="11" s="1"/>
  <c r="G147" i="11"/>
  <c r="H146" i="11"/>
  <c r="I146" i="11" s="1"/>
  <c r="N144" i="11"/>
  <c r="K144" i="11"/>
  <c r="M144" i="11"/>
  <c r="L144" i="11"/>
  <c r="K143" i="10"/>
  <c r="M143" i="10"/>
  <c r="L143" i="10"/>
  <c r="N143" i="10"/>
  <c r="Q143" i="10"/>
  <c r="P143" i="10"/>
  <c r="O144" i="10"/>
  <c r="H145" i="10"/>
  <c r="I145" i="10" s="1"/>
  <c r="J145" i="10" s="1"/>
  <c r="G146" i="10"/>
  <c r="R141" i="7"/>
  <c r="K142" i="7"/>
  <c r="M142" i="7"/>
  <c r="J143" i="7"/>
  <c r="N143" i="7" s="1"/>
  <c r="O143" i="7"/>
  <c r="Q142" i="7"/>
  <c r="S142" i="7" s="1"/>
  <c r="P142" i="7"/>
  <c r="N142" i="7"/>
  <c r="M144" i="9"/>
  <c r="N144" i="9"/>
  <c r="L144" i="9"/>
  <c r="K144" i="9"/>
  <c r="G146" i="9"/>
  <c r="H145" i="9"/>
  <c r="I145" i="9" s="1"/>
  <c r="J145" i="9" s="1"/>
  <c r="H144" i="7"/>
  <c r="I144" i="7" s="1"/>
  <c r="G145" i="7"/>
  <c r="K143" i="6"/>
  <c r="N143" i="6"/>
  <c r="M143" i="6"/>
  <c r="L143" i="6"/>
  <c r="G145" i="6"/>
  <c r="H144" i="6"/>
  <c r="I144" i="6" s="1"/>
  <c r="J144" i="6" s="1"/>
  <c r="G149" i="12" l="1"/>
  <c r="H148" i="12"/>
  <c r="I148" i="12" s="1"/>
  <c r="O147" i="12"/>
  <c r="J147" i="12"/>
  <c r="L146" i="12"/>
  <c r="K146" i="12"/>
  <c r="N146" i="12"/>
  <c r="M146" i="12"/>
  <c r="P146" i="12"/>
  <c r="Q146" i="12"/>
  <c r="S146" i="12" s="1"/>
  <c r="O146" i="11"/>
  <c r="J146" i="11"/>
  <c r="S143" i="10"/>
  <c r="G148" i="11"/>
  <c r="H147" i="11"/>
  <c r="I147" i="11" s="1"/>
  <c r="M145" i="11"/>
  <c r="N145" i="11"/>
  <c r="L145" i="11"/>
  <c r="K145" i="11"/>
  <c r="R143" i="10"/>
  <c r="R144" i="11"/>
  <c r="Q145" i="11"/>
  <c r="S145" i="11" s="1"/>
  <c r="P145" i="11"/>
  <c r="N144" i="10"/>
  <c r="M144" i="10"/>
  <c r="L144" i="10"/>
  <c r="K144" i="10"/>
  <c r="P144" i="10"/>
  <c r="Q144" i="10"/>
  <c r="G147" i="10"/>
  <c r="H146" i="10"/>
  <c r="I146" i="10" s="1"/>
  <c r="J146" i="10" s="1"/>
  <c r="O145" i="10"/>
  <c r="R142" i="7"/>
  <c r="L143" i="7"/>
  <c r="J144" i="7"/>
  <c r="N144" i="7" s="1"/>
  <c r="O144" i="7"/>
  <c r="Q143" i="7"/>
  <c r="P143" i="7"/>
  <c r="M143" i="7"/>
  <c r="K143" i="7"/>
  <c r="R143" i="7" s="1"/>
  <c r="M145" i="9"/>
  <c r="L145" i="9"/>
  <c r="K145" i="9"/>
  <c r="N145" i="9"/>
  <c r="G147" i="9"/>
  <c r="H146" i="9"/>
  <c r="I146" i="9" s="1"/>
  <c r="J146" i="9" s="1"/>
  <c r="H145" i="7"/>
  <c r="I145" i="7" s="1"/>
  <c r="G146" i="7"/>
  <c r="K144" i="6"/>
  <c r="N144" i="6"/>
  <c r="M144" i="6"/>
  <c r="L144" i="6"/>
  <c r="G146" i="6"/>
  <c r="H145" i="6"/>
  <c r="I145" i="6" s="1"/>
  <c r="J145" i="6" s="1"/>
  <c r="K147" i="12" l="1"/>
  <c r="N147" i="12"/>
  <c r="M147" i="12"/>
  <c r="L147" i="12"/>
  <c r="Q147" i="12"/>
  <c r="P147" i="12"/>
  <c r="R147" i="12" s="1"/>
  <c r="J148" i="12"/>
  <c r="O148" i="12"/>
  <c r="R145" i="11"/>
  <c r="R146" i="12"/>
  <c r="G150" i="12"/>
  <c r="H149" i="12"/>
  <c r="I149" i="12" s="1"/>
  <c r="S144" i="10"/>
  <c r="G149" i="11"/>
  <c r="H148" i="11"/>
  <c r="I148" i="11" s="1"/>
  <c r="L146" i="11"/>
  <c r="K146" i="11"/>
  <c r="N146" i="11"/>
  <c r="M146" i="11"/>
  <c r="R144" i="10"/>
  <c r="O147" i="11"/>
  <c r="J147" i="11"/>
  <c r="P146" i="11"/>
  <c r="R146" i="11" s="1"/>
  <c r="Q146" i="11"/>
  <c r="S146" i="11" s="1"/>
  <c r="O146" i="10"/>
  <c r="H147" i="10"/>
  <c r="I147" i="10" s="1"/>
  <c r="J147" i="10" s="1"/>
  <c r="G148" i="10"/>
  <c r="K145" i="10"/>
  <c r="N145" i="10"/>
  <c r="M145" i="10"/>
  <c r="L145" i="10"/>
  <c r="Q145" i="10"/>
  <c r="P145" i="10"/>
  <c r="Q144" i="7"/>
  <c r="P144" i="7"/>
  <c r="L144" i="7"/>
  <c r="M144" i="7"/>
  <c r="K144" i="7"/>
  <c r="J145" i="7"/>
  <c r="L145" i="7" s="1"/>
  <c r="O145" i="7"/>
  <c r="S143" i="7"/>
  <c r="M146" i="9"/>
  <c r="L146" i="9"/>
  <c r="N146" i="9"/>
  <c r="K146" i="9"/>
  <c r="H147" i="9"/>
  <c r="I147" i="9" s="1"/>
  <c r="J147" i="9" s="1"/>
  <c r="G148" i="9"/>
  <c r="H146" i="7"/>
  <c r="I146" i="7" s="1"/>
  <c r="G147" i="7"/>
  <c r="K145" i="6"/>
  <c r="M145" i="6"/>
  <c r="L145" i="6"/>
  <c r="N145" i="6"/>
  <c r="G147" i="6"/>
  <c r="H146" i="6"/>
  <c r="I146" i="6" s="1"/>
  <c r="J146" i="6" s="1"/>
  <c r="O149" i="12" l="1"/>
  <c r="J149" i="12"/>
  <c r="Q148" i="12"/>
  <c r="P148" i="12"/>
  <c r="S145" i="10"/>
  <c r="G151" i="12"/>
  <c r="H150" i="12"/>
  <c r="I150" i="12" s="1"/>
  <c r="N148" i="12"/>
  <c r="M148" i="12"/>
  <c r="L148" i="12"/>
  <c r="K148" i="12"/>
  <c r="S147" i="12"/>
  <c r="R145" i="10"/>
  <c r="J148" i="11"/>
  <c r="O148" i="11"/>
  <c r="K147" i="11"/>
  <c r="N147" i="11"/>
  <c r="M147" i="11"/>
  <c r="L147" i="11"/>
  <c r="G150" i="11"/>
  <c r="H149" i="11"/>
  <c r="I149" i="11" s="1"/>
  <c r="Q147" i="11"/>
  <c r="S147" i="11" s="1"/>
  <c r="P147" i="11"/>
  <c r="H148" i="10"/>
  <c r="I148" i="10" s="1"/>
  <c r="J148" i="10" s="1"/>
  <c r="G149" i="10"/>
  <c r="O147" i="10"/>
  <c r="Q146" i="10"/>
  <c r="P146" i="10"/>
  <c r="M146" i="10"/>
  <c r="L146" i="10"/>
  <c r="S146" i="10" s="1"/>
  <c r="K146" i="10"/>
  <c r="N146" i="10"/>
  <c r="R144" i="7"/>
  <c r="S144" i="7"/>
  <c r="K145" i="7"/>
  <c r="J146" i="7"/>
  <c r="L146" i="7" s="1"/>
  <c r="O146" i="7"/>
  <c r="M145" i="7"/>
  <c r="Q145" i="7"/>
  <c r="S145" i="7" s="1"/>
  <c r="P145" i="7"/>
  <c r="N145" i="7"/>
  <c r="H148" i="9"/>
  <c r="I148" i="9" s="1"/>
  <c r="J148" i="9" s="1"/>
  <c r="G149" i="9"/>
  <c r="M147" i="9"/>
  <c r="L147" i="9"/>
  <c r="N147" i="9"/>
  <c r="K147" i="9"/>
  <c r="H147" i="7"/>
  <c r="I147" i="7" s="1"/>
  <c r="G148" i="7"/>
  <c r="K146" i="6"/>
  <c r="N146" i="6"/>
  <c r="M146" i="6"/>
  <c r="L146" i="6"/>
  <c r="G148" i="6"/>
  <c r="H147" i="6"/>
  <c r="I147" i="6" s="1"/>
  <c r="J147" i="6" s="1"/>
  <c r="R148" i="12" l="1"/>
  <c r="R147" i="11"/>
  <c r="O150" i="12"/>
  <c r="J150" i="12"/>
  <c r="S148" i="12"/>
  <c r="H151" i="12"/>
  <c r="I151" i="12" s="1"/>
  <c r="G152" i="12"/>
  <c r="M149" i="12"/>
  <c r="L149" i="12"/>
  <c r="K149" i="12"/>
  <c r="N149" i="12"/>
  <c r="Q149" i="12"/>
  <c r="S149" i="12" s="1"/>
  <c r="P149" i="12"/>
  <c r="G151" i="11"/>
  <c r="H150" i="11"/>
  <c r="I150" i="11" s="1"/>
  <c r="R146" i="10"/>
  <c r="Q148" i="11"/>
  <c r="P148" i="11"/>
  <c r="N148" i="11"/>
  <c r="L148" i="11"/>
  <c r="K148" i="11"/>
  <c r="M148" i="11"/>
  <c r="O149" i="11"/>
  <c r="J149" i="11"/>
  <c r="M147" i="10"/>
  <c r="L147" i="10"/>
  <c r="K147" i="10"/>
  <c r="R147" i="10" s="1"/>
  <c r="N147" i="10"/>
  <c r="Q147" i="10"/>
  <c r="P147" i="10"/>
  <c r="G150" i="10"/>
  <c r="H149" i="10"/>
  <c r="I149" i="10" s="1"/>
  <c r="J149" i="10" s="1"/>
  <c r="O148" i="10"/>
  <c r="R145" i="7"/>
  <c r="Q146" i="7"/>
  <c r="S146" i="7" s="1"/>
  <c r="P146" i="7"/>
  <c r="K146" i="7"/>
  <c r="M146" i="7"/>
  <c r="J147" i="7"/>
  <c r="L147" i="7" s="1"/>
  <c r="O147" i="7"/>
  <c r="N146" i="7"/>
  <c r="H149" i="9"/>
  <c r="I149" i="9" s="1"/>
  <c r="J149" i="9" s="1"/>
  <c r="G150" i="9"/>
  <c r="M148" i="9"/>
  <c r="L148" i="9"/>
  <c r="N148" i="9"/>
  <c r="K148" i="9"/>
  <c r="H148" i="7"/>
  <c r="I148" i="7" s="1"/>
  <c r="G149" i="7"/>
  <c r="K147" i="6"/>
  <c r="M147" i="6"/>
  <c r="L147" i="6"/>
  <c r="N147" i="6"/>
  <c r="G149" i="6"/>
  <c r="H148" i="6"/>
  <c r="I148" i="6" s="1"/>
  <c r="J148" i="6" s="1"/>
  <c r="R149" i="12" l="1"/>
  <c r="S148" i="11"/>
  <c r="L150" i="12"/>
  <c r="K150" i="12"/>
  <c r="N150" i="12"/>
  <c r="M150" i="12"/>
  <c r="G153" i="12"/>
  <c r="H152" i="12"/>
  <c r="I152" i="12" s="1"/>
  <c r="P150" i="12"/>
  <c r="Q150" i="12"/>
  <c r="O151" i="12"/>
  <c r="J151" i="12"/>
  <c r="R146" i="7"/>
  <c r="M149" i="11"/>
  <c r="N149" i="11"/>
  <c r="L149" i="11"/>
  <c r="K149" i="11"/>
  <c r="Q149" i="11"/>
  <c r="P149" i="11"/>
  <c r="R149" i="11" s="1"/>
  <c r="O150" i="11"/>
  <c r="J150" i="11"/>
  <c r="S147" i="10"/>
  <c r="R148" i="11"/>
  <c r="G152" i="11"/>
  <c r="H151" i="11"/>
  <c r="I151" i="11" s="1"/>
  <c r="O149" i="10"/>
  <c r="H150" i="10"/>
  <c r="I150" i="10" s="1"/>
  <c r="J150" i="10" s="1"/>
  <c r="G151" i="10"/>
  <c r="M148" i="10"/>
  <c r="L148" i="10"/>
  <c r="K148" i="10"/>
  <c r="N148" i="10"/>
  <c r="P148" i="10"/>
  <c r="Q148" i="10"/>
  <c r="K147" i="7"/>
  <c r="M147" i="7"/>
  <c r="J148" i="7"/>
  <c r="N148" i="7" s="1"/>
  <c r="O148" i="7"/>
  <c r="Q147" i="7"/>
  <c r="S147" i="7" s="1"/>
  <c r="P147" i="7"/>
  <c r="N147" i="7"/>
  <c r="H150" i="9"/>
  <c r="I150" i="9" s="1"/>
  <c r="J150" i="9" s="1"/>
  <c r="G151" i="9"/>
  <c r="M149" i="9"/>
  <c r="L149" i="9"/>
  <c r="N149" i="9"/>
  <c r="K149" i="9"/>
  <c r="H149" i="7"/>
  <c r="I149" i="7" s="1"/>
  <c r="G150" i="7"/>
  <c r="K148" i="6"/>
  <c r="N148" i="6"/>
  <c r="M148" i="6"/>
  <c r="L148" i="6"/>
  <c r="G150" i="6"/>
  <c r="H149" i="6"/>
  <c r="I149" i="6" s="1"/>
  <c r="J149" i="6" s="1"/>
  <c r="S150" i="12" l="1"/>
  <c r="R150" i="12"/>
  <c r="K151" i="12"/>
  <c r="N151" i="12"/>
  <c r="M151" i="12"/>
  <c r="L151" i="12"/>
  <c r="J152" i="12"/>
  <c r="O152" i="12"/>
  <c r="R148" i="10"/>
  <c r="Q151" i="12"/>
  <c r="P151" i="12"/>
  <c r="G154" i="12"/>
  <c r="H153" i="12"/>
  <c r="I153" i="12" s="1"/>
  <c r="H152" i="11"/>
  <c r="I152" i="11" s="1"/>
  <c r="G153" i="11"/>
  <c r="P150" i="11"/>
  <c r="Q150" i="11"/>
  <c r="S148" i="10"/>
  <c r="S149" i="11"/>
  <c r="O151" i="11"/>
  <c r="J151" i="11"/>
  <c r="L150" i="11"/>
  <c r="M150" i="11"/>
  <c r="K150" i="11"/>
  <c r="N150" i="11"/>
  <c r="L149" i="10"/>
  <c r="K149" i="10"/>
  <c r="N149" i="10"/>
  <c r="M149" i="10"/>
  <c r="G152" i="10"/>
  <c r="H151" i="10"/>
  <c r="I151" i="10" s="1"/>
  <c r="J151" i="10" s="1"/>
  <c r="O150" i="10"/>
  <c r="Q149" i="10"/>
  <c r="P149" i="10"/>
  <c r="R147" i="7"/>
  <c r="L148" i="7"/>
  <c r="J149" i="7"/>
  <c r="N149" i="7" s="1"/>
  <c r="O149" i="7"/>
  <c r="Q148" i="7"/>
  <c r="P148" i="7"/>
  <c r="K148" i="7"/>
  <c r="R148" i="7" s="1"/>
  <c r="M148" i="7"/>
  <c r="H151" i="9"/>
  <c r="I151" i="9" s="1"/>
  <c r="J151" i="9" s="1"/>
  <c r="G152" i="9"/>
  <c r="M150" i="9"/>
  <c r="L150" i="9"/>
  <c r="N150" i="9"/>
  <c r="K150" i="9"/>
  <c r="H150" i="7"/>
  <c r="I150" i="7" s="1"/>
  <c r="G151" i="7"/>
  <c r="K149" i="6"/>
  <c r="M149" i="6"/>
  <c r="L149" i="6"/>
  <c r="N149" i="6"/>
  <c r="G151" i="6"/>
  <c r="H150" i="6"/>
  <c r="I150" i="6" s="1"/>
  <c r="J150" i="6" s="1"/>
  <c r="R151" i="12" l="1"/>
  <c r="S151" i="12"/>
  <c r="S150" i="11"/>
  <c r="O153" i="12"/>
  <c r="J153" i="12"/>
  <c r="G155" i="12"/>
  <c r="H154" i="12"/>
  <c r="I154" i="12" s="1"/>
  <c r="Q152" i="12"/>
  <c r="P152" i="12"/>
  <c r="N152" i="12"/>
  <c r="M152" i="12"/>
  <c r="L152" i="12"/>
  <c r="K152" i="12"/>
  <c r="K151" i="11"/>
  <c r="N151" i="11"/>
  <c r="M151" i="11"/>
  <c r="L151" i="11"/>
  <c r="P151" i="11"/>
  <c r="R151" i="11" s="1"/>
  <c r="Q151" i="11"/>
  <c r="R150" i="11"/>
  <c r="R149" i="10"/>
  <c r="G154" i="11"/>
  <c r="H153" i="11"/>
  <c r="I153" i="11" s="1"/>
  <c r="S149" i="10"/>
  <c r="J152" i="11"/>
  <c r="O152" i="11"/>
  <c r="L150" i="10"/>
  <c r="K150" i="10"/>
  <c r="N150" i="10"/>
  <c r="M150" i="10"/>
  <c r="Q150" i="10"/>
  <c r="P150" i="10"/>
  <c r="O151" i="10"/>
  <c r="G153" i="10"/>
  <c r="H152" i="10"/>
  <c r="I152" i="10" s="1"/>
  <c r="J152" i="10" s="1"/>
  <c r="L149" i="7"/>
  <c r="Q149" i="7"/>
  <c r="P149" i="7"/>
  <c r="M149" i="7"/>
  <c r="K149" i="7"/>
  <c r="J150" i="7"/>
  <c r="L150" i="7" s="1"/>
  <c r="O150" i="7"/>
  <c r="S148" i="7"/>
  <c r="M151" i="9"/>
  <c r="L151" i="9"/>
  <c r="N151" i="9"/>
  <c r="K151" i="9"/>
  <c r="H152" i="9"/>
  <c r="I152" i="9" s="1"/>
  <c r="J152" i="9" s="1"/>
  <c r="G153" i="9"/>
  <c r="H151" i="7"/>
  <c r="I151" i="7" s="1"/>
  <c r="G152" i="7"/>
  <c r="K150" i="6"/>
  <c r="N150" i="6"/>
  <c r="M150" i="6"/>
  <c r="L150" i="6"/>
  <c r="G152" i="6"/>
  <c r="H151" i="6"/>
  <c r="I151" i="6" s="1"/>
  <c r="J151" i="6" s="1"/>
  <c r="G156" i="12" l="1"/>
  <c r="H155" i="12"/>
  <c r="I155" i="12" s="1"/>
  <c r="R152" i="12"/>
  <c r="M153" i="12"/>
  <c r="L153" i="12"/>
  <c r="K153" i="12"/>
  <c r="N153" i="12"/>
  <c r="S152" i="12"/>
  <c r="Q153" i="12"/>
  <c r="S153" i="12" s="1"/>
  <c r="P153" i="12"/>
  <c r="O154" i="12"/>
  <c r="J154" i="12"/>
  <c r="N152" i="11"/>
  <c r="M152" i="11"/>
  <c r="L152" i="11"/>
  <c r="K152" i="11"/>
  <c r="R150" i="10"/>
  <c r="S150" i="10"/>
  <c r="O153" i="11"/>
  <c r="J153" i="11"/>
  <c r="S151" i="11"/>
  <c r="Q152" i="11"/>
  <c r="P152" i="11"/>
  <c r="G155" i="11"/>
  <c r="H154" i="11"/>
  <c r="I154" i="11" s="1"/>
  <c r="M151" i="10"/>
  <c r="K151" i="10"/>
  <c r="L151" i="10"/>
  <c r="S151" i="10" s="1"/>
  <c r="N151" i="10"/>
  <c r="Q151" i="10"/>
  <c r="P151" i="10"/>
  <c r="O152" i="10"/>
  <c r="H153" i="10"/>
  <c r="I153" i="10" s="1"/>
  <c r="J153" i="10" s="1"/>
  <c r="G154" i="10"/>
  <c r="R149" i="7"/>
  <c r="S149" i="7"/>
  <c r="Q150" i="7"/>
  <c r="S150" i="7" s="1"/>
  <c r="P150" i="7"/>
  <c r="K150" i="7"/>
  <c r="M150" i="7"/>
  <c r="J151" i="7"/>
  <c r="L151" i="7" s="1"/>
  <c r="O151" i="7"/>
  <c r="N150" i="7"/>
  <c r="H153" i="9"/>
  <c r="I153" i="9" s="1"/>
  <c r="J153" i="9" s="1"/>
  <c r="G154" i="9"/>
  <c r="M152" i="9"/>
  <c r="L152" i="9"/>
  <c r="N152" i="9"/>
  <c r="K152" i="9"/>
  <c r="H152" i="7"/>
  <c r="I152" i="7" s="1"/>
  <c r="G153" i="7"/>
  <c r="K151" i="6"/>
  <c r="M151" i="6"/>
  <c r="L151" i="6"/>
  <c r="N151" i="6"/>
  <c r="G153" i="6"/>
  <c r="H152" i="6"/>
  <c r="I152" i="6" s="1"/>
  <c r="J152" i="6" s="1"/>
  <c r="R153" i="12" l="1"/>
  <c r="L154" i="12"/>
  <c r="K154" i="12"/>
  <c r="N154" i="12"/>
  <c r="M154" i="12"/>
  <c r="R152" i="11"/>
  <c r="P154" i="12"/>
  <c r="Q154" i="12"/>
  <c r="S154" i="12" s="1"/>
  <c r="S152" i="11"/>
  <c r="O155" i="12"/>
  <c r="J155" i="12"/>
  <c r="H156" i="12"/>
  <c r="I156" i="12" s="1"/>
  <c r="G157" i="12"/>
  <c r="G156" i="11"/>
  <c r="H155" i="11"/>
  <c r="I155" i="11" s="1"/>
  <c r="M153" i="11"/>
  <c r="K153" i="11"/>
  <c r="N153" i="11"/>
  <c r="L153" i="11"/>
  <c r="R151" i="10"/>
  <c r="Q153" i="11"/>
  <c r="P153" i="11"/>
  <c r="J154" i="11"/>
  <c r="O154" i="11"/>
  <c r="P152" i="10"/>
  <c r="Q152" i="10"/>
  <c r="N152" i="10"/>
  <c r="M152" i="10"/>
  <c r="L152" i="10"/>
  <c r="S152" i="10" s="1"/>
  <c r="K152" i="10"/>
  <c r="H154" i="10"/>
  <c r="I154" i="10" s="1"/>
  <c r="J154" i="10" s="1"/>
  <c r="G155" i="10"/>
  <c r="O153" i="10"/>
  <c r="R150" i="7"/>
  <c r="M151" i="7"/>
  <c r="K151" i="7"/>
  <c r="J152" i="7"/>
  <c r="N152" i="7" s="1"/>
  <c r="O152" i="7"/>
  <c r="Q151" i="7"/>
  <c r="S151" i="7" s="1"/>
  <c r="P151" i="7"/>
  <c r="N151" i="7"/>
  <c r="H154" i="9"/>
  <c r="I154" i="9" s="1"/>
  <c r="J154" i="9" s="1"/>
  <c r="G155" i="9"/>
  <c r="M153" i="9"/>
  <c r="L153" i="9"/>
  <c r="N153" i="9"/>
  <c r="K153" i="9"/>
  <c r="H153" i="7"/>
  <c r="I153" i="7" s="1"/>
  <c r="G154" i="7"/>
  <c r="K152" i="6"/>
  <c r="N152" i="6"/>
  <c r="M152" i="6"/>
  <c r="L152" i="6"/>
  <c r="G154" i="6"/>
  <c r="H153" i="6"/>
  <c r="I153" i="6" s="1"/>
  <c r="J153" i="6" s="1"/>
  <c r="R154" i="12" l="1"/>
  <c r="S153" i="11"/>
  <c r="G158" i="12"/>
  <c r="H157" i="12"/>
  <c r="I157" i="12" s="1"/>
  <c r="J156" i="12"/>
  <c r="O156" i="12"/>
  <c r="K155" i="12"/>
  <c r="N155" i="12"/>
  <c r="M155" i="12"/>
  <c r="L155" i="12"/>
  <c r="Q155" i="12"/>
  <c r="P155" i="12"/>
  <c r="P154" i="11"/>
  <c r="Q154" i="11"/>
  <c r="L154" i="11"/>
  <c r="N154" i="11"/>
  <c r="M154" i="11"/>
  <c r="K154" i="11"/>
  <c r="O155" i="11"/>
  <c r="J155" i="11"/>
  <c r="R152" i="10"/>
  <c r="R153" i="11"/>
  <c r="G157" i="11"/>
  <c r="H156" i="11"/>
  <c r="I156" i="11" s="1"/>
  <c r="G156" i="10"/>
  <c r="H155" i="10"/>
  <c r="I155" i="10" s="1"/>
  <c r="J155" i="10" s="1"/>
  <c r="O154" i="10"/>
  <c r="K153" i="10"/>
  <c r="R153" i="10" s="1"/>
  <c r="M153" i="10"/>
  <c r="N153" i="10"/>
  <c r="L153" i="10"/>
  <c r="Q153" i="10"/>
  <c r="P153" i="10"/>
  <c r="R151" i="7"/>
  <c r="L152" i="7"/>
  <c r="J153" i="7"/>
  <c r="N153" i="7" s="1"/>
  <c r="O153" i="7"/>
  <c r="Q152" i="7"/>
  <c r="P152" i="7"/>
  <c r="K152" i="7"/>
  <c r="M152" i="7"/>
  <c r="H155" i="9"/>
  <c r="I155" i="9" s="1"/>
  <c r="J155" i="9" s="1"/>
  <c r="G156" i="9"/>
  <c r="M154" i="9"/>
  <c r="L154" i="9"/>
  <c r="N154" i="9"/>
  <c r="K154" i="9"/>
  <c r="H154" i="7"/>
  <c r="I154" i="7" s="1"/>
  <c r="G155" i="7"/>
  <c r="K153" i="6"/>
  <c r="M153" i="6"/>
  <c r="L153" i="6"/>
  <c r="N153" i="6"/>
  <c r="G155" i="6"/>
  <c r="H154" i="6"/>
  <c r="I154" i="6" s="1"/>
  <c r="J154" i="6" s="1"/>
  <c r="R155" i="12" l="1"/>
  <c r="N156" i="12"/>
  <c r="M156" i="12"/>
  <c r="L156" i="12"/>
  <c r="K156" i="12"/>
  <c r="O157" i="12"/>
  <c r="J157" i="12"/>
  <c r="S155" i="12"/>
  <c r="G159" i="12"/>
  <c r="H158" i="12"/>
  <c r="I158" i="12" s="1"/>
  <c r="Q156" i="12"/>
  <c r="P156" i="12"/>
  <c r="R156" i="12" s="1"/>
  <c r="J156" i="11"/>
  <c r="O156" i="11"/>
  <c r="K155" i="11"/>
  <c r="L155" i="11"/>
  <c r="N155" i="11"/>
  <c r="M155" i="11"/>
  <c r="S153" i="10"/>
  <c r="G158" i="11"/>
  <c r="H157" i="11"/>
  <c r="I157" i="11" s="1"/>
  <c r="Q155" i="11"/>
  <c r="S155" i="11" s="1"/>
  <c r="P155" i="11"/>
  <c r="R155" i="11" s="1"/>
  <c r="S154" i="11"/>
  <c r="R154" i="11"/>
  <c r="M154" i="10"/>
  <c r="L154" i="10"/>
  <c r="K154" i="10"/>
  <c r="N154" i="10"/>
  <c r="Q154" i="10"/>
  <c r="P154" i="10"/>
  <c r="O155" i="10"/>
  <c r="H156" i="10"/>
  <c r="I156" i="10" s="1"/>
  <c r="J156" i="10" s="1"/>
  <c r="G157" i="10"/>
  <c r="R152" i="7"/>
  <c r="L153" i="7"/>
  <c r="Q153" i="7"/>
  <c r="P153" i="7"/>
  <c r="M153" i="7"/>
  <c r="K153" i="7"/>
  <c r="J154" i="7"/>
  <c r="L154" i="7" s="1"/>
  <c r="O154" i="7"/>
  <c r="S152" i="7"/>
  <c r="H156" i="9"/>
  <c r="I156" i="9" s="1"/>
  <c r="J156" i="9" s="1"/>
  <c r="G157" i="9"/>
  <c r="M155" i="9"/>
  <c r="L155" i="9"/>
  <c r="N155" i="9"/>
  <c r="K155" i="9"/>
  <c r="H155" i="7"/>
  <c r="I155" i="7" s="1"/>
  <c r="G156" i="7"/>
  <c r="K154" i="6"/>
  <c r="N154" i="6"/>
  <c r="M154" i="6"/>
  <c r="L154" i="6"/>
  <c r="G156" i="6"/>
  <c r="H155" i="6"/>
  <c r="I155" i="6" s="1"/>
  <c r="J155" i="6" s="1"/>
  <c r="S156" i="12" l="1"/>
  <c r="G160" i="12"/>
  <c r="H159" i="12"/>
  <c r="I159" i="12" s="1"/>
  <c r="L157" i="12"/>
  <c r="K157" i="12"/>
  <c r="N157" i="12"/>
  <c r="M157" i="12"/>
  <c r="O158" i="12"/>
  <c r="J158" i="12"/>
  <c r="P157" i="12"/>
  <c r="Q157" i="12"/>
  <c r="R154" i="10"/>
  <c r="G159" i="11"/>
  <c r="H158" i="11"/>
  <c r="I158" i="11" s="1"/>
  <c r="S154" i="10"/>
  <c r="Q156" i="11"/>
  <c r="P156" i="11"/>
  <c r="O157" i="11"/>
  <c r="J157" i="11"/>
  <c r="N156" i="11"/>
  <c r="M156" i="11"/>
  <c r="L156" i="11"/>
  <c r="K156" i="11"/>
  <c r="M155" i="10"/>
  <c r="K155" i="10"/>
  <c r="N155" i="10"/>
  <c r="L155" i="10"/>
  <c r="Q155" i="10"/>
  <c r="P155" i="10"/>
  <c r="H157" i="10"/>
  <c r="I157" i="10" s="1"/>
  <c r="J157" i="10" s="1"/>
  <c r="G158" i="10"/>
  <c r="O156" i="10"/>
  <c r="R153" i="7"/>
  <c r="S153" i="7"/>
  <c r="Q154" i="7"/>
  <c r="S154" i="7" s="1"/>
  <c r="P154" i="7"/>
  <c r="K154" i="7"/>
  <c r="M154" i="7"/>
  <c r="J155" i="7"/>
  <c r="L155" i="7" s="1"/>
  <c r="O155" i="7"/>
  <c r="N154" i="7"/>
  <c r="H157" i="9"/>
  <c r="I157" i="9" s="1"/>
  <c r="J157" i="9" s="1"/>
  <c r="G158" i="9"/>
  <c r="M156" i="9"/>
  <c r="L156" i="9"/>
  <c r="N156" i="9"/>
  <c r="K156" i="9"/>
  <c r="H156" i="7"/>
  <c r="I156" i="7" s="1"/>
  <c r="G157" i="7"/>
  <c r="K155" i="6"/>
  <c r="M155" i="6"/>
  <c r="L155" i="6"/>
  <c r="N155" i="6"/>
  <c r="G157" i="6"/>
  <c r="H156" i="6"/>
  <c r="I156" i="6" s="1"/>
  <c r="J156" i="6" s="1"/>
  <c r="K158" i="12" l="1"/>
  <c r="N158" i="12"/>
  <c r="M158" i="12"/>
  <c r="L158" i="12"/>
  <c r="Q158" i="12"/>
  <c r="P158" i="12"/>
  <c r="R158" i="12" s="1"/>
  <c r="S155" i="10"/>
  <c r="S157" i="12"/>
  <c r="J159" i="12"/>
  <c r="O159" i="12"/>
  <c r="R157" i="12"/>
  <c r="G161" i="12"/>
  <c r="H160" i="12"/>
  <c r="I160" i="12" s="1"/>
  <c r="M157" i="11"/>
  <c r="L157" i="11"/>
  <c r="K157" i="11"/>
  <c r="N157" i="11"/>
  <c r="Q157" i="11"/>
  <c r="P157" i="11"/>
  <c r="O158" i="11"/>
  <c r="J158" i="11"/>
  <c r="R155" i="10"/>
  <c r="R156" i="11"/>
  <c r="G160" i="11"/>
  <c r="H159" i="11"/>
  <c r="I159" i="11" s="1"/>
  <c r="S156" i="11"/>
  <c r="G159" i="10"/>
  <c r="H158" i="10"/>
  <c r="I158" i="10" s="1"/>
  <c r="J158" i="10" s="1"/>
  <c r="O157" i="10"/>
  <c r="N156" i="10"/>
  <c r="M156" i="10"/>
  <c r="L156" i="10"/>
  <c r="S156" i="10" s="1"/>
  <c r="K156" i="10"/>
  <c r="R156" i="10" s="1"/>
  <c r="P156" i="10"/>
  <c r="Q156" i="10"/>
  <c r="R154" i="7"/>
  <c r="M155" i="7"/>
  <c r="K155" i="7"/>
  <c r="J156" i="7"/>
  <c r="N156" i="7" s="1"/>
  <c r="O156" i="7"/>
  <c r="Q155" i="7"/>
  <c r="S155" i="7" s="1"/>
  <c r="P155" i="7"/>
  <c r="N155" i="7"/>
  <c r="H158" i="9"/>
  <c r="I158" i="9" s="1"/>
  <c r="J158" i="9" s="1"/>
  <c r="G159" i="9"/>
  <c r="M157" i="9"/>
  <c r="L157" i="9"/>
  <c r="N157" i="9"/>
  <c r="K157" i="9"/>
  <c r="H157" i="7"/>
  <c r="I157" i="7" s="1"/>
  <c r="G158" i="7"/>
  <c r="K156" i="6"/>
  <c r="N156" i="6"/>
  <c r="M156" i="6"/>
  <c r="L156" i="6"/>
  <c r="G158" i="6"/>
  <c r="H157" i="6"/>
  <c r="I157" i="6" s="1"/>
  <c r="J157" i="6" s="1"/>
  <c r="G162" i="12" l="1"/>
  <c r="H161" i="12"/>
  <c r="I161" i="12" s="1"/>
  <c r="Q159" i="12"/>
  <c r="P159" i="12"/>
  <c r="O160" i="12"/>
  <c r="J160" i="12"/>
  <c r="N159" i="12"/>
  <c r="L159" i="12"/>
  <c r="K159" i="12"/>
  <c r="M159" i="12"/>
  <c r="S158" i="12"/>
  <c r="O159" i="11"/>
  <c r="J159" i="11"/>
  <c r="L158" i="11"/>
  <c r="N158" i="11"/>
  <c r="M158" i="11"/>
  <c r="K158" i="11"/>
  <c r="G161" i="11"/>
  <c r="H160" i="11"/>
  <c r="I160" i="11" s="1"/>
  <c r="P158" i="11"/>
  <c r="Q158" i="11"/>
  <c r="S158" i="11" s="1"/>
  <c r="R157" i="11"/>
  <c r="S157" i="11"/>
  <c r="L157" i="10"/>
  <c r="K157" i="10"/>
  <c r="N157" i="10"/>
  <c r="M157" i="10"/>
  <c r="Q157" i="10"/>
  <c r="P157" i="10"/>
  <c r="O158" i="10"/>
  <c r="G160" i="10"/>
  <c r="H159" i="10"/>
  <c r="I159" i="10" s="1"/>
  <c r="J159" i="10" s="1"/>
  <c r="R155" i="7"/>
  <c r="L156" i="7"/>
  <c r="J157" i="7"/>
  <c r="N157" i="7" s="1"/>
  <c r="O157" i="7"/>
  <c r="Q156" i="7"/>
  <c r="P156" i="7"/>
  <c r="K156" i="7"/>
  <c r="M156" i="7"/>
  <c r="M158" i="9"/>
  <c r="L158" i="9"/>
  <c r="N158" i="9"/>
  <c r="K158" i="9"/>
  <c r="H159" i="9"/>
  <c r="I159" i="9" s="1"/>
  <c r="J159" i="9" s="1"/>
  <c r="G160" i="9"/>
  <c r="H158" i="7"/>
  <c r="I158" i="7" s="1"/>
  <c r="G159" i="7"/>
  <c r="L157" i="6"/>
  <c r="K157" i="6"/>
  <c r="N157" i="6"/>
  <c r="M157" i="6"/>
  <c r="H158" i="6"/>
  <c r="I158" i="6" s="1"/>
  <c r="J158" i="6" s="1"/>
  <c r="G159" i="6"/>
  <c r="R159" i="12" l="1"/>
  <c r="R156" i="7"/>
  <c r="S159" i="12"/>
  <c r="M160" i="12"/>
  <c r="N160" i="12"/>
  <c r="L160" i="12"/>
  <c r="K160" i="12"/>
  <c r="O161" i="12"/>
  <c r="J161" i="12"/>
  <c r="Q160" i="12"/>
  <c r="S160" i="12" s="1"/>
  <c r="P160" i="12"/>
  <c r="G163" i="12"/>
  <c r="H162" i="12"/>
  <c r="I162" i="12" s="1"/>
  <c r="J160" i="11"/>
  <c r="O160" i="11"/>
  <c r="G162" i="11"/>
  <c r="H161" i="11"/>
  <c r="I161" i="11" s="1"/>
  <c r="R157" i="10"/>
  <c r="K159" i="11"/>
  <c r="M159" i="11"/>
  <c r="L159" i="11"/>
  <c r="N159" i="11"/>
  <c r="S157" i="10"/>
  <c r="R158" i="11"/>
  <c r="Q159" i="11"/>
  <c r="S159" i="11" s="1"/>
  <c r="P159" i="11"/>
  <c r="R159" i="11" s="1"/>
  <c r="L158" i="10"/>
  <c r="K158" i="10"/>
  <c r="N158" i="10"/>
  <c r="M158" i="10"/>
  <c r="P158" i="10"/>
  <c r="Q158" i="10"/>
  <c r="O159" i="10"/>
  <c r="H160" i="10"/>
  <c r="I160" i="10" s="1"/>
  <c r="J160" i="10" s="1"/>
  <c r="G161" i="10"/>
  <c r="L157" i="7"/>
  <c r="Q157" i="7"/>
  <c r="P157" i="7"/>
  <c r="M157" i="7"/>
  <c r="K157" i="7"/>
  <c r="J158" i="7"/>
  <c r="L158" i="7" s="1"/>
  <c r="O158" i="7"/>
  <c r="S156" i="7"/>
  <c r="H160" i="9"/>
  <c r="I160" i="9" s="1"/>
  <c r="J160" i="9" s="1"/>
  <c r="G161" i="9"/>
  <c r="M159" i="9"/>
  <c r="L159" i="9"/>
  <c r="N159" i="9"/>
  <c r="K159" i="9"/>
  <c r="H159" i="7"/>
  <c r="I159" i="7" s="1"/>
  <c r="G160" i="7"/>
  <c r="H159" i="6"/>
  <c r="I159" i="6" s="1"/>
  <c r="J159" i="6" s="1"/>
  <c r="G160" i="6"/>
  <c r="L158" i="6"/>
  <c r="K158" i="6"/>
  <c r="N158" i="6"/>
  <c r="M158" i="6"/>
  <c r="R160" i="12" l="1"/>
  <c r="H163" i="12"/>
  <c r="I163" i="12" s="1"/>
  <c r="G164" i="12"/>
  <c r="P161" i="12"/>
  <c r="Q161" i="12"/>
  <c r="S158" i="10"/>
  <c r="O162" i="12"/>
  <c r="J162" i="12"/>
  <c r="L161" i="12"/>
  <c r="M161" i="12"/>
  <c r="K161" i="12"/>
  <c r="N161" i="12"/>
  <c r="J161" i="11"/>
  <c r="O161" i="11"/>
  <c r="R158" i="10"/>
  <c r="G163" i="11"/>
  <c r="H162" i="11"/>
  <c r="I162" i="11" s="1"/>
  <c r="Q160" i="11"/>
  <c r="P160" i="11"/>
  <c r="N160" i="11"/>
  <c r="M160" i="11"/>
  <c r="L160" i="11"/>
  <c r="K160" i="11"/>
  <c r="L159" i="10"/>
  <c r="K159" i="10"/>
  <c r="R159" i="10" s="1"/>
  <c r="N159" i="10"/>
  <c r="M159" i="10"/>
  <c r="P159" i="10"/>
  <c r="Q159" i="10"/>
  <c r="H161" i="10"/>
  <c r="I161" i="10" s="1"/>
  <c r="J161" i="10" s="1"/>
  <c r="G162" i="10"/>
  <c r="O160" i="10"/>
  <c r="S157" i="7"/>
  <c r="R157" i="7"/>
  <c r="Q158" i="7"/>
  <c r="S158" i="7" s="1"/>
  <c r="P158" i="7"/>
  <c r="M158" i="7"/>
  <c r="K158" i="7"/>
  <c r="J159" i="7"/>
  <c r="L159" i="7" s="1"/>
  <c r="O159" i="7"/>
  <c r="N158" i="7"/>
  <c r="H161" i="9"/>
  <c r="I161" i="9" s="1"/>
  <c r="J161" i="9" s="1"/>
  <c r="G162" i="9"/>
  <c r="M160" i="9"/>
  <c r="L160" i="9"/>
  <c r="N160" i="9"/>
  <c r="K160" i="9"/>
  <c r="H160" i="7"/>
  <c r="I160" i="7" s="1"/>
  <c r="G161" i="7"/>
  <c r="H160" i="6"/>
  <c r="I160" i="6" s="1"/>
  <c r="J160" i="6" s="1"/>
  <c r="G161" i="6"/>
  <c r="M159" i="6"/>
  <c r="L159" i="6"/>
  <c r="K159" i="6"/>
  <c r="N159" i="6"/>
  <c r="S161" i="12" l="1"/>
  <c r="K162" i="12"/>
  <c r="N162" i="12"/>
  <c r="M162" i="12"/>
  <c r="L162" i="12"/>
  <c r="R161" i="12"/>
  <c r="P162" i="12"/>
  <c r="R162" i="12" s="1"/>
  <c r="Q162" i="12"/>
  <c r="S162" i="12" s="1"/>
  <c r="G165" i="12"/>
  <c r="H164" i="12"/>
  <c r="I164" i="12" s="1"/>
  <c r="J163" i="12"/>
  <c r="O163" i="12"/>
  <c r="S159" i="10"/>
  <c r="H163" i="11"/>
  <c r="I163" i="11" s="1"/>
  <c r="G164" i="11"/>
  <c r="R160" i="11"/>
  <c r="S160" i="11"/>
  <c r="Q161" i="11"/>
  <c r="P161" i="11"/>
  <c r="O162" i="11"/>
  <c r="J162" i="11"/>
  <c r="M161" i="11"/>
  <c r="L161" i="11"/>
  <c r="N161" i="11"/>
  <c r="K161" i="11"/>
  <c r="H162" i="10"/>
  <c r="I162" i="10" s="1"/>
  <c r="J162" i="10" s="1"/>
  <c r="G163" i="10"/>
  <c r="O161" i="10"/>
  <c r="K160" i="10"/>
  <c r="L160" i="10"/>
  <c r="S160" i="10" s="1"/>
  <c r="M160" i="10"/>
  <c r="N160" i="10"/>
  <c r="Q160" i="10"/>
  <c r="P160" i="10"/>
  <c r="R158" i="7"/>
  <c r="N159" i="7"/>
  <c r="J160" i="7"/>
  <c r="L160" i="7" s="1"/>
  <c r="O160" i="7"/>
  <c r="M159" i="7"/>
  <c r="Q159" i="7"/>
  <c r="S159" i="7" s="1"/>
  <c r="P159" i="7"/>
  <c r="K159" i="7"/>
  <c r="H162" i="9"/>
  <c r="I162" i="9" s="1"/>
  <c r="J162" i="9" s="1"/>
  <c r="G163" i="9"/>
  <c r="M161" i="9"/>
  <c r="L161" i="9"/>
  <c r="N161" i="9"/>
  <c r="K161" i="9"/>
  <c r="H161" i="7"/>
  <c r="I161" i="7" s="1"/>
  <c r="G162" i="7"/>
  <c r="H161" i="6"/>
  <c r="I161" i="6" s="1"/>
  <c r="J161" i="6" s="1"/>
  <c r="G162" i="6"/>
  <c r="M160" i="6"/>
  <c r="L160" i="6"/>
  <c r="K160" i="6"/>
  <c r="N160" i="6"/>
  <c r="Q163" i="12" l="1"/>
  <c r="P163" i="12"/>
  <c r="N163" i="12"/>
  <c r="M163" i="12"/>
  <c r="L163" i="12"/>
  <c r="K163" i="12"/>
  <c r="O164" i="12"/>
  <c r="J164" i="12"/>
  <c r="G166" i="12"/>
  <c r="H165" i="12"/>
  <c r="I165" i="12" s="1"/>
  <c r="P162" i="11"/>
  <c r="Q162" i="11"/>
  <c r="R161" i="11"/>
  <c r="H164" i="11"/>
  <c r="I164" i="11" s="1"/>
  <c r="G165" i="11"/>
  <c r="S161" i="11"/>
  <c r="O163" i="11"/>
  <c r="J163" i="11"/>
  <c r="R160" i="10"/>
  <c r="L162" i="11"/>
  <c r="K162" i="11"/>
  <c r="M162" i="11"/>
  <c r="N162" i="11"/>
  <c r="L161" i="10"/>
  <c r="N161" i="10"/>
  <c r="K161" i="10"/>
  <c r="R161" i="10" s="1"/>
  <c r="M161" i="10"/>
  <c r="P161" i="10"/>
  <c r="Q161" i="10"/>
  <c r="H163" i="10"/>
  <c r="I163" i="10" s="1"/>
  <c r="J163" i="10" s="1"/>
  <c r="G164" i="10"/>
  <c r="O162" i="10"/>
  <c r="R159" i="7"/>
  <c r="M160" i="7"/>
  <c r="J161" i="7"/>
  <c r="L161" i="7" s="1"/>
  <c r="O161" i="7"/>
  <c r="N160" i="7"/>
  <c r="Q160" i="7"/>
  <c r="S160" i="7" s="1"/>
  <c r="P160" i="7"/>
  <c r="K160" i="7"/>
  <c r="H163" i="9"/>
  <c r="I163" i="9" s="1"/>
  <c r="J163" i="9" s="1"/>
  <c r="G164" i="9"/>
  <c r="M162" i="9"/>
  <c r="L162" i="9"/>
  <c r="N162" i="9"/>
  <c r="K162" i="9"/>
  <c r="H162" i="7"/>
  <c r="I162" i="7" s="1"/>
  <c r="G163" i="7"/>
  <c r="H162" i="6"/>
  <c r="I162" i="6" s="1"/>
  <c r="J162" i="6" s="1"/>
  <c r="G163" i="6"/>
  <c r="M161" i="6"/>
  <c r="L161" i="6"/>
  <c r="K161" i="6"/>
  <c r="N161" i="6"/>
  <c r="M164" i="12" l="1"/>
  <c r="K164" i="12"/>
  <c r="N164" i="12"/>
  <c r="L164" i="12"/>
  <c r="Q164" i="12"/>
  <c r="P164" i="12"/>
  <c r="O165" i="12"/>
  <c r="J165" i="12"/>
  <c r="R163" i="12"/>
  <c r="G167" i="12"/>
  <c r="H166" i="12"/>
  <c r="I166" i="12" s="1"/>
  <c r="S163" i="12"/>
  <c r="K163" i="11"/>
  <c r="N163" i="11"/>
  <c r="M163" i="11"/>
  <c r="L163" i="11"/>
  <c r="J164" i="11"/>
  <c r="O164" i="11"/>
  <c r="P163" i="11"/>
  <c r="R163" i="11" s="1"/>
  <c r="Q163" i="11"/>
  <c r="S163" i="11" s="1"/>
  <c r="S161" i="10"/>
  <c r="S162" i="11"/>
  <c r="G166" i="11"/>
  <c r="H165" i="11"/>
  <c r="I165" i="11" s="1"/>
  <c r="R162" i="11"/>
  <c r="G165" i="10"/>
  <c r="H164" i="10"/>
  <c r="I164" i="10" s="1"/>
  <c r="J164" i="10" s="1"/>
  <c r="O163" i="10"/>
  <c r="L162" i="10"/>
  <c r="S162" i="10" s="1"/>
  <c r="K162" i="10"/>
  <c r="M162" i="10"/>
  <c r="N162" i="10"/>
  <c r="P162" i="10"/>
  <c r="Q162" i="10"/>
  <c r="R160" i="7"/>
  <c r="M161" i="7"/>
  <c r="J162" i="7"/>
  <c r="L162" i="7" s="1"/>
  <c r="O162" i="7"/>
  <c r="K161" i="7"/>
  <c r="Q161" i="7"/>
  <c r="S161" i="7" s="1"/>
  <c r="P161" i="7"/>
  <c r="N161" i="7"/>
  <c r="H164" i="9"/>
  <c r="I164" i="9" s="1"/>
  <c r="J164" i="9" s="1"/>
  <c r="G165" i="9"/>
  <c r="M163" i="9"/>
  <c r="L163" i="9"/>
  <c r="N163" i="9"/>
  <c r="K163" i="9"/>
  <c r="H163" i="7"/>
  <c r="I163" i="7" s="1"/>
  <c r="G164" i="7"/>
  <c r="H163" i="6"/>
  <c r="I163" i="6" s="1"/>
  <c r="J163" i="6" s="1"/>
  <c r="G164" i="6"/>
  <c r="M162" i="6"/>
  <c r="L162" i="6"/>
  <c r="K162" i="6"/>
  <c r="N162" i="6"/>
  <c r="R164" i="12" l="1"/>
  <c r="L165" i="12"/>
  <c r="N165" i="12"/>
  <c r="M165" i="12"/>
  <c r="K165" i="12"/>
  <c r="P165" i="12"/>
  <c r="Q165" i="12"/>
  <c r="S165" i="12" s="1"/>
  <c r="O166" i="12"/>
  <c r="J166" i="12"/>
  <c r="G168" i="12"/>
  <c r="H167" i="12"/>
  <c r="I167" i="12" s="1"/>
  <c r="S164" i="12"/>
  <c r="J165" i="11"/>
  <c r="O165" i="11"/>
  <c r="G167" i="11"/>
  <c r="H166" i="11"/>
  <c r="I166" i="11" s="1"/>
  <c r="R162" i="10"/>
  <c r="Q164" i="11"/>
  <c r="P164" i="11"/>
  <c r="N164" i="11"/>
  <c r="M164" i="11"/>
  <c r="K164" i="11"/>
  <c r="L164" i="11"/>
  <c r="M163" i="10"/>
  <c r="L163" i="10"/>
  <c r="K163" i="10"/>
  <c r="N163" i="10"/>
  <c r="P163" i="10"/>
  <c r="Q163" i="10"/>
  <c r="O164" i="10"/>
  <c r="G166" i="10"/>
  <c r="H165" i="10"/>
  <c r="I165" i="10" s="1"/>
  <c r="J165" i="10" s="1"/>
  <c r="R161" i="7"/>
  <c r="M162" i="7"/>
  <c r="J163" i="7"/>
  <c r="L163" i="7" s="1"/>
  <c r="O163" i="7"/>
  <c r="N162" i="7"/>
  <c r="Q162" i="7"/>
  <c r="S162" i="7" s="1"/>
  <c r="P162" i="7"/>
  <c r="K162" i="7"/>
  <c r="R162" i="7" s="1"/>
  <c r="H165" i="9"/>
  <c r="I165" i="9" s="1"/>
  <c r="J165" i="9" s="1"/>
  <c r="G166" i="9"/>
  <c r="M164" i="9"/>
  <c r="L164" i="9"/>
  <c r="N164" i="9"/>
  <c r="K164" i="9"/>
  <c r="H164" i="7"/>
  <c r="I164" i="7" s="1"/>
  <c r="G165" i="7"/>
  <c r="H164" i="6"/>
  <c r="I164" i="6" s="1"/>
  <c r="J164" i="6" s="1"/>
  <c r="G165" i="6"/>
  <c r="M163" i="6"/>
  <c r="L163" i="6"/>
  <c r="K163" i="6"/>
  <c r="N163" i="6"/>
  <c r="K166" i="12" l="1"/>
  <c r="L166" i="12"/>
  <c r="N166" i="12"/>
  <c r="M166" i="12"/>
  <c r="Q166" i="12"/>
  <c r="P166" i="12"/>
  <c r="R166" i="12" s="1"/>
  <c r="J167" i="12"/>
  <c r="O167" i="12"/>
  <c r="R163" i="10"/>
  <c r="S164" i="11"/>
  <c r="G169" i="12"/>
  <c r="H168" i="12"/>
  <c r="I168" i="12" s="1"/>
  <c r="R165" i="12"/>
  <c r="O166" i="11"/>
  <c r="J166" i="11"/>
  <c r="R164" i="11"/>
  <c r="G168" i="11"/>
  <c r="H167" i="11"/>
  <c r="I167" i="11" s="1"/>
  <c r="Q165" i="11"/>
  <c r="P165" i="11"/>
  <c r="S163" i="10"/>
  <c r="M165" i="11"/>
  <c r="L165" i="11"/>
  <c r="N165" i="11"/>
  <c r="K165" i="11"/>
  <c r="Q164" i="10"/>
  <c r="P164" i="10"/>
  <c r="K164" i="10"/>
  <c r="N164" i="10"/>
  <c r="M164" i="10"/>
  <c r="L164" i="10"/>
  <c r="S164" i="10" s="1"/>
  <c r="O165" i="10"/>
  <c r="G167" i="10"/>
  <c r="H166" i="10"/>
  <c r="I166" i="10" s="1"/>
  <c r="J166" i="10" s="1"/>
  <c r="M163" i="7"/>
  <c r="J164" i="7"/>
  <c r="L164" i="7" s="1"/>
  <c r="O164" i="7"/>
  <c r="K163" i="7"/>
  <c r="Q163" i="7"/>
  <c r="S163" i="7" s="1"/>
  <c r="P163" i="7"/>
  <c r="N163" i="7"/>
  <c r="H166" i="9"/>
  <c r="I166" i="9" s="1"/>
  <c r="J166" i="9" s="1"/>
  <c r="G167" i="9"/>
  <c r="M165" i="9"/>
  <c r="L165" i="9"/>
  <c r="N165" i="9"/>
  <c r="K165" i="9"/>
  <c r="H165" i="7"/>
  <c r="I165" i="7" s="1"/>
  <c r="G166" i="7"/>
  <c r="H165" i="6"/>
  <c r="I165" i="6" s="1"/>
  <c r="J165" i="6" s="1"/>
  <c r="G166" i="6"/>
  <c r="M164" i="6"/>
  <c r="L164" i="6"/>
  <c r="K164" i="6"/>
  <c r="N164" i="6"/>
  <c r="O168" i="12" l="1"/>
  <c r="J168" i="12"/>
  <c r="Q167" i="12"/>
  <c r="S167" i="12" s="1"/>
  <c r="P167" i="12"/>
  <c r="G170" i="12"/>
  <c r="H169" i="12"/>
  <c r="I169" i="12" s="1"/>
  <c r="N167" i="12"/>
  <c r="M167" i="12"/>
  <c r="L167" i="12"/>
  <c r="K167" i="12"/>
  <c r="S166" i="12"/>
  <c r="G169" i="11"/>
  <c r="H168" i="11"/>
  <c r="I168" i="11" s="1"/>
  <c r="R164" i="10"/>
  <c r="R165" i="11"/>
  <c r="S165" i="11"/>
  <c r="L166" i="11"/>
  <c r="K166" i="11"/>
  <c r="N166" i="11"/>
  <c r="M166" i="11"/>
  <c r="O167" i="11"/>
  <c r="J167" i="11"/>
  <c r="P166" i="11"/>
  <c r="R166" i="11" s="1"/>
  <c r="Q166" i="11"/>
  <c r="N165" i="10"/>
  <c r="L165" i="10"/>
  <c r="K165" i="10"/>
  <c r="M165" i="10"/>
  <c r="P165" i="10"/>
  <c r="Q165" i="10"/>
  <c r="O166" i="10"/>
  <c r="G168" i="10"/>
  <c r="H167" i="10"/>
  <c r="I167" i="10" s="1"/>
  <c r="J167" i="10" s="1"/>
  <c r="R163" i="7"/>
  <c r="Q164" i="7"/>
  <c r="S164" i="7" s="1"/>
  <c r="P164" i="7"/>
  <c r="K164" i="7"/>
  <c r="R164" i="7" s="1"/>
  <c r="N164" i="7"/>
  <c r="M164" i="7"/>
  <c r="J165" i="7"/>
  <c r="L165" i="7" s="1"/>
  <c r="O165" i="7"/>
  <c r="H167" i="9"/>
  <c r="I167" i="9" s="1"/>
  <c r="J167" i="9" s="1"/>
  <c r="G168" i="9"/>
  <c r="M166" i="9"/>
  <c r="L166" i="9"/>
  <c r="N166" i="9"/>
  <c r="K166" i="9"/>
  <c r="H166" i="7"/>
  <c r="I166" i="7" s="1"/>
  <c r="G167" i="7"/>
  <c r="H166" i="6"/>
  <c r="I166" i="6" s="1"/>
  <c r="J166" i="6" s="1"/>
  <c r="G167" i="6"/>
  <c r="M165" i="6"/>
  <c r="L165" i="6"/>
  <c r="K165" i="6"/>
  <c r="N165" i="6"/>
  <c r="R167" i="12" l="1"/>
  <c r="O169" i="12"/>
  <c r="J169" i="12"/>
  <c r="M168" i="12"/>
  <c r="L168" i="12"/>
  <c r="K168" i="12"/>
  <c r="N168" i="12"/>
  <c r="H170" i="12"/>
  <c r="I170" i="12" s="1"/>
  <c r="G171" i="12"/>
  <c r="Q168" i="12"/>
  <c r="S168" i="12" s="1"/>
  <c r="P168" i="12"/>
  <c r="R168" i="12" s="1"/>
  <c r="R165" i="10"/>
  <c r="S165" i="10"/>
  <c r="K167" i="11"/>
  <c r="N167" i="11"/>
  <c r="L167" i="11"/>
  <c r="M167" i="11"/>
  <c r="Q167" i="11"/>
  <c r="P167" i="11"/>
  <c r="R167" i="11" s="1"/>
  <c r="J168" i="11"/>
  <c r="O168" i="11"/>
  <c r="S166" i="11"/>
  <c r="G170" i="11"/>
  <c r="H169" i="11"/>
  <c r="I169" i="11" s="1"/>
  <c r="L166" i="10"/>
  <c r="M166" i="10"/>
  <c r="N166" i="10"/>
  <c r="K166" i="10"/>
  <c r="R166" i="10" s="1"/>
  <c r="Q166" i="10"/>
  <c r="P166" i="10"/>
  <c r="O167" i="10"/>
  <c r="G169" i="10"/>
  <c r="H168" i="10"/>
  <c r="I168" i="10" s="1"/>
  <c r="J168" i="10" s="1"/>
  <c r="M165" i="7"/>
  <c r="N165" i="7"/>
  <c r="Q165" i="7"/>
  <c r="S165" i="7" s="1"/>
  <c r="P165" i="7"/>
  <c r="J166" i="7"/>
  <c r="L166" i="7" s="1"/>
  <c r="O166" i="7"/>
  <c r="K165" i="7"/>
  <c r="H168" i="9"/>
  <c r="I168" i="9" s="1"/>
  <c r="J168" i="9" s="1"/>
  <c r="G169" i="9"/>
  <c r="L167" i="9"/>
  <c r="N167" i="9"/>
  <c r="K167" i="9"/>
  <c r="M167" i="9"/>
  <c r="H167" i="7"/>
  <c r="I167" i="7" s="1"/>
  <c r="G168" i="7"/>
  <c r="H167" i="6"/>
  <c r="I167" i="6" s="1"/>
  <c r="J167" i="6" s="1"/>
  <c r="G168" i="6"/>
  <c r="M166" i="6"/>
  <c r="L166" i="6"/>
  <c r="K166" i="6"/>
  <c r="N166" i="6"/>
  <c r="O170" i="12" l="1"/>
  <c r="J170" i="12"/>
  <c r="L169" i="12"/>
  <c r="N169" i="12"/>
  <c r="M169" i="12"/>
  <c r="K169" i="12"/>
  <c r="S167" i="11"/>
  <c r="P169" i="12"/>
  <c r="Q169" i="12"/>
  <c r="G172" i="12"/>
  <c r="H171" i="12"/>
  <c r="I171" i="12" s="1"/>
  <c r="G171" i="11"/>
  <c r="H170" i="11"/>
  <c r="I170" i="11" s="1"/>
  <c r="S166" i="10"/>
  <c r="Q168" i="11"/>
  <c r="P168" i="11"/>
  <c r="J169" i="11"/>
  <c r="O169" i="11"/>
  <c r="N168" i="11"/>
  <c r="M168" i="11"/>
  <c r="L168" i="11"/>
  <c r="K168" i="11"/>
  <c r="N167" i="10"/>
  <c r="L167" i="10"/>
  <c r="M167" i="10"/>
  <c r="K167" i="10"/>
  <c r="R167" i="10" s="1"/>
  <c r="Q167" i="10"/>
  <c r="P167" i="10"/>
  <c r="O168" i="10"/>
  <c r="H169" i="10"/>
  <c r="I169" i="10" s="1"/>
  <c r="J169" i="10" s="1"/>
  <c r="G170" i="10"/>
  <c r="R165" i="7"/>
  <c r="K166" i="7"/>
  <c r="J167" i="7"/>
  <c r="L167" i="7" s="1"/>
  <c r="O167" i="7"/>
  <c r="M166" i="7"/>
  <c r="Q166" i="7"/>
  <c r="S166" i="7" s="1"/>
  <c r="P166" i="7"/>
  <c r="N166" i="7"/>
  <c r="H169" i="9"/>
  <c r="I169" i="9" s="1"/>
  <c r="J169" i="9" s="1"/>
  <c r="G170" i="9"/>
  <c r="L168" i="9"/>
  <c r="M168" i="9"/>
  <c r="K168" i="9"/>
  <c r="N168" i="9"/>
  <c r="H168" i="7"/>
  <c r="I168" i="7" s="1"/>
  <c r="G169" i="7"/>
  <c r="H168" i="6"/>
  <c r="I168" i="6" s="1"/>
  <c r="J168" i="6" s="1"/>
  <c r="G169" i="6"/>
  <c r="M167" i="6"/>
  <c r="L167" i="6"/>
  <c r="K167" i="6"/>
  <c r="N167" i="6"/>
  <c r="S169" i="12" l="1"/>
  <c r="R169" i="12"/>
  <c r="J171" i="12"/>
  <c r="O171" i="12"/>
  <c r="H172" i="12"/>
  <c r="I172" i="12" s="1"/>
  <c r="G173" i="12"/>
  <c r="K170" i="12"/>
  <c r="M170" i="12"/>
  <c r="L170" i="12"/>
  <c r="N170" i="12"/>
  <c r="Q170" i="12"/>
  <c r="S170" i="12" s="1"/>
  <c r="P170" i="12"/>
  <c r="S168" i="11"/>
  <c r="Q169" i="11"/>
  <c r="P169" i="11"/>
  <c r="M169" i="11"/>
  <c r="L169" i="11"/>
  <c r="N169" i="11"/>
  <c r="K169" i="11"/>
  <c r="O170" i="11"/>
  <c r="J170" i="11"/>
  <c r="S167" i="10"/>
  <c r="R168" i="11"/>
  <c r="H171" i="11"/>
  <c r="I171" i="11" s="1"/>
  <c r="G172" i="11"/>
  <c r="M168" i="10"/>
  <c r="N168" i="10"/>
  <c r="L168" i="10"/>
  <c r="S168" i="10" s="1"/>
  <c r="K168" i="10"/>
  <c r="R168" i="10" s="1"/>
  <c r="P168" i="10"/>
  <c r="Q168" i="10"/>
  <c r="G171" i="10"/>
  <c r="H170" i="10"/>
  <c r="I170" i="10" s="1"/>
  <c r="J170" i="10" s="1"/>
  <c r="O169" i="10"/>
  <c r="R166" i="7"/>
  <c r="M167" i="7"/>
  <c r="J168" i="7"/>
  <c r="L168" i="7" s="1"/>
  <c r="O168" i="7"/>
  <c r="Q167" i="7"/>
  <c r="S167" i="7" s="1"/>
  <c r="P167" i="7"/>
  <c r="N167" i="7"/>
  <c r="K167" i="7"/>
  <c r="H170" i="9"/>
  <c r="I170" i="9" s="1"/>
  <c r="J170" i="9" s="1"/>
  <c r="G171" i="9"/>
  <c r="L169" i="9"/>
  <c r="N169" i="9"/>
  <c r="M169" i="9"/>
  <c r="K169" i="9"/>
  <c r="H169" i="7"/>
  <c r="I169" i="7" s="1"/>
  <c r="G170" i="7"/>
  <c r="H169" i="6"/>
  <c r="I169" i="6" s="1"/>
  <c r="J169" i="6" s="1"/>
  <c r="G170" i="6"/>
  <c r="M168" i="6"/>
  <c r="L168" i="6"/>
  <c r="K168" i="6"/>
  <c r="N168" i="6"/>
  <c r="J172" i="12" l="1"/>
  <c r="O172" i="12"/>
  <c r="R170" i="12"/>
  <c r="P171" i="12"/>
  <c r="Q171" i="12"/>
  <c r="N171" i="12"/>
  <c r="K171" i="12"/>
  <c r="M171" i="12"/>
  <c r="L171" i="12"/>
  <c r="S169" i="11"/>
  <c r="G174" i="12"/>
  <c r="H173" i="12"/>
  <c r="I173" i="12" s="1"/>
  <c r="O171" i="11"/>
  <c r="J171" i="11"/>
  <c r="P170" i="11"/>
  <c r="Q170" i="11"/>
  <c r="R169" i="11"/>
  <c r="R167" i="7"/>
  <c r="H172" i="11"/>
  <c r="I172" i="11" s="1"/>
  <c r="G173" i="11"/>
  <c r="L170" i="11"/>
  <c r="K170" i="11"/>
  <c r="M170" i="11"/>
  <c r="N170" i="11"/>
  <c r="O170" i="10"/>
  <c r="G172" i="10"/>
  <c r="H171" i="10"/>
  <c r="I171" i="10" s="1"/>
  <c r="J171" i="10" s="1"/>
  <c r="P169" i="10"/>
  <c r="Q169" i="10"/>
  <c r="N169" i="10"/>
  <c r="M169" i="10"/>
  <c r="L169" i="10"/>
  <c r="K169" i="10"/>
  <c r="R169" i="10" s="1"/>
  <c r="Q168" i="7"/>
  <c r="S168" i="7" s="1"/>
  <c r="P168" i="7"/>
  <c r="K168" i="7"/>
  <c r="M168" i="7"/>
  <c r="J169" i="7"/>
  <c r="L169" i="7" s="1"/>
  <c r="O169" i="7"/>
  <c r="N168" i="7"/>
  <c r="H171" i="9"/>
  <c r="I171" i="9" s="1"/>
  <c r="J171" i="9" s="1"/>
  <c r="G172" i="9"/>
  <c r="L170" i="9"/>
  <c r="M170" i="9"/>
  <c r="K170" i="9"/>
  <c r="N170" i="9"/>
  <c r="H170" i="7"/>
  <c r="I170" i="7" s="1"/>
  <c r="G171" i="7"/>
  <c r="H170" i="6"/>
  <c r="I170" i="6" s="1"/>
  <c r="J170" i="6" s="1"/>
  <c r="G171" i="6"/>
  <c r="M169" i="6"/>
  <c r="L169" i="6"/>
  <c r="K169" i="6"/>
  <c r="N169" i="6"/>
  <c r="O173" i="12" l="1"/>
  <c r="J173" i="12"/>
  <c r="R171" i="12"/>
  <c r="G175" i="12"/>
  <c r="H174" i="12"/>
  <c r="I174" i="12" s="1"/>
  <c r="Q172" i="12"/>
  <c r="P172" i="12"/>
  <c r="S171" i="12"/>
  <c r="M172" i="12"/>
  <c r="N172" i="12"/>
  <c r="L172" i="12"/>
  <c r="K172" i="12"/>
  <c r="S169" i="10"/>
  <c r="G174" i="11"/>
  <c r="H173" i="11"/>
  <c r="I173" i="11" s="1"/>
  <c r="S170" i="11"/>
  <c r="J172" i="11"/>
  <c r="O172" i="11"/>
  <c r="R170" i="11"/>
  <c r="K171" i="11"/>
  <c r="N171" i="11"/>
  <c r="M171" i="11"/>
  <c r="L171" i="11"/>
  <c r="P171" i="11"/>
  <c r="R171" i="11" s="1"/>
  <c r="Q171" i="11"/>
  <c r="S171" i="11" s="1"/>
  <c r="O171" i="10"/>
  <c r="G173" i="10"/>
  <c r="H172" i="10"/>
  <c r="I172" i="10" s="1"/>
  <c r="J172" i="10" s="1"/>
  <c r="L170" i="10"/>
  <c r="M170" i="10"/>
  <c r="K170" i="10"/>
  <c r="N170" i="10"/>
  <c r="Q170" i="10"/>
  <c r="P170" i="10"/>
  <c r="R168" i="7"/>
  <c r="M169" i="7"/>
  <c r="N169" i="7"/>
  <c r="J170" i="7"/>
  <c r="N170" i="7" s="1"/>
  <c r="O170" i="7"/>
  <c r="Q169" i="7"/>
  <c r="S169" i="7" s="1"/>
  <c r="P169" i="7"/>
  <c r="K169" i="7"/>
  <c r="R169" i="7" s="1"/>
  <c r="H172" i="9"/>
  <c r="I172" i="9" s="1"/>
  <c r="J172" i="9" s="1"/>
  <c r="G173" i="9"/>
  <c r="L171" i="9"/>
  <c r="N171" i="9"/>
  <c r="K171" i="9"/>
  <c r="M171" i="9"/>
  <c r="H171" i="7"/>
  <c r="I171" i="7" s="1"/>
  <c r="G172" i="7"/>
  <c r="H171" i="6"/>
  <c r="I171" i="6" s="1"/>
  <c r="J171" i="6" s="1"/>
  <c r="G172" i="6"/>
  <c r="M170" i="6"/>
  <c r="L170" i="6"/>
  <c r="K170" i="6"/>
  <c r="N170" i="6"/>
  <c r="S172" i="12" l="1"/>
  <c r="R172" i="12"/>
  <c r="G176" i="12"/>
  <c r="H175" i="12"/>
  <c r="I175" i="12" s="1"/>
  <c r="L173" i="12"/>
  <c r="K173" i="12"/>
  <c r="N173" i="12"/>
  <c r="M173" i="12"/>
  <c r="O174" i="12"/>
  <c r="J174" i="12"/>
  <c r="P173" i="12"/>
  <c r="R173" i="12" s="1"/>
  <c r="Q173" i="12"/>
  <c r="S173" i="12" s="1"/>
  <c r="R170" i="10"/>
  <c r="J173" i="11"/>
  <c r="O173" i="11"/>
  <c r="Q172" i="11"/>
  <c r="P172" i="11"/>
  <c r="G175" i="11"/>
  <c r="H174" i="11"/>
  <c r="I174" i="11" s="1"/>
  <c r="S170" i="10"/>
  <c r="N172" i="11"/>
  <c r="M172" i="11"/>
  <c r="K172" i="11"/>
  <c r="L172" i="11"/>
  <c r="O172" i="10"/>
  <c r="G174" i="10"/>
  <c r="H173" i="10"/>
  <c r="I173" i="10" s="1"/>
  <c r="J173" i="10" s="1"/>
  <c r="P171" i="10"/>
  <c r="Q171" i="10"/>
  <c r="K171" i="10"/>
  <c r="R171" i="10" s="1"/>
  <c r="L171" i="10"/>
  <c r="S171" i="10" s="1"/>
  <c r="N171" i="10"/>
  <c r="M171" i="10"/>
  <c r="L170" i="7"/>
  <c r="J171" i="7"/>
  <c r="K171" i="7" s="1"/>
  <c r="O171" i="7"/>
  <c r="Q170" i="7"/>
  <c r="P170" i="7"/>
  <c r="M170" i="7"/>
  <c r="K170" i="7"/>
  <c r="H173" i="9"/>
  <c r="I173" i="9" s="1"/>
  <c r="J173" i="9" s="1"/>
  <c r="G174" i="9"/>
  <c r="L172" i="9"/>
  <c r="M172" i="9"/>
  <c r="K172" i="9"/>
  <c r="N172" i="9"/>
  <c r="H172" i="7"/>
  <c r="I172" i="7" s="1"/>
  <c r="G173" i="7"/>
  <c r="H172" i="6"/>
  <c r="I172" i="6" s="1"/>
  <c r="J172" i="6" s="1"/>
  <c r="G173" i="6"/>
  <c r="M171" i="6"/>
  <c r="L171" i="6"/>
  <c r="K171" i="6"/>
  <c r="N171" i="6"/>
  <c r="Q174" i="12" l="1"/>
  <c r="P174" i="12"/>
  <c r="R170" i="7"/>
  <c r="J175" i="12"/>
  <c r="O175" i="12"/>
  <c r="H176" i="12"/>
  <c r="I176" i="12" s="1"/>
  <c r="G177" i="12"/>
  <c r="K174" i="12"/>
  <c r="N174" i="12"/>
  <c r="M174" i="12"/>
  <c r="L174" i="12"/>
  <c r="S172" i="11"/>
  <c r="O174" i="11"/>
  <c r="J174" i="11"/>
  <c r="Q173" i="11"/>
  <c r="P173" i="11"/>
  <c r="G176" i="11"/>
  <c r="H175" i="11"/>
  <c r="I175" i="11" s="1"/>
  <c r="M173" i="11"/>
  <c r="L173" i="11"/>
  <c r="N173" i="11"/>
  <c r="K173" i="11"/>
  <c r="R172" i="11"/>
  <c r="O173" i="10"/>
  <c r="G175" i="10"/>
  <c r="H174" i="10"/>
  <c r="I174" i="10" s="1"/>
  <c r="J174" i="10" s="1"/>
  <c r="M172" i="10"/>
  <c r="K172" i="10"/>
  <c r="L172" i="10"/>
  <c r="S172" i="10" s="1"/>
  <c r="N172" i="10"/>
  <c r="Q172" i="10"/>
  <c r="P172" i="10"/>
  <c r="L171" i="7"/>
  <c r="Q171" i="7"/>
  <c r="P171" i="7"/>
  <c r="R171" i="7" s="1"/>
  <c r="M171" i="7"/>
  <c r="N171" i="7"/>
  <c r="J172" i="7"/>
  <c r="L172" i="7" s="1"/>
  <c r="O172" i="7"/>
  <c r="S170" i="7"/>
  <c r="H174" i="9"/>
  <c r="I174" i="9" s="1"/>
  <c r="J174" i="9" s="1"/>
  <c r="G175" i="9"/>
  <c r="L173" i="9"/>
  <c r="N173" i="9"/>
  <c r="M173" i="9"/>
  <c r="K173" i="9"/>
  <c r="H173" i="7"/>
  <c r="I173" i="7" s="1"/>
  <c r="G174" i="7"/>
  <c r="G174" i="6"/>
  <c r="H173" i="6"/>
  <c r="I173" i="6" s="1"/>
  <c r="J173" i="6" s="1"/>
  <c r="M172" i="6"/>
  <c r="N172" i="6"/>
  <c r="L172" i="6"/>
  <c r="K172" i="6"/>
  <c r="N175" i="12" l="1"/>
  <c r="L175" i="12"/>
  <c r="K175" i="12"/>
  <c r="M175" i="12"/>
  <c r="S173" i="11"/>
  <c r="G178" i="12"/>
  <c r="H177" i="12"/>
  <c r="I177" i="12" s="1"/>
  <c r="O176" i="12"/>
  <c r="J176" i="12"/>
  <c r="R174" i="12"/>
  <c r="Q175" i="12"/>
  <c r="S175" i="12" s="1"/>
  <c r="P175" i="12"/>
  <c r="S174" i="12"/>
  <c r="O175" i="11"/>
  <c r="J175" i="11"/>
  <c r="L174" i="11"/>
  <c r="K174" i="11"/>
  <c r="N174" i="11"/>
  <c r="M174" i="11"/>
  <c r="G177" i="11"/>
  <c r="H176" i="11"/>
  <c r="I176" i="11" s="1"/>
  <c r="P174" i="11"/>
  <c r="R174" i="11" s="1"/>
  <c r="Q174" i="11"/>
  <c r="S174" i="11" s="1"/>
  <c r="R172" i="10"/>
  <c r="R173" i="11"/>
  <c r="O174" i="10"/>
  <c r="G176" i="10"/>
  <c r="H175" i="10"/>
  <c r="I175" i="10" s="1"/>
  <c r="J175" i="10" s="1"/>
  <c r="Q173" i="10"/>
  <c r="P173" i="10"/>
  <c r="M173" i="10"/>
  <c r="L173" i="10"/>
  <c r="S173" i="10" s="1"/>
  <c r="N173" i="10"/>
  <c r="K173" i="10"/>
  <c r="R173" i="10" s="1"/>
  <c r="S171" i="7"/>
  <c r="Q172" i="7"/>
  <c r="S172" i="7" s="1"/>
  <c r="P172" i="7"/>
  <c r="M172" i="7"/>
  <c r="K172" i="7"/>
  <c r="J173" i="7"/>
  <c r="L173" i="7" s="1"/>
  <c r="O173" i="7"/>
  <c r="N172" i="7"/>
  <c r="H175" i="9"/>
  <c r="I175" i="9" s="1"/>
  <c r="J175" i="9" s="1"/>
  <c r="G176" i="9"/>
  <c r="L174" i="9"/>
  <c r="M174" i="9"/>
  <c r="K174" i="9"/>
  <c r="N174" i="9"/>
  <c r="H174" i="7"/>
  <c r="I174" i="7" s="1"/>
  <c r="G175" i="7"/>
  <c r="M173" i="6"/>
  <c r="K173" i="6"/>
  <c r="N173" i="6"/>
  <c r="L173" i="6"/>
  <c r="H174" i="6"/>
  <c r="I174" i="6" s="1"/>
  <c r="J174" i="6" s="1"/>
  <c r="G175" i="6"/>
  <c r="R175" i="12" l="1"/>
  <c r="Q176" i="12"/>
  <c r="P176" i="12"/>
  <c r="J177" i="12"/>
  <c r="O177" i="12"/>
  <c r="H178" i="12"/>
  <c r="I178" i="12" s="1"/>
  <c r="G179" i="12"/>
  <c r="K176" i="12"/>
  <c r="M176" i="12"/>
  <c r="N176" i="12"/>
  <c r="L176" i="12"/>
  <c r="J176" i="11"/>
  <c r="O176" i="11"/>
  <c r="G178" i="11"/>
  <c r="H177" i="11"/>
  <c r="I177" i="11" s="1"/>
  <c r="K175" i="11"/>
  <c r="N175" i="11"/>
  <c r="L175" i="11"/>
  <c r="M175" i="11"/>
  <c r="Q175" i="11"/>
  <c r="S175" i="11" s="1"/>
  <c r="P175" i="11"/>
  <c r="O175" i="10"/>
  <c r="H176" i="10"/>
  <c r="I176" i="10" s="1"/>
  <c r="J176" i="10" s="1"/>
  <c r="G177" i="10"/>
  <c r="N174" i="10"/>
  <c r="M174" i="10"/>
  <c r="K174" i="10"/>
  <c r="R174" i="10" s="1"/>
  <c r="L174" i="10"/>
  <c r="S174" i="10" s="1"/>
  <c r="Q174" i="10"/>
  <c r="P174" i="10"/>
  <c r="R172" i="7"/>
  <c r="M173" i="7"/>
  <c r="J174" i="7"/>
  <c r="N174" i="7" s="1"/>
  <c r="O174" i="7"/>
  <c r="N173" i="7"/>
  <c r="Q173" i="7"/>
  <c r="S173" i="7" s="1"/>
  <c r="P173" i="7"/>
  <c r="K173" i="7"/>
  <c r="H176" i="9"/>
  <c r="I176" i="9" s="1"/>
  <c r="J176" i="9" s="1"/>
  <c r="G177" i="9"/>
  <c r="L175" i="9"/>
  <c r="N175" i="9"/>
  <c r="K175" i="9"/>
  <c r="M175" i="9"/>
  <c r="H175" i="7"/>
  <c r="I175" i="7" s="1"/>
  <c r="G176" i="7"/>
  <c r="G176" i="6"/>
  <c r="H175" i="6"/>
  <c r="I175" i="6" s="1"/>
  <c r="J175" i="6" s="1"/>
  <c r="M174" i="6"/>
  <c r="N174" i="6"/>
  <c r="L174" i="6"/>
  <c r="K174" i="6"/>
  <c r="P177" i="12" l="1"/>
  <c r="Q177" i="12"/>
  <c r="N177" i="12"/>
  <c r="L177" i="12"/>
  <c r="M177" i="12"/>
  <c r="K177" i="12"/>
  <c r="G180" i="12"/>
  <c r="H179" i="12"/>
  <c r="I179" i="12" s="1"/>
  <c r="R176" i="12"/>
  <c r="O178" i="12"/>
  <c r="J178" i="12"/>
  <c r="S176" i="12"/>
  <c r="J177" i="11"/>
  <c r="O177" i="11"/>
  <c r="G179" i="11"/>
  <c r="H178" i="11"/>
  <c r="I178" i="11" s="1"/>
  <c r="R175" i="11"/>
  <c r="Q176" i="11"/>
  <c r="P176" i="11"/>
  <c r="N176" i="11"/>
  <c r="M176" i="11"/>
  <c r="L176" i="11"/>
  <c r="K176" i="11"/>
  <c r="G178" i="10"/>
  <c r="H177" i="10"/>
  <c r="I177" i="10" s="1"/>
  <c r="J177" i="10" s="1"/>
  <c r="O176" i="10"/>
  <c r="M175" i="10"/>
  <c r="K175" i="10"/>
  <c r="L175" i="10"/>
  <c r="S175" i="10" s="1"/>
  <c r="N175" i="10"/>
  <c r="Q175" i="10"/>
  <c r="P175" i="10"/>
  <c r="R173" i="7"/>
  <c r="Q174" i="7"/>
  <c r="P174" i="7"/>
  <c r="L174" i="7"/>
  <c r="K174" i="7"/>
  <c r="M174" i="7"/>
  <c r="J175" i="7"/>
  <c r="K175" i="7" s="1"/>
  <c r="O175" i="7"/>
  <c r="H177" i="9"/>
  <c r="I177" i="9" s="1"/>
  <c r="J177" i="9" s="1"/>
  <c r="G178" i="9"/>
  <c r="L176" i="9"/>
  <c r="M176" i="9"/>
  <c r="K176" i="9"/>
  <c r="N176" i="9"/>
  <c r="H176" i="7"/>
  <c r="I176" i="7" s="1"/>
  <c r="G177" i="7"/>
  <c r="M175" i="6"/>
  <c r="K175" i="6"/>
  <c r="N175" i="6"/>
  <c r="L175" i="6"/>
  <c r="H176" i="6"/>
  <c r="I176" i="6" s="1"/>
  <c r="J176" i="6" s="1"/>
  <c r="G177" i="6"/>
  <c r="J179" i="12" l="1"/>
  <c r="O179" i="12"/>
  <c r="M178" i="12"/>
  <c r="K178" i="12"/>
  <c r="N178" i="12"/>
  <c r="L178" i="12"/>
  <c r="G181" i="12"/>
  <c r="H180" i="12"/>
  <c r="I180" i="12" s="1"/>
  <c r="Q178" i="12"/>
  <c r="S178" i="12" s="1"/>
  <c r="P178" i="12"/>
  <c r="S177" i="12"/>
  <c r="R177" i="12"/>
  <c r="R175" i="10"/>
  <c r="O178" i="11"/>
  <c r="J178" i="11"/>
  <c r="R176" i="11"/>
  <c r="H179" i="11"/>
  <c r="I179" i="11" s="1"/>
  <c r="G180" i="11"/>
  <c r="S176" i="11"/>
  <c r="Q177" i="11"/>
  <c r="P177" i="11"/>
  <c r="M177" i="11"/>
  <c r="L177" i="11"/>
  <c r="N177" i="11"/>
  <c r="K177" i="11"/>
  <c r="L176" i="10"/>
  <c r="N176" i="10"/>
  <c r="K176" i="10"/>
  <c r="M176" i="10"/>
  <c r="Q176" i="10"/>
  <c r="P176" i="10"/>
  <c r="O177" i="10"/>
  <c r="H178" i="10"/>
  <c r="I178" i="10" s="1"/>
  <c r="J178" i="10" s="1"/>
  <c r="G179" i="10"/>
  <c r="R174" i="7"/>
  <c r="S174" i="7"/>
  <c r="Q175" i="7"/>
  <c r="P175" i="7"/>
  <c r="R175" i="7" s="1"/>
  <c r="L175" i="7"/>
  <c r="M175" i="7"/>
  <c r="N175" i="7"/>
  <c r="J176" i="7"/>
  <c r="N176" i="7" s="1"/>
  <c r="O176" i="7"/>
  <c r="H178" i="9"/>
  <c r="I178" i="9" s="1"/>
  <c r="J178" i="9" s="1"/>
  <c r="G179" i="9"/>
  <c r="L177" i="9"/>
  <c r="N177" i="9"/>
  <c r="M177" i="9"/>
  <c r="K177" i="9"/>
  <c r="H177" i="7"/>
  <c r="I177" i="7" s="1"/>
  <c r="G178" i="7"/>
  <c r="G178" i="6"/>
  <c r="H177" i="6"/>
  <c r="I177" i="6" s="1"/>
  <c r="J177" i="6" s="1"/>
  <c r="M176" i="6"/>
  <c r="N176" i="6"/>
  <c r="L176" i="6"/>
  <c r="K176" i="6"/>
  <c r="O180" i="12" l="1"/>
  <c r="J180" i="12"/>
  <c r="G182" i="12"/>
  <c r="H181" i="12"/>
  <c r="I181" i="12" s="1"/>
  <c r="R178" i="12"/>
  <c r="P179" i="12"/>
  <c r="Q179" i="12"/>
  <c r="L179" i="12"/>
  <c r="N179" i="12"/>
  <c r="K179" i="12"/>
  <c r="M179" i="12"/>
  <c r="R176" i="10"/>
  <c r="S177" i="11"/>
  <c r="L178" i="11"/>
  <c r="K178" i="11"/>
  <c r="M178" i="11"/>
  <c r="N178" i="11"/>
  <c r="S176" i="10"/>
  <c r="H180" i="11"/>
  <c r="I180" i="11" s="1"/>
  <c r="G181" i="11"/>
  <c r="P178" i="11"/>
  <c r="Q178" i="11"/>
  <c r="S178" i="11" s="1"/>
  <c r="R177" i="11"/>
  <c r="O179" i="11"/>
  <c r="J179" i="11"/>
  <c r="P177" i="10"/>
  <c r="Q177" i="10"/>
  <c r="N177" i="10"/>
  <c r="L177" i="10"/>
  <c r="S177" i="10" s="1"/>
  <c r="K177" i="10"/>
  <c r="R177" i="10" s="1"/>
  <c r="M177" i="10"/>
  <c r="H179" i="10"/>
  <c r="I179" i="10" s="1"/>
  <c r="J179" i="10" s="1"/>
  <c r="G180" i="10"/>
  <c r="O178" i="10"/>
  <c r="S175" i="7"/>
  <c r="Q176" i="7"/>
  <c r="P176" i="7"/>
  <c r="L176" i="7"/>
  <c r="K176" i="7"/>
  <c r="M176" i="7"/>
  <c r="J177" i="7"/>
  <c r="K177" i="7" s="1"/>
  <c r="O177" i="7"/>
  <c r="H179" i="9"/>
  <c r="I179" i="9" s="1"/>
  <c r="J179" i="9" s="1"/>
  <c r="G180" i="9"/>
  <c r="L178" i="9"/>
  <c r="M178" i="9"/>
  <c r="K178" i="9"/>
  <c r="N178" i="9"/>
  <c r="H178" i="7"/>
  <c r="I178" i="7" s="1"/>
  <c r="G179" i="7"/>
  <c r="M177" i="6"/>
  <c r="K177" i="6"/>
  <c r="N177" i="6"/>
  <c r="L177" i="6"/>
  <c r="H178" i="6"/>
  <c r="I178" i="6" s="1"/>
  <c r="J178" i="6" s="1"/>
  <c r="G179" i="6"/>
  <c r="S179" i="12" l="1"/>
  <c r="G183" i="12"/>
  <c r="H182" i="12"/>
  <c r="I182" i="12" s="1"/>
  <c r="R179" i="12"/>
  <c r="K180" i="12"/>
  <c r="M180" i="12"/>
  <c r="N180" i="12"/>
  <c r="L180" i="12"/>
  <c r="J181" i="12"/>
  <c r="O181" i="12"/>
  <c r="Q180" i="12"/>
  <c r="P180" i="12"/>
  <c r="R180" i="12" s="1"/>
  <c r="J180" i="11"/>
  <c r="O180" i="11"/>
  <c r="K179" i="11"/>
  <c r="N179" i="11"/>
  <c r="M179" i="11"/>
  <c r="L179" i="11"/>
  <c r="R178" i="11"/>
  <c r="P179" i="11"/>
  <c r="R179" i="11" s="1"/>
  <c r="Q179" i="11"/>
  <c r="S179" i="11" s="1"/>
  <c r="G182" i="11"/>
  <c r="H181" i="11"/>
  <c r="I181" i="11" s="1"/>
  <c r="G181" i="10"/>
  <c r="H180" i="10"/>
  <c r="I180" i="10" s="1"/>
  <c r="J180" i="10" s="1"/>
  <c r="O179" i="10"/>
  <c r="Q178" i="10"/>
  <c r="P178" i="10"/>
  <c r="L178" i="10"/>
  <c r="S178" i="10" s="1"/>
  <c r="K178" i="10"/>
  <c r="M178" i="10"/>
  <c r="N178" i="10"/>
  <c r="R176" i="7"/>
  <c r="S176" i="7"/>
  <c r="Q177" i="7"/>
  <c r="P177" i="7"/>
  <c r="R177" i="7" s="1"/>
  <c r="L177" i="7"/>
  <c r="M177" i="7"/>
  <c r="N177" i="7"/>
  <c r="J178" i="7"/>
  <c r="N178" i="7" s="1"/>
  <c r="O178" i="7"/>
  <c r="H180" i="9"/>
  <c r="I180" i="9" s="1"/>
  <c r="J180" i="9" s="1"/>
  <c r="G181" i="9"/>
  <c r="L179" i="9"/>
  <c r="N179" i="9"/>
  <c r="K179" i="9"/>
  <c r="M179" i="9"/>
  <c r="H179" i="7"/>
  <c r="I179" i="7" s="1"/>
  <c r="G180" i="7"/>
  <c r="G180" i="6"/>
  <c r="H179" i="6"/>
  <c r="I179" i="6" s="1"/>
  <c r="J179" i="6" s="1"/>
  <c r="M178" i="6"/>
  <c r="N178" i="6"/>
  <c r="L178" i="6"/>
  <c r="K178" i="6"/>
  <c r="S180" i="12" l="1"/>
  <c r="O182" i="12"/>
  <c r="J182" i="12"/>
  <c r="R178" i="10"/>
  <c r="P181" i="12"/>
  <c r="Q181" i="12"/>
  <c r="G184" i="12"/>
  <c r="H183" i="12"/>
  <c r="I183" i="12" s="1"/>
  <c r="N181" i="12"/>
  <c r="L181" i="12"/>
  <c r="M181" i="12"/>
  <c r="K181" i="12"/>
  <c r="J181" i="11"/>
  <c r="O181" i="11"/>
  <c r="G183" i="11"/>
  <c r="H182" i="11"/>
  <c r="I182" i="11" s="1"/>
  <c r="Q180" i="11"/>
  <c r="P180" i="11"/>
  <c r="N180" i="11"/>
  <c r="M180" i="11"/>
  <c r="K180" i="11"/>
  <c r="L180" i="11"/>
  <c r="N179" i="10"/>
  <c r="K179" i="10"/>
  <c r="R179" i="10" s="1"/>
  <c r="M179" i="10"/>
  <c r="L179" i="10"/>
  <c r="P179" i="10"/>
  <c r="Q179" i="10"/>
  <c r="O180" i="10"/>
  <c r="G182" i="10"/>
  <c r="H181" i="10"/>
  <c r="I181" i="10" s="1"/>
  <c r="J181" i="10" s="1"/>
  <c r="S177" i="7"/>
  <c r="Q178" i="7"/>
  <c r="P178" i="7"/>
  <c r="L178" i="7"/>
  <c r="S178" i="7" s="1"/>
  <c r="K178" i="7"/>
  <c r="M178" i="7"/>
  <c r="J179" i="7"/>
  <c r="K179" i="7" s="1"/>
  <c r="O179" i="7"/>
  <c r="H181" i="9"/>
  <c r="I181" i="9" s="1"/>
  <c r="J181" i="9" s="1"/>
  <c r="G182" i="9"/>
  <c r="L180" i="9"/>
  <c r="M180" i="9"/>
  <c r="K180" i="9"/>
  <c r="N180" i="9"/>
  <c r="H180" i="7"/>
  <c r="I180" i="7" s="1"/>
  <c r="G181" i="7"/>
  <c r="M179" i="6"/>
  <c r="K179" i="6"/>
  <c r="N179" i="6"/>
  <c r="L179" i="6"/>
  <c r="H180" i="6"/>
  <c r="I180" i="6" s="1"/>
  <c r="J180" i="6" s="1"/>
  <c r="G181" i="6"/>
  <c r="O183" i="12" l="1"/>
  <c r="J183" i="12"/>
  <c r="G185" i="12"/>
  <c r="H184" i="12"/>
  <c r="I184" i="12" s="1"/>
  <c r="M182" i="12"/>
  <c r="L182" i="12"/>
  <c r="K182" i="12"/>
  <c r="N182" i="12"/>
  <c r="S181" i="12"/>
  <c r="Q182" i="12"/>
  <c r="S182" i="12" s="1"/>
  <c r="P182" i="12"/>
  <c r="S180" i="11"/>
  <c r="R181" i="12"/>
  <c r="O182" i="11"/>
  <c r="J182" i="11"/>
  <c r="G184" i="11"/>
  <c r="H183" i="11"/>
  <c r="I183" i="11" s="1"/>
  <c r="S179" i="10"/>
  <c r="R180" i="11"/>
  <c r="Q181" i="11"/>
  <c r="P181" i="11"/>
  <c r="M181" i="11"/>
  <c r="L181" i="11"/>
  <c r="N181" i="11"/>
  <c r="K181" i="11"/>
  <c r="L180" i="10"/>
  <c r="K180" i="10"/>
  <c r="N180" i="10"/>
  <c r="M180" i="10"/>
  <c r="Q180" i="10"/>
  <c r="P180" i="10"/>
  <c r="O181" i="10"/>
  <c r="G183" i="10"/>
  <c r="H182" i="10"/>
  <c r="I182" i="10" s="1"/>
  <c r="J182" i="10" s="1"/>
  <c r="R178" i="7"/>
  <c r="Q179" i="7"/>
  <c r="P179" i="7"/>
  <c r="R179" i="7" s="1"/>
  <c r="L179" i="7"/>
  <c r="M179" i="7"/>
  <c r="N179" i="7"/>
  <c r="J180" i="7"/>
  <c r="N180" i="7" s="1"/>
  <c r="O180" i="7"/>
  <c r="H182" i="9"/>
  <c r="I182" i="9" s="1"/>
  <c r="J182" i="9" s="1"/>
  <c r="G183" i="9"/>
  <c r="L181" i="9"/>
  <c r="N181" i="9"/>
  <c r="M181" i="9"/>
  <c r="K181" i="9"/>
  <c r="H181" i="7"/>
  <c r="I181" i="7" s="1"/>
  <c r="G182" i="7"/>
  <c r="G182" i="6"/>
  <c r="H181" i="6"/>
  <c r="I181" i="6" s="1"/>
  <c r="J181" i="6" s="1"/>
  <c r="M180" i="6"/>
  <c r="N180" i="6"/>
  <c r="L180" i="6"/>
  <c r="K180" i="6"/>
  <c r="R182" i="12" l="1"/>
  <c r="O184" i="12"/>
  <c r="J184" i="12"/>
  <c r="G186" i="12"/>
  <c r="H185" i="12"/>
  <c r="I185" i="12" s="1"/>
  <c r="L183" i="12"/>
  <c r="K183" i="12"/>
  <c r="N183" i="12"/>
  <c r="M183" i="12"/>
  <c r="P183" i="12"/>
  <c r="Q183" i="12"/>
  <c r="S183" i="12" s="1"/>
  <c r="R181" i="11"/>
  <c r="O183" i="11"/>
  <c r="J183" i="11"/>
  <c r="S181" i="11"/>
  <c r="G185" i="11"/>
  <c r="H184" i="11"/>
  <c r="I184" i="11" s="1"/>
  <c r="R180" i="10"/>
  <c r="L182" i="11"/>
  <c r="K182" i="11"/>
  <c r="N182" i="11"/>
  <c r="M182" i="11"/>
  <c r="S180" i="10"/>
  <c r="P182" i="11"/>
  <c r="R182" i="11" s="1"/>
  <c r="Q182" i="11"/>
  <c r="S182" i="11" s="1"/>
  <c r="K181" i="10"/>
  <c r="R181" i="10" s="1"/>
  <c r="M181" i="10"/>
  <c r="N181" i="10"/>
  <c r="L181" i="10"/>
  <c r="Q181" i="10"/>
  <c r="P181" i="10"/>
  <c r="O182" i="10"/>
  <c r="G184" i="10"/>
  <c r="H183" i="10"/>
  <c r="I183" i="10" s="1"/>
  <c r="J183" i="10" s="1"/>
  <c r="S179" i="7"/>
  <c r="Q180" i="7"/>
  <c r="P180" i="7"/>
  <c r="L180" i="7"/>
  <c r="S180" i="7" s="1"/>
  <c r="K180" i="7"/>
  <c r="M180" i="7"/>
  <c r="J181" i="7"/>
  <c r="K181" i="7" s="1"/>
  <c r="O181" i="7"/>
  <c r="H183" i="9"/>
  <c r="I183" i="9" s="1"/>
  <c r="J183" i="9" s="1"/>
  <c r="G184" i="9"/>
  <c r="L182" i="9"/>
  <c r="M182" i="9"/>
  <c r="K182" i="9"/>
  <c r="N182" i="9"/>
  <c r="H182" i="7"/>
  <c r="I182" i="7" s="1"/>
  <c r="G183" i="7"/>
  <c r="M181" i="6"/>
  <c r="K181" i="6"/>
  <c r="N181" i="6"/>
  <c r="L181" i="6"/>
  <c r="H182" i="6"/>
  <c r="I182" i="6" s="1"/>
  <c r="J182" i="6" s="1"/>
  <c r="G183" i="6"/>
  <c r="J185" i="12" l="1"/>
  <c r="O185" i="12"/>
  <c r="G187" i="12"/>
  <c r="H186" i="12"/>
  <c r="I186" i="12" s="1"/>
  <c r="K184" i="12"/>
  <c r="N184" i="12"/>
  <c r="M184" i="12"/>
  <c r="L184" i="12"/>
  <c r="R183" i="12"/>
  <c r="Q184" i="12"/>
  <c r="P184" i="12"/>
  <c r="K183" i="11"/>
  <c r="N183" i="11"/>
  <c r="L183" i="11"/>
  <c r="M183" i="11"/>
  <c r="S181" i="10"/>
  <c r="J184" i="11"/>
  <c r="O184" i="11"/>
  <c r="Q183" i="11"/>
  <c r="P183" i="11"/>
  <c r="R183" i="11" s="1"/>
  <c r="G186" i="11"/>
  <c r="H185" i="11"/>
  <c r="I185" i="11" s="1"/>
  <c r="Q182" i="10"/>
  <c r="P182" i="10"/>
  <c r="L182" i="10"/>
  <c r="S182" i="10" s="1"/>
  <c r="K182" i="10"/>
  <c r="M182" i="10"/>
  <c r="N182" i="10"/>
  <c r="O183" i="10"/>
  <c r="G185" i="10"/>
  <c r="H184" i="10"/>
  <c r="I184" i="10" s="1"/>
  <c r="J184" i="10" s="1"/>
  <c r="R180" i="7"/>
  <c r="Q181" i="7"/>
  <c r="P181" i="7"/>
  <c r="R181" i="7" s="1"/>
  <c r="L181" i="7"/>
  <c r="M181" i="7"/>
  <c r="N181" i="7"/>
  <c r="J182" i="7"/>
  <c r="N182" i="7" s="1"/>
  <c r="O182" i="7"/>
  <c r="H184" i="9"/>
  <c r="I184" i="9" s="1"/>
  <c r="J184" i="9" s="1"/>
  <c r="G185" i="9"/>
  <c r="L183" i="9"/>
  <c r="N183" i="9"/>
  <c r="K183" i="9"/>
  <c r="M183" i="9"/>
  <c r="H183" i="7"/>
  <c r="I183" i="7" s="1"/>
  <c r="G184" i="7"/>
  <c r="G184" i="6"/>
  <c r="H183" i="6"/>
  <c r="I183" i="6" s="1"/>
  <c r="J183" i="6" s="1"/>
  <c r="M182" i="6"/>
  <c r="N182" i="6"/>
  <c r="L182" i="6"/>
  <c r="K182" i="6"/>
  <c r="O186" i="12" l="1"/>
  <c r="J186" i="12"/>
  <c r="S183" i="11"/>
  <c r="R184" i="12"/>
  <c r="G188" i="12"/>
  <c r="H187" i="12"/>
  <c r="I187" i="12" s="1"/>
  <c r="R182" i="10"/>
  <c r="S184" i="12"/>
  <c r="Q185" i="12"/>
  <c r="P185" i="12"/>
  <c r="N185" i="12"/>
  <c r="M185" i="12"/>
  <c r="L185" i="12"/>
  <c r="K185" i="12"/>
  <c r="J185" i="11"/>
  <c r="O185" i="11"/>
  <c r="Q184" i="11"/>
  <c r="P184" i="11"/>
  <c r="G187" i="11"/>
  <c r="H186" i="11"/>
  <c r="I186" i="11" s="1"/>
  <c r="N184" i="11"/>
  <c r="M184" i="11"/>
  <c r="L184" i="11"/>
  <c r="K184" i="11"/>
  <c r="K183" i="10"/>
  <c r="N183" i="10"/>
  <c r="L183" i="10"/>
  <c r="M183" i="10"/>
  <c r="P183" i="10"/>
  <c r="Q183" i="10"/>
  <c r="O184" i="10"/>
  <c r="H185" i="10"/>
  <c r="I185" i="10" s="1"/>
  <c r="J185" i="10" s="1"/>
  <c r="G186" i="10"/>
  <c r="S181" i="7"/>
  <c r="L182" i="7"/>
  <c r="K182" i="7"/>
  <c r="M182" i="7"/>
  <c r="Q182" i="7"/>
  <c r="P182" i="7"/>
  <c r="J183" i="7"/>
  <c r="M183" i="7" s="1"/>
  <c r="O183" i="7"/>
  <c r="H185" i="9"/>
  <c r="I185" i="9" s="1"/>
  <c r="J185" i="9" s="1"/>
  <c r="G186" i="9"/>
  <c r="L184" i="9"/>
  <c r="M184" i="9"/>
  <c r="K184" i="9"/>
  <c r="N184" i="9"/>
  <c r="H184" i="7"/>
  <c r="I184" i="7" s="1"/>
  <c r="G185" i="7"/>
  <c r="M183" i="6"/>
  <c r="K183" i="6"/>
  <c r="N183" i="6"/>
  <c r="L183" i="6"/>
  <c r="H184" i="6"/>
  <c r="I184" i="6" s="1"/>
  <c r="J184" i="6" s="1"/>
  <c r="G185" i="6"/>
  <c r="S183" i="10" l="1"/>
  <c r="R185" i="12"/>
  <c r="O187" i="12"/>
  <c r="J187" i="12"/>
  <c r="M186" i="12"/>
  <c r="L186" i="12"/>
  <c r="K186" i="12"/>
  <c r="N186" i="12"/>
  <c r="S185" i="12"/>
  <c r="H188" i="12"/>
  <c r="I188" i="12" s="1"/>
  <c r="G189" i="12"/>
  <c r="Q186" i="12"/>
  <c r="S186" i="12" s="1"/>
  <c r="P186" i="12"/>
  <c r="R184" i="11"/>
  <c r="R183" i="10"/>
  <c r="S184" i="11"/>
  <c r="O186" i="11"/>
  <c r="J186" i="11"/>
  <c r="Q185" i="11"/>
  <c r="P185" i="11"/>
  <c r="H187" i="11"/>
  <c r="I187" i="11" s="1"/>
  <c r="G188" i="11"/>
  <c r="M185" i="11"/>
  <c r="L185" i="11"/>
  <c r="N185" i="11"/>
  <c r="K185" i="11"/>
  <c r="M184" i="10"/>
  <c r="L184" i="10"/>
  <c r="K184" i="10"/>
  <c r="N184" i="10"/>
  <c r="P184" i="10"/>
  <c r="Q184" i="10"/>
  <c r="G187" i="10"/>
  <c r="H186" i="10"/>
  <c r="I186" i="10" s="1"/>
  <c r="J186" i="10" s="1"/>
  <c r="O185" i="10"/>
  <c r="R182" i="7"/>
  <c r="S182" i="7"/>
  <c r="J184" i="7"/>
  <c r="K184" i="7" s="1"/>
  <c r="O184" i="7"/>
  <c r="K183" i="7"/>
  <c r="L183" i="7"/>
  <c r="N183" i="7"/>
  <c r="Q183" i="7"/>
  <c r="P183" i="7"/>
  <c r="H186" i="9"/>
  <c r="I186" i="9" s="1"/>
  <c r="J186" i="9" s="1"/>
  <c r="G187" i="9"/>
  <c r="L185" i="9"/>
  <c r="N185" i="9"/>
  <c r="M185" i="9"/>
  <c r="K185" i="9"/>
  <c r="H185" i="7"/>
  <c r="I185" i="7" s="1"/>
  <c r="G186" i="7"/>
  <c r="G186" i="6"/>
  <c r="H185" i="6"/>
  <c r="I185" i="6" s="1"/>
  <c r="J185" i="6" s="1"/>
  <c r="M184" i="6"/>
  <c r="N184" i="6"/>
  <c r="L184" i="6"/>
  <c r="K184" i="6"/>
  <c r="L187" i="12" l="1"/>
  <c r="K187" i="12"/>
  <c r="N187" i="12"/>
  <c r="M187" i="12"/>
  <c r="G190" i="12"/>
  <c r="H189" i="12"/>
  <c r="I189" i="12" s="1"/>
  <c r="P187" i="12"/>
  <c r="R187" i="12" s="1"/>
  <c r="Q187" i="12"/>
  <c r="S187" i="12" s="1"/>
  <c r="O188" i="12"/>
  <c r="J188" i="12"/>
  <c r="R184" i="10"/>
  <c r="R186" i="12"/>
  <c r="O187" i="11"/>
  <c r="J187" i="11"/>
  <c r="P186" i="11"/>
  <c r="Q186" i="11"/>
  <c r="S184" i="10"/>
  <c r="R185" i="11"/>
  <c r="S185" i="11"/>
  <c r="H188" i="11"/>
  <c r="I188" i="11" s="1"/>
  <c r="G189" i="11"/>
  <c r="L186" i="11"/>
  <c r="K186" i="11"/>
  <c r="M186" i="11"/>
  <c r="N186" i="11"/>
  <c r="O186" i="10"/>
  <c r="G188" i="10"/>
  <c r="H187" i="10"/>
  <c r="I187" i="10" s="1"/>
  <c r="J187" i="10" s="1"/>
  <c r="Q185" i="10"/>
  <c r="P185" i="10"/>
  <c r="L185" i="10"/>
  <c r="K185" i="10"/>
  <c r="N185" i="10"/>
  <c r="M185" i="10"/>
  <c r="R183" i="7"/>
  <c r="S183" i="7"/>
  <c r="N184" i="7"/>
  <c r="L184" i="7"/>
  <c r="M184" i="7"/>
  <c r="J185" i="7"/>
  <c r="M185" i="7" s="1"/>
  <c r="O185" i="7"/>
  <c r="Q184" i="7"/>
  <c r="P184" i="7"/>
  <c r="R184" i="7" s="1"/>
  <c r="H187" i="9"/>
  <c r="I187" i="9" s="1"/>
  <c r="J187" i="9" s="1"/>
  <c r="G188" i="9"/>
  <c r="L186" i="9"/>
  <c r="K186" i="9"/>
  <c r="N186" i="9"/>
  <c r="M186" i="9"/>
  <c r="H186" i="7"/>
  <c r="I186" i="7" s="1"/>
  <c r="G187" i="7"/>
  <c r="M185" i="6"/>
  <c r="K185" i="6"/>
  <c r="N185" i="6"/>
  <c r="L185" i="6"/>
  <c r="H186" i="6"/>
  <c r="I186" i="6" s="1"/>
  <c r="J186" i="6" s="1"/>
  <c r="G187" i="6"/>
  <c r="S185" i="10" l="1"/>
  <c r="K188" i="12"/>
  <c r="N188" i="12"/>
  <c r="M188" i="12"/>
  <c r="L188" i="12"/>
  <c r="J189" i="12"/>
  <c r="O189" i="12"/>
  <c r="Q188" i="12"/>
  <c r="S188" i="12" s="1"/>
  <c r="P188" i="12"/>
  <c r="G191" i="12"/>
  <c r="H190" i="12"/>
  <c r="I190" i="12" s="1"/>
  <c r="J188" i="11"/>
  <c r="O188" i="11"/>
  <c r="S186" i="11"/>
  <c r="R185" i="10"/>
  <c r="R186" i="11"/>
  <c r="K187" i="11"/>
  <c r="N187" i="11"/>
  <c r="M187" i="11"/>
  <c r="L187" i="11"/>
  <c r="G190" i="11"/>
  <c r="H189" i="11"/>
  <c r="I189" i="11" s="1"/>
  <c r="P187" i="11"/>
  <c r="R187" i="11" s="1"/>
  <c r="Q187" i="11"/>
  <c r="S187" i="11" s="1"/>
  <c r="O187" i="10"/>
  <c r="G189" i="10"/>
  <c r="H188" i="10"/>
  <c r="I188" i="10" s="1"/>
  <c r="J188" i="10" s="1"/>
  <c r="N186" i="10"/>
  <c r="M186" i="10"/>
  <c r="L186" i="10"/>
  <c r="K186" i="10"/>
  <c r="R186" i="10" s="1"/>
  <c r="Q186" i="10"/>
  <c r="P186" i="10"/>
  <c r="S184" i="7"/>
  <c r="J186" i="7"/>
  <c r="L186" i="7" s="1"/>
  <c r="O186" i="7"/>
  <c r="K185" i="7"/>
  <c r="N185" i="7"/>
  <c r="Q185" i="7"/>
  <c r="P185" i="7"/>
  <c r="L185" i="7"/>
  <c r="H188" i="9"/>
  <c r="I188" i="9" s="1"/>
  <c r="J188" i="9" s="1"/>
  <c r="G189" i="9"/>
  <c r="L187" i="9"/>
  <c r="K187" i="9"/>
  <c r="N187" i="9"/>
  <c r="M187" i="9"/>
  <c r="H187" i="7"/>
  <c r="I187" i="7" s="1"/>
  <c r="G188" i="7"/>
  <c r="G188" i="6"/>
  <c r="H187" i="6"/>
  <c r="I187" i="6" s="1"/>
  <c r="J187" i="6" s="1"/>
  <c r="M186" i="6"/>
  <c r="N186" i="6"/>
  <c r="L186" i="6"/>
  <c r="K186" i="6"/>
  <c r="R188" i="12" l="1"/>
  <c r="O190" i="12"/>
  <c r="J190" i="12"/>
  <c r="Q189" i="12"/>
  <c r="P189" i="12"/>
  <c r="G192" i="12"/>
  <c r="H191" i="12"/>
  <c r="I191" i="12" s="1"/>
  <c r="N189" i="12"/>
  <c r="M189" i="12"/>
  <c r="L189" i="12"/>
  <c r="K189" i="12"/>
  <c r="S186" i="10"/>
  <c r="J189" i="11"/>
  <c r="O189" i="11"/>
  <c r="G191" i="11"/>
  <c r="H190" i="11"/>
  <c r="I190" i="11" s="1"/>
  <c r="Q188" i="11"/>
  <c r="P188" i="11"/>
  <c r="N188" i="11"/>
  <c r="M188" i="11"/>
  <c r="K188" i="11"/>
  <c r="L188" i="11"/>
  <c r="O188" i="10"/>
  <c r="G190" i="10"/>
  <c r="H189" i="10"/>
  <c r="I189" i="10" s="1"/>
  <c r="J189" i="10" s="1"/>
  <c r="P187" i="10"/>
  <c r="Q187" i="10"/>
  <c r="M187" i="10"/>
  <c r="K187" i="10"/>
  <c r="L187" i="10"/>
  <c r="N187" i="10"/>
  <c r="R185" i="7"/>
  <c r="M186" i="7"/>
  <c r="K186" i="7"/>
  <c r="R186" i="7" s="1"/>
  <c r="N186" i="7"/>
  <c r="S185" i="7"/>
  <c r="J187" i="7"/>
  <c r="N187" i="7" s="1"/>
  <c r="O187" i="7"/>
  <c r="Q186" i="7"/>
  <c r="S186" i="7" s="1"/>
  <c r="P186" i="7"/>
  <c r="H189" i="9"/>
  <c r="I189" i="9" s="1"/>
  <c r="J189" i="9" s="1"/>
  <c r="G190" i="9"/>
  <c r="L188" i="9"/>
  <c r="K188" i="9"/>
  <c r="N188" i="9"/>
  <c r="M188" i="9"/>
  <c r="H188" i="7"/>
  <c r="I188" i="7" s="1"/>
  <c r="G189" i="7"/>
  <c r="M187" i="6"/>
  <c r="K187" i="6"/>
  <c r="N187" i="6"/>
  <c r="L187" i="6"/>
  <c r="H188" i="6"/>
  <c r="I188" i="6" s="1"/>
  <c r="J188" i="6" s="1"/>
  <c r="G189" i="6"/>
  <c r="R189" i="12" l="1"/>
  <c r="S189" i="12"/>
  <c r="O191" i="12"/>
  <c r="J191" i="12"/>
  <c r="M190" i="12"/>
  <c r="L190" i="12"/>
  <c r="K190" i="12"/>
  <c r="N190" i="12"/>
  <c r="S187" i="10"/>
  <c r="R188" i="11"/>
  <c r="H192" i="12"/>
  <c r="I192" i="12" s="1"/>
  <c r="G193" i="12"/>
  <c r="Q190" i="12"/>
  <c r="P190" i="12"/>
  <c r="G192" i="11"/>
  <c r="H191" i="11"/>
  <c r="I191" i="11" s="1"/>
  <c r="Q189" i="11"/>
  <c r="P189" i="11"/>
  <c r="R187" i="10"/>
  <c r="S188" i="11"/>
  <c r="M189" i="11"/>
  <c r="L189" i="11"/>
  <c r="N189" i="11"/>
  <c r="K189" i="11"/>
  <c r="O190" i="11"/>
  <c r="J190" i="11"/>
  <c r="O189" i="10"/>
  <c r="G191" i="10"/>
  <c r="H190" i="10"/>
  <c r="I190" i="10" s="1"/>
  <c r="J190" i="10" s="1"/>
  <c r="K188" i="10"/>
  <c r="N188" i="10"/>
  <c r="L188" i="10"/>
  <c r="M188" i="10"/>
  <c r="Q188" i="10"/>
  <c r="P188" i="10"/>
  <c r="K187" i="7"/>
  <c r="L187" i="7"/>
  <c r="M187" i="7"/>
  <c r="Q187" i="7"/>
  <c r="P187" i="7"/>
  <c r="J188" i="7"/>
  <c r="N188" i="7" s="1"/>
  <c r="O188" i="7"/>
  <c r="H190" i="9"/>
  <c r="I190" i="9" s="1"/>
  <c r="J190" i="9" s="1"/>
  <c r="G191" i="9"/>
  <c r="L189" i="9"/>
  <c r="K189" i="9"/>
  <c r="N189" i="9"/>
  <c r="M189" i="9"/>
  <c r="H189" i="7"/>
  <c r="I189" i="7" s="1"/>
  <c r="G190" i="7"/>
  <c r="G190" i="6"/>
  <c r="H189" i="6"/>
  <c r="I189" i="6" s="1"/>
  <c r="J189" i="6" s="1"/>
  <c r="M188" i="6"/>
  <c r="N188" i="6"/>
  <c r="L188" i="6"/>
  <c r="K188" i="6"/>
  <c r="S190" i="12" l="1"/>
  <c r="G194" i="12"/>
  <c r="H193" i="12"/>
  <c r="I193" i="12" s="1"/>
  <c r="L191" i="12"/>
  <c r="K191" i="12"/>
  <c r="N191" i="12"/>
  <c r="M191" i="12"/>
  <c r="O192" i="12"/>
  <c r="J192" i="12"/>
  <c r="P191" i="12"/>
  <c r="Q191" i="12"/>
  <c r="R188" i="10"/>
  <c r="R190" i="12"/>
  <c r="L190" i="11"/>
  <c r="K190" i="11"/>
  <c r="N190" i="11"/>
  <c r="M190" i="11"/>
  <c r="R189" i="11"/>
  <c r="P190" i="11"/>
  <c r="R190" i="11" s="1"/>
  <c r="Q190" i="11"/>
  <c r="S190" i="11" s="1"/>
  <c r="S189" i="11"/>
  <c r="S188" i="10"/>
  <c r="O191" i="11"/>
  <c r="J191" i="11"/>
  <c r="G193" i="11"/>
  <c r="H192" i="11"/>
  <c r="I192" i="11" s="1"/>
  <c r="O190" i="10"/>
  <c r="G192" i="10"/>
  <c r="H191" i="10"/>
  <c r="I191" i="10" s="1"/>
  <c r="J191" i="10" s="1"/>
  <c r="Q189" i="10"/>
  <c r="P189" i="10"/>
  <c r="L189" i="10"/>
  <c r="S189" i="10" s="1"/>
  <c r="K189" i="10"/>
  <c r="R189" i="10" s="1"/>
  <c r="N189" i="10"/>
  <c r="M189" i="10"/>
  <c r="R187" i="7"/>
  <c r="L188" i="7"/>
  <c r="Q188" i="7"/>
  <c r="P188" i="7"/>
  <c r="K188" i="7"/>
  <c r="M188" i="7"/>
  <c r="J189" i="7"/>
  <c r="L189" i="7" s="1"/>
  <c r="O189" i="7"/>
  <c r="S187" i="7"/>
  <c r="H191" i="9"/>
  <c r="I191" i="9" s="1"/>
  <c r="J191" i="9" s="1"/>
  <c r="G192" i="9"/>
  <c r="L190" i="9"/>
  <c r="K190" i="9"/>
  <c r="N190" i="9"/>
  <c r="M190" i="9"/>
  <c r="H190" i="7"/>
  <c r="I190" i="7" s="1"/>
  <c r="G191" i="7"/>
  <c r="M189" i="6"/>
  <c r="K189" i="6"/>
  <c r="N189" i="6"/>
  <c r="L189" i="6"/>
  <c r="H190" i="6"/>
  <c r="I190" i="6" s="1"/>
  <c r="J190" i="6" s="1"/>
  <c r="G191" i="6"/>
  <c r="S191" i="12" l="1"/>
  <c r="K192" i="12"/>
  <c r="N192" i="12"/>
  <c r="M192" i="12"/>
  <c r="L192" i="12"/>
  <c r="Q192" i="12"/>
  <c r="P192" i="12"/>
  <c r="R192" i="12" s="1"/>
  <c r="J193" i="12"/>
  <c r="O193" i="12"/>
  <c r="R191" i="12"/>
  <c r="G195" i="12"/>
  <c r="H194" i="12"/>
  <c r="I194" i="12" s="1"/>
  <c r="G194" i="11"/>
  <c r="H193" i="11"/>
  <c r="I193" i="11" s="1"/>
  <c r="K191" i="11"/>
  <c r="N191" i="11"/>
  <c r="L191" i="11"/>
  <c r="M191" i="11"/>
  <c r="Q191" i="11"/>
  <c r="P191" i="11"/>
  <c r="R191" i="11" s="1"/>
  <c r="J192" i="11"/>
  <c r="O192" i="11"/>
  <c r="O191" i="10"/>
  <c r="Q190" i="10"/>
  <c r="P190" i="10"/>
  <c r="H192" i="10"/>
  <c r="I192" i="10" s="1"/>
  <c r="J192" i="10" s="1"/>
  <c r="G193" i="10"/>
  <c r="L190" i="10"/>
  <c r="S190" i="10" s="1"/>
  <c r="K190" i="10"/>
  <c r="R190" i="10" s="1"/>
  <c r="N190" i="10"/>
  <c r="M190" i="10"/>
  <c r="R188" i="7"/>
  <c r="S188" i="7"/>
  <c r="M189" i="7"/>
  <c r="N189" i="7"/>
  <c r="J190" i="7"/>
  <c r="N190" i="7" s="1"/>
  <c r="O190" i="7"/>
  <c r="Q189" i="7"/>
  <c r="S189" i="7" s="1"/>
  <c r="P189" i="7"/>
  <c r="K189" i="7"/>
  <c r="H192" i="9"/>
  <c r="I192" i="9" s="1"/>
  <c r="J192" i="9" s="1"/>
  <c r="G193" i="9"/>
  <c r="L191" i="9"/>
  <c r="K191" i="9"/>
  <c r="N191" i="9"/>
  <c r="M191" i="9"/>
  <c r="H191" i="7"/>
  <c r="I191" i="7" s="1"/>
  <c r="G192" i="7"/>
  <c r="G192" i="6"/>
  <c r="H191" i="6"/>
  <c r="I191" i="6" s="1"/>
  <c r="J191" i="6" s="1"/>
  <c r="M190" i="6"/>
  <c r="N190" i="6"/>
  <c r="L190" i="6"/>
  <c r="K190" i="6"/>
  <c r="O194" i="12" l="1"/>
  <c r="J194" i="12"/>
  <c r="N193" i="12"/>
  <c r="M193" i="12"/>
  <c r="L193" i="12"/>
  <c r="K193" i="12"/>
  <c r="Q193" i="12"/>
  <c r="S193" i="12" s="1"/>
  <c r="P193" i="12"/>
  <c r="R193" i="12" s="1"/>
  <c r="S191" i="11"/>
  <c r="G196" i="12"/>
  <c r="H195" i="12"/>
  <c r="I195" i="12" s="1"/>
  <c r="S192" i="12"/>
  <c r="Q192" i="11"/>
  <c r="P192" i="11"/>
  <c r="J193" i="11"/>
  <c r="O193" i="11"/>
  <c r="N192" i="11"/>
  <c r="M192" i="11"/>
  <c r="L192" i="11"/>
  <c r="K192" i="11"/>
  <c r="G195" i="11"/>
  <c r="H194" i="11"/>
  <c r="I194" i="11" s="1"/>
  <c r="O192" i="10"/>
  <c r="H193" i="10"/>
  <c r="I193" i="10" s="1"/>
  <c r="J193" i="10" s="1"/>
  <c r="G194" i="10"/>
  <c r="P191" i="10"/>
  <c r="Q191" i="10"/>
  <c r="K191" i="10"/>
  <c r="R191" i="10" s="1"/>
  <c r="M191" i="10"/>
  <c r="L191" i="10"/>
  <c r="N191" i="10"/>
  <c r="R189" i="7"/>
  <c r="L190" i="7"/>
  <c r="J191" i="7"/>
  <c r="K191" i="7" s="1"/>
  <c r="O191" i="7"/>
  <c r="Q190" i="7"/>
  <c r="P190" i="7"/>
  <c r="K190" i="7"/>
  <c r="R190" i="7" s="1"/>
  <c r="M190" i="7"/>
  <c r="H193" i="9"/>
  <c r="I193" i="9" s="1"/>
  <c r="J193" i="9" s="1"/>
  <c r="G194" i="9"/>
  <c r="L192" i="9"/>
  <c r="K192" i="9"/>
  <c r="N192" i="9"/>
  <c r="M192" i="9"/>
  <c r="H192" i="7"/>
  <c r="I192" i="7" s="1"/>
  <c r="G193" i="7"/>
  <c r="M191" i="6"/>
  <c r="K191" i="6"/>
  <c r="N191" i="6"/>
  <c r="L191" i="6"/>
  <c r="H192" i="6"/>
  <c r="I192" i="6" s="1"/>
  <c r="J192" i="6" s="1"/>
  <c r="G193" i="6"/>
  <c r="O195" i="12" l="1"/>
  <c r="J195" i="12"/>
  <c r="H196" i="12"/>
  <c r="I196" i="12" s="1"/>
  <c r="G197" i="12"/>
  <c r="M194" i="12"/>
  <c r="L194" i="12"/>
  <c r="K194" i="12"/>
  <c r="N194" i="12"/>
  <c r="Q194" i="12"/>
  <c r="P194" i="12"/>
  <c r="Q193" i="11"/>
  <c r="P193" i="11"/>
  <c r="M193" i="11"/>
  <c r="L193" i="11"/>
  <c r="N193" i="11"/>
  <c r="K193" i="11"/>
  <c r="S191" i="10"/>
  <c r="O194" i="11"/>
  <c r="J194" i="11"/>
  <c r="R192" i="11"/>
  <c r="H195" i="11"/>
  <c r="I195" i="11" s="1"/>
  <c r="G196" i="11"/>
  <c r="S192" i="11"/>
  <c r="L192" i="10"/>
  <c r="N192" i="10"/>
  <c r="K192" i="10"/>
  <c r="M192" i="10"/>
  <c r="H194" i="10"/>
  <c r="I194" i="10" s="1"/>
  <c r="J194" i="10" s="1"/>
  <c r="G195" i="10"/>
  <c r="O193" i="10"/>
  <c r="Q192" i="10"/>
  <c r="P192" i="10"/>
  <c r="L191" i="7"/>
  <c r="M191" i="7"/>
  <c r="Q191" i="7"/>
  <c r="P191" i="7"/>
  <c r="R191" i="7" s="1"/>
  <c r="N191" i="7"/>
  <c r="J192" i="7"/>
  <c r="L192" i="7" s="1"/>
  <c r="O192" i="7"/>
  <c r="S190" i="7"/>
  <c r="H194" i="9"/>
  <c r="I194" i="9" s="1"/>
  <c r="J194" i="9" s="1"/>
  <c r="G195" i="9"/>
  <c r="L193" i="9"/>
  <c r="K193" i="9"/>
  <c r="N193" i="9"/>
  <c r="M193" i="9"/>
  <c r="H193" i="7"/>
  <c r="I193" i="7" s="1"/>
  <c r="G194" i="7"/>
  <c r="G194" i="6"/>
  <c r="H193" i="6"/>
  <c r="I193" i="6" s="1"/>
  <c r="J193" i="6" s="1"/>
  <c r="M192" i="6"/>
  <c r="N192" i="6"/>
  <c r="L192" i="6"/>
  <c r="K192" i="6"/>
  <c r="R194" i="12" l="1"/>
  <c r="G198" i="12"/>
  <c r="H197" i="12"/>
  <c r="I197" i="12" s="1"/>
  <c r="O196" i="12"/>
  <c r="J196" i="12"/>
  <c r="L195" i="12"/>
  <c r="K195" i="12"/>
  <c r="N195" i="12"/>
  <c r="M195" i="12"/>
  <c r="S194" i="12"/>
  <c r="P195" i="12"/>
  <c r="Q195" i="12"/>
  <c r="S195" i="12" s="1"/>
  <c r="R192" i="10"/>
  <c r="H196" i="11"/>
  <c r="I196" i="11" s="1"/>
  <c r="G197" i="11"/>
  <c r="P194" i="11"/>
  <c r="Q194" i="11"/>
  <c r="O195" i="11"/>
  <c r="J195" i="11"/>
  <c r="S192" i="10"/>
  <c r="R193" i="11"/>
  <c r="L194" i="11"/>
  <c r="K194" i="11"/>
  <c r="M194" i="11"/>
  <c r="N194" i="11"/>
  <c r="S193" i="11"/>
  <c r="P193" i="10"/>
  <c r="Q193" i="10"/>
  <c r="K193" i="10"/>
  <c r="N193" i="10"/>
  <c r="M193" i="10"/>
  <c r="L193" i="10"/>
  <c r="S193" i="10" s="1"/>
  <c r="G196" i="10"/>
  <c r="H195" i="10"/>
  <c r="I195" i="10" s="1"/>
  <c r="J195" i="10" s="1"/>
  <c r="O194" i="10"/>
  <c r="S191" i="7"/>
  <c r="K192" i="7"/>
  <c r="M192" i="7"/>
  <c r="J193" i="7"/>
  <c r="K193" i="7" s="1"/>
  <c r="O193" i="7"/>
  <c r="Q192" i="7"/>
  <c r="S192" i="7" s="1"/>
  <c r="P192" i="7"/>
  <c r="N192" i="7"/>
  <c r="H195" i="9"/>
  <c r="I195" i="9" s="1"/>
  <c r="J195" i="9" s="1"/>
  <c r="G196" i="9"/>
  <c r="L194" i="9"/>
  <c r="K194" i="9"/>
  <c r="N194" i="9"/>
  <c r="M194" i="9"/>
  <c r="H194" i="7"/>
  <c r="I194" i="7" s="1"/>
  <c r="G195" i="7"/>
  <c r="M193" i="6"/>
  <c r="K193" i="6"/>
  <c r="N193" i="6"/>
  <c r="L193" i="6"/>
  <c r="G195" i="6"/>
  <c r="H194" i="6"/>
  <c r="I194" i="6" s="1"/>
  <c r="J194" i="6" s="1"/>
  <c r="R195" i="12" l="1"/>
  <c r="Q196" i="12"/>
  <c r="P196" i="12"/>
  <c r="J197" i="12"/>
  <c r="O197" i="12"/>
  <c r="K196" i="12"/>
  <c r="N196" i="12"/>
  <c r="M196" i="12"/>
  <c r="L196" i="12"/>
  <c r="G199" i="12"/>
  <c r="H198" i="12"/>
  <c r="I198" i="12" s="1"/>
  <c r="R194" i="11"/>
  <c r="K195" i="11"/>
  <c r="N195" i="11"/>
  <c r="M195" i="11"/>
  <c r="L195" i="11"/>
  <c r="G198" i="11"/>
  <c r="H197" i="11"/>
  <c r="I197" i="11" s="1"/>
  <c r="P195" i="11"/>
  <c r="Q195" i="11"/>
  <c r="S195" i="11" s="1"/>
  <c r="J196" i="11"/>
  <c r="O196" i="11"/>
  <c r="R193" i="10"/>
  <c r="S194" i="11"/>
  <c r="O195" i="10"/>
  <c r="G197" i="10"/>
  <c r="H196" i="10"/>
  <c r="I196" i="10" s="1"/>
  <c r="J196" i="10" s="1"/>
  <c r="Q194" i="10"/>
  <c r="P194" i="10"/>
  <c r="L194" i="10"/>
  <c r="K194" i="10"/>
  <c r="M194" i="10"/>
  <c r="N194" i="10"/>
  <c r="R192" i="7"/>
  <c r="L193" i="7"/>
  <c r="J194" i="7"/>
  <c r="N194" i="7" s="1"/>
  <c r="O194" i="7"/>
  <c r="Q193" i="7"/>
  <c r="P193" i="7"/>
  <c r="R193" i="7" s="1"/>
  <c r="M193" i="7"/>
  <c r="N193" i="7"/>
  <c r="H196" i="9"/>
  <c r="I196" i="9" s="1"/>
  <c r="J196" i="9" s="1"/>
  <c r="G197" i="9"/>
  <c r="L195" i="9"/>
  <c r="K195" i="9"/>
  <c r="N195" i="9"/>
  <c r="M195" i="9"/>
  <c r="H195" i="7"/>
  <c r="I195" i="7" s="1"/>
  <c r="G196" i="7"/>
  <c r="L194" i="6"/>
  <c r="N194" i="6"/>
  <c r="M194" i="6"/>
  <c r="K194" i="6"/>
  <c r="H195" i="6"/>
  <c r="I195" i="6" s="1"/>
  <c r="J195" i="6" s="1"/>
  <c r="G196" i="6"/>
  <c r="R196" i="12" l="1"/>
  <c r="N197" i="12"/>
  <c r="M197" i="12"/>
  <c r="L197" i="12"/>
  <c r="K197" i="12"/>
  <c r="R194" i="10"/>
  <c r="R195" i="11"/>
  <c r="O198" i="12"/>
  <c r="J198" i="12"/>
  <c r="Q197" i="12"/>
  <c r="P197" i="12"/>
  <c r="S194" i="10"/>
  <c r="G200" i="12"/>
  <c r="H199" i="12"/>
  <c r="I199" i="12" s="1"/>
  <c r="S196" i="12"/>
  <c r="Q196" i="11"/>
  <c r="P196" i="11"/>
  <c r="J197" i="11"/>
  <c r="O197" i="11"/>
  <c r="N196" i="11"/>
  <c r="M196" i="11"/>
  <c r="K196" i="11"/>
  <c r="L196" i="11"/>
  <c r="G199" i="11"/>
  <c r="H198" i="11"/>
  <c r="I198" i="11" s="1"/>
  <c r="O196" i="10"/>
  <c r="G198" i="10"/>
  <c r="H197" i="10"/>
  <c r="I197" i="10" s="1"/>
  <c r="J197" i="10" s="1"/>
  <c r="P195" i="10"/>
  <c r="Q195" i="10"/>
  <c r="N195" i="10"/>
  <c r="M195" i="10"/>
  <c r="L195" i="10"/>
  <c r="K195" i="10"/>
  <c r="L194" i="7"/>
  <c r="K194" i="7"/>
  <c r="Q194" i="7"/>
  <c r="P194" i="7"/>
  <c r="M194" i="7"/>
  <c r="J195" i="7"/>
  <c r="N195" i="7" s="1"/>
  <c r="O195" i="7"/>
  <c r="S193" i="7"/>
  <c r="H197" i="9"/>
  <c r="I197" i="9" s="1"/>
  <c r="J197" i="9" s="1"/>
  <c r="G198" i="9"/>
  <c r="L196" i="9"/>
  <c r="K196" i="9"/>
  <c r="N196" i="9"/>
  <c r="M196" i="9"/>
  <c r="H196" i="7"/>
  <c r="I196" i="7" s="1"/>
  <c r="G197" i="7"/>
  <c r="H196" i="6"/>
  <c r="I196" i="6" s="1"/>
  <c r="J196" i="6" s="1"/>
  <c r="G197" i="6"/>
  <c r="L195" i="6"/>
  <c r="K195" i="6"/>
  <c r="N195" i="6"/>
  <c r="M195" i="6"/>
  <c r="G201" i="12" l="1"/>
  <c r="H200" i="12"/>
  <c r="I200" i="12" s="1"/>
  <c r="Q198" i="12"/>
  <c r="P198" i="12"/>
  <c r="R197" i="12"/>
  <c r="M198" i="12"/>
  <c r="L198" i="12"/>
  <c r="K198" i="12"/>
  <c r="N198" i="12"/>
  <c r="R195" i="10"/>
  <c r="O199" i="12"/>
  <c r="J199" i="12"/>
  <c r="S197" i="12"/>
  <c r="Q197" i="11"/>
  <c r="P197" i="11"/>
  <c r="M197" i="11"/>
  <c r="L197" i="11"/>
  <c r="N197" i="11"/>
  <c r="K197" i="11"/>
  <c r="S194" i="7"/>
  <c r="S195" i="10"/>
  <c r="O198" i="11"/>
  <c r="J198" i="11"/>
  <c r="R196" i="11"/>
  <c r="G200" i="11"/>
  <c r="H199" i="11"/>
  <c r="I199" i="11" s="1"/>
  <c r="S196" i="11"/>
  <c r="O197" i="10"/>
  <c r="G199" i="10"/>
  <c r="H198" i="10"/>
  <c r="I198" i="10" s="1"/>
  <c r="J198" i="10" s="1"/>
  <c r="Q196" i="10"/>
  <c r="P196" i="10"/>
  <c r="M196" i="10"/>
  <c r="K196" i="10"/>
  <c r="L196" i="10"/>
  <c r="S196" i="10" s="1"/>
  <c r="N196" i="10"/>
  <c r="R194" i="7"/>
  <c r="J196" i="7"/>
  <c r="K196" i="7" s="1"/>
  <c r="O196" i="7"/>
  <c r="K195" i="7"/>
  <c r="L195" i="7"/>
  <c r="M195" i="7"/>
  <c r="Q195" i="7"/>
  <c r="P195" i="7"/>
  <c r="H198" i="9"/>
  <c r="I198" i="9" s="1"/>
  <c r="J198" i="9" s="1"/>
  <c r="G199" i="9"/>
  <c r="L197" i="9"/>
  <c r="K197" i="9"/>
  <c r="N197" i="9"/>
  <c r="M197" i="9"/>
  <c r="H197" i="7"/>
  <c r="I197" i="7" s="1"/>
  <c r="G198" i="7"/>
  <c r="H197" i="6"/>
  <c r="I197" i="6" s="1"/>
  <c r="J197" i="6" s="1"/>
  <c r="G198" i="6"/>
  <c r="L196" i="6"/>
  <c r="N196" i="6"/>
  <c r="M196" i="6"/>
  <c r="K196" i="6"/>
  <c r="R198" i="12" l="1"/>
  <c r="P199" i="12"/>
  <c r="Q199" i="12"/>
  <c r="S199" i="12" s="1"/>
  <c r="S198" i="12"/>
  <c r="L199" i="12"/>
  <c r="K199" i="12"/>
  <c r="N199" i="12"/>
  <c r="M199" i="12"/>
  <c r="R196" i="10"/>
  <c r="O200" i="12"/>
  <c r="J200" i="12"/>
  <c r="G202" i="12"/>
  <c r="H201" i="12"/>
  <c r="I201" i="12" s="1"/>
  <c r="G201" i="11"/>
  <c r="H200" i="11"/>
  <c r="I200" i="11" s="1"/>
  <c r="L198" i="11"/>
  <c r="K198" i="11"/>
  <c r="N198" i="11"/>
  <c r="M198" i="11"/>
  <c r="R197" i="11"/>
  <c r="O199" i="11"/>
  <c r="J199" i="11"/>
  <c r="P198" i="11"/>
  <c r="R198" i="11" s="1"/>
  <c r="Q198" i="11"/>
  <c r="S198" i="11" s="1"/>
  <c r="S197" i="11"/>
  <c r="O198" i="10"/>
  <c r="H199" i="10"/>
  <c r="I199" i="10" s="1"/>
  <c r="J199" i="10" s="1"/>
  <c r="G200" i="10"/>
  <c r="P197" i="10"/>
  <c r="Q197" i="10"/>
  <c r="N197" i="10"/>
  <c r="M197" i="10"/>
  <c r="K197" i="10"/>
  <c r="R197" i="10" s="1"/>
  <c r="L197" i="10"/>
  <c r="S197" i="10" s="1"/>
  <c r="R195" i="7"/>
  <c r="S195" i="7"/>
  <c r="N196" i="7"/>
  <c r="L196" i="7"/>
  <c r="M196" i="7"/>
  <c r="J197" i="7"/>
  <c r="M197" i="7" s="1"/>
  <c r="O197" i="7"/>
  <c r="Q196" i="7"/>
  <c r="P196" i="7"/>
  <c r="R196" i="7" s="1"/>
  <c r="H199" i="9"/>
  <c r="I199" i="9" s="1"/>
  <c r="J199" i="9" s="1"/>
  <c r="G200" i="9"/>
  <c r="L198" i="9"/>
  <c r="K198" i="9"/>
  <c r="N198" i="9"/>
  <c r="M198" i="9"/>
  <c r="H198" i="7"/>
  <c r="I198" i="7" s="1"/>
  <c r="G199" i="7"/>
  <c r="H198" i="6"/>
  <c r="I198" i="6" s="1"/>
  <c r="J198" i="6" s="1"/>
  <c r="G199" i="6"/>
  <c r="L197" i="6"/>
  <c r="K197" i="6"/>
  <c r="M197" i="6"/>
  <c r="N197" i="6"/>
  <c r="K200" i="12" l="1"/>
  <c r="N200" i="12"/>
  <c r="M200" i="12"/>
  <c r="L200" i="12"/>
  <c r="Q200" i="12"/>
  <c r="P200" i="12"/>
  <c r="R200" i="12" s="1"/>
  <c r="R199" i="12"/>
  <c r="G203" i="12"/>
  <c r="H202" i="12"/>
  <c r="I202" i="12" s="1"/>
  <c r="J201" i="12"/>
  <c r="O201" i="12"/>
  <c r="Q199" i="11"/>
  <c r="P199" i="11"/>
  <c r="J200" i="11"/>
  <c r="O200" i="11"/>
  <c r="K199" i="11"/>
  <c r="N199" i="11"/>
  <c r="L199" i="11"/>
  <c r="M199" i="11"/>
  <c r="G202" i="11"/>
  <c r="H201" i="11"/>
  <c r="I201" i="11" s="1"/>
  <c r="G201" i="10"/>
  <c r="H200" i="10"/>
  <c r="I200" i="10" s="1"/>
  <c r="J200" i="10" s="1"/>
  <c r="O199" i="10"/>
  <c r="N198" i="10"/>
  <c r="M198" i="10"/>
  <c r="L198" i="10"/>
  <c r="S198" i="10" s="1"/>
  <c r="K198" i="10"/>
  <c r="R198" i="10" s="1"/>
  <c r="P198" i="10"/>
  <c r="Q198" i="10"/>
  <c r="S196" i="7"/>
  <c r="Q197" i="7"/>
  <c r="P197" i="7"/>
  <c r="N197" i="7"/>
  <c r="J198" i="7"/>
  <c r="N198" i="7" s="1"/>
  <c r="O198" i="7"/>
  <c r="K197" i="7"/>
  <c r="R197" i="7" s="1"/>
  <c r="L197" i="7"/>
  <c r="H200" i="9"/>
  <c r="I200" i="9" s="1"/>
  <c r="J200" i="9" s="1"/>
  <c r="G201" i="9"/>
  <c r="L199" i="9"/>
  <c r="K199" i="9"/>
  <c r="N199" i="9"/>
  <c r="M199" i="9"/>
  <c r="H199" i="7"/>
  <c r="I199" i="7" s="1"/>
  <c r="G200" i="7"/>
  <c r="H199" i="6"/>
  <c r="I199" i="6" s="1"/>
  <c r="J199" i="6" s="1"/>
  <c r="G200" i="6"/>
  <c r="L198" i="6"/>
  <c r="N198" i="6"/>
  <c r="K198" i="6"/>
  <c r="M198" i="6"/>
  <c r="Q201" i="12" l="1"/>
  <c r="P201" i="12"/>
  <c r="G204" i="12"/>
  <c r="H203" i="12"/>
  <c r="I203" i="12" s="1"/>
  <c r="N201" i="12"/>
  <c r="M201" i="12"/>
  <c r="L201" i="12"/>
  <c r="K201" i="12"/>
  <c r="O202" i="12"/>
  <c r="J202" i="12"/>
  <c r="S200" i="12"/>
  <c r="Q200" i="11"/>
  <c r="P200" i="11"/>
  <c r="N200" i="11"/>
  <c r="M200" i="11"/>
  <c r="L200" i="11"/>
  <c r="K200" i="11"/>
  <c r="J201" i="11"/>
  <c r="O201" i="11"/>
  <c r="R199" i="11"/>
  <c r="G203" i="11"/>
  <c r="H202" i="11"/>
  <c r="I202" i="11" s="1"/>
  <c r="S199" i="11"/>
  <c r="Q199" i="10"/>
  <c r="P199" i="10"/>
  <c r="M199" i="10"/>
  <c r="N199" i="10"/>
  <c r="L199" i="10"/>
  <c r="S199" i="10" s="1"/>
  <c r="K199" i="10"/>
  <c r="R199" i="10" s="1"/>
  <c r="O200" i="10"/>
  <c r="H201" i="10"/>
  <c r="I201" i="10" s="1"/>
  <c r="J201" i="10" s="1"/>
  <c r="G202" i="10"/>
  <c r="S197" i="7"/>
  <c r="L198" i="7"/>
  <c r="K198" i="7"/>
  <c r="M198" i="7"/>
  <c r="J199" i="7"/>
  <c r="K199" i="7" s="1"/>
  <c r="O199" i="7"/>
  <c r="Q198" i="7"/>
  <c r="P198" i="7"/>
  <c r="H201" i="9"/>
  <c r="I201" i="9" s="1"/>
  <c r="J201" i="9" s="1"/>
  <c r="G202" i="9"/>
  <c r="L200" i="9"/>
  <c r="K200" i="9"/>
  <c r="N200" i="9"/>
  <c r="M200" i="9"/>
  <c r="H200" i="7"/>
  <c r="I200" i="7" s="1"/>
  <c r="G201" i="7"/>
  <c r="H200" i="6"/>
  <c r="I200" i="6" s="1"/>
  <c r="J200" i="6" s="1"/>
  <c r="G201" i="6"/>
  <c r="L199" i="6"/>
  <c r="K199" i="6"/>
  <c r="N199" i="6"/>
  <c r="M199" i="6"/>
  <c r="O203" i="12" l="1"/>
  <c r="J203" i="12"/>
  <c r="H204" i="12"/>
  <c r="I204" i="12" s="1"/>
  <c r="G205" i="12"/>
  <c r="M202" i="12"/>
  <c r="L202" i="12"/>
  <c r="K202" i="12"/>
  <c r="N202" i="12"/>
  <c r="R201" i="12"/>
  <c r="Q202" i="12"/>
  <c r="S202" i="12" s="1"/>
  <c r="P202" i="12"/>
  <c r="S201" i="12"/>
  <c r="Q201" i="11"/>
  <c r="P201" i="11"/>
  <c r="O202" i="11"/>
  <c r="J202" i="11"/>
  <c r="M201" i="11"/>
  <c r="L201" i="11"/>
  <c r="N201" i="11"/>
  <c r="K201" i="11"/>
  <c r="H203" i="11"/>
  <c r="I203" i="11" s="1"/>
  <c r="G204" i="11"/>
  <c r="R200" i="11"/>
  <c r="S200" i="11"/>
  <c r="P200" i="10"/>
  <c r="Q200" i="10"/>
  <c r="M200" i="10"/>
  <c r="L200" i="10"/>
  <c r="S200" i="10" s="1"/>
  <c r="K200" i="10"/>
  <c r="R200" i="10" s="1"/>
  <c r="N200" i="10"/>
  <c r="G203" i="10"/>
  <c r="H202" i="10"/>
  <c r="I202" i="10" s="1"/>
  <c r="J202" i="10" s="1"/>
  <c r="O201" i="10"/>
  <c r="R198" i="7"/>
  <c r="M199" i="7"/>
  <c r="N199" i="7"/>
  <c r="J200" i="7"/>
  <c r="L200" i="7" s="1"/>
  <c r="O200" i="7"/>
  <c r="L199" i="7"/>
  <c r="Q199" i="7"/>
  <c r="P199" i="7"/>
  <c r="R199" i="7" s="1"/>
  <c r="S198" i="7"/>
  <c r="L201" i="9"/>
  <c r="K201" i="9"/>
  <c r="N201" i="9"/>
  <c r="M201" i="9"/>
  <c r="H202" i="9"/>
  <c r="I202" i="9" s="1"/>
  <c r="J202" i="9" s="1"/>
  <c r="G203" i="9"/>
  <c r="H201" i="7"/>
  <c r="I201" i="7" s="1"/>
  <c r="G202" i="7"/>
  <c r="H201" i="6"/>
  <c r="I201" i="6" s="1"/>
  <c r="J201" i="6" s="1"/>
  <c r="G202" i="6"/>
  <c r="L200" i="6"/>
  <c r="N200" i="6"/>
  <c r="M200" i="6"/>
  <c r="K200" i="6"/>
  <c r="R202" i="12" l="1"/>
  <c r="O204" i="12"/>
  <c r="J204" i="12"/>
  <c r="L203" i="12"/>
  <c r="K203" i="12"/>
  <c r="N203" i="12"/>
  <c r="M203" i="12"/>
  <c r="G206" i="12"/>
  <c r="H205" i="12"/>
  <c r="I205" i="12" s="1"/>
  <c r="P203" i="12"/>
  <c r="Q203" i="12"/>
  <c r="L202" i="11"/>
  <c r="K202" i="11"/>
  <c r="M202" i="11"/>
  <c r="N202" i="11"/>
  <c r="P202" i="11"/>
  <c r="Q202" i="11"/>
  <c r="S202" i="11" s="1"/>
  <c r="G205" i="11"/>
  <c r="H204" i="11"/>
  <c r="I204" i="11" s="1"/>
  <c r="R201" i="11"/>
  <c r="O203" i="11"/>
  <c r="J203" i="11"/>
  <c r="S201" i="11"/>
  <c r="N201" i="10"/>
  <c r="M201" i="10"/>
  <c r="L201" i="10"/>
  <c r="K201" i="10"/>
  <c r="O202" i="10"/>
  <c r="G204" i="10"/>
  <c r="H203" i="10"/>
  <c r="I203" i="10" s="1"/>
  <c r="J203" i="10" s="1"/>
  <c r="P201" i="10"/>
  <c r="Q201" i="10"/>
  <c r="Q200" i="7"/>
  <c r="S200" i="7" s="1"/>
  <c r="P200" i="7"/>
  <c r="M200" i="7"/>
  <c r="K200" i="7"/>
  <c r="J201" i="7"/>
  <c r="M201" i="7" s="1"/>
  <c r="O201" i="7"/>
  <c r="N200" i="7"/>
  <c r="S199" i="7"/>
  <c r="H203" i="9"/>
  <c r="I203" i="9" s="1"/>
  <c r="J203" i="9" s="1"/>
  <c r="G204" i="9"/>
  <c r="L202" i="9"/>
  <c r="K202" i="9"/>
  <c r="N202" i="9"/>
  <c r="M202" i="9"/>
  <c r="H202" i="7"/>
  <c r="I202" i="7" s="1"/>
  <c r="G203" i="7"/>
  <c r="H202" i="6"/>
  <c r="I202" i="6" s="1"/>
  <c r="J202" i="6" s="1"/>
  <c r="G203" i="6"/>
  <c r="L201" i="6"/>
  <c r="K201" i="6"/>
  <c r="N201" i="6"/>
  <c r="M201" i="6"/>
  <c r="H206" i="12" l="1"/>
  <c r="I206" i="12" s="1"/>
  <c r="G207" i="12"/>
  <c r="S203" i="12"/>
  <c r="K204" i="12"/>
  <c r="M204" i="12"/>
  <c r="L204" i="12"/>
  <c r="N204" i="12"/>
  <c r="J205" i="12"/>
  <c r="O205" i="12"/>
  <c r="S201" i="10"/>
  <c r="R203" i="12"/>
  <c r="Q204" i="12"/>
  <c r="S204" i="12" s="1"/>
  <c r="P204" i="12"/>
  <c r="R201" i="10"/>
  <c r="O204" i="11"/>
  <c r="J204" i="11"/>
  <c r="K203" i="11"/>
  <c r="N203" i="11"/>
  <c r="M203" i="11"/>
  <c r="L203" i="11"/>
  <c r="G206" i="11"/>
  <c r="H205" i="11"/>
  <c r="I205" i="11" s="1"/>
  <c r="P203" i="11"/>
  <c r="R203" i="11" s="1"/>
  <c r="Q203" i="11"/>
  <c r="S203" i="11" s="1"/>
  <c r="R202" i="11"/>
  <c r="O203" i="10"/>
  <c r="H204" i="10"/>
  <c r="I204" i="10" s="1"/>
  <c r="J204" i="10" s="1"/>
  <c r="G205" i="10"/>
  <c r="M202" i="10"/>
  <c r="N202" i="10"/>
  <c r="L202" i="10"/>
  <c r="S202" i="10" s="1"/>
  <c r="K202" i="10"/>
  <c r="R202" i="10" s="1"/>
  <c r="Q202" i="10"/>
  <c r="P202" i="10"/>
  <c r="R200" i="7"/>
  <c r="J202" i="7"/>
  <c r="K202" i="7" s="1"/>
  <c r="O202" i="7"/>
  <c r="K201" i="7"/>
  <c r="N201" i="7"/>
  <c r="Q201" i="7"/>
  <c r="P201" i="7"/>
  <c r="L201" i="7"/>
  <c r="H204" i="9"/>
  <c r="I204" i="9" s="1"/>
  <c r="J204" i="9" s="1"/>
  <c r="G205" i="9"/>
  <c r="L203" i="9"/>
  <c r="K203" i="9"/>
  <c r="N203" i="9"/>
  <c r="M203" i="9"/>
  <c r="H203" i="7"/>
  <c r="I203" i="7" s="1"/>
  <c r="G204" i="7"/>
  <c r="H203" i="6"/>
  <c r="I203" i="6" s="1"/>
  <c r="J203" i="6" s="1"/>
  <c r="G204" i="6"/>
  <c r="L202" i="6"/>
  <c r="N202" i="6"/>
  <c r="M202" i="6"/>
  <c r="K202" i="6"/>
  <c r="G208" i="12" l="1"/>
  <c r="H207" i="12"/>
  <c r="I207" i="12" s="1"/>
  <c r="N205" i="12"/>
  <c r="K205" i="12"/>
  <c r="M205" i="12"/>
  <c r="L205" i="12"/>
  <c r="R204" i="12"/>
  <c r="P205" i="12"/>
  <c r="R205" i="12" s="1"/>
  <c r="Q205" i="12"/>
  <c r="O206" i="12"/>
  <c r="J206" i="12"/>
  <c r="G207" i="11"/>
  <c r="H206" i="11"/>
  <c r="I206" i="11" s="1"/>
  <c r="L204" i="11"/>
  <c r="K204" i="11"/>
  <c r="M204" i="11"/>
  <c r="N204" i="11"/>
  <c r="P204" i="11"/>
  <c r="Q204" i="11"/>
  <c r="S204" i="11" s="1"/>
  <c r="O205" i="11"/>
  <c r="J205" i="11"/>
  <c r="G206" i="10"/>
  <c r="H205" i="10"/>
  <c r="I205" i="10" s="1"/>
  <c r="J205" i="10" s="1"/>
  <c r="O204" i="10"/>
  <c r="N203" i="10"/>
  <c r="M203" i="10"/>
  <c r="L203" i="10"/>
  <c r="S203" i="10" s="1"/>
  <c r="K203" i="10"/>
  <c r="R203" i="10" s="1"/>
  <c r="Q203" i="10"/>
  <c r="P203" i="10"/>
  <c r="R201" i="7"/>
  <c r="N202" i="7"/>
  <c r="L202" i="7"/>
  <c r="M202" i="7"/>
  <c r="S201" i="7"/>
  <c r="J203" i="7"/>
  <c r="N203" i="7" s="1"/>
  <c r="O203" i="7"/>
  <c r="Q202" i="7"/>
  <c r="P202" i="7"/>
  <c r="R202" i="7" s="1"/>
  <c r="H205" i="9"/>
  <c r="I205" i="9" s="1"/>
  <c r="J205" i="9" s="1"/>
  <c r="G206" i="9"/>
  <c r="L204" i="9"/>
  <c r="K204" i="9"/>
  <c r="N204" i="9"/>
  <c r="M204" i="9"/>
  <c r="H204" i="7"/>
  <c r="I204" i="7" s="1"/>
  <c r="G205" i="7"/>
  <c r="H204" i="6"/>
  <c r="I204" i="6" s="1"/>
  <c r="J204" i="6" s="1"/>
  <c r="G205" i="6"/>
  <c r="L203" i="6"/>
  <c r="K203" i="6"/>
  <c r="N203" i="6"/>
  <c r="M203" i="6"/>
  <c r="R204" i="11" l="1"/>
  <c r="Q206" i="12"/>
  <c r="P206" i="12"/>
  <c r="O207" i="12"/>
  <c r="J207" i="12"/>
  <c r="M206" i="12"/>
  <c r="N206" i="12"/>
  <c r="L206" i="12"/>
  <c r="K206" i="12"/>
  <c r="S205" i="12"/>
  <c r="G209" i="12"/>
  <c r="H208" i="12"/>
  <c r="I208" i="12" s="1"/>
  <c r="K205" i="11"/>
  <c r="N205" i="11"/>
  <c r="M205" i="11"/>
  <c r="L205" i="11"/>
  <c r="J206" i="11"/>
  <c r="O206" i="11"/>
  <c r="Q205" i="11"/>
  <c r="P205" i="11"/>
  <c r="R205" i="11" s="1"/>
  <c r="G208" i="11"/>
  <c r="H207" i="11"/>
  <c r="I207" i="11" s="1"/>
  <c r="P204" i="10"/>
  <c r="Q204" i="10"/>
  <c r="K204" i="10"/>
  <c r="N204" i="10"/>
  <c r="M204" i="10"/>
  <c r="L204" i="10"/>
  <c r="S204" i="10" s="1"/>
  <c r="O205" i="10"/>
  <c r="H206" i="10"/>
  <c r="I206" i="10" s="1"/>
  <c r="J206" i="10" s="1"/>
  <c r="G207" i="10"/>
  <c r="S202" i="7"/>
  <c r="Q203" i="7"/>
  <c r="P203" i="7"/>
  <c r="L203" i="7"/>
  <c r="M203" i="7"/>
  <c r="K203" i="7"/>
  <c r="J204" i="7"/>
  <c r="N204" i="7" s="1"/>
  <c r="O204" i="7"/>
  <c r="H206" i="9"/>
  <c r="I206" i="9" s="1"/>
  <c r="J206" i="9" s="1"/>
  <c r="G207" i="9"/>
  <c r="L205" i="9"/>
  <c r="K205" i="9"/>
  <c r="N205" i="9"/>
  <c r="M205" i="9"/>
  <c r="H205" i="7"/>
  <c r="I205" i="7" s="1"/>
  <c r="G206" i="7"/>
  <c r="H205" i="6"/>
  <c r="I205" i="6" s="1"/>
  <c r="J205" i="6" s="1"/>
  <c r="G206" i="6"/>
  <c r="L204" i="6"/>
  <c r="N204" i="6"/>
  <c r="M204" i="6"/>
  <c r="K204" i="6"/>
  <c r="R206" i="12" l="1"/>
  <c r="P207" i="12"/>
  <c r="Q207" i="12"/>
  <c r="S206" i="12"/>
  <c r="O208" i="12"/>
  <c r="J208" i="12"/>
  <c r="S205" i="11"/>
  <c r="G210" i="12"/>
  <c r="H209" i="12"/>
  <c r="I209" i="12" s="1"/>
  <c r="L207" i="12"/>
  <c r="K207" i="12"/>
  <c r="N207" i="12"/>
  <c r="M207" i="12"/>
  <c r="O207" i="11"/>
  <c r="J207" i="11"/>
  <c r="Q206" i="11"/>
  <c r="P206" i="11"/>
  <c r="R204" i="10"/>
  <c r="G209" i="11"/>
  <c r="H208" i="11"/>
  <c r="I208" i="11" s="1"/>
  <c r="N206" i="11"/>
  <c r="L206" i="11"/>
  <c r="K206" i="11"/>
  <c r="M206" i="11"/>
  <c r="N205" i="10"/>
  <c r="M205" i="10"/>
  <c r="K205" i="10"/>
  <c r="L205" i="10"/>
  <c r="P205" i="10"/>
  <c r="Q205" i="10"/>
  <c r="H207" i="10"/>
  <c r="I207" i="10" s="1"/>
  <c r="J207" i="10" s="1"/>
  <c r="G208" i="10"/>
  <c r="O206" i="10"/>
  <c r="S203" i="7"/>
  <c r="R203" i="7"/>
  <c r="Q204" i="7"/>
  <c r="P204" i="7"/>
  <c r="L204" i="7"/>
  <c r="K204" i="7"/>
  <c r="M204" i="7"/>
  <c r="J205" i="7"/>
  <c r="K205" i="7" s="1"/>
  <c r="O205" i="7"/>
  <c r="H207" i="9"/>
  <c r="I207" i="9" s="1"/>
  <c r="J207" i="9" s="1"/>
  <c r="G208" i="9"/>
  <c r="L206" i="9"/>
  <c r="K206" i="9"/>
  <c r="N206" i="9"/>
  <c r="M206" i="9"/>
  <c r="H206" i="7"/>
  <c r="I206" i="7" s="1"/>
  <c r="G207" i="7"/>
  <c r="H206" i="6"/>
  <c r="I206" i="6" s="1"/>
  <c r="J206" i="6" s="1"/>
  <c r="G207" i="6"/>
  <c r="L205" i="6"/>
  <c r="M205" i="6"/>
  <c r="K205" i="6"/>
  <c r="N205" i="6"/>
  <c r="J209" i="12" l="1"/>
  <c r="O209" i="12"/>
  <c r="Q208" i="12"/>
  <c r="P208" i="12"/>
  <c r="S205" i="10"/>
  <c r="G211" i="12"/>
  <c r="H210" i="12"/>
  <c r="I210" i="12" s="1"/>
  <c r="R205" i="10"/>
  <c r="S207" i="12"/>
  <c r="K208" i="12"/>
  <c r="N208" i="12"/>
  <c r="M208" i="12"/>
  <c r="L208" i="12"/>
  <c r="R207" i="12"/>
  <c r="R206" i="11"/>
  <c r="O208" i="11"/>
  <c r="J208" i="11"/>
  <c r="S206" i="11"/>
  <c r="G210" i="11"/>
  <c r="H209" i="11"/>
  <c r="I209" i="11" s="1"/>
  <c r="M207" i="11"/>
  <c r="N207" i="11"/>
  <c r="L207" i="11"/>
  <c r="K207" i="11"/>
  <c r="S204" i="7"/>
  <c r="Q207" i="11"/>
  <c r="S207" i="11" s="1"/>
  <c r="P207" i="11"/>
  <c r="H208" i="10"/>
  <c r="I208" i="10" s="1"/>
  <c r="J208" i="10" s="1"/>
  <c r="G209" i="10"/>
  <c r="M206" i="10"/>
  <c r="L206" i="10"/>
  <c r="K206" i="10"/>
  <c r="R206" i="10" s="1"/>
  <c r="N206" i="10"/>
  <c r="O207" i="10"/>
  <c r="P206" i="10"/>
  <c r="Q206" i="10"/>
  <c r="R204" i="7"/>
  <c r="Q205" i="7"/>
  <c r="P205" i="7"/>
  <c r="R205" i="7" s="1"/>
  <c r="L205" i="7"/>
  <c r="M205" i="7"/>
  <c r="N205" i="7"/>
  <c r="J206" i="7"/>
  <c r="N206" i="7" s="1"/>
  <c r="O206" i="7"/>
  <c r="H208" i="9"/>
  <c r="I208" i="9" s="1"/>
  <c r="J208" i="9" s="1"/>
  <c r="G209" i="9"/>
  <c r="L207" i="9"/>
  <c r="K207" i="9"/>
  <c r="N207" i="9"/>
  <c r="M207" i="9"/>
  <c r="H207" i="7"/>
  <c r="I207" i="7" s="1"/>
  <c r="G208" i="7"/>
  <c r="H207" i="6"/>
  <c r="I207" i="6" s="1"/>
  <c r="J207" i="6" s="1"/>
  <c r="G208" i="6"/>
  <c r="L206" i="6"/>
  <c r="N206" i="6"/>
  <c r="M206" i="6"/>
  <c r="K206" i="6"/>
  <c r="G212" i="12" l="1"/>
  <c r="H211" i="12"/>
  <c r="I211" i="12" s="1"/>
  <c r="R208" i="12"/>
  <c r="O210" i="12"/>
  <c r="J210" i="12"/>
  <c r="S208" i="12"/>
  <c r="Q209" i="12"/>
  <c r="P209" i="12"/>
  <c r="N209" i="12"/>
  <c r="L209" i="12"/>
  <c r="K209" i="12"/>
  <c r="M209" i="12"/>
  <c r="L208" i="11"/>
  <c r="M208" i="11"/>
  <c r="K208" i="11"/>
  <c r="N208" i="11"/>
  <c r="O209" i="11"/>
  <c r="J209" i="11"/>
  <c r="P208" i="11"/>
  <c r="R208" i="11" s="1"/>
  <c r="Q208" i="11"/>
  <c r="S208" i="11" s="1"/>
  <c r="S206" i="10"/>
  <c r="R207" i="11"/>
  <c r="H210" i="11"/>
  <c r="I210" i="11" s="1"/>
  <c r="G211" i="11"/>
  <c r="Q207" i="10"/>
  <c r="P207" i="10"/>
  <c r="H209" i="10"/>
  <c r="I209" i="10" s="1"/>
  <c r="J209" i="10" s="1"/>
  <c r="G210" i="10"/>
  <c r="N207" i="10"/>
  <c r="M207" i="10"/>
  <c r="K207" i="10"/>
  <c r="R207" i="10" s="1"/>
  <c r="L207" i="10"/>
  <c r="S207" i="10" s="1"/>
  <c r="O208" i="10"/>
  <c r="S205" i="7"/>
  <c r="Q206" i="7"/>
  <c r="P206" i="7"/>
  <c r="L206" i="7"/>
  <c r="K206" i="7"/>
  <c r="M206" i="7"/>
  <c r="J207" i="7"/>
  <c r="K207" i="7" s="1"/>
  <c r="O207" i="7"/>
  <c r="H209" i="9"/>
  <c r="I209" i="9" s="1"/>
  <c r="J209" i="9" s="1"/>
  <c r="G210" i="9"/>
  <c r="L208" i="9"/>
  <c r="K208" i="9"/>
  <c r="N208" i="9"/>
  <c r="M208" i="9"/>
  <c r="H208" i="7"/>
  <c r="I208" i="7" s="1"/>
  <c r="G209" i="7"/>
  <c r="H208" i="6"/>
  <c r="I208" i="6" s="1"/>
  <c r="J208" i="6" s="1"/>
  <c r="G209" i="6"/>
  <c r="L207" i="6"/>
  <c r="M207" i="6"/>
  <c r="K207" i="6"/>
  <c r="N207" i="6"/>
  <c r="S209" i="12" l="1"/>
  <c r="R209" i="12"/>
  <c r="Q210" i="12"/>
  <c r="P210" i="12"/>
  <c r="O211" i="12"/>
  <c r="J211" i="12"/>
  <c r="M210" i="12"/>
  <c r="N210" i="12"/>
  <c r="L210" i="12"/>
  <c r="K210" i="12"/>
  <c r="G213" i="12"/>
  <c r="H212" i="12"/>
  <c r="I212" i="12" s="1"/>
  <c r="G212" i="11"/>
  <c r="H211" i="11"/>
  <c r="I211" i="11" s="1"/>
  <c r="J210" i="11"/>
  <c r="O210" i="11"/>
  <c r="K209" i="11"/>
  <c r="N209" i="11"/>
  <c r="M209" i="11"/>
  <c r="L209" i="11"/>
  <c r="S206" i="7"/>
  <c r="P209" i="11"/>
  <c r="R209" i="11" s="1"/>
  <c r="Q209" i="11"/>
  <c r="O209" i="10"/>
  <c r="P208" i="10"/>
  <c r="Q208" i="10"/>
  <c r="H210" i="10"/>
  <c r="I210" i="10" s="1"/>
  <c r="J210" i="10" s="1"/>
  <c r="G211" i="10"/>
  <c r="N208" i="10"/>
  <c r="M208" i="10"/>
  <c r="L208" i="10"/>
  <c r="K208" i="10"/>
  <c r="R206" i="7"/>
  <c r="Q207" i="7"/>
  <c r="P207" i="7"/>
  <c r="R207" i="7" s="1"/>
  <c r="L207" i="7"/>
  <c r="M207" i="7"/>
  <c r="N207" i="7"/>
  <c r="J208" i="7"/>
  <c r="N208" i="7" s="1"/>
  <c r="O208" i="7"/>
  <c r="H210" i="9"/>
  <c r="I210" i="9" s="1"/>
  <c r="J210" i="9" s="1"/>
  <c r="G211" i="9"/>
  <c r="L209" i="9"/>
  <c r="K209" i="9"/>
  <c r="N209" i="9"/>
  <c r="M209" i="9"/>
  <c r="H209" i="7"/>
  <c r="I209" i="7" s="1"/>
  <c r="G210" i="7"/>
  <c r="H209" i="6"/>
  <c r="I209" i="6" s="1"/>
  <c r="J209" i="6" s="1"/>
  <c r="G210" i="6"/>
  <c r="L208" i="6"/>
  <c r="N208" i="6"/>
  <c r="M208" i="6"/>
  <c r="K208" i="6"/>
  <c r="P211" i="12" l="1"/>
  <c r="Q211" i="12"/>
  <c r="R208" i="10"/>
  <c r="O212" i="12"/>
  <c r="J212" i="12"/>
  <c r="R210" i="12"/>
  <c r="L211" i="12"/>
  <c r="M211" i="12"/>
  <c r="K211" i="12"/>
  <c r="N211" i="12"/>
  <c r="S208" i="10"/>
  <c r="S209" i="11"/>
  <c r="H213" i="12"/>
  <c r="I213" i="12" s="1"/>
  <c r="G214" i="12"/>
  <c r="S210" i="12"/>
  <c r="Q210" i="11"/>
  <c r="P210" i="11"/>
  <c r="N210" i="11"/>
  <c r="M210" i="11"/>
  <c r="L210" i="11"/>
  <c r="K210" i="11"/>
  <c r="O211" i="11"/>
  <c r="J211" i="11"/>
  <c r="G213" i="11"/>
  <c r="H212" i="11"/>
  <c r="I212" i="11" s="1"/>
  <c r="G212" i="10"/>
  <c r="H211" i="10"/>
  <c r="I211" i="10" s="1"/>
  <c r="J211" i="10" s="1"/>
  <c r="Q209" i="10"/>
  <c r="P209" i="10"/>
  <c r="O210" i="10"/>
  <c r="N209" i="10"/>
  <c r="K209" i="10"/>
  <c r="M209" i="10"/>
  <c r="L209" i="10"/>
  <c r="S207" i="7"/>
  <c r="Q208" i="7"/>
  <c r="P208" i="7"/>
  <c r="L208" i="7"/>
  <c r="K208" i="7"/>
  <c r="M208" i="7"/>
  <c r="J209" i="7"/>
  <c r="K209" i="7" s="1"/>
  <c r="O209" i="7"/>
  <c r="H211" i="9"/>
  <c r="I211" i="9" s="1"/>
  <c r="J211" i="9" s="1"/>
  <c r="G212" i="9"/>
  <c r="L210" i="9"/>
  <c r="K210" i="9"/>
  <c r="N210" i="9"/>
  <c r="M210" i="9"/>
  <c r="H210" i="7"/>
  <c r="I210" i="7" s="1"/>
  <c r="G211" i="7"/>
  <c r="H210" i="6"/>
  <c r="I210" i="6" s="1"/>
  <c r="J210" i="6" s="1"/>
  <c r="G211" i="6"/>
  <c r="L209" i="6"/>
  <c r="M209" i="6"/>
  <c r="K209" i="6"/>
  <c r="N209" i="6"/>
  <c r="S209" i="10" l="1"/>
  <c r="G215" i="12"/>
  <c r="H214" i="12"/>
  <c r="I214" i="12" s="1"/>
  <c r="S211" i="12"/>
  <c r="P212" i="12"/>
  <c r="Q212" i="12"/>
  <c r="J213" i="12"/>
  <c r="O213" i="12"/>
  <c r="K212" i="12"/>
  <c r="N212" i="12"/>
  <c r="M212" i="12"/>
  <c r="L212" i="12"/>
  <c r="R211" i="12"/>
  <c r="M211" i="11"/>
  <c r="K211" i="11"/>
  <c r="N211" i="11"/>
  <c r="L211" i="11"/>
  <c r="Q211" i="11"/>
  <c r="P211" i="11"/>
  <c r="R211" i="11" s="1"/>
  <c r="O212" i="11"/>
  <c r="J212" i="11"/>
  <c r="R210" i="11"/>
  <c r="R209" i="10"/>
  <c r="G214" i="11"/>
  <c r="H213" i="11"/>
  <c r="I213" i="11" s="1"/>
  <c r="S210" i="11"/>
  <c r="Q210" i="10"/>
  <c r="P210" i="10"/>
  <c r="O211" i="10"/>
  <c r="M210" i="10"/>
  <c r="K210" i="10"/>
  <c r="N210" i="10"/>
  <c r="L210" i="10"/>
  <c r="S210" i="10" s="1"/>
  <c r="G213" i="10"/>
  <c r="H212" i="10"/>
  <c r="I212" i="10" s="1"/>
  <c r="J212" i="10" s="1"/>
  <c r="S208" i="7"/>
  <c r="R208" i="7"/>
  <c r="Q209" i="7"/>
  <c r="P209" i="7"/>
  <c r="R209" i="7" s="1"/>
  <c r="L209" i="7"/>
  <c r="M209" i="7"/>
  <c r="N209" i="7"/>
  <c r="J210" i="7"/>
  <c r="N210" i="7" s="1"/>
  <c r="O210" i="7"/>
  <c r="H212" i="9"/>
  <c r="I212" i="9" s="1"/>
  <c r="J212" i="9" s="1"/>
  <c r="G213" i="9"/>
  <c r="L211" i="9"/>
  <c r="K211" i="9"/>
  <c r="N211" i="9"/>
  <c r="M211" i="9"/>
  <c r="H211" i="7"/>
  <c r="I211" i="7" s="1"/>
  <c r="G212" i="7"/>
  <c r="H211" i="6"/>
  <c r="I211" i="6" s="1"/>
  <c r="J211" i="6" s="1"/>
  <c r="G212" i="6"/>
  <c r="L210" i="6"/>
  <c r="N210" i="6"/>
  <c r="M210" i="6"/>
  <c r="K210" i="6"/>
  <c r="N213" i="12" l="1"/>
  <c r="M213" i="12"/>
  <c r="L213" i="12"/>
  <c r="K213" i="12"/>
  <c r="O214" i="12"/>
  <c r="J214" i="12"/>
  <c r="Q213" i="12"/>
  <c r="P213" i="12"/>
  <c r="R213" i="12" s="1"/>
  <c r="S212" i="12"/>
  <c r="G216" i="12"/>
  <c r="H215" i="12"/>
  <c r="I215" i="12" s="1"/>
  <c r="R212" i="12"/>
  <c r="O213" i="11"/>
  <c r="J213" i="11"/>
  <c r="L212" i="11"/>
  <c r="N212" i="11"/>
  <c r="M212" i="11"/>
  <c r="K212" i="11"/>
  <c r="G215" i="11"/>
  <c r="H214" i="11"/>
  <c r="I214" i="11" s="1"/>
  <c r="P212" i="11"/>
  <c r="Q212" i="11"/>
  <c r="S212" i="11" s="1"/>
  <c r="R210" i="10"/>
  <c r="S211" i="11"/>
  <c r="N211" i="10"/>
  <c r="M211" i="10"/>
  <c r="L211" i="10"/>
  <c r="K211" i="10"/>
  <c r="R211" i="10" s="1"/>
  <c r="G214" i="10"/>
  <c r="H213" i="10"/>
  <c r="I213" i="10" s="1"/>
  <c r="J213" i="10" s="1"/>
  <c r="P211" i="10"/>
  <c r="Q211" i="10"/>
  <c r="O212" i="10"/>
  <c r="S209" i="7"/>
  <c r="Q210" i="7"/>
  <c r="P210" i="7"/>
  <c r="L210" i="7"/>
  <c r="K210" i="7"/>
  <c r="M210" i="7"/>
  <c r="J211" i="7"/>
  <c r="K211" i="7" s="1"/>
  <c r="O211" i="7"/>
  <c r="H213" i="9"/>
  <c r="I213" i="9" s="1"/>
  <c r="J213" i="9" s="1"/>
  <c r="G214" i="9"/>
  <c r="L212" i="9"/>
  <c r="K212" i="9"/>
  <c r="N212" i="9"/>
  <c r="M212" i="9"/>
  <c r="H212" i="7"/>
  <c r="I212" i="7" s="1"/>
  <c r="G213" i="7"/>
  <c r="H212" i="6"/>
  <c r="I212" i="6" s="1"/>
  <c r="J212" i="6" s="1"/>
  <c r="G213" i="6"/>
  <c r="L211" i="6"/>
  <c r="M211" i="6"/>
  <c r="K211" i="6"/>
  <c r="N211" i="6"/>
  <c r="S213" i="12" l="1"/>
  <c r="O215" i="12"/>
  <c r="J215" i="12"/>
  <c r="G217" i="12"/>
  <c r="H216" i="12"/>
  <c r="I216" i="12" s="1"/>
  <c r="M214" i="12"/>
  <c r="K214" i="12"/>
  <c r="N214" i="12"/>
  <c r="L214" i="12"/>
  <c r="Q214" i="12"/>
  <c r="P214" i="12"/>
  <c r="J214" i="11"/>
  <c r="O214" i="11"/>
  <c r="S211" i="10"/>
  <c r="G216" i="11"/>
  <c r="H215" i="11"/>
  <c r="I215" i="11" s="1"/>
  <c r="K213" i="11"/>
  <c r="L213" i="11"/>
  <c r="N213" i="11"/>
  <c r="M213" i="11"/>
  <c r="R212" i="11"/>
  <c r="Q213" i="11"/>
  <c r="S213" i="11" s="1"/>
  <c r="P213" i="11"/>
  <c r="Q212" i="10"/>
  <c r="P212" i="10"/>
  <c r="O213" i="10"/>
  <c r="N212" i="10"/>
  <c r="K212" i="10"/>
  <c r="M212" i="10"/>
  <c r="L212" i="10"/>
  <c r="H214" i="10"/>
  <c r="I214" i="10" s="1"/>
  <c r="J214" i="10" s="1"/>
  <c r="G215" i="10"/>
  <c r="S210" i="7"/>
  <c r="R210" i="7"/>
  <c r="Q211" i="7"/>
  <c r="P211" i="7"/>
  <c r="R211" i="7" s="1"/>
  <c r="L211" i="7"/>
  <c r="M211" i="7"/>
  <c r="N211" i="7"/>
  <c r="J212" i="7"/>
  <c r="N212" i="7" s="1"/>
  <c r="O212" i="7"/>
  <c r="H214" i="9"/>
  <c r="I214" i="9" s="1"/>
  <c r="J214" i="9" s="1"/>
  <c r="G215" i="9"/>
  <c r="L213" i="9"/>
  <c r="K213" i="9"/>
  <c r="N213" i="9"/>
  <c r="M213" i="9"/>
  <c r="H213" i="7"/>
  <c r="I213" i="7" s="1"/>
  <c r="G214" i="7"/>
  <c r="H213" i="6"/>
  <c r="I213" i="6" s="1"/>
  <c r="J213" i="6" s="1"/>
  <c r="G214" i="6"/>
  <c r="L212" i="6"/>
  <c r="N212" i="6"/>
  <c r="M212" i="6"/>
  <c r="K212" i="6"/>
  <c r="R214" i="12" l="1"/>
  <c r="R212" i="10"/>
  <c r="H217" i="12"/>
  <c r="I217" i="12" s="1"/>
  <c r="G218" i="12"/>
  <c r="O216" i="12"/>
  <c r="J216" i="12"/>
  <c r="R213" i="11"/>
  <c r="L215" i="12"/>
  <c r="N215" i="12"/>
  <c r="M215" i="12"/>
  <c r="K215" i="12"/>
  <c r="S214" i="12"/>
  <c r="P215" i="12"/>
  <c r="Q215" i="12"/>
  <c r="G217" i="11"/>
  <c r="H216" i="11"/>
  <c r="I216" i="11" s="1"/>
  <c r="S212" i="10"/>
  <c r="Q214" i="11"/>
  <c r="P214" i="11"/>
  <c r="O215" i="11"/>
  <c r="J215" i="11"/>
  <c r="N214" i="11"/>
  <c r="M214" i="11"/>
  <c r="L214" i="11"/>
  <c r="K214" i="11"/>
  <c r="P213" i="10"/>
  <c r="Q213" i="10"/>
  <c r="N213" i="10"/>
  <c r="M213" i="10"/>
  <c r="L213" i="10"/>
  <c r="S213" i="10" s="1"/>
  <c r="K213" i="10"/>
  <c r="G216" i="10"/>
  <c r="H215" i="10"/>
  <c r="I215" i="10" s="1"/>
  <c r="J215" i="10" s="1"/>
  <c r="O214" i="10"/>
  <c r="S211" i="7"/>
  <c r="Q212" i="7"/>
  <c r="P212" i="7"/>
  <c r="L212" i="7"/>
  <c r="K212" i="7"/>
  <c r="M212" i="7"/>
  <c r="J213" i="7"/>
  <c r="K213" i="7" s="1"/>
  <c r="O213" i="7"/>
  <c r="H215" i="9"/>
  <c r="I215" i="9" s="1"/>
  <c r="J215" i="9" s="1"/>
  <c r="G216" i="9"/>
  <c r="L214" i="9"/>
  <c r="K214" i="9"/>
  <c r="N214" i="9"/>
  <c r="M214" i="9"/>
  <c r="H214" i="7"/>
  <c r="I214" i="7" s="1"/>
  <c r="G215" i="7"/>
  <c r="H214" i="6"/>
  <c r="I214" i="6" s="1"/>
  <c r="J214" i="6" s="1"/>
  <c r="G215" i="6"/>
  <c r="L213" i="6"/>
  <c r="M213" i="6"/>
  <c r="K213" i="6"/>
  <c r="N213" i="6"/>
  <c r="S215" i="12" l="1"/>
  <c r="R215" i="12"/>
  <c r="Q216" i="12"/>
  <c r="P216" i="12"/>
  <c r="H218" i="12"/>
  <c r="I218" i="12" s="1"/>
  <c r="G219" i="12"/>
  <c r="O217" i="12"/>
  <c r="J217" i="12"/>
  <c r="K216" i="12"/>
  <c r="L216" i="12"/>
  <c r="N216" i="12"/>
  <c r="M216" i="12"/>
  <c r="S214" i="11"/>
  <c r="M215" i="11"/>
  <c r="L215" i="11"/>
  <c r="K215" i="11"/>
  <c r="N215" i="11"/>
  <c r="Q215" i="11"/>
  <c r="P215" i="11"/>
  <c r="O216" i="11"/>
  <c r="J216" i="11"/>
  <c r="R212" i="7"/>
  <c r="R213" i="10"/>
  <c r="R214" i="11"/>
  <c r="H217" i="11"/>
  <c r="I217" i="11" s="1"/>
  <c r="G218" i="11"/>
  <c r="O215" i="10"/>
  <c r="G217" i="10"/>
  <c r="H216" i="10"/>
  <c r="I216" i="10" s="1"/>
  <c r="J216" i="10" s="1"/>
  <c r="P214" i="10"/>
  <c r="Q214" i="10"/>
  <c r="N214" i="10"/>
  <c r="M214" i="10"/>
  <c r="L214" i="10"/>
  <c r="K214" i="10"/>
  <c r="S212" i="7"/>
  <c r="Q213" i="7"/>
  <c r="P213" i="7"/>
  <c r="R213" i="7" s="1"/>
  <c r="L213" i="7"/>
  <c r="M213" i="7"/>
  <c r="N213" i="7"/>
  <c r="J214" i="7"/>
  <c r="N214" i="7" s="1"/>
  <c r="O214" i="7"/>
  <c r="H216" i="9"/>
  <c r="I216" i="9" s="1"/>
  <c r="J216" i="9" s="1"/>
  <c r="G217" i="9"/>
  <c r="L215" i="9"/>
  <c r="K215" i="9"/>
  <c r="N215" i="9"/>
  <c r="M215" i="9"/>
  <c r="H215" i="7"/>
  <c r="I215" i="7" s="1"/>
  <c r="G216" i="7"/>
  <c r="H215" i="6"/>
  <c r="I215" i="6" s="1"/>
  <c r="J215" i="6" s="1"/>
  <c r="G216" i="6"/>
  <c r="L214" i="6"/>
  <c r="N214" i="6"/>
  <c r="M214" i="6"/>
  <c r="K214" i="6"/>
  <c r="G220" i="12" l="1"/>
  <c r="H219" i="12"/>
  <c r="I219" i="12" s="1"/>
  <c r="J218" i="12"/>
  <c r="O218" i="12"/>
  <c r="N217" i="12"/>
  <c r="M217" i="12"/>
  <c r="L217" i="12"/>
  <c r="K217" i="12"/>
  <c r="R216" i="12"/>
  <c r="R214" i="10"/>
  <c r="R215" i="11"/>
  <c r="P217" i="12"/>
  <c r="Q217" i="12"/>
  <c r="S216" i="12"/>
  <c r="P216" i="11"/>
  <c r="Q216" i="11"/>
  <c r="S214" i="10"/>
  <c r="G219" i="11"/>
  <c r="H218" i="11"/>
  <c r="I218" i="11" s="1"/>
  <c r="S215" i="11"/>
  <c r="O217" i="11"/>
  <c r="J217" i="11"/>
  <c r="L216" i="11"/>
  <c r="N216" i="11"/>
  <c r="M216" i="11"/>
  <c r="K216" i="11"/>
  <c r="M215" i="10"/>
  <c r="L215" i="10"/>
  <c r="K215" i="10"/>
  <c r="N215" i="10"/>
  <c r="O216" i="10"/>
  <c r="G218" i="10"/>
  <c r="H217" i="10"/>
  <c r="I217" i="10" s="1"/>
  <c r="J217" i="10" s="1"/>
  <c r="Q215" i="10"/>
  <c r="P215" i="10"/>
  <c r="S213" i="7"/>
  <c r="Q214" i="7"/>
  <c r="P214" i="7"/>
  <c r="L214" i="7"/>
  <c r="K214" i="7"/>
  <c r="M214" i="7"/>
  <c r="J215" i="7"/>
  <c r="K215" i="7" s="1"/>
  <c r="O215" i="7"/>
  <c r="H217" i="9"/>
  <c r="I217" i="9" s="1"/>
  <c r="J217" i="9" s="1"/>
  <c r="G218" i="9"/>
  <c r="L216" i="9"/>
  <c r="K216" i="9"/>
  <c r="N216" i="9"/>
  <c r="M216" i="9"/>
  <c r="H216" i="7"/>
  <c r="I216" i="7" s="1"/>
  <c r="G217" i="7"/>
  <c r="H216" i="6"/>
  <c r="I216" i="6" s="1"/>
  <c r="J216" i="6" s="1"/>
  <c r="G217" i="6"/>
  <c r="L215" i="6"/>
  <c r="M215" i="6"/>
  <c r="K215" i="6"/>
  <c r="N215" i="6"/>
  <c r="R217" i="12" l="1"/>
  <c r="N218" i="12"/>
  <c r="M218" i="12"/>
  <c r="K218" i="12"/>
  <c r="L218" i="12"/>
  <c r="J219" i="12"/>
  <c r="O219" i="12"/>
  <c r="Q218" i="12"/>
  <c r="P218" i="12"/>
  <c r="S217" i="12"/>
  <c r="G221" i="12"/>
  <c r="H220" i="12"/>
  <c r="I220" i="12" s="1"/>
  <c r="K217" i="11"/>
  <c r="M217" i="11"/>
  <c r="L217" i="11"/>
  <c r="N217" i="11"/>
  <c r="H219" i="11"/>
  <c r="I219" i="11" s="1"/>
  <c r="G220" i="11"/>
  <c r="R215" i="10"/>
  <c r="Q217" i="11"/>
  <c r="S217" i="11" s="1"/>
  <c r="P217" i="11"/>
  <c r="R217" i="11" s="1"/>
  <c r="S215" i="10"/>
  <c r="S216" i="11"/>
  <c r="J218" i="11"/>
  <c r="O218" i="11"/>
  <c r="R216" i="11"/>
  <c r="O217" i="10"/>
  <c r="H218" i="10"/>
  <c r="I218" i="10" s="1"/>
  <c r="J218" i="10" s="1"/>
  <c r="G219" i="10"/>
  <c r="P216" i="10"/>
  <c r="Q216" i="10"/>
  <c r="N216" i="10"/>
  <c r="L216" i="10"/>
  <c r="S216" i="10" s="1"/>
  <c r="K216" i="10"/>
  <c r="R216" i="10" s="1"/>
  <c r="M216" i="10"/>
  <c r="R214" i="7"/>
  <c r="S214" i="7"/>
  <c r="Q215" i="7"/>
  <c r="P215" i="7"/>
  <c r="R215" i="7" s="1"/>
  <c r="L215" i="7"/>
  <c r="M215" i="7"/>
  <c r="N215" i="7"/>
  <c r="J216" i="7"/>
  <c r="N216" i="7" s="1"/>
  <c r="O216" i="7"/>
  <c r="H218" i="9"/>
  <c r="I218" i="9" s="1"/>
  <c r="J218" i="9" s="1"/>
  <c r="G219" i="9"/>
  <c r="L217" i="9"/>
  <c r="K217" i="9"/>
  <c r="N217" i="9"/>
  <c r="M217" i="9"/>
  <c r="H217" i="7"/>
  <c r="I217" i="7" s="1"/>
  <c r="G218" i="7"/>
  <c r="H217" i="6"/>
  <c r="I217" i="6" s="1"/>
  <c r="J217" i="6" s="1"/>
  <c r="G218" i="6"/>
  <c r="L216" i="6"/>
  <c r="N216" i="6"/>
  <c r="M216" i="6"/>
  <c r="K216" i="6"/>
  <c r="R218" i="12" l="1"/>
  <c r="O220" i="12"/>
  <c r="J220" i="12"/>
  <c r="S218" i="12"/>
  <c r="G222" i="12"/>
  <c r="H221" i="12"/>
  <c r="I221" i="12" s="1"/>
  <c r="Q219" i="12"/>
  <c r="P219" i="12"/>
  <c r="M219" i="12"/>
  <c r="L219" i="12"/>
  <c r="N219" i="12"/>
  <c r="K219" i="12"/>
  <c r="N218" i="11"/>
  <c r="K218" i="11"/>
  <c r="M218" i="11"/>
  <c r="L218" i="11"/>
  <c r="G221" i="11"/>
  <c r="H220" i="11"/>
  <c r="I220" i="11" s="1"/>
  <c r="P218" i="11"/>
  <c r="R218" i="11" s="1"/>
  <c r="Q218" i="11"/>
  <c r="S218" i="11" s="1"/>
  <c r="O219" i="11"/>
  <c r="J219" i="11"/>
  <c r="G220" i="10"/>
  <c r="H219" i="10"/>
  <c r="I219" i="10" s="1"/>
  <c r="J219" i="10" s="1"/>
  <c r="O218" i="10"/>
  <c r="P217" i="10"/>
  <c r="Q217" i="10"/>
  <c r="K217" i="10"/>
  <c r="R217" i="10" s="1"/>
  <c r="L217" i="10"/>
  <c r="S217" i="10" s="1"/>
  <c r="N217" i="10"/>
  <c r="M217" i="10"/>
  <c r="S215" i="7"/>
  <c r="Q216" i="7"/>
  <c r="P216" i="7"/>
  <c r="L216" i="7"/>
  <c r="K216" i="7"/>
  <c r="M216" i="7"/>
  <c r="J217" i="7"/>
  <c r="K217" i="7" s="1"/>
  <c r="O217" i="7"/>
  <c r="H219" i="9"/>
  <c r="I219" i="9" s="1"/>
  <c r="J219" i="9" s="1"/>
  <c r="G220" i="9"/>
  <c r="L218" i="9"/>
  <c r="K218" i="9"/>
  <c r="N218" i="9"/>
  <c r="M218" i="9"/>
  <c r="H218" i="7"/>
  <c r="I218" i="7" s="1"/>
  <c r="G219" i="7"/>
  <c r="H218" i="6"/>
  <c r="I218" i="6" s="1"/>
  <c r="J218" i="6" s="1"/>
  <c r="G219" i="6"/>
  <c r="L217" i="6"/>
  <c r="M217" i="6"/>
  <c r="K217" i="6"/>
  <c r="N217" i="6"/>
  <c r="S219" i="12" l="1"/>
  <c r="R219" i="12"/>
  <c r="L220" i="12"/>
  <c r="K220" i="12"/>
  <c r="N220" i="12"/>
  <c r="M220" i="12"/>
  <c r="G223" i="12"/>
  <c r="H222" i="12"/>
  <c r="I222" i="12" s="1"/>
  <c r="O221" i="12"/>
  <c r="J221" i="12"/>
  <c r="P220" i="12"/>
  <c r="Q220" i="12"/>
  <c r="M219" i="11"/>
  <c r="N219" i="11"/>
  <c r="L219" i="11"/>
  <c r="K219" i="11"/>
  <c r="O220" i="11"/>
  <c r="J220" i="11"/>
  <c r="Q219" i="11"/>
  <c r="S219" i="11" s="1"/>
  <c r="P219" i="11"/>
  <c r="R219" i="11" s="1"/>
  <c r="G222" i="11"/>
  <c r="H221" i="11"/>
  <c r="I221" i="11" s="1"/>
  <c r="Q218" i="10"/>
  <c r="P218" i="10"/>
  <c r="N218" i="10"/>
  <c r="M218" i="10"/>
  <c r="L218" i="10"/>
  <c r="S218" i="10" s="1"/>
  <c r="K218" i="10"/>
  <c r="R218" i="10" s="1"/>
  <c r="O219" i="10"/>
  <c r="H220" i="10"/>
  <c r="I220" i="10" s="1"/>
  <c r="J220" i="10" s="1"/>
  <c r="G221" i="10"/>
  <c r="S216" i="7"/>
  <c r="R216" i="7"/>
  <c r="Q217" i="7"/>
  <c r="P217" i="7"/>
  <c r="R217" i="7" s="1"/>
  <c r="L217" i="7"/>
  <c r="M217" i="7"/>
  <c r="N217" i="7"/>
  <c r="J218" i="7"/>
  <c r="N218" i="7" s="1"/>
  <c r="O218" i="7"/>
  <c r="H220" i="9"/>
  <c r="I220" i="9" s="1"/>
  <c r="J220" i="9" s="1"/>
  <c r="G221" i="9"/>
  <c r="L219" i="9"/>
  <c r="K219" i="9"/>
  <c r="N219" i="9"/>
  <c r="M219" i="9"/>
  <c r="H219" i="7"/>
  <c r="I219" i="7" s="1"/>
  <c r="G220" i="7"/>
  <c r="H219" i="6"/>
  <c r="I219" i="6" s="1"/>
  <c r="J219" i="6" s="1"/>
  <c r="G220" i="6"/>
  <c r="L218" i="6"/>
  <c r="N218" i="6"/>
  <c r="M218" i="6"/>
  <c r="K218" i="6"/>
  <c r="S220" i="12" l="1"/>
  <c r="Q221" i="12"/>
  <c r="P221" i="12"/>
  <c r="O222" i="12"/>
  <c r="J222" i="12"/>
  <c r="R220" i="12"/>
  <c r="G224" i="12"/>
  <c r="H223" i="12"/>
  <c r="I223" i="12" s="1"/>
  <c r="K221" i="12"/>
  <c r="N221" i="12"/>
  <c r="L221" i="12"/>
  <c r="M221" i="12"/>
  <c r="O221" i="11"/>
  <c r="J221" i="11"/>
  <c r="L220" i="11"/>
  <c r="K220" i="11"/>
  <c r="N220" i="11"/>
  <c r="M220" i="11"/>
  <c r="G223" i="11"/>
  <c r="H222" i="11"/>
  <c r="I222" i="11" s="1"/>
  <c r="P220" i="11"/>
  <c r="R220" i="11" s="1"/>
  <c r="Q220" i="11"/>
  <c r="S220" i="11" s="1"/>
  <c r="Q219" i="10"/>
  <c r="P219" i="10"/>
  <c r="L219" i="10"/>
  <c r="S219" i="10" s="1"/>
  <c r="K219" i="10"/>
  <c r="N219" i="10"/>
  <c r="M219" i="10"/>
  <c r="G222" i="10"/>
  <c r="H221" i="10"/>
  <c r="I221" i="10" s="1"/>
  <c r="J221" i="10" s="1"/>
  <c r="O220" i="10"/>
  <c r="S217" i="7"/>
  <c r="Q218" i="7"/>
  <c r="P218" i="7"/>
  <c r="L218" i="7"/>
  <c r="K218" i="7"/>
  <c r="M218" i="7"/>
  <c r="J219" i="7"/>
  <c r="K219" i="7" s="1"/>
  <c r="O219" i="7"/>
  <c r="H221" i="9"/>
  <c r="I221" i="9" s="1"/>
  <c r="J221" i="9" s="1"/>
  <c r="G222" i="9"/>
  <c r="L220" i="9"/>
  <c r="K220" i="9"/>
  <c r="N220" i="9"/>
  <c r="M220" i="9"/>
  <c r="H220" i="7"/>
  <c r="I220" i="7" s="1"/>
  <c r="G221" i="7"/>
  <c r="H220" i="6"/>
  <c r="I220" i="6" s="1"/>
  <c r="J220" i="6" s="1"/>
  <c r="G221" i="6"/>
  <c r="L219" i="6"/>
  <c r="M219" i="6"/>
  <c r="K219" i="6"/>
  <c r="N219" i="6"/>
  <c r="J223" i="12" l="1"/>
  <c r="O223" i="12"/>
  <c r="Q222" i="12"/>
  <c r="P222" i="12"/>
  <c r="G225" i="12"/>
  <c r="H224" i="12"/>
  <c r="I224" i="12" s="1"/>
  <c r="R221" i="12"/>
  <c r="N222" i="12"/>
  <c r="M222" i="12"/>
  <c r="L222" i="12"/>
  <c r="K222" i="12"/>
  <c r="R219" i="10"/>
  <c r="S221" i="12"/>
  <c r="J222" i="11"/>
  <c r="O222" i="11"/>
  <c r="G224" i="11"/>
  <c r="H223" i="11"/>
  <c r="I223" i="11" s="1"/>
  <c r="K221" i="11"/>
  <c r="N221" i="11"/>
  <c r="M221" i="11"/>
  <c r="L221" i="11"/>
  <c r="Q221" i="11"/>
  <c r="S221" i="11" s="1"/>
  <c r="P221" i="11"/>
  <c r="O221" i="10"/>
  <c r="H222" i="10"/>
  <c r="I222" i="10" s="1"/>
  <c r="J222" i="10" s="1"/>
  <c r="G223" i="10"/>
  <c r="K220" i="10"/>
  <c r="N220" i="10"/>
  <c r="M220" i="10"/>
  <c r="L220" i="10"/>
  <c r="S220" i="10" s="1"/>
  <c r="Q220" i="10"/>
  <c r="P220" i="10"/>
  <c r="S218" i="7"/>
  <c r="R218" i="7"/>
  <c r="Q219" i="7"/>
  <c r="P219" i="7"/>
  <c r="R219" i="7" s="1"/>
  <c r="L219" i="7"/>
  <c r="M219" i="7"/>
  <c r="N219" i="7"/>
  <c r="J220" i="7"/>
  <c r="N220" i="7" s="1"/>
  <c r="O220" i="7"/>
  <c r="H222" i="9"/>
  <c r="I222" i="9" s="1"/>
  <c r="J222" i="9" s="1"/>
  <c r="G223" i="9"/>
  <c r="L221" i="9"/>
  <c r="K221" i="9"/>
  <c r="N221" i="9"/>
  <c r="M221" i="9"/>
  <c r="H221" i="7"/>
  <c r="I221" i="7" s="1"/>
  <c r="G222" i="7"/>
  <c r="H221" i="6"/>
  <c r="I221" i="6" s="1"/>
  <c r="J221" i="6" s="1"/>
  <c r="G222" i="6"/>
  <c r="L220" i="6"/>
  <c r="N220" i="6"/>
  <c r="M220" i="6"/>
  <c r="K220" i="6"/>
  <c r="R222" i="12" l="1"/>
  <c r="S222" i="12"/>
  <c r="O224" i="12"/>
  <c r="J224" i="12"/>
  <c r="Q223" i="12"/>
  <c r="P223" i="12"/>
  <c r="G226" i="12"/>
  <c r="H225" i="12"/>
  <c r="I225" i="12" s="1"/>
  <c r="N223" i="12"/>
  <c r="M223" i="12"/>
  <c r="L223" i="12"/>
  <c r="K223" i="12"/>
  <c r="O223" i="11"/>
  <c r="J223" i="11"/>
  <c r="G225" i="11"/>
  <c r="H224" i="11"/>
  <c r="I224" i="11" s="1"/>
  <c r="R220" i="10"/>
  <c r="R221" i="11"/>
  <c r="Q222" i="11"/>
  <c r="P222" i="11"/>
  <c r="R222" i="11" s="1"/>
  <c r="N222" i="11"/>
  <c r="L222" i="11"/>
  <c r="K222" i="11"/>
  <c r="M222" i="11"/>
  <c r="G224" i="10"/>
  <c r="H223" i="10"/>
  <c r="I223" i="10" s="1"/>
  <c r="J223" i="10" s="1"/>
  <c r="O222" i="10"/>
  <c r="N221" i="10"/>
  <c r="M221" i="10"/>
  <c r="L221" i="10"/>
  <c r="S221" i="10" s="1"/>
  <c r="K221" i="10"/>
  <c r="P221" i="10"/>
  <c r="Q221" i="10"/>
  <c r="S219" i="7"/>
  <c r="Q220" i="7"/>
  <c r="P220" i="7"/>
  <c r="L220" i="7"/>
  <c r="K220" i="7"/>
  <c r="M220" i="7"/>
  <c r="J221" i="7"/>
  <c r="K221" i="7" s="1"/>
  <c r="O221" i="7"/>
  <c r="H223" i="9"/>
  <c r="I223" i="9" s="1"/>
  <c r="J223" i="9" s="1"/>
  <c r="G224" i="9"/>
  <c r="L222" i="9"/>
  <c r="K222" i="9"/>
  <c r="N222" i="9"/>
  <c r="M222" i="9"/>
  <c r="H222" i="7"/>
  <c r="I222" i="7" s="1"/>
  <c r="G223" i="7"/>
  <c r="H222" i="6"/>
  <c r="I222" i="6" s="1"/>
  <c r="J222" i="6" s="1"/>
  <c r="G223" i="6"/>
  <c r="L221" i="6"/>
  <c r="M221" i="6"/>
  <c r="K221" i="6"/>
  <c r="N221" i="6"/>
  <c r="R223" i="12" l="1"/>
  <c r="S223" i="12"/>
  <c r="O225" i="12"/>
  <c r="J225" i="12"/>
  <c r="M224" i="12"/>
  <c r="L224" i="12"/>
  <c r="K224" i="12"/>
  <c r="N224" i="12"/>
  <c r="R221" i="10"/>
  <c r="H226" i="12"/>
  <c r="I226" i="12" s="1"/>
  <c r="G227" i="12"/>
  <c r="Q224" i="12"/>
  <c r="P224" i="12"/>
  <c r="O224" i="11"/>
  <c r="J224" i="11"/>
  <c r="S222" i="11"/>
  <c r="G226" i="11"/>
  <c r="H225" i="11"/>
  <c r="I225" i="11" s="1"/>
  <c r="M223" i="11"/>
  <c r="N223" i="11"/>
  <c r="L223" i="11"/>
  <c r="K223" i="11"/>
  <c r="S220" i="7"/>
  <c r="Q223" i="11"/>
  <c r="P223" i="11"/>
  <c r="M222" i="10"/>
  <c r="K222" i="10"/>
  <c r="N222" i="10"/>
  <c r="L222" i="10"/>
  <c r="Q222" i="10"/>
  <c r="P222" i="10"/>
  <c r="O223" i="10"/>
  <c r="H224" i="10"/>
  <c r="I224" i="10" s="1"/>
  <c r="J224" i="10" s="1"/>
  <c r="G225" i="10"/>
  <c r="R220" i="7"/>
  <c r="Q221" i="7"/>
  <c r="P221" i="7"/>
  <c r="R221" i="7" s="1"/>
  <c r="L221" i="7"/>
  <c r="M221" i="7"/>
  <c r="N221" i="7"/>
  <c r="J222" i="7"/>
  <c r="N222" i="7" s="1"/>
  <c r="O222" i="7"/>
  <c r="H224" i="9"/>
  <c r="I224" i="9" s="1"/>
  <c r="J224" i="9" s="1"/>
  <c r="G225" i="9"/>
  <c r="L223" i="9"/>
  <c r="K223" i="9"/>
  <c r="N223" i="9"/>
  <c r="M223" i="9"/>
  <c r="H223" i="7"/>
  <c r="I223" i="7" s="1"/>
  <c r="G224" i="7"/>
  <c r="H223" i="6"/>
  <c r="I223" i="6" s="1"/>
  <c r="J223" i="6" s="1"/>
  <c r="G224" i="6"/>
  <c r="L222" i="6"/>
  <c r="N222" i="6"/>
  <c r="M222" i="6"/>
  <c r="K222" i="6"/>
  <c r="R224" i="12" l="1"/>
  <c r="O226" i="12"/>
  <c r="J226" i="12"/>
  <c r="S224" i="12"/>
  <c r="L225" i="12"/>
  <c r="K225" i="12"/>
  <c r="N225" i="12"/>
  <c r="M225" i="12"/>
  <c r="G228" i="12"/>
  <c r="H227" i="12"/>
  <c r="I227" i="12" s="1"/>
  <c r="P225" i="12"/>
  <c r="R225" i="12" s="1"/>
  <c r="Q225" i="12"/>
  <c r="S225" i="12" s="1"/>
  <c r="S222" i="10"/>
  <c r="R223" i="11"/>
  <c r="H226" i="11"/>
  <c r="I226" i="11" s="1"/>
  <c r="G227" i="11"/>
  <c r="S223" i="11"/>
  <c r="R222" i="10"/>
  <c r="L224" i="11"/>
  <c r="M224" i="11"/>
  <c r="K224" i="11"/>
  <c r="N224" i="11"/>
  <c r="O225" i="11"/>
  <c r="J225" i="11"/>
  <c r="P224" i="11"/>
  <c r="R224" i="11" s="1"/>
  <c r="Q224" i="11"/>
  <c r="K223" i="10"/>
  <c r="R223" i="10" s="1"/>
  <c r="L223" i="10"/>
  <c r="S223" i="10" s="1"/>
  <c r="N223" i="10"/>
  <c r="M223" i="10"/>
  <c r="H225" i="10"/>
  <c r="I225" i="10" s="1"/>
  <c r="J225" i="10" s="1"/>
  <c r="G226" i="10"/>
  <c r="P223" i="10"/>
  <c r="Q223" i="10"/>
  <c r="O224" i="10"/>
  <c r="S221" i="7"/>
  <c r="Q222" i="7"/>
  <c r="P222" i="7"/>
  <c r="L222" i="7"/>
  <c r="K222" i="7"/>
  <c r="M222" i="7"/>
  <c r="J223" i="7"/>
  <c r="K223" i="7" s="1"/>
  <c r="O223" i="7"/>
  <c r="H225" i="9"/>
  <c r="I225" i="9" s="1"/>
  <c r="J225" i="9" s="1"/>
  <c r="G226" i="9"/>
  <c r="L224" i="9"/>
  <c r="K224" i="9"/>
  <c r="N224" i="9"/>
  <c r="M224" i="9"/>
  <c r="H224" i="7"/>
  <c r="I224" i="7" s="1"/>
  <c r="G225" i="7"/>
  <c r="H224" i="6"/>
  <c r="I224" i="6" s="1"/>
  <c r="J224" i="6" s="1"/>
  <c r="G225" i="6"/>
  <c r="L223" i="6"/>
  <c r="M223" i="6"/>
  <c r="K223" i="6"/>
  <c r="N223" i="6"/>
  <c r="K226" i="12" l="1"/>
  <c r="N226" i="12"/>
  <c r="M226" i="12"/>
  <c r="L226" i="12"/>
  <c r="J227" i="12"/>
  <c r="O227" i="12"/>
  <c r="Q226" i="12"/>
  <c r="P226" i="12"/>
  <c r="R226" i="12" s="1"/>
  <c r="G229" i="12"/>
  <c r="H228" i="12"/>
  <c r="I228" i="12" s="1"/>
  <c r="K225" i="11"/>
  <c r="N225" i="11"/>
  <c r="M225" i="11"/>
  <c r="L225" i="11"/>
  <c r="G228" i="11"/>
  <c r="H227" i="11"/>
  <c r="I227" i="11" s="1"/>
  <c r="P225" i="11"/>
  <c r="R225" i="11" s="1"/>
  <c r="Q225" i="11"/>
  <c r="S225" i="11" s="1"/>
  <c r="J226" i="11"/>
  <c r="O226" i="11"/>
  <c r="S224" i="11"/>
  <c r="M224" i="10"/>
  <c r="L224" i="10"/>
  <c r="K224" i="10"/>
  <c r="R224" i="10" s="1"/>
  <c r="N224" i="10"/>
  <c r="H226" i="10"/>
  <c r="I226" i="10" s="1"/>
  <c r="J226" i="10" s="1"/>
  <c r="G227" i="10"/>
  <c r="Q224" i="10"/>
  <c r="P224" i="10"/>
  <c r="O225" i="10"/>
  <c r="S222" i="7"/>
  <c r="R222" i="7"/>
  <c r="Q223" i="7"/>
  <c r="P223" i="7"/>
  <c r="R223" i="7" s="1"/>
  <c r="L223" i="7"/>
  <c r="M223" i="7"/>
  <c r="N223" i="7"/>
  <c r="J224" i="7"/>
  <c r="M224" i="7" s="1"/>
  <c r="O224" i="7"/>
  <c r="G227" i="9"/>
  <c r="H226" i="9"/>
  <c r="I226" i="9" s="1"/>
  <c r="J226" i="9" s="1"/>
  <c r="M225" i="9"/>
  <c r="L225" i="9"/>
  <c r="K225" i="9"/>
  <c r="N225" i="9"/>
  <c r="G226" i="7"/>
  <c r="H225" i="7"/>
  <c r="I225" i="7" s="1"/>
  <c r="H225" i="6"/>
  <c r="I225" i="6" s="1"/>
  <c r="J225" i="6" s="1"/>
  <c r="G226" i="6"/>
  <c r="L224" i="6"/>
  <c r="N224" i="6"/>
  <c r="M224" i="6"/>
  <c r="K224" i="6"/>
  <c r="S226" i="12" l="1"/>
  <c r="O228" i="12"/>
  <c r="J228" i="12"/>
  <c r="Q227" i="12"/>
  <c r="S227" i="12" s="1"/>
  <c r="P227" i="12"/>
  <c r="G230" i="12"/>
  <c r="H229" i="12"/>
  <c r="I229" i="12" s="1"/>
  <c r="N227" i="12"/>
  <c r="M227" i="12"/>
  <c r="L227" i="12"/>
  <c r="K227" i="12"/>
  <c r="Q226" i="11"/>
  <c r="P226" i="11"/>
  <c r="O227" i="11"/>
  <c r="J227" i="11"/>
  <c r="S224" i="10"/>
  <c r="N226" i="11"/>
  <c r="M226" i="11"/>
  <c r="L226" i="11"/>
  <c r="K226" i="11"/>
  <c r="G229" i="11"/>
  <c r="H228" i="11"/>
  <c r="I228" i="11" s="1"/>
  <c r="N225" i="10"/>
  <c r="L225" i="10"/>
  <c r="K225" i="10"/>
  <c r="M225" i="10"/>
  <c r="G228" i="10"/>
  <c r="H227" i="10"/>
  <c r="I227" i="10" s="1"/>
  <c r="J227" i="10" s="1"/>
  <c r="P225" i="10"/>
  <c r="Q225" i="10"/>
  <c r="O226" i="10"/>
  <c r="S223" i="7"/>
  <c r="J225" i="7"/>
  <c r="K225" i="7" s="1"/>
  <c r="O225" i="7"/>
  <c r="N224" i="7"/>
  <c r="K224" i="7"/>
  <c r="Q224" i="7"/>
  <c r="P224" i="7"/>
  <c r="L224" i="7"/>
  <c r="M226" i="9"/>
  <c r="N226" i="9"/>
  <c r="L226" i="9"/>
  <c r="K226" i="9"/>
  <c r="H227" i="9"/>
  <c r="I227" i="9" s="1"/>
  <c r="J227" i="9" s="1"/>
  <c r="G228" i="9"/>
  <c r="G227" i="7"/>
  <c r="H226" i="7"/>
  <c r="I226" i="7" s="1"/>
  <c r="H226" i="6"/>
  <c r="I226" i="6" s="1"/>
  <c r="J226" i="6" s="1"/>
  <c r="G227" i="6"/>
  <c r="L225" i="6"/>
  <c r="M225" i="6"/>
  <c r="K225" i="6"/>
  <c r="N225" i="6"/>
  <c r="O229" i="12" l="1"/>
  <c r="J229" i="12"/>
  <c r="M228" i="12"/>
  <c r="L228" i="12"/>
  <c r="K228" i="12"/>
  <c r="N228" i="12"/>
  <c r="H230" i="12"/>
  <c r="I230" i="12" s="1"/>
  <c r="G231" i="12"/>
  <c r="Q228" i="12"/>
  <c r="P228" i="12"/>
  <c r="R228" i="12" s="1"/>
  <c r="R227" i="12"/>
  <c r="M227" i="11"/>
  <c r="K227" i="11"/>
  <c r="N227" i="11"/>
  <c r="L227" i="11"/>
  <c r="O228" i="11"/>
  <c r="J228" i="11"/>
  <c r="Q227" i="11"/>
  <c r="S227" i="11" s="1"/>
  <c r="P227" i="11"/>
  <c r="R227" i="11" s="1"/>
  <c r="R225" i="10"/>
  <c r="G230" i="11"/>
  <c r="H229" i="11"/>
  <c r="I229" i="11" s="1"/>
  <c r="R226" i="11"/>
  <c r="S225" i="10"/>
  <c r="S226" i="11"/>
  <c r="O227" i="10"/>
  <c r="K226" i="10"/>
  <c r="M226" i="10"/>
  <c r="L226" i="10"/>
  <c r="S226" i="10" s="1"/>
  <c r="N226" i="10"/>
  <c r="Q226" i="10"/>
  <c r="P226" i="10"/>
  <c r="G229" i="10"/>
  <c r="H228" i="10"/>
  <c r="I228" i="10" s="1"/>
  <c r="J228" i="10" s="1"/>
  <c r="R224" i="7"/>
  <c r="L225" i="7"/>
  <c r="M225" i="7"/>
  <c r="N225" i="7"/>
  <c r="J226" i="7"/>
  <c r="K226" i="7" s="1"/>
  <c r="O226" i="7"/>
  <c r="S224" i="7"/>
  <c r="Q225" i="7"/>
  <c r="P225" i="7"/>
  <c r="R225" i="7" s="1"/>
  <c r="G229" i="9"/>
  <c r="H228" i="9"/>
  <c r="I228" i="9" s="1"/>
  <c r="J228" i="9" s="1"/>
  <c r="M227" i="9"/>
  <c r="L227" i="9"/>
  <c r="K227" i="9"/>
  <c r="N227" i="9"/>
  <c r="H227" i="7"/>
  <c r="I227" i="7" s="1"/>
  <c r="G228" i="7"/>
  <c r="H227" i="6"/>
  <c r="I227" i="6" s="1"/>
  <c r="J227" i="6" s="1"/>
  <c r="G228" i="6"/>
  <c r="L226" i="6"/>
  <c r="N226" i="6"/>
  <c r="M226" i="6"/>
  <c r="K226" i="6"/>
  <c r="G232" i="12" l="1"/>
  <c r="H231" i="12"/>
  <c r="I231" i="12" s="1"/>
  <c r="O230" i="12"/>
  <c r="J230" i="12"/>
  <c r="L229" i="12"/>
  <c r="K229" i="12"/>
  <c r="N229" i="12"/>
  <c r="M229" i="12"/>
  <c r="S228" i="12"/>
  <c r="P229" i="12"/>
  <c r="Q229" i="12"/>
  <c r="S229" i="12" s="1"/>
  <c r="R226" i="10"/>
  <c r="O229" i="11"/>
  <c r="J229" i="11"/>
  <c r="G231" i="11"/>
  <c r="H230" i="11"/>
  <c r="I230" i="11" s="1"/>
  <c r="L228" i="11"/>
  <c r="N228" i="11"/>
  <c r="M228" i="11"/>
  <c r="K228" i="11"/>
  <c r="P228" i="11"/>
  <c r="Q228" i="11"/>
  <c r="S228" i="11" s="1"/>
  <c r="S225" i="7"/>
  <c r="P227" i="10"/>
  <c r="Q227" i="10"/>
  <c r="O228" i="10"/>
  <c r="G230" i="10"/>
  <c r="H229" i="10"/>
  <c r="I229" i="10" s="1"/>
  <c r="J229" i="10" s="1"/>
  <c r="K227" i="10"/>
  <c r="N227" i="10"/>
  <c r="L227" i="10"/>
  <c r="M227" i="10"/>
  <c r="J227" i="7"/>
  <c r="K227" i="7" s="1"/>
  <c r="O227" i="7"/>
  <c r="M226" i="7"/>
  <c r="L226" i="7"/>
  <c r="N226" i="7"/>
  <c r="Q226" i="7"/>
  <c r="P226" i="7"/>
  <c r="R226" i="7" s="1"/>
  <c r="M228" i="9"/>
  <c r="N228" i="9"/>
  <c r="L228" i="9"/>
  <c r="K228" i="9"/>
  <c r="G230" i="9"/>
  <c r="H229" i="9"/>
  <c r="I229" i="9" s="1"/>
  <c r="J229" i="9" s="1"/>
  <c r="H228" i="7"/>
  <c r="I228" i="7" s="1"/>
  <c r="G229" i="7"/>
  <c r="H228" i="6"/>
  <c r="I228" i="6" s="1"/>
  <c r="J228" i="6" s="1"/>
  <c r="G229" i="6"/>
  <c r="L227" i="6"/>
  <c r="M227" i="6"/>
  <c r="K227" i="6"/>
  <c r="N227" i="6"/>
  <c r="R229" i="12" l="1"/>
  <c r="K230" i="12"/>
  <c r="N230" i="12"/>
  <c r="M230" i="12"/>
  <c r="L230" i="12"/>
  <c r="Q230" i="12"/>
  <c r="P230" i="12"/>
  <c r="J231" i="12"/>
  <c r="O231" i="12"/>
  <c r="R227" i="10"/>
  <c r="R228" i="11"/>
  <c r="G233" i="12"/>
  <c r="H232" i="12"/>
  <c r="I232" i="12" s="1"/>
  <c r="S227" i="10"/>
  <c r="G232" i="11"/>
  <c r="H231" i="11"/>
  <c r="I231" i="11" s="1"/>
  <c r="K229" i="11"/>
  <c r="L229" i="11"/>
  <c r="N229" i="11"/>
  <c r="M229" i="11"/>
  <c r="Q229" i="11"/>
  <c r="S229" i="11" s="1"/>
  <c r="P229" i="11"/>
  <c r="J230" i="11"/>
  <c r="O230" i="11"/>
  <c r="Q228" i="10"/>
  <c r="P228" i="10"/>
  <c r="O229" i="10"/>
  <c r="M228" i="10"/>
  <c r="K228" i="10"/>
  <c r="R228" i="10" s="1"/>
  <c r="N228" i="10"/>
  <c r="L228" i="10"/>
  <c r="G231" i="10"/>
  <c r="H230" i="10"/>
  <c r="I230" i="10" s="1"/>
  <c r="J230" i="10" s="1"/>
  <c r="S226" i="7"/>
  <c r="N227" i="7"/>
  <c r="M227" i="7"/>
  <c r="L227" i="7"/>
  <c r="J228" i="7"/>
  <c r="K228" i="7" s="1"/>
  <c r="O228" i="7"/>
  <c r="Q227" i="7"/>
  <c r="P227" i="7"/>
  <c r="R227" i="7" s="1"/>
  <c r="M229" i="9"/>
  <c r="L229" i="9"/>
  <c r="K229" i="9"/>
  <c r="N229" i="9"/>
  <c r="G231" i="9"/>
  <c r="H230" i="9"/>
  <c r="I230" i="9" s="1"/>
  <c r="J230" i="9" s="1"/>
  <c r="H229" i="7"/>
  <c r="I229" i="7" s="1"/>
  <c r="G230" i="7"/>
  <c r="H229" i="6"/>
  <c r="I229" i="6" s="1"/>
  <c r="J229" i="6" s="1"/>
  <c r="G230" i="6"/>
  <c r="L228" i="6"/>
  <c r="N228" i="6"/>
  <c r="M228" i="6"/>
  <c r="K228" i="6"/>
  <c r="O232" i="12" l="1"/>
  <c r="J232" i="12"/>
  <c r="Q231" i="12"/>
  <c r="P231" i="12"/>
  <c r="R231" i="12" s="1"/>
  <c r="G234" i="12"/>
  <c r="H233" i="12"/>
  <c r="I233" i="12" s="1"/>
  <c r="N231" i="12"/>
  <c r="M231" i="12"/>
  <c r="L231" i="12"/>
  <c r="K231" i="12"/>
  <c r="S228" i="10"/>
  <c r="R230" i="12"/>
  <c r="S230" i="12"/>
  <c r="Q230" i="11"/>
  <c r="P230" i="11"/>
  <c r="O231" i="11"/>
  <c r="J231" i="11"/>
  <c r="N230" i="11"/>
  <c r="M230" i="11"/>
  <c r="L230" i="11"/>
  <c r="K230" i="11"/>
  <c r="G233" i="11"/>
  <c r="H232" i="11"/>
  <c r="I232" i="11" s="1"/>
  <c r="R229" i="11"/>
  <c r="P229" i="10"/>
  <c r="Q229" i="10"/>
  <c r="O230" i="10"/>
  <c r="N229" i="10"/>
  <c r="L229" i="10"/>
  <c r="S229" i="10" s="1"/>
  <c r="K229" i="10"/>
  <c r="M229" i="10"/>
  <c r="G232" i="10"/>
  <c r="H231" i="10"/>
  <c r="I231" i="10" s="1"/>
  <c r="J231" i="10" s="1"/>
  <c r="S227" i="7"/>
  <c r="L228" i="7"/>
  <c r="N228" i="7"/>
  <c r="M228" i="7"/>
  <c r="J229" i="7"/>
  <c r="M229" i="7" s="1"/>
  <c r="O229" i="7"/>
  <c r="Q228" i="7"/>
  <c r="P228" i="7"/>
  <c r="R228" i="7" s="1"/>
  <c r="M230" i="9"/>
  <c r="N230" i="9"/>
  <c r="L230" i="9"/>
  <c r="K230" i="9"/>
  <c r="H231" i="9"/>
  <c r="I231" i="9" s="1"/>
  <c r="J231" i="9" s="1"/>
  <c r="G232" i="9"/>
  <c r="H230" i="7"/>
  <c r="I230" i="7" s="1"/>
  <c r="G231" i="7"/>
  <c r="H230" i="6"/>
  <c r="I230" i="6" s="1"/>
  <c r="J230" i="6" s="1"/>
  <c r="G231" i="6"/>
  <c r="L229" i="6"/>
  <c r="M229" i="6"/>
  <c r="K229" i="6"/>
  <c r="N229" i="6"/>
  <c r="S231" i="12" l="1"/>
  <c r="O233" i="12"/>
  <c r="J233" i="12"/>
  <c r="M232" i="12"/>
  <c r="L232" i="12"/>
  <c r="K232" i="12"/>
  <c r="N232" i="12"/>
  <c r="G235" i="12"/>
  <c r="H234" i="12"/>
  <c r="I234" i="12" s="1"/>
  <c r="Q232" i="12"/>
  <c r="P232" i="12"/>
  <c r="R232" i="12" s="1"/>
  <c r="K231" i="11"/>
  <c r="M231" i="11"/>
  <c r="N231" i="11"/>
  <c r="L231" i="11"/>
  <c r="Q231" i="11"/>
  <c r="P231" i="11"/>
  <c r="J232" i="11"/>
  <c r="O232" i="11"/>
  <c r="R230" i="11"/>
  <c r="R229" i="10"/>
  <c r="G234" i="11"/>
  <c r="H233" i="11"/>
  <c r="I233" i="11" s="1"/>
  <c r="S230" i="11"/>
  <c r="Q230" i="10"/>
  <c r="P230" i="10"/>
  <c r="O231" i="10"/>
  <c r="K230" i="10"/>
  <c r="N230" i="10"/>
  <c r="M230" i="10"/>
  <c r="L230" i="10"/>
  <c r="G233" i="10"/>
  <c r="H232" i="10"/>
  <c r="I232" i="10" s="1"/>
  <c r="J232" i="10" s="1"/>
  <c r="S228" i="7"/>
  <c r="K229" i="7"/>
  <c r="L229" i="7"/>
  <c r="N229" i="7"/>
  <c r="J230" i="7"/>
  <c r="L230" i="7" s="1"/>
  <c r="O230" i="7"/>
  <c r="Q229" i="7"/>
  <c r="P229" i="7"/>
  <c r="G233" i="9"/>
  <c r="H232" i="9"/>
  <c r="I232" i="9" s="1"/>
  <c r="J232" i="9" s="1"/>
  <c r="M231" i="9"/>
  <c r="L231" i="9"/>
  <c r="K231" i="9"/>
  <c r="N231" i="9"/>
  <c r="H231" i="7"/>
  <c r="I231" i="7" s="1"/>
  <c r="G232" i="7"/>
  <c r="H231" i="6"/>
  <c r="I231" i="6" s="1"/>
  <c r="J231" i="6" s="1"/>
  <c r="G232" i="6"/>
  <c r="L230" i="6"/>
  <c r="N230" i="6"/>
  <c r="M230" i="6"/>
  <c r="K230" i="6"/>
  <c r="S230" i="10" l="1"/>
  <c r="L233" i="12"/>
  <c r="K233" i="12"/>
  <c r="N233" i="12"/>
  <c r="M233" i="12"/>
  <c r="S232" i="12"/>
  <c r="P233" i="12"/>
  <c r="Q233" i="12"/>
  <c r="S233" i="12" s="1"/>
  <c r="G236" i="12"/>
  <c r="H235" i="12"/>
  <c r="I235" i="12" s="1"/>
  <c r="R231" i="11"/>
  <c r="O234" i="12"/>
  <c r="J234" i="12"/>
  <c r="O233" i="11"/>
  <c r="J233" i="11"/>
  <c r="P232" i="11"/>
  <c r="Q232" i="11"/>
  <c r="G235" i="11"/>
  <c r="H234" i="11"/>
  <c r="I234" i="11" s="1"/>
  <c r="N232" i="11"/>
  <c r="L232" i="11"/>
  <c r="M232" i="11"/>
  <c r="K232" i="11"/>
  <c r="R230" i="10"/>
  <c r="S231" i="11"/>
  <c r="N231" i="10"/>
  <c r="M231" i="10"/>
  <c r="L231" i="10"/>
  <c r="K231" i="10"/>
  <c r="Q231" i="10"/>
  <c r="P231" i="10"/>
  <c r="O232" i="10"/>
  <c r="H233" i="10"/>
  <c r="I233" i="10" s="1"/>
  <c r="J233" i="10" s="1"/>
  <c r="G234" i="10"/>
  <c r="R229" i="7"/>
  <c r="S229" i="7"/>
  <c r="Q230" i="7"/>
  <c r="S230" i="7" s="1"/>
  <c r="P230" i="7"/>
  <c r="M230" i="7"/>
  <c r="N230" i="7"/>
  <c r="K230" i="7"/>
  <c r="J231" i="7"/>
  <c r="M231" i="7" s="1"/>
  <c r="O231" i="7"/>
  <c r="M232" i="9"/>
  <c r="N232" i="9"/>
  <c r="L232" i="9"/>
  <c r="K232" i="9"/>
  <c r="G234" i="9"/>
  <c r="H233" i="9"/>
  <c r="I233" i="9" s="1"/>
  <c r="J233" i="9" s="1"/>
  <c r="G233" i="7"/>
  <c r="H232" i="7"/>
  <c r="I232" i="7" s="1"/>
  <c r="H232" i="6"/>
  <c r="I232" i="6" s="1"/>
  <c r="J232" i="6" s="1"/>
  <c r="G233" i="6"/>
  <c r="L231" i="6"/>
  <c r="M231" i="6"/>
  <c r="K231" i="6"/>
  <c r="N231" i="6"/>
  <c r="R233" i="12" l="1"/>
  <c r="Q234" i="12"/>
  <c r="P234" i="12"/>
  <c r="J235" i="12"/>
  <c r="O235" i="12"/>
  <c r="K234" i="12"/>
  <c r="N234" i="12"/>
  <c r="M234" i="12"/>
  <c r="L234" i="12"/>
  <c r="G237" i="12"/>
  <c r="H236" i="12"/>
  <c r="I236" i="12" s="1"/>
  <c r="R231" i="10"/>
  <c r="S232" i="11"/>
  <c r="S231" i="10"/>
  <c r="R232" i="11"/>
  <c r="J234" i="11"/>
  <c r="O234" i="11"/>
  <c r="M233" i="11"/>
  <c r="K233" i="11"/>
  <c r="L233" i="11"/>
  <c r="N233" i="11"/>
  <c r="H235" i="11"/>
  <c r="I235" i="11" s="1"/>
  <c r="G236" i="11"/>
  <c r="Q233" i="11"/>
  <c r="S233" i="11" s="1"/>
  <c r="P233" i="11"/>
  <c r="R233" i="11" s="1"/>
  <c r="O233" i="10"/>
  <c r="Q232" i="10"/>
  <c r="P232" i="10"/>
  <c r="K232" i="10"/>
  <c r="N232" i="10"/>
  <c r="M232" i="10"/>
  <c r="L232" i="10"/>
  <c r="S232" i="10" s="1"/>
  <c r="G235" i="10"/>
  <c r="H234" i="10"/>
  <c r="I234" i="10" s="1"/>
  <c r="J234" i="10" s="1"/>
  <c r="R230" i="7"/>
  <c r="L231" i="7"/>
  <c r="J232" i="7"/>
  <c r="L232" i="7" s="1"/>
  <c r="O232" i="7"/>
  <c r="Q231" i="7"/>
  <c r="P231" i="7"/>
  <c r="K231" i="7"/>
  <c r="R231" i="7" s="1"/>
  <c r="N231" i="7"/>
  <c r="M233" i="9"/>
  <c r="L233" i="9"/>
  <c r="K233" i="9"/>
  <c r="N233" i="9"/>
  <c r="G235" i="9"/>
  <c r="H234" i="9"/>
  <c r="I234" i="9" s="1"/>
  <c r="J234" i="9" s="1"/>
  <c r="H233" i="7"/>
  <c r="I233" i="7" s="1"/>
  <c r="G234" i="7"/>
  <c r="H233" i="6"/>
  <c r="I233" i="6" s="1"/>
  <c r="J233" i="6" s="1"/>
  <c r="G234" i="6"/>
  <c r="L232" i="6"/>
  <c r="N232" i="6"/>
  <c r="M232" i="6"/>
  <c r="K232" i="6"/>
  <c r="N235" i="12" l="1"/>
  <c r="M235" i="12"/>
  <c r="L235" i="12"/>
  <c r="K235" i="12"/>
  <c r="Q235" i="12"/>
  <c r="P235" i="12"/>
  <c r="O236" i="12"/>
  <c r="J236" i="12"/>
  <c r="R234" i="12"/>
  <c r="G238" i="12"/>
  <c r="H237" i="12"/>
  <c r="I237" i="12" s="1"/>
  <c r="S234" i="12"/>
  <c r="G237" i="11"/>
  <c r="H236" i="11"/>
  <c r="I236" i="11" s="1"/>
  <c r="O235" i="11"/>
  <c r="J235" i="11"/>
  <c r="R232" i="10"/>
  <c r="P234" i="11"/>
  <c r="Q234" i="11"/>
  <c r="L234" i="11"/>
  <c r="N234" i="11"/>
  <c r="M234" i="11"/>
  <c r="K234" i="11"/>
  <c r="O234" i="10"/>
  <c r="K233" i="10"/>
  <c r="N233" i="10"/>
  <c r="M233" i="10"/>
  <c r="L233" i="10"/>
  <c r="S233" i="10" s="1"/>
  <c r="H235" i="10"/>
  <c r="I235" i="10" s="1"/>
  <c r="J235" i="10" s="1"/>
  <c r="G236" i="10"/>
  <c r="Q233" i="10"/>
  <c r="P233" i="10"/>
  <c r="N232" i="7"/>
  <c r="Q232" i="7"/>
  <c r="S232" i="7" s="1"/>
  <c r="P232" i="7"/>
  <c r="K232" i="7"/>
  <c r="J233" i="7"/>
  <c r="L233" i="7" s="1"/>
  <c r="O233" i="7"/>
  <c r="M232" i="7"/>
  <c r="S231" i="7"/>
  <c r="M234" i="9"/>
  <c r="N234" i="9"/>
  <c r="L234" i="9"/>
  <c r="K234" i="9"/>
  <c r="H235" i="9"/>
  <c r="I235" i="9" s="1"/>
  <c r="J235" i="9" s="1"/>
  <c r="G236" i="9"/>
  <c r="G235" i="7"/>
  <c r="H234" i="7"/>
  <c r="I234" i="7" s="1"/>
  <c r="H234" i="6"/>
  <c r="I234" i="6" s="1"/>
  <c r="J234" i="6" s="1"/>
  <c r="G235" i="6"/>
  <c r="L233" i="6"/>
  <c r="M233" i="6"/>
  <c r="K233" i="6"/>
  <c r="N233" i="6"/>
  <c r="R235" i="12" l="1"/>
  <c r="M236" i="12"/>
  <c r="L236" i="12"/>
  <c r="K236" i="12"/>
  <c r="N236" i="12"/>
  <c r="O237" i="12"/>
  <c r="J237" i="12"/>
  <c r="Q236" i="12"/>
  <c r="P236" i="12"/>
  <c r="H238" i="12"/>
  <c r="I238" i="12" s="1"/>
  <c r="G239" i="12"/>
  <c r="S235" i="12"/>
  <c r="K235" i="11"/>
  <c r="M235" i="11"/>
  <c r="N235" i="11"/>
  <c r="L235" i="11"/>
  <c r="S234" i="11"/>
  <c r="Q235" i="11"/>
  <c r="P235" i="11"/>
  <c r="R234" i="11"/>
  <c r="J236" i="11"/>
  <c r="O236" i="11"/>
  <c r="R233" i="10"/>
  <c r="H237" i="11"/>
  <c r="I237" i="11" s="1"/>
  <c r="G238" i="11"/>
  <c r="O235" i="10"/>
  <c r="K234" i="10"/>
  <c r="L234" i="10"/>
  <c r="M234" i="10"/>
  <c r="N234" i="10"/>
  <c r="H236" i="10"/>
  <c r="I236" i="10" s="1"/>
  <c r="J236" i="10" s="1"/>
  <c r="G237" i="10"/>
  <c r="P234" i="10"/>
  <c r="Q234" i="10"/>
  <c r="R232" i="7"/>
  <c r="M233" i="7"/>
  <c r="K233" i="7"/>
  <c r="N233" i="7"/>
  <c r="J234" i="7"/>
  <c r="K234" i="7" s="1"/>
  <c r="O234" i="7"/>
  <c r="Q233" i="7"/>
  <c r="S233" i="7" s="1"/>
  <c r="P233" i="7"/>
  <c r="G237" i="9"/>
  <c r="H236" i="9"/>
  <c r="I236" i="9" s="1"/>
  <c r="J236" i="9" s="1"/>
  <c r="M235" i="9"/>
  <c r="L235" i="9"/>
  <c r="K235" i="9"/>
  <c r="N235" i="9"/>
  <c r="G236" i="7"/>
  <c r="H235" i="7"/>
  <c r="I235" i="7" s="1"/>
  <c r="H235" i="6"/>
  <c r="I235" i="6" s="1"/>
  <c r="J235" i="6" s="1"/>
  <c r="G236" i="6"/>
  <c r="L234" i="6"/>
  <c r="N234" i="6"/>
  <c r="M234" i="6"/>
  <c r="K234" i="6"/>
  <c r="S236" i="12" l="1"/>
  <c r="R236" i="12"/>
  <c r="S234" i="10"/>
  <c r="R235" i="11"/>
  <c r="G240" i="12"/>
  <c r="H239" i="12"/>
  <c r="I239" i="12" s="1"/>
  <c r="L237" i="12"/>
  <c r="K237" i="12"/>
  <c r="N237" i="12"/>
  <c r="M237" i="12"/>
  <c r="O238" i="12"/>
  <c r="J238" i="12"/>
  <c r="P237" i="12"/>
  <c r="Q237" i="12"/>
  <c r="O237" i="11"/>
  <c r="J237" i="11"/>
  <c r="R234" i="10"/>
  <c r="P236" i="11"/>
  <c r="Q236" i="11"/>
  <c r="S235" i="11"/>
  <c r="H238" i="11"/>
  <c r="I238" i="11" s="1"/>
  <c r="G239" i="11"/>
  <c r="N236" i="11"/>
  <c r="L236" i="11"/>
  <c r="M236" i="11"/>
  <c r="K236" i="11"/>
  <c r="H237" i="10"/>
  <c r="I237" i="10" s="1"/>
  <c r="J237" i="10" s="1"/>
  <c r="G238" i="10"/>
  <c r="O236" i="10"/>
  <c r="M235" i="10"/>
  <c r="L235" i="10"/>
  <c r="N235" i="10"/>
  <c r="K235" i="10"/>
  <c r="Q235" i="10"/>
  <c r="P235" i="10"/>
  <c r="R233" i="7"/>
  <c r="Q234" i="7"/>
  <c r="P234" i="7"/>
  <c r="R234" i="7" s="1"/>
  <c r="M234" i="7"/>
  <c r="L234" i="7"/>
  <c r="N234" i="7"/>
  <c r="J235" i="7"/>
  <c r="L235" i="7" s="1"/>
  <c r="O235" i="7"/>
  <c r="M236" i="9"/>
  <c r="N236" i="9"/>
  <c r="L236" i="9"/>
  <c r="K236" i="9"/>
  <c r="G238" i="9"/>
  <c r="H237" i="9"/>
  <c r="I237" i="9" s="1"/>
  <c r="J237" i="9" s="1"/>
  <c r="H236" i="7"/>
  <c r="I236" i="7" s="1"/>
  <c r="G237" i="7"/>
  <c r="H236" i="6"/>
  <c r="I236" i="6" s="1"/>
  <c r="J236" i="6" s="1"/>
  <c r="G237" i="6"/>
  <c r="L235" i="6"/>
  <c r="M235" i="6"/>
  <c r="K235" i="6"/>
  <c r="N235" i="6"/>
  <c r="S237" i="12" l="1"/>
  <c r="R237" i="12"/>
  <c r="J239" i="12"/>
  <c r="O239" i="12"/>
  <c r="G241" i="12"/>
  <c r="H240" i="12"/>
  <c r="I240" i="12" s="1"/>
  <c r="K238" i="12"/>
  <c r="N238" i="12"/>
  <c r="M238" i="12"/>
  <c r="L238" i="12"/>
  <c r="Q238" i="12"/>
  <c r="S238" i="12" s="1"/>
  <c r="P238" i="12"/>
  <c r="R235" i="10"/>
  <c r="O238" i="11"/>
  <c r="J238" i="11"/>
  <c r="G240" i="11"/>
  <c r="H239" i="11"/>
  <c r="I239" i="11" s="1"/>
  <c r="N237" i="11"/>
  <c r="M237" i="11"/>
  <c r="K237" i="11"/>
  <c r="L237" i="11"/>
  <c r="R236" i="11"/>
  <c r="S235" i="10"/>
  <c r="S236" i="11"/>
  <c r="P237" i="11"/>
  <c r="Q237" i="11"/>
  <c r="S237" i="11" s="1"/>
  <c r="N236" i="10"/>
  <c r="K236" i="10"/>
  <c r="R236" i="10" s="1"/>
  <c r="L236" i="10"/>
  <c r="M236" i="10"/>
  <c r="H238" i="10"/>
  <c r="I238" i="10" s="1"/>
  <c r="J238" i="10" s="1"/>
  <c r="G239" i="10"/>
  <c r="P236" i="10"/>
  <c r="Q236" i="10"/>
  <c r="O237" i="10"/>
  <c r="S234" i="7"/>
  <c r="Q235" i="7"/>
  <c r="S235" i="7" s="1"/>
  <c r="P235" i="7"/>
  <c r="K235" i="7"/>
  <c r="R235" i="7" s="1"/>
  <c r="N235" i="7"/>
  <c r="J236" i="7"/>
  <c r="M236" i="7" s="1"/>
  <c r="O236" i="7"/>
  <c r="M235" i="7"/>
  <c r="M237" i="9"/>
  <c r="L237" i="9"/>
  <c r="K237" i="9"/>
  <c r="N237" i="9"/>
  <c r="G239" i="9"/>
  <c r="H238" i="9"/>
  <c r="I238" i="9" s="1"/>
  <c r="J238" i="9" s="1"/>
  <c r="G238" i="7"/>
  <c r="H237" i="7"/>
  <c r="I237" i="7" s="1"/>
  <c r="G238" i="6"/>
  <c r="H237" i="6"/>
  <c r="I237" i="6" s="1"/>
  <c r="J237" i="6" s="1"/>
  <c r="L236" i="6"/>
  <c r="N236" i="6"/>
  <c r="M236" i="6"/>
  <c r="K236" i="6"/>
  <c r="O240" i="12" l="1"/>
  <c r="J240" i="12"/>
  <c r="G242" i="12"/>
  <c r="H241" i="12"/>
  <c r="I241" i="12" s="1"/>
  <c r="R238" i="12"/>
  <c r="Q239" i="12"/>
  <c r="P239" i="12"/>
  <c r="N239" i="12"/>
  <c r="M239" i="12"/>
  <c r="L239" i="12"/>
  <c r="K239" i="12"/>
  <c r="G241" i="11"/>
  <c r="H240" i="11"/>
  <c r="I240" i="11" s="1"/>
  <c r="M238" i="11"/>
  <c r="K238" i="11"/>
  <c r="N238" i="11"/>
  <c r="L238" i="11"/>
  <c r="Q238" i="11"/>
  <c r="P238" i="11"/>
  <c r="R238" i="11" s="1"/>
  <c r="S236" i="10"/>
  <c r="R237" i="11"/>
  <c r="J239" i="11"/>
  <c r="O239" i="11"/>
  <c r="L237" i="10"/>
  <c r="K237" i="10"/>
  <c r="M237" i="10"/>
  <c r="N237" i="10"/>
  <c r="H239" i="10"/>
  <c r="I239" i="10" s="1"/>
  <c r="J239" i="10" s="1"/>
  <c r="G240" i="10"/>
  <c r="Q237" i="10"/>
  <c r="P237" i="10"/>
  <c r="O238" i="10"/>
  <c r="J237" i="7"/>
  <c r="M237" i="7" s="1"/>
  <c r="O237" i="7"/>
  <c r="K236" i="7"/>
  <c r="N236" i="7"/>
  <c r="Q236" i="7"/>
  <c r="P236" i="7"/>
  <c r="L236" i="7"/>
  <c r="M238" i="9"/>
  <c r="N238" i="9"/>
  <c r="L238" i="9"/>
  <c r="K238" i="9"/>
  <c r="H239" i="9"/>
  <c r="I239" i="9" s="1"/>
  <c r="J239" i="9" s="1"/>
  <c r="G240" i="9"/>
  <c r="G239" i="7"/>
  <c r="H238" i="7"/>
  <c r="I238" i="7" s="1"/>
  <c r="K237" i="6"/>
  <c r="M237" i="6"/>
  <c r="N237" i="6"/>
  <c r="L237" i="6"/>
  <c r="G239" i="6"/>
  <c r="H238" i="6"/>
  <c r="I238" i="6" s="1"/>
  <c r="J238" i="6" s="1"/>
  <c r="O241" i="12" l="1"/>
  <c r="J241" i="12"/>
  <c r="R239" i="12"/>
  <c r="H242" i="12"/>
  <c r="I242" i="12" s="1"/>
  <c r="G243" i="12"/>
  <c r="S239" i="12"/>
  <c r="M240" i="12"/>
  <c r="L240" i="12"/>
  <c r="K240" i="12"/>
  <c r="N240" i="12"/>
  <c r="Q240" i="12"/>
  <c r="P240" i="12"/>
  <c r="P239" i="11"/>
  <c r="Q239" i="11"/>
  <c r="L239" i="11"/>
  <c r="N239" i="11"/>
  <c r="K239" i="11"/>
  <c r="M239" i="11"/>
  <c r="S238" i="11"/>
  <c r="R237" i="10"/>
  <c r="O240" i="11"/>
  <c r="J240" i="11"/>
  <c r="S237" i="10"/>
  <c r="G242" i="11"/>
  <c r="H241" i="11"/>
  <c r="I241" i="11" s="1"/>
  <c r="L238" i="10"/>
  <c r="M238" i="10"/>
  <c r="N238" i="10"/>
  <c r="K238" i="10"/>
  <c r="R238" i="10" s="1"/>
  <c r="G241" i="10"/>
  <c r="H240" i="10"/>
  <c r="I240" i="10" s="1"/>
  <c r="J240" i="10" s="1"/>
  <c r="P238" i="10"/>
  <c r="Q238" i="10"/>
  <c r="O239" i="10"/>
  <c r="R236" i="7"/>
  <c r="L237" i="7"/>
  <c r="K237" i="7"/>
  <c r="N237" i="7"/>
  <c r="J238" i="7"/>
  <c r="L238" i="7" s="1"/>
  <c r="O238" i="7"/>
  <c r="S236" i="7"/>
  <c r="Q237" i="7"/>
  <c r="P237" i="7"/>
  <c r="H240" i="9"/>
  <c r="I240" i="9" s="1"/>
  <c r="J240" i="9" s="1"/>
  <c r="G241" i="9"/>
  <c r="M239" i="9"/>
  <c r="L239" i="9"/>
  <c r="N239" i="9"/>
  <c r="K239" i="9"/>
  <c r="G240" i="7"/>
  <c r="H239" i="7"/>
  <c r="I239" i="7" s="1"/>
  <c r="K238" i="6"/>
  <c r="M238" i="6"/>
  <c r="L238" i="6"/>
  <c r="N238" i="6"/>
  <c r="G240" i="6"/>
  <c r="H239" i="6"/>
  <c r="I239" i="6" s="1"/>
  <c r="J239" i="6" s="1"/>
  <c r="R240" i="12" l="1"/>
  <c r="O242" i="12"/>
  <c r="J242" i="12"/>
  <c r="S240" i="12"/>
  <c r="S238" i="10"/>
  <c r="L241" i="12"/>
  <c r="K241" i="12"/>
  <c r="N241" i="12"/>
  <c r="M241" i="12"/>
  <c r="G244" i="12"/>
  <c r="H243" i="12"/>
  <c r="I243" i="12" s="1"/>
  <c r="P241" i="12"/>
  <c r="Q241" i="12"/>
  <c r="G243" i="11"/>
  <c r="H242" i="11"/>
  <c r="I242" i="11" s="1"/>
  <c r="K240" i="11"/>
  <c r="L240" i="11"/>
  <c r="N240" i="11"/>
  <c r="M240" i="11"/>
  <c r="S239" i="11"/>
  <c r="J241" i="11"/>
  <c r="O241" i="11"/>
  <c r="Q240" i="11"/>
  <c r="S240" i="11" s="1"/>
  <c r="P240" i="11"/>
  <c r="R240" i="11" s="1"/>
  <c r="R239" i="11"/>
  <c r="S237" i="7"/>
  <c r="L239" i="10"/>
  <c r="K239" i="10"/>
  <c r="M239" i="10"/>
  <c r="N239" i="10"/>
  <c r="O240" i="10"/>
  <c r="Q239" i="10"/>
  <c r="P239" i="10"/>
  <c r="G242" i="10"/>
  <c r="H241" i="10"/>
  <c r="I241" i="10" s="1"/>
  <c r="J241" i="10" s="1"/>
  <c r="R237" i="7"/>
  <c r="M238" i="7"/>
  <c r="N238" i="7"/>
  <c r="K238" i="7"/>
  <c r="J239" i="7"/>
  <c r="K239" i="7" s="1"/>
  <c r="O239" i="7"/>
  <c r="Q238" i="7"/>
  <c r="S238" i="7" s="1"/>
  <c r="P238" i="7"/>
  <c r="H241" i="9"/>
  <c r="I241" i="9" s="1"/>
  <c r="J241" i="9" s="1"/>
  <c r="G242" i="9"/>
  <c r="M240" i="9"/>
  <c r="L240" i="9"/>
  <c r="N240" i="9"/>
  <c r="K240" i="9"/>
  <c r="G241" i="7"/>
  <c r="H240" i="7"/>
  <c r="I240" i="7" s="1"/>
  <c r="K239" i="6"/>
  <c r="M239" i="6"/>
  <c r="L239" i="6"/>
  <c r="N239" i="6"/>
  <c r="G241" i="6"/>
  <c r="H240" i="6"/>
  <c r="I240" i="6" s="1"/>
  <c r="J240" i="6" s="1"/>
  <c r="S241" i="12" l="1"/>
  <c r="R241" i="12"/>
  <c r="O243" i="12"/>
  <c r="J243" i="12"/>
  <c r="K242" i="12"/>
  <c r="N242" i="12"/>
  <c r="M242" i="12"/>
  <c r="L242" i="12"/>
  <c r="G245" i="12"/>
  <c r="H244" i="12"/>
  <c r="I244" i="12" s="1"/>
  <c r="Q242" i="12"/>
  <c r="P242" i="12"/>
  <c r="R242" i="12" s="1"/>
  <c r="N241" i="11"/>
  <c r="L241" i="11"/>
  <c r="M241" i="11"/>
  <c r="K241" i="11"/>
  <c r="R239" i="10"/>
  <c r="S239" i="10"/>
  <c r="O242" i="11"/>
  <c r="J242" i="11"/>
  <c r="Q241" i="11"/>
  <c r="P241" i="11"/>
  <c r="G244" i="11"/>
  <c r="H243" i="11"/>
  <c r="I243" i="11" s="1"/>
  <c r="N240" i="10"/>
  <c r="L240" i="10"/>
  <c r="M240" i="10"/>
  <c r="K240" i="10"/>
  <c r="O241" i="10"/>
  <c r="G243" i="10"/>
  <c r="H242" i="10"/>
  <c r="I242" i="10" s="1"/>
  <c r="J242" i="10" s="1"/>
  <c r="P240" i="10"/>
  <c r="Q240" i="10"/>
  <c r="R238" i="7"/>
  <c r="J240" i="7"/>
  <c r="L240" i="7" s="1"/>
  <c r="O240" i="7"/>
  <c r="N239" i="7"/>
  <c r="M239" i="7"/>
  <c r="L239" i="7"/>
  <c r="Q239" i="7"/>
  <c r="P239" i="7"/>
  <c r="R239" i="7" s="1"/>
  <c r="H242" i="9"/>
  <c r="I242" i="9" s="1"/>
  <c r="J242" i="9" s="1"/>
  <c r="G243" i="9"/>
  <c r="M241" i="9"/>
  <c r="L241" i="9"/>
  <c r="N241" i="9"/>
  <c r="K241" i="9"/>
  <c r="G242" i="7"/>
  <c r="H241" i="7"/>
  <c r="I241" i="7" s="1"/>
  <c r="K240" i="6"/>
  <c r="L240" i="6"/>
  <c r="N240" i="6"/>
  <c r="M240" i="6"/>
  <c r="G242" i="6"/>
  <c r="H241" i="6"/>
  <c r="I241" i="6" s="1"/>
  <c r="J241" i="6" s="1"/>
  <c r="S241" i="11" l="1"/>
  <c r="G246" i="12"/>
  <c r="H245" i="12"/>
  <c r="I245" i="12" s="1"/>
  <c r="M243" i="12"/>
  <c r="K243" i="12"/>
  <c r="N243" i="12"/>
  <c r="L243" i="12"/>
  <c r="S242" i="12"/>
  <c r="Q243" i="12"/>
  <c r="P243" i="12"/>
  <c r="O244" i="12"/>
  <c r="J244" i="12"/>
  <c r="R240" i="10"/>
  <c r="O243" i="11"/>
  <c r="J243" i="11"/>
  <c r="M242" i="11"/>
  <c r="L242" i="11"/>
  <c r="N242" i="11"/>
  <c r="K242" i="11"/>
  <c r="H244" i="11"/>
  <c r="I244" i="11" s="1"/>
  <c r="G245" i="11"/>
  <c r="Q242" i="11"/>
  <c r="S242" i="11" s="1"/>
  <c r="P242" i="11"/>
  <c r="R242" i="11" s="1"/>
  <c r="S240" i="10"/>
  <c r="R241" i="11"/>
  <c r="O242" i="10"/>
  <c r="G244" i="10"/>
  <c r="H243" i="10"/>
  <c r="I243" i="10" s="1"/>
  <c r="J243" i="10" s="1"/>
  <c r="M241" i="10"/>
  <c r="K241" i="10"/>
  <c r="N241" i="10"/>
  <c r="L241" i="10"/>
  <c r="S241" i="10" s="1"/>
  <c r="Q241" i="10"/>
  <c r="P241" i="10"/>
  <c r="S239" i="7"/>
  <c r="N240" i="7"/>
  <c r="K240" i="7"/>
  <c r="M240" i="7"/>
  <c r="J241" i="7"/>
  <c r="N241" i="7" s="1"/>
  <c r="O241" i="7"/>
  <c r="Q240" i="7"/>
  <c r="S240" i="7" s="1"/>
  <c r="P240" i="7"/>
  <c r="H243" i="9"/>
  <c r="I243" i="9" s="1"/>
  <c r="J243" i="9" s="1"/>
  <c r="G244" i="9"/>
  <c r="M242" i="9"/>
  <c r="L242" i="9"/>
  <c r="N242" i="9"/>
  <c r="K242" i="9"/>
  <c r="G243" i="7"/>
  <c r="H242" i="7"/>
  <c r="I242" i="7" s="1"/>
  <c r="K241" i="6"/>
  <c r="M241" i="6"/>
  <c r="N241" i="6"/>
  <c r="L241" i="6"/>
  <c r="G243" i="6"/>
  <c r="H242" i="6"/>
  <c r="I242" i="6" s="1"/>
  <c r="J242" i="6" s="1"/>
  <c r="S243" i="12" l="1"/>
  <c r="L244" i="12"/>
  <c r="N244" i="12"/>
  <c r="M244" i="12"/>
  <c r="K244" i="12"/>
  <c r="P244" i="12"/>
  <c r="R244" i="12" s="1"/>
  <c r="Q244" i="12"/>
  <c r="O245" i="12"/>
  <c r="J245" i="12"/>
  <c r="R243" i="12"/>
  <c r="G247" i="12"/>
  <c r="H246" i="12"/>
  <c r="I246" i="12" s="1"/>
  <c r="O244" i="11"/>
  <c r="J244" i="11"/>
  <c r="L243" i="11"/>
  <c r="M243" i="11"/>
  <c r="N243" i="11"/>
  <c r="K243" i="11"/>
  <c r="R241" i="10"/>
  <c r="P243" i="11"/>
  <c r="Q243" i="11"/>
  <c r="S243" i="11" s="1"/>
  <c r="H245" i="11"/>
  <c r="I245" i="11" s="1"/>
  <c r="G246" i="11"/>
  <c r="O243" i="10"/>
  <c r="G245" i="10"/>
  <c r="H244" i="10"/>
  <c r="I244" i="10" s="1"/>
  <c r="J244" i="10" s="1"/>
  <c r="P242" i="10"/>
  <c r="Q242" i="10"/>
  <c r="M242" i="10"/>
  <c r="K242" i="10"/>
  <c r="R242" i="10" s="1"/>
  <c r="L242" i="10"/>
  <c r="N242" i="10"/>
  <c r="R240" i="7"/>
  <c r="Q241" i="7"/>
  <c r="P241" i="7"/>
  <c r="M241" i="7"/>
  <c r="K241" i="7"/>
  <c r="L241" i="7"/>
  <c r="S241" i="7" s="1"/>
  <c r="J242" i="7"/>
  <c r="N242" i="7" s="1"/>
  <c r="O242" i="7"/>
  <c r="H244" i="9"/>
  <c r="I244" i="9" s="1"/>
  <c r="J244" i="9" s="1"/>
  <c r="G245" i="9"/>
  <c r="M243" i="9"/>
  <c r="L243" i="9"/>
  <c r="N243" i="9"/>
  <c r="K243" i="9"/>
  <c r="G244" i="7"/>
  <c r="H243" i="7"/>
  <c r="I243" i="7" s="1"/>
  <c r="K242" i="6"/>
  <c r="N242" i="6"/>
  <c r="M242" i="6"/>
  <c r="L242" i="6"/>
  <c r="G244" i="6"/>
  <c r="H243" i="6"/>
  <c r="I243" i="6" s="1"/>
  <c r="J243" i="6" s="1"/>
  <c r="K245" i="12" l="1"/>
  <c r="L245" i="12"/>
  <c r="N245" i="12"/>
  <c r="M245" i="12"/>
  <c r="R243" i="11"/>
  <c r="J246" i="12"/>
  <c r="O246" i="12"/>
  <c r="Q245" i="12"/>
  <c r="S245" i="12" s="1"/>
  <c r="P245" i="12"/>
  <c r="R245" i="12" s="1"/>
  <c r="G248" i="12"/>
  <c r="H247" i="12"/>
  <c r="I247" i="12" s="1"/>
  <c r="S244" i="12"/>
  <c r="S242" i="10"/>
  <c r="H246" i="11"/>
  <c r="I246" i="11" s="1"/>
  <c r="G247" i="11"/>
  <c r="J245" i="11"/>
  <c r="O245" i="11"/>
  <c r="K244" i="11"/>
  <c r="M244" i="11"/>
  <c r="L244" i="11"/>
  <c r="N244" i="11"/>
  <c r="P244" i="11"/>
  <c r="R244" i="11" s="1"/>
  <c r="Q244" i="11"/>
  <c r="O244" i="10"/>
  <c r="H245" i="10"/>
  <c r="I245" i="10" s="1"/>
  <c r="J245" i="10" s="1"/>
  <c r="G246" i="10"/>
  <c r="N243" i="10"/>
  <c r="K243" i="10"/>
  <c r="M243" i="10"/>
  <c r="L243" i="10"/>
  <c r="S243" i="10" s="1"/>
  <c r="Q243" i="10"/>
  <c r="P243" i="10"/>
  <c r="R241" i="7"/>
  <c r="J243" i="7"/>
  <c r="M243" i="7" s="1"/>
  <c r="O243" i="7"/>
  <c r="L242" i="7"/>
  <c r="K242" i="7"/>
  <c r="Q242" i="7"/>
  <c r="P242" i="7"/>
  <c r="M242" i="7"/>
  <c r="H245" i="9"/>
  <c r="I245" i="9" s="1"/>
  <c r="J245" i="9" s="1"/>
  <c r="G246" i="9"/>
  <c r="M244" i="9"/>
  <c r="L244" i="9"/>
  <c r="N244" i="9"/>
  <c r="K244" i="9"/>
  <c r="G245" i="7"/>
  <c r="H244" i="7"/>
  <c r="I244" i="7" s="1"/>
  <c r="K243" i="6"/>
  <c r="M243" i="6"/>
  <c r="N243" i="6"/>
  <c r="L243" i="6"/>
  <c r="G245" i="6"/>
  <c r="H244" i="6"/>
  <c r="I244" i="6" s="1"/>
  <c r="J244" i="6" s="1"/>
  <c r="O247" i="12" l="1"/>
  <c r="J247" i="12"/>
  <c r="Q246" i="12"/>
  <c r="P246" i="12"/>
  <c r="G249" i="12"/>
  <c r="H248" i="12"/>
  <c r="I248" i="12" s="1"/>
  <c r="N246" i="12"/>
  <c r="M246" i="12"/>
  <c r="L246" i="12"/>
  <c r="K246" i="12"/>
  <c r="R243" i="10"/>
  <c r="N245" i="11"/>
  <c r="K245" i="11"/>
  <c r="M245" i="11"/>
  <c r="L245" i="11"/>
  <c r="S244" i="11"/>
  <c r="G248" i="11"/>
  <c r="H247" i="11"/>
  <c r="I247" i="11" s="1"/>
  <c r="O246" i="11"/>
  <c r="J246" i="11"/>
  <c r="P245" i="11"/>
  <c r="R245" i="11" s="1"/>
  <c r="Q245" i="11"/>
  <c r="S245" i="11" s="1"/>
  <c r="G247" i="10"/>
  <c r="H246" i="10"/>
  <c r="I246" i="10" s="1"/>
  <c r="J246" i="10" s="1"/>
  <c r="O245" i="10"/>
  <c r="P244" i="10"/>
  <c r="Q244" i="10"/>
  <c r="N244" i="10"/>
  <c r="K244" i="10"/>
  <c r="L244" i="10"/>
  <c r="S244" i="10" s="1"/>
  <c r="M244" i="10"/>
  <c r="R242" i="7"/>
  <c r="L243" i="7"/>
  <c r="K243" i="7"/>
  <c r="N243" i="7"/>
  <c r="J244" i="7"/>
  <c r="L244" i="7" s="1"/>
  <c r="O244" i="7"/>
  <c r="S242" i="7"/>
  <c r="Q243" i="7"/>
  <c r="P243" i="7"/>
  <c r="H246" i="9"/>
  <c r="I246" i="9" s="1"/>
  <c r="J246" i="9" s="1"/>
  <c r="G247" i="9"/>
  <c r="M245" i="9"/>
  <c r="L245" i="9"/>
  <c r="N245" i="9"/>
  <c r="K245" i="9"/>
  <c r="G246" i="7"/>
  <c r="H245" i="7"/>
  <c r="I245" i="7" s="1"/>
  <c r="K244" i="6"/>
  <c r="N244" i="6"/>
  <c r="M244" i="6"/>
  <c r="L244" i="6"/>
  <c r="G246" i="6"/>
  <c r="H245" i="6"/>
  <c r="I245" i="6" s="1"/>
  <c r="J245" i="6" s="1"/>
  <c r="R246" i="12" l="1"/>
  <c r="S246" i="12"/>
  <c r="O248" i="12"/>
  <c r="J248" i="12"/>
  <c r="M247" i="12"/>
  <c r="L247" i="12"/>
  <c r="K247" i="12"/>
  <c r="N247" i="12"/>
  <c r="H249" i="12"/>
  <c r="I249" i="12" s="1"/>
  <c r="G250" i="12"/>
  <c r="Q247" i="12"/>
  <c r="P247" i="12"/>
  <c r="R247" i="12" s="1"/>
  <c r="J247" i="11"/>
  <c r="O247" i="11"/>
  <c r="R244" i="10"/>
  <c r="H248" i="11"/>
  <c r="I248" i="11" s="1"/>
  <c r="G249" i="11"/>
  <c r="M246" i="11"/>
  <c r="K246" i="11"/>
  <c r="L246" i="11"/>
  <c r="N246" i="11"/>
  <c r="Q246" i="11"/>
  <c r="P246" i="11"/>
  <c r="R246" i="11" s="1"/>
  <c r="S243" i="7"/>
  <c r="Q245" i="10"/>
  <c r="P245" i="10"/>
  <c r="O246" i="10"/>
  <c r="L245" i="10"/>
  <c r="M245" i="10"/>
  <c r="K245" i="10"/>
  <c r="R245" i="10" s="1"/>
  <c r="N245" i="10"/>
  <c r="H247" i="10"/>
  <c r="I247" i="10" s="1"/>
  <c r="J247" i="10" s="1"/>
  <c r="G248" i="10"/>
  <c r="R243" i="7"/>
  <c r="J245" i="7"/>
  <c r="L245" i="7" s="1"/>
  <c r="O245" i="7"/>
  <c r="M244" i="7"/>
  <c r="N244" i="7"/>
  <c r="K244" i="7"/>
  <c r="Q244" i="7"/>
  <c r="S244" i="7" s="1"/>
  <c r="P244" i="7"/>
  <c r="H247" i="9"/>
  <c r="I247" i="9" s="1"/>
  <c r="J247" i="9" s="1"/>
  <c r="G248" i="9"/>
  <c r="M246" i="9"/>
  <c r="L246" i="9"/>
  <c r="N246" i="9"/>
  <c r="K246" i="9"/>
  <c r="G247" i="7"/>
  <c r="H246" i="7"/>
  <c r="I246" i="7" s="1"/>
  <c r="K245" i="6"/>
  <c r="M245" i="6"/>
  <c r="N245" i="6"/>
  <c r="L245" i="6"/>
  <c r="G247" i="6"/>
  <c r="H246" i="6"/>
  <c r="I246" i="6" s="1"/>
  <c r="J246" i="6" s="1"/>
  <c r="S247" i="12" l="1"/>
  <c r="L248" i="12"/>
  <c r="N248" i="12"/>
  <c r="M248" i="12"/>
  <c r="K248" i="12"/>
  <c r="P248" i="12"/>
  <c r="Q248" i="12"/>
  <c r="S248" i="12" s="1"/>
  <c r="G251" i="12"/>
  <c r="H250" i="12"/>
  <c r="I250" i="12" s="1"/>
  <c r="O249" i="12"/>
  <c r="J249" i="12"/>
  <c r="S245" i="10"/>
  <c r="O248" i="11"/>
  <c r="J248" i="11"/>
  <c r="S246" i="11"/>
  <c r="P247" i="11"/>
  <c r="Q247" i="11"/>
  <c r="S247" i="11" s="1"/>
  <c r="G250" i="11"/>
  <c r="H249" i="11"/>
  <c r="I249" i="11" s="1"/>
  <c r="L247" i="11"/>
  <c r="N247" i="11"/>
  <c r="K247" i="11"/>
  <c r="M247" i="11"/>
  <c r="L246" i="10"/>
  <c r="K246" i="10"/>
  <c r="R246" i="10" s="1"/>
  <c r="N246" i="10"/>
  <c r="M246" i="10"/>
  <c r="P246" i="10"/>
  <c r="Q246" i="10"/>
  <c r="G249" i="10"/>
  <c r="H248" i="10"/>
  <c r="I248" i="10" s="1"/>
  <c r="J248" i="10" s="1"/>
  <c r="O247" i="10"/>
  <c r="R244" i="7"/>
  <c r="Q245" i="7"/>
  <c r="S245" i="7" s="1"/>
  <c r="P245" i="7"/>
  <c r="J246" i="7"/>
  <c r="K246" i="7" s="1"/>
  <c r="O246" i="7"/>
  <c r="N245" i="7"/>
  <c r="M245" i="7"/>
  <c r="K245" i="7"/>
  <c r="H248" i="9"/>
  <c r="I248" i="9" s="1"/>
  <c r="J248" i="9" s="1"/>
  <c r="G249" i="9"/>
  <c r="M247" i="9"/>
  <c r="L247" i="9"/>
  <c r="N247" i="9"/>
  <c r="K247" i="9"/>
  <c r="G248" i="7"/>
  <c r="H247" i="7"/>
  <c r="I247" i="7" s="1"/>
  <c r="K246" i="6"/>
  <c r="M246" i="6"/>
  <c r="L246" i="6"/>
  <c r="N246" i="6"/>
  <c r="G248" i="6"/>
  <c r="H247" i="6"/>
  <c r="I247" i="6" s="1"/>
  <c r="J247" i="6" s="1"/>
  <c r="J250" i="12" l="1"/>
  <c r="O250" i="12"/>
  <c r="H251" i="12"/>
  <c r="I251" i="12" s="1"/>
  <c r="G252" i="12"/>
  <c r="K249" i="12"/>
  <c r="M249" i="12"/>
  <c r="L249" i="12"/>
  <c r="N249" i="12"/>
  <c r="Q249" i="12"/>
  <c r="S249" i="12" s="1"/>
  <c r="P249" i="12"/>
  <c r="R248" i="12"/>
  <c r="J249" i="11"/>
  <c r="O249" i="11"/>
  <c r="G251" i="11"/>
  <c r="H250" i="11"/>
  <c r="I250" i="11" s="1"/>
  <c r="K248" i="11"/>
  <c r="M248" i="11"/>
  <c r="N248" i="11"/>
  <c r="L248" i="11"/>
  <c r="Q248" i="11"/>
  <c r="S248" i="11" s="1"/>
  <c r="P248" i="11"/>
  <c r="R245" i="7"/>
  <c r="S246" i="10"/>
  <c r="R247" i="11"/>
  <c r="O248" i="10"/>
  <c r="G250" i="10"/>
  <c r="H249" i="10"/>
  <c r="I249" i="10" s="1"/>
  <c r="J249" i="10" s="1"/>
  <c r="K247" i="10"/>
  <c r="M247" i="10"/>
  <c r="N247" i="10"/>
  <c r="L247" i="10"/>
  <c r="S247" i="10" s="1"/>
  <c r="Q247" i="10"/>
  <c r="P247" i="10"/>
  <c r="J247" i="7"/>
  <c r="N247" i="7" s="1"/>
  <c r="O247" i="7"/>
  <c r="M246" i="7"/>
  <c r="N246" i="7"/>
  <c r="L246" i="7"/>
  <c r="Q246" i="7"/>
  <c r="P246" i="7"/>
  <c r="R246" i="7" s="1"/>
  <c r="H249" i="9"/>
  <c r="I249" i="9" s="1"/>
  <c r="J249" i="9" s="1"/>
  <c r="G250" i="9"/>
  <c r="M248" i="9"/>
  <c r="L248" i="9"/>
  <c r="N248" i="9"/>
  <c r="K248" i="9"/>
  <c r="G249" i="7"/>
  <c r="H248" i="7"/>
  <c r="I248" i="7" s="1"/>
  <c r="K247" i="6"/>
  <c r="M247" i="6"/>
  <c r="L247" i="6"/>
  <c r="N247" i="6"/>
  <c r="G249" i="6"/>
  <c r="H248" i="6"/>
  <c r="I248" i="6" s="1"/>
  <c r="J248" i="6" s="1"/>
  <c r="G253" i="12" l="1"/>
  <c r="H252" i="12"/>
  <c r="I252" i="12" s="1"/>
  <c r="O251" i="12"/>
  <c r="J251" i="12"/>
  <c r="R249" i="12"/>
  <c r="P250" i="12"/>
  <c r="Q250" i="12"/>
  <c r="N250" i="12"/>
  <c r="K250" i="12"/>
  <c r="M250" i="12"/>
  <c r="L250" i="12"/>
  <c r="O250" i="11"/>
  <c r="J250" i="11"/>
  <c r="G252" i="11"/>
  <c r="H251" i="11"/>
  <c r="I251" i="11" s="1"/>
  <c r="R248" i="11"/>
  <c r="P249" i="11"/>
  <c r="Q249" i="11"/>
  <c r="R247" i="10"/>
  <c r="N249" i="11"/>
  <c r="L249" i="11"/>
  <c r="M249" i="11"/>
  <c r="K249" i="11"/>
  <c r="O249" i="10"/>
  <c r="H250" i="10"/>
  <c r="I250" i="10" s="1"/>
  <c r="J250" i="10" s="1"/>
  <c r="G251" i="10"/>
  <c r="P248" i="10"/>
  <c r="Q248" i="10"/>
  <c r="M248" i="10"/>
  <c r="L248" i="10"/>
  <c r="N248" i="10"/>
  <c r="K248" i="10"/>
  <c r="R248" i="10" s="1"/>
  <c r="S246" i="7"/>
  <c r="L247" i="7"/>
  <c r="K247" i="7"/>
  <c r="M247" i="7"/>
  <c r="J248" i="7"/>
  <c r="K248" i="7" s="1"/>
  <c r="O248" i="7"/>
  <c r="Q247" i="7"/>
  <c r="P247" i="7"/>
  <c r="H250" i="9"/>
  <c r="I250" i="9" s="1"/>
  <c r="J250" i="9" s="1"/>
  <c r="G251" i="9"/>
  <c r="M249" i="9"/>
  <c r="L249" i="9"/>
  <c r="N249" i="9"/>
  <c r="K249" i="9"/>
  <c r="G250" i="7"/>
  <c r="H249" i="7"/>
  <c r="I249" i="7" s="1"/>
  <c r="K248" i="6"/>
  <c r="L248" i="6"/>
  <c r="N248" i="6"/>
  <c r="M248" i="6"/>
  <c r="G250" i="6"/>
  <c r="H249" i="6"/>
  <c r="I249" i="6" s="1"/>
  <c r="J249" i="6" s="1"/>
  <c r="R250" i="12" l="1"/>
  <c r="M251" i="12"/>
  <c r="N251" i="12"/>
  <c r="L251" i="12"/>
  <c r="K251" i="12"/>
  <c r="S250" i="12"/>
  <c r="Q251" i="12"/>
  <c r="P251" i="12"/>
  <c r="O252" i="12"/>
  <c r="J252" i="12"/>
  <c r="R249" i="11"/>
  <c r="G254" i="12"/>
  <c r="H253" i="12"/>
  <c r="I253" i="12" s="1"/>
  <c r="J251" i="11"/>
  <c r="O251" i="11"/>
  <c r="S248" i="10"/>
  <c r="S249" i="11"/>
  <c r="G253" i="11"/>
  <c r="H252" i="11"/>
  <c r="I252" i="11" s="1"/>
  <c r="M250" i="11"/>
  <c r="K250" i="11"/>
  <c r="L250" i="11"/>
  <c r="N250" i="11"/>
  <c r="Q250" i="11"/>
  <c r="P250" i="11"/>
  <c r="R250" i="11" s="1"/>
  <c r="G252" i="10"/>
  <c r="H251" i="10"/>
  <c r="I251" i="10" s="1"/>
  <c r="J251" i="10" s="1"/>
  <c r="O250" i="10"/>
  <c r="K249" i="10"/>
  <c r="N249" i="10"/>
  <c r="L249" i="10"/>
  <c r="S249" i="10" s="1"/>
  <c r="M249" i="10"/>
  <c r="P249" i="10"/>
  <c r="Q249" i="10"/>
  <c r="S247" i="7"/>
  <c r="R247" i="7"/>
  <c r="L248" i="7"/>
  <c r="M248" i="7"/>
  <c r="N248" i="7"/>
  <c r="Q248" i="7"/>
  <c r="P248" i="7"/>
  <c r="R248" i="7" s="1"/>
  <c r="J249" i="7"/>
  <c r="K249" i="7" s="1"/>
  <c r="O249" i="7"/>
  <c r="H251" i="9"/>
  <c r="I251" i="9" s="1"/>
  <c r="J251" i="9" s="1"/>
  <c r="G252" i="9"/>
  <c r="M250" i="9"/>
  <c r="L250" i="9"/>
  <c r="N250" i="9"/>
  <c r="K250" i="9"/>
  <c r="G251" i="7"/>
  <c r="H250" i="7"/>
  <c r="I250" i="7" s="1"/>
  <c r="K249" i="6"/>
  <c r="M249" i="6"/>
  <c r="N249" i="6"/>
  <c r="L249" i="6"/>
  <c r="G251" i="6"/>
  <c r="H250" i="6"/>
  <c r="I250" i="6" s="1"/>
  <c r="J250" i="6" s="1"/>
  <c r="S251" i="12" l="1"/>
  <c r="O253" i="12"/>
  <c r="J253" i="12"/>
  <c r="P252" i="12"/>
  <c r="Q252" i="12"/>
  <c r="G255" i="12"/>
  <c r="H254" i="12"/>
  <c r="I254" i="12" s="1"/>
  <c r="R251" i="12"/>
  <c r="L252" i="12"/>
  <c r="K252" i="12"/>
  <c r="N252" i="12"/>
  <c r="M252" i="12"/>
  <c r="R249" i="10"/>
  <c r="S250" i="11"/>
  <c r="O252" i="11"/>
  <c r="J252" i="11"/>
  <c r="P251" i="11"/>
  <c r="Q251" i="11"/>
  <c r="G254" i="11"/>
  <c r="H253" i="11"/>
  <c r="I253" i="11" s="1"/>
  <c r="L251" i="11"/>
  <c r="N251" i="11"/>
  <c r="K251" i="11"/>
  <c r="M251" i="11"/>
  <c r="L250" i="10"/>
  <c r="N250" i="10"/>
  <c r="K250" i="10"/>
  <c r="R250" i="10" s="1"/>
  <c r="M250" i="10"/>
  <c r="O251" i="10"/>
  <c r="P250" i="10"/>
  <c r="Q250" i="10"/>
  <c r="H252" i="10"/>
  <c r="I252" i="10" s="1"/>
  <c r="J252" i="10" s="1"/>
  <c r="G253" i="10"/>
  <c r="S248" i="7"/>
  <c r="Q249" i="7"/>
  <c r="P249" i="7"/>
  <c r="R249" i="7" s="1"/>
  <c r="L249" i="7"/>
  <c r="J250" i="7"/>
  <c r="N250" i="7" s="1"/>
  <c r="O250" i="7"/>
  <c r="N249" i="7"/>
  <c r="M249" i="7"/>
  <c r="H252" i="9"/>
  <c r="I252" i="9" s="1"/>
  <c r="J252" i="9" s="1"/>
  <c r="G253" i="9"/>
  <c r="M251" i="9"/>
  <c r="L251" i="9"/>
  <c r="N251" i="9"/>
  <c r="K251" i="9"/>
  <c r="G252" i="7"/>
  <c r="H251" i="7"/>
  <c r="I251" i="7" s="1"/>
  <c r="K250" i="6"/>
  <c r="N250" i="6"/>
  <c r="M250" i="6"/>
  <c r="L250" i="6"/>
  <c r="G252" i="6"/>
  <c r="H251" i="6"/>
  <c r="I251" i="6" s="1"/>
  <c r="J251" i="6" s="1"/>
  <c r="S252" i="12" l="1"/>
  <c r="R252" i="12"/>
  <c r="J254" i="12"/>
  <c r="O254" i="12"/>
  <c r="K253" i="12"/>
  <c r="N253" i="12"/>
  <c r="M253" i="12"/>
  <c r="L253" i="12"/>
  <c r="S251" i="11"/>
  <c r="G256" i="12"/>
  <c r="H255" i="12"/>
  <c r="I255" i="12" s="1"/>
  <c r="Q253" i="12"/>
  <c r="P253" i="12"/>
  <c r="R253" i="12" s="1"/>
  <c r="J253" i="11"/>
  <c r="O253" i="11"/>
  <c r="K252" i="11"/>
  <c r="N252" i="11"/>
  <c r="M252" i="11"/>
  <c r="L252" i="11"/>
  <c r="G255" i="11"/>
  <c r="H254" i="11"/>
  <c r="I254" i="11" s="1"/>
  <c r="Q252" i="11"/>
  <c r="P252" i="11"/>
  <c r="R252" i="11" s="1"/>
  <c r="S250" i="10"/>
  <c r="R251" i="11"/>
  <c r="O252" i="10"/>
  <c r="H253" i="10"/>
  <c r="I253" i="10" s="1"/>
  <c r="J253" i="10" s="1"/>
  <c r="G254" i="10"/>
  <c r="P251" i="10"/>
  <c r="Q251" i="10"/>
  <c r="M251" i="10"/>
  <c r="L251" i="10"/>
  <c r="N251" i="10"/>
  <c r="K251" i="10"/>
  <c r="R251" i="10" s="1"/>
  <c r="S249" i="7"/>
  <c r="J251" i="7"/>
  <c r="M251" i="7" s="1"/>
  <c r="O251" i="7"/>
  <c r="L250" i="7"/>
  <c r="M250" i="7"/>
  <c r="K250" i="7"/>
  <c r="Q250" i="7"/>
  <c r="P250" i="7"/>
  <c r="H253" i="9"/>
  <c r="I253" i="9" s="1"/>
  <c r="J253" i="9" s="1"/>
  <c r="G254" i="9"/>
  <c r="M252" i="9"/>
  <c r="L252" i="9"/>
  <c r="N252" i="9"/>
  <c r="K252" i="9"/>
  <c r="G253" i="7"/>
  <c r="H252" i="7"/>
  <c r="I252" i="7" s="1"/>
  <c r="K251" i="6"/>
  <c r="M251" i="6"/>
  <c r="N251" i="6"/>
  <c r="L251" i="6"/>
  <c r="G253" i="6"/>
  <c r="H252" i="6"/>
  <c r="I252" i="6" s="1"/>
  <c r="J252" i="6" s="1"/>
  <c r="S253" i="12" l="1"/>
  <c r="Q254" i="12"/>
  <c r="P254" i="12"/>
  <c r="O255" i="12"/>
  <c r="J255" i="12"/>
  <c r="N254" i="12"/>
  <c r="L254" i="12"/>
  <c r="K254" i="12"/>
  <c r="M254" i="12"/>
  <c r="S252" i="11"/>
  <c r="G257" i="12"/>
  <c r="H256" i="12"/>
  <c r="I256" i="12" s="1"/>
  <c r="O254" i="11"/>
  <c r="J254" i="11"/>
  <c r="S251" i="10"/>
  <c r="G256" i="11"/>
  <c r="H255" i="11"/>
  <c r="I255" i="11" s="1"/>
  <c r="Q253" i="11"/>
  <c r="P253" i="11"/>
  <c r="N253" i="11"/>
  <c r="M253" i="11"/>
  <c r="L253" i="11"/>
  <c r="K253" i="11"/>
  <c r="G255" i="10"/>
  <c r="H254" i="10"/>
  <c r="I254" i="10" s="1"/>
  <c r="J254" i="10" s="1"/>
  <c r="O253" i="10"/>
  <c r="M252" i="10"/>
  <c r="N252" i="10"/>
  <c r="L252" i="10"/>
  <c r="S252" i="10" s="1"/>
  <c r="K252" i="10"/>
  <c r="R252" i="10" s="1"/>
  <c r="P252" i="10"/>
  <c r="Q252" i="10"/>
  <c r="R250" i="7"/>
  <c r="N251" i="7"/>
  <c r="K251" i="7"/>
  <c r="L251" i="7"/>
  <c r="J252" i="7"/>
  <c r="K252" i="7" s="1"/>
  <c r="O252" i="7"/>
  <c r="S250" i="7"/>
  <c r="Q251" i="7"/>
  <c r="P251" i="7"/>
  <c r="H254" i="9"/>
  <c r="I254" i="9" s="1"/>
  <c r="J254" i="9" s="1"/>
  <c r="G255" i="9"/>
  <c r="M253" i="9"/>
  <c r="L253" i="9"/>
  <c r="N253" i="9"/>
  <c r="K253" i="9"/>
  <c r="G254" i="7"/>
  <c r="H253" i="7"/>
  <c r="I253" i="7" s="1"/>
  <c r="K252" i="6"/>
  <c r="N252" i="6"/>
  <c r="M252" i="6"/>
  <c r="L252" i="6"/>
  <c r="G254" i="6"/>
  <c r="H253" i="6"/>
  <c r="I253" i="6" s="1"/>
  <c r="J253" i="6" s="1"/>
  <c r="M255" i="12" l="1"/>
  <c r="N255" i="12"/>
  <c r="L255" i="12"/>
  <c r="K255" i="12"/>
  <c r="O256" i="12"/>
  <c r="J256" i="12"/>
  <c r="Q255" i="12"/>
  <c r="P255" i="12"/>
  <c r="R255" i="12" s="1"/>
  <c r="G258" i="12"/>
  <c r="H257" i="12"/>
  <c r="I257" i="12" s="1"/>
  <c r="R254" i="12"/>
  <c r="S254" i="12"/>
  <c r="H256" i="11"/>
  <c r="I256" i="11" s="1"/>
  <c r="G257" i="11"/>
  <c r="R253" i="11"/>
  <c r="S253" i="11"/>
  <c r="M254" i="11"/>
  <c r="L254" i="11"/>
  <c r="K254" i="11"/>
  <c r="N254" i="11"/>
  <c r="O255" i="11"/>
  <c r="J255" i="11"/>
  <c r="Q254" i="11"/>
  <c r="P254" i="11"/>
  <c r="R254" i="11" s="1"/>
  <c r="P253" i="10"/>
  <c r="Q253" i="10"/>
  <c r="M253" i="10"/>
  <c r="L253" i="10"/>
  <c r="K253" i="10"/>
  <c r="R253" i="10" s="1"/>
  <c r="N253" i="10"/>
  <c r="O254" i="10"/>
  <c r="G256" i="10"/>
  <c r="H255" i="10"/>
  <c r="I255" i="10" s="1"/>
  <c r="J255" i="10" s="1"/>
  <c r="R251" i="7"/>
  <c r="L252" i="7"/>
  <c r="M252" i="7"/>
  <c r="S251" i="7"/>
  <c r="J253" i="7"/>
  <c r="L253" i="7" s="1"/>
  <c r="O253" i="7"/>
  <c r="N252" i="7"/>
  <c r="Q252" i="7"/>
  <c r="P252" i="7"/>
  <c r="R252" i="7" s="1"/>
  <c r="H255" i="9"/>
  <c r="I255" i="9" s="1"/>
  <c r="J255" i="9" s="1"/>
  <c r="G256" i="9"/>
  <c r="M254" i="9"/>
  <c r="L254" i="9"/>
  <c r="N254" i="9"/>
  <c r="K254" i="9"/>
  <c r="G255" i="7"/>
  <c r="H254" i="7"/>
  <c r="I254" i="7" s="1"/>
  <c r="K253" i="6"/>
  <c r="M253" i="6"/>
  <c r="N253" i="6"/>
  <c r="L253" i="6"/>
  <c r="G255" i="6"/>
  <c r="H254" i="6"/>
  <c r="I254" i="6" s="1"/>
  <c r="J254" i="6" s="1"/>
  <c r="S255" i="12" l="1"/>
  <c r="S254" i="11"/>
  <c r="O257" i="12"/>
  <c r="J257" i="12"/>
  <c r="L256" i="12"/>
  <c r="M256" i="12"/>
  <c r="K256" i="12"/>
  <c r="N256" i="12"/>
  <c r="H258" i="12"/>
  <c r="I258" i="12" s="1"/>
  <c r="G259" i="12"/>
  <c r="P256" i="12"/>
  <c r="Q256" i="12"/>
  <c r="S256" i="12" s="1"/>
  <c r="S253" i="10"/>
  <c r="L255" i="11"/>
  <c r="K255" i="11"/>
  <c r="N255" i="11"/>
  <c r="M255" i="11"/>
  <c r="G258" i="11"/>
  <c r="H257" i="11"/>
  <c r="I257" i="11" s="1"/>
  <c r="P255" i="11"/>
  <c r="R255" i="11" s="1"/>
  <c r="Q255" i="11"/>
  <c r="S255" i="11" s="1"/>
  <c r="O256" i="11"/>
  <c r="J256" i="11"/>
  <c r="M254" i="10"/>
  <c r="N254" i="10"/>
  <c r="L254" i="10"/>
  <c r="K254" i="10"/>
  <c r="R254" i="10" s="1"/>
  <c r="P254" i="10"/>
  <c r="Q254" i="10"/>
  <c r="O255" i="10"/>
  <c r="H256" i="10"/>
  <c r="I256" i="10" s="1"/>
  <c r="J256" i="10" s="1"/>
  <c r="G257" i="10"/>
  <c r="S252" i="7"/>
  <c r="N253" i="7"/>
  <c r="M253" i="7"/>
  <c r="J254" i="7"/>
  <c r="M254" i="7" s="1"/>
  <c r="O254" i="7"/>
  <c r="K253" i="7"/>
  <c r="Q253" i="7"/>
  <c r="S253" i="7" s="1"/>
  <c r="P253" i="7"/>
  <c r="H256" i="9"/>
  <c r="I256" i="9" s="1"/>
  <c r="J256" i="9" s="1"/>
  <c r="G257" i="9"/>
  <c r="M255" i="9"/>
  <c r="L255" i="9"/>
  <c r="N255" i="9"/>
  <c r="K255" i="9"/>
  <c r="G256" i="7"/>
  <c r="H255" i="7"/>
  <c r="I255" i="7" s="1"/>
  <c r="K254" i="6"/>
  <c r="M254" i="6"/>
  <c r="N254" i="6"/>
  <c r="L254" i="6"/>
  <c r="G256" i="6"/>
  <c r="H255" i="6"/>
  <c r="I255" i="6" s="1"/>
  <c r="J255" i="6" s="1"/>
  <c r="R256" i="12" l="1"/>
  <c r="J258" i="12"/>
  <c r="O258" i="12"/>
  <c r="K257" i="12"/>
  <c r="N257" i="12"/>
  <c r="M257" i="12"/>
  <c r="L257" i="12"/>
  <c r="P257" i="12"/>
  <c r="R257" i="12" s="1"/>
  <c r="Q257" i="12"/>
  <c r="S254" i="10"/>
  <c r="G260" i="12"/>
  <c r="H259" i="12"/>
  <c r="I259" i="12" s="1"/>
  <c r="K256" i="11"/>
  <c r="N256" i="11"/>
  <c r="M256" i="11"/>
  <c r="L256" i="11"/>
  <c r="J257" i="11"/>
  <c r="O257" i="11"/>
  <c r="Q256" i="11"/>
  <c r="S256" i="11" s="1"/>
  <c r="P256" i="11"/>
  <c r="R256" i="11" s="1"/>
  <c r="G259" i="11"/>
  <c r="H258" i="11"/>
  <c r="I258" i="11" s="1"/>
  <c r="K255" i="10"/>
  <c r="N255" i="10"/>
  <c r="M255" i="10"/>
  <c r="L255" i="10"/>
  <c r="S255" i="10" s="1"/>
  <c r="Q255" i="10"/>
  <c r="P255" i="10"/>
  <c r="G258" i="10"/>
  <c r="H257" i="10"/>
  <c r="I257" i="10" s="1"/>
  <c r="J257" i="10" s="1"/>
  <c r="O256" i="10"/>
  <c r="R253" i="7"/>
  <c r="Q254" i="7"/>
  <c r="P254" i="7"/>
  <c r="N254" i="7"/>
  <c r="K254" i="7"/>
  <c r="J255" i="7"/>
  <c r="M255" i="7" s="1"/>
  <c r="O255" i="7"/>
  <c r="L254" i="7"/>
  <c r="S254" i="7" s="1"/>
  <c r="H257" i="9"/>
  <c r="I257" i="9" s="1"/>
  <c r="J257" i="9" s="1"/>
  <c r="G258" i="9"/>
  <c r="M256" i="9"/>
  <c r="L256" i="9"/>
  <c r="N256" i="9"/>
  <c r="K256" i="9"/>
  <c r="G257" i="7"/>
  <c r="H256" i="7"/>
  <c r="I256" i="7" s="1"/>
  <c r="K255" i="6"/>
  <c r="M255" i="6"/>
  <c r="N255" i="6"/>
  <c r="L255" i="6"/>
  <c r="G257" i="6"/>
  <c r="H256" i="6"/>
  <c r="I256" i="6" s="1"/>
  <c r="J256" i="6" s="1"/>
  <c r="S257" i="12" l="1"/>
  <c r="O259" i="12"/>
  <c r="J259" i="12"/>
  <c r="G261" i="12"/>
  <c r="H260" i="12"/>
  <c r="I260" i="12" s="1"/>
  <c r="Q258" i="12"/>
  <c r="P258" i="12"/>
  <c r="N258" i="12"/>
  <c r="M258" i="12"/>
  <c r="L258" i="12"/>
  <c r="K258" i="12"/>
  <c r="R255" i="10"/>
  <c r="O258" i="11"/>
  <c r="J258" i="11"/>
  <c r="Q257" i="11"/>
  <c r="P257" i="11"/>
  <c r="G260" i="11"/>
  <c r="H259" i="11"/>
  <c r="I259" i="11" s="1"/>
  <c r="N257" i="11"/>
  <c r="M257" i="11"/>
  <c r="L257" i="11"/>
  <c r="K257" i="11"/>
  <c r="O257" i="10"/>
  <c r="G259" i="10"/>
  <c r="H258" i="10"/>
  <c r="I258" i="10" s="1"/>
  <c r="J258" i="10" s="1"/>
  <c r="M256" i="10"/>
  <c r="N256" i="10"/>
  <c r="L256" i="10"/>
  <c r="K256" i="10"/>
  <c r="Q256" i="10"/>
  <c r="P256" i="10"/>
  <c r="R254" i="7"/>
  <c r="K255" i="7"/>
  <c r="L255" i="7"/>
  <c r="J256" i="7"/>
  <c r="K256" i="7" s="1"/>
  <c r="O256" i="7"/>
  <c r="N255" i="7"/>
  <c r="Q255" i="7"/>
  <c r="P255" i="7"/>
  <c r="H258" i="9"/>
  <c r="I258" i="9" s="1"/>
  <c r="J258" i="9" s="1"/>
  <c r="G259" i="9"/>
  <c r="M257" i="9"/>
  <c r="L257" i="9"/>
  <c r="N257" i="9"/>
  <c r="K257" i="9"/>
  <c r="G258" i="7"/>
  <c r="H257" i="7"/>
  <c r="I257" i="7" s="1"/>
  <c r="K256" i="6"/>
  <c r="M256" i="6"/>
  <c r="N256" i="6"/>
  <c r="L256" i="6"/>
  <c r="G258" i="6"/>
  <c r="H257" i="6"/>
  <c r="I257" i="6" s="1"/>
  <c r="J257" i="6" s="1"/>
  <c r="G262" i="12" l="1"/>
  <c r="H261" i="12"/>
  <c r="I261" i="12" s="1"/>
  <c r="R258" i="12"/>
  <c r="M259" i="12"/>
  <c r="K259" i="12"/>
  <c r="N259" i="12"/>
  <c r="L259" i="12"/>
  <c r="S258" i="12"/>
  <c r="Q259" i="12"/>
  <c r="P259" i="12"/>
  <c r="R259" i="12" s="1"/>
  <c r="R256" i="10"/>
  <c r="J260" i="12"/>
  <c r="O260" i="12"/>
  <c r="S257" i="11"/>
  <c r="O259" i="11"/>
  <c r="J259" i="11"/>
  <c r="M258" i="11"/>
  <c r="L258" i="11"/>
  <c r="K258" i="11"/>
  <c r="N258" i="11"/>
  <c r="G261" i="11"/>
  <c r="H260" i="11"/>
  <c r="I260" i="11" s="1"/>
  <c r="Q258" i="11"/>
  <c r="S258" i="11" s="1"/>
  <c r="P258" i="11"/>
  <c r="R258" i="11" s="1"/>
  <c r="S256" i="10"/>
  <c r="R257" i="11"/>
  <c r="O258" i="10"/>
  <c r="H259" i="10"/>
  <c r="I259" i="10" s="1"/>
  <c r="J259" i="10" s="1"/>
  <c r="G260" i="10"/>
  <c r="K257" i="10"/>
  <c r="N257" i="10"/>
  <c r="L257" i="10"/>
  <c r="S257" i="10" s="1"/>
  <c r="M257" i="10"/>
  <c r="P257" i="10"/>
  <c r="Q257" i="10"/>
  <c r="R255" i="7"/>
  <c r="M256" i="7"/>
  <c r="L256" i="7"/>
  <c r="S255" i="7"/>
  <c r="J257" i="7"/>
  <c r="L257" i="7" s="1"/>
  <c r="O257" i="7"/>
  <c r="N256" i="7"/>
  <c r="Q256" i="7"/>
  <c r="P256" i="7"/>
  <c r="R256" i="7" s="1"/>
  <c r="H259" i="9"/>
  <c r="I259" i="9" s="1"/>
  <c r="J259" i="9" s="1"/>
  <c r="G260" i="9"/>
  <c r="M258" i="9"/>
  <c r="L258" i="9"/>
  <c r="N258" i="9"/>
  <c r="K258" i="9"/>
  <c r="G259" i="7"/>
  <c r="H258" i="7"/>
  <c r="I258" i="7" s="1"/>
  <c r="K257" i="6"/>
  <c r="M257" i="6"/>
  <c r="L257" i="6"/>
  <c r="N257" i="6"/>
  <c r="G259" i="6"/>
  <c r="H258" i="6"/>
  <c r="I258" i="6" s="1"/>
  <c r="J258" i="6" s="1"/>
  <c r="L260" i="12" l="1"/>
  <c r="N260" i="12"/>
  <c r="M260" i="12"/>
  <c r="K260" i="12"/>
  <c r="O261" i="12"/>
  <c r="J261" i="12"/>
  <c r="P260" i="12"/>
  <c r="Q260" i="12"/>
  <c r="S260" i="12" s="1"/>
  <c r="S259" i="12"/>
  <c r="G263" i="12"/>
  <c r="H262" i="12"/>
  <c r="I262" i="12" s="1"/>
  <c r="G262" i="11"/>
  <c r="H261" i="11"/>
  <c r="I261" i="11" s="1"/>
  <c r="L259" i="11"/>
  <c r="K259" i="11"/>
  <c r="N259" i="11"/>
  <c r="M259" i="11"/>
  <c r="P259" i="11"/>
  <c r="Q259" i="11"/>
  <c r="R257" i="10"/>
  <c r="O260" i="11"/>
  <c r="J260" i="11"/>
  <c r="O259" i="10"/>
  <c r="M258" i="10"/>
  <c r="L258" i="10"/>
  <c r="N258" i="10"/>
  <c r="K258" i="10"/>
  <c r="G261" i="10"/>
  <c r="H260" i="10"/>
  <c r="I260" i="10" s="1"/>
  <c r="J260" i="10" s="1"/>
  <c r="P258" i="10"/>
  <c r="Q258" i="10"/>
  <c r="M257" i="7"/>
  <c r="N257" i="7"/>
  <c r="S256" i="7"/>
  <c r="K257" i="7"/>
  <c r="J258" i="7"/>
  <c r="M258" i="7" s="1"/>
  <c r="O258" i="7"/>
  <c r="Q257" i="7"/>
  <c r="S257" i="7" s="1"/>
  <c r="P257" i="7"/>
  <c r="H260" i="9"/>
  <c r="I260" i="9" s="1"/>
  <c r="J260" i="9" s="1"/>
  <c r="G261" i="9"/>
  <c r="M259" i="9"/>
  <c r="L259" i="9"/>
  <c r="N259" i="9"/>
  <c r="K259" i="9"/>
  <c r="G260" i="7"/>
  <c r="H259" i="7"/>
  <c r="I259" i="7" s="1"/>
  <c r="K258" i="6"/>
  <c r="M258" i="6"/>
  <c r="N258" i="6"/>
  <c r="L258" i="6"/>
  <c r="G260" i="6"/>
  <c r="H259" i="6"/>
  <c r="I259" i="6" s="1"/>
  <c r="J259" i="6" s="1"/>
  <c r="S259" i="11" l="1"/>
  <c r="J262" i="12"/>
  <c r="O262" i="12"/>
  <c r="R260" i="12"/>
  <c r="G264" i="12"/>
  <c r="H263" i="12"/>
  <c r="I263" i="12" s="1"/>
  <c r="K261" i="12"/>
  <c r="L261" i="12"/>
  <c r="N261" i="12"/>
  <c r="M261" i="12"/>
  <c r="Q261" i="12"/>
  <c r="P261" i="12"/>
  <c r="R258" i="10"/>
  <c r="K260" i="11"/>
  <c r="N260" i="11"/>
  <c r="M260" i="11"/>
  <c r="L260" i="11"/>
  <c r="R259" i="11"/>
  <c r="S258" i="10"/>
  <c r="Q260" i="11"/>
  <c r="S260" i="11" s="1"/>
  <c r="P260" i="11"/>
  <c r="J261" i="11"/>
  <c r="O261" i="11"/>
  <c r="G263" i="11"/>
  <c r="H262" i="11"/>
  <c r="I262" i="11" s="1"/>
  <c r="O260" i="10"/>
  <c r="H261" i="10"/>
  <c r="I261" i="10" s="1"/>
  <c r="J261" i="10" s="1"/>
  <c r="G262" i="10"/>
  <c r="Q259" i="10"/>
  <c r="P259" i="10"/>
  <c r="N259" i="10"/>
  <c r="M259" i="10"/>
  <c r="L259" i="10"/>
  <c r="S259" i="10" s="1"/>
  <c r="K259" i="10"/>
  <c r="R259" i="10" s="1"/>
  <c r="R257" i="7"/>
  <c r="Q258" i="7"/>
  <c r="P258" i="7"/>
  <c r="K258" i="7"/>
  <c r="R258" i="7" s="1"/>
  <c r="L258" i="7"/>
  <c r="N258" i="7"/>
  <c r="J259" i="7"/>
  <c r="K259" i="7" s="1"/>
  <c r="O259" i="7"/>
  <c r="H261" i="9"/>
  <c r="I261" i="9" s="1"/>
  <c r="J261" i="9" s="1"/>
  <c r="G262" i="9"/>
  <c r="M260" i="9"/>
  <c r="L260" i="9"/>
  <c r="N260" i="9"/>
  <c r="K260" i="9"/>
  <c r="G261" i="7"/>
  <c r="H260" i="7"/>
  <c r="I260" i="7" s="1"/>
  <c r="K259" i="6"/>
  <c r="M259" i="6"/>
  <c r="N259" i="6"/>
  <c r="L259" i="6"/>
  <c r="G261" i="6"/>
  <c r="H260" i="6"/>
  <c r="I260" i="6" s="1"/>
  <c r="J260" i="6" s="1"/>
  <c r="S261" i="12" l="1"/>
  <c r="R261" i="12"/>
  <c r="Q262" i="12"/>
  <c r="P262" i="12"/>
  <c r="O263" i="12"/>
  <c r="J263" i="12"/>
  <c r="N262" i="12"/>
  <c r="M262" i="12"/>
  <c r="L262" i="12"/>
  <c r="K262" i="12"/>
  <c r="R260" i="11"/>
  <c r="G265" i="12"/>
  <c r="H264" i="12"/>
  <c r="I264" i="12" s="1"/>
  <c r="G264" i="11"/>
  <c r="H263" i="11"/>
  <c r="I263" i="11" s="1"/>
  <c r="Q261" i="11"/>
  <c r="P261" i="11"/>
  <c r="N261" i="11"/>
  <c r="M261" i="11"/>
  <c r="L261" i="11"/>
  <c r="K261" i="11"/>
  <c r="O262" i="11"/>
  <c r="J262" i="11"/>
  <c r="H262" i="10"/>
  <c r="I262" i="10" s="1"/>
  <c r="J262" i="10" s="1"/>
  <c r="G263" i="10"/>
  <c r="O261" i="10"/>
  <c r="M260" i="10"/>
  <c r="L260" i="10"/>
  <c r="S260" i="10" s="1"/>
  <c r="K260" i="10"/>
  <c r="N260" i="10"/>
  <c r="Q260" i="10"/>
  <c r="P260" i="10"/>
  <c r="S258" i="7"/>
  <c r="J260" i="7"/>
  <c r="L260" i="7" s="1"/>
  <c r="O260" i="7"/>
  <c r="N259" i="7"/>
  <c r="L259" i="7"/>
  <c r="Q259" i="7"/>
  <c r="P259" i="7"/>
  <c r="R259" i="7" s="1"/>
  <c r="M259" i="7"/>
  <c r="H262" i="9"/>
  <c r="I262" i="9" s="1"/>
  <c r="J262" i="9" s="1"/>
  <c r="G263" i="9"/>
  <c r="M261" i="9"/>
  <c r="L261" i="9"/>
  <c r="N261" i="9"/>
  <c r="K261" i="9"/>
  <c r="G262" i="7"/>
  <c r="H261" i="7"/>
  <c r="I261" i="7" s="1"/>
  <c r="K260" i="6"/>
  <c r="M260" i="6"/>
  <c r="N260" i="6"/>
  <c r="L260" i="6"/>
  <c r="G262" i="6"/>
  <c r="H261" i="6"/>
  <c r="I261" i="6" s="1"/>
  <c r="J261" i="6" s="1"/>
  <c r="J264" i="12" l="1"/>
  <c r="O264" i="12"/>
  <c r="Q263" i="12"/>
  <c r="P263" i="12"/>
  <c r="G266" i="12"/>
  <c r="H265" i="12"/>
  <c r="I265" i="12" s="1"/>
  <c r="R262" i="12"/>
  <c r="S262" i="12"/>
  <c r="M263" i="12"/>
  <c r="L263" i="12"/>
  <c r="K263" i="12"/>
  <c r="N263" i="12"/>
  <c r="R260" i="10"/>
  <c r="R261" i="11"/>
  <c r="S261" i="11"/>
  <c r="M262" i="11"/>
  <c r="L262" i="11"/>
  <c r="K262" i="11"/>
  <c r="N262" i="11"/>
  <c r="O263" i="11"/>
  <c r="J263" i="11"/>
  <c r="Q262" i="11"/>
  <c r="S262" i="11" s="1"/>
  <c r="P262" i="11"/>
  <c r="H264" i="11"/>
  <c r="I264" i="11" s="1"/>
  <c r="G265" i="11"/>
  <c r="L261" i="10"/>
  <c r="K261" i="10"/>
  <c r="N261" i="10"/>
  <c r="M261" i="10"/>
  <c r="Q261" i="10"/>
  <c r="P261" i="10"/>
  <c r="G264" i="10"/>
  <c r="H263" i="10"/>
  <c r="I263" i="10" s="1"/>
  <c r="J263" i="10" s="1"/>
  <c r="O262" i="10"/>
  <c r="S259" i="7"/>
  <c r="N260" i="7"/>
  <c r="K260" i="7"/>
  <c r="M260" i="7"/>
  <c r="J261" i="7"/>
  <c r="N261" i="7" s="1"/>
  <c r="O261" i="7"/>
  <c r="Q260" i="7"/>
  <c r="S260" i="7" s="1"/>
  <c r="P260" i="7"/>
  <c r="H263" i="9"/>
  <c r="I263" i="9" s="1"/>
  <c r="J263" i="9" s="1"/>
  <c r="G264" i="9"/>
  <c r="M262" i="9"/>
  <c r="L262" i="9"/>
  <c r="N262" i="9"/>
  <c r="K262" i="9"/>
  <c r="G263" i="7"/>
  <c r="H262" i="7"/>
  <c r="I262" i="7" s="1"/>
  <c r="K261" i="6"/>
  <c r="M261" i="6"/>
  <c r="L261" i="6"/>
  <c r="N261" i="6"/>
  <c r="G263" i="6"/>
  <c r="H262" i="6"/>
  <c r="I262" i="6" s="1"/>
  <c r="J262" i="6" s="1"/>
  <c r="R263" i="12" l="1"/>
  <c r="R262" i="11"/>
  <c r="S263" i="12"/>
  <c r="O265" i="12"/>
  <c r="J265" i="12"/>
  <c r="P264" i="12"/>
  <c r="Q264" i="12"/>
  <c r="G267" i="12"/>
  <c r="H266" i="12"/>
  <c r="I266" i="12" s="1"/>
  <c r="N264" i="12"/>
  <c r="L264" i="12"/>
  <c r="M264" i="12"/>
  <c r="K264" i="12"/>
  <c r="O264" i="11"/>
  <c r="J264" i="11"/>
  <c r="P263" i="11"/>
  <c r="Q263" i="11"/>
  <c r="R261" i="10"/>
  <c r="S261" i="10"/>
  <c r="G266" i="11"/>
  <c r="H265" i="11"/>
  <c r="I265" i="11" s="1"/>
  <c r="L263" i="11"/>
  <c r="K263" i="11"/>
  <c r="N263" i="11"/>
  <c r="M263" i="11"/>
  <c r="O263" i="10"/>
  <c r="H264" i="10"/>
  <c r="I264" i="10" s="1"/>
  <c r="J264" i="10" s="1"/>
  <c r="G265" i="10"/>
  <c r="P262" i="10"/>
  <c r="Q262" i="10"/>
  <c r="K262" i="10"/>
  <c r="R262" i="10" s="1"/>
  <c r="L262" i="10"/>
  <c r="N262" i="10"/>
  <c r="M262" i="10"/>
  <c r="R260" i="7"/>
  <c r="Q261" i="7"/>
  <c r="P261" i="7"/>
  <c r="M261" i="7"/>
  <c r="K261" i="7"/>
  <c r="L261" i="7"/>
  <c r="S261" i="7" s="1"/>
  <c r="J262" i="7"/>
  <c r="N262" i="7" s="1"/>
  <c r="O262" i="7"/>
  <c r="H264" i="9"/>
  <c r="I264" i="9" s="1"/>
  <c r="J264" i="9" s="1"/>
  <c r="G265" i="9"/>
  <c r="M263" i="9"/>
  <c r="L263" i="9"/>
  <c r="N263" i="9"/>
  <c r="K263" i="9"/>
  <c r="G264" i="7"/>
  <c r="H263" i="7"/>
  <c r="I263" i="7" s="1"/>
  <c r="K262" i="6"/>
  <c r="M262" i="6"/>
  <c r="N262" i="6"/>
  <c r="L262" i="6"/>
  <c r="G264" i="6"/>
  <c r="H263" i="6"/>
  <c r="I263" i="6" s="1"/>
  <c r="J263" i="6" s="1"/>
  <c r="H267" i="12" l="1"/>
  <c r="I267" i="12" s="1"/>
  <c r="G268" i="12"/>
  <c r="Q265" i="12"/>
  <c r="P265" i="12"/>
  <c r="R265" i="12" s="1"/>
  <c r="S264" i="12"/>
  <c r="R264" i="12"/>
  <c r="J266" i="12"/>
  <c r="O266" i="12"/>
  <c r="M265" i="12"/>
  <c r="K265" i="12"/>
  <c r="L265" i="12"/>
  <c r="N265" i="12"/>
  <c r="J265" i="11"/>
  <c r="O265" i="11"/>
  <c r="S263" i="11"/>
  <c r="S262" i="10"/>
  <c r="G267" i="11"/>
  <c r="H266" i="11"/>
  <c r="I266" i="11" s="1"/>
  <c r="R263" i="11"/>
  <c r="K264" i="11"/>
  <c r="N264" i="11"/>
  <c r="M264" i="11"/>
  <c r="L264" i="11"/>
  <c r="Q264" i="11"/>
  <c r="P264" i="11"/>
  <c r="R264" i="11" s="1"/>
  <c r="H265" i="10"/>
  <c r="I265" i="10" s="1"/>
  <c r="J265" i="10" s="1"/>
  <c r="G266" i="10"/>
  <c r="O264" i="10"/>
  <c r="Q263" i="10"/>
  <c r="P263" i="10"/>
  <c r="L263" i="10"/>
  <c r="N263" i="10"/>
  <c r="M263" i="10"/>
  <c r="K263" i="10"/>
  <c r="R263" i="10" s="1"/>
  <c r="R261" i="7"/>
  <c r="K262" i="7"/>
  <c r="J263" i="7"/>
  <c r="K263" i="7" s="1"/>
  <c r="O263" i="7"/>
  <c r="L262" i="7"/>
  <c r="Q262" i="7"/>
  <c r="P262" i="7"/>
  <c r="M262" i="7"/>
  <c r="H265" i="9"/>
  <c r="I265" i="9" s="1"/>
  <c r="J265" i="9" s="1"/>
  <c r="G266" i="9"/>
  <c r="M264" i="9"/>
  <c r="L264" i="9"/>
  <c r="N264" i="9"/>
  <c r="K264" i="9"/>
  <c r="G265" i="7"/>
  <c r="H264" i="7"/>
  <c r="I264" i="7" s="1"/>
  <c r="K263" i="6"/>
  <c r="M263" i="6"/>
  <c r="N263" i="6"/>
  <c r="L263" i="6"/>
  <c r="G265" i="6"/>
  <c r="H264" i="6"/>
  <c r="I264" i="6" s="1"/>
  <c r="J264" i="6" s="1"/>
  <c r="S264" i="11" l="1"/>
  <c r="P266" i="12"/>
  <c r="Q266" i="12"/>
  <c r="L266" i="12"/>
  <c r="N266" i="12"/>
  <c r="M266" i="12"/>
  <c r="K266" i="12"/>
  <c r="S265" i="12"/>
  <c r="G269" i="12"/>
  <c r="H268" i="12"/>
  <c r="I268" i="12" s="1"/>
  <c r="O267" i="12"/>
  <c r="J267" i="12"/>
  <c r="S263" i="10"/>
  <c r="O266" i="11"/>
  <c r="J266" i="11"/>
  <c r="Q265" i="11"/>
  <c r="P265" i="11"/>
  <c r="G268" i="11"/>
  <c r="H267" i="11"/>
  <c r="I267" i="11" s="1"/>
  <c r="N265" i="11"/>
  <c r="M265" i="11"/>
  <c r="L265" i="11"/>
  <c r="K265" i="11"/>
  <c r="P264" i="10"/>
  <c r="Q264" i="10"/>
  <c r="M264" i="10"/>
  <c r="L264" i="10"/>
  <c r="S264" i="10" s="1"/>
  <c r="N264" i="10"/>
  <c r="K264" i="10"/>
  <c r="H266" i="10"/>
  <c r="I266" i="10" s="1"/>
  <c r="J266" i="10" s="1"/>
  <c r="G267" i="10"/>
  <c r="O265" i="10"/>
  <c r="R262" i="7"/>
  <c r="S262" i="7"/>
  <c r="L263" i="7"/>
  <c r="Q263" i="7"/>
  <c r="P263" i="7"/>
  <c r="R263" i="7" s="1"/>
  <c r="J264" i="7"/>
  <c r="N264" i="7" s="1"/>
  <c r="O264" i="7"/>
  <c r="N263" i="7"/>
  <c r="M263" i="7"/>
  <c r="H266" i="9"/>
  <c r="I266" i="9" s="1"/>
  <c r="J266" i="9" s="1"/>
  <c r="G267" i="9"/>
  <c r="M265" i="9"/>
  <c r="L265" i="9"/>
  <c r="N265" i="9"/>
  <c r="K265" i="9"/>
  <c r="G266" i="7"/>
  <c r="H265" i="7"/>
  <c r="I265" i="7" s="1"/>
  <c r="K264" i="6"/>
  <c r="M264" i="6"/>
  <c r="N264" i="6"/>
  <c r="L264" i="6"/>
  <c r="G266" i="6"/>
  <c r="H265" i="6"/>
  <c r="I265" i="6" s="1"/>
  <c r="J265" i="6" s="1"/>
  <c r="K267" i="12" l="1"/>
  <c r="M267" i="12"/>
  <c r="N267" i="12"/>
  <c r="L267" i="12"/>
  <c r="Q267" i="12"/>
  <c r="P267" i="12"/>
  <c r="R267" i="12" s="1"/>
  <c r="S266" i="12"/>
  <c r="J268" i="12"/>
  <c r="O268" i="12"/>
  <c r="R266" i="12"/>
  <c r="H269" i="12"/>
  <c r="I269" i="12" s="1"/>
  <c r="G270" i="12"/>
  <c r="S265" i="11"/>
  <c r="O267" i="11"/>
  <c r="J267" i="11"/>
  <c r="M266" i="11"/>
  <c r="L266" i="11"/>
  <c r="K266" i="11"/>
  <c r="N266" i="11"/>
  <c r="G269" i="11"/>
  <c r="H268" i="11"/>
  <c r="I268" i="11" s="1"/>
  <c r="Q266" i="11"/>
  <c r="S266" i="11" s="1"/>
  <c r="P266" i="11"/>
  <c r="R266" i="11" s="1"/>
  <c r="R264" i="10"/>
  <c r="R265" i="11"/>
  <c r="G268" i="10"/>
  <c r="H267" i="10"/>
  <c r="I267" i="10" s="1"/>
  <c r="J267" i="10" s="1"/>
  <c r="O266" i="10"/>
  <c r="Q265" i="10"/>
  <c r="P265" i="10"/>
  <c r="M265" i="10"/>
  <c r="N265" i="10"/>
  <c r="K265" i="10"/>
  <c r="L265" i="10"/>
  <c r="S265" i="10" s="1"/>
  <c r="S263" i="7"/>
  <c r="J265" i="7"/>
  <c r="N265" i="7" s="1"/>
  <c r="O265" i="7"/>
  <c r="L264" i="7"/>
  <c r="M264" i="7"/>
  <c r="K264" i="7"/>
  <c r="Q264" i="7"/>
  <c r="P264" i="7"/>
  <c r="H267" i="9"/>
  <c r="I267" i="9" s="1"/>
  <c r="J267" i="9" s="1"/>
  <c r="G268" i="9"/>
  <c r="M266" i="9"/>
  <c r="L266" i="9"/>
  <c r="N266" i="9"/>
  <c r="K266" i="9"/>
  <c r="H266" i="7"/>
  <c r="I266" i="7" s="1"/>
  <c r="G267" i="7"/>
  <c r="K265" i="6"/>
  <c r="M265" i="6"/>
  <c r="L265" i="6"/>
  <c r="N265" i="6"/>
  <c r="G267" i="6"/>
  <c r="H266" i="6"/>
  <c r="I266" i="6" s="1"/>
  <c r="J266" i="6" s="1"/>
  <c r="G271" i="12" l="1"/>
  <c r="H270" i="12"/>
  <c r="I270" i="12" s="1"/>
  <c r="N268" i="12"/>
  <c r="L268" i="12"/>
  <c r="M268" i="12"/>
  <c r="K268" i="12"/>
  <c r="O269" i="12"/>
  <c r="J269" i="12"/>
  <c r="P268" i="12"/>
  <c r="Q268" i="12"/>
  <c r="S267" i="12"/>
  <c r="G270" i="11"/>
  <c r="H269" i="11"/>
  <c r="I269" i="11" s="1"/>
  <c r="L267" i="11"/>
  <c r="K267" i="11"/>
  <c r="N267" i="11"/>
  <c r="M267" i="11"/>
  <c r="P267" i="11"/>
  <c r="Q267" i="11"/>
  <c r="S267" i="11" s="1"/>
  <c r="R265" i="10"/>
  <c r="J268" i="11"/>
  <c r="O268" i="11"/>
  <c r="Q266" i="10"/>
  <c r="P266" i="10"/>
  <c r="O267" i="10"/>
  <c r="L266" i="10"/>
  <c r="S266" i="10" s="1"/>
  <c r="M266" i="10"/>
  <c r="N266" i="10"/>
  <c r="K266" i="10"/>
  <c r="R266" i="10" s="1"/>
  <c r="G269" i="10"/>
  <c r="H268" i="10"/>
  <c r="I268" i="10" s="1"/>
  <c r="J268" i="10" s="1"/>
  <c r="R264" i="7"/>
  <c r="K265" i="7"/>
  <c r="L265" i="7"/>
  <c r="M265" i="7"/>
  <c r="S264" i="7"/>
  <c r="J266" i="7"/>
  <c r="L266" i="7" s="1"/>
  <c r="O266" i="7"/>
  <c r="Q265" i="7"/>
  <c r="P265" i="7"/>
  <c r="H268" i="9"/>
  <c r="I268" i="9" s="1"/>
  <c r="J268" i="9" s="1"/>
  <c r="G269" i="9"/>
  <c r="M267" i="9"/>
  <c r="L267" i="9"/>
  <c r="N267" i="9"/>
  <c r="K267" i="9"/>
  <c r="H267" i="7"/>
  <c r="I267" i="7" s="1"/>
  <c r="G268" i="7"/>
  <c r="K266" i="6"/>
  <c r="M266" i="6"/>
  <c r="N266" i="6"/>
  <c r="L266" i="6"/>
  <c r="G268" i="6"/>
  <c r="H267" i="6"/>
  <c r="I267" i="6" s="1"/>
  <c r="J267" i="6" s="1"/>
  <c r="S268" i="12" l="1"/>
  <c r="M269" i="12"/>
  <c r="K269" i="12"/>
  <c r="N269" i="12"/>
  <c r="L269" i="12"/>
  <c r="Q269" i="12"/>
  <c r="P269" i="12"/>
  <c r="J270" i="12"/>
  <c r="O270" i="12"/>
  <c r="R268" i="12"/>
  <c r="G272" i="12"/>
  <c r="H271" i="12"/>
  <c r="I271" i="12" s="1"/>
  <c r="Q268" i="11"/>
  <c r="P268" i="11"/>
  <c r="R267" i="11"/>
  <c r="N268" i="11"/>
  <c r="L268" i="11"/>
  <c r="K268" i="11"/>
  <c r="M268" i="11"/>
  <c r="O269" i="11"/>
  <c r="J269" i="11"/>
  <c r="G271" i="11"/>
  <c r="H270" i="11"/>
  <c r="I270" i="11" s="1"/>
  <c r="M267" i="10"/>
  <c r="L267" i="10"/>
  <c r="N267" i="10"/>
  <c r="K267" i="10"/>
  <c r="R267" i="10" s="1"/>
  <c r="O268" i="10"/>
  <c r="Q267" i="10"/>
  <c r="P267" i="10"/>
  <c r="G270" i="10"/>
  <c r="H269" i="10"/>
  <c r="I269" i="10" s="1"/>
  <c r="J269" i="10" s="1"/>
  <c r="S265" i="7"/>
  <c r="R265" i="7"/>
  <c r="Q266" i="7"/>
  <c r="S266" i="7" s="1"/>
  <c r="P266" i="7"/>
  <c r="N266" i="7"/>
  <c r="K266" i="7"/>
  <c r="M266" i="7"/>
  <c r="J267" i="7"/>
  <c r="N267" i="7" s="1"/>
  <c r="O267" i="7"/>
  <c r="H269" i="9"/>
  <c r="I269" i="9" s="1"/>
  <c r="J269" i="9" s="1"/>
  <c r="G270" i="9"/>
  <c r="M268" i="9"/>
  <c r="L268" i="9"/>
  <c r="N268" i="9"/>
  <c r="K268" i="9"/>
  <c r="H268" i="7"/>
  <c r="I268" i="7" s="1"/>
  <c r="G269" i="7"/>
  <c r="K267" i="6"/>
  <c r="M267" i="6"/>
  <c r="N267" i="6"/>
  <c r="L267" i="6"/>
  <c r="G269" i="6"/>
  <c r="H268" i="6"/>
  <c r="I268" i="6" s="1"/>
  <c r="J268" i="6" s="1"/>
  <c r="R269" i="12" l="1"/>
  <c r="O271" i="12"/>
  <c r="J271" i="12"/>
  <c r="L270" i="12"/>
  <c r="N270" i="12"/>
  <c r="K270" i="12"/>
  <c r="M270" i="12"/>
  <c r="P270" i="12"/>
  <c r="R270" i="12" s="1"/>
  <c r="Q270" i="12"/>
  <c r="G273" i="12"/>
  <c r="H272" i="12"/>
  <c r="I272" i="12" s="1"/>
  <c r="S269" i="12"/>
  <c r="Q269" i="11"/>
  <c r="P269" i="11"/>
  <c r="O270" i="11"/>
  <c r="J270" i="11"/>
  <c r="G272" i="11"/>
  <c r="H271" i="11"/>
  <c r="I271" i="11" s="1"/>
  <c r="R268" i="11"/>
  <c r="S267" i="10"/>
  <c r="M269" i="11"/>
  <c r="N269" i="11"/>
  <c r="L269" i="11"/>
  <c r="K269" i="11"/>
  <c r="S268" i="11"/>
  <c r="L268" i="10"/>
  <c r="K268" i="10"/>
  <c r="M268" i="10"/>
  <c r="N268" i="10"/>
  <c r="O269" i="10"/>
  <c r="G271" i="10"/>
  <c r="H270" i="10"/>
  <c r="I270" i="10" s="1"/>
  <c r="J270" i="10" s="1"/>
  <c r="Q268" i="10"/>
  <c r="P268" i="10"/>
  <c r="R266" i="7"/>
  <c r="K267" i="7"/>
  <c r="R267" i="7" s="1"/>
  <c r="L267" i="7"/>
  <c r="Q267" i="7"/>
  <c r="P267" i="7"/>
  <c r="J268" i="7"/>
  <c r="K268" i="7" s="1"/>
  <c r="O268" i="7"/>
  <c r="M267" i="7"/>
  <c r="H270" i="9"/>
  <c r="I270" i="9" s="1"/>
  <c r="J270" i="9" s="1"/>
  <c r="G271" i="9"/>
  <c r="M269" i="9"/>
  <c r="L269" i="9"/>
  <c r="N269" i="9"/>
  <c r="K269" i="9"/>
  <c r="H269" i="7"/>
  <c r="I269" i="7" s="1"/>
  <c r="G270" i="7"/>
  <c r="K268" i="6"/>
  <c r="M268" i="6"/>
  <c r="N268" i="6"/>
  <c r="L268" i="6"/>
  <c r="G270" i="6"/>
  <c r="H269" i="6"/>
  <c r="I269" i="6" s="1"/>
  <c r="J269" i="6" s="1"/>
  <c r="S270" i="12" l="1"/>
  <c r="J272" i="12"/>
  <c r="O272" i="12"/>
  <c r="K271" i="12"/>
  <c r="M271" i="12"/>
  <c r="N271" i="12"/>
  <c r="L271" i="12"/>
  <c r="S268" i="10"/>
  <c r="G274" i="12"/>
  <c r="H273" i="12"/>
  <c r="I273" i="12" s="1"/>
  <c r="Q271" i="12"/>
  <c r="P271" i="12"/>
  <c r="R271" i="12" s="1"/>
  <c r="L270" i="11"/>
  <c r="M270" i="11"/>
  <c r="K270" i="11"/>
  <c r="N270" i="11"/>
  <c r="R268" i="10"/>
  <c r="P270" i="11"/>
  <c r="R270" i="11" s="1"/>
  <c r="Q270" i="11"/>
  <c r="O271" i="11"/>
  <c r="J271" i="11"/>
  <c r="R269" i="11"/>
  <c r="H272" i="11"/>
  <c r="I272" i="11" s="1"/>
  <c r="G273" i="11"/>
  <c r="S269" i="11"/>
  <c r="O270" i="10"/>
  <c r="G272" i="10"/>
  <c r="H271" i="10"/>
  <c r="I271" i="10" s="1"/>
  <c r="J271" i="10" s="1"/>
  <c r="N269" i="10"/>
  <c r="M269" i="10"/>
  <c r="L269" i="10"/>
  <c r="K269" i="10"/>
  <c r="P269" i="10"/>
  <c r="Q269" i="10"/>
  <c r="S267" i="7"/>
  <c r="M268" i="7"/>
  <c r="N268" i="7"/>
  <c r="L268" i="7"/>
  <c r="J269" i="7"/>
  <c r="N269" i="7" s="1"/>
  <c r="O269" i="7"/>
  <c r="Q268" i="7"/>
  <c r="P268" i="7"/>
  <c r="R268" i="7" s="1"/>
  <c r="H271" i="9"/>
  <c r="I271" i="9" s="1"/>
  <c r="J271" i="9" s="1"/>
  <c r="G272" i="9"/>
  <c r="M270" i="9"/>
  <c r="L270" i="9"/>
  <c r="N270" i="9"/>
  <c r="K270" i="9"/>
  <c r="H270" i="7"/>
  <c r="I270" i="7" s="1"/>
  <c r="G271" i="7"/>
  <c r="K269" i="6"/>
  <c r="M269" i="6"/>
  <c r="L269" i="6"/>
  <c r="N269" i="6"/>
  <c r="G271" i="6"/>
  <c r="H270" i="6"/>
  <c r="I270" i="6" s="1"/>
  <c r="J270" i="6" s="1"/>
  <c r="S271" i="12" l="1"/>
  <c r="H274" i="12"/>
  <c r="I274" i="12" s="1"/>
  <c r="G275" i="12"/>
  <c r="R269" i="10"/>
  <c r="S270" i="11"/>
  <c r="P272" i="12"/>
  <c r="Q272" i="12"/>
  <c r="O273" i="12"/>
  <c r="J273" i="12"/>
  <c r="N272" i="12"/>
  <c r="L272" i="12"/>
  <c r="M272" i="12"/>
  <c r="K272" i="12"/>
  <c r="G274" i="11"/>
  <c r="H273" i="11"/>
  <c r="I273" i="11" s="1"/>
  <c r="Q271" i="11"/>
  <c r="P271" i="11"/>
  <c r="S269" i="10"/>
  <c r="J272" i="11"/>
  <c r="O272" i="11"/>
  <c r="K271" i="11"/>
  <c r="N271" i="11"/>
  <c r="M271" i="11"/>
  <c r="L271" i="11"/>
  <c r="O271" i="10"/>
  <c r="G273" i="10"/>
  <c r="H272" i="10"/>
  <c r="I272" i="10" s="1"/>
  <c r="J272" i="10" s="1"/>
  <c r="K270" i="10"/>
  <c r="N270" i="10"/>
  <c r="M270" i="10"/>
  <c r="L270" i="10"/>
  <c r="S270" i="10" s="1"/>
  <c r="Q270" i="10"/>
  <c r="P270" i="10"/>
  <c r="L269" i="7"/>
  <c r="S268" i="7"/>
  <c r="K269" i="7"/>
  <c r="J270" i="7"/>
  <c r="N270" i="7" s="1"/>
  <c r="O270" i="7"/>
  <c r="M269" i="7"/>
  <c r="Q269" i="7"/>
  <c r="P269" i="7"/>
  <c r="H272" i="9"/>
  <c r="I272" i="9" s="1"/>
  <c r="J272" i="9" s="1"/>
  <c r="G273" i="9"/>
  <c r="M271" i="9"/>
  <c r="L271" i="9"/>
  <c r="N271" i="9"/>
  <c r="K271" i="9"/>
  <c r="H271" i="7"/>
  <c r="I271" i="7" s="1"/>
  <c r="G272" i="7"/>
  <c r="K270" i="6"/>
  <c r="M270" i="6"/>
  <c r="N270" i="6"/>
  <c r="L270" i="6"/>
  <c r="G272" i="6"/>
  <c r="H271" i="6"/>
  <c r="I271" i="6" s="1"/>
  <c r="J271" i="6" s="1"/>
  <c r="M273" i="12" l="1"/>
  <c r="K273" i="12"/>
  <c r="L273" i="12"/>
  <c r="N273" i="12"/>
  <c r="Q273" i="12"/>
  <c r="P273" i="12"/>
  <c r="S272" i="12"/>
  <c r="H275" i="12"/>
  <c r="I275" i="12" s="1"/>
  <c r="G276" i="12"/>
  <c r="R272" i="12"/>
  <c r="O274" i="12"/>
  <c r="J274" i="12"/>
  <c r="R271" i="11"/>
  <c r="R270" i="10"/>
  <c r="Q272" i="11"/>
  <c r="P272" i="11"/>
  <c r="S271" i="11"/>
  <c r="N272" i="11"/>
  <c r="L272" i="11"/>
  <c r="K272" i="11"/>
  <c r="M272" i="11"/>
  <c r="O273" i="11"/>
  <c r="J273" i="11"/>
  <c r="G275" i="11"/>
  <c r="H274" i="11"/>
  <c r="I274" i="11" s="1"/>
  <c r="O272" i="10"/>
  <c r="G274" i="10"/>
  <c r="H273" i="10"/>
  <c r="I273" i="10" s="1"/>
  <c r="J273" i="10" s="1"/>
  <c r="P271" i="10"/>
  <c r="Q271" i="10"/>
  <c r="N271" i="10"/>
  <c r="M271" i="10"/>
  <c r="L271" i="10"/>
  <c r="K271" i="10"/>
  <c r="R271" i="10" s="1"/>
  <c r="R269" i="7"/>
  <c r="S269" i="7"/>
  <c r="K270" i="7"/>
  <c r="L270" i="7"/>
  <c r="M270" i="7"/>
  <c r="Q270" i="7"/>
  <c r="P270" i="7"/>
  <c r="J271" i="7"/>
  <c r="K271" i="7" s="1"/>
  <c r="O271" i="7"/>
  <c r="H273" i="9"/>
  <c r="I273" i="9" s="1"/>
  <c r="J273" i="9" s="1"/>
  <c r="G274" i="9"/>
  <c r="M272" i="9"/>
  <c r="L272" i="9"/>
  <c r="N272" i="9"/>
  <c r="K272" i="9"/>
  <c r="H272" i="7"/>
  <c r="I272" i="7" s="1"/>
  <c r="G273" i="7"/>
  <c r="K271" i="6"/>
  <c r="M271" i="6"/>
  <c r="N271" i="6"/>
  <c r="L271" i="6"/>
  <c r="G273" i="6"/>
  <c r="H272" i="6"/>
  <c r="I272" i="6" s="1"/>
  <c r="J272" i="6" s="1"/>
  <c r="R273" i="12" l="1"/>
  <c r="J275" i="12"/>
  <c r="O275" i="12"/>
  <c r="P274" i="12"/>
  <c r="Q274" i="12"/>
  <c r="K274" i="12"/>
  <c r="M274" i="12"/>
  <c r="N274" i="12"/>
  <c r="L274" i="12"/>
  <c r="H276" i="12"/>
  <c r="I276" i="12" s="1"/>
  <c r="G277" i="12"/>
  <c r="S273" i="12"/>
  <c r="H275" i="11"/>
  <c r="I275" i="11" s="1"/>
  <c r="G276" i="11"/>
  <c r="R272" i="11"/>
  <c r="M273" i="11"/>
  <c r="L273" i="11"/>
  <c r="K273" i="11"/>
  <c r="N273" i="11"/>
  <c r="S272" i="11"/>
  <c r="Q273" i="11"/>
  <c r="S273" i="11" s="1"/>
  <c r="P273" i="11"/>
  <c r="R273" i="11" s="1"/>
  <c r="S271" i="10"/>
  <c r="J274" i="11"/>
  <c r="O274" i="11"/>
  <c r="O273" i="10"/>
  <c r="G275" i="10"/>
  <c r="H274" i="10"/>
  <c r="I274" i="10" s="1"/>
  <c r="J274" i="10" s="1"/>
  <c r="P272" i="10"/>
  <c r="Q272" i="10"/>
  <c r="L272" i="10"/>
  <c r="K272" i="10"/>
  <c r="N272" i="10"/>
  <c r="M272" i="10"/>
  <c r="R270" i="7"/>
  <c r="S270" i="7"/>
  <c r="L271" i="7"/>
  <c r="J272" i="7"/>
  <c r="K272" i="7" s="1"/>
  <c r="O272" i="7"/>
  <c r="M271" i="7"/>
  <c r="N271" i="7"/>
  <c r="Q271" i="7"/>
  <c r="P271" i="7"/>
  <c r="R271" i="7" s="1"/>
  <c r="H274" i="9"/>
  <c r="I274" i="9" s="1"/>
  <c r="J274" i="9" s="1"/>
  <c r="G275" i="9"/>
  <c r="M273" i="9"/>
  <c r="L273" i="9"/>
  <c r="N273" i="9"/>
  <c r="K273" i="9"/>
  <c r="H273" i="7"/>
  <c r="I273" i="7" s="1"/>
  <c r="G274" i="7"/>
  <c r="K272" i="6"/>
  <c r="M272" i="6"/>
  <c r="N272" i="6"/>
  <c r="L272" i="6"/>
  <c r="G274" i="6"/>
  <c r="H273" i="6"/>
  <c r="I273" i="6" s="1"/>
  <c r="J273" i="6" s="1"/>
  <c r="S274" i="12" l="1"/>
  <c r="R274" i="12"/>
  <c r="R272" i="10"/>
  <c r="G278" i="12"/>
  <c r="H277" i="12"/>
  <c r="I277" i="12" s="1"/>
  <c r="P275" i="12"/>
  <c r="Q275" i="12"/>
  <c r="J276" i="12"/>
  <c r="O276" i="12"/>
  <c r="N275" i="12"/>
  <c r="K275" i="12"/>
  <c r="M275" i="12"/>
  <c r="L275" i="12"/>
  <c r="L274" i="11"/>
  <c r="M274" i="11"/>
  <c r="N274" i="11"/>
  <c r="K274" i="11"/>
  <c r="S272" i="10"/>
  <c r="H276" i="11"/>
  <c r="I276" i="11" s="1"/>
  <c r="G277" i="11"/>
  <c r="P274" i="11"/>
  <c r="R274" i="11" s="1"/>
  <c r="Q274" i="11"/>
  <c r="S274" i="11" s="1"/>
  <c r="O275" i="11"/>
  <c r="J275" i="11"/>
  <c r="O274" i="10"/>
  <c r="H275" i="10"/>
  <c r="I275" i="10" s="1"/>
  <c r="J275" i="10" s="1"/>
  <c r="G276" i="10"/>
  <c r="K273" i="10"/>
  <c r="R273" i="10" s="1"/>
  <c r="N273" i="10"/>
  <c r="M273" i="10"/>
  <c r="L273" i="10"/>
  <c r="Q273" i="10"/>
  <c r="P273" i="10"/>
  <c r="S271" i="7"/>
  <c r="M272" i="7"/>
  <c r="L272" i="7"/>
  <c r="N272" i="7"/>
  <c r="J273" i="7"/>
  <c r="L273" i="7" s="1"/>
  <c r="O273" i="7"/>
  <c r="Q272" i="7"/>
  <c r="P272" i="7"/>
  <c r="R272" i="7" s="1"/>
  <c r="H275" i="9"/>
  <c r="I275" i="9" s="1"/>
  <c r="J275" i="9" s="1"/>
  <c r="G276" i="9"/>
  <c r="M274" i="9"/>
  <c r="L274" i="9"/>
  <c r="N274" i="9"/>
  <c r="K274" i="9"/>
  <c r="H274" i="7"/>
  <c r="I274" i="7" s="1"/>
  <c r="G275" i="7"/>
  <c r="K273" i="6"/>
  <c r="M273" i="6"/>
  <c r="L273" i="6"/>
  <c r="N273" i="6"/>
  <c r="G275" i="6"/>
  <c r="H274" i="6"/>
  <c r="I274" i="6" s="1"/>
  <c r="J274" i="6" s="1"/>
  <c r="S275" i="12" l="1"/>
  <c r="M276" i="12"/>
  <c r="N276" i="12"/>
  <c r="K276" i="12"/>
  <c r="L276" i="12"/>
  <c r="G279" i="12"/>
  <c r="H278" i="12"/>
  <c r="I278" i="12" s="1"/>
  <c r="R275" i="12"/>
  <c r="Q276" i="12"/>
  <c r="S276" i="12" s="1"/>
  <c r="P276" i="12"/>
  <c r="O277" i="12"/>
  <c r="J277" i="12"/>
  <c r="K275" i="11"/>
  <c r="N275" i="11"/>
  <c r="M275" i="11"/>
  <c r="L275" i="11"/>
  <c r="H277" i="11"/>
  <c r="I277" i="11" s="1"/>
  <c r="G278" i="11"/>
  <c r="S273" i="10"/>
  <c r="P275" i="11"/>
  <c r="R275" i="11" s="1"/>
  <c r="Q275" i="11"/>
  <c r="J276" i="11"/>
  <c r="O276" i="11"/>
  <c r="G277" i="10"/>
  <c r="H276" i="10"/>
  <c r="I276" i="10" s="1"/>
  <c r="J276" i="10" s="1"/>
  <c r="O275" i="10"/>
  <c r="K274" i="10"/>
  <c r="N274" i="10"/>
  <c r="M274" i="10"/>
  <c r="L274" i="10"/>
  <c r="P274" i="10"/>
  <c r="Q274" i="10"/>
  <c r="S272" i="7"/>
  <c r="Q273" i="7"/>
  <c r="S273" i="7" s="1"/>
  <c r="P273" i="7"/>
  <c r="N273" i="7"/>
  <c r="K273" i="7"/>
  <c r="M273" i="7"/>
  <c r="J274" i="7"/>
  <c r="N274" i="7" s="1"/>
  <c r="O274" i="7"/>
  <c r="H276" i="9"/>
  <c r="I276" i="9" s="1"/>
  <c r="J276" i="9" s="1"/>
  <c r="G277" i="9"/>
  <c r="M275" i="9"/>
  <c r="L275" i="9"/>
  <c r="N275" i="9"/>
  <c r="K275" i="9"/>
  <c r="H275" i="7"/>
  <c r="I275" i="7" s="1"/>
  <c r="G276" i="7"/>
  <c r="K274" i="6"/>
  <c r="M274" i="6"/>
  <c r="N274" i="6"/>
  <c r="L274" i="6"/>
  <c r="G276" i="6"/>
  <c r="H275" i="6"/>
  <c r="I275" i="6" s="1"/>
  <c r="J275" i="6" s="1"/>
  <c r="L277" i="12" l="1"/>
  <c r="K277" i="12"/>
  <c r="N277" i="12"/>
  <c r="M277" i="12"/>
  <c r="P277" i="12"/>
  <c r="Q277" i="12"/>
  <c r="S277" i="12" s="1"/>
  <c r="O278" i="12"/>
  <c r="J278" i="12"/>
  <c r="S274" i="10"/>
  <c r="R276" i="12"/>
  <c r="G280" i="12"/>
  <c r="H279" i="12"/>
  <c r="I279" i="12" s="1"/>
  <c r="R274" i="10"/>
  <c r="P276" i="11"/>
  <c r="Q276" i="11"/>
  <c r="N276" i="11"/>
  <c r="M276" i="11"/>
  <c r="L276" i="11"/>
  <c r="K276" i="11"/>
  <c r="G279" i="11"/>
  <c r="H278" i="11"/>
  <c r="I278" i="11" s="1"/>
  <c r="S275" i="11"/>
  <c r="J277" i="11"/>
  <c r="O277" i="11"/>
  <c r="N275" i="10"/>
  <c r="M275" i="10"/>
  <c r="L275" i="10"/>
  <c r="S275" i="10" s="1"/>
  <c r="K275" i="10"/>
  <c r="O276" i="10"/>
  <c r="Q275" i="10"/>
  <c r="P275" i="10"/>
  <c r="H277" i="10"/>
  <c r="I277" i="10" s="1"/>
  <c r="J277" i="10" s="1"/>
  <c r="G278" i="10"/>
  <c r="R273" i="7"/>
  <c r="K274" i="7"/>
  <c r="L274" i="7"/>
  <c r="Q274" i="7"/>
  <c r="P274" i="7"/>
  <c r="J275" i="7"/>
  <c r="K275" i="7" s="1"/>
  <c r="O275" i="7"/>
  <c r="M274" i="7"/>
  <c r="H277" i="9"/>
  <c r="I277" i="9" s="1"/>
  <c r="J277" i="9" s="1"/>
  <c r="G278" i="9"/>
  <c r="M276" i="9"/>
  <c r="L276" i="9"/>
  <c r="N276" i="9"/>
  <c r="K276" i="9"/>
  <c r="H276" i="7"/>
  <c r="I276" i="7" s="1"/>
  <c r="G277" i="7"/>
  <c r="K275" i="6"/>
  <c r="M275" i="6"/>
  <c r="N275" i="6"/>
  <c r="L275" i="6"/>
  <c r="G277" i="6"/>
  <c r="H276" i="6"/>
  <c r="I276" i="6" s="1"/>
  <c r="J276" i="6" s="1"/>
  <c r="R277" i="12" l="1"/>
  <c r="G281" i="12"/>
  <c r="H280" i="12"/>
  <c r="I280" i="12" s="1"/>
  <c r="Q278" i="12"/>
  <c r="P278" i="12"/>
  <c r="K278" i="12"/>
  <c r="N278" i="12"/>
  <c r="M278" i="12"/>
  <c r="L278" i="12"/>
  <c r="J279" i="12"/>
  <c r="O279" i="12"/>
  <c r="R275" i="10"/>
  <c r="Q277" i="11"/>
  <c r="P277" i="11"/>
  <c r="G280" i="11"/>
  <c r="H279" i="11"/>
  <c r="I279" i="11" s="1"/>
  <c r="M277" i="11"/>
  <c r="K277" i="11"/>
  <c r="N277" i="11"/>
  <c r="L277" i="11"/>
  <c r="S276" i="11"/>
  <c r="R276" i="11"/>
  <c r="O278" i="11"/>
  <c r="J278" i="11"/>
  <c r="H278" i="10"/>
  <c r="I278" i="10" s="1"/>
  <c r="J278" i="10" s="1"/>
  <c r="G279" i="10"/>
  <c r="Q276" i="10"/>
  <c r="P276" i="10"/>
  <c r="O277" i="10"/>
  <c r="N276" i="10"/>
  <c r="L276" i="10"/>
  <c r="S276" i="10" s="1"/>
  <c r="K276" i="10"/>
  <c r="R276" i="10" s="1"/>
  <c r="M276" i="10"/>
  <c r="R274" i="7"/>
  <c r="M275" i="7"/>
  <c r="N275" i="7"/>
  <c r="L275" i="7"/>
  <c r="J276" i="7"/>
  <c r="N276" i="7" s="1"/>
  <c r="O276" i="7"/>
  <c r="Q275" i="7"/>
  <c r="P275" i="7"/>
  <c r="R275" i="7" s="1"/>
  <c r="S274" i="7"/>
  <c r="H278" i="9"/>
  <c r="I278" i="9" s="1"/>
  <c r="J278" i="9" s="1"/>
  <c r="G279" i="9"/>
  <c r="M277" i="9"/>
  <c r="L277" i="9"/>
  <c r="N277" i="9"/>
  <c r="K277" i="9"/>
  <c r="H277" i="7"/>
  <c r="I277" i="7" s="1"/>
  <c r="G278" i="7"/>
  <c r="K276" i="6"/>
  <c r="M276" i="6"/>
  <c r="N276" i="6"/>
  <c r="L276" i="6"/>
  <c r="G278" i="6"/>
  <c r="H277" i="6"/>
  <c r="I277" i="6" s="1"/>
  <c r="J277" i="6" s="1"/>
  <c r="R278" i="12" l="1"/>
  <c r="S278" i="12"/>
  <c r="Q279" i="12"/>
  <c r="P279" i="12"/>
  <c r="O280" i="12"/>
  <c r="J280" i="12"/>
  <c r="N279" i="12"/>
  <c r="L279" i="12"/>
  <c r="K279" i="12"/>
  <c r="M279" i="12"/>
  <c r="G282" i="12"/>
  <c r="H281" i="12"/>
  <c r="I281" i="12" s="1"/>
  <c r="Q278" i="11"/>
  <c r="P278" i="11"/>
  <c r="H280" i="11"/>
  <c r="I280" i="11" s="1"/>
  <c r="G281" i="11"/>
  <c r="R277" i="11"/>
  <c r="S277" i="11"/>
  <c r="M278" i="11"/>
  <c r="L278" i="11"/>
  <c r="K278" i="11"/>
  <c r="N278" i="11"/>
  <c r="O279" i="11"/>
  <c r="J279" i="11"/>
  <c r="L277" i="10"/>
  <c r="N277" i="10"/>
  <c r="M277" i="10"/>
  <c r="K277" i="10"/>
  <c r="R277" i="10" s="1"/>
  <c r="G280" i="10"/>
  <c r="H279" i="10"/>
  <c r="I279" i="10" s="1"/>
  <c r="J279" i="10" s="1"/>
  <c r="P277" i="10"/>
  <c r="Q277" i="10"/>
  <c r="O278" i="10"/>
  <c r="S275" i="7"/>
  <c r="K276" i="7"/>
  <c r="L276" i="7"/>
  <c r="M276" i="7"/>
  <c r="Q276" i="7"/>
  <c r="P276" i="7"/>
  <c r="J277" i="7"/>
  <c r="K277" i="7" s="1"/>
  <c r="O277" i="7"/>
  <c r="H279" i="9"/>
  <c r="I279" i="9" s="1"/>
  <c r="J279" i="9" s="1"/>
  <c r="G280" i="9"/>
  <c r="M278" i="9"/>
  <c r="L278" i="9"/>
  <c r="N278" i="9"/>
  <c r="K278" i="9"/>
  <c r="H278" i="7"/>
  <c r="I278" i="7" s="1"/>
  <c r="G279" i="7"/>
  <c r="K277" i="6"/>
  <c r="M277" i="6"/>
  <c r="L277" i="6"/>
  <c r="N277" i="6"/>
  <c r="G279" i="6"/>
  <c r="H278" i="6"/>
  <c r="I278" i="6" s="1"/>
  <c r="J278" i="6" s="1"/>
  <c r="Q280" i="12" l="1"/>
  <c r="P280" i="12"/>
  <c r="O281" i="12"/>
  <c r="J281" i="12"/>
  <c r="R279" i="12"/>
  <c r="G283" i="12"/>
  <c r="H282" i="12"/>
  <c r="I282" i="12" s="1"/>
  <c r="S279" i="12"/>
  <c r="M280" i="12"/>
  <c r="N280" i="12"/>
  <c r="L280" i="12"/>
  <c r="K280" i="12"/>
  <c r="L279" i="11"/>
  <c r="K279" i="11"/>
  <c r="N279" i="11"/>
  <c r="M279" i="11"/>
  <c r="H281" i="11"/>
  <c r="I281" i="11" s="1"/>
  <c r="G282" i="11"/>
  <c r="P279" i="11"/>
  <c r="R279" i="11" s="1"/>
  <c r="Q279" i="11"/>
  <c r="S279" i="11" s="1"/>
  <c r="O280" i="11"/>
  <c r="J280" i="11"/>
  <c r="R278" i="11"/>
  <c r="S277" i="10"/>
  <c r="S278" i="11"/>
  <c r="K278" i="10"/>
  <c r="L278" i="10"/>
  <c r="M278" i="10"/>
  <c r="N278" i="10"/>
  <c r="O279" i="10"/>
  <c r="Q278" i="10"/>
  <c r="P278" i="10"/>
  <c r="H280" i="10"/>
  <c r="I280" i="10" s="1"/>
  <c r="J280" i="10" s="1"/>
  <c r="G281" i="10"/>
  <c r="R276" i="7"/>
  <c r="S276" i="7"/>
  <c r="J278" i="7"/>
  <c r="K278" i="7" s="1"/>
  <c r="O278" i="7"/>
  <c r="M277" i="7"/>
  <c r="N277" i="7"/>
  <c r="L277" i="7"/>
  <c r="Q277" i="7"/>
  <c r="P277" i="7"/>
  <c r="R277" i="7" s="1"/>
  <c r="H280" i="9"/>
  <c r="I280" i="9" s="1"/>
  <c r="J280" i="9" s="1"/>
  <c r="G281" i="9"/>
  <c r="M279" i="9"/>
  <c r="L279" i="9"/>
  <c r="N279" i="9"/>
  <c r="K279" i="9"/>
  <c r="H279" i="7"/>
  <c r="I279" i="7" s="1"/>
  <c r="G280" i="7"/>
  <c r="K278" i="6"/>
  <c r="M278" i="6"/>
  <c r="N278" i="6"/>
  <c r="L278" i="6"/>
  <c r="G280" i="6"/>
  <c r="H279" i="6"/>
  <c r="I279" i="6" s="1"/>
  <c r="J279" i="6" s="1"/>
  <c r="L281" i="12" l="1"/>
  <c r="M281" i="12"/>
  <c r="K281" i="12"/>
  <c r="N281" i="12"/>
  <c r="O282" i="12"/>
  <c r="J282" i="12"/>
  <c r="P281" i="12"/>
  <c r="Q281" i="12"/>
  <c r="S281" i="12" s="1"/>
  <c r="R278" i="10"/>
  <c r="H283" i="12"/>
  <c r="I283" i="12" s="1"/>
  <c r="G284" i="12"/>
  <c r="R280" i="12"/>
  <c r="S280" i="12"/>
  <c r="S278" i="10"/>
  <c r="K280" i="11"/>
  <c r="N280" i="11"/>
  <c r="M280" i="11"/>
  <c r="L280" i="11"/>
  <c r="G283" i="11"/>
  <c r="H282" i="11"/>
  <c r="I282" i="11" s="1"/>
  <c r="Q280" i="11"/>
  <c r="P280" i="11"/>
  <c r="R280" i="11" s="1"/>
  <c r="J281" i="11"/>
  <c r="O281" i="11"/>
  <c r="H281" i="10"/>
  <c r="I281" i="10" s="1"/>
  <c r="J281" i="10" s="1"/>
  <c r="G282" i="10"/>
  <c r="L279" i="10"/>
  <c r="K279" i="10"/>
  <c r="N279" i="10"/>
  <c r="M279" i="10"/>
  <c r="O280" i="10"/>
  <c r="Q279" i="10"/>
  <c r="P279" i="10"/>
  <c r="S277" i="7"/>
  <c r="M278" i="7"/>
  <c r="N278" i="7"/>
  <c r="L278" i="7"/>
  <c r="J279" i="7"/>
  <c r="K279" i="7" s="1"/>
  <c r="O279" i="7"/>
  <c r="Q278" i="7"/>
  <c r="P278" i="7"/>
  <c r="R278" i="7" s="1"/>
  <c r="H281" i="9"/>
  <c r="I281" i="9" s="1"/>
  <c r="J281" i="9" s="1"/>
  <c r="G282" i="9"/>
  <c r="M280" i="9"/>
  <c r="L280" i="9"/>
  <c r="N280" i="9"/>
  <c r="K280" i="9"/>
  <c r="H280" i="7"/>
  <c r="I280" i="7" s="1"/>
  <c r="G281" i="7"/>
  <c r="K279" i="6"/>
  <c r="M279" i="6"/>
  <c r="N279" i="6"/>
  <c r="L279" i="6"/>
  <c r="G281" i="6"/>
  <c r="H280" i="6"/>
  <c r="I280" i="6" s="1"/>
  <c r="J280" i="6" s="1"/>
  <c r="R281" i="12" l="1"/>
  <c r="G285" i="12"/>
  <c r="H284" i="12"/>
  <c r="I284" i="12" s="1"/>
  <c r="J283" i="12"/>
  <c r="O283" i="12"/>
  <c r="K282" i="12"/>
  <c r="N282" i="12"/>
  <c r="M282" i="12"/>
  <c r="L282" i="12"/>
  <c r="S280" i="11"/>
  <c r="P282" i="12"/>
  <c r="Q282" i="12"/>
  <c r="R279" i="10"/>
  <c r="Q281" i="11"/>
  <c r="P281" i="11"/>
  <c r="J282" i="11"/>
  <c r="O282" i="11"/>
  <c r="S279" i="10"/>
  <c r="N281" i="11"/>
  <c r="M281" i="11"/>
  <c r="L281" i="11"/>
  <c r="K281" i="11"/>
  <c r="G284" i="11"/>
  <c r="H283" i="11"/>
  <c r="I283" i="11" s="1"/>
  <c r="K280" i="10"/>
  <c r="R280" i="10" s="1"/>
  <c r="N280" i="10"/>
  <c r="M280" i="10"/>
  <c r="L280" i="10"/>
  <c r="Q280" i="10"/>
  <c r="P280" i="10"/>
  <c r="H282" i="10"/>
  <c r="I282" i="10" s="1"/>
  <c r="J282" i="10" s="1"/>
  <c r="G283" i="10"/>
  <c r="O281" i="10"/>
  <c r="S278" i="7"/>
  <c r="Q279" i="7"/>
  <c r="P279" i="7"/>
  <c r="R279" i="7" s="1"/>
  <c r="L279" i="7"/>
  <c r="J280" i="7"/>
  <c r="M280" i="7" s="1"/>
  <c r="O280" i="7"/>
  <c r="M279" i="7"/>
  <c r="N279" i="7"/>
  <c r="G283" i="9"/>
  <c r="H282" i="9"/>
  <c r="I282" i="9" s="1"/>
  <c r="J282" i="9" s="1"/>
  <c r="M281" i="9"/>
  <c r="L281" i="9"/>
  <c r="N281" i="9"/>
  <c r="K281" i="9"/>
  <c r="H281" i="7"/>
  <c r="I281" i="7" s="1"/>
  <c r="G282" i="7"/>
  <c r="K280" i="6"/>
  <c r="M280" i="6"/>
  <c r="N280" i="6"/>
  <c r="L280" i="6"/>
  <c r="G282" i="6"/>
  <c r="H281" i="6"/>
  <c r="I281" i="6" s="1"/>
  <c r="J281" i="6" s="1"/>
  <c r="R282" i="12" l="1"/>
  <c r="Q283" i="12"/>
  <c r="P283" i="12"/>
  <c r="S280" i="10"/>
  <c r="S282" i="12"/>
  <c r="N283" i="12"/>
  <c r="M283" i="12"/>
  <c r="L283" i="12"/>
  <c r="K283" i="12"/>
  <c r="O284" i="12"/>
  <c r="J284" i="12"/>
  <c r="G286" i="12"/>
  <c r="H285" i="12"/>
  <c r="I285" i="12" s="1"/>
  <c r="O283" i="11"/>
  <c r="J283" i="11"/>
  <c r="M282" i="11"/>
  <c r="L282" i="11"/>
  <c r="K282" i="11"/>
  <c r="N282" i="11"/>
  <c r="G285" i="11"/>
  <c r="H284" i="11"/>
  <c r="I284" i="11" s="1"/>
  <c r="R281" i="11"/>
  <c r="S281" i="11"/>
  <c r="Q282" i="11"/>
  <c r="P282" i="11"/>
  <c r="R282" i="11" s="1"/>
  <c r="G284" i="10"/>
  <c r="H283" i="10"/>
  <c r="I283" i="10" s="1"/>
  <c r="J283" i="10" s="1"/>
  <c r="O282" i="10"/>
  <c r="L281" i="10"/>
  <c r="S281" i="10" s="1"/>
  <c r="M281" i="10"/>
  <c r="K281" i="10"/>
  <c r="N281" i="10"/>
  <c r="P281" i="10"/>
  <c r="Q281" i="10"/>
  <c r="S279" i="7"/>
  <c r="K280" i="7"/>
  <c r="L280" i="7"/>
  <c r="J281" i="7"/>
  <c r="M281" i="7" s="1"/>
  <c r="O281" i="7"/>
  <c r="N280" i="7"/>
  <c r="Q280" i="7"/>
  <c r="P280" i="7"/>
  <c r="M282" i="9"/>
  <c r="L282" i="9"/>
  <c r="N282" i="9"/>
  <c r="K282" i="9"/>
  <c r="G284" i="9"/>
  <c r="H283" i="9"/>
  <c r="I283" i="9" s="1"/>
  <c r="J283" i="9" s="1"/>
  <c r="H282" i="7"/>
  <c r="I282" i="7" s="1"/>
  <c r="G283" i="7"/>
  <c r="K281" i="6"/>
  <c r="M281" i="6"/>
  <c r="L281" i="6"/>
  <c r="N281" i="6"/>
  <c r="G283" i="6"/>
  <c r="H282" i="6"/>
  <c r="I282" i="6" s="1"/>
  <c r="J282" i="6" s="1"/>
  <c r="S282" i="11" l="1"/>
  <c r="G287" i="12"/>
  <c r="H286" i="12"/>
  <c r="I286" i="12" s="1"/>
  <c r="O285" i="12"/>
  <c r="J285" i="12"/>
  <c r="M284" i="12"/>
  <c r="K284" i="12"/>
  <c r="N284" i="12"/>
  <c r="L284" i="12"/>
  <c r="R283" i="12"/>
  <c r="R281" i="10"/>
  <c r="Q284" i="12"/>
  <c r="P284" i="12"/>
  <c r="R284" i="12" s="1"/>
  <c r="S283" i="12"/>
  <c r="O284" i="11"/>
  <c r="J284" i="11"/>
  <c r="G286" i="11"/>
  <c r="H285" i="11"/>
  <c r="I285" i="11" s="1"/>
  <c r="L283" i="11"/>
  <c r="K283" i="11"/>
  <c r="N283" i="11"/>
  <c r="M283" i="11"/>
  <c r="P283" i="11"/>
  <c r="Q283" i="11"/>
  <c r="S283" i="11" s="1"/>
  <c r="Q282" i="10"/>
  <c r="P282" i="10"/>
  <c r="L282" i="10"/>
  <c r="S282" i="10" s="1"/>
  <c r="M282" i="10"/>
  <c r="N282" i="10"/>
  <c r="K282" i="10"/>
  <c r="R282" i="10" s="1"/>
  <c r="O283" i="10"/>
  <c r="H284" i="10"/>
  <c r="I284" i="10" s="1"/>
  <c r="J284" i="10" s="1"/>
  <c r="G285" i="10"/>
  <c r="R280" i="7"/>
  <c r="N281" i="7"/>
  <c r="J282" i="7"/>
  <c r="N282" i="7" s="1"/>
  <c r="O282" i="7"/>
  <c r="S280" i="7"/>
  <c r="Q281" i="7"/>
  <c r="P281" i="7"/>
  <c r="K281" i="7"/>
  <c r="L281" i="7"/>
  <c r="K283" i="9"/>
  <c r="N283" i="9"/>
  <c r="M283" i="9"/>
  <c r="L283" i="9"/>
  <c r="G285" i="9"/>
  <c r="H284" i="9"/>
  <c r="I284" i="9" s="1"/>
  <c r="J284" i="9" s="1"/>
  <c r="H283" i="7"/>
  <c r="I283" i="7" s="1"/>
  <c r="G284" i="7"/>
  <c r="K282" i="6"/>
  <c r="M282" i="6"/>
  <c r="N282" i="6"/>
  <c r="L282" i="6"/>
  <c r="G284" i="6"/>
  <c r="H283" i="6"/>
  <c r="I283" i="6" s="1"/>
  <c r="J283" i="6" s="1"/>
  <c r="S284" i="12" l="1"/>
  <c r="O286" i="12"/>
  <c r="J286" i="12"/>
  <c r="P285" i="12"/>
  <c r="Q285" i="12"/>
  <c r="G288" i="12"/>
  <c r="H287" i="12"/>
  <c r="I287" i="12" s="1"/>
  <c r="L285" i="12"/>
  <c r="N285" i="12"/>
  <c r="M285" i="12"/>
  <c r="K285" i="12"/>
  <c r="J285" i="11"/>
  <c r="O285" i="11"/>
  <c r="R281" i="7"/>
  <c r="G287" i="11"/>
  <c r="H286" i="11"/>
  <c r="I286" i="11" s="1"/>
  <c r="K284" i="11"/>
  <c r="N284" i="11"/>
  <c r="M284" i="11"/>
  <c r="L284" i="11"/>
  <c r="R283" i="11"/>
  <c r="Q284" i="11"/>
  <c r="P284" i="11"/>
  <c r="Q283" i="10"/>
  <c r="P283" i="10"/>
  <c r="G286" i="10"/>
  <c r="H285" i="10"/>
  <c r="I285" i="10" s="1"/>
  <c r="J285" i="10" s="1"/>
  <c r="N283" i="10"/>
  <c r="L283" i="10"/>
  <c r="M283" i="10"/>
  <c r="K283" i="10"/>
  <c r="O284" i="10"/>
  <c r="S281" i="7"/>
  <c r="K282" i="7"/>
  <c r="Q282" i="7"/>
  <c r="P282" i="7"/>
  <c r="L282" i="7"/>
  <c r="J283" i="7"/>
  <c r="M283" i="7" s="1"/>
  <c r="O283" i="7"/>
  <c r="M282" i="7"/>
  <c r="K284" i="9"/>
  <c r="M284" i="9"/>
  <c r="L284" i="9"/>
  <c r="N284" i="9"/>
  <c r="G286" i="9"/>
  <c r="H285" i="9"/>
  <c r="I285" i="9" s="1"/>
  <c r="J285" i="9" s="1"/>
  <c r="H284" i="7"/>
  <c r="I284" i="7" s="1"/>
  <c r="G285" i="7"/>
  <c r="K283" i="6"/>
  <c r="M283" i="6"/>
  <c r="N283" i="6"/>
  <c r="L283" i="6"/>
  <c r="G285" i="6"/>
  <c r="H284" i="6"/>
  <c r="I284" i="6" s="1"/>
  <c r="J284" i="6" s="1"/>
  <c r="S285" i="12" l="1"/>
  <c r="R285" i="12"/>
  <c r="R283" i="10"/>
  <c r="R284" i="11"/>
  <c r="J287" i="12"/>
  <c r="O287" i="12"/>
  <c r="K286" i="12"/>
  <c r="L286" i="12"/>
  <c r="N286" i="12"/>
  <c r="M286" i="12"/>
  <c r="G289" i="12"/>
  <c r="H288" i="12"/>
  <c r="I288" i="12" s="1"/>
  <c r="Q286" i="12"/>
  <c r="S286" i="12" s="1"/>
  <c r="P286" i="12"/>
  <c r="G288" i="11"/>
  <c r="H287" i="11"/>
  <c r="I287" i="11" s="1"/>
  <c r="S284" i="11"/>
  <c r="S283" i="10"/>
  <c r="Q285" i="11"/>
  <c r="P285" i="11"/>
  <c r="O286" i="11"/>
  <c r="J286" i="11"/>
  <c r="N285" i="11"/>
  <c r="M285" i="11"/>
  <c r="L285" i="11"/>
  <c r="K285" i="11"/>
  <c r="O285" i="10"/>
  <c r="H286" i="10"/>
  <c r="I286" i="10" s="1"/>
  <c r="J286" i="10" s="1"/>
  <c r="G287" i="10"/>
  <c r="L284" i="10"/>
  <c r="S284" i="10" s="1"/>
  <c r="M284" i="10"/>
  <c r="K284" i="10"/>
  <c r="R284" i="10" s="1"/>
  <c r="N284" i="10"/>
  <c r="P284" i="10"/>
  <c r="Q284" i="10"/>
  <c r="R282" i="7"/>
  <c r="S282" i="7"/>
  <c r="N283" i="7"/>
  <c r="K283" i="7"/>
  <c r="L283" i="7"/>
  <c r="J284" i="7"/>
  <c r="N284" i="7" s="1"/>
  <c r="O284" i="7"/>
  <c r="Q283" i="7"/>
  <c r="P283" i="7"/>
  <c r="K285" i="9"/>
  <c r="N285" i="9"/>
  <c r="M285" i="9"/>
  <c r="L285" i="9"/>
  <c r="G287" i="9"/>
  <c r="H286" i="9"/>
  <c r="I286" i="9" s="1"/>
  <c r="J286" i="9" s="1"/>
  <c r="H285" i="7"/>
  <c r="I285" i="7" s="1"/>
  <c r="G286" i="7"/>
  <c r="K284" i="6"/>
  <c r="M284" i="6"/>
  <c r="N284" i="6"/>
  <c r="L284" i="6"/>
  <c r="G286" i="6"/>
  <c r="H285" i="6"/>
  <c r="I285" i="6" s="1"/>
  <c r="J285" i="6" s="1"/>
  <c r="R286" i="12" l="1"/>
  <c r="O288" i="12"/>
  <c r="J288" i="12"/>
  <c r="N287" i="12"/>
  <c r="M287" i="12"/>
  <c r="L287" i="12"/>
  <c r="K287" i="12"/>
  <c r="G290" i="12"/>
  <c r="H289" i="12"/>
  <c r="I289" i="12" s="1"/>
  <c r="Q287" i="12"/>
  <c r="P287" i="12"/>
  <c r="M286" i="11"/>
  <c r="L286" i="11"/>
  <c r="N286" i="11"/>
  <c r="K286" i="11"/>
  <c r="Q286" i="11"/>
  <c r="P286" i="11"/>
  <c r="R285" i="11"/>
  <c r="O287" i="11"/>
  <c r="J287" i="11"/>
  <c r="S285" i="11"/>
  <c r="G289" i="11"/>
  <c r="H288" i="11"/>
  <c r="I288" i="11" s="1"/>
  <c r="O286" i="10"/>
  <c r="H287" i="10"/>
  <c r="I287" i="10" s="1"/>
  <c r="J287" i="10" s="1"/>
  <c r="G288" i="10"/>
  <c r="P285" i="10"/>
  <c r="Q285" i="10"/>
  <c r="K285" i="10"/>
  <c r="R285" i="10" s="1"/>
  <c r="M285" i="10"/>
  <c r="L285" i="10"/>
  <c r="N285" i="10"/>
  <c r="R283" i="7"/>
  <c r="S283" i="7"/>
  <c r="L284" i="7"/>
  <c r="J285" i="7"/>
  <c r="K285" i="7" s="1"/>
  <c r="O285" i="7"/>
  <c r="K284" i="7"/>
  <c r="M284" i="7"/>
  <c r="Q284" i="7"/>
  <c r="P284" i="7"/>
  <c r="K286" i="9"/>
  <c r="M286" i="9"/>
  <c r="L286" i="9"/>
  <c r="N286" i="9"/>
  <c r="G288" i="9"/>
  <c r="H287" i="9"/>
  <c r="I287" i="9" s="1"/>
  <c r="J287" i="9" s="1"/>
  <c r="H286" i="7"/>
  <c r="I286" i="7" s="1"/>
  <c r="G287" i="7"/>
  <c r="K285" i="6"/>
  <c r="M285" i="6"/>
  <c r="L285" i="6"/>
  <c r="N285" i="6"/>
  <c r="G287" i="6"/>
  <c r="H286" i="6"/>
  <c r="I286" i="6" s="1"/>
  <c r="J286" i="6" s="1"/>
  <c r="R287" i="12" l="1"/>
  <c r="S287" i="12"/>
  <c r="G291" i="12"/>
  <c r="H290" i="12"/>
  <c r="I290" i="12" s="1"/>
  <c r="M288" i="12"/>
  <c r="L288" i="12"/>
  <c r="K288" i="12"/>
  <c r="N288" i="12"/>
  <c r="O289" i="12"/>
  <c r="J289" i="12"/>
  <c r="Q288" i="12"/>
  <c r="P288" i="12"/>
  <c r="S285" i="10"/>
  <c r="O288" i="11"/>
  <c r="J288" i="11"/>
  <c r="P287" i="11"/>
  <c r="Q287" i="11"/>
  <c r="H289" i="11"/>
  <c r="I289" i="11" s="1"/>
  <c r="G290" i="11"/>
  <c r="R286" i="11"/>
  <c r="L287" i="11"/>
  <c r="K287" i="11"/>
  <c r="M287" i="11"/>
  <c r="N287" i="11"/>
  <c r="S286" i="11"/>
  <c r="O287" i="10"/>
  <c r="H288" i="10"/>
  <c r="I288" i="10" s="1"/>
  <c r="J288" i="10" s="1"/>
  <c r="G289" i="10"/>
  <c r="Q286" i="10"/>
  <c r="P286" i="10"/>
  <c r="L286" i="10"/>
  <c r="S286" i="10" s="1"/>
  <c r="K286" i="10"/>
  <c r="N286" i="10"/>
  <c r="M286" i="10"/>
  <c r="R284" i="7"/>
  <c r="L285" i="7"/>
  <c r="Q285" i="7"/>
  <c r="P285" i="7"/>
  <c r="R285" i="7" s="1"/>
  <c r="M285" i="7"/>
  <c r="N285" i="7"/>
  <c r="J286" i="7"/>
  <c r="L286" i="7" s="1"/>
  <c r="O286" i="7"/>
  <c r="S284" i="7"/>
  <c r="K287" i="9"/>
  <c r="N287" i="9"/>
  <c r="M287" i="9"/>
  <c r="L287" i="9"/>
  <c r="G289" i="9"/>
  <c r="H288" i="9"/>
  <c r="I288" i="9" s="1"/>
  <c r="J288" i="9" s="1"/>
  <c r="H287" i="7"/>
  <c r="I287" i="7" s="1"/>
  <c r="G288" i="7"/>
  <c r="K286" i="6"/>
  <c r="M286" i="6"/>
  <c r="N286" i="6"/>
  <c r="L286" i="6"/>
  <c r="G288" i="6"/>
  <c r="H287" i="6"/>
  <c r="I287" i="6" s="1"/>
  <c r="J287" i="6" s="1"/>
  <c r="R288" i="12" l="1"/>
  <c r="P289" i="12"/>
  <c r="Q289" i="12"/>
  <c r="O290" i="12"/>
  <c r="J290" i="12"/>
  <c r="L289" i="12"/>
  <c r="N289" i="12"/>
  <c r="M289" i="12"/>
  <c r="K289" i="12"/>
  <c r="S288" i="12"/>
  <c r="H291" i="12"/>
  <c r="I291" i="12" s="1"/>
  <c r="G292" i="12"/>
  <c r="R286" i="10"/>
  <c r="R287" i="11"/>
  <c r="G291" i="11"/>
  <c r="H290" i="11"/>
  <c r="I290" i="11" s="1"/>
  <c r="K288" i="11"/>
  <c r="N288" i="11"/>
  <c r="M288" i="11"/>
  <c r="L288" i="11"/>
  <c r="J289" i="11"/>
  <c r="O289" i="11"/>
  <c r="Q288" i="11"/>
  <c r="P288" i="11"/>
  <c r="S287" i="11"/>
  <c r="G290" i="10"/>
  <c r="H289" i="10"/>
  <c r="I289" i="10" s="1"/>
  <c r="J289" i="10" s="1"/>
  <c r="O288" i="10"/>
  <c r="N287" i="10"/>
  <c r="L287" i="10"/>
  <c r="K287" i="10"/>
  <c r="R287" i="10" s="1"/>
  <c r="M287" i="10"/>
  <c r="Q287" i="10"/>
  <c r="P287" i="10"/>
  <c r="S285" i="7"/>
  <c r="M286" i="7"/>
  <c r="J287" i="7"/>
  <c r="L287" i="7" s="1"/>
  <c r="O287" i="7"/>
  <c r="K286" i="7"/>
  <c r="Q286" i="7"/>
  <c r="S286" i="7" s="1"/>
  <c r="P286" i="7"/>
  <c r="N286" i="7"/>
  <c r="K288" i="9"/>
  <c r="M288" i="9"/>
  <c r="L288" i="9"/>
  <c r="N288" i="9"/>
  <c r="G290" i="9"/>
  <c r="H289" i="9"/>
  <c r="I289" i="9" s="1"/>
  <c r="J289" i="9" s="1"/>
  <c r="H288" i="7"/>
  <c r="I288" i="7" s="1"/>
  <c r="G289" i="7"/>
  <c r="K287" i="6"/>
  <c r="M287" i="6"/>
  <c r="N287" i="6"/>
  <c r="L287" i="6"/>
  <c r="G289" i="6"/>
  <c r="H288" i="6"/>
  <c r="I288" i="6" s="1"/>
  <c r="J288" i="6" s="1"/>
  <c r="R288" i="11" l="1"/>
  <c r="H292" i="12"/>
  <c r="I292" i="12" s="1"/>
  <c r="G293" i="12"/>
  <c r="P290" i="12"/>
  <c r="R290" i="12" s="1"/>
  <c r="Q290" i="12"/>
  <c r="O291" i="12"/>
  <c r="J291" i="12"/>
  <c r="S289" i="12"/>
  <c r="K290" i="12"/>
  <c r="M290" i="12"/>
  <c r="L290" i="12"/>
  <c r="N290" i="12"/>
  <c r="R289" i="12"/>
  <c r="O290" i="11"/>
  <c r="J290" i="11"/>
  <c r="S288" i="11"/>
  <c r="G292" i="11"/>
  <c r="H291" i="11"/>
  <c r="I291" i="11" s="1"/>
  <c r="S287" i="10"/>
  <c r="Q289" i="11"/>
  <c r="P289" i="11"/>
  <c r="N289" i="11"/>
  <c r="M289" i="11"/>
  <c r="L289" i="11"/>
  <c r="K289" i="11"/>
  <c r="Q288" i="10"/>
  <c r="P288" i="10"/>
  <c r="O289" i="10"/>
  <c r="N288" i="10"/>
  <c r="M288" i="10"/>
  <c r="L288" i="10"/>
  <c r="S288" i="10" s="1"/>
  <c r="K288" i="10"/>
  <c r="G291" i="10"/>
  <c r="H290" i="10"/>
  <c r="I290" i="10" s="1"/>
  <c r="J290" i="10" s="1"/>
  <c r="R286" i="7"/>
  <c r="M287" i="7"/>
  <c r="J288" i="7"/>
  <c r="L288" i="7" s="1"/>
  <c r="O288" i="7"/>
  <c r="K287" i="7"/>
  <c r="Q287" i="7"/>
  <c r="S287" i="7" s="1"/>
  <c r="P287" i="7"/>
  <c r="N287" i="7"/>
  <c r="K289" i="9"/>
  <c r="N289" i="9"/>
  <c r="M289" i="9"/>
  <c r="L289" i="9"/>
  <c r="G291" i="9"/>
  <c r="H290" i="9"/>
  <c r="I290" i="9" s="1"/>
  <c r="J290" i="9" s="1"/>
  <c r="H289" i="7"/>
  <c r="I289" i="7" s="1"/>
  <c r="G290" i="7"/>
  <c r="K288" i="6"/>
  <c r="M288" i="6"/>
  <c r="N288" i="6"/>
  <c r="L288" i="6"/>
  <c r="G290" i="6"/>
  <c r="H289" i="6"/>
  <c r="I289" i="6" s="1"/>
  <c r="J289" i="6" s="1"/>
  <c r="K291" i="12" l="1"/>
  <c r="N291" i="12"/>
  <c r="M291" i="12"/>
  <c r="L291" i="12"/>
  <c r="G294" i="12"/>
  <c r="H293" i="12"/>
  <c r="I293" i="12" s="1"/>
  <c r="P291" i="12"/>
  <c r="R291" i="12" s="1"/>
  <c r="Q291" i="12"/>
  <c r="S291" i="12" s="1"/>
  <c r="J292" i="12"/>
  <c r="O292" i="12"/>
  <c r="S290" i="12"/>
  <c r="R289" i="11"/>
  <c r="G293" i="11"/>
  <c r="H292" i="11"/>
  <c r="I292" i="11" s="1"/>
  <c r="R288" i="10"/>
  <c r="S289" i="11"/>
  <c r="M290" i="11"/>
  <c r="L290" i="11"/>
  <c r="K290" i="11"/>
  <c r="N290" i="11"/>
  <c r="O291" i="11"/>
  <c r="J291" i="11"/>
  <c r="Q290" i="11"/>
  <c r="P290" i="11"/>
  <c r="K289" i="10"/>
  <c r="L289" i="10"/>
  <c r="S289" i="10" s="1"/>
  <c r="N289" i="10"/>
  <c r="M289" i="10"/>
  <c r="Q289" i="10"/>
  <c r="P289" i="10"/>
  <c r="O290" i="10"/>
  <c r="G292" i="10"/>
  <c r="H291" i="10"/>
  <c r="I291" i="10" s="1"/>
  <c r="J291" i="10" s="1"/>
  <c r="R287" i="7"/>
  <c r="K288" i="7"/>
  <c r="J289" i="7"/>
  <c r="L289" i="7" s="1"/>
  <c r="O289" i="7"/>
  <c r="N288" i="7"/>
  <c r="Q288" i="7"/>
  <c r="S288" i="7" s="1"/>
  <c r="P288" i="7"/>
  <c r="M288" i="7"/>
  <c r="K290" i="9"/>
  <c r="M290" i="9"/>
  <c r="L290" i="9"/>
  <c r="N290" i="9"/>
  <c r="G292" i="9"/>
  <c r="H291" i="9"/>
  <c r="I291" i="9" s="1"/>
  <c r="J291" i="9" s="1"/>
  <c r="H290" i="7"/>
  <c r="I290" i="7" s="1"/>
  <c r="G291" i="7"/>
  <c r="K289" i="6"/>
  <c r="N289" i="6"/>
  <c r="M289" i="6"/>
  <c r="L289" i="6"/>
  <c r="G291" i="6"/>
  <c r="H290" i="6"/>
  <c r="I290" i="6" s="1"/>
  <c r="J290" i="6" s="1"/>
  <c r="S290" i="11" l="1"/>
  <c r="Q292" i="12"/>
  <c r="P292" i="12"/>
  <c r="J293" i="12"/>
  <c r="O293" i="12"/>
  <c r="N292" i="12"/>
  <c r="M292" i="12"/>
  <c r="K292" i="12"/>
  <c r="L292" i="12"/>
  <c r="G295" i="12"/>
  <c r="H294" i="12"/>
  <c r="I294" i="12" s="1"/>
  <c r="L291" i="11"/>
  <c r="K291" i="11"/>
  <c r="N291" i="11"/>
  <c r="M291" i="11"/>
  <c r="O292" i="11"/>
  <c r="J292" i="11"/>
  <c r="R289" i="10"/>
  <c r="P291" i="11"/>
  <c r="R291" i="11" s="1"/>
  <c r="Q291" i="11"/>
  <c r="S291" i="11" s="1"/>
  <c r="G294" i="11"/>
  <c r="H293" i="11"/>
  <c r="I293" i="11" s="1"/>
  <c r="R290" i="11"/>
  <c r="Q290" i="10"/>
  <c r="P290" i="10"/>
  <c r="O291" i="10"/>
  <c r="N290" i="10"/>
  <c r="L290" i="10"/>
  <c r="S290" i="10" s="1"/>
  <c r="K290" i="10"/>
  <c r="R290" i="10" s="1"/>
  <c r="M290" i="10"/>
  <c r="G293" i="10"/>
  <c r="H292" i="10"/>
  <c r="I292" i="10" s="1"/>
  <c r="J292" i="10" s="1"/>
  <c r="R288" i="7"/>
  <c r="Q289" i="7"/>
  <c r="S289" i="7" s="1"/>
  <c r="P289" i="7"/>
  <c r="N289" i="7"/>
  <c r="M289" i="7"/>
  <c r="J290" i="7"/>
  <c r="L290" i="7" s="1"/>
  <c r="O290" i="7"/>
  <c r="K289" i="7"/>
  <c r="R289" i="7" s="1"/>
  <c r="K291" i="9"/>
  <c r="N291" i="9"/>
  <c r="M291" i="9"/>
  <c r="L291" i="9"/>
  <c r="G293" i="9"/>
  <c r="H292" i="9"/>
  <c r="I292" i="9" s="1"/>
  <c r="J292" i="9" s="1"/>
  <c r="H291" i="7"/>
  <c r="I291" i="7" s="1"/>
  <c r="G292" i="7"/>
  <c r="L290" i="6"/>
  <c r="K290" i="6"/>
  <c r="N290" i="6"/>
  <c r="M290" i="6"/>
  <c r="H291" i="6"/>
  <c r="I291" i="6" s="1"/>
  <c r="J291" i="6" s="1"/>
  <c r="G292" i="6"/>
  <c r="M293" i="12" l="1"/>
  <c r="L293" i="12"/>
  <c r="N293" i="12"/>
  <c r="K293" i="12"/>
  <c r="O294" i="12"/>
  <c r="J294" i="12"/>
  <c r="R292" i="12"/>
  <c r="G296" i="12"/>
  <c r="H295" i="12"/>
  <c r="I295" i="12" s="1"/>
  <c r="S292" i="12"/>
  <c r="Q293" i="12"/>
  <c r="S293" i="12" s="1"/>
  <c r="P293" i="12"/>
  <c r="J293" i="11"/>
  <c r="O293" i="11"/>
  <c r="G295" i="11"/>
  <c r="H294" i="11"/>
  <c r="I294" i="11" s="1"/>
  <c r="K292" i="11"/>
  <c r="N292" i="11"/>
  <c r="L292" i="11"/>
  <c r="M292" i="11"/>
  <c r="Q292" i="11"/>
  <c r="S292" i="11" s="1"/>
  <c r="P292" i="11"/>
  <c r="M291" i="10"/>
  <c r="N291" i="10"/>
  <c r="L291" i="10"/>
  <c r="K291" i="10"/>
  <c r="O292" i="10"/>
  <c r="Q291" i="10"/>
  <c r="P291" i="10"/>
  <c r="H293" i="10"/>
  <c r="I293" i="10" s="1"/>
  <c r="J293" i="10" s="1"/>
  <c r="G294" i="10"/>
  <c r="K290" i="7"/>
  <c r="M290" i="7"/>
  <c r="J291" i="7"/>
  <c r="N291" i="7" s="1"/>
  <c r="O291" i="7"/>
  <c r="Q290" i="7"/>
  <c r="S290" i="7" s="1"/>
  <c r="P290" i="7"/>
  <c r="N290" i="7"/>
  <c r="K292" i="9"/>
  <c r="M292" i="9"/>
  <c r="L292" i="9"/>
  <c r="N292" i="9"/>
  <c r="G294" i="9"/>
  <c r="H293" i="9"/>
  <c r="I293" i="9" s="1"/>
  <c r="J293" i="9" s="1"/>
  <c r="H292" i="7"/>
  <c r="I292" i="7" s="1"/>
  <c r="G293" i="7"/>
  <c r="H292" i="6"/>
  <c r="I292" i="6" s="1"/>
  <c r="J292" i="6" s="1"/>
  <c r="G293" i="6"/>
  <c r="L291" i="6"/>
  <c r="N291" i="6"/>
  <c r="M291" i="6"/>
  <c r="K291" i="6"/>
  <c r="R293" i="12" l="1"/>
  <c r="G297" i="12"/>
  <c r="H296" i="12"/>
  <c r="I296" i="12" s="1"/>
  <c r="L294" i="12"/>
  <c r="K294" i="12"/>
  <c r="N294" i="12"/>
  <c r="M294" i="12"/>
  <c r="S291" i="10"/>
  <c r="O295" i="12"/>
  <c r="J295" i="12"/>
  <c r="P294" i="12"/>
  <c r="Q294" i="12"/>
  <c r="S294" i="12" s="1"/>
  <c r="O294" i="11"/>
  <c r="J294" i="11"/>
  <c r="G296" i="11"/>
  <c r="H295" i="11"/>
  <c r="I295" i="11" s="1"/>
  <c r="R291" i="10"/>
  <c r="R292" i="11"/>
  <c r="Q293" i="11"/>
  <c r="P293" i="11"/>
  <c r="N293" i="11"/>
  <c r="M293" i="11"/>
  <c r="L293" i="11"/>
  <c r="K293" i="11"/>
  <c r="M292" i="10"/>
  <c r="K292" i="10"/>
  <c r="L292" i="10"/>
  <c r="N292" i="10"/>
  <c r="H294" i="10"/>
  <c r="I294" i="10" s="1"/>
  <c r="J294" i="10" s="1"/>
  <c r="G295" i="10"/>
  <c r="O293" i="10"/>
  <c r="P292" i="10"/>
  <c r="Q292" i="10"/>
  <c r="R290" i="7"/>
  <c r="Q291" i="7"/>
  <c r="P291" i="7"/>
  <c r="K291" i="7"/>
  <c r="L291" i="7"/>
  <c r="M291" i="7"/>
  <c r="J292" i="7"/>
  <c r="N292" i="7" s="1"/>
  <c r="O292" i="7"/>
  <c r="K293" i="9"/>
  <c r="N293" i="9"/>
  <c r="M293" i="9"/>
  <c r="L293" i="9"/>
  <c r="G295" i="9"/>
  <c r="H294" i="9"/>
  <c r="I294" i="9" s="1"/>
  <c r="J294" i="9" s="1"/>
  <c r="H293" i="7"/>
  <c r="I293" i="7" s="1"/>
  <c r="G294" i="7"/>
  <c r="H293" i="6"/>
  <c r="I293" i="6" s="1"/>
  <c r="J293" i="6" s="1"/>
  <c r="G294" i="6"/>
  <c r="L292" i="6"/>
  <c r="K292" i="6"/>
  <c r="N292" i="6"/>
  <c r="M292" i="6"/>
  <c r="Q295" i="12" l="1"/>
  <c r="P295" i="12"/>
  <c r="R294" i="12"/>
  <c r="J296" i="12"/>
  <c r="O296" i="12"/>
  <c r="R292" i="10"/>
  <c r="K295" i="12"/>
  <c r="N295" i="12"/>
  <c r="L295" i="12"/>
  <c r="M295" i="12"/>
  <c r="G298" i="12"/>
  <c r="H297" i="12"/>
  <c r="I297" i="12" s="1"/>
  <c r="R293" i="11"/>
  <c r="O295" i="11"/>
  <c r="J295" i="11"/>
  <c r="S292" i="10"/>
  <c r="S293" i="11"/>
  <c r="G297" i="11"/>
  <c r="H296" i="11"/>
  <c r="I296" i="11" s="1"/>
  <c r="M294" i="11"/>
  <c r="L294" i="11"/>
  <c r="N294" i="11"/>
  <c r="K294" i="11"/>
  <c r="Q294" i="11"/>
  <c r="S294" i="11" s="1"/>
  <c r="P294" i="11"/>
  <c r="P293" i="10"/>
  <c r="Q293" i="10"/>
  <c r="H295" i="10"/>
  <c r="I295" i="10" s="1"/>
  <c r="J295" i="10" s="1"/>
  <c r="G296" i="10"/>
  <c r="K293" i="10"/>
  <c r="R293" i="10" s="1"/>
  <c r="M293" i="10"/>
  <c r="N293" i="10"/>
  <c r="L293" i="10"/>
  <c r="O294" i="10"/>
  <c r="R291" i="7"/>
  <c r="S291" i="7"/>
  <c r="Q292" i="7"/>
  <c r="P292" i="7"/>
  <c r="L292" i="7"/>
  <c r="K292" i="7"/>
  <c r="M292" i="7"/>
  <c r="J293" i="7"/>
  <c r="K293" i="7" s="1"/>
  <c r="O293" i="7"/>
  <c r="K294" i="9"/>
  <c r="M294" i="9"/>
  <c r="L294" i="9"/>
  <c r="N294" i="9"/>
  <c r="G296" i="9"/>
  <c r="H295" i="9"/>
  <c r="I295" i="9" s="1"/>
  <c r="J295" i="9" s="1"/>
  <c r="H294" i="7"/>
  <c r="I294" i="7" s="1"/>
  <c r="G295" i="7"/>
  <c r="H294" i="6"/>
  <c r="I294" i="6" s="1"/>
  <c r="J294" i="6" s="1"/>
  <c r="G295" i="6"/>
  <c r="L293" i="6"/>
  <c r="N293" i="6"/>
  <c r="M293" i="6"/>
  <c r="K293" i="6"/>
  <c r="J297" i="12" l="1"/>
  <c r="O297" i="12"/>
  <c r="N296" i="12"/>
  <c r="M296" i="12"/>
  <c r="L296" i="12"/>
  <c r="K296" i="12"/>
  <c r="G299" i="12"/>
  <c r="H298" i="12"/>
  <c r="I298" i="12" s="1"/>
  <c r="R295" i="12"/>
  <c r="Q296" i="12"/>
  <c r="P296" i="12"/>
  <c r="S295" i="12"/>
  <c r="O296" i="11"/>
  <c r="J296" i="11"/>
  <c r="L295" i="11"/>
  <c r="K295" i="11"/>
  <c r="N295" i="11"/>
  <c r="M295" i="11"/>
  <c r="H297" i="11"/>
  <c r="I297" i="11" s="1"/>
  <c r="G298" i="11"/>
  <c r="P295" i="11"/>
  <c r="R295" i="11" s="1"/>
  <c r="Q295" i="11"/>
  <c r="S295" i="11" s="1"/>
  <c r="S293" i="10"/>
  <c r="R294" i="11"/>
  <c r="G297" i="10"/>
  <c r="H296" i="10"/>
  <c r="I296" i="10" s="1"/>
  <c r="J296" i="10" s="1"/>
  <c r="O295" i="10"/>
  <c r="P294" i="10"/>
  <c r="Q294" i="10"/>
  <c r="N294" i="10"/>
  <c r="M294" i="10"/>
  <c r="K294" i="10"/>
  <c r="R294" i="10" s="1"/>
  <c r="L294" i="10"/>
  <c r="S294" i="10" s="1"/>
  <c r="S292" i="7"/>
  <c r="R292" i="7"/>
  <c r="Q293" i="7"/>
  <c r="P293" i="7"/>
  <c r="R293" i="7" s="1"/>
  <c r="L293" i="7"/>
  <c r="M293" i="7"/>
  <c r="N293" i="7"/>
  <c r="J294" i="7"/>
  <c r="N294" i="7" s="1"/>
  <c r="O294" i="7"/>
  <c r="K295" i="9"/>
  <c r="N295" i="9"/>
  <c r="M295" i="9"/>
  <c r="L295" i="9"/>
  <c r="G297" i="9"/>
  <c r="H296" i="9"/>
  <c r="I296" i="9" s="1"/>
  <c r="J296" i="9" s="1"/>
  <c r="H295" i="7"/>
  <c r="I295" i="7" s="1"/>
  <c r="G296" i="7"/>
  <c r="H295" i="6"/>
  <c r="I295" i="6" s="1"/>
  <c r="J295" i="6" s="1"/>
  <c r="G296" i="6"/>
  <c r="L294" i="6"/>
  <c r="K294" i="6"/>
  <c r="N294" i="6"/>
  <c r="M294" i="6"/>
  <c r="S296" i="12" l="1"/>
  <c r="O298" i="12"/>
  <c r="J298" i="12"/>
  <c r="R296" i="12"/>
  <c r="H299" i="12"/>
  <c r="I299" i="12" s="1"/>
  <c r="G300" i="12"/>
  <c r="Q297" i="12"/>
  <c r="P297" i="12"/>
  <c r="M297" i="12"/>
  <c r="L297" i="12"/>
  <c r="N297" i="12"/>
  <c r="K297" i="12"/>
  <c r="G299" i="11"/>
  <c r="H298" i="11"/>
  <c r="I298" i="11" s="1"/>
  <c r="J297" i="11"/>
  <c r="O297" i="11"/>
  <c r="K296" i="11"/>
  <c r="N296" i="11"/>
  <c r="M296" i="11"/>
  <c r="L296" i="11"/>
  <c r="Q296" i="11"/>
  <c r="P296" i="11"/>
  <c r="R296" i="11" s="1"/>
  <c r="N295" i="10"/>
  <c r="M295" i="10"/>
  <c r="L295" i="10"/>
  <c r="K295" i="10"/>
  <c r="O296" i="10"/>
  <c r="Q295" i="10"/>
  <c r="P295" i="10"/>
  <c r="G298" i="10"/>
  <c r="H297" i="10"/>
  <c r="I297" i="10" s="1"/>
  <c r="J297" i="10" s="1"/>
  <c r="S293" i="7"/>
  <c r="Q294" i="7"/>
  <c r="P294" i="7"/>
  <c r="L294" i="7"/>
  <c r="S294" i="7" s="1"/>
  <c r="K294" i="7"/>
  <c r="M294" i="7"/>
  <c r="J295" i="7"/>
  <c r="K295" i="7" s="1"/>
  <c r="O295" i="7"/>
  <c r="K296" i="9"/>
  <c r="M296" i="9"/>
  <c r="L296" i="9"/>
  <c r="N296" i="9"/>
  <c r="G298" i="9"/>
  <c r="H297" i="9"/>
  <c r="I297" i="9" s="1"/>
  <c r="J297" i="9" s="1"/>
  <c r="H296" i="7"/>
  <c r="I296" i="7" s="1"/>
  <c r="G297" i="7"/>
  <c r="H296" i="6"/>
  <c r="I296" i="6" s="1"/>
  <c r="J296" i="6" s="1"/>
  <c r="G297" i="6"/>
  <c r="L295" i="6"/>
  <c r="N295" i="6"/>
  <c r="M295" i="6"/>
  <c r="K295" i="6"/>
  <c r="S297" i="12" l="1"/>
  <c r="O299" i="12"/>
  <c r="J299" i="12"/>
  <c r="R297" i="12"/>
  <c r="L298" i="12"/>
  <c r="K298" i="12"/>
  <c r="M298" i="12"/>
  <c r="N298" i="12"/>
  <c r="R295" i="10"/>
  <c r="H300" i="12"/>
  <c r="I300" i="12" s="1"/>
  <c r="G301" i="12"/>
  <c r="P298" i="12"/>
  <c r="Q298" i="12"/>
  <c r="S298" i="12" s="1"/>
  <c r="Q297" i="11"/>
  <c r="P297" i="11"/>
  <c r="N297" i="11"/>
  <c r="M297" i="11"/>
  <c r="K297" i="11"/>
  <c r="L297" i="11"/>
  <c r="O298" i="11"/>
  <c r="J298" i="11"/>
  <c r="S295" i="10"/>
  <c r="S296" i="11"/>
  <c r="G300" i="11"/>
  <c r="H299" i="11"/>
  <c r="I299" i="11" s="1"/>
  <c r="O297" i="10"/>
  <c r="Q296" i="10"/>
  <c r="P296" i="10"/>
  <c r="G299" i="10"/>
  <c r="H298" i="10"/>
  <c r="I298" i="10" s="1"/>
  <c r="J298" i="10" s="1"/>
  <c r="L296" i="10"/>
  <c r="S296" i="10" s="1"/>
  <c r="M296" i="10"/>
  <c r="N296" i="10"/>
  <c r="K296" i="10"/>
  <c r="R296" i="10" s="1"/>
  <c r="R294" i="7"/>
  <c r="Q295" i="7"/>
  <c r="P295" i="7"/>
  <c r="R295" i="7" s="1"/>
  <c r="L295" i="7"/>
  <c r="M295" i="7"/>
  <c r="N295" i="7"/>
  <c r="J296" i="7"/>
  <c r="N296" i="7" s="1"/>
  <c r="O296" i="7"/>
  <c r="K297" i="9"/>
  <c r="N297" i="9"/>
  <c r="M297" i="9"/>
  <c r="L297" i="9"/>
  <c r="G299" i="9"/>
  <c r="H298" i="9"/>
  <c r="I298" i="9" s="1"/>
  <c r="J298" i="9" s="1"/>
  <c r="H297" i="7"/>
  <c r="I297" i="7" s="1"/>
  <c r="G298" i="7"/>
  <c r="H297" i="6"/>
  <c r="I297" i="6" s="1"/>
  <c r="J297" i="6" s="1"/>
  <c r="G298" i="6"/>
  <c r="L296" i="6"/>
  <c r="K296" i="6"/>
  <c r="N296" i="6"/>
  <c r="M296" i="6"/>
  <c r="R298" i="12" l="1"/>
  <c r="G302" i="12"/>
  <c r="H301" i="12"/>
  <c r="I301" i="12" s="1"/>
  <c r="K299" i="12"/>
  <c r="N299" i="12"/>
  <c r="M299" i="12"/>
  <c r="L299" i="12"/>
  <c r="O300" i="12"/>
  <c r="J300" i="12"/>
  <c r="P299" i="12"/>
  <c r="Q299" i="12"/>
  <c r="O299" i="11"/>
  <c r="J299" i="11"/>
  <c r="M298" i="11"/>
  <c r="L298" i="11"/>
  <c r="K298" i="11"/>
  <c r="N298" i="11"/>
  <c r="G301" i="11"/>
  <c r="H300" i="11"/>
  <c r="I300" i="11" s="1"/>
  <c r="Q298" i="11"/>
  <c r="S298" i="11" s="1"/>
  <c r="P298" i="11"/>
  <c r="R298" i="11" s="1"/>
  <c r="R297" i="11"/>
  <c r="S297" i="11"/>
  <c r="O298" i="10"/>
  <c r="Q297" i="10"/>
  <c r="P297" i="10"/>
  <c r="G300" i="10"/>
  <c r="H299" i="10"/>
  <c r="I299" i="10" s="1"/>
  <c r="J299" i="10" s="1"/>
  <c r="N297" i="10"/>
  <c r="L297" i="10"/>
  <c r="M297" i="10"/>
  <c r="K297" i="10"/>
  <c r="R297" i="10" s="1"/>
  <c r="S295" i="7"/>
  <c r="Q296" i="7"/>
  <c r="P296" i="7"/>
  <c r="L296" i="7"/>
  <c r="S296" i="7" s="1"/>
  <c r="K296" i="7"/>
  <c r="M296" i="7"/>
  <c r="J297" i="7"/>
  <c r="K297" i="7" s="1"/>
  <c r="O297" i="7"/>
  <c r="K298" i="9"/>
  <c r="M298" i="9"/>
  <c r="L298" i="9"/>
  <c r="N298" i="9"/>
  <c r="G300" i="9"/>
  <c r="H299" i="9"/>
  <c r="I299" i="9" s="1"/>
  <c r="J299" i="9" s="1"/>
  <c r="H298" i="7"/>
  <c r="I298" i="7" s="1"/>
  <c r="G299" i="7"/>
  <c r="H298" i="6"/>
  <c r="I298" i="6" s="1"/>
  <c r="J298" i="6" s="1"/>
  <c r="G299" i="6"/>
  <c r="L297" i="6"/>
  <c r="N297" i="6"/>
  <c r="M297" i="6"/>
  <c r="K297" i="6"/>
  <c r="S299" i="12" l="1"/>
  <c r="Q300" i="12"/>
  <c r="P300" i="12"/>
  <c r="J301" i="12"/>
  <c r="O301" i="12"/>
  <c r="R299" i="12"/>
  <c r="G303" i="12"/>
  <c r="H302" i="12"/>
  <c r="I302" i="12" s="1"/>
  <c r="K300" i="12"/>
  <c r="N300" i="12"/>
  <c r="M300" i="12"/>
  <c r="L300" i="12"/>
  <c r="O300" i="11"/>
  <c r="J300" i="11"/>
  <c r="S297" i="10"/>
  <c r="G302" i="11"/>
  <c r="H301" i="11"/>
  <c r="I301" i="11" s="1"/>
  <c r="L299" i="11"/>
  <c r="K299" i="11"/>
  <c r="N299" i="11"/>
  <c r="M299" i="11"/>
  <c r="P299" i="11"/>
  <c r="R299" i="11" s="1"/>
  <c r="Q299" i="11"/>
  <c r="K298" i="10"/>
  <c r="L298" i="10"/>
  <c r="S298" i="10" s="1"/>
  <c r="M298" i="10"/>
  <c r="N298" i="10"/>
  <c r="O299" i="10"/>
  <c r="G301" i="10"/>
  <c r="H300" i="10"/>
  <c r="I300" i="10" s="1"/>
  <c r="J300" i="10" s="1"/>
  <c r="Q298" i="10"/>
  <c r="P298" i="10"/>
  <c r="R296" i="7"/>
  <c r="Q297" i="7"/>
  <c r="P297" i="7"/>
  <c r="R297" i="7" s="1"/>
  <c r="L297" i="7"/>
  <c r="M297" i="7"/>
  <c r="N297" i="7"/>
  <c r="J298" i="7"/>
  <c r="N298" i="7" s="1"/>
  <c r="O298" i="7"/>
  <c r="K299" i="9"/>
  <c r="N299" i="9"/>
  <c r="M299" i="9"/>
  <c r="L299" i="9"/>
  <c r="G301" i="9"/>
  <c r="H300" i="9"/>
  <c r="I300" i="9" s="1"/>
  <c r="J300" i="9" s="1"/>
  <c r="H299" i="7"/>
  <c r="I299" i="7" s="1"/>
  <c r="G300" i="7"/>
  <c r="H299" i="6"/>
  <c r="I299" i="6" s="1"/>
  <c r="J299" i="6" s="1"/>
  <c r="G300" i="6"/>
  <c r="L298" i="6"/>
  <c r="K298" i="6"/>
  <c r="N298" i="6"/>
  <c r="M298" i="6"/>
  <c r="Q301" i="12" l="1"/>
  <c r="P301" i="12"/>
  <c r="O302" i="12"/>
  <c r="J302" i="12"/>
  <c r="N301" i="12"/>
  <c r="M301" i="12"/>
  <c r="L301" i="12"/>
  <c r="K301" i="12"/>
  <c r="G304" i="12"/>
  <c r="H303" i="12"/>
  <c r="I303" i="12" s="1"/>
  <c r="R300" i="12"/>
  <c r="S300" i="12"/>
  <c r="R298" i="10"/>
  <c r="G303" i="11"/>
  <c r="H302" i="11"/>
  <c r="I302" i="11" s="1"/>
  <c r="S299" i="11"/>
  <c r="K300" i="11"/>
  <c r="N300" i="11"/>
  <c r="M300" i="11"/>
  <c r="L300" i="11"/>
  <c r="J301" i="11"/>
  <c r="O301" i="11"/>
  <c r="Q300" i="11"/>
  <c r="P300" i="11"/>
  <c r="R300" i="11" s="1"/>
  <c r="O300" i="10"/>
  <c r="G302" i="10"/>
  <c r="H301" i="10"/>
  <c r="I301" i="10" s="1"/>
  <c r="J301" i="10" s="1"/>
  <c r="L299" i="10"/>
  <c r="M299" i="10"/>
  <c r="K299" i="10"/>
  <c r="N299" i="10"/>
  <c r="P299" i="10"/>
  <c r="Q299" i="10"/>
  <c r="S297" i="7"/>
  <c r="Q298" i="7"/>
  <c r="P298" i="7"/>
  <c r="L298" i="7"/>
  <c r="K298" i="7"/>
  <c r="M298" i="7"/>
  <c r="J299" i="7"/>
  <c r="K299" i="7" s="1"/>
  <c r="O299" i="7"/>
  <c r="K300" i="9"/>
  <c r="M300" i="9"/>
  <c r="L300" i="9"/>
  <c r="N300" i="9"/>
  <c r="G302" i="9"/>
  <c r="H301" i="9"/>
  <c r="I301" i="9" s="1"/>
  <c r="J301" i="9" s="1"/>
  <c r="H300" i="7"/>
  <c r="I300" i="7" s="1"/>
  <c r="G301" i="7"/>
  <c r="H300" i="6"/>
  <c r="I300" i="6" s="1"/>
  <c r="J300" i="6" s="1"/>
  <c r="G301" i="6"/>
  <c r="L299" i="6"/>
  <c r="N299" i="6"/>
  <c r="M299" i="6"/>
  <c r="K299" i="6"/>
  <c r="M302" i="12" l="1"/>
  <c r="L302" i="12"/>
  <c r="K302" i="12"/>
  <c r="N302" i="12"/>
  <c r="S300" i="11"/>
  <c r="Q302" i="12"/>
  <c r="P302" i="12"/>
  <c r="R299" i="10"/>
  <c r="O303" i="12"/>
  <c r="J303" i="12"/>
  <c r="R301" i="12"/>
  <c r="H304" i="12"/>
  <c r="I304" i="12" s="1"/>
  <c r="G305" i="12"/>
  <c r="S301" i="12"/>
  <c r="S299" i="10"/>
  <c r="O302" i="11"/>
  <c r="J302" i="11"/>
  <c r="Q301" i="11"/>
  <c r="P301" i="11"/>
  <c r="G304" i="11"/>
  <c r="H303" i="11"/>
  <c r="I303" i="11" s="1"/>
  <c r="S298" i="7"/>
  <c r="N301" i="11"/>
  <c r="M301" i="11"/>
  <c r="L301" i="11"/>
  <c r="K301" i="11"/>
  <c r="O301" i="10"/>
  <c r="K300" i="10"/>
  <c r="M300" i="10"/>
  <c r="N300" i="10"/>
  <c r="L300" i="10"/>
  <c r="H302" i="10"/>
  <c r="I302" i="10" s="1"/>
  <c r="J302" i="10" s="1"/>
  <c r="G303" i="10"/>
  <c r="P300" i="10"/>
  <c r="Q300" i="10"/>
  <c r="R298" i="7"/>
  <c r="Q299" i="7"/>
  <c r="P299" i="7"/>
  <c r="R299" i="7" s="1"/>
  <c r="L299" i="7"/>
  <c r="M299" i="7"/>
  <c r="N299" i="7"/>
  <c r="J300" i="7"/>
  <c r="N300" i="7" s="1"/>
  <c r="O300" i="7"/>
  <c r="K301" i="9"/>
  <c r="N301" i="9"/>
  <c r="M301" i="9"/>
  <c r="L301" i="9"/>
  <c r="G303" i="9"/>
  <c r="H302" i="9"/>
  <c r="I302" i="9" s="1"/>
  <c r="J302" i="9" s="1"/>
  <c r="H301" i="7"/>
  <c r="I301" i="7" s="1"/>
  <c r="G302" i="7"/>
  <c r="H301" i="6"/>
  <c r="I301" i="6" s="1"/>
  <c r="J301" i="6" s="1"/>
  <c r="G302" i="6"/>
  <c r="L300" i="6"/>
  <c r="K300" i="6"/>
  <c r="N300" i="6"/>
  <c r="M300" i="6"/>
  <c r="R302" i="12" l="1"/>
  <c r="S302" i="12"/>
  <c r="O304" i="12"/>
  <c r="J304" i="12"/>
  <c r="L303" i="12"/>
  <c r="K303" i="12"/>
  <c r="N303" i="12"/>
  <c r="M303" i="12"/>
  <c r="G306" i="12"/>
  <c r="H305" i="12"/>
  <c r="I305" i="12" s="1"/>
  <c r="P303" i="12"/>
  <c r="R303" i="12" s="1"/>
  <c r="Q303" i="12"/>
  <c r="S303" i="12" s="1"/>
  <c r="S301" i="11"/>
  <c r="O303" i="11"/>
  <c r="J303" i="11"/>
  <c r="M302" i="11"/>
  <c r="L302" i="11"/>
  <c r="N302" i="11"/>
  <c r="K302" i="11"/>
  <c r="R300" i="10"/>
  <c r="G305" i="11"/>
  <c r="H304" i="11"/>
  <c r="I304" i="11" s="1"/>
  <c r="Q302" i="11"/>
  <c r="S302" i="11" s="1"/>
  <c r="P302" i="11"/>
  <c r="S300" i="10"/>
  <c r="R301" i="11"/>
  <c r="O302" i="10"/>
  <c r="G304" i="10"/>
  <c r="H303" i="10"/>
  <c r="I303" i="10" s="1"/>
  <c r="J303" i="10" s="1"/>
  <c r="Q301" i="10"/>
  <c r="P301" i="10"/>
  <c r="N301" i="10"/>
  <c r="L301" i="10"/>
  <c r="S301" i="10" s="1"/>
  <c r="M301" i="10"/>
  <c r="K301" i="10"/>
  <c r="R301" i="10" s="1"/>
  <c r="S299" i="7"/>
  <c r="Q300" i="7"/>
  <c r="P300" i="7"/>
  <c r="L300" i="7"/>
  <c r="S300" i="7" s="1"/>
  <c r="K300" i="7"/>
  <c r="M300" i="7"/>
  <c r="J301" i="7"/>
  <c r="K301" i="7" s="1"/>
  <c r="O301" i="7"/>
  <c r="K302" i="9"/>
  <c r="M302" i="9"/>
  <c r="L302" i="9"/>
  <c r="N302" i="9"/>
  <c r="G304" i="9"/>
  <c r="H303" i="9"/>
  <c r="I303" i="9" s="1"/>
  <c r="J303" i="9" s="1"/>
  <c r="H302" i="7"/>
  <c r="I302" i="7" s="1"/>
  <c r="G303" i="7"/>
  <c r="H302" i="6"/>
  <c r="I302" i="6" s="1"/>
  <c r="J302" i="6" s="1"/>
  <c r="G303" i="6"/>
  <c r="L301" i="6"/>
  <c r="N301" i="6"/>
  <c r="M301" i="6"/>
  <c r="K301" i="6"/>
  <c r="J305" i="12" l="1"/>
  <c r="O305" i="12"/>
  <c r="G307" i="12"/>
  <c r="H306" i="12"/>
  <c r="I306" i="12" s="1"/>
  <c r="K304" i="12"/>
  <c r="N304" i="12"/>
  <c r="M304" i="12"/>
  <c r="L304" i="12"/>
  <c r="Q304" i="12"/>
  <c r="S304" i="12" s="1"/>
  <c r="P304" i="12"/>
  <c r="R302" i="11"/>
  <c r="L303" i="11"/>
  <c r="K303" i="11"/>
  <c r="N303" i="11"/>
  <c r="M303" i="11"/>
  <c r="O304" i="11"/>
  <c r="J304" i="11"/>
  <c r="P303" i="11"/>
  <c r="Q303" i="11"/>
  <c r="H305" i="11"/>
  <c r="I305" i="11" s="1"/>
  <c r="G306" i="11"/>
  <c r="O303" i="10"/>
  <c r="G305" i="10"/>
  <c r="H304" i="10"/>
  <c r="I304" i="10" s="1"/>
  <c r="J304" i="10" s="1"/>
  <c r="L302" i="10"/>
  <c r="S302" i="10" s="1"/>
  <c r="K302" i="10"/>
  <c r="N302" i="10"/>
  <c r="M302" i="10"/>
  <c r="P302" i="10"/>
  <c r="Q302" i="10"/>
  <c r="R300" i="7"/>
  <c r="Q301" i="7"/>
  <c r="P301" i="7"/>
  <c r="R301" i="7" s="1"/>
  <c r="L301" i="7"/>
  <c r="M301" i="7"/>
  <c r="N301" i="7"/>
  <c r="J302" i="7"/>
  <c r="N302" i="7" s="1"/>
  <c r="O302" i="7"/>
  <c r="K303" i="9"/>
  <c r="N303" i="9"/>
  <c r="M303" i="9"/>
  <c r="L303" i="9"/>
  <c r="G305" i="9"/>
  <c r="H304" i="9"/>
  <c r="I304" i="9" s="1"/>
  <c r="J304" i="9" s="1"/>
  <c r="H303" i="7"/>
  <c r="I303" i="7" s="1"/>
  <c r="G304" i="7"/>
  <c r="H303" i="6"/>
  <c r="I303" i="6" s="1"/>
  <c r="J303" i="6" s="1"/>
  <c r="G304" i="6"/>
  <c r="L302" i="6"/>
  <c r="K302" i="6"/>
  <c r="N302" i="6"/>
  <c r="M302" i="6"/>
  <c r="O306" i="12" l="1"/>
  <c r="J306" i="12"/>
  <c r="G308" i="12"/>
  <c r="H307" i="12"/>
  <c r="I307" i="12" s="1"/>
  <c r="R304" i="12"/>
  <c r="Q305" i="12"/>
  <c r="P305" i="12"/>
  <c r="N305" i="12"/>
  <c r="M305" i="12"/>
  <c r="L305" i="12"/>
  <c r="K305" i="12"/>
  <c r="G307" i="11"/>
  <c r="H306" i="11"/>
  <c r="I306" i="11" s="1"/>
  <c r="R302" i="10"/>
  <c r="R303" i="11"/>
  <c r="K304" i="11"/>
  <c r="N304" i="11"/>
  <c r="M304" i="11"/>
  <c r="L304" i="11"/>
  <c r="J305" i="11"/>
  <c r="O305" i="11"/>
  <c r="P304" i="11"/>
  <c r="R304" i="11" s="1"/>
  <c r="Q304" i="11"/>
  <c r="S304" i="11" s="1"/>
  <c r="S303" i="11"/>
  <c r="O304" i="10"/>
  <c r="P303" i="10"/>
  <c r="Q303" i="10"/>
  <c r="G306" i="10"/>
  <c r="H305" i="10"/>
  <c r="I305" i="10" s="1"/>
  <c r="J305" i="10" s="1"/>
  <c r="M303" i="10"/>
  <c r="L303" i="10"/>
  <c r="S303" i="10" s="1"/>
  <c r="N303" i="10"/>
  <c r="K303" i="10"/>
  <c r="R303" i="10" s="1"/>
  <c r="S301" i="7"/>
  <c r="Q302" i="7"/>
  <c r="P302" i="7"/>
  <c r="L302" i="7"/>
  <c r="S302" i="7" s="1"/>
  <c r="K302" i="7"/>
  <c r="M302" i="7"/>
  <c r="J303" i="7"/>
  <c r="K303" i="7" s="1"/>
  <c r="O303" i="7"/>
  <c r="K304" i="9"/>
  <c r="M304" i="9"/>
  <c r="L304" i="9"/>
  <c r="N304" i="9"/>
  <c r="G306" i="9"/>
  <c r="H305" i="9"/>
  <c r="I305" i="9" s="1"/>
  <c r="J305" i="9" s="1"/>
  <c r="H304" i="7"/>
  <c r="I304" i="7" s="1"/>
  <c r="G305" i="7"/>
  <c r="H304" i="6"/>
  <c r="I304" i="6" s="1"/>
  <c r="J304" i="6" s="1"/>
  <c r="G305" i="6"/>
  <c r="L303" i="6"/>
  <c r="N303" i="6"/>
  <c r="M303" i="6"/>
  <c r="K303" i="6"/>
  <c r="O307" i="12" l="1"/>
  <c r="J307" i="12"/>
  <c r="R305" i="12"/>
  <c r="G309" i="12"/>
  <c r="H308" i="12"/>
  <c r="I308" i="12" s="1"/>
  <c r="S305" i="12"/>
  <c r="M306" i="12"/>
  <c r="L306" i="12"/>
  <c r="K306" i="12"/>
  <c r="N306" i="12"/>
  <c r="Q306" i="12"/>
  <c r="P306" i="12"/>
  <c r="R306" i="12" s="1"/>
  <c r="Q305" i="11"/>
  <c r="P305" i="11"/>
  <c r="J306" i="11"/>
  <c r="O306" i="11"/>
  <c r="N305" i="11"/>
  <c r="M305" i="11"/>
  <c r="L305" i="11"/>
  <c r="K305" i="11"/>
  <c r="G308" i="11"/>
  <c r="H307" i="11"/>
  <c r="I307" i="11" s="1"/>
  <c r="O305" i="10"/>
  <c r="N304" i="10"/>
  <c r="K304" i="10"/>
  <c r="M304" i="10"/>
  <c r="L304" i="10"/>
  <c r="S304" i="10" s="1"/>
  <c r="G307" i="10"/>
  <c r="H306" i="10"/>
  <c r="I306" i="10" s="1"/>
  <c r="J306" i="10" s="1"/>
  <c r="Q304" i="10"/>
  <c r="P304" i="10"/>
  <c r="R302" i="7"/>
  <c r="Q303" i="7"/>
  <c r="P303" i="7"/>
  <c r="R303" i="7" s="1"/>
  <c r="L303" i="7"/>
  <c r="M303" i="7"/>
  <c r="N303" i="7"/>
  <c r="J304" i="7"/>
  <c r="N304" i="7" s="1"/>
  <c r="O304" i="7"/>
  <c r="K305" i="9"/>
  <c r="N305" i="9"/>
  <c r="M305" i="9"/>
  <c r="L305" i="9"/>
  <c r="G307" i="9"/>
  <c r="H306" i="9"/>
  <c r="I306" i="9" s="1"/>
  <c r="J306" i="9" s="1"/>
  <c r="H305" i="7"/>
  <c r="I305" i="7" s="1"/>
  <c r="G306" i="7"/>
  <c r="H305" i="6"/>
  <c r="I305" i="6" s="1"/>
  <c r="J305" i="6" s="1"/>
  <c r="G306" i="6"/>
  <c r="L304" i="6"/>
  <c r="K304" i="6"/>
  <c r="N304" i="6"/>
  <c r="M304" i="6"/>
  <c r="G310" i="12" l="1"/>
  <c r="H309" i="12"/>
  <c r="I309" i="12" s="1"/>
  <c r="S306" i="12"/>
  <c r="L307" i="12"/>
  <c r="K307" i="12"/>
  <c r="N307" i="12"/>
  <c r="M307" i="12"/>
  <c r="O308" i="12"/>
  <c r="J308" i="12"/>
  <c r="P307" i="12"/>
  <c r="R307" i="12" s="1"/>
  <c r="Q307" i="12"/>
  <c r="Q306" i="11"/>
  <c r="P306" i="11"/>
  <c r="M306" i="11"/>
  <c r="L306" i="11"/>
  <c r="K306" i="11"/>
  <c r="N306" i="11"/>
  <c r="O307" i="11"/>
  <c r="J307" i="11"/>
  <c r="R305" i="11"/>
  <c r="R304" i="10"/>
  <c r="G309" i="11"/>
  <c r="H308" i="11"/>
  <c r="I308" i="11" s="1"/>
  <c r="S305" i="11"/>
  <c r="O306" i="10"/>
  <c r="G308" i="10"/>
  <c r="H307" i="10"/>
  <c r="I307" i="10" s="1"/>
  <c r="J307" i="10" s="1"/>
  <c r="P305" i="10"/>
  <c r="Q305" i="10"/>
  <c r="K305" i="10"/>
  <c r="M305" i="10"/>
  <c r="N305" i="10"/>
  <c r="L305" i="10"/>
  <c r="S305" i="10" s="1"/>
  <c r="S303" i="7"/>
  <c r="Q304" i="7"/>
  <c r="P304" i="7"/>
  <c r="L304" i="7"/>
  <c r="K304" i="7"/>
  <c r="M304" i="7"/>
  <c r="J305" i="7"/>
  <c r="K305" i="7" s="1"/>
  <c r="O305" i="7"/>
  <c r="K306" i="9"/>
  <c r="M306" i="9"/>
  <c r="L306" i="9"/>
  <c r="N306" i="9"/>
  <c r="G308" i="9"/>
  <c r="H307" i="9"/>
  <c r="I307" i="9" s="1"/>
  <c r="J307" i="9" s="1"/>
  <c r="H306" i="7"/>
  <c r="I306" i="7" s="1"/>
  <c r="G307" i="7"/>
  <c r="H306" i="6"/>
  <c r="I306" i="6" s="1"/>
  <c r="J306" i="6" s="1"/>
  <c r="G307" i="6"/>
  <c r="L305" i="6"/>
  <c r="N305" i="6"/>
  <c r="M305" i="6"/>
  <c r="K305" i="6"/>
  <c r="S307" i="12" l="1"/>
  <c r="Q308" i="12"/>
  <c r="P308" i="12"/>
  <c r="R305" i="10"/>
  <c r="J309" i="12"/>
  <c r="O309" i="12"/>
  <c r="R306" i="11"/>
  <c r="K308" i="12"/>
  <c r="N308" i="12"/>
  <c r="M308" i="12"/>
  <c r="L308" i="12"/>
  <c r="G311" i="12"/>
  <c r="H310" i="12"/>
  <c r="I310" i="12" s="1"/>
  <c r="O308" i="11"/>
  <c r="J308" i="11"/>
  <c r="L307" i="11"/>
  <c r="K307" i="11"/>
  <c r="N307" i="11"/>
  <c r="M307" i="11"/>
  <c r="P307" i="11"/>
  <c r="Q307" i="11"/>
  <c r="H309" i="11"/>
  <c r="I309" i="11" s="1"/>
  <c r="G310" i="11"/>
  <c r="S304" i="7"/>
  <c r="S306" i="11"/>
  <c r="Q306" i="10"/>
  <c r="P306" i="10"/>
  <c r="O307" i="10"/>
  <c r="G309" i="10"/>
  <c r="H308" i="10"/>
  <c r="I308" i="10" s="1"/>
  <c r="J308" i="10" s="1"/>
  <c r="N306" i="10"/>
  <c r="L306" i="10"/>
  <c r="M306" i="10"/>
  <c r="K306" i="10"/>
  <c r="R306" i="10" s="1"/>
  <c r="R304" i="7"/>
  <c r="Q305" i="7"/>
  <c r="P305" i="7"/>
  <c r="R305" i="7" s="1"/>
  <c r="L305" i="7"/>
  <c r="M305" i="7"/>
  <c r="N305" i="7"/>
  <c r="J306" i="7"/>
  <c r="N306" i="7" s="1"/>
  <c r="O306" i="7"/>
  <c r="K307" i="9"/>
  <c r="N307" i="9"/>
  <c r="M307" i="9"/>
  <c r="L307" i="9"/>
  <c r="G309" i="9"/>
  <c r="H308" i="9"/>
  <c r="I308" i="9" s="1"/>
  <c r="J308" i="9" s="1"/>
  <c r="H307" i="7"/>
  <c r="I307" i="7" s="1"/>
  <c r="G308" i="7"/>
  <c r="H307" i="6"/>
  <c r="I307" i="6" s="1"/>
  <c r="J307" i="6" s="1"/>
  <c r="G308" i="6"/>
  <c r="L306" i="6"/>
  <c r="K306" i="6"/>
  <c r="N306" i="6"/>
  <c r="M306" i="6"/>
  <c r="O310" i="12" l="1"/>
  <c r="J310" i="12"/>
  <c r="N309" i="12"/>
  <c r="M309" i="12"/>
  <c r="L309" i="12"/>
  <c r="K309" i="12"/>
  <c r="S306" i="10"/>
  <c r="R307" i="11"/>
  <c r="G312" i="12"/>
  <c r="H311" i="12"/>
  <c r="I311" i="12" s="1"/>
  <c r="R308" i="12"/>
  <c r="Q309" i="12"/>
  <c r="S309" i="12" s="1"/>
  <c r="P309" i="12"/>
  <c r="S308" i="12"/>
  <c r="S307" i="11"/>
  <c r="G311" i="11"/>
  <c r="H310" i="11"/>
  <c r="I310" i="11" s="1"/>
  <c r="K308" i="11"/>
  <c r="N308" i="11"/>
  <c r="M308" i="11"/>
  <c r="L308" i="11"/>
  <c r="O309" i="11"/>
  <c r="J309" i="11"/>
  <c r="P308" i="11"/>
  <c r="Q308" i="11"/>
  <c r="S308" i="11" s="1"/>
  <c r="P307" i="10"/>
  <c r="Q307" i="10"/>
  <c r="L307" i="10"/>
  <c r="N307" i="10"/>
  <c r="K307" i="10"/>
  <c r="R307" i="10" s="1"/>
  <c r="M307" i="10"/>
  <c r="O308" i="10"/>
  <c r="G310" i="10"/>
  <c r="H309" i="10"/>
  <c r="I309" i="10" s="1"/>
  <c r="J309" i="10" s="1"/>
  <c r="S305" i="7"/>
  <c r="Q306" i="7"/>
  <c r="P306" i="7"/>
  <c r="L306" i="7"/>
  <c r="S306" i="7" s="1"/>
  <c r="K306" i="7"/>
  <c r="M306" i="7"/>
  <c r="J307" i="7"/>
  <c r="K307" i="7" s="1"/>
  <c r="O307" i="7"/>
  <c r="K308" i="9"/>
  <c r="N308" i="9"/>
  <c r="M308" i="9"/>
  <c r="L308" i="9"/>
  <c r="G310" i="9"/>
  <c r="H309" i="9"/>
  <c r="I309" i="9" s="1"/>
  <c r="J309" i="9" s="1"/>
  <c r="H308" i="7"/>
  <c r="I308" i="7" s="1"/>
  <c r="G309" i="7"/>
  <c r="H308" i="6"/>
  <c r="I308" i="6" s="1"/>
  <c r="J308" i="6" s="1"/>
  <c r="G309" i="6"/>
  <c r="L307" i="6"/>
  <c r="N307" i="6"/>
  <c r="M307" i="6"/>
  <c r="K307" i="6"/>
  <c r="O311" i="12" l="1"/>
  <c r="J311" i="12"/>
  <c r="M310" i="12"/>
  <c r="L310" i="12"/>
  <c r="K310" i="12"/>
  <c r="N310" i="12"/>
  <c r="R309" i="12"/>
  <c r="H312" i="12"/>
  <c r="I312" i="12" s="1"/>
  <c r="G313" i="12"/>
  <c r="Q310" i="12"/>
  <c r="P310" i="12"/>
  <c r="Q309" i="11"/>
  <c r="P309" i="11"/>
  <c r="J310" i="11"/>
  <c r="O310" i="11"/>
  <c r="S307" i="10"/>
  <c r="R308" i="11"/>
  <c r="H311" i="11"/>
  <c r="I311" i="11" s="1"/>
  <c r="G312" i="11"/>
  <c r="K309" i="11"/>
  <c r="M309" i="11"/>
  <c r="L309" i="11"/>
  <c r="N309" i="11"/>
  <c r="L308" i="10"/>
  <c r="K308" i="10"/>
  <c r="N308" i="10"/>
  <c r="M308" i="10"/>
  <c r="P308" i="10"/>
  <c r="Q308" i="10"/>
  <c r="O309" i="10"/>
  <c r="G311" i="10"/>
  <c r="H310" i="10"/>
  <c r="I310" i="10" s="1"/>
  <c r="J310" i="10" s="1"/>
  <c r="R306" i="7"/>
  <c r="Q307" i="7"/>
  <c r="P307" i="7"/>
  <c r="R307" i="7" s="1"/>
  <c r="L307" i="7"/>
  <c r="M307" i="7"/>
  <c r="N307" i="7"/>
  <c r="J308" i="7"/>
  <c r="N308" i="7" s="1"/>
  <c r="O308" i="7"/>
  <c r="K309" i="9"/>
  <c r="N309" i="9"/>
  <c r="M309" i="9"/>
  <c r="L309" i="9"/>
  <c r="G311" i="9"/>
  <c r="H310" i="9"/>
  <c r="I310" i="9" s="1"/>
  <c r="J310" i="9" s="1"/>
  <c r="H309" i="7"/>
  <c r="I309" i="7" s="1"/>
  <c r="G310" i="7"/>
  <c r="H309" i="6"/>
  <c r="I309" i="6" s="1"/>
  <c r="J309" i="6" s="1"/>
  <c r="G310" i="6"/>
  <c r="L308" i="6"/>
  <c r="K308" i="6"/>
  <c r="N308" i="6"/>
  <c r="M308" i="6"/>
  <c r="S310" i="12" l="1"/>
  <c r="O312" i="12"/>
  <c r="J312" i="12"/>
  <c r="R310" i="12"/>
  <c r="L311" i="12"/>
  <c r="K311" i="12"/>
  <c r="N311" i="12"/>
  <c r="M311" i="12"/>
  <c r="G314" i="12"/>
  <c r="H313" i="12"/>
  <c r="I313" i="12" s="1"/>
  <c r="P311" i="12"/>
  <c r="R311" i="12" s="1"/>
  <c r="Q311" i="12"/>
  <c r="G313" i="11"/>
  <c r="H312" i="11"/>
  <c r="I312" i="11" s="1"/>
  <c r="P310" i="11"/>
  <c r="R310" i="11" s="1"/>
  <c r="Q310" i="11"/>
  <c r="N310" i="11"/>
  <c r="K310" i="11"/>
  <c r="M310" i="11"/>
  <c r="L310" i="11"/>
  <c r="O311" i="11"/>
  <c r="J311" i="11"/>
  <c r="R308" i="10"/>
  <c r="R309" i="11"/>
  <c r="S308" i="10"/>
  <c r="S309" i="11"/>
  <c r="Q309" i="10"/>
  <c r="P309" i="10"/>
  <c r="L309" i="10"/>
  <c r="M309" i="10"/>
  <c r="K309" i="10"/>
  <c r="R309" i="10" s="1"/>
  <c r="N309" i="10"/>
  <c r="O310" i="10"/>
  <c r="G312" i="10"/>
  <c r="H311" i="10"/>
  <c r="I311" i="10" s="1"/>
  <c r="J311" i="10" s="1"/>
  <c r="S307" i="7"/>
  <c r="Q308" i="7"/>
  <c r="P308" i="7"/>
  <c r="L308" i="7"/>
  <c r="K308" i="7"/>
  <c r="M308" i="7"/>
  <c r="J309" i="7"/>
  <c r="K309" i="7" s="1"/>
  <c r="O309" i="7"/>
  <c r="K310" i="9"/>
  <c r="N310" i="9"/>
  <c r="M310" i="9"/>
  <c r="L310" i="9"/>
  <c r="G312" i="9"/>
  <c r="H311" i="9"/>
  <c r="I311" i="9" s="1"/>
  <c r="J311" i="9" s="1"/>
  <c r="H310" i="7"/>
  <c r="I310" i="7" s="1"/>
  <c r="G311" i="7"/>
  <c r="H310" i="6"/>
  <c r="I310" i="6" s="1"/>
  <c r="J310" i="6" s="1"/>
  <c r="G311" i="6"/>
  <c r="L309" i="6"/>
  <c r="N309" i="6"/>
  <c r="M309" i="6"/>
  <c r="K309" i="6"/>
  <c r="G315" i="12" l="1"/>
  <c r="H314" i="12"/>
  <c r="I314" i="12" s="1"/>
  <c r="S311" i="12"/>
  <c r="K312" i="12"/>
  <c r="N312" i="12"/>
  <c r="M312" i="12"/>
  <c r="L312" i="12"/>
  <c r="J313" i="12"/>
  <c r="O313" i="12"/>
  <c r="Q312" i="12"/>
  <c r="P312" i="12"/>
  <c r="S310" i="11"/>
  <c r="M311" i="11"/>
  <c r="N311" i="11"/>
  <c r="L311" i="11"/>
  <c r="K311" i="11"/>
  <c r="O312" i="11"/>
  <c r="J312" i="11"/>
  <c r="S309" i="10"/>
  <c r="Q311" i="11"/>
  <c r="P311" i="11"/>
  <c r="G314" i="11"/>
  <c r="H313" i="11"/>
  <c r="I313" i="11" s="1"/>
  <c r="Q310" i="10"/>
  <c r="P310" i="10"/>
  <c r="N310" i="10"/>
  <c r="L310" i="10"/>
  <c r="M310" i="10"/>
  <c r="K310" i="10"/>
  <c r="R310" i="10" s="1"/>
  <c r="O311" i="10"/>
  <c r="G313" i="10"/>
  <c r="H312" i="10"/>
  <c r="I312" i="10" s="1"/>
  <c r="J312" i="10" s="1"/>
  <c r="S308" i="7"/>
  <c r="R308" i="7"/>
  <c r="Q309" i="7"/>
  <c r="P309" i="7"/>
  <c r="R309" i="7" s="1"/>
  <c r="L309" i="7"/>
  <c r="M309" i="7"/>
  <c r="N309" i="7"/>
  <c r="J310" i="7"/>
  <c r="N310" i="7" s="1"/>
  <c r="O310" i="7"/>
  <c r="M311" i="9"/>
  <c r="K311" i="9"/>
  <c r="L311" i="9"/>
  <c r="N311" i="9"/>
  <c r="G313" i="9"/>
  <c r="H312" i="9"/>
  <c r="I312" i="9" s="1"/>
  <c r="J312" i="9" s="1"/>
  <c r="G312" i="7"/>
  <c r="H311" i="7"/>
  <c r="I311" i="7" s="1"/>
  <c r="H311" i="6"/>
  <c r="I311" i="6" s="1"/>
  <c r="J311" i="6" s="1"/>
  <c r="G312" i="6"/>
  <c r="L310" i="6"/>
  <c r="K310" i="6"/>
  <c r="N310" i="6"/>
  <c r="M310" i="6"/>
  <c r="R312" i="12" l="1"/>
  <c r="S312" i="12"/>
  <c r="N313" i="12"/>
  <c r="M313" i="12"/>
  <c r="L313" i="12"/>
  <c r="K313" i="12"/>
  <c r="S310" i="10"/>
  <c r="O314" i="12"/>
  <c r="J314" i="12"/>
  <c r="R311" i="11"/>
  <c r="Q313" i="12"/>
  <c r="P313" i="12"/>
  <c r="R313" i="12" s="1"/>
  <c r="G316" i="12"/>
  <c r="H315" i="12"/>
  <c r="I315" i="12" s="1"/>
  <c r="O313" i="11"/>
  <c r="J313" i="11"/>
  <c r="G315" i="11"/>
  <c r="H314" i="11"/>
  <c r="I314" i="11" s="1"/>
  <c r="L312" i="11"/>
  <c r="K312" i="11"/>
  <c r="N312" i="11"/>
  <c r="M312" i="11"/>
  <c r="P312" i="11"/>
  <c r="Q312" i="11"/>
  <c r="S312" i="11" s="1"/>
  <c r="S311" i="11"/>
  <c r="K311" i="10"/>
  <c r="N311" i="10"/>
  <c r="M311" i="10"/>
  <c r="L311" i="10"/>
  <c r="S311" i="10" s="1"/>
  <c r="Q311" i="10"/>
  <c r="P311" i="10"/>
  <c r="O312" i="10"/>
  <c r="H313" i="10"/>
  <c r="I313" i="10" s="1"/>
  <c r="J313" i="10" s="1"/>
  <c r="G314" i="10"/>
  <c r="S309" i="7"/>
  <c r="L310" i="7"/>
  <c r="K310" i="7"/>
  <c r="J311" i="7"/>
  <c r="N311" i="7" s="1"/>
  <c r="O311" i="7"/>
  <c r="Q310" i="7"/>
  <c r="P310" i="7"/>
  <c r="M310" i="7"/>
  <c r="M312" i="9"/>
  <c r="K312" i="9"/>
  <c r="L312" i="9"/>
  <c r="N312" i="9"/>
  <c r="G314" i="9"/>
  <c r="H313" i="9"/>
  <c r="I313" i="9" s="1"/>
  <c r="J313" i="9" s="1"/>
  <c r="G313" i="7"/>
  <c r="H312" i="7"/>
  <c r="I312" i="7" s="1"/>
  <c r="H312" i="6"/>
  <c r="I312" i="6" s="1"/>
  <c r="J312" i="6" s="1"/>
  <c r="G313" i="6"/>
  <c r="M311" i="6"/>
  <c r="L311" i="6"/>
  <c r="N311" i="6"/>
  <c r="K311" i="6"/>
  <c r="O315" i="12" l="1"/>
  <c r="J315" i="12"/>
  <c r="H316" i="12"/>
  <c r="I316" i="12" s="1"/>
  <c r="G317" i="12"/>
  <c r="M314" i="12"/>
  <c r="L314" i="12"/>
  <c r="K314" i="12"/>
  <c r="N314" i="12"/>
  <c r="Q314" i="12"/>
  <c r="P314" i="12"/>
  <c r="S313" i="12"/>
  <c r="R311" i="10"/>
  <c r="O314" i="11"/>
  <c r="J314" i="11"/>
  <c r="G316" i="11"/>
  <c r="H315" i="11"/>
  <c r="I315" i="11" s="1"/>
  <c r="L313" i="11"/>
  <c r="K313" i="11"/>
  <c r="N313" i="11"/>
  <c r="M313" i="11"/>
  <c r="R312" i="11"/>
  <c r="P313" i="11"/>
  <c r="R313" i="11" s="1"/>
  <c r="Q313" i="11"/>
  <c r="N312" i="10"/>
  <c r="K312" i="10"/>
  <c r="R312" i="10" s="1"/>
  <c r="L312" i="10"/>
  <c r="S312" i="10" s="1"/>
  <c r="M312" i="10"/>
  <c r="P312" i="10"/>
  <c r="Q312" i="10"/>
  <c r="H314" i="10"/>
  <c r="I314" i="10" s="1"/>
  <c r="J314" i="10" s="1"/>
  <c r="G315" i="10"/>
  <c r="O313" i="10"/>
  <c r="R310" i="7"/>
  <c r="K311" i="7"/>
  <c r="J312" i="7"/>
  <c r="L312" i="7" s="1"/>
  <c r="O312" i="7"/>
  <c r="Q311" i="7"/>
  <c r="P311" i="7"/>
  <c r="L311" i="7"/>
  <c r="M311" i="7"/>
  <c r="S310" i="7"/>
  <c r="M313" i="9"/>
  <c r="K313" i="9"/>
  <c r="L313" i="9"/>
  <c r="N313" i="9"/>
  <c r="G315" i="9"/>
  <c r="H314" i="9"/>
  <c r="I314" i="9" s="1"/>
  <c r="J314" i="9" s="1"/>
  <c r="G314" i="7"/>
  <c r="H313" i="7"/>
  <c r="I313" i="7" s="1"/>
  <c r="H313" i="6"/>
  <c r="I313" i="6" s="1"/>
  <c r="J313" i="6" s="1"/>
  <c r="G314" i="6"/>
  <c r="M312" i="6"/>
  <c r="L312" i="6"/>
  <c r="N312" i="6"/>
  <c r="K312" i="6"/>
  <c r="R314" i="12" l="1"/>
  <c r="G318" i="12"/>
  <c r="H317" i="12"/>
  <c r="I317" i="12" s="1"/>
  <c r="O316" i="12"/>
  <c r="J316" i="12"/>
  <c r="L315" i="12"/>
  <c r="K315" i="12"/>
  <c r="N315" i="12"/>
  <c r="M315" i="12"/>
  <c r="S314" i="12"/>
  <c r="P315" i="12"/>
  <c r="Q315" i="12"/>
  <c r="S315" i="12" s="1"/>
  <c r="S313" i="11"/>
  <c r="G317" i="11"/>
  <c r="H316" i="11"/>
  <c r="I316" i="11" s="1"/>
  <c r="K314" i="11"/>
  <c r="N314" i="11"/>
  <c r="L314" i="11"/>
  <c r="M314" i="11"/>
  <c r="Q314" i="11"/>
  <c r="S314" i="11" s="1"/>
  <c r="P314" i="11"/>
  <c r="J315" i="11"/>
  <c r="O315" i="11"/>
  <c r="G316" i="10"/>
  <c r="H315" i="10"/>
  <c r="I315" i="10" s="1"/>
  <c r="J315" i="10" s="1"/>
  <c r="O314" i="10"/>
  <c r="M313" i="10"/>
  <c r="N313" i="10"/>
  <c r="L313" i="10"/>
  <c r="S313" i="10" s="1"/>
  <c r="K313" i="10"/>
  <c r="P313" i="10"/>
  <c r="Q313" i="10"/>
  <c r="R311" i="7"/>
  <c r="Q312" i="7"/>
  <c r="S312" i="7" s="1"/>
  <c r="P312" i="7"/>
  <c r="J313" i="7"/>
  <c r="K313" i="7" s="1"/>
  <c r="O313" i="7"/>
  <c r="K312" i="7"/>
  <c r="M312" i="7"/>
  <c r="N312" i="7"/>
  <c r="S311" i="7"/>
  <c r="M314" i="9"/>
  <c r="K314" i="9"/>
  <c r="L314" i="9"/>
  <c r="N314" i="9"/>
  <c r="G316" i="9"/>
  <c r="H315" i="9"/>
  <c r="I315" i="9" s="1"/>
  <c r="J315" i="9" s="1"/>
  <c r="G315" i="7"/>
  <c r="H314" i="7"/>
  <c r="I314" i="7" s="1"/>
  <c r="H314" i="6"/>
  <c r="I314" i="6" s="1"/>
  <c r="J314" i="6" s="1"/>
  <c r="G315" i="6"/>
  <c r="M313" i="6"/>
  <c r="L313" i="6"/>
  <c r="N313" i="6"/>
  <c r="K313" i="6"/>
  <c r="R315" i="12" l="1"/>
  <c r="K316" i="12"/>
  <c r="N316" i="12"/>
  <c r="M316" i="12"/>
  <c r="L316" i="12"/>
  <c r="Q316" i="12"/>
  <c r="P316" i="12"/>
  <c r="R316" i="12" s="1"/>
  <c r="J317" i="12"/>
  <c r="O317" i="12"/>
  <c r="G319" i="12"/>
  <c r="H318" i="12"/>
  <c r="I318" i="12" s="1"/>
  <c r="Q315" i="11"/>
  <c r="P315" i="11"/>
  <c r="J316" i="11"/>
  <c r="O316" i="11"/>
  <c r="R313" i="10"/>
  <c r="N315" i="11"/>
  <c r="M315" i="11"/>
  <c r="L315" i="11"/>
  <c r="K315" i="11"/>
  <c r="G318" i="11"/>
  <c r="H317" i="11"/>
  <c r="I317" i="11" s="1"/>
  <c r="R314" i="11"/>
  <c r="K314" i="10"/>
  <c r="L314" i="10"/>
  <c r="N314" i="10"/>
  <c r="M314" i="10"/>
  <c r="Q314" i="10"/>
  <c r="P314" i="10"/>
  <c r="O315" i="10"/>
  <c r="G317" i="10"/>
  <c r="H316" i="10"/>
  <c r="I316" i="10" s="1"/>
  <c r="J316" i="10" s="1"/>
  <c r="R312" i="7"/>
  <c r="M313" i="7"/>
  <c r="N313" i="7"/>
  <c r="L313" i="7"/>
  <c r="J314" i="7"/>
  <c r="N314" i="7" s="1"/>
  <c r="O314" i="7"/>
  <c r="Q313" i="7"/>
  <c r="P313" i="7"/>
  <c r="R313" i="7" s="1"/>
  <c r="M315" i="9"/>
  <c r="K315" i="9"/>
  <c r="L315" i="9"/>
  <c r="N315" i="9"/>
  <c r="G317" i="9"/>
  <c r="H316" i="9"/>
  <c r="I316" i="9" s="1"/>
  <c r="J316" i="9" s="1"/>
  <c r="G316" i="7"/>
  <c r="H315" i="7"/>
  <c r="I315" i="7" s="1"/>
  <c r="H315" i="6"/>
  <c r="I315" i="6" s="1"/>
  <c r="J315" i="6" s="1"/>
  <c r="G316" i="6"/>
  <c r="M314" i="6"/>
  <c r="L314" i="6"/>
  <c r="N314" i="6"/>
  <c r="K314" i="6"/>
  <c r="S314" i="10" l="1"/>
  <c r="Q317" i="12"/>
  <c r="P317" i="12"/>
  <c r="N317" i="12"/>
  <c r="M317" i="12"/>
  <c r="L317" i="12"/>
  <c r="K317" i="12"/>
  <c r="O318" i="12"/>
  <c r="J318" i="12"/>
  <c r="G320" i="12"/>
  <c r="H319" i="12"/>
  <c r="I319" i="12" s="1"/>
  <c r="S316" i="12"/>
  <c r="Q316" i="11"/>
  <c r="P316" i="11"/>
  <c r="O317" i="11"/>
  <c r="J317" i="11"/>
  <c r="M316" i="11"/>
  <c r="L316" i="11"/>
  <c r="N316" i="11"/>
  <c r="K316" i="11"/>
  <c r="H318" i="11"/>
  <c r="I318" i="11" s="1"/>
  <c r="G319" i="11"/>
  <c r="R315" i="11"/>
  <c r="R314" i="10"/>
  <c r="S315" i="11"/>
  <c r="K315" i="10"/>
  <c r="L315" i="10"/>
  <c r="S315" i="10" s="1"/>
  <c r="M315" i="10"/>
  <c r="N315" i="10"/>
  <c r="Q315" i="10"/>
  <c r="P315" i="10"/>
  <c r="O316" i="10"/>
  <c r="G318" i="10"/>
  <c r="H317" i="10"/>
  <c r="I317" i="10" s="1"/>
  <c r="J317" i="10" s="1"/>
  <c r="S313" i="7"/>
  <c r="J315" i="7"/>
  <c r="K315" i="7" s="1"/>
  <c r="O315" i="7"/>
  <c r="K314" i="7"/>
  <c r="M314" i="7"/>
  <c r="L314" i="7"/>
  <c r="Q314" i="7"/>
  <c r="P314" i="7"/>
  <c r="M316" i="9"/>
  <c r="K316" i="9"/>
  <c r="L316" i="9"/>
  <c r="N316" i="9"/>
  <c r="G318" i="9"/>
  <c r="H317" i="9"/>
  <c r="I317" i="9" s="1"/>
  <c r="J317" i="9" s="1"/>
  <c r="G317" i="7"/>
  <c r="H316" i="7"/>
  <c r="I316" i="7" s="1"/>
  <c r="H316" i="6"/>
  <c r="I316" i="6" s="1"/>
  <c r="J316" i="6" s="1"/>
  <c r="G317" i="6"/>
  <c r="M315" i="6"/>
  <c r="L315" i="6"/>
  <c r="N315" i="6"/>
  <c r="K315" i="6"/>
  <c r="Q318" i="12" l="1"/>
  <c r="P318" i="12"/>
  <c r="O319" i="12"/>
  <c r="J319" i="12"/>
  <c r="R317" i="12"/>
  <c r="H320" i="12"/>
  <c r="I320" i="12" s="1"/>
  <c r="G321" i="12"/>
  <c r="S317" i="12"/>
  <c r="M318" i="12"/>
  <c r="L318" i="12"/>
  <c r="K318" i="12"/>
  <c r="N318" i="12"/>
  <c r="L317" i="11"/>
  <c r="K317" i="11"/>
  <c r="M317" i="11"/>
  <c r="N317" i="11"/>
  <c r="P317" i="11"/>
  <c r="Q317" i="11"/>
  <c r="S317" i="11" s="1"/>
  <c r="R315" i="10"/>
  <c r="H319" i="11"/>
  <c r="I319" i="11" s="1"/>
  <c r="G320" i="11"/>
  <c r="R316" i="11"/>
  <c r="O318" i="11"/>
  <c r="J318" i="11"/>
  <c r="S316" i="11"/>
  <c r="P316" i="10"/>
  <c r="Q316" i="10"/>
  <c r="L316" i="10"/>
  <c r="S316" i="10" s="1"/>
  <c r="N316" i="10"/>
  <c r="K316" i="10"/>
  <c r="R316" i="10" s="1"/>
  <c r="M316" i="10"/>
  <c r="O317" i="10"/>
  <c r="H318" i="10"/>
  <c r="I318" i="10" s="1"/>
  <c r="J318" i="10" s="1"/>
  <c r="G319" i="10"/>
  <c r="R314" i="7"/>
  <c r="S314" i="7"/>
  <c r="L315" i="7"/>
  <c r="N315" i="7"/>
  <c r="M315" i="7"/>
  <c r="J316" i="7"/>
  <c r="L316" i="7" s="1"/>
  <c r="O316" i="7"/>
  <c r="Q315" i="7"/>
  <c r="P315" i="7"/>
  <c r="R315" i="7" s="1"/>
  <c r="M317" i="9"/>
  <c r="K317" i="9"/>
  <c r="L317" i="9"/>
  <c r="N317" i="9"/>
  <c r="G319" i="9"/>
  <c r="H318" i="9"/>
  <c r="I318" i="9" s="1"/>
  <c r="J318" i="9" s="1"/>
  <c r="G318" i="7"/>
  <c r="H317" i="7"/>
  <c r="I317" i="7" s="1"/>
  <c r="H317" i="6"/>
  <c r="I317" i="6" s="1"/>
  <c r="J317" i="6" s="1"/>
  <c r="G318" i="6"/>
  <c r="M316" i="6"/>
  <c r="L316" i="6"/>
  <c r="N316" i="6"/>
  <c r="K316" i="6"/>
  <c r="L319" i="12" l="1"/>
  <c r="K319" i="12"/>
  <c r="N319" i="12"/>
  <c r="M319" i="12"/>
  <c r="G322" i="12"/>
  <c r="H321" i="12"/>
  <c r="I321" i="12" s="1"/>
  <c r="P319" i="12"/>
  <c r="R319" i="12" s="1"/>
  <c r="Q319" i="12"/>
  <c r="S319" i="12" s="1"/>
  <c r="O320" i="12"/>
  <c r="J320" i="12"/>
  <c r="R318" i="12"/>
  <c r="S318" i="12"/>
  <c r="K318" i="11"/>
  <c r="N318" i="11"/>
  <c r="M318" i="11"/>
  <c r="L318" i="11"/>
  <c r="J319" i="11"/>
  <c r="O319" i="11"/>
  <c r="P318" i="11"/>
  <c r="Q318" i="11"/>
  <c r="S318" i="11" s="1"/>
  <c r="G321" i="11"/>
  <c r="H320" i="11"/>
  <c r="I320" i="11" s="1"/>
  <c r="R317" i="11"/>
  <c r="M317" i="10"/>
  <c r="N317" i="10"/>
  <c r="L317" i="10"/>
  <c r="K317" i="10"/>
  <c r="P317" i="10"/>
  <c r="Q317" i="10"/>
  <c r="H319" i="10"/>
  <c r="I319" i="10" s="1"/>
  <c r="J319" i="10" s="1"/>
  <c r="G320" i="10"/>
  <c r="O318" i="10"/>
  <c r="S315" i="7"/>
  <c r="K316" i="7"/>
  <c r="M316" i="7"/>
  <c r="N316" i="7"/>
  <c r="J317" i="7"/>
  <c r="N317" i="7" s="1"/>
  <c r="O317" i="7"/>
  <c r="Q316" i="7"/>
  <c r="S316" i="7" s="1"/>
  <c r="P316" i="7"/>
  <c r="M318" i="9"/>
  <c r="K318" i="9"/>
  <c r="L318" i="9"/>
  <c r="N318" i="9"/>
  <c r="G320" i="9"/>
  <c r="H319" i="9"/>
  <c r="I319" i="9" s="1"/>
  <c r="J319" i="9" s="1"/>
  <c r="G319" i="7"/>
  <c r="H318" i="7"/>
  <c r="I318" i="7" s="1"/>
  <c r="H318" i="6"/>
  <c r="I318" i="6" s="1"/>
  <c r="J318" i="6" s="1"/>
  <c r="G319" i="6"/>
  <c r="M317" i="6"/>
  <c r="L317" i="6"/>
  <c r="N317" i="6"/>
  <c r="K317" i="6"/>
  <c r="R318" i="11" l="1"/>
  <c r="K320" i="12"/>
  <c r="N320" i="12"/>
  <c r="M320" i="12"/>
  <c r="L320" i="12"/>
  <c r="J321" i="12"/>
  <c r="O321" i="12"/>
  <c r="Q320" i="12"/>
  <c r="S320" i="12" s="1"/>
  <c r="P320" i="12"/>
  <c r="G323" i="12"/>
  <c r="H322" i="12"/>
  <c r="I322" i="12" s="1"/>
  <c r="R317" i="10"/>
  <c r="S317" i="10"/>
  <c r="J320" i="11"/>
  <c r="O320" i="11"/>
  <c r="Q319" i="11"/>
  <c r="P319" i="11"/>
  <c r="G322" i="11"/>
  <c r="H321" i="11"/>
  <c r="I321" i="11" s="1"/>
  <c r="N319" i="11"/>
  <c r="M319" i="11"/>
  <c r="K319" i="11"/>
  <c r="L319" i="11"/>
  <c r="G321" i="10"/>
  <c r="H320" i="10"/>
  <c r="I320" i="10" s="1"/>
  <c r="J320" i="10" s="1"/>
  <c r="O319" i="10"/>
  <c r="M318" i="10"/>
  <c r="L318" i="10"/>
  <c r="K318" i="10"/>
  <c r="N318" i="10"/>
  <c r="P318" i="10"/>
  <c r="Q318" i="10"/>
  <c r="R316" i="7"/>
  <c r="J318" i="7"/>
  <c r="K318" i="7" s="1"/>
  <c r="O318" i="7"/>
  <c r="K317" i="7"/>
  <c r="M317" i="7"/>
  <c r="L317" i="7"/>
  <c r="Q317" i="7"/>
  <c r="P317" i="7"/>
  <c r="M319" i="9"/>
  <c r="K319" i="9"/>
  <c r="L319" i="9"/>
  <c r="N319" i="9"/>
  <c r="G321" i="9"/>
  <c r="H320" i="9"/>
  <c r="I320" i="9" s="1"/>
  <c r="J320" i="9" s="1"/>
  <c r="G320" i="7"/>
  <c r="H319" i="7"/>
  <c r="I319" i="7" s="1"/>
  <c r="H319" i="6"/>
  <c r="I319" i="6" s="1"/>
  <c r="J319" i="6" s="1"/>
  <c r="G320" i="6"/>
  <c r="M318" i="6"/>
  <c r="L318" i="6"/>
  <c r="N318" i="6"/>
  <c r="K318" i="6"/>
  <c r="O322" i="12" l="1"/>
  <c r="J322" i="12"/>
  <c r="Q321" i="12"/>
  <c r="P321" i="12"/>
  <c r="G324" i="12"/>
  <c r="H323" i="12"/>
  <c r="I323" i="12" s="1"/>
  <c r="N321" i="12"/>
  <c r="M321" i="12"/>
  <c r="L321" i="12"/>
  <c r="K321" i="12"/>
  <c r="R320" i="12"/>
  <c r="O321" i="11"/>
  <c r="J321" i="11"/>
  <c r="Q320" i="11"/>
  <c r="P320" i="11"/>
  <c r="G323" i="11"/>
  <c r="H322" i="11"/>
  <c r="I322" i="11" s="1"/>
  <c r="M320" i="11"/>
  <c r="L320" i="11"/>
  <c r="N320" i="11"/>
  <c r="K320" i="11"/>
  <c r="R319" i="11"/>
  <c r="R318" i="10"/>
  <c r="S318" i="10"/>
  <c r="S319" i="11"/>
  <c r="Q319" i="10"/>
  <c r="P319" i="10"/>
  <c r="K319" i="10"/>
  <c r="M319" i="10"/>
  <c r="L319" i="10"/>
  <c r="S319" i="10" s="1"/>
  <c r="N319" i="10"/>
  <c r="O320" i="10"/>
  <c r="H321" i="10"/>
  <c r="I321" i="10" s="1"/>
  <c r="J321" i="10" s="1"/>
  <c r="G322" i="10"/>
  <c r="R317" i="7"/>
  <c r="S317" i="7"/>
  <c r="L318" i="7"/>
  <c r="N318" i="7"/>
  <c r="M318" i="7"/>
  <c r="J319" i="7"/>
  <c r="L319" i="7" s="1"/>
  <c r="O319" i="7"/>
  <c r="Q318" i="7"/>
  <c r="P318" i="7"/>
  <c r="R318" i="7" s="1"/>
  <c r="M320" i="9"/>
  <c r="K320" i="9"/>
  <c r="L320" i="9"/>
  <c r="N320" i="9"/>
  <c r="G322" i="9"/>
  <c r="H321" i="9"/>
  <c r="I321" i="9" s="1"/>
  <c r="J321" i="9" s="1"/>
  <c r="G321" i="7"/>
  <c r="H320" i="7"/>
  <c r="I320" i="7" s="1"/>
  <c r="H320" i="6"/>
  <c r="I320" i="6" s="1"/>
  <c r="J320" i="6" s="1"/>
  <c r="G321" i="6"/>
  <c r="M319" i="6"/>
  <c r="L319" i="6"/>
  <c r="N319" i="6"/>
  <c r="K319" i="6"/>
  <c r="R321" i="12" l="1"/>
  <c r="S321" i="12"/>
  <c r="O323" i="12"/>
  <c r="J323" i="12"/>
  <c r="M322" i="12"/>
  <c r="L322" i="12"/>
  <c r="K322" i="12"/>
  <c r="N322" i="12"/>
  <c r="G325" i="12"/>
  <c r="H324" i="12"/>
  <c r="I324" i="12" s="1"/>
  <c r="Q322" i="12"/>
  <c r="P322" i="12"/>
  <c r="R322" i="12" s="1"/>
  <c r="R320" i="11"/>
  <c r="S320" i="11"/>
  <c r="O322" i="11"/>
  <c r="J322" i="11"/>
  <c r="L321" i="11"/>
  <c r="K321" i="11"/>
  <c r="N321" i="11"/>
  <c r="M321" i="11"/>
  <c r="R319" i="10"/>
  <c r="G324" i="11"/>
  <c r="H323" i="11"/>
  <c r="I323" i="11" s="1"/>
  <c r="P321" i="11"/>
  <c r="R321" i="11" s="1"/>
  <c r="Q321" i="11"/>
  <c r="S321" i="11" s="1"/>
  <c r="Q320" i="10"/>
  <c r="P320" i="10"/>
  <c r="M320" i="10"/>
  <c r="N320" i="10"/>
  <c r="K320" i="10"/>
  <c r="L320" i="10"/>
  <c r="S320" i="10" s="1"/>
  <c r="G323" i="10"/>
  <c r="H322" i="10"/>
  <c r="I322" i="10" s="1"/>
  <c r="J322" i="10" s="1"/>
  <c r="O321" i="10"/>
  <c r="S318" i="7"/>
  <c r="K319" i="7"/>
  <c r="M319" i="7"/>
  <c r="N319" i="7"/>
  <c r="Q319" i="7"/>
  <c r="S319" i="7" s="1"/>
  <c r="P319" i="7"/>
  <c r="J320" i="7"/>
  <c r="L320" i="7" s="1"/>
  <c r="O320" i="7"/>
  <c r="M321" i="9"/>
  <c r="K321" i="9"/>
  <c r="L321" i="9"/>
  <c r="N321" i="9"/>
  <c r="G323" i="9"/>
  <c r="H322" i="9"/>
  <c r="I322" i="9" s="1"/>
  <c r="J322" i="9" s="1"/>
  <c r="G322" i="7"/>
  <c r="H321" i="7"/>
  <c r="I321" i="7" s="1"/>
  <c r="H321" i="6"/>
  <c r="I321" i="6" s="1"/>
  <c r="J321" i="6" s="1"/>
  <c r="G322" i="6"/>
  <c r="M320" i="6"/>
  <c r="L320" i="6"/>
  <c r="N320" i="6"/>
  <c r="K320" i="6"/>
  <c r="S322" i="12" l="1"/>
  <c r="L323" i="12"/>
  <c r="K323" i="12"/>
  <c r="N323" i="12"/>
  <c r="M323" i="12"/>
  <c r="P323" i="12"/>
  <c r="Q323" i="12"/>
  <c r="S323" i="12" s="1"/>
  <c r="O324" i="12"/>
  <c r="J324" i="12"/>
  <c r="G326" i="12"/>
  <c r="H325" i="12"/>
  <c r="I325" i="12" s="1"/>
  <c r="K322" i="11"/>
  <c r="N322" i="11"/>
  <c r="L322" i="11"/>
  <c r="M322" i="11"/>
  <c r="J323" i="11"/>
  <c r="O323" i="11"/>
  <c r="Q322" i="11"/>
  <c r="S322" i="11" s="1"/>
  <c r="P322" i="11"/>
  <c r="R320" i="10"/>
  <c r="G325" i="11"/>
  <c r="H324" i="11"/>
  <c r="I324" i="11" s="1"/>
  <c r="O322" i="10"/>
  <c r="G324" i="10"/>
  <c r="H323" i="10"/>
  <c r="I323" i="10" s="1"/>
  <c r="J323" i="10" s="1"/>
  <c r="N321" i="10"/>
  <c r="M321" i="10"/>
  <c r="L321" i="10"/>
  <c r="K321" i="10"/>
  <c r="R321" i="10" s="1"/>
  <c r="P321" i="10"/>
  <c r="Q321" i="10"/>
  <c r="R319" i="7"/>
  <c r="N320" i="7"/>
  <c r="K320" i="7"/>
  <c r="M320" i="7"/>
  <c r="J321" i="7"/>
  <c r="K321" i="7" s="1"/>
  <c r="O321" i="7"/>
  <c r="Q320" i="7"/>
  <c r="S320" i="7" s="1"/>
  <c r="P320" i="7"/>
  <c r="M322" i="9"/>
  <c r="K322" i="9"/>
  <c r="L322" i="9"/>
  <c r="N322" i="9"/>
  <c r="G324" i="9"/>
  <c r="H323" i="9"/>
  <c r="I323" i="9" s="1"/>
  <c r="J323" i="9" s="1"/>
  <c r="G323" i="7"/>
  <c r="H322" i="7"/>
  <c r="I322" i="7" s="1"/>
  <c r="H322" i="6"/>
  <c r="I322" i="6" s="1"/>
  <c r="J322" i="6" s="1"/>
  <c r="G323" i="6"/>
  <c r="M321" i="6"/>
  <c r="L321" i="6"/>
  <c r="N321" i="6"/>
  <c r="K321" i="6"/>
  <c r="R323" i="12" l="1"/>
  <c r="K324" i="12"/>
  <c r="N324" i="12"/>
  <c r="M324" i="12"/>
  <c r="L324" i="12"/>
  <c r="Q324" i="12"/>
  <c r="P324" i="12"/>
  <c r="R324" i="12" s="1"/>
  <c r="R322" i="11"/>
  <c r="J325" i="12"/>
  <c r="O325" i="12"/>
  <c r="G327" i="12"/>
  <c r="H326" i="12"/>
  <c r="I326" i="12" s="1"/>
  <c r="J324" i="11"/>
  <c r="O324" i="11"/>
  <c r="G326" i="11"/>
  <c r="H325" i="11"/>
  <c r="I325" i="11" s="1"/>
  <c r="Q323" i="11"/>
  <c r="S323" i="11" s="1"/>
  <c r="P323" i="11"/>
  <c r="R323" i="11" s="1"/>
  <c r="S321" i="10"/>
  <c r="N323" i="11"/>
  <c r="M323" i="11"/>
  <c r="L323" i="11"/>
  <c r="K323" i="11"/>
  <c r="O323" i="10"/>
  <c r="G325" i="10"/>
  <c r="H324" i="10"/>
  <c r="I324" i="10" s="1"/>
  <c r="J324" i="10" s="1"/>
  <c r="L322" i="10"/>
  <c r="N322" i="10"/>
  <c r="M322" i="10"/>
  <c r="K322" i="10"/>
  <c r="R322" i="10" s="1"/>
  <c r="Q322" i="10"/>
  <c r="P322" i="10"/>
  <c r="R320" i="7"/>
  <c r="Q321" i="7"/>
  <c r="P321" i="7"/>
  <c r="R321" i="7" s="1"/>
  <c r="M321" i="7"/>
  <c r="N321" i="7"/>
  <c r="L321" i="7"/>
  <c r="S321" i="7" s="1"/>
  <c r="J322" i="7"/>
  <c r="N322" i="7" s="1"/>
  <c r="O322" i="7"/>
  <c r="M323" i="9"/>
  <c r="L323" i="9"/>
  <c r="K323" i="9"/>
  <c r="N323" i="9"/>
  <c r="H324" i="9"/>
  <c r="I324" i="9" s="1"/>
  <c r="J324" i="9" s="1"/>
  <c r="G325" i="9"/>
  <c r="G324" i="7"/>
  <c r="H323" i="7"/>
  <c r="I323" i="7" s="1"/>
  <c r="H323" i="6"/>
  <c r="I323" i="6" s="1"/>
  <c r="J323" i="6" s="1"/>
  <c r="G324" i="6"/>
  <c r="M322" i="6"/>
  <c r="L322" i="6"/>
  <c r="N322" i="6"/>
  <c r="K322" i="6"/>
  <c r="N325" i="12" l="1"/>
  <c r="M325" i="12"/>
  <c r="L325" i="12"/>
  <c r="K325" i="12"/>
  <c r="O326" i="12"/>
  <c r="J326" i="12"/>
  <c r="H327" i="12"/>
  <c r="I327" i="12" s="1"/>
  <c r="G328" i="12"/>
  <c r="Q325" i="12"/>
  <c r="P325" i="12"/>
  <c r="S324" i="12"/>
  <c r="O325" i="11"/>
  <c r="J325" i="11"/>
  <c r="S322" i="10"/>
  <c r="G327" i="11"/>
  <c r="H326" i="11"/>
  <c r="I326" i="11" s="1"/>
  <c r="Q324" i="11"/>
  <c r="S324" i="11" s="1"/>
  <c r="P324" i="11"/>
  <c r="M324" i="11"/>
  <c r="L324" i="11"/>
  <c r="N324" i="11"/>
  <c r="K324" i="11"/>
  <c r="O324" i="10"/>
  <c r="G326" i="10"/>
  <c r="H325" i="10"/>
  <c r="I325" i="10" s="1"/>
  <c r="J325" i="10" s="1"/>
  <c r="Q323" i="10"/>
  <c r="P323" i="10"/>
  <c r="M323" i="10"/>
  <c r="L323" i="10"/>
  <c r="S323" i="10" s="1"/>
  <c r="K323" i="10"/>
  <c r="N323" i="10"/>
  <c r="J323" i="7"/>
  <c r="K323" i="7" s="1"/>
  <c r="O323" i="7"/>
  <c r="K322" i="7"/>
  <c r="L322" i="7"/>
  <c r="Q322" i="7"/>
  <c r="P322" i="7"/>
  <c r="M322" i="7"/>
  <c r="H325" i="9"/>
  <c r="I325" i="9" s="1"/>
  <c r="J325" i="9" s="1"/>
  <c r="G326" i="9"/>
  <c r="M324" i="9"/>
  <c r="L324" i="9"/>
  <c r="K324" i="9"/>
  <c r="N324" i="9"/>
  <c r="G325" i="7"/>
  <c r="H324" i="7"/>
  <c r="I324" i="7" s="1"/>
  <c r="H324" i="6"/>
  <c r="I324" i="6" s="1"/>
  <c r="J324" i="6" s="1"/>
  <c r="G325" i="6"/>
  <c r="M323" i="6"/>
  <c r="L323" i="6"/>
  <c r="N323" i="6"/>
  <c r="K323" i="6"/>
  <c r="R325" i="12" l="1"/>
  <c r="S325" i="12"/>
  <c r="G329" i="12"/>
  <c r="H328" i="12"/>
  <c r="I328" i="12" s="1"/>
  <c r="O327" i="12"/>
  <c r="J327" i="12"/>
  <c r="M326" i="12"/>
  <c r="L326" i="12"/>
  <c r="K326" i="12"/>
  <c r="N326" i="12"/>
  <c r="Q326" i="12"/>
  <c r="P326" i="12"/>
  <c r="G328" i="11"/>
  <c r="H327" i="11"/>
  <c r="I327" i="11" s="1"/>
  <c r="R323" i="10"/>
  <c r="R324" i="11"/>
  <c r="L325" i="11"/>
  <c r="K325" i="11"/>
  <c r="N325" i="11"/>
  <c r="M325" i="11"/>
  <c r="O326" i="11"/>
  <c r="J326" i="11"/>
  <c r="P325" i="11"/>
  <c r="Q325" i="11"/>
  <c r="O325" i="10"/>
  <c r="H326" i="10"/>
  <c r="I326" i="10" s="1"/>
  <c r="J326" i="10" s="1"/>
  <c r="G327" i="10"/>
  <c r="Q324" i="10"/>
  <c r="P324" i="10"/>
  <c r="M324" i="10"/>
  <c r="N324" i="10"/>
  <c r="K324" i="10"/>
  <c r="L324" i="10"/>
  <c r="S324" i="10" s="1"/>
  <c r="R322" i="7"/>
  <c r="S322" i="7"/>
  <c r="N323" i="7"/>
  <c r="L323" i="7"/>
  <c r="M323" i="7"/>
  <c r="J324" i="7"/>
  <c r="K324" i="7" s="1"/>
  <c r="O324" i="7"/>
  <c r="Q323" i="7"/>
  <c r="P323" i="7"/>
  <c r="R323" i="7" s="1"/>
  <c r="H326" i="9"/>
  <c r="I326" i="9" s="1"/>
  <c r="J326" i="9" s="1"/>
  <c r="G327" i="9"/>
  <c r="M325" i="9"/>
  <c r="L325" i="9"/>
  <c r="K325" i="9"/>
  <c r="N325" i="9"/>
  <c r="G326" i="7"/>
  <c r="H325" i="7"/>
  <c r="I325" i="7" s="1"/>
  <c r="H325" i="6"/>
  <c r="I325" i="6" s="1"/>
  <c r="J325" i="6" s="1"/>
  <c r="G326" i="6"/>
  <c r="M324" i="6"/>
  <c r="L324" i="6"/>
  <c r="N324" i="6"/>
  <c r="K324" i="6"/>
  <c r="L327" i="12" l="1"/>
  <c r="K327" i="12"/>
  <c r="N327" i="12"/>
  <c r="M327" i="12"/>
  <c r="P327" i="12"/>
  <c r="Q327" i="12"/>
  <c r="S327" i="12" s="1"/>
  <c r="S325" i="11"/>
  <c r="R326" i="12"/>
  <c r="J328" i="12"/>
  <c r="O328" i="12"/>
  <c r="R325" i="11"/>
  <c r="S326" i="12"/>
  <c r="H329" i="12"/>
  <c r="I329" i="12" s="1"/>
  <c r="G330" i="12"/>
  <c r="R324" i="10"/>
  <c r="K326" i="11"/>
  <c r="N326" i="11"/>
  <c r="M326" i="11"/>
  <c r="L326" i="11"/>
  <c r="J327" i="11"/>
  <c r="O327" i="11"/>
  <c r="Q326" i="11"/>
  <c r="S326" i="11" s="1"/>
  <c r="P326" i="11"/>
  <c r="G329" i="11"/>
  <c r="H328" i="11"/>
  <c r="I328" i="11" s="1"/>
  <c r="G328" i="10"/>
  <c r="H327" i="10"/>
  <c r="I327" i="10" s="1"/>
  <c r="J327" i="10" s="1"/>
  <c r="O326" i="10"/>
  <c r="M325" i="10"/>
  <c r="L325" i="10"/>
  <c r="K325" i="10"/>
  <c r="N325" i="10"/>
  <c r="P325" i="10"/>
  <c r="Q325" i="10"/>
  <c r="S323" i="7"/>
  <c r="M324" i="7"/>
  <c r="N324" i="7"/>
  <c r="J325" i="7"/>
  <c r="K325" i="7" s="1"/>
  <c r="O325" i="7"/>
  <c r="L324" i="7"/>
  <c r="Q324" i="7"/>
  <c r="P324" i="7"/>
  <c r="R324" i="7" s="1"/>
  <c r="H327" i="9"/>
  <c r="I327" i="9" s="1"/>
  <c r="J327" i="9" s="1"/>
  <c r="G328" i="9"/>
  <c r="M326" i="9"/>
  <c r="L326" i="9"/>
  <c r="K326" i="9"/>
  <c r="N326" i="9"/>
  <c r="G327" i="7"/>
  <c r="H326" i="7"/>
  <c r="I326" i="7" s="1"/>
  <c r="H326" i="6"/>
  <c r="I326" i="6" s="1"/>
  <c r="J326" i="6" s="1"/>
  <c r="G327" i="6"/>
  <c r="M325" i="6"/>
  <c r="L325" i="6"/>
  <c r="N325" i="6"/>
  <c r="K325" i="6"/>
  <c r="R325" i="10" l="1"/>
  <c r="R326" i="11"/>
  <c r="G331" i="12"/>
  <c r="H330" i="12"/>
  <c r="I330" i="12" s="1"/>
  <c r="P328" i="12"/>
  <c r="Q328" i="12"/>
  <c r="O329" i="12"/>
  <c r="J329" i="12"/>
  <c r="N328" i="12"/>
  <c r="M328" i="12"/>
  <c r="L328" i="12"/>
  <c r="K328" i="12"/>
  <c r="R327" i="12"/>
  <c r="S325" i="10"/>
  <c r="J328" i="11"/>
  <c r="O328" i="11"/>
  <c r="Q327" i="11"/>
  <c r="P327" i="11"/>
  <c r="H329" i="11"/>
  <c r="I329" i="11" s="1"/>
  <c r="G330" i="11"/>
  <c r="N327" i="11"/>
  <c r="M327" i="11"/>
  <c r="L327" i="11"/>
  <c r="K327" i="11"/>
  <c r="P326" i="10"/>
  <c r="Q326" i="10"/>
  <c r="L326" i="10"/>
  <c r="S326" i="10" s="1"/>
  <c r="K326" i="10"/>
  <c r="R326" i="10" s="1"/>
  <c r="N326" i="10"/>
  <c r="M326" i="10"/>
  <c r="O327" i="10"/>
  <c r="G329" i="10"/>
  <c r="H328" i="10"/>
  <c r="I328" i="10" s="1"/>
  <c r="J328" i="10" s="1"/>
  <c r="M325" i="7"/>
  <c r="N325" i="7"/>
  <c r="J326" i="7"/>
  <c r="K326" i="7" s="1"/>
  <c r="O326" i="7"/>
  <c r="L325" i="7"/>
  <c r="S324" i="7"/>
  <c r="Q325" i="7"/>
  <c r="P325" i="7"/>
  <c r="R325" i="7" s="1"/>
  <c r="H328" i="9"/>
  <c r="I328" i="9" s="1"/>
  <c r="J328" i="9" s="1"/>
  <c r="G329" i="9"/>
  <c r="M327" i="9"/>
  <c r="L327" i="9"/>
  <c r="K327" i="9"/>
  <c r="N327" i="9"/>
  <c r="G328" i="7"/>
  <c r="H327" i="7"/>
  <c r="I327" i="7" s="1"/>
  <c r="H327" i="6"/>
  <c r="I327" i="6" s="1"/>
  <c r="J327" i="6" s="1"/>
  <c r="G328" i="6"/>
  <c r="M326" i="6"/>
  <c r="L326" i="6"/>
  <c r="N326" i="6"/>
  <c r="K326" i="6"/>
  <c r="K329" i="12" l="1"/>
  <c r="M329" i="12"/>
  <c r="N329" i="12"/>
  <c r="L329" i="12"/>
  <c r="J330" i="12"/>
  <c r="O330" i="12"/>
  <c r="Q329" i="12"/>
  <c r="P329" i="12"/>
  <c r="R329" i="12" s="1"/>
  <c r="G332" i="12"/>
  <c r="H331" i="12"/>
  <c r="I331" i="12" s="1"/>
  <c r="S328" i="12"/>
  <c r="R328" i="12"/>
  <c r="S327" i="11"/>
  <c r="G331" i="11"/>
  <c r="H330" i="11"/>
  <c r="I330" i="11" s="1"/>
  <c r="P328" i="11"/>
  <c r="Q328" i="11"/>
  <c r="O329" i="11"/>
  <c r="J329" i="11"/>
  <c r="L328" i="11"/>
  <c r="N328" i="11"/>
  <c r="K328" i="11"/>
  <c r="M328" i="11"/>
  <c r="R327" i="11"/>
  <c r="Q327" i="10"/>
  <c r="P327" i="10"/>
  <c r="O328" i="10"/>
  <c r="K327" i="10"/>
  <c r="L327" i="10"/>
  <c r="S327" i="10" s="1"/>
  <c r="N327" i="10"/>
  <c r="M327" i="10"/>
  <c r="G330" i="10"/>
  <c r="H329" i="10"/>
  <c r="I329" i="10" s="1"/>
  <c r="J329" i="10" s="1"/>
  <c r="M326" i="7"/>
  <c r="N326" i="7"/>
  <c r="J327" i="7"/>
  <c r="K327" i="7" s="1"/>
  <c r="O327" i="7"/>
  <c r="L326" i="7"/>
  <c r="S325" i="7"/>
  <c r="Q326" i="7"/>
  <c r="P326" i="7"/>
  <c r="R326" i="7" s="1"/>
  <c r="H329" i="9"/>
  <c r="I329" i="9" s="1"/>
  <c r="J329" i="9" s="1"/>
  <c r="G330" i="9"/>
  <c r="M328" i="9"/>
  <c r="L328" i="9"/>
  <c r="K328" i="9"/>
  <c r="N328" i="9"/>
  <c r="G329" i="7"/>
  <c r="H328" i="7"/>
  <c r="I328" i="7" s="1"/>
  <c r="H328" i="6"/>
  <c r="I328" i="6" s="1"/>
  <c r="J328" i="6" s="1"/>
  <c r="G329" i="6"/>
  <c r="M327" i="6"/>
  <c r="L327" i="6"/>
  <c r="N327" i="6"/>
  <c r="K327" i="6"/>
  <c r="S329" i="12" l="1"/>
  <c r="O331" i="12"/>
  <c r="J331" i="12"/>
  <c r="P330" i="12"/>
  <c r="Q330" i="12"/>
  <c r="G333" i="12"/>
  <c r="H332" i="12"/>
  <c r="I332" i="12" s="1"/>
  <c r="N330" i="12"/>
  <c r="L330" i="12"/>
  <c r="K330" i="12"/>
  <c r="M330" i="12"/>
  <c r="R327" i="10"/>
  <c r="R328" i="11"/>
  <c r="K329" i="11"/>
  <c r="N329" i="11"/>
  <c r="M329" i="11"/>
  <c r="L329" i="11"/>
  <c r="J330" i="11"/>
  <c r="O330" i="11"/>
  <c r="Q329" i="11"/>
  <c r="P329" i="11"/>
  <c r="G332" i="11"/>
  <c r="H331" i="11"/>
  <c r="I331" i="11" s="1"/>
  <c r="S328" i="11"/>
  <c r="P328" i="10"/>
  <c r="Q328" i="10"/>
  <c r="M328" i="10"/>
  <c r="L328" i="10"/>
  <c r="K328" i="10"/>
  <c r="R328" i="10" s="1"/>
  <c r="N328" i="10"/>
  <c r="O329" i="10"/>
  <c r="H330" i="10"/>
  <c r="I330" i="10" s="1"/>
  <c r="J330" i="10" s="1"/>
  <c r="G331" i="10"/>
  <c r="M327" i="7"/>
  <c r="N327" i="7"/>
  <c r="L327" i="7"/>
  <c r="S326" i="7"/>
  <c r="J328" i="7"/>
  <c r="N328" i="7" s="1"/>
  <c r="O328" i="7"/>
  <c r="Q327" i="7"/>
  <c r="P327" i="7"/>
  <c r="R327" i="7" s="1"/>
  <c r="H330" i="9"/>
  <c r="I330" i="9" s="1"/>
  <c r="J330" i="9" s="1"/>
  <c r="G331" i="9"/>
  <c r="M329" i="9"/>
  <c r="L329" i="9"/>
  <c r="K329" i="9"/>
  <c r="N329" i="9"/>
  <c r="G330" i="7"/>
  <c r="H329" i="7"/>
  <c r="I329" i="7" s="1"/>
  <c r="H329" i="6"/>
  <c r="I329" i="6" s="1"/>
  <c r="J329" i="6" s="1"/>
  <c r="G330" i="6"/>
  <c r="M328" i="6"/>
  <c r="L328" i="6"/>
  <c r="N328" i="6"/>
  <c r="K328" i="6"/>
  <c r="R330" i="12" l="1"/>
  <c r="J332" i="12"/>
  <c r="O332" i="12"/>
  <c r="M331" i="12"/>
  <c r="K331" i="12"/>
  <c r="N331" i="12"/>
  <c r="L331" i="12"/>
  <c r="G334" i="12"/>
  <c r="H333" i="12"/>
  <c r="I333" i="12" s="1"/>
  <c r="Q331" i="12"/>
  <c r="P331" i="12"/>
  <c r="R331" i="12" s="1"/>
  <c r="S330" i="12"/>
  <c r="O331" i="11"/>
  <c r="J331" i="11"/>
  <c r="Q330" i="11"/>
  <c r="P330" i="11"/>
  <c r="G333" i="11"/>
  <c r="H332" i="11"/>
  <c r="I332" i="11" s="1"/>
  <c r="N330" i="11"/>
  <c r="M330" i="11"/>
  <c r="L330" i="11"/>
  <c r="K330" i="11"/>
  <c r="R329" i="11"/>
  <c r="S328" i="10"/>
  <c r="S329" i="11"/>
  <c r="L329" i="10"/>
  <c r="S329" i="10" s="1"/>
  <c r="M329" i="10"/>
  <c r="K329" i="10"/>
  <c r="N329" i="10"/>
  <c r="P329" i="10"/>
  <c r="Q329" i="10"/>
  <c r="G332" i="10"/>
  <c r="H331" i="10"/>
  <c r="I331" i="10" s="1"/>
  <c r="J331" i="10" s="1"/>
  <c r="O330" i="10"/>
  <c r="S327" i="7"/>
  <c r="Q328" i="7"/>
  <c r="P328" i="7"/>
  <c r="K328" i="7"/>
  <c r="L328" i="7"/>
  <c r="J329" i="7"/>
  <c r="N329" i="7" s="1"/>
  <c r="O329" i="7"/>
  <c r="M328" i="7"/>
  <c r="H331" i="9"/>
  <c r="I331" i="9" s="1"/>
  <c r="J331" i="9" s="1"/>
  <c r="G332" i="9"/>
  <c r="M330" i="9"/>
  <c r="L330" i="9"/>
  <c r="K330" i="9"/>
  <c r="N330" i="9"/>
  <c r="G331" i="7"/>
  <c r="H330" i="7"/>
  <c r="I330" i="7" s="1"/>
  <c r="H330" i="6"/>
  <c r="I330" i="6" s="1"/>
  <c r="J330" i="6" s="1"/>
  <c r="G331" i="6"/>
  <c r="M329" i="6"/>
  <c r="L329" i="6"/>
  <c r="N329" i="6"/>
  <c r="K329" i="6"/>
  <c r="S331" i="12" l="1"/>
  <c r="G335" i="12"/>
  <c r="H334" i="12"/>
  <c r="I334" i="12" s="1"/>
  <c r="P332" i="12"/>
  <c r="Q332" i="12"/>
  <c r="L332" i="12"/>
  <c r="N332" i="12"/>
  <c r="M332" i="12"/>
  <c r="K332" i="12"/>
  <c r="O333" i="12"/>
  <c r="J333" i="12"/>
  <c r="R329" i="10"/>
  <c r="R330" i="11"/>
  <c r="S330" i="11"/>
  <c r="O332" i="11"/>
  <c r="J332" i="11"/>
  <c r="M331" i="11"/>
  <c r="L331" i="11"/>
  <c r="K331" i="11"/>
  <c r="N331" i="11"/>
  <c r="G334" i="11"/>
  <c r="H333" i="11"/>
  <c r="I333" i="11" s="1"/>
  <c r="Q331" i="11"/>
  <c r="S331" i="11" s="1"/>
  <c r="P331" i="11"/>
  <c r="O331" i="10"/>
  <c r="G333" i="10"/>
  <c r="H332" i="10"/>
  <c r="I332" i="10" s="1"/>
  <c r="J332" i="10" s="1"/>
  <c r="Q330" i="10"/>
  <c r="P330" i="10"/>
  <c r="N330" i="10"/>
  <c r="M330" i="10"/>
  <c r="K330" i="10"/>
  <c r="R330" i="10" s="1"/>
  <c r="L330" i="10"/>
  <c r="R328" i="7"/>
  <c r="S328" i="7"/>
  <c r="L329" i="7"/>
  <c r="K329" i="7"/>
  <c r="J330" i="7"/>
  <c r="L330" i="7" s="1"/>
  <c r="O330" i="7"/>
  <c r="M329" i="7"/>
  <c r="Q329" i="7"/>
  <c r="P329" i="7"/>
  <c r="H332" i="9"/>
  <c r="I332" i="9" s="1"/>
  <c r="J332" i="9" s="1"/>
  <c r="G333" i="9"/>
  <c r="M331" i="9"/>
  <c r="L331" i="9"/>
  <c r="K331" i="9"/>
  <c r="N331" i="9"/>
  <c r="G332" i="7"/>
  <c r="H331" i="7"/>
  <c r="I331" i="7" s="1"/>
  <c r="H331" i="6"/>
  <c r="I331" i="6" s="1"/>
  <c r="J331" i="6" s="1"/>
  <c r="G332" i="6"/>
  <c r="M330" i="6"/>
  <c r="L330" i="6"/>
  <c r="N330" i="6"/>
  <c r="K330" i="6"/>
  <c r="S332" i="12" l="1"/>
  <c r="R331" i="11"/>
  <c r="R332" i="12"/>
  <c r="K333" i="12"/>
  <c r="M333" i="12"/>
  <c r="L333" i="12"/>
  <c r="N333" i="12"/>
  <c r="J334" i="12"/>
  <c r="O334" i="12"/>
  <c r="Q333" i="12"/>
  <c r="P333" i="12"/>
  <c r="G336" i="12"/>
  <c r="H335" i="12"/>
  <c r="I335" i="12" s="1"/>
  <c r="P332" i="11"/>
  <c r="Q332" i="11"/>
  <c r="O333" i="11"/>
  <c r="J333" i="11"/>
  <c r="S330" i="10"/>
  <c r="G335" i="11"/>
  <c r="H334" i="11"/>
  <c r="I334" i="11" s="1"/>
  <c r="L332" i="11"/>
  <c r="K332" i="11"/>
  <c r="N332" i="11"/>
  <c r="M332" i="11"/>
  <c r="O332" i="10"/>
  <c r="G334" i="10"/>
  <c r="H333" i="10"/>
  <c r="I333" i="10" s="1"/>
  <c r="J333" i="10" s="1"/>
  <c r="Q331" i="10"/>
  <c r="P331" i="10"/>
  <c r="M331" i="10"/>
  <c r="L331" i="10"/>
  <c r="N331" i="10"/>
  <c r="K331" i="10"/>
  <c r="R331" i="10" s="1"/>
  <c r="R329" i="7"/>
  <c r="S329" i="7"/>
  <c r="K330" i="7"/>
  <c r="M330" i="7"/>
  <c r="N330" i="7"/>
  <c r="Q330" i="7"/>
  <c r="S330" i="7" s="1"/>
  <c r="P330" i="7"/>
  <c r="J331" i="7"/>
  <c r="M331" i="7" s="1"/>
  <c r="O331" i="7"/>
  <c r="H333" i="9"/>
  <c r="I333" i="9" s="1"/>
  <c r="J333" i="9" s="1"/>
  <c r="G334" i="9"/>
  <c r="M332" i="9"/>
  <c r="L332" i="9"/>
  <c r="K332" i="9"/>
  <c r="N332" i="9"/>
  <c r="G333" i="7"/>
  <c r="H332" i="7"/>
  <c r="I332" i="7" s="1"/>
  <c r="H332" i="6"/>
  <c r="I332" i="6" s="1"/>
  <c r="J332" i="6" s="1"/>
  <c r="G333" i="6"/>
  <c r="M331" i="6"/>
  <c r="L331" i="6"/>
  <c r="N331" i="6"/>
  <c r="K331" i="6"/>
  <c r="R333" i="12" l="1"/>
  <c r="S333" i="12"/>
  <c r="O335" i="12"/>
  <c r="J335" i="12"/>
  <c r="P334" i="12"/>
  <c r="Q334" i="12"/>
  <c r="G337" i="12"/>
  <c r="H336" i="12"/>
  <c r="I336" i="12" s="1"/>
  <c r="N334" i="12"/>
  <c r="L334" i="12"/>
  <c r="M334" i="12"/>
  <c r="K334" i="12"/>
  <c r="S331" i="10"/>
  <c r="K333" i="11"/>
  <c r="N333" i="11"/>
  <c r="M333" i="11"/>
  <c r="L333" i="11"/>
  <c r="J334" i="11"/>
  <c r="O334" i="11"/>
  <c r="Q333" i="11"/>
  <c r="S333" i="11" s="1"/>
  <c r="P333" i="11"/>
  <c r="G336" i="11"/>
  <c r="H335" i="11"/>
  <c r="I335" i="11" s="1"/>
  <c r="S332" i="11"/>
  <c r="R332" i="11"/>
  <c r="O333" i="10"/>
  <c r="H334" i="10"/>
  <c r="I334" i="10" s="1"/>
  <c r="J334" i="10" s="1"/>
  <c r="G335" i="10"/>
  <c r="N332" i="10"/>
  <c r="L332" i="10"/>
  <c r="S332" i="10" s="1"/>
  <c r="K332" i="10"/>
  <c r="R332" i="10" s="1"/>
  <c r="M332" i="10"/>
  <c r="Q332" i="10"/>
  <c r="P332" i="10"/>
  <c r="R330" i="7"/>
  <c r="L331" i="7"/>
  <c r="K331" i="7"/>
  <c r="N331" i="7"/>
  <c r="J332" i="7"/>
  <c r="L332" i="7" s="1"/>
  <c r="O332" i="7"/>
  <c r="Q331" i="7"/>
  <c r="P331" i="7"/>
  <c r="H334" i="9"/>
  <c r="I334" i="9" s="1"/>
  <c r="J334" i="9" s="1"/>
  <c r="G335" i="9"/>
  <c r="M333" i="9"/>
  <c r="L333" i="9"/>
  <c r="K333" i="9"/>
  <c r="N333" i="9"/>
  <c r="G334" i="7"/>
  <c r="H333" i="7"/>
  <c r="I333" i="7" s="1"/>
  <c r="H333" i="6"/>
  <c r="I333" i="6" s="1"/>
  <c r="J333" i="6" s="1"/>
  <c r="G334" i="6"/>
  <c r="M332" i="6"/>
  <c r="L332" i="6"/>
  <c r="N332" i="6"/>
  <c r="K332" i="6"/>
  <c r="S334" i="12" l="1"/>
  <c r="R333" i="11"/>
  <c r="R334" i="12"/>
  <c r="O336" i="12"/>
  <c r="J336" i="12"/>
  <c r="M335" i="12"/>
  <c r="L335" i="12"/>
  <c r="K335" i="12"/>
  <c r="N335" i="12"/>
  <c r="H337" i="12"/>
  <c r="I337" i="12" s="1"/>
  <c r="G338" i="12"/>
  <c r="Q335" i="12"/>
  <c r="S335" i="12" s="1"/>
  <c r="P335" i="12"/>
  <c r="R335" i="12" s="1"/>
  <c r="O335" i="11"/>
  <c r="J335" i="11"/>
  <c r="Q334" i="11"/>
  <c r="P334" i="11"/>
  <c r="G337" i="11"/>
  <c r="H336" i="11"/>
  <c r="I336" i="11" s="1"/>
  <c r="N334" i="11"/>
  <c r="M334" i="11"/>
  <c r="L334" i="11"/>
  <c r="K334" i="11"/>
  <c r="G336" i="10"/>
  <c r="H335" i="10"/>
  <c r="I335" i="10" s="1"/>
  <c r="J335" i="10" s="1"/>
  <c r="O334" i="10"/>
  <c r="N333" i="10"/>
  <c r="L333" i="10"/>
  <c r="M333" i="10"/>
  <c r="K333" i="10"/>
  <c r="P333" i="10"/>
  <c r="Q333" i="10"/>
  <c r="R331" i="7"/>
  <c r="N332" i="7"/>
  <c r="K332" i="7"/>
  <c r="J333" i="7"/>
  <c r="K333" i="7" s="1"/>
  <c r="O333" i="7"/>
  <c r="M332" i="7"/>
  <c r="Q332" i="7"/>
  <c r="S332" i="7" s="1"/>
  <c r="P332" i="7"/>
  <c r="S331" i="7"/>
  <c r="H335" i="9"/>
  <c r="I335" i="9" s="1"/>
  <c r="J335" i="9" s="1"/>
  <c r="G336" i="9"/>
  <c r="M334" i="9"/>
  <c r="L334" i="9"/>
  <c r="K334" i="9"/>
  <c r="N334" i="9"/>
  <c r="G335" i="7"/>
  <c r="H334" i="7"/>
  <c r="I334" i="7" s="1"/>
  <c r="H334" i="6"/>
  <c r="I334" i="6" s="1"/>
  <c r="J334" i="6" s="1"/>
  <c r="G335" i="6"/>
  <c r="M333" i="6"/>
  <c r="L333" i="6"/>
  <c r="N333" i="6"/>
  <c r="K333" i="6"/>
  <c r="P336" i="12" l="1"/>
  <c r="Q336" i="12"/>
  <c r="G339" i="12"/>
  <c r="H338" i="12"/>
  <c r="I338" i="12" s="1"/>
  <c r="O337" i="12"/>
  <c r="J337" i="12"/>
  <c r="L336" i="12"/>
  <c r="K336" i="12"/>
  <c r="N336" i="12"/>
  <c r="M336" i="12"/>
  <c r="R334" i="11"/>
  <c r="S333" i="10"/>
  <c r="S334" i="11"/>
  <c r="O336" i="11"/>
  <c r="J336" i="11"/>
  <c r="M335" i="11"/>
  <c r="L335" i="11"/>
  <c r="K335" i="11"/>
  <c r="N335" i="11"/>
  <c r="R333" i="10"/>
  <c r="H337" i="11"/>
  <c r="I337" i="11" s="1"/>
  <c r="G338" i="11"/>
  <c r="Q335" i="11"/>
  <c r="S335" i="11" s="1"/>
  <c r="P335" i="11"/>
  <c r="M334" i="10"/>
  <c r="K334" i="10"/>
  <c r="L334" i="10"/>
  <c r="S334" i="10" s="1"/>
  <c r="N334" i="10"/>
  <c r="Q334" i="10"/>
  <c r="P334" i="10"/>
  <c r="O335" i="10"/>
  <c r="G337" i="10"/>
  <c r="H336" i="10"/>
  <c r="I336" i="10" s="1"/>
  <c r="J336" i="10" s="1"/>
  <c r="R332" i="7"/>
  <c r="N333" i="7"/>
  <c r="M333" i="7"/>
  <c r="L333" i="7"/>
  <c r="Q333" i="7"/>
  <c r="P333" i="7"/>
  <c r="R333" i="7" s="1"/>
  <c r="J334" i="7"/>
  <c r="M334" i="7" s="1"/>
  <c r="O334" i="7"/>
  <c r="H336" i="9"/>
  <c r="I336" i="9" s="1"/>
  <c r="J336" i="9" s="1"/>
  <c r="G337" i="9"/>
  <c r="M335" i="9"/>
  <c r="L335" i="9"/>
  <c r="K335" i="9"/>
  <c r="N335" i="9"/>
  <c r="G336" i="7"/>
  <c r="H335" i="7"/>
  <c r="I335" i="7" s="1"/>
  <c r="H335" i="6"/>
  <c r="I335" i="6" s="1"/>
  <c r="J335" i="6" s="1"/>
  <c r="G336" i="6"/>
  <c r="M334" i="6"/>
  <c r="L334" i="6"/>
  <c r="N334" i="6"/>
  <c r="K334" i="6"/>
  <c r="J338" i="12" l="1"/>
  <c r="O338" i="12"/>
  <c r="G340" i="12"/>
  <c r="H339" i="12"/>
  <c r="I339" i="12" s="1"/>
  <c r="K337" i="12"/>
  <c r="N337" i="12"/>
  <c r="M337" i="12"/>
  <c r="L337" i="12"/>
  <c r="S336" i="12"/>
  <c r="Q337" i="12"/>
  <c r="P337" i="12"/>
  <c r="R336" i="12"/>
  <c r="R334" i="10"/>
  <c r="G339" i="11"/>
  <c r="H338" i="11"/>
  <c r="I338" i="11" s="1"/>
  <c r="P336" i="11"/>
  <c r="Q336" i="11"/>
  <c r="O337" i="11"/>
  <c r="J337" i="11"/>
  <c r="R335" i="11"/>
  <c r="L336" i="11"/>
  <c r="K336" i="11"/>
  <c r="N336" i="11"/>
  <c r="M336" i="11"/>
  <c r="Q335" i="10"/>
  <c r="P335" i="10"/>
  <c r="N335" i="10"/>
  <c r="L335" i="10"/>
  <c r="K335" i="10"/>
  <c r="M335" i="10"/>
  <c r="O336" i="10"/>
  <c r="G338" i="10"/>
  <c r="H337" i="10"/>
  <c r="I337" i="10" s="1"/>
  <c r="J337" i="10" s="1"/>
  <c r="S333" i="7"/>
  <c r="L334" i="7"/>
  <c r="K334" i="7"/>
  <c r="N334" i="7"/>
  <c r="J335" i="7"/>
  <c r="L335" i="7" s="1"/>
  <c r="O335" i="7"/>
  <c r="Q334" i="7"/>
  <c r="P334" i="7"/>
  <c r="H337" i="9"/>
  <c r="I337" i="9" s="1"/>
  <c r="J337" i="9" s="1"/>
  <c r="G338" i="9"/>
  <c r="M336" i="9"/>
  <c r="L336" i="9"/>
  <c r="K336" i="9"/>
  <c r="N336" i="9"/>
  <c r="G337" i="7"/>
  <c r="H336" i="7"/>
  <c r="I336" i="7" s="1"/>
  <c r="H336" i="6"/>
  <c r="I336" i="6" s="1"/>
  <c r="J336" i="6" s="1"/>
  <c r="G337" i="6"/>
  <c r="M335" i="6"/>
  <c r="L335" i="6"/>
  <c r="N335" i="6"/>
  <c r="K335" i="6"/>
  <c r="S337" i="12" l="1"/>
  <c r="S335" i="10"/>
  <c r="O339" i="12"/>
  <c r="J339" i="12"/>
  <c r="R337" i="12"/>
  <c r="G341" i="12"/>
  <c r="H340" i="12"/>
  <c r="I340" i="12" s="1"/>
  <c r="Q338" i="12"/>
  <c r="P338" i="12"/>
  <c r="N338" i="12"/>
  <c r="M338" i="12"/>
  <c r="L338" i="12"/>
  <c r="K338" i="12"/>
  <c r="R336" i="11"/>
  <c r="K337" i="11"/>
  <c r="N337" i="11"/>
  <c r="M337" i="11"/>
  <c r="L337" i="11"/>
  <c r="J338" i="11"/>
  <c r="O338" i="11"/>
  <c r="Q337" i="11"/>
  <c r="S337" i="11" s="1"/>
  <c r="P337" i="11"/>
  <c r="G340" i="11"/>
  <c r="H339" i="11"/>
  <c r="I339" i="11" s="1"/>
  <c r="R335" i="10"/>
  <c r="S336" i="11"/>
  <c r="M336" i="10"/>
  <c r="N336" i="10"/>
  <c r="L336" i="10"/>
  <c r="K336" i="10"/>
  <c r="P336" i="10"/>
  <c r="Q336" i="10"/>
  <c r="O337" i="10"/>
  <c r="G339" i="10"/>
  <c r="H338" i="10"/>
  <c r="I338" i="10" s="1"/>
  <c r="J338" i="10" s="1"/>
  <c r="R334" i="7"/>
  <c r="J336" i="7"/>
  <c r="M336" i="7" s="1"/>
  <c r="O336" i="7"/>
  <c r="M335" i="7"/>
  <c r="N335" i="7"/>
  <c r="K335" i="7"/>
  <c r="Q335" i="7"/>
  <c r="S335" i="7" s="1"/>
  <c r="P335" i="7"/>
  <c r="S334" i="7"/>
  <c r="H338" i="9"/>
  <c r="I338" i="9" s="1"/>
  <c r="J338" i="9" s="1"/>
  <c r="G339" i="9"/>
  <c r="M337" i="9"/>
  <c r="L337" i="9"/>
  <c r="K337" i="9"/>
  <c r="N337" i="9"/>
  <c r="G338" i="7"/>
  <c r="H337" i="7"/>
  <c r="I337" i="7" s="1"/>
  <c r="H337" i="6"/>
  <c r="I337" i="6" s="1"/>
  <c r="J337" i="6" s="1"/>
  <c r="G338" i="6"/>
  <c r="M336" i="6"/>
  <c r="L336" i="6"/>
  <c r="N336" i="6"/>
  <c r="K336" i="6"/>
  <c r="R338" i="12" l="1"/>
  <c r="S338" i="12"/>
  <c r="M339" i="12"/>
  <c r="L339" i="12"/>
  <c r="K339" i="12"/>
  <c r="N339" i="12"/>
  <c r="O340" i="12"/>
  <c r="J340" i="12"/>
  <c r="Q339" i="12"/>
  <c r="P339" i="12"/>
  <c r="R339" i="12" s="1"/>
  <c r="R337" i="11"/>
  <c r="H341" i="12"/>
  <c r="I341" i="12" s="1"/>
  <c r="G342" i="12"/>
  <c r="S336" i="10"/>
  <c r="O339" i="11"/>
  <c r="J339" i="11"/>
  <c r="Q338" i="11"/>
  <c r="P338" i="11"/>
  <c r="G341" i="11"/>
  <c r="H340" i="11"/>
  <c r="I340" i="11" s="1"/>
  <c r="N338" i="11"/>
  <c r="M338" i="11"/>
  <c r="L338" i="11"/>
  <c r="K338" i="11"/>
  <c r="R336" i="10"/>
  <c r="L337" i="10"/>
  <c r="M337" i="10"/>
  <c r="K337" i="10"/>
  <c r="R337" i="10" s="1"/>
  <c r="N337" i="10"/>
  <c r="P337" i="10"/>
  <c r="Q337" i="10"/>
  <c r="O338" i="10"/>
  <c r="G340" i="10"/>
  <c r="H339" i="10"/>
  <c r="I339" i="10" s="1"/>
  <c r="J339" i="10" s="1"/>
  <c r="R335" i="7"/>
  <c r="N336" i="7"/>
  <c r="Q336" i="7"/>
  <c r="P336" i="7"/>
  <c r="L336" i="7"/>
  <c r="K336" i="7"/>
  <c r="J337" i="7"/>
  <c r="M337" i="7" s="1"/>
  <c r="O337" i="7"/>
  <c r="H339" i="9"/>
  <c r="I339" i="9" s="1"/>
  <c r="J339" i="9" s="1"/>
  <c r="G340" i="9"/>
  <c r="M338" i="9"/>
  <c r="L338" i="9"/>
  <c r="K338" i="9"/>
  <c r="N338" i="9"/>
  <c r="G339" i="7"/>
  <c r="H338" i="7"/>
  <c r="I338" i="7" s="1"/>
  <c r="H338" i="6"/>
  <c r="I338" i="6" s="1"/>
  <c r="J338" i="6" s="1"/>
  <c r="G339" i="6"/>
  <c r="M337" i="6"/>
  <c r="L337" i="6"/>
  <c r="N337" i="6"/>
  <c r="K337" i="6"/>
  <c r="O341" i="12" l="1"/>
  <c r="J341" i="12"/>
  <c r="L340" i="12"/>
  <c r="K340" i="12"/>
  <c r="N340" i="12"/>
  <c r="M340" i="12"/>
  <c r="P340" i="12"/>
  <c r="Q340" i="12"/>
  <c r="G343" i="12"/>
  <c r="H342" i="12"/>
  <c r="I342" i="12" s="1"/>
  <c r="S339" i="12"/>
  <c r="S338" i="11"/>
  <c r="O340" i="11"/>
  <c r="J340" i="11"/>
  <c r="M339" i="11"/>
  <c r="L339" i="11"/>
  <c r="K339" i="11"/>
  <c r="N339" i="11"/>
  <c r="H341" i="11"/>
  <c r="I341" i="11" s="1"/>
  <c r="G342" i="11"/>
  <c r="Q339" i="11"/>
  <c r="S339" i="11" s="1"/>
  <c r="P339" i="11"/>
  <c r="R339" i="11" s="1"/>
  <c r="S337" i="10"/>
  <c r="R338" i="11"/>
  <c r="Q338" i="10"/>
  <c r="P338" i="10"/>
  <c r="N338" i="10"/>
  <c r="M338" i="10"/>
  <c r="K338" i="10"/>
  <c r="L338" i="10"/>
  <c r="S338" i="10" s="1"/>
  <c r="O339" i="10"/>
  <c r="G341" i="10"/>
  <c r="H340" i="10"/>
  <c r="I340" i="10" s="1"/>
  <c r="J340" i="10" s="1"/>
  <c r="R336" i="7"/>
  <c r="S336" i="7"/>
  <c r="J338" i="7"/>
  <c r="M338" i="7" s="1"/>
  <c r="O338" i="7"/>
  <c r="N337" i="7"/>
  <c r="L337" i="7"/>
  <c r="K337" i="7"/>
  <c r="Q337" i="7"/>
  <c r="P337" i="7"/>
  <c r="H340" i="9"/>
  <c r="I340" i="9" s="1"/>
  <c r="J340" i="9" s="1"/>
  <c r="G341" i="9"/>
  <c r="M339" i="9"/>
  <c r="L339" i="9"/>
  <c r="K339" i="9"/>
  <c r="N339" i="9"/>
  <c r="G340" i="7"/>
  <c r="H339" i="7"/>
  <c r="I339" i="7" s="1"/>
  <c r="H339" i="6"/>
  <c r="I339" i="6" s="1"/>
  <c r="J339" i="6" s="1"/>
  <c r="G340" i="6"/>
  <c r="M338" i="6"/>
  <c r="L338" i="6"/>
  <c r="N338" i="6"/>
  <c r="K338" i="6"/>
  <c r="S340" i="12" l="1"/>
  <c r="R340" i="12"/>
  <c r="J342" i="12"/>
  <c r="O342" i="12"/>
  <c r="K341" i="12"/>
  <c r="N341" i="12"/>
  <c r="M341" i="12"/>
  <c r="L341" i="12"/>
  <c r="G344" i="12"/>
  <c r="H343" i="12"/>
  <c r="I343" i="12" s="1"/>
  <c r="Q341" i="12"/>
  <c r="P341" i="12"/>
  <c r="R341" i="12" s="1"/>
  <c r="O341" i="11"/>
  <c r="J341" i="11"/>
  <c r="L340" i="11"/>
  <c r="K340" i="11"/>
  <c r="N340" i="11"/>
  <c r="M340" i="11"/>
  <c r="R338" i="10"/>
  <c r="P340" i="11"/>
  <c r="R340" i="11" s="1"/>
  <c r="Q340" i="11"/>
  <c r="R337" i="7"/>
  <c r="G343" i="11"/>
  <c r="H342" i="11"/>
  <c r="I342" i="11" s="1"/>
  <c r="Q339" i="10"/>
  <c r="P339" i="10"/>
  <c r="M339" i="10"/>
  <c r="L339" i="10"/>
  <c r="S339" i="10" s="1"/>
  <c r="N339" i="10"/>
  <c r="K339" i="10"/>
  <c r="R339" i="10" s="1"/>
  <c r="O340" i="10"/>
  <c r="G342" i="10"/>
  <c r="H341" i="10"/>
  <c r="I341" i="10" s="1"/>
  <c r="J341" i="10" s="1"/>
  <c r="S337" i="7"/>
  <c r="K338" i="7"/>
  <c r="L338" i="7"/>
  <c r="N338" i="7"/>
  <c r="J339" i="7"/>
  <c r="K339" i="7" s="1"/>
  <c r="O339" i="7"/>
  <c r="Q338" i="7"/>
  <c r="P338" i="7"/>
  <c r="H341" i="9"/>
  <c r="I341" i="9" s="1"/>
  <c r="J341" i="9" s="1"/>
  <c r="G342" i="9"/>
  <c r="M340" i="9"/>
  <c r="L340" i="9"/>
  <c r="K340" i="9"/>
  <c r="N340" i="9"/>
  <c r="G341" i="7"/>
  <c r="H340" i="7"/>
  <c r="I340" i="7" s="1"/>
  <c r="H340" i="6"/>
  <c r="I340" i="6" s="1"/>
  <c r="J340" i="6" s="1"/>
  <c r="G341" i="6"/>
  <c r="M339" i="6"/>
  <c r="L339" i="6"/>
  <c r="N339" i="6"/>
  <c r="K339" i="6"/>
  <c r="S341" i="12" l="1"/>
  <c r="S340" i="11"/>
  <c r="G345" i="12"/>
  <c r="H344" i="12"/>
  <c r="I344" i="12" s="1"/>
  <c r="Q342" i="12"/>
  <c r="P342" i="12"/>
  <c r="N342" i="12"/>
  <c r="M342" i="12"/>
  <c r="L342" i="12"/>
  <c r="K342" i="12"/>
  <c r="O343" i="12"/>
  <c r="J343" i="12"/>
  <c r="J342" i="11"/>
  <c r="O342" i="11"/>
  <c r="G344" i="11"/>
  <c r="H343" i="11"/>
  <c r="I343" i="11" s="1"/>
  <c r="K341" i="11"/>
  <c r="N341" i="11"/>
  <c r="M341" i="11"/>
  <c r="L341" i="11"/>
  <c r="Q341" i="11"/>
  <c r="S341" i="11" s="1"/>
  <c r="P341" i="11"/>
  <c r="L340" i="10"/>
  <c r="K340" i="10"/>
  <c r="R340" i="10" s="1"/>
  <c r="M340" i="10"/>
  <c r="N340" i="10"/>
  <c r="P340" i="10"/>
  <c r="Q340" i="10"/>
  <c r="O341" i="10"/>
  <c r="G343" i="10"/>
  <c r="H342" i="10"/>
  <c r="I342" i="10" s="1"/>
  <c r="J342" i="10" s="1"/>
  <c r="S338" i="7"/>
  <c r="R338" i="7"/>
  <c r="M339" i="7"/>
  <c r="J340" i="7"/>
  <c r="K340" i="7" s="1"/>
  <c r="O340" i="7"/>
  <c r="L339" i="7"/>
  <c r="N339" i="7"/>
  <c r="Q339" i="7"/>
  <c r="P339" i="7"/>
  <c r="R339" i="7" s="1"/>
  <c r="H342" i="9"/>
  <c r="I342" i="9" s="1"/>
  <c r="J342" i="9" s="1"/>
  <c r="G343" i="9"/>
  <c r="M341" i="9"/>
  <c r="L341" i="9"/>
  <c r="K341" i="9"/>
  <c r="N341" i="9"/>
  <c r="G342" i="7"/>
  <c r="H341" i="7"/>
  <c r="I341" i="7" s="1"/>
  <c r="H341" i="6"/>
  <c r="I341" i="6" s="1"/>
  <c r="J341" i="6" s="1"/>
  <c r="G342" i="6"/>
  <c r="M340" i="6"/>
  <c r="L340" i="6"/>
  <c r="N340" i="6"/>
  <c r="K340" i="6"/>
  <c r="S342" i="12" l="1"/>
  <c r="M343" i="12"/>
  <c r="L343" i="12"/>
  <c r="K343" i="12"/>
  <c r="N343" i="12"/>
  <c r="O344" i="12"/>
  <c r="J344" i="12"/>
  <c r="Q343" i="12"/>
  <c r="P343" i="12"/>
  <c r="H345" i="12"/>
  <c r="I345" i="12" s="1"/>
  <c r="G346" i="12"/>
  <c r="R342" i="12"/>
  <c r="O343" i="11"/>
  <c r="J343" i="11"/>
  <c r="S340" i="10"/>
  <c r="G345" i="11"/>
  <c r="H344" i="11"/>
  <c r="I344" i="11" s="1"/>
  <c r="R341" i="11"/>
  <c r="Q342" i="11"/>
  <c r="P342" i="11"/>
  <c r="N342" i="11"/>
  <c r="M342" i="11"/>
  <c r="L342" i="11"/>
  <c r="K342" i="11"/>
  <c r="L341" i="10"/>
  <c r="M341" i="10"/>
  <c r="K341" i="10"/>
  <c r="N341" i="10"/>
  <c r="P341" i="10"/>
  <c r="Q341" i="10"/>
  <c r="O342" i="10"/>
  <c r="G344" i="10"/>
  <c r="H343" i="10"/>
  <c r="I343" i="10" s="1"/>
  <c r="J343" i="10" s="1"/>
  <c r="L340" i="7"/>
  <c r="M340" i="7"/>
  <c r="N340" i="7"/>
  <c r="J341" i="7"/>
  <c r="K341" i="7" s="1"/>
  <c r="O341" i="7"/>
  <c r="S339" i="7"/>
  <c r="Q340" i="7"/>
  <c r="P340" i="7"/>
  <c r="R340" i="7" s="1"/>
  <c r="H343" i="9"/>
  <c r="I343" i="9" s="1"/>
  <c r="J343" i="9" s="1"/>
  <c r="G344" i="9"/>
  <c r="M342" i="9"/>
  <c r="L342" i="9"/>
  <c r="K342" i="9"/>
  <c r="N342" i="9"/>
  <c r="G343" i="7"/>
  <c r="H342" i="7"/>
  <c r="I342" i="7" s="1"/>
  <c r="H342" i="6"/>
  <c r="I342" i="6" s="1"/>
  <c r="J342" i="6" s="1"/>
  <c r="G343" i="6"/>
  <c r="M341" i="6"/>
  <c r="L341" i="6"/>
  <c r="N341" i="6"/>
  <c r="K341" i="6"/>
  <c r="S343" i="12" l="1"/>
  <c r="G347" i="12"/>
  <c r="H346" i="12"/>
  <c r="I346" i="12" s="1"/>
  <c r="L344" i="12"/>
  <c r="K344" i="12"/>
  <c r="N344" i="12"/>
  <c r="M344" i="12"/>
  <c r="O345" i="12"/>
  <c r="J345" i="12"/>
  <c r="P344" i="12"/>
  <c r="Q344" i="12"/>
  <c r="R343" i="12"/>
  <c r="S340" i="7"/>
  <c r="R342" i="11"/>
  <c r="H345" i="11"/>
  <c r="I345" i="11" s="1"/>
  <c r="G346" i="11"/>
  <c r="R341" i="10"/>
  <c r="S342" i="11"/>
  <c r="M343" i="11"/>
  <c r="L343" i="11"/>
  <c r="K343" i="11"/>
  <c r="N343" i="11"/>
  <c r="S341" i="10"/>
  <c r="O344" i="11"/>
  <c r="J344" i="11"/>
  <c r="Q343" i="11"/>
  <c r="P343" i="11"/>
  <c r="Q342" i="10"/>
  <c r="P342" i="10"/>
  <c r="N342" i="10"/>
  <c r="M342" i="10"/>
  <c r="K342" i="10"/>
  <c r="L342" i="10"/>
  <c r="S342" i="10" s="1"/>
  <c r="O343" i="10"/>
  <c r="G345" i="10"/>
  <c r="H344" i="10"/>
  <c r="I344" i="10" s="1"/>
  <c r="J344" i="10" s="1"/>
  <c r="M341" i="7"/>
  <c r="N341" i="7"/>
  <c r="J342" i="7"/>
  <c r="K342" i="7" s="1"/>
  <c r="O342" i="7"/>
  <c r="L341" i="7"/>
  <c r="Q341" i="7"/>
  <c r="P341" i="7"/>
  <c r="R341" i="7" s="1"/>
  <c r="H344" i="9"/>
  <c r="I344" i="9" s="1"/>
  <c r="J344" i="9" s="1"/>
  <c r="G345" i="9"/>
  <c r="M343" i="9"/>
  <c r="L343" i="9"/>
  <c r="K343" i="9"/>
  <c r="N343" i="9"/>
  <c r="G344" i="7"/>
  <c r="H343" i="7"/>
  <c r="I343" i="7" s="1"/>
  <c r="H343" i="6"/>
  <c r="I343" i="6" s="1"/>
  <c r="J343" i="6" s="1"/>
  <c r="G344" i="6"/>
  <c r="M342" i="6"/>
  <c r="L342" i="6"/>
  <c r="N342" i="6"/>
  <c r="K342" i="6"/>
  <c r="S344" i="12" l="1"/>
  <c r="K345" i="12"/>
  <c r="N345" i="12"/>
  <c r="M345" i="12"/>
  <c r="L345" i="12"/>
  <c r="R342" i="10"/>
  <c r="Q345" i="12"/>
  <c r="P345" i="12"/>
  <c r="R345" i="12" s="1"/>
  <c r="R343" i="11"/>
  <c r="J346" i="12"/>
  <c r="O346" i="12"/>
  <c r="R344" i="12"/>
  <c r="G348" i="12"/>
  <c r="H347" i="12"/>
  <c r="I347" i="12" s="1"/>
  <c r="P344" i="11"/>
  <c r="Q344" i="11"/>
  <c r="G347" i="11"/>
  <c r="H346" i="11"/>
  <c r="I346" i="11" s="1"/>
  <c r="O345" i="11"/>
  <c r="J345" i="11"/>
  <c r="S343" i="11"/>
  <c r="L344" i="11"/>
  <c r="K344" i="11"/>
  <c r="N344" i="11"/>
  <c r="M344" i="11"/>
  <c r="Q343" i="10"/>
  <c r="P343" i="10"/>
  <c r="M343" i="10"/>
  <c r="L343" i="10"/>
  <c r="N343" i="10"/>
  <c r="K343" i="10"/>
  <c r="R343" i="10" s="1"/>
  <c r="O344" i="10"/>
  <c r="G346" i="10"/>
  <c r="H345" i="10"/>
  <c r="I345" i="10" s="1"/>
  <c r="J345" i="10" s="1"/>
  <c r="M342" i="7"/>
  <c r="N342" i="7"/>
  <c r="J343" i="7"/>
  <c r="K343" i="7" s="1"/>
  <c r="O343" i="7"/>
  <c r="L342" i="7"/>
  <c r="S341" i="7"/>
  <c r="Q342" i="7"/>
  <c r="P342" i="7"/>
  <c r="R342" i="7" s="1"/>
  <c r="H345" i="9"/>
  <c r="I345" i="9" s="1"/>
  <c r="J345" i="9" s="1"/>
  <c r="G346" i="9"/>
  <c r="M344" i="9"/>
  <c r="L344" i="9"/>
  <c r="K344" i="9"/>
  <c r="N344" i="9"/>
  <c r="G345" i="7"/>
  <c r="H344" i="7"/>
  <c r="I344" i="7" s="1"/>
  <c r="H344" i="6"/>
  <c r="I344" i="6" s="1"/>
  <c r="J344" i="6" s="1"/>
  <c r="G345" i="6"/>
  <c r="M343" i="6"/>
  <c r="L343" i="6"/>
  <c r="N343" i="6"/>
  <c r="K343" i="6"/>
  <c r="G349" i="12" l="1"/>
  <c r="H348" i="12"/>
  <c r="I348" i="12" s="1"/>
  <c r="Q346" i="12"/>
  <c r="P346" i="12"/>
  <c r="S345" i="12"/>
  <c r="O347" i="12"/>
  <c r="J347" i="12"/>
  <c r="N346" i="12"/>
  <c r="M346" i="12"/>
  <c r="L346" i="12"/>
  <c r="K346" i="12"/>
  <c r="J346" i="11"/>
  <c r="O346" i="11"/>
  <c r="S343" i="10"/>
  <c r="G348" i="11"/>
  <c r="H347" i="11"/>
  <c r="I347" i="11" s="1"/>
  <c r="K345" i="11"/>
  <c r="N345" i="11"/>
  <c r="M345" i="11"/>
  <c r="L345" i="11"/>
  <c r="S344" i="11"/>
  <c r="Q345" i="11"/>
  <c r="P345" i="11"/>
  <c r="R345" i="11" s="1"/>
  <c r="R344" i="11"/>
  <c r="M344" i="10"/>
  <c r="N344" i="10"/>
  <c r="L344" i="10"/>
  <c r="S344" i="10" s="1"/>
  <c r="K344" i="10"/>
  <c r="R344" i="10" s="1"/>
  <c r="P344" i="10"/>
  <c r="Q344" i="10"/>
  <c r="O345" i="10"/>
  <c r="H346" i="10"/>
  <c r="I346" i="10" s="1"/>
  <c r="J346" i="10" s="1"/>
  <c r="G347" i="10"/>
  <c r="N343" i="7"/>
  <c r="M343" i="7"/>
  <c r="L343" i="7"/>
  <c r="S342" i="7"/>
  <c r="J344" i="7"/>
  <c r="N344" i="7" s="1"/>
  <c r="O344" i="7"/>
  <c r="Q343" i="7"/>
  <c r="P343" i="7"/>
  <c r="R343" i="7" s="1"/>
  <c r="H346" i="9"/>
  <c r="I346" i="9" s="1"/>
  <c r="J346" i="9" s="1"/>
  <c r="G347" i="9"/>
  <c r="M345" i="9"/>
  <c r="L345" i="9"/>
  <c r="K345" i="9"/>
  <c r="N345" i="9"/>
  <c r="G346" i="7"/>
  <c r="H345" i="7"/>
  <c r="I345" i="7" s="1"/>
  <c r="H345" i="6"/>
  <c r="I345" i="6" s="1"/>
  <c r="J345" i="6" s="1"/>
  <c r="G346" i="6"/>
  <c r="M344" i="6"/>
  <c r="L344" i="6"/>
  <c r="N344" i="6"/>
  <c r="K344" i="6"/>
  <c r="R346" i="12" l="1"/>
  <c r="M347" i="12"/>
  <c r="L347" i="12"/>
  <c r="K347" i="12"/>
  <c r="N347" i="12"/>
  <c r="S346" i="12"/>
  <c r="Q347" i="12"/>
  <c r="P347" i="12"/>
  <c r="R347" i="12" s="1"/>
  <c r="O348" i="12"/>
  <c r="J348" i="12"/>
  <c r="G350" i="12"/>
  <c r="H349" i="12"/>
  <c r="I349" i="12" s="1"/>
  <c r="G349" i="11"/>
  <c r="H348" i="11"/>
  <c r="I348" i="11" s="1"/>
  <c r="S345" i="11"/>
  <c r="Q346" i="11"/>
  <c r="P346" i="11"/>
  <c r="O347" i="11"/>
  <c r="J347" i="11"/>
  <c r="N346" i="11"/>
  <c r="M346" i="11"/>
  <c r="L346" i="11"/>
  <c r="K346" i="11"/>
  <c r="K345" i="10"/>
  <c r="N345" i="10"/>
  <c r="L345" i="10"/>
  <c r="S345" i="10" s="1"/>
  <c r="M345" i="10"/>
  <c r="P345" i="10"/>
  <c r="Q345" i="10"/>
  <c r="G348" i="10"/>
  <c r="H347" i="10"/>
  <c r="I347" i="10" s="1"/>
  <c r="J347" i="10" s="1"/>
  <c r="O346" i="10"/>
  <c r="S343" i="7"/>
  <c r="Q344" i="7"/>
  <c r="P344" i="7"/>
  <c r="K344" i="7"/>
  <c r="L344" i="7"/>
  <c r="J345" i="7"/>
  <c r="N345" i="7" s="1"/>
  <c r="O345" i="7"/>
  <c r="M344" i="7"/>
  <c r="H347" i="9"/>
  <c r="I347" i="9" s="1"/>
  <c r="J347" i="9" s="1"/>
  <c r="G348" i="9"/>
  <c r="M346" i="9"/>
  <c r="L346" i="9"/>
  <c r="K346" i="9"/>
  <c r="N346" i="9"/>
  <c r="G347" i="7"/>
  <c r="H346" i="7"/>
  <c r="I346" i="7" s="1"/>
  <c r="H346" i="6"/>
  <c r="I346" i="6" s="1"/>
  <c r="J346" i="6" s="1"/>
  <c r="G347" i="6"/>
  <c r="M345" i="6"/>
  <c r="L345" i="6"/>
  <c r="N345" i="6"/>
  <c r="K345" i="6"/>
  <c r="S347" i="12" l="1"/>
  <c r="O349" i="12"/>
  <c r="J349" i="12"/>
  <c r="G351" i="12"/>
  <c r="H350" i="12"/>
  <c r="I350" i="12" s="1"/>
  <c r="L348" i="12"/>
  <c r="K348" i="12"/>
  <c r="N348" i="12"/>
  <c r="M348" i="12"/>
  <c r="P348" i="12"/>
  <c r="Q348" i="12"/>
  <c r="S348" i="12" s="1"/>
  <c r="R345" i="10"/>
  <c r="S346" i="11"/>
  <c r="M347" i="11"/>
  <c r="L347" i="11"/>
  <c r="K347" i="11"/>
  <c r="N347" i="11"/>
  <c r="Q347" i="11"/>
  <c r="P347" i="11"/>
  <c r="R347" i="11" s="1"/>
  <c r="O348" i="11"/>
  <c r="J348" i="11"/>
  <c r="R346" i="11"/>
  <c r="G350" i="11"/>
  <c r="H349" i="11"/>
  <c r="I349" i="11" s="1"/>
  <c r="O347" i="10"/>
  <c r="G349" i="10"/>
  <c r="H348" i="10"/>
  <c r="I348" i="10" s="1"/>
  <c r="J348" i="10" s="1"/>
  <c r="Q346" i="10"/>
  <c r="P346" i="10"/>
  <c r="N346" i="10"/>
  <c r="M346" i="10"/>
  <c r="K346" i="10"/>
  <c r="L346" i="10"/>
  <c r="S346" i="10" s="1"/>
  <c r="R344" i="7"/>
  <c r="S344" i="7"/>
  <c r="L345" i="7"/>
  <c r="K345" i="7"/>
  <c r="J346" i="7"/>
  <c r="K346" i="7" s="1"/>
  <c r="O346" i="7"/>
  <c r="M345" i="7"/>
  <c r="P345" i="7"/>
  <c r="Q345" i="7"/>
  <c r="H348" i="9"/>
  <c r="I348" i="9" s="1"/>
  <c r="J348" i="9" s="1"/>
  <c r="G349" i="9"/>
  <c r="M347" i="9"/>
  <c r="L347" i="9"/>
  <c r="K347" i="9"/>
  <c r="N347" i="9"/>
  <c r="G348" i="7"/>
  <c r="H347" i="7"/>
  <c r="I347" i="7" s="1"/>
  <c r="H347" i="6"/>
  <c r="I347" i="6" s="1"/>
  <c r="J347" i="6" s="1"/>
  <c r="G348" i="6"/>
  <c r="M346" i="6"/>
  <c r="L346" i="6"/>
  <c r="N346" i="6"/>
  <c r="K346" i="6"/>
  <c r="J350" i="12" l="1"/>
  <c r="O350" i="12"/>
  <c r="G352" i="12"/>
  <c r="H351" i="12"/>
  <c r="I351" i="12" s="1"/>
  <c r="K349" i="12"/>
  <c r="N349" i="12"/>
  <c r="M349" i="12"/>
  <c r="L349" i="12"/>
  <c r="S347" i="11"/>
  <c r="R348" i="12"/>
  <c r="Q349" i="12"/>
  <c r="P349" i="12"/>
  <c r="G351" i="11"/>
  <c r="H350" i="11"/>
  <c r="I350" i="11" s="1"/>
  <c r="L348" i="11"/>
  <c r="K348" i="11"/>
  <c r="N348" i="11"/>
  <c r="M348" i="11"/>
  <c r="R346" i="10"/>
  <c r="O349" i="11"/>
  <c r="J349" i="11"/>
  <c r="P348" i="11"/>
  <c r="R348" i="11" s="1"/>
  <c r="Q348" i="11"/>
  <c r="S348" i="11" s="1"/>
  <c r="O348" i="10"/>
  <c r="G350" i="10"/>
  <c r="H349" i="10"/>
  <c r="I349" i="10" s="1"/>
  <c r="J349" i="10" s="1"/>
  <c r="Q347" i="10"/>
  <c r="P347" i="10"/>
  <c r="M347" i="10"/>
  <c r="L347" i="10"/>
  <c r="S347" i="10" s="1"/>
  <c r="N347" i="10"/>
  <c r="K347" i="10"/>
  <c r="R347" i="10" s="1"/>
  <c r="S345" i="7"/>
  <c r="R345" i="7"/>
  <c r="M346" i="7"/>
  <c r="L346" i="7"/>
  <c r="N346" i="7"/>
  <c r="J347" i="7"/>
  <c r="M347" i="7" s="1"/>
  <c r="O347" i="7"/>
  <c r="Q346" i="7"/>
  <c r="P346" i="7"/>
  <c r="R346" i="7" s="1"/>
  <c r="H349" i="9"/>
  <c r="I349" i="9" s="1"/>
  <c r="J349" i="9" s="1"/>
  <c r="G350" i="9"/>
  <c r="M348" i="9"/>
  <c r="L348" i="9"/>
  <c r="K348" i="9"/>
  <c r="N348" i="9"/>
  <c r="G349" i="7"/>
  <c r="H348" i="7"/>
  <c r="I348" i="7" s="1"/>
  <c r="H348" i="6"/>
  <c r="I348" i="6" s="1"/>
  <c r="J348" i="6" s="1"/>
  <c r="G349" i="6"/>
  <c r="M347" i="6"/>
  <c r="L347" i="6"/>
  <c r="N347" i="6"/>
  <c r="K347" i="6"/>
  <c r="R349" i="12" l="1"/>
  <c r="O351" i="12"/>
  <c r="J351" i="12"/>
  <c r="S349" i="12"/>
  <c r="G353" i="12"/>
  <c r="H353" i="12" s="1"/>
  <c r="I353" i="12" s="1"/>
  <c r="H352" i="12"/>
  <c r="I352" i="12" s="1"/>
  <c r="Q350" i="12"/>
  <c r="P350" i="12"/>
  <c r="N350" i="12"/>
  <c r="M350" i="12"/>
  <c r="L350" i="12"/>
  <c r="K350" i="12"/>
  <c r="Q349" i="11"/>
  <c r="P349" i="11"/>
  <c r="R349" i="11" s="1"/>
  <c r="J350" i="11"/>
  <c r="O350" i="11"/>
  <c r="K349" i="11"/>
  <c r="N349" i="11"/>
  <c r="M349" i="11"/>
  <c r="L349" i="11"/>
  <c r="G352" i="11"/>
  <c r="H351" i="11"/>
  <c r="I351" i="11" s="1"/>
  <c r="O349" i="10"/>
  <c r="H350" i="10"/>
  <c r="I350" i="10" s="1"/>
  <c r="J350" i="10" s="1"/>
  <c r="G351" i="10"/>
  <c r="M348" i="10"/>
  <c r="N348" i="10"/>
  <c r="L348" i="10"/>
  <c r="S348" i="10" s="1"/>
  <c r="K348" i="10"/>
  <c r="Q348" i="10"/>
  <c r="P348" i="10"/>
  <c r="S346" i="7"/>
  <c r="Q347" i="7"/>
  <c r="P347" i="7"/>
  <c r="N347" i="7"/>
  <c r="L347" i="7"/>
  <c r="K347" i="7"/>
  <c r="J348" i="7"/>
  <c r="L348" i="7" s="1"/>
  <c r="O348" i="7"/>
  <c r="H350" i="9"/>
  <c r="I350" i="9" s="1"/>
  <c r="J350" i="9" s="1"/>
  <c r="G351" i="9"/>
  <c r="M349" i="9"/>
  <c r="L349" i="9"/>
  <c r="K349" i="9"/>
  <c r="N349" i="9"/>
  <c r="G350" i="7"/>
  <c r="H349" i="7"/>
  <c r="I349" i="7" s="1"/>
  <c r="H349" i="6"/>
  <c r="I349" i="6" s="1"/>
  <c r="J349" i="6" s="1"/>
  <c r="G350" i="6"/>
  <c r="M348" i="6"/>
  <c r="L348" i="6"/>
  <c r="N348" i="6"/>
  <c r="K348" i="6"/>
  <c r="R350" i="12" l="1"/>
  <c r="S350" i="12"/>
  <c r="M351" i="12"/>
  <c r="L351" i="12"/>
  <c r="K351" i="12"/>
  <c r="N351" i="12"/>
  <c r="O352" i="12"/>
  <c r="J352" i="12"/>
  <c r="Q351" i="12"/>
  <c r="P351" i="12"/>
  <c r="R351" i="12" s="1"/>
  <c r="O353" i="12"/>
  <c r="J353" i="12"/>
  <c r="Q350" i="11"/>
  <c r="P350" i="11"/>
  <c r="N350" i="11"/>
  <c r="M350" i="11"/>
  <c r="L350" i="11"/>
  <c r="K350" i="11"/>
  <c r="O351" i="11"/>
  <c r="J351" i="11"/>
  <c r="R348" i="10"/>
  <c r="G353" i="11"/>
  <c r="H353" i="11" s="1"/>
  <c r="I353" i="11" s="1"/>
  <c r="H352" i="11"/>
  <c r="I352" i="11" s="1"/>
  <c r="S349" i="11"/>
  <c r="G352" i="10"/>
  <c r="H351" i="10"/>
  <c r="I351" i="10" s="1"/>
  <c r="J351" i="10" s="1"/>
  <c r="O350" i="10"/>
  <c r="N349" i="10"/>
  <c r="L349" i="10"/>
  <c r="M349" i="10"/>
  <c r="K349" i="10"/>
  <c r="R349" i="10" s="1"/>
  <c r="Q349" i="10"/>
  <c r="P349" i="10"/>
  <c r="R347" i="7"/>
  <c r="S347" i="7"/>
  <c r="K348" i="7"/>
  <c r="J349" i="7"/>
  <c r="K349" i="7" s="1"/>
  <c r="O349" i="7"/>
  <c r="M348" i="7"/>
  <c r="Q348" i="7"/>
  <c r="S348" i="7" s="1"/>
  <c r="P348" i="7"/>
  <c r="N348" i="7"/>
  <c r="H351" i="9"/>
  <c r="I351" i="9" s="1"/>
  <c r="J351" i="9" s="1"/>
  <c r="G352" i="9"/>
  <c r="M350" i="9"/>
  <c r="L350" i="9"/>
  <c r="K350" i="9"/>
  <c r="N350" i="9"/>
  <c r="G351" i="7"/>
  <c r="H350" i="7"/>
  <c r="I350" i="7" s="1"/>
  <c r="H350" i="6"/>
  <c r="I350" i="6" s="1"/>
  <c r="J350" i="6" s="1"/>
  <c r="G351" i="6"/>
  <c r="M349" i="6"/>
  <c r="L349" i="6"/>
  <c r="N349" i="6"/>
  <c r="K349" i="6"/>
  <c r="K353" i="12" l="1"/>
  <c r="N353" i="12"/>
  <c r="M353" i="12"/>
  <c r="L353" i="12"/>
  <c r="L352" i="12"/>
  <c r="K352" i="12"/>
  <c r="N352" i="12"/>
  <c r="M352" i="12"/>
  <c r="Q353" i="12"/>
  <c r="P353" i="12"/>
  <c r="R353" i="12" s="1"/>
  <c r="B13" i="12" s="1" a="1"/>
  <c r="B13" i="12" s="1"/>
  <c r="P352" i="12"/>
  <c r="R352" i="12" s="1"/>
  <c r="Q352" i="12"/>
  <c r="S352" i="12" s="1"/>
  <c r="S351" i="12"/>
  <c r="M351" i="11"/>
  <c r="L351" i="11"/>
  <c r="K351" i="11"/>
  <c r="N351" i="11"/>
  <c r="O352" i="11"/>
  <c r="J352" i="11"/>
  <c r="Q351" i="11"/>
  <c r="S351" i="11" s="1"/>
  <c r="P351" i="11"/>
  <c r="O353" i="11"/>
  <c r="J353" i="11"/>
  <c r="R350" i="11"/>
  <c r="S349" i="10"/>
  <c r="S350" i="11"/>
  <c r="Q350" i="10"/>
  <c r="P350" i="10"/>
  <c r="N350" i="10"/>
  <c r="M350" i="10"/>
  <c r="K350" i="10"/>
  <c r="R350" i="10" s="1"/>
  <c r="L350" i="10"/>
  <c r="O351" i="10"/>
  <c r="G353" i="10"/>
  <c r="H353" i="10" s="1"/>
  <c r="I353" i="10" s="1"/>
  <c r="J353" i="10" s="1"/>
  <c r="H352" i="10"/>
  <c r="I352" i="10" s="1"/>
  <c r="J352" i="10" s="1"/>
  <c r="R348" i="7"/>
  <c r="P349" i="7"/>
  <c r="R349" i="7" s="1"/>
  <c r="Q349" i="7"/>
  <c r="N349" i="7"/>
  <c r="L349" i="7"/>
  <c r="J350" i="7"/>
  <c r="N350" i="7" s="1"/>
  <c r="O350" i="7"/>
  <c r="M349" i="7"/>
  <c r="H352" i="9"/>
  <c r="I352" i="9" s="1"/>
  <c r="J352" i="9" s="1"/>
  <c r="G353" i="9"/>
  <c r="H353" i="9" s="1"/>
  <c r="I353" i="9" s="1"/>
  <c r="J353" i="9" s="1"/>
  <c r="M351" i="9"/>
  <c r="L351" i="9"/>
  <c r="K351" i="9"/>
  <c r="N351" i="9"/>
  <c r="G352" i="7"/>
  <c r="H351" i="7"/>
  <c r="I351" i="7" s="1"/>
  <c r="H351" i="6"/>
  <c r="I351" i="6" s="1"/>
  <c r="J351" i="6" s="1"/>
  <c r="G352" i="6"/>
  <c r="M350" i="6"/>
  <c r="L350" i="6"/>
  <c r="N350" i="6"/>
  <c r="K350" i="6"/>
  <c r="B15" i="12" l="1"/>
  <c r="B14" i="12"/>
  <c r="R351" i="11"/>
  <c r="S353" i="12"/>
  <c r="S350" i="10"/>
  <c r="K353" i="11"/>
  <c r="N353" i="11"/>
  <c r="M353" i="11"/>
  <c r="L353" i="11"/>
  <c r="L352" i="11"/>
  <c r="K352" i="11"/>
  <c r="N352" i="11"/>
  <c r="M352" i="11"/>
  <c r="Q353" i="11"/>
  <c r="S353" i="11" s="1"/>
  <c r="P353" i="11"/>
  <c r="P352" i="11"/>
  <c r="R352" i="11" s="1"/>
  <c r="Q352" i="11"/>
  <c r="Q351" i="10"/>
  <c r="P351" i="10"/>
  <c r="M351" i="10"/>
  <c r="L351" i="10"/>
  <c r="N351" i="10"/>
  <c r="K351" i="10"/>
  <c r="R351" i="10" s="1"/>
  <c r="O352" i="10"/>
  <c r="O353" i="10"/>
  <c r="S349" i="7"/>
  <c r="L350" i="7"/>
  <c r="K350" i="7"/>
  <c r="J351" i="7"/>
  <c r="N351" i="7" s="1"/>
  <c r="O351" i="7"/>
  <c r="M350" i="7"/>
  <c r="Q350" i="7"/>
  <c r="P350" i="7"/>
  <c r="M353" i="9"/>
  <c r="L353" i="9"/>
  <c r="K353" i="9"/>
  <c r="B13" i="9" s="1" a="1"/>
  <c r="B13" i="9" s="1"/>
  <c r="N353" i="9"/>
  <c r="M352" i="9"/>
  <c r="L352" i="9"/>
  <c r="K352" i="9"/>
  <c r="N352" i="9"/>
  <c r="G353" i="7"/>
  <c r="H353" i="7" s="1"/>
  <c r="I353" i="7" s="1"/>
  <c r="H352" i="7"/>
  <c r="I352" i="7" s="1"/>
  <c r="H352" i="6"/>
  <c r="I352" i="6" s="1"/>
  <c r="J352" i="6" s="1"/>
  <c r="G353" i="6"/>
  <c r="H353" i="6" s="1"/>
  <c r="I353" i="6" s="1"/>
  <c r="J353" i="6" s="1"/>
  <c r="M351" i="6"/>
  <c r="L351" i="6"/>
  <c r="N351" i="6"/>
  <c r="K351" i="6"/>
  <c r="R353" i="11" l="1"/>
  <c r="B13" i="11" s="1" a="1"/>
  <c r="B13" i="11" s="1"/>
  <c r="B15" i="11" s="1"/>
  <c r="S351" i="10"/>
  <c r="S352" i="11"/>
  <c r="P352" i="10"/>
  <c r="Q352" i="10"/>
  <c r="L352" i="10"/>
  <c r="K352" i="10"/>
  <c r="R352" i="10" s="1"/>
  <c r="M352" i="10"/>
  <c r="N352" i="10"/>
  <c r="L353" i="10"/>
  <c r="M353" i="10"/>
  <c r="K353" i="10"/>
  <c r="N353" i="10"/>
  <c r="P353" i="10"/>
  <c r="Q353" i="10"/>
  <c r="S350" i="7"/>
  <c r="R350" i="7"/>
  <c r="M351" i="7"/>
  <c r="L351" i="7"/>
  <c r="K351" i="7"/>
  <c r="J353" i="7"/>
  <c r="K353" i="7" s="1"/>
  <c r="O353" i="7"/>
  <c r="Q351" i="7"/>
  <c r="P351" i="7"/>
  <c r="J352" i="7"/>
  <c r="L352" i="7" s="1"/>
  <c r="O352" i="7"/>
  <c r="B14" i="9"/>
  <c r="B15" i="9"/>
  <c r="B16" i="9" s="1"/>
  <c r="M353" i="6"/>
  <c r="L353" i="6"/>
  <c r="N353" i="6"/>
  <c r="K353" i="6"/>
  <c r="B14" i="6" s="1" a="1"/>
  <c r="B14" i="6" s="1"/>
  <c r="M352" i="6"/>
  <c r="L352" i="6"/>
  <c r="N352" i="6"/>
  <c r="K352" i="6"/>
  <c r="B14" i="11" l="1"/>
  <c r="R353" i="10"/>
  <c r="S353" i="10"/>
  <c r="S352" i="10"/>
  <c r="B13" i="10" a="1"/>
  <c r="B13" i="10" s="1"/>
  <c r="B15" i="10" s="1"/>
  <c r="R351" i="7"/>
  <c r="L353" i="7"/>
  <c r="N352" i="7"/>
  <c r="M353" i="7"/>
  <c r="N353" i="7"/>
  <c r="S351" i="7"/>
  <c r="K352" i="7"/>
  <c r="M352" i="7"/>
  <c r="Q352" i="7"/>
  <c r="S352" i="7" s="1"/>
  <c r="P352" i="7"/>
  <c r="P353" i="7"/>
  <c r="R353" i="7" s="1"/>
  <c r="Q353" i="7"/>
  <c r="B16" i="6"/>
  <c r="B17" i="6" s="1"/>
  <c r="B15" i="6"/>
  <c r="B14" i="10" l="1"/>
  <c r="B13" i="7" a="1"/>
  <c r="B13" i="7" s="1"/>
  <c r="B15" i="7" s="1"/>
  <c r="R352" i="7"/>
  <c r="S353" i="7"/>
  <c r="B14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<sst xmlns="http://schemas.openxmlformats.org/spreadsheetml/2006/main" count="330" uniqueCount="73">
  <si>
    <r>
      <rPr>
        <b/>
        <sz val="11"/>
        <color theme="1"/>
        <rFont val="Calibri"/>
        <family val="2"/>
      </rPr>
      <t>┌</t>
    </r>
    <r>
      <rPr>
        <b/>
        <sz val="11"/>
        <color theme="1"/>
        <rFont val="Calibri"/>
        <family val="2"/>
        <scheme val="minor"/>
      </rPr>
      <t>INPUTS</t>
    </r>
    <r>
      <rPr>
        <b/>
        <sz val="11"/>
        <color theme="1"/>
        <rFont val="Calibri"/>
        <family val="2"/>
      </rPr>
      <t>┐</t>
    </r>
  </si>
  <si>
    <t>Decade</t>
  </si>
  <si>
    <t>s</t>
  </si>
  <si>
    <t>H</t>
  </si>
  <si>
    <t>f</t>
  </si>
  <si>
    <t>Mag(dB)</t>
  </si>
  <si>
    <t>φ</t>
  </si>
  <si>
    <t>Re</t>
  </si>
  <si>
    <t>Im</t>
  </si>
  <si>
    <r>
      <t>Cutoff Frequency - f</t>
    </r>
    <r>
      <rPr>
        <vertAlign val="subscript"/>
        <sz val="11"/>
        <color theme="1"/>
        <rFont val="Calibri"/>
        <family val="2"/>
        <scheme val="minor"/>
      </rPr>
      <t>c</t>
    </r>
  </si>
  <si>
    <t>Hz</t>
  </si>
  <si>
    <t>F</t>
  </si>
  <si>
    <t>Ω</t>
  </si>
  <si>
    <r>
      <rPr>
        <b/>
        <sz val="11"/>
        <color theme="1"/>
        <rFont val="Calibri"/>
        <family val="2"/>
      </rPr>
      <t>┌OUT</t>
    </r>
    <r>
      <rPr>
        <b/>
        <sz val="11"/>
        <color theme="1"/>
        <rFont val="Calibri"/>
        <family val="2"/>
        <scheme val="minor"/>
      </rPr>
      <t>PUTS</t>
    </r>
    <r>
      <rPr>
        <b/>
        <sz val="11"/>
        <color theme="1"/>
        <rFont val="Calibri"/>
        <family val="2"/>
      </rPr>
      <t>┐</t>
    </r>
  </si>
  <si>
    <t>V/V</t>
  </si>
  <si>
    <t>rad</t>
  </si>
  <si>
    <r>
      <t xml:space="preserve">Cutoff Frequency - </t>
    </r>
    <r>
      <rPr>
        <sz val="11"/>
        <color theme="1"/>
        <rFont val="Calibri"/>
        <family val="2"/>
      </rPr>
      <t>ω</t>
    </r>
    <r>
      <rPr>
        <vertAlign val="subscript"/>
        <sz val="11"/>
        <color theme="1"/>
        <rFont val="Calibri"/>
        <family val="2"/>
        <scheme val="minor"/>
      </rPr>
      <t>c</t>
    </r>
  </si>
  <si>
    <t>dB</t>
  </si>
  <si>
    <t>Zero dB Point Frequency</t>
  </si>
  <si>
    <t>φ @ 0dB</t>
  </si>
  <si>
    <t>φ Margin</t>
  </si>
  <si>
    <t>°</t>
  </si>
  <si>
    <r>
      <t>Opamp Cutoff Frequency - f</t>
    </r>
    <r>
      <rPr>
        <vertAlign val="subscript"/>
        <sz val="11"/>
        <color theme="1"/>
        <rFont val="Calibri"/>
        <family val="2"/>
        <scheme val="minor"/>
      </rPr>
      <t>c</t>
    </r>
  </si>
  <si>
    <r>
      <t xml:space="preserve">Opamp Cutoff Frequency - </t>
    </r>
    <r>
      <rPr>
        <sz val="11"/>
        <color theme="1"/>
        <rFont val="Calibri"/>
        <family val="2"/>
      </rPr>
      <t>ω</t>
    </r>
    <r>
      <rPr>
        <vertAlign val="subscript"/>
        <sz val="11"/>
        <color theme="1"/>
        <rFont val="Calibri"/>
        <family val="2"/>
        <scheme val="minor"/>
      </rPr>
      <t>c</t>
    </r>
  </si>
  <si>
    <t>Load Pole Frequency</t>
  </si>
  <si>
    <t>Starting Decade</t>
  </si>
  <si>
    <r>
      <t>R</t>
    </r>
    <r>
      <rPr>
        <vertAlign val="subscript"/>
        <sz val="11"/>
        <color theme="1"/>
        <rFont val="Calibri"/>
        <family val="2"/>
        <scheme val="minor"/>
      </rPr>
      <t>O</t>
    </r>
  </si>
  <si>
    <r>
      <t>A</t>
    </r>
    <r>
      <rPr>
        <vertAlign val="subscript"/>
        <sz val="11"/>
        <color theme="1"/>
        <rFont val="Calibri"/>
        <family val="2"/>
        <scheme val="minor"/>
      </rPr>
      <t>OL</t>
    </r>
  </si>
  <si>
    <r>
      <t>C</t>
    </r>
    <r>
      <rPr>
        <vertAlign val="subscript"/>
        <sz val="11"/>
        <color theme="1"/>
        <rFont val="Calibri"/>
        <family val="2"/>
        <scheme val="minor"/>
      </rPr>
      <t>L</t>
    </r>
  </si>
  <si>
    <t>Closest to Zero dB Point</t>
  </si>
  <si>
    <t>Capacitive Load Response</t>
  </si>
  <si>
    <r>
      <t>R</t>
    </r>
    <r>
      <rPr>
        <vertAlign val="subscript"/>
        <sz val="11"/>
        <color theme="1"/>
        <rFont val="Calibri"/>
        <family val="2"/>
        <scheme val="minor"/>
      </rPr>
      <t>I</t>
    </r>
  </si>
  <si>
    <t>Zero Frequency</t>
  </si>
  <si>
    <t>Capacitive Load Response With Isolation Resistor</t>
  </si>
  <si>
    <t>R1</t>
  </si>
  <si>
    <r>
      <t>R</t>
    </r>
    <r>
      <rPr>
        <vertAlign val="subscript"/>
        <sz val="11"/>
        <color theme="1"/>
        <rFont val="Calibri"/>
        <family val="2"/>
        <scheme val="minor"/>
      </rPr>
      <t>f</t>
    </r>
  </si>
  <si>
    <r>
      <t>C</t>
    </r>
    <r>
      <rPr>
        <vertAlign val="subscript"/>
        <sz val="11"/>
        <color theme="1"/>
        <rFont val="Calibri"/>
        <family val="2"/>
        <scheme val="minor"/>
      </rPr>
      <t>s</t>
    </r>
  </si>
  <si>
    <t>H -1/B</t>
  </si>
  <si>
    <t>H - Aol</t>
  </si>
  <si>
    <t>φ 1/B</t>
  </si>
  <si>
    <t>φ Aol</t>
  </si>
  <si>
    <t>φ Aol - φ 1/B</t>
  </si>
  <si>
    <t>Mag Aol - Mag 1/B</t>
  </si>
  <si>
    <t>Parasistic Capacitance Response</t>
  </si>
  <si>
    <t>Parasitic Pole Frequency</t>
  </si>
  <si>
    <t>H -B</t>
  </si>
  <si>
    <t>Points per decade&gt;&gt;</t>
  </si>
  <si>
    <t>Width</t>
  </si>
  <si>
    <t>Length</t>
  </si>
  <si>
    <t>Depth</t>
  </si>
  <si>
    <t>in</t>
  </si>
  <si>
    <t>meters</t>
  </si>
  <si>
    <t>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</si>
  <si>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</si>
  <si>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ε</t>
    </r>
    <r>
      <rPr>
        <vertAlign val="subscript"/>
        <sz val="11"/>
        <color theme="1"/>
        <rFont val="Calibri"/>
        <family val="2"/>
      </rPr>
      <t>r</t>
    </r>
  </si>
  <si>
    <t>-</t>
  </si>
  <si>
    <r>
      <t>ε</t>
    </r>
    <r>
      <rPr>
        <vertAlign val="subscript"/>
        <sz val="11"/>
        <color theme="1"/>
        <rFont val="Calibri"/>
        <family val="2"/>
      </rPr>
      <t>0</t>
    </r>
  </si>
  <si>
    <t>F/m</t>
  </si>
  <si>
    <t>Capacitance</t>
  </si>
  <si>
    <t>pF</t>
  </si>
  <si>
    <t>PM</t>
  </si>
  <si>
    <t>Q</t>
  </si>
  <si>
    <t>OS</t>
  </si>
  <si>
    <t>%</t>
  </si>
  <si>
    <t>Overshoot</t>
  </si>
  <si>
    <r>
      <rPr>
        <sz val="11"/>
        <color theme="1"/>
        <rFont val="Calibri"/>
        <family val="2"/>
      </rPr>
      <t>ω</t>
    </r>
    <r>
      <rPr>
        <vertAlign val="subscript"/>
        <sz val="11"/>
        <color theme="1"/>
        <rFont val="Calibri"/>
        <family val="2"/>
        <scheme val="minor"/>
      </rPr>
      <t>t</t>
    </r>
  </si>
  <si>
    <r>
      <t>ω</t>
    </r>
    <r>
      <rPr>
        <vertAlign val="subscript"/>
        <sz val="11"/>
        <color theme="1"/>
        <rFont val="Calibri"/>
        <family val="2"/>
      </rPr>
      <t>eq</t>
    </r>
  </si>
  <si>
    <t>ζ</t>
  </si>
  <si>
    <t>&lt;&lt;Frequency at Unity Gain</t>
  </si>
  <si>
    <t>&lt;&lt;2nd Pole Frequency</t>
  </si>
  <si>
    <r>
      <t>A</t>
    </r>
    <r>
      <rPr>
        <vertAlign val="subscript"/>
        <sz val="11"/>
        <color theme="1"/>
        <rFont val="Calibri"/>
        <family val="2"/>
        <scheme val="minor"/>
      </rPr>
      <t>0</t>
    </r>
  </si>
  <si>
    <t>Open Loop Opamp Response</t>
  </si>
  <si>
    <t>PWB Trace Capacitance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</si>
</sst>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E+00"/>
    <numFmt numFmtId="165" formatCode="##0.00000E+0"/>
    <numFmt numFmtId="166" formatCode="0.0000"/>
    <numFmt numFmtId="167" formatCode="##0.00E+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7" fillId="0" borderId="0" xfId="0" applyFont="1"/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" borderId="1" xfId="0" applyFill="1" applyBorder="1" applyAlignment="1" applyProtection="1">
      <alignment horizontal="center"/>
      <protection locked="0"/>
    </xf>
    <xf numFmtId="0" fontId="0" fillId="0" borderId="0" xfId="0" applyAlignment="1">
      <alignment horizontal="right"/>
    </xf>
    <xf numFmtId="16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horizontal="center"/>
    </xf>
    <xf numFmtId="11" fontId="0" fillId="3" borderId="1" xfId="0" applyNumberFormat="1" applyFill="1" applyBorder="1" applyAlignment="1">
      <alignment horizontal="center"/>
    </xf>
    <xf numFmtId="11" fontId="0" fillId="0" borderId="0" xfId="0" applyNumberFormat="1" applyAlignment="1">
      <alignment horizontal="center"/>
    </xf>
    <xf numFmtId="48" fontId="0" fillId="2" borderId="1" xfId="0" applyNumberForma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right" vertical="center"/>
    </xf>
    <xf numFmtId="165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2" fontId="0" fillId="3" borderId="1" xfId="0" applyNumberForma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7" fontId="0" fillId="3" borderId="1" xfId="0" applyNumberFormat="1" applyFill="1" applyBorder="1" applyAlignment="1">
      <alignment horizontal="center"/>
    </xf>
    <xf numFmtId="48" fontId="0" fillId="3" borderId="1" xfId="0" applyNumberFormat="1" applyFill="1" applyBorder="1" applyAlignment="1">
      <alignment horizontal="center"/>
    </xf>
    <xf numFmtId="0" fontId="12" fillId="0" borderId="0" xfId="0" applyFont="1"/>
    <xf numFmtId="0" fontId="0" fillId="3" borderId="1" xfId="0" applyFill="1" applyBorder="1" applyAlignment="1">
      <alignment horizontal="center"/>
    </xf>
    <xf numFmtId="0" fontId="2" fillId="0" borderId="0" xfId="0" applyFont="1" applyAlignment="1">
      <alignment horizontal="right"/>
    </xf>
    <xf numFmtId="0" fontId="0" fillId="4" borderId="1" xfId="0" applyFill="1" applyBorder="1" applyAlignment="1">
      <alignment horizontal="center"/>
    </xf>
    <xf numFmtId="11" fontId="0" fillId="4" borderId="1" xfId="0" applyNumberFormat="1" applyFill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Response'!$H$3:$H$353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1.2589254117941668</c:v>
                </c:pt>
                <c:pt idx="6">
                  <c:v>1.318256738556407</c:v>
                </c:pt>
                <c:pt idx="7">
                  <c:v>1.3803842646028843</c:v>
                </c:pt>
                <c:pt idx="8">
                  <c:v>1.445439770745927</c:v>
                </c:pt>
                <c:pt idx="9">
                  <c:v>1.513561248436208</c:v>
                </c:pt>
                <c:pt idx="10">
                  <c:v>1.5848931924611132</c:v>
                </c:pt>
                <c:pt idx="11">
                  <c:v>1.65958690743756</c:v>
                </c:pt>
                <c:pt idx="12">
                  <c:v>1.7378008287493749</c:v>
                </c:pt>
                <c:pt idx="13">
                  <c:v>1.8197008586099832</c:v>
                </c:pt>
                <c:pt idx="14">
                  <c:v>1.9054607179632472</c:v>
                </c:pt>
                <c:pt idx="15">
                  <c:v>1.9952623149688795</c:v>
                </c:pt>
                <c:pt idx="16">
                  <c:v>2.0892961308540392</c:v>
                </c:pt>
                <c:pt idx="17">
                  <c:v>2.1877616239495525</c:v>
                </c:pt>
                <c:pt idx="18">
                  <c:v>2.2908676527677727</c:v>
                </c:pt>
                <c:pt idx="19">
                  <c:v>2.3988329190194904</c:v>
                </c:pt>
                <c:pt idx="20">
                  <c:v>2.5118864315095801</c:v>
                </c:pt>
                <c:pt idx="21">
                  <c:v>2.6302679918953817</c:v>
                </c:pt>
                <c:pt idx="22">
                  <c:v>2.7542287033381663</c:v>
                </c:pt>
                <c:pt idx="23">
                  <c:v>2.8840315031266055</c:v>
                </c:pt>
                <c:pt idx="24">
                  <c:v>3.0199517204020152</c:v>
                </c:pt>
                <c:pt idx="25">
                  <c:v>3.1622776601683795</c:v>
                </c:pt>
                <c:pt idx="26">
                  <c:v>3.3113112148259107</c:v>
                </c:pt>
                <c:pt idx="27">
                  <c:v>3.4673685045253166</c:v>
                </c:pt>
                <c:pt idx="28">
                  <c:v>3.6307805477010135</c:v>
                </c:pt>
                <c:pt idx="29">
                  <c:v>3.8018939632056203</c:v>
                </c:pt>
                <c:pt idx="30">
                  <c:v>3.9810717055349807</c:v>
                </c:pt>
                <c:pt idx="31">
                  <c:v>4.1686938347033635</c:v>
                </c:pt>
                <c:pt idx="32">
                  <c:v>4.365158322401669</c:v>
                </c:pt>
                <c:pt idx="33">
                  <c:v>4.5708818961487596</c:v>
                </c:pt>
                <c:pt idx="34">
                  <c:v>4.7863009232263938</c:v>
                </c:pt>
                <c:pt idx="35">
                  <c:v>5.0118723362727344</c:v>
                </c:pt>
                <c:pt idx="36">
                  <c:v>5.2480746024977378</c:v>
                </c:pt>
                <c:pt idx="37">
                  <c:v>5.4954087385762573</c:v>
                </c:pt>
                <c:pt idx="38">
                  <c:v>5.7543993733715828</c:v>
                </c:pt>
                <c:pt idx="39">
                  <c:v>6.0255958607435911</c:v>
                </c:pt>
                <c:pt idx="40">
                  <c:v>6.3095734448019467</c:v>
                </c:pt>
                <c:pt idx="41">
                  <c:v>6.6069344800759753</c:v>
                </c:pt>
                <c:pt idx="42">
                  <c:v>6.9183097091893799</c:v>
                </c:pt>
                <c:pt idx="43">
                  <c:v>7.2443596007499176</c:v>
                </c:pt>
                <c:pt idx="44">
                  <c:v>7.5857757502918544</c:v>
                </c:pt>
                <c:pt idx="45">
                  <c:v>7.9432823472428327</c:v>
                </c:pt>
                <c:pt idx="46">
                  <c:v>8.3176377110267303</c:v>
                </c:pt>
                <c:pt idx="47">
                  <c:v>8.7096358995608245</c:v>
                </c:pt>
                <c:pt idx="48">
                  <c:v>9.1201083935591178</c:v>
                </c:pt>
                <c:pt idx="49">
                  <c:v>9.5499258602143815</c:v>
                </c:pt>
                <c:pt idx="50">
                  <c:v>10</c:v>
                </c:pt>
                <c:pt idx="51">
                  <c:v>10.471285480508996</c:v>
                </c:pt>
                <c:pt idx="52">
                  <c:v>10.96478196143185</c:v>
                </c:pt>
                <c:pt idx="53">
                  <c:v>11.48153621496883</c:v>
                </c:pt>
                <c:pt idx="54">
                  <c:v>12.022644346174133</c:v>
                </c:pt>
                <c:pt idx="55">
                  <c:v>12.589254117941673</c:v>
                </c:pt>
                <c:pt idx="56">
                  <c:v>13.182567385564072</c:v>
                </c:pt>
                <c:pt idx="57">
                  <c:v>13.803842646028849</c:v>
                </c:pt>
                <c:pt idx="58">
                  <c:v>14.454397707459275</c:v>
                </c:pt>
                <c:pt idx="59">
                  <c:v>15.135612484362081</c:v>
                </c:pt>
                <c:pt idx="60">
                  <c:v>15.848931924611136</c:v>
                </c:pt>
                <c:pt idx="61">
                  <c:v>16.595869074375607</c:v>
                </c:pt>
                <c:pt idx="62">
                  <c:v>17.378008287493756</c:v>
                </c:pt>
                <c:pt idx="63">
                  <c:v>18.197008586099837</c:v>
                </c:pt>
                <c:pt idx="64">
                  <c:v>19.054607179632473</c:v>
                </c:pt>
                <c:pt idx="65">
                  <c:v>19.952623149688797</c:v>
                </c:pt>
                <c:pt idx="66">
                  <c:v>20.892961308540396</c:v>
                </c:pt>
                <c:pt idx="67">
                  <c:v>21.877616239495524</c:v>
                </c:pt>
                <c:pt idx="68">
                  <c:v>22.908676527677731</c:v>
                </c:pt>
                <c:pt idx="69">
                  <c:v>23.988329190194907</c:v>
                </c:pt>
                <c:pt idx="70">
                  <c:v>25.118864315095806</c:v>
                </c:pt>
                <c:pt idx="71">
                  <c:v>26.302679918953821</c:v>
                </c:pt>
                <c:pt idx="72">
                  <c:v>27.542287033381662</c:v>
                </c:pt>
                <c:pt idx="73">
                  <c:v>28.840315031266059</c:v>
                </c:pt>
                <c:pt idx="74">
                  <c:v>30.199517204020164</c:v>
                </c:pt>
                <c:pt idx="75">
                  <c:v>31.622776601683796</c:v>
                </c:pt>
                <c:pt idx="76">
                  <c:v>33.11311214825912</c:v>
                </c:pt>
                <c:pt idx="77">
                  <c:v>34.673685045253173</c:v>
                </c:pt>
                <c:pt idx="78">
                  <c:v>36.307805477010142</c:v>
                </c:pt>
                <c:pt idx="79">
                  <c:v>38.018939632056117</c:v>
                </c:pt>
                <c:pt idx="80">
                  <c:v>39.810717055349727</c:v>
                </c:pt>
                <c:pt idx="81">
                  <c:v>41.686938347033546</c:v>
                </c:pt>
                <c:pt idx="82">
                  <c:v>43.651583224016605</c:v>
                </c:pt>
                <c:pt idx="83">
                  <c:v>45.708818961487509</c:v>
                </c:pt>
                <c:pt idx="84">
                  <c:v>47.863009232263842</c:v>
                </c:pt>
                <c:pt idx="85">
                  <c:v>50.118723362727231</c:v>
                </c:pt>
                <c:pt idx="86">
                  <c:v>52.480746024977265</c:v>
                </c:pt>
                <c:pt idx="87">
                  <c:v>54.954087385762456</c:v>
                </c:pt>
                <c:pt idx="88">
                  <c:v>57.543993733715709</c:v>
                </c:pt>
                <c:pt idx="89">
                  <c:v>60.255958607435794</c:v>
                </c:pt>
                <c:pt idx="90">
                  <c:v>63.095734448019343</c:v>
                </c:pt>
                <c:pt idx="91">
                  <c:v>66.069344800759609</c:v>
                </c:pt>
                <c:pt idx="92">
                  <c:v>69.183097091893671</c:v>
                </c:pt>
                <c:pt idx="93">
                  <c:v>72.443596007499025</c:v>
                </c:pt>
                <c:pt idx="94">
                  <c:v>75.857757502918375</c:v>
                </c:pt>
                <c:pt idx="95">
                  <c:v>79.432823472428169</c:v>
                </c:pt>
                <c:pt idx="96">
                  <c:v>83.176377110267111</c:v>
                </c:pt>
                <c:pt idx="97">
                  <c:v>87.096358995608057</c:v>
                </c:pt>
                <c:pt idx="98">
                  <c:v>91.201083935590987</c:v>
                </c:pt>
                <c:pt idx="99">
                  <c:v>95.499258602143584</c:v>
                </c:pt>
                <c:pt idx="100">
                  <c:v>100</c:v>
                </c:pt>
                <c:pt idx="101">
                  <c:v>104.71285480508999</c:v>
                </c:pt>
                <c:pt idx="102">
                  <c:v>109.64781961431854</c:v>
                </c:pt>
                <c:pt idx="103">
                  <c:v>114.81536214968834</c:v>
                </c:pt>
                <c:pt idx="104">
                  <c:v>120.22644346174133</c:v>
                </c:pt>
                <c:pt idx="105">
                  <c:v>125.8925411794168</c:v>
                </c:pt>
                <c:pt idx="106">
                  <c:v>131.82567385564076</c:v>
                </c:pt>
                <c:pt idx="107">
                  <c:v>138.03842646028852</c:v>
                </c:pt>
                <c:pt idx="108">
                  <c:v>144.54397707459276</c:v>
                </c:pt>
                <c:pt idx="109">
                  <c:v>151.35612484362088</c:v>
                </c:pt>
                <c:pt idx="110">
                  <c:v>158.48931924611136</c:v>
                </c:pt>
                <c:pt idx="111">
                  <c:v>165.95869074375614</c:v>
                </c:pt>
                <c:pt idx="112">
                  <c:v>173.78008287493756</c:v>
                </c:pt>
                <c:pt idx="113">
                  <c:v>181.97008586099841</c:v>
                </c:pt>
                <c:pt idx="114">
                  <c:v>190.54607179632478</c:v>
                </c:pt>
                <c:pt idx="115">
                  <c:v>199.52623149688804</c:v>
                </c:pt>
                <c:pt idx="116">
                  <c:v>208.92961308540401</c:v>
                </c:pt>
                <c:pt idx="117">
                  <c:v>218.77616239495538</c:v>
                </c:pt>
                <c:pt idx="118">
                  <c:v>229.08676527677738</c:v>
                </c:pt>
                <c:pt idx="119">
                  <c:v>239.88329190194906</c:v>
                </c:pt>
                <c:pt idx="120">
                  <c:v>251.188643150958</c:v>
                </c:pt>
                <c:pt idx="121">
                  <c:v>263.02679918953822</c:v>
                </c:pt>
                <c:pt idx="122">
                  <c:v>275.42287033381666</c:v>
                </c:pt>
                <c:pt idx="123">
                  <c:v>288.40315031266067</c:v>
                </c:pt>
                <c:pt idx="124">
                  <c:v>301.99517204020162</c:v>
                </c:pt>
                <c:pt idx="125">
                  <c:v>316.22776601683802</c:v>
                </c:pt>
                <c:pt idx="126">
                  <c:v>331.13112148259125</c:v>
                </c:pt>
                <c:pt idx="127">
                  <c:v>346.73685045253183</c:v>
                </c:pt>
                <c:pt idx="128">
                  <c:v>363.07805477010157</c:v>
                </c:pt>
                <c:pt idx="129">
                  <c:v>380.1893963205614</c:v>
                </c:pt>
                <c:pt idx="130">
                  <c:v>398.10717055349755</c:v>
                </c:pt>
                <c:pt idx="131">
                  <c:v>416.86938347033561</c:v>
                </c:pt>
                <c:pt idx="132">
                  <c:v>436.51583224016611</c:v>
                </c:pt>
                <c:pt idx="133">
                  <c:v>457.08818961487509</c:v>
                </c:pt>
                <c:pt idx="134">
                  <c:v>478.63009232263857</c:v>
                </c:pt>
                <c:pt idx="135">
                  <c:v>501.18723362727235</c:v>
                </c:pt>
                <c:pt idx="136">
                  <c:v>524.80746024977282</c:v>
                </c:pt>
                <c:pt idx="137">
                  <c:v>549.54087385762466</c:v>
                </c:pt>
                <c:pt idx="138">
                  <c:v>575.43993733715695</c:v>
                </c:pt>
                <c:pt idx="139">
                  <c:v>602.55958607435821</c:v>
                </c:pt>
                <c:pt idx="140">
                  <c:v>630.95734448019368</c:v>
                </c:pt>
                <c:pt idx="141">
                  <c:v>660.6934480075962</c:v>
                </c:pt>
                <c:pt idx="142">
                  <c:v>691.8309709189366</c:v>
                </c:pt>
                <c:pt idx="143">
                  <c:v>724.4359600749907</c:v>
                </c:pt>
                <c:pt idx="144">
                  <c:v>758.57757502918366</c:v>
                </c:pt>
                <c:pt idx="145">
                  <c:v>794.32823472428197</c:v>
                </c:pt>
                <c:pt idx="146">
                  <c:v>831.76377110267129</c:v>
                </c:pt>
                <c:pt idx="147">
                  <c:v>870.96358995608068</c:v>
                </c:pt>
                <c:pt idx="148">
                  <c:v>912.01083935590975</c:v>
                </c:pt>
                <c:pt idx="149">
                  <c:v>954.99258602143652</c:v>
                </c:pt>
                <c:pt idx="150">
                  <c:v>1000</c:v>
                </c:pt>
                <c:pt idx="151">
                  <c:v>1047.1285480508998</c:v>
                </c:pt>
                <c:pt idx="152">
                  <c:v>1096.4781961431861</c:v>
                </c:pt>
                <c:pt idx="153">
                  <c:v>1148.1536214968835</c:v>
                </c:pt>
                <c:pt idx="154">
                  <c:v>1202.2644346174136</c:v>
                </c:pt>
                <c:pt idx="155">
                  <c:v>1258.9254117941678</c:v>
                </c:pt>
                <c:pt idx="156">
                  <c:v>1318.2567385564084</c:v>
                </c:pt>
                <c:pt idx="157">
                  <c:v>1380.3842646028861</c:v>
                </c:pt>
                <c:pt idx="158">
                  <c:v>1445.4397707459284</c:v>
                </c:pt>
                <c:pt idx="159">
                  <c:v>1513.5612484362091</c:v>
                </c:pt>
                <c:pt idx="160">
                  <c:v>1584.8931924611154</c:v>
                </c:pt>
                <c:pt idx="161">
                  <c:v>1659.5869074375623</c:v>
                </c:pt>
                <c:pt idx="162">
                  <c:v>1737.8008287493767</c:v>
                </c:pt>
                <c:pt idx="163">
                  <c:v>1819.700858609983</c:v>
                </c:pt>
                <c:pt idx="164">
                  <c:v>1905.460717963248</c:v>
                </c:pt>
                <c:pt idx="165">
                  <c:v>1995.2623149688802</c:v>
                </c:pt>
                <c:pt idx="166">
                  <c:v>2089.2961308540398</c:v>
                </c:pt>
                <c:pt idx="167">
                  <c:v>2187.7616239495524</c:v>
                </c:pt>
                <c:pt idx="168">
                  <c:v>2290.8676527677744</c:v>
                </c:pt>
                <c:pt idx="169">
                  <c:v>2398.8329190194913</c:v>
                </c:pt>
                <c:pt idx="170">
                  <c:v>2511.8864315095807</c:v>
                </c:pt>
                <c:pt idx="171">
                  <c:v>2630.2679918953818</c:v>
                </c:pt>
                <c:pt idx="172">
                  <c:v>2754.2287033381681</c:v>
                </c:pt>
                <c:pt idx="173">
                  <c:v>2884.0315031266073</c:v>
                </c:pt>
                <c:pt idx="174">
                  <c:v>3019.9517204020167</c:v>
                </c:pt>
                <c:pt idx="175">
                  <c:v>3162.2776601683827</c:v>
                </c:pt>
                <c:pt idx="176">
                  <c:v>3311.3112148259138</c:v>
                </c:pt>
                <c:pt idx="177">
                  <c:v>3467.3685045253183</c:v>
                </c:pt>
                <c:pt idx="178">
                  <c:v>3630.7805477010152</c:v>
                </c:pt>
                <c:pt idx="179">
                  <c:v>3801.8939632056163</c:v>
                </c:pt>
                <c:pt idx="180">
                  <c:v>3981.071705534976</c:v>
                </c:pt>
                <c:pt idx="181">
                  <c:v>4168.6938347033574</c:v>
                </c:pt>
                <c:pt idx="182">
                  <c:v>4365.1583224016622</c:v>
                </c:pt>
                <c:pt idx="183">
                  <c:v>4570.8818961487559</c:v>
                </c:pt>
                <c:pt idx="184">
                  <c:v>4786.3009232263885</c:v>
                </c:pt>
                <c:pt idx="185">
                  <c:v>5011.8723362727269</c:v>
                </c:pt>
                <c:pt idx="186">
                  <c:v>5248.0746024977288</c:v>
                </c:pt>
                <c:pt idx="187">
                  <c:v>5495.4087385762532</c:v>
                </c:pt>
                <c:pt idx="188">
                  <c:v>5754.3993733715706</c:v>
                </c:pt>
                <c:pt idx="189">
                  <c:v>6025.5958607435778</c:v>
                </c:pt>
                <c:pt idx="190">
                  <c:v>6309.5734448019321</c:v>
                </c:pt>
                <c:pt idx="191">
                  <c:v>6606.9344800759645</c:v>
                </c:pt>
                <c:pt idx="192">
                  <c:v>6918.3097091893669</c:v>
                </c:pt>
                <c:pt idx="193">
                  <c:v>7244.3596007499027</c:v>
                </c:pt>
                <c:pt idx="194">
                  <c:v>7585.7757502918375</c:v>
                </c:pt>
                <c:pt idx="195">
                  <c:v>7943.2823472428208</c:v>
                </c:pt>
                <c:pt idx="196">
                  <c:v>8317.6377110267131</c:v>
                </c:pt>
                <c:pt idx="197">
                  <c:v>8709.6358995608098</c:v>
                </c:pt>
                <c:pt idx="198">
                  <c:v>9120.1083935590977</c:v>
                </c:pt>
                <c:pt idx="199">
                  <c:v>9549.9258602143673</c:v>
                </c:pt>
                <c:pt idx="200">
                  <c:v>10000</c:v>
                </c:pt>
                <c:pt idx="201">
                  <c:v>10471.285480508999</c:v>
                </c:pt>
                <c:pt idx="202">
                  <c:v>10964.781961431863</c:v>
                </c:pt>
                <c:pt idx="203">
                  <c:v>11481.536214968839</c:v>
                </c:pt>
                <c:pt idx="204">
                  <c:v>12022.644346174138</c:v>
                </c:pt>
                <c:pt idx="205">
                  <c:v>12589.25411794168</c:v>
                </c:pt>
                <c:pt idx="206">
                  <c:v>13182.567385564089</c:v>
                </c:pt>
                <c:pt idx="207">
                  <c:v>13803.842646028863</c:v>
                </c:pt>
                <c:pt idx="208">
                  <c:v>14454.397707459288</c:v>
                </c:pt>
                <c:pt idx="209">
                  <c:v>15135.612484362093</c:v>
                </c:pt>
                <c:pt idx="210">
                  <c:v>15848.931924611155</c:v>
                </c:pt>
                <c:pt idx="211">
                  <c:v>16595.869074375627</c:v>
                </c:pt>
                <c:pt idx="212">
                  <c:v>17378.008287493773</c:v>
                </c:pt>
                <c:pt idx="213">
                  <c:v>18197.008586099833</c:v>
                </c:pt>
                <c:pt idx="214">
                  <c:v>19054.607179632483</c:v>
                </c:pt>
                <c:pt idx="215">
                  <c:v>19952.623149688803</c:v>
                </c:pt>
                <c:pt idx="216">
                  <c:v>20892.961308540398</c:v>
                </c:pt>
                <c:pt idx="217">
                  <c:v>21877.616239495528</c:v>
                </c:pt>
                <c:pt idx="218">
                  <c:v>22908.676527677748</c:v>
                </c:pt>
                <c:pt idx="219">
                  <c:v>23988.32919019492</c:v>
                </c:pt>
                <c:pt idx="220">
                  <c:v>25118.864315095812</c:v>
                </c:pt>
                <c:pt idx="221">
                  <c:v>26302.679918953821</c:v>
                </c:pt>
                <c:pt idx="222">
                  <c:v>27542.28703338169</c:v>
                </c:pt>
                <c:pt idx="223">
                  <c:v>28840.315031266076</c:v>
                </c:pt>
                <c:pt idx="224">
                  <c:v>30199.517204020176</c:v>
                </c:pt>
                <c:pt idx="225">
                  <c:v>31622.776601683803</c:v>
                </c:pt>
                <c:pt idx="226">
                  <c:v>33113.112148259112</c:v>
                </c:pt>
                <c:pt idx="227">
                  <c:v>34673.685045253224</c:v>
                </c:pt>
                <c:pt idx="228">
                  <c:v>36307.805477010188</c:v>
                </c:pt>
                <c:pt idx="229">
                  <c:v>38018.939632056172</c:v>
                </c:pt>
                <c:pt idx="230">
                  <c:v>39810.717055349771</c:v>
                </c:pt>
                <c:pt idx="231">
                  <c:v>41686.938347033582</c:v>
                </c:pt>
                <c:pt idx="232">
                  <c:v>43651.583224016635</c:v>
                </c:pt>
                <c:pt idx="233">
                  <c:v>45708.81896148753</c:v>
                </c:pt>
                <c:pt idx="234">
                  <c:v>47863.009232263852</c:v>
                </c:pt>
                <c:pt idx="235">
                  <c:v>50118.723362727324</c:v>
                </c:pt>
                <c:pt idx="236">
                  <c:v>52480.74602497735</c:v>
                </c:pt>
                <c:pt idx="237">
                  <c:v>54954.087385762541</c:v>
                </c:pt>
                <c:pt idx="238">
                  <c:v>57543.993733715673</c:v>
                </c:pt>
                <c:pt idx="239">
                  <c:v>60255.958607435852</c:v>
                </c:pt>
                <c:pt idx="240">
                  <c:v>63095.734448019386</c:v>
                </c:pt>
                <c:pt idx="241">
                  <c:v>66069.34480075966</c:v>
                </c:pt>
                <c:pt idx="242">
                  <c:v>69183.097091893695</c:v>
                </c:pt>
                <c:pt idx="243">
                  <c:v>72443.596007499029</c:v>
                </c:pt>
                <c:pt idx="244">
                  <c:v>75857.757502918394</c:v>
                </c:pt>
                <c:pt idx="245">
                  <c:v>79432.82347242815</c:v>
                </c:pt>
                <c:pt idx="246">
                  <c:v>83176.377110267087</c:v>
                </c:pt>
                <c:pt idx="247">
                  <c:v>87096.358995608185</c:v>
                </c:pt>
                <c:pt idx="248">
                  <c:v>91201.083935591087</c:v>
                </c:pt>
                <c:pt idx="249">
                  <c:v>95499.258602143687</c:v>
                </c:pt>
                <c:pt idx="250">
                  <c:v>100000</c:v>
                </c:pt>
                <c:pt idx="251">
                  <c:v>104712.85480509003</c:v>
                </c:pt>
                <c:pt idx="252">
                  <c:v>109647.81961431856</c:v>
                </c:pt>
                <c:pt idx="253">
                  <c:v>114815.36214968831</c:v>
                </c:pt>
                <c:pt idx="254">
                  <c:v>120226.44346174151</c:v>
                </c:pt>
                <c:pt idx="255">
                  <c:v>125892.54117941672</c:v>
                </c:pt>
                <c:pt idx="256">
                  <c:v>131825.6738556409</c:v>
                </c:pt>
                <c:pt idx="257">
                  <c:v>138038.42646028841</c:v>
                </c:pt>
                <c:pt idx="258">
                  <c:v>144543.9770745929</c:v>
                </c:pt>
                <c:pt idx="259">
                  <c:v>151356.12484362445</c:v>
                </c:pt>
                <c:pt idx="260">
                  <c:v>158489.31924611147</c:v>
                </c:pt>
                <c:pt idx="261">
                  <c:v>165958.69074375616</c:v>
                </c:pt>
                <c:pt idx="262">
                  <c:v>173780.08287493791</c:v>
                </c:pt>
                <c:pt idx="263">
                  <c:v>181970.08586100259</c:v>
                </c:pt>
                <c:pt idx="264">
                  <c:v>190546.07179632504</c:v>
                </c:pt>
                <c:pt idx="265">
                  <c:v>199526.23149688792</c:v>
                </c:pt>
                <c:pt idx="266">
                  <c:v>208929.61308540424</c:v>
                </c:pt>
                <c:pt idx="267">
                  <c:v>218776.16239496018</c:v>
                </c:pt>
                <c:pt idx="268">
                  <c:v>229086.7652767775</c:v>
                </c:pt>
                <c:pt idx="269">
                  <c:v>239883.29190194924</c:v>
                </c:pt>
                <c:pt idx="270">
                  <c:v>251188.64315095858</c:v>
                </c:pt>
                <c:pt idx="271">
                  <c:v>263026.79918954434</c:v>
                </c:pt>
                <c:pt idx="272">
                  <c:v>275422.87033381721</c:v>
                </c:pt>
                <c:pt idx="273">
                  <c:v>288403.15031266061</c:v>
                </c:pt>
                <c:pt idx="274">
                  <c:v>301995.17204020213</c:v>
                </c:pt>
                <c:pt idx="275">
                  <c:v>316227.76601684513</c:v>
                </c:pt>
                <c:pt idx="276">
                  <c:v>331131.12148259091</c:v>
                </c:pt>
                <c:pt idx="277">
                  <c:v>346736.850452532</c:v>
                </c:pt>
                <c:pt idx="278">
                  <c:v>363078.05477010168</c:v>
                </c:pt>
                <c:pt idx="279">
                  <c:v>380189.39632057026</c:v>
                </c:pt>
                <c:pt idx="280">
                  <c:v>398107.17055349739</c:v>
                </c:pt>
                <c:pt idx="281">
                  <c:v>416869.38347033627</c:v>
                </c:pt>
                <c:pt idx="282">
                  <c:v>436515.83224017685</c:v>
                </c:pt>
                <c:pt idx="283">
                  <c:v>457088.18961488554</c:v>
                </c:pt>
                <c:pt idx="284">
                  <c:v>478630.09232265007</c:v>
                </c:pt>
                <c:pt idx="285">
                  <c:v>501187.23362727294</c:v>
                </c:pt>
                <c:pt idx="286">
                  <c:v>524807.46024978533</c:v>
                </c:pt>
                <c:pt idx="287">
                  <c:v>549540.87385763775</c:v>
                </c:pt>
                <c:pt idx="288">
                  <c:v>575439.93733717059</c:v>
                </c:pt>
                <c:pt idx="289">
                  <c:v>602559.58607435913</c:v>
                </c:pt>
                <c:pt idx="290">
                  <c:v>630957.344480208</c:v>
                </c:pt>
                <c:pt idx="291">
                  <c:v>660693.44800761249</c:v>
                </c:pt>
                <c:pt idx="292">
                  <c:v>691830.97091895237</c:v>
                </c:pt>
                <c:pt idx="293">
                  <c:v>724435.96007499122</c:v>
                </c:pt>
                <c:pt idx="294">
                  <c:v>758577.57502920099</c:v>
                </c:pt>
                <c:pt idx="295">
                  <c:v>794328.23472430068</c:v>
                </c:pt>
                <c:pt idx="296">
                  <c:v>831763.77110269095</c:v>
                </c:pt>
                <c:pt idx="297">
                  <c:v>870963.58995608287</c:v>
                </c:pt>
                <c:pt idx="298">
                  <c:v>912010.83935593138</c:v>
                </c:pt>
                <c:pt idx="299">
                  <c:v>954992.58602146001</c:v>
                </c:pt>
                <c:pt idx="300">
                  <c:v>1000000.0000000233</c:v>
                </c:pt>
                <c:pt idx="301">
                  <c:v>1047128.5480509256</c:v>
                </c:pt>
                <c:pt idx="302">
                  <c:v>1096478.1961432102</c:v>
                </c:pt>
                <c:pt idx="303">
                  <c:v>1148153.6214969109</c:v>
                </c:pt>
                <c:pt idx="304">
                  <c:v>1202264.4346174421</c:v>
                </c:pt>
                <c:pt idx="305">
                  <c:v>1258925.4117941975</c:v>
                </c:pt>
                <c:pt idx="306">
                  <c:v>1318256.7385564386</c:v>
                </c:pt>
                <c:pt idx="307">
                  <c:v>1380384.26460292</c:v>
                </c:pt>
                <c:pt idx="308">
                  <c:v>1445439.7707459615</c:v>
                </c:pt>
                <c:pt idx="309">
                  <c:v>1513561.2484362463</c:v>
                </c:pt>
                <c:pt idx="310">
                  <c:v>1584893.1924611502</c:v>
                </c:pt>
                <c:pt idx="311">
                  <c:v>1659586.9074376018</c:v>
                </c:pt>
                <c:pt idx="312">
                  <c:v>1737800.828749378</c:v>
                </c:pt>
                <c:pt idx="313">
                  <c:v>1819700.8586099858</c:v>
                </c:pt>
                <c:pt idx="314">
                  <c:v>1905460.7179632492</c:v>
                </c:pt>
                <c:pt idx="315">
                  <c:v>1995262.3149688812</c:v>
                </c:pt>
                <c:pt idx="316">
                  <c:v>2089296.1308540448</c:v>
                </c:pt>
                <c:pt idx="317">
                  <c:v>2187761.6239495538</c:v>
                </c:pt>
                <c:pt idx="318">
                  <c:v>2290867.6527677779</c:v>
                </c:pt>
                <c:pt idx="319">
                  <c:v>2398832.9190194905</c:v>
                </c:pt>
                <c:pt idx="320">
                  <c:v>2511886.4315095842</c:v>
                </c:pt>
                <c:pt idx="321">
                  <c:v>2630267.991895386</c:v>
                </c:pt>
                <c:pt idx="322">
                  <c:v>2754228.7033381704</c:v>
                </c:pt>
                <c:pt idx="323">
                  <c:v>2884031.5031266091</c:v>
                </c:pt>
                <c:pt idx="324">
                  <c:v>3019951.7204020242</c:v>
                </c:pt>
                <c:pt idx="325">
                  <c:v>3162277.6601683819</c:v>
                </c:pt>
                <c:pt idx="326">
                  <c:v>3311311.2148259124</c:v>
                </c:pt>
                <c:pt idx="327">
                  <c:v>3467368.5045253243</c:v>
                </c:pt>
                <c:pt idx="328">
                  <c:v>3630780.5477010137</c:v>
                </c:pt>
                <c:pt idx="329">
                  <c:v>3801893.9632056188</c:v>
                </c:pt>
                <c:pt idx="330">
                  <c:v>3981071.7055349713</c:v>
                </c:pt>
                <c:pt idx="331">
                  <c:v>4168693.8347033598</c:v>
                </c:pt>
                <c:pt idx="332">
                  <c:v>4365158.3224016652</c:v>
                </c:pt>
                <c:pt idx="333">
                  <c:v>4570881.8961487543</c:v>
                </c:pt>
                <c:pt idx="334">
                  <c:v>4786300.9232263872</c:v>
                </c:pt>
                <c:pt idx="335">
                  <c:v>5011872.3362726187</c:v>
                </c:pt>
                <c:pt idx="336">
                  <c:v>5248074.6024976065</c:v>
                </c:pt>
                <c:pt idx="337">
                  <c:v>5495408.7385761291</c:v>
                </c:pt>
                <c:pt idx="338">
                  <c:v>5754399.3733714474</c:v>
                </c:pt>
                <c:pt idx="339">
                  <c:v>6025595.8607434379</c:v>
                </c:pt>
                <c:pt idx="340">
                  <c:v>6309573.4448017962</c:v>
                </c:pt>
                <c:pt idx="341">
                  <c:v>6606934.4800758157</c:v>
                </c:pt>
                <c:pt idx="342">
                  <c:v>6918309.7091892129</c:v>
                </c:pt>
                <c:pt idx="343">
                  <c:v>7244359.6007497404</c:v>
                </c:pt>
                <c:pt idx="344">
                  <c:v>7585775.7502916818</c:v>
                </c:pt>
                <c:pt idx="345">
                  <c:v>7943282.3472426357</c:v>
                </c:pt>
                <c:pt idx="346">
                  <c:v>8317637.7110265344</c:v>
                </c:pt>
                <c:pt idx="347">
                  <c:v>8709635.8995606061</c:v>
                </c:pt>
                <c:pt idx="348">
                  <c:v>9120108.3935589008</c:v>
                </c:pt>
                <c:pt idx="349">
                  <c:v>9549925.8602141533</c:v>
                </c:pt>
                <c:pt idx="350">
                  <c:v>9999999.9999997821</c:v>
                </c:pt>
              </c:numCache>
            </c:numRef>
          </c:xVal>
          <c:yVal>
            <c:numRef>
              <c:f>'Opamp Response'!$K$3:$K$353</c:f>
              <c:numCache>
                <c:formatCode>General</c:formatCode>
                <c:ptCount val="351"/>
                <c:pt idx="0">
                  <c:v>119.95678626217357</c:v>
                </c:pt>
                <c:pt idx="1">
                  <c:v>119.9526397325788</c:v>
                </c:pt>
                <c:pt idx="2">
                  <c:v>119.94809769902774</c:v>
                </c:pt>
                <c:pt idx="3">
                  <c:v>119.94312291200268</c:v>
                </c:pt>
                <c:pt idx="4">
                  <c:v>119.93767470827919</c:v>
                </c:pt>
                <c:pt idx="5">
                  <c:v>119.93170871687546</c:v>
                </c:pt>
                <c:pt idx="6">
                  <c:v>119.92517654342382</c:v>
                </c:pt>
                <c:pt idx="7">
                  <c:v>119.91802543215003</c:v>
                </c:pt>
                <c:pt idx="8">
                  <c:v>119.91019790479169</c:v>
                </c:pt>
                <c:pt idx="9">
                  <c:v>119.90163137598191</c:v>
                </c:pt>
                <c:pt idx="10">
                  <c:v>119.89225774488042</c:v>
                </c:pt>
                <c:pt idx="11">
                  <c:v>119.88200296315782</c:v>
                </c:pt>
                <c:pt idx="12">
                  <c:v>119.8707865798454</c:v>
                </c:pt>
                <c:pt idx="13">
                  <c:v>119.85852126406309</c:v>
                </c:pt>
                <c:pt idx="14">
                  <c:v>119.84511230724415</c:v>
                </c:pt>
                <c:pt idx="15">
                  <c:v>119.83045710720467</c:v>
                </c:pt>
                <c:pt idx="16">
                  <c:v>119.81444463726747</c:v>
                </c:pt>
                <c:pt idx="17">
                  <c:v>119.79695490466108</c:v>
                </c:pt>
                <c:pt idx="18">
                  <c:v>119.77785840358415</c:v>
                </c:pt>
                <c:pt idx="19">
                  <c:v>119.75701556966277</c:v>
                </c:pt>
                <c:pt idx="20">
                  <c:v>119.73427624403897</c:v>
                </c:pt>
                <c:pt idx="21">
                  <c:v>119.70947915700896</c:v>
                </c:pt>
                <c:pt idx="22">
                  <c:v>119.68245144297079</c:v>
                </c:pt>
                <c:pt idx="23">
                  <c:v>119.65300820042359</c:v>
                </c:pt>
                <c:pt idx="24">
                  <c:v>119.62095211284543</c:v>
                </c:pt>
                <c:pt idx="25">
                  <c:v>119.58607314841774</c:v>
                </c:pt>
                <c:pt idx="26">
                  <c:v>119.54814835868504</c:v>
                </c:pt>
                <c:pt idx="27">
                  <c:v>119.50694179824777</c:v>
                </c:pt>
                <c:pt idx="28">
                  <c:v>119.46220458936322</c:v>
                </c:pt>
                <c:pt idx="29">
                  <c:v>119.41367515672795</c:v>
                </c:pt>
                <c:pt idx="30">
                  <c:v>119.3610796585662</c:v>
                </c:pt>
                <c:pt idx="31">
                  <c:v>119.30413264025799</c:v>
                </c:pt>
                <c:pt idx="32">
                  <c:v>119.24253793589834</c:v>
                </c:pt>
                <c:pt idx="33">
                  <c:v>119.17598984117292</c:v>
                </c:pt>
                <c:pt idx="34">
                  <c:v>119.10417457755648</c:v>
                </c:pt>
                <c:pt idx="35">
                  <c:v>119.02677206291303</c:v>
                </c:pt>
                <c:pt idx="36">
                  <c:v>118.94345799697264</c:v>
                </c:pt>
                <c:pt idx="37">
                  <c:v>118.85390626182718</c:v>
                </c:pt>
                <c:pt idx="38">
                  <c:v>118.75779162758541</c:v>
                </c:pt>
                <c:pt idx="39">
                  <c:v>118.65479274183417</c:v>
                </c:pt>
                <c:pt idx="40">
                  <c:v>118.54459536890704</c:v>
                </c:pt>
                <c:pt idx="41">
                  <c:v>118.42689583165489</c:v>
                </c:pt>
                <c:pt idx="42">
                  <c:v>118.30140459509607</c:v>
                </c:pt>
                <c:pt idx="43">
                  <c:v>118.16784991877979</c:v>
                </c:pt>
                <c:pt idx="44">
                  <c:v>118.02598149380029</c:v>
                </c:pt>
                <c:pt idx="45">
                  <c:v>117.8755739720566</c:v>
                </c:pt>
                <c:pt idx="46">
                  <c:v>117.71643029041761</c:v>
                </c:pt>
                <c:pt idx="47">
                  <c:v>117.54838469164488</c:v>
                </c:pt>
                <c:pt idx="48">
                  <c:v>117.37130534773851</c:v>
                </c:pt>
                <c:pt idx="49">
                  <c:v>117.1850964999971</c:v>
                </c:pt>
                <c:pt idx="50">
                  <c:v>116.98970004336019</c:v>
                </c:pt>
                <c:pt idx="51">
                  <c:v>116.78509649999712</c:v>
                </c:pt>
                <c:pt idx="52">
                  <c:v>116.5713053477385</c:v>
                </c:pt>
                <c:pt idx="53">
                  <c:v>116.34838469164491</c:v>
                </c:pt>
                <c:pt idx="54">
                  <c:v>116.11643029041764</c:v>
                </c:pt>
                <c:pt idx="55">
                  <c:v>115.87557397205659</c:v>
                </c:pt>
                <c:pt idx="56">
                  <c:v>115.62598149380028</c:v>
                </c:pt>
                <c:pt idx="57">
                  <c:v>115.3678499187798</c:v>
                </c:pt>
                <c:pt idx="58">
                  <c:v>115.10140459509607</c:v>
                </c:pt>
                <c:pt idx="59">
                  <c:v>114.82689583165489</c:v>
                </c:pt>
                <c:pt idx="60">
                  <c:v>114.54459536890708</c:v>
                </c:pt>
                <c:pt idx="61">
                  <c:v>114.25479274183418</c:v>
                </c:pt>
                <c:pt idx="62">
                  <c:v>113.95779162758538</c:v>
                </c:pt>
                <c:pt idx="63">
                  <c:v>113.65390626182719</c:v>
                </c:pt>
                <c:pt idx="64">
                  <c:v>113.34345799697266</c:v>
                </c:pt>
                <c:pt idx="65">
                  <c:v>113.02677206291305</c:v>
                </c:pt>
                <c:pt idx="66">
                  <c:v>112.70417457755644</c:v>
                </c:pt>
                <c:pt idx="67">
                  <c:v>112.37598984117291</c:v>
                </c:pt>
                <c:pt idx="68">
                  <c:v>112.04253793589834</c:v>
                </c:pt>
                <c:pt idx="69">
                  <c:v>111.704132640258</c:v>
                </c:pt>
                <c:pt idx="70">
                  <c:v>111.36107965856618</c:v>
                </c:pt>
                <c:pt idx="71">
                  <c:v>111.01367515672794</c:v>
                </c:pt>
                <c:pt idx="72">
                  <c:v>110.66220458936323</c:v>
                </c:pt>
                <c:pt idx="73">
                  <c:v>110.30694179824778</c:v>
                </c:pt>
                <c:pt idx="74">
                  <c:v>109.94814835868503</c:v>
                </c:pt>
                <c:pt idx="75">
                  <c:v>109.58607314841773</c:v>
                </c:pt>
                <c:pt idx="76">
                  <c:v>109.22095211284542</c:v>
                </c:pt>
                <c:pt idx="77">
                  <c:v>108.85300820042359</c:v>
                </c:pt>
                <c:pt idx="78">
                  <c:v>108.48245144297078</c:v>
                </c:pt>
                <c:pt idx="79">
                  <c:v>108.10947915700895</c:v>
                </c:pt>
                <c:pt idx="80">
                  <c:v>107.73427624403897</c:v>
                </c:pt>
                <c:pt idx="81">
                  <c:v>107.35701556966276</c:v>
                </c:pt>
                <c:pt idx="82">
                  <c:v>106.97785840358414</c:v>
                </c:pt>
                <c:pt idx="83">
                  <c:v>106.59695490466108</c:v>
                </c:pt>
                <c:pt idx="84">
                  <c:v>106.21444463726748</c:v>
                </c:pt>
                <c:pt idx="85">
                  <c:v>105.83045710720468</c:v>
                </c:pt>
                <c:pt idx="86">
                  <c:v>105.44511230724413</c:v>
                </c:pt>
                <c:pt idx="87">
                  <c:v>105.05852126406309</c:v>
                </c:pt>
                <c:pt idx="88">
                  <c:v>104.67078657984536</c:v>
                </c:pt>
                <c:pt idx="89">
                  <c:v>104.28200296315782</c:v>
                </c:pt>
                <c:pt idx="90">
                  <c:v>103.89225774488041</c:v>
                </c:pt>
                <c:pt idx="91">
                  <c:v>103.50163137598193</c:v>
                </c:pt>
                <c:pt idx="92">
                  <c:v>103.1101979047917</c:v>
                </c:pt>
                <c:pt idx="93">
                  <c:v>102.71802543215004</c:v>
                </c:pt>
                <c:pt idx="94">
                  <c:v>102.32517654342382</c:v>
                </c:pt>
                <c:pt idx="95">
                  <c:v>101.93170871687548</c:v>
                </c:pt>
                <c:pt idx="96">
                  <c:v>101.53767470827918</c:v>
                </c:pt>
                <c:pt idx="97">
                  <c:v>101.14312291200267</c:v>
                </c:pt>
                <c:pt idx="98">
                  <c:v>100.7480976990278</c:v>
                </c:pt>
                <c:pt idx="99">
                  <c:v>100.35263973257882</c:v>
                </c:pt>
                <c:pt idx="100">
                  <c:v>99.956786262173566</c:v>
                </c:pt>
                <c:pt idx="101">
                  <c:v>99.560571397014741</c:v>
                </c:pt>
                <c:pt idx="102">
                  <c:v>99.164026359710505</c:v>
                </c:pt>
                <c:pt idx="103">
                  <c:v>98.767179721353813</c:v>
                </c:pt>
                <c:pt idx="104">
                  <c:v>98.370057619008207</c:v>
                </c:pt>
                <c:pt idx="105">
                  <c:v>97.972683956650584</c:v>
                </c:pt>
                <c:pt idx="106">
                  <c:v>97.575080590605523</c:v>
                </c:pt>
                <c:pt idx="107">
                  <c:v>97.17726750048287</c:v>
                </c:pt>
                <c:pt idx="108">
                  <c:v>96.779262946598294</c:v>
                </c:pt>
                <c:pt idx="109">
                  <c:v>96.381083614815921</c:v>
                </c:pt>
                <c:pt idx="110">
                  <c:v>95.982744749712083</c:v>
                </c:pt>
                <c:pt idx="111">
                  <c:v>95.584260276912005</c:v>
                </c:pt>
                <c:pt idx="112">
                  <c:v>95.185642915406106</c:v>
                </c:pt>
                <c:pt idx="113">
                  <c:v>94.78690428060446</c:v>
                </c:pt>
                <c:pt idx="114">
                  <c:v>94.388054978841879</c:v>
                </c:pt>
                <c:pt idx="115">
                  <c:v>93.989104694000389</c:v>
                </c:pt>
                <c:pt idx="116">
                  <c:v>93.590062266870774</c:v>
                </c:pt>
                <c:pt idx="117">
                  <c:v>93.190935767831874</c:v>
                </c:pt>
                <c:pt idx="118">
                  <c:v>92.791732563385821</c:v>
                </c:pt>
                <c:pt idx="119">
                  <c:v>92.392459377048638</c:v>
                </c:pt>
                <c:pt idx="120">
                  <c:v>91.993122345056776</c:v>
                </c:pt>
                <c:pt idx="121">
                  <c:v>91.593727067318227</c:v>
                </c:pt>
                <c:pt idx="122">
                  <c:v>91.19427865400057</c:v>
                </c:pt>
                <c:pt idx="123">
                  <c:v>90.794781768121666</c:v>
                </c:pt>
                <c:pt idx="124">
                  <c:v>90.395240664476106</c:v>
                </c:pt>
                <c:pt idx="125">
                  <c:v>89.995659225206808</c:v>
                </c:pt>
                <c:pt idx="126">
                  <c:v>89.596040992304964</c:v>
                </c:pt>
                <c:pt idx="127">
                  <c:v>89.196389197298998</c:v>
                </c:pt>
                <c:pt idx="128">
                  <c:v>88.796706788371068</c:v>
                </c:pt>
                <c:pt idx="129">
                  <c:v>88.396996455122121</c:v>
                </c:pt>
                <c:pt idx="130">
                  <c:v>87.997260651185044</c:v>
                </c:pt>
                <c:pt idx="131">
                  <c:v>87.597501614871817</c:v>
                </c:pt>
                <c:pt idx="132">
                  <c:v>87.197721388023496</c:v>
                </c:pt>
                <c:pt idx="133">
                  <c:v>86.797921833217245</c:v>
                </c:pt>
                <c:pt idx="134">
                  <c:v>86.398104649473112</c:v>
                </c:pt>
                <c:pt idx="135">
                  <c:v>85.998271386590105</c:v>
                </c:pt>
                <c:pt idx="136">
                  <c:v>85.598423458229661</c:v>
                </c:pt>
                <c:pt idx="137">
                  <c:v>85.198562153856187</c:v>
                </c:pt>
                <c:pt idx="138">
                  <c:v>84.79868864963295</c:v>
                </c:pt>
                <c:pt idx="139">
                  <c:v>84.398804018365013</c:v>
                </c:pt>
                <c:pt idx="140">
                  <c:v>83.998909238571358</c:v>
                </c:pt>
                <c:pt idx="141">
                  <c:v>83.599005202762754</c:v>
                </c:pt>
                <c:pt idx="142">
                  <c:v>83.199092724994301</c:v>
                </c:pt>
                <c:pt idx="143">
                  <c:v>82.799172547756086</c:v>
                </c:pt>
                <c:pt idx="144">
                  <c:v>82.399245348259242</c:v>
                </c:pt>
                <c:pt idx="145">
                  <c:v>81.999311744171223</c:v>
                </c:pt>
                <c:pt idx="146">
                  <c:v>81.59937229884774</c:v>
                </c:pt>
                <c:pt idx="147">
                  <c:v>81.199427526105254</c:v>
                </c:pt>
                <c:pt idx="148">
                  <c:v>80.799477894575091</c:v>
                </c:pt>
                <c:pt idx="149">
                  <c:v>80.399523831674799</c:v>
                </c:pt>
                <c:pt idx="150">
                  <c:v>79.999565727231371</c:v>
                </c:pt>
                <c:pt idx="151">
                  <c:v>79.599603936785456</c:v>
                </c:pt>
                <c:pt idx="152">
                  <c:v>79.199638784606009</c:v>
                </c:pt>
                <c:pt idx="153">
                  <c:v>78.799670566439971</c:v>
                </c:pt>
                <c:pt idx="154">
                  <c:v>78.399699552019783</c:v>
                </c:pt>
                <c:pt idx="155">
                  <c:v>77.999725987351383</c:v>
                </c:pt>
                <c:pt idx="156">
                  <c:v>77.599750096800676</c:v>
                </c:pt>
                <c:pt idx="157">
                  <c:v>77.19977208499644</c:v>
                </c:pt>
                <c:pt idx="158">
                  <c:v>76.799792138566417</c:v>
                </c:pt>
                <c:pt idx="159">
                  <c:v>76.399810427720311</c:v>
                </c:pt>
                <c:pt idx="160">
                  <c:v>75.999827107694045</c:v>
                </c:pt>
                <c:pt idx="161">
                  <c:v>75.599842320066813</c:v>
                </c:pt>
                <c:pt idx="162">
                  <c:v>75.199856193962049</c:v>
                </c:pt>
                <c:pt idx="163">
                  <c:v>74.7998688471436</c:v>
                </c:pt>
                <c:pt idx="164">
                  <c:v>74.399880387014449</c:v>
                </c:pt>
                <c:pt idx="165">
                  <c:v>73.999890911528439</c:v>
                </c:pt>
                <c:pt idx="166">
                  <c:v>73.599900510021499</c:v>
                </c:pt>
                <c:pt idx="167">
                  <c:v>73.199909263969772</c:v>
                </c:pt>
                <c:pt idx="168">
                  <c:v>72.799917247680852</c:v>
                </c:pt>
                <c:pt idx="169">
                  <c:v>72.399924528924714</c:v>
                </c:pt>
                <c:pt idx="170">
                  <c:v>71.999931169508613</c:v>
                </c:pt>
                <c:pt idx="171">
                  <c:v>71.599937225802051</c:v>
                </c:pt>
                <c:pt idx="172">
                  <c:v>71.199942749214628</c:v>
                </c:pt>
                <c:pt idx="173">
                  <c:v>70.799947786632899</c:v>
                </c:pt>
                <c:pt idx="174">
                  <c:v>70.399952380818036</c:v>
                </c:pt>
                <c:pt idx="175">
                  <c:v>69.999956570768958</c:v>
                </c:pt>
                <c:pt idx="176">
                  <c:v>69.599960392053092</c:v>
                </c:pt>
                <c:pt idx="177">
                  <c:v>69.199963877108658</c:v>
                </c:pt>
                <c:pt idx="178">
                  <c:v>68.799967055519446</c:v>
                </c:pt>
                <c:pt idx="179">
                  <c:v>68.399969954266609</c:v>
                </c:pt>
                <c:pt idx="180">
                  <c:v>67.999972597957154</c:v>
                </c:pt>
                <c:pt idx="181">
                  <c:v>67.599975009032931</c:v>
                </c:pt>
                <c:pt idx="182">
                  <c:v>67.199977207961396</c:v>
                </c:pt>
                <c:pt idx="183">
                  <c:v>66.799979213408946</c:v>
                </c:pt>
                <c:pt idx="184">
                  <c:v>66.399981042399673</c:v>
                </c:pt>
                <c:pt idx="185">
                  <c:v>65.999982710459705</c:v>
                </c:pt>
                <c:pt idx="186">
                  <c:v>65.599984231749062</c:v>
                </c:pt>
                <c:pt idx="187">
                  <c:v>65.199985619181888</c:v>
                </c:pt>
                <c:pt idx="188">
                  <c:v>64.799986884536111</c:v>
                </c:pt>
                <c:pt idx="189">
                  <c:v>64.399988038553175</c:v>
                </c:pt>
                <c:pt idx="190">
                  <c:v>63.999989091029548</c:v>
                </c:pt>
                <c:pt idx="191">
                  <c:v>63.599990050899606</c:v>
                </c:pt>
                <c:pt idx="192">
                  <c:v>63.199990926311699</c:v>
                </c:pt>
                <c:pt idx="193">
                  <c:v>62.799991724697094</c:v>
                </c:pt>
                <c:pt idx="194">
                  <c:v>62.399992452833487</c:v>
                </c:pt>
                <c:pt idx="195">
                  <c:v>61.999993116901742</c:v>
                </c:pt>
                <c:pt idx="196">
                  <c:v>61.599993722539324</c:v>
                </c:pt>
                <c:pt idx="197">
                  <c:v>61.199994274887501</c:v>
                </c:pt>
                <c:pt idx="198">
                  <c:v>60.799994778635032</c:v>
                </c:pt>
                <c:pt idx="199">
                  <c:v>60.399995238058331</c:v>
                </c:pt>
                <c:pt idx="200">
                  <c:v>59.999995657057354</c:v>
                </c:pt>
                <c:pt idx="201">
                  <c:v>59.599996039189051</c:v>
                </c:pt>
                <c:pt idx="202">
                  <c:v>59.199996387697311</c:v>
                </c:pt>
                <c:pt idx="203">
                  <c:v>58.799996705540721</c:v>
                </c:pt>
                <c:pt idx="204">
                  <c:v>58.399996995417325</c:v>
                </c:pt>
                <c:pt idx="205">
                  <c:v>57.999997259787904</c:v>
                </c:pt>
                <c:pt idx="206">
                  <c:v>57.599997500896805</c:v>
                </c:pt>
                <c:pt idx="207">
                  <c:v>57.199997720790734</c:v>
                </c:pt>
                <c:pt idx="208">
                  <c:v>56.799997921336399</c:v>
                </c:pt>
                <c:pt idx="209">
                  <c:v>56.399998104236232</c:v>
                </c:pt>
                <c:pt idx="210">
                  <c:v>55.999998271042841</c:v>
                </c:pt>
                <c:pt idx="211">
                  <c:v>55.59999842317233</c:v>
                </c:pt>
                <c:pt idx="212">
                  <c:v>55.199998561916033</c:v>
                </c:pt>
                <c:pt idx="213">
                  <c:v>54.799998688451844</c:v>
                </c:pt>
                <c:pt idx="214">
                  <c:v>54.399998803853862</c:v>
                </c:pt>
                <c:pt idx="215">
                  <c:v>53.999998909101727</c:v>
                </c:pt>
                <c:pt idx="216">
                  <c:v>53.599999005088883</c:v>
                </c:pt>
                <c:pt idx="217">
                  <c:v>53.199999092630286</c:v>
                </c:pt>
                <c:pt idx="218">
                  <c:v>52.799999172468972</c:v>
                </c:pt>
                <c:pt idx="219">
                  <c:v>52.399999245282757</c:v>
                </c:pt>
                <c:pt idx="220">
                  <c:v>51.999999311689649</c:v>
                </c:pt>
                <c:pt idx="221">
                  <c:v>51.599999372253535</c:v>
                </c:pt>
                <c:pt idx="222">
                  <c:v>51.1999994274884</c:v>
                </c:pt>
                <c:pt idx="223">
                  <c:v>50.79999947786321</c:v>
                </c:pt>
                <c:pt idx="224">
                  <c:v>50.399999523805583</c:v>
                </c:pt>
                <c:pt idx="225">
                  <c:v>49.999999565705522</c:v>
                </c:pt>
                <c:pt idx="226">
                  <c:v>49.599999603918704</c:v>
                </c:pt>
                <c:pt idx="227">
                  <c:v>49.199999638769555</c:v>
                </c:pt>
                <c:pt idx="228">
                  <c:v>48.79999967055393</c:v>
                </c:pt>
                <c:pt idx="229">
                  <c:v>48.39999969954161</c:v>
                </c:pt>
                <c:pt idx="230">
                  <c:v>47.999999725978711</c:v>
                </c:pt>
                <c:pt idx="231">
                  <c:v>47.599999750089609</c:v>
                </c:pt>
                <c:pt idx="232">
                  <c:v>47.199999772079039</c:v>
                </c:pt>
                <c:pt idx="233">
                  <c:v>46.79999979213359</c:v>
                </c:pt>
                <c:pt idx="234">
                  <c:v>46.399999810423587</c:v>
                </c:pt>
                <c:pt idx="235">
                  <c:v>45.999999827104219</c:v>
                </c:pt>
                <c:pt idx="236">
                  <c:v>45.599999842317196</c:v>
                </c:pt>
                <c:pt idx="237">
                  <c:v>45.199999856191596</c:v>
                </c:pt>
                <c:pt idx="238">
                  <c:v>44.799999868845156</c:v>
                </c:pt>
                <c:pt idx="239">
                  <c:v>44.399999880385359</c:v>
                </c:pt>
                <c:pt idx="240">
                  <c:v>43.999999890910175</c:v>
                </c:pt>
                <c:pt idx="241">
                  <c:v>43.599999900508863</c:v>
                </c:pt>
                <c:pt idx="242">
                  <c:v>43.19999990926302</c:v>
                </c:pt>
                <c:pt idx="243">
                  <c:v>42.799999917246858</c:v>
                </c:pt>
                <c:pt idx="244">
                  <c:v>42.399999924528267</c:v>
                </c:pt>
                <c:pt idx="245">
                  <c:v>41.999999931169008</c:v>
                </c:pt>
                <c:pt idx="246">
                  <c:v>41.599999937225306</c:v>
                </c:pt>
                <c:pt idx="247">
                  <c:v>41.199999942748839</c:v>
                </c:pt>
                <c:pt idx="248">
                  <c:v>40.799999947786333</c:v>
                </c:pt>
                <c:pt idx="249">
                  <c:v>40.399999952380526</c:v>
                </c:pt>
                <c:pt idx="250">
                  <c:v>39.999999956570555</c:v>
                </c:pt>
                <c:pt idx="251">
                  <c:v>39.59999996039187</c:v>
                </c:pt>
                <c:pt idx="252">
                  <c:v>39.19999996387692</c:v>
                </c:pt>
                <c:pt idx="253">
                  <c:v>38.799999967055413</c:v>
                </c:pt>
                <c:pt idx="254">
                  <c:v>38.399999969954109</c:v>
                </c:pt>
                <c:pt idx="255">
                  <c:v>37.999999972597848</c:v>
                </c:pt>
                <c:pt idx="256">
                  <c:v>37.599999975008942</c:v>
                </c:pt>
                <c:pt idx="257">
                  <c:v>37.199999977207938</c:v>
                </c:pt>
                <c:pt idx="258">
                  <c:v>36.799999979213339</c:v>
                </c:pt>
                <c:pt idx="259">
                  <c:v>36.399999981042178</c:v>
                </c:pt>
                <c:pt idx="260">
                  <c:v>35.999999982710442</c:v>
                </c:pt>
                <c:pt idx="261">
                  <c:v>35.599999984231722</c:v>
                </c:pt>
                <c:pt idx="262">
                  <c:v>35.199999985619137</c:v>
                </c:pt>
                <c:pt idx="263">
                  <c:v>34.799999986884302</c:v>
                </c:pt>
                <c:pt idx="264">
                  <c:v>34.399999988038473</c:v>
                </c:pt>
                <c:pt idx="265">
                  <c:v>33.999999989091016</c:v>
                </c:pt>
                <c:pt idx="266">
                  <c:v>33.599999990050847</c:v>
                </c:pt>
                <c:pt idx="267">
                  <c:v>33.199999990926116</c:v>
                </c:pt>
                <c:pt idx="268">
                  <c:v>32.799999991724668</c:v>
                </c:pt>
                <c:pt idx="269">
                  <c:v>32.39999999245282</c:v>
                </c:pt>
                <c:pt idx="270">
                  <c:v>31.999999993116855</c:v>
                </c:pt>
                <c:pt idx="271">
                  <c:v>31.599999993722342</c:v>
                </c:pt>
                <c:pt idx="272">
                  <c:v>31.199999994274879</c:v>
                </c:pt>
                <c:pt idx="273">
                  <c:v>30.799999994778652</c:v>
                </c:pt>
                <c:pt idx="274">
                  <c:v>30.399999995238055</c:v>
                </c:pt>
                <c:pt idx="275">
                  <c:v>29.999999995656829</c:v>
                </c:pt>
                <c:pt idx="276">
                  <c:v>29.599999996039227</c:v>
                </c:pt>
                <c:pt idx="277">
                  <c:v>29.199999996387717</c:v>
                </c:pt>
                <c:pt idx="278">
                  <c:v>28.799999996705537</c:v>
                </c:pt>
                <c:pt idx="279">
                  <c:v>28.399999996995216</c:v>
                </c:pt>
                <c:pt idx="280">
                  <c:v>27.999999997259799</c:v>
                </c:pt>
                <c:pt idx="281">
                  <c:v>27.599999997500877</c:v>
                </c:pt>
                <c:pt idx="282">
                  <c:v>27.199999997720568</c:v>
                </c:pt>
                <c:pt idx="283">
                  <c:v>26.799999997921123</c:v>
                </c:pt>
                <c:pt idx="284">
                  <c:v>26.399999998104033</c:v>
                </c:pt>
                <c:pt idx="285">
                  <c:v>25.999999998271036</c:v>
                </c:pt>
                <c:pt idx="286">
                  <c:v>25.599999998422959</c:v>
                </c:pt>
                <c:pt idx="287">
                  <c:v>25.199999998561708</c:v>
                </c:pt>
                <c:pt idx="288">
                  <c:v>24.799999998688264</c:v>
                </c:pt>
                <c:pt idx="289">
                  <c:v>24.399999998803843</c:v>
                </c:pt>
                <c:pt idx="290">
                  <c:v>23.999999998908905</c:v>
                </c:pt>
                <c:pt idx="291">
                  <c:v>23.599999999004851</c:v>
                </c:pt>
                <c:pt idx="292">
                  <c:v>23.199999999092434</c:v>
                </c:pt>
                <c:pt idx="293">
                  <c:v>22.799999999172481</c:v>
                </c:pt>
                <c:pt idx="294">
                  <c:v>22.399999999245082</c:v>
                </c:pt>
                <c:pt idx="295">
                  <c:v>21.999999999311477</c:v>
                </c:pt>
                <c:pt idx="296">
                  <c:v>21.599999999372017</c:v>
                </c:pt>
                <c:pt idx="297">
                  <c:v>21.199999999427437</c:v>
                </c:pt>
                <c:pt idx="298">
                  <c:v>20.799999999477631</c:v>
                </c:pt>
                <c:pt idx="299">
                  <c:v>20.399999999523605</c:v>
                </c:pt>
                <c:pt idx="300">
                  <c:v>19.999999999565532</c:v>
                </c:pt>
                <c:pt idx="301">
                  <c:v>19.599999999603664</c:v>
                </c:pt>
                <c:pt idx="302">
                  <c:v>19.199999999638568</c:v>
                </c:pt>
                <c:pt idx="303">
                  <c:v>18.799999999670348</c:v>
                </c:pt>
                <c:pt idx="304">
                  <c:v>18.39999999969934</c:v>
                </c:pt>
                <c:pt idx="305">
                  <c:v>17.999999999725752</c:v>
                </c:pt>
                <c:pt idx="306">
                  <c:v>17.599999999749873</c:v>
                </c:pt>
                <c:pt idx="307">
                  <c:v>17.199999999771862</c:v>
                </c:pt>
                <c:pt idx="308">
                  <c:v>16.79999999979194</c:v>
                </c:pt>
                <c:pt idx="309">
                  <c:v>16.399999999810177</c:v>
                </c:pt>
                <c:pt idx="310">
                  <c:v>15.999999999826906</c:v>
                </c:pt>
                <c:pt idx="311">
                  <c:v>15.599999999842156</c:v>
                </c:pt>
                <c:pt idx="312">
                  <c:v>15.199999999856171</c:v>
                </c:pt>
                <c:pt idx="313">
                  <c:v>14.799999999868866</c:v>
                </c:pt>
                <c:pt idx="314">
                  <c:v>14.399999999880333</c:v>
                </c:pt>
                <c:pt idx="315">
                  <c:v>13.999999999890907</c:v>
                </c:pt>
                <c:pt idx="316">
                  <c:v>13.599999999900463</c:v>
                </c:pt>
                <c:pt idx="317">
                  <c:v>13.199999999909242</c:v>
                </c:pt>
                <c:pt idx="318">
                  <c:v>12.799999999917219</c:v>
                </c:pt>
                <c:pt idx="319">
                  <c:v>12.399999999924527</c:v>
                </c:pt>
                <c:pt idx="320">
                  <c:v>11.999999999931131</c:v>
                </c:pt>
                <c:pt idx="321">
                  <c:v>11.599999999937229</c:v>
                </c:pt>
                <c:pt idx="322">
                  <c:v>11.199999999942747</c:v>
                </c:pt>
                <c:pt idx="323">
                  <c:v>10.799999999947762</c:v>
                </c:pt>
                <c:pt idx="324">
                  <c:v>10.399999999952371</c:v>
                </c:pt>
                <c:pt idx="325">
                  <c:v>9.9999999999565787</c:v>
                </c:pt>
                <c:pt idx="326">
                  <c:v>9.5999999999603798</c:v>
                </c:pt>
                <c:pt idx="327">
                  <c:v>9.199999999963854</c:v>
                </c:pt>
                <c:pt idx="328">
                  <c:v>8.7999999999670457</c:v>
                </c:pt>
                <c:pt idx="329">
                  <c:v>8.3999999999699355</c:v>
                </c:pt>
                <c:pt idx="330">
                  <c:v>7.9999999999725935</c:v>
                </c:pt>
                <c:pt idx="331">
                  <c:v>7.5999999999749859</c:v>
                </c:pt>
                <c:pt idx="332">
                  <c:v>7.1999999999772069</c:v>
                </c:pt>
                <c:pt idx="333">
                  <c:v>6.7999999999792093</c:v>
                </c:pt>
                <c:pt idx="334">
                  <c:v>6.3999999999810449</c:v>
                </c:pt>
                <c:pt idx="335">
                  <c:v>5.9999999999828999</c:v>
                </c:pt>
                <c:pt idx="336">
                  <c:v>5.5999999999844192</c:v>
                </c:pt>
                <c:pt idx="337">
                  <c:v>5.1999999999858204</c:v>
                </c:pt>
                <c:pt idx="338">
                  <c:v>4.7999999999870466</c:v>
                </c:pt>
                <c:pt idx="339">
                  <c:v>4.3999999999882498</c:v>
                </c:pt>
                <c:pt idx="340">
                  <c:v>3.9999999999892966</c:v>
                </c:pt>
                <c:pt idx="341">
                  <c:v>3.5999999999902177</c:v>
                </c:pt>
                <c:pt idx="342">
                  <c:v>3.1999999999911202</c:v>
                </c:pt>
                <c:pt idx="343">
                  <c:v>2.7999999999919463</c:v>
                </c:pt>
                <c:pt idx="344">
                  <c:v>2.399999999992608</c:v>
                </c:pt>
                <c:pt idx="345">
                  <c:v>1.9999999999933102</c:v>
                </c:pt>
                <c:pt idx="346">
                  <c:v>1.5999999999939027</c:v>
                </c:pt>
                <c:pt idx="347">
                  <c:v>1.1999999999945077</c:v>
                </c:pt>
                <c:pt idx="348">
                  <c:v>0.79999999999496296</c:v>
                </c:pt>
                <c:pt idx="349">
                  <c:v>0.39999999999539232</c:v>
                </c:pt>
                <c:pt idx="350">
                  <c:v>-4.1514297435128931E-12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E-4A67-A772-904DF0188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0796782114987912"/>
              <c:y val="0.876000913588057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sz="1200"/>
              <a:t>φ</a:t>
            </a:r>
            <a:r>
              <a:rPr lang="en-US" sz="1200"/>
              <a:t> (Degrees)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Response'!$H$3:$H$353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1.2589254117941668</c:v>
                </c:pt>
                <c:pt idx="6">
                  <c:v>1.318256738556407</c:v>
                </c:pt>
                <c:pt idx="7">
                  <c:v>1.3803842646028843</c:v>
                </c:pt>
                <c:pt idx="8">
                  <c:v>1.445439770745927</c:v>
                </c:pt>
                <c:pt idx="9">
                  <c:v>1.513561248436208</c:v>
                </c:pt>
                <c:pt idx="10">
                  <c:v>1.5848931924611132</c:v>
                </c:pt>
                <c:pt idx="11">
                  <c:v>1.65958690743756</c:v>
                </c:pt>
                <c:pt idx="12">
                  <c:v>1.7378008287493749</c:v>
                </c:pt>
                <c:pt idx="13">
                  <c:v>1.8197008586099832</c:v>
                </c:pt>
                <c:pt idx="14">
                  <c:v>1.9054607179632472</c:v>
                </c:pt>
                <c:pt idx="15">
                  <c:v>1.9952623149688795</c:v>
                </c:pt>
                <c:pt idx="16">
                  <c:v>2.0892961308540392</c:v>
                </c:pt>
                <c:pt idx="17">
                  <c:v>2.1877616239495525</c:v>
                </c:pt>
                <c:pt idx="18">
                  <c:v>2.2908676527677727</c:v>
                </c:pt>
                <c:pt idx="19">
                  <c:v>2.3988329190194904</c:v>
                </c:pt>
                <c:pt idx="20">
                  <c:v>2.5118864315095801</c:v>
                </c:pt>
                <c:pt idx="21">
                  <c:v>2.6302679918953817</c:v>
                </c:pt>
                <c:pt idx="22">
                  <c:v>2.7542287033381663</c:v>
                </c:pt>
                <c:pt idx="23">
                  <c:v>2.8840315031266055</c:v>
                </c:pt>
                <c:pt idx="24">
                  <c:v>3.0199517204020152</c:v>
                </c:pt>
                <c:pt idx="25">
                  <c:v>3.1622776601683795</c:v>
                </c:pt>
                <c:pt idx="26">
                  <c:v>3.3113112148259107</c:v>
                </c:pt>
                <c:pt idx="27">
                  <c:v>3.4673685045253166</c:v>
                </c:pt>
                <c:pt idx="28">
                  <c:v>3.6307805477010135</c:v>
                </c:pt>
                <c:pt idx="29">
                  <c:v>3.8018939632056203</c:v>
                </c:pt>
                <c:pt idx="30">
                  <c:v>3.9810717055349807</c:v>
                </c:pt>
                <c:pt idx="31">
                  <c:v>4.1686938347033635</c:v>
                </c:pt>
                <c:pt idx="32">
                  <c:v>4.365158322401669</c:v>
                </c:pt>
                <c:pt idx="33">
                  <c:v>4.5708818961487596</c:v>
                </c:pt>
                <c:pt idx="34">
                  <c:v>4.7863009232263938</c:v>
                </c:pt>
                <c:pt idx="35">
                  <c:v>5.0118723362727344</c:v>
                </c:pt>
                <c:pt idx="36">
                  <c:v>5.2480746024977378</c:v>
                </c:pt>
                <c:pt idx="37">
                  <c:v>5.4954087385762573</c:v>
                </c:pt>
                <c:pt idx="38">
                  <c:v>5.7543993733715828</c:v>
                </c:pt>
                <c:pt idx="39">
                  <c:v>6.0255958607435911</c:v>
                </c:pt>
                <c:pt idx="40">
                  <c:v>6.3095734448019467</c:v>
                </c:pt>
                <c:pt idx="41">
                  <c:v>6.6069344800759753</c:v>
                </c:pt>
                <c:pt idx="42">
                  <c:v>6.9183097091893799</c:v>
                </c:pt>
                <c:pt idx="43">
                  <c:v>7.2443596007499176</c:v>
                </c:pt>
                <c:pt idx="44">
                  <c:v>7.5857757502918544</c:v>
                </c:pt>
                <c:pt idx="45">
                  <c:v>7.9432823472428327</c:v>
                </c:pt>
                <c:pt idx="46">
                  <c:v>8.3176377110267303</c:v>
                </c:pt>
                <c:pt idx="47">
                  <c:v>8.7096358995608245</c:v>
                </c:pt>
                <c:pt idx="48">
                  <c:v>9.1201083935591178</c:v>
                </c:pt>
                <c:pt idx="49">
                  <c:v>9.5499258602143815</c:v>
                </c:pt>
                <c:pt idx="50">
                  <c:v>10</c:v>
                </c:pt>
                <c:pt idx="51">
                  <c:v>10.471285480508996</c:v>
                </c:pt>
                <c:pt idx="52">
                  <c:v>10.96478196143185</c:v>
                </c:pt>
                <c:pt idx="53">
                  <c:v>11.48153621496883</c:v>
                </c:pt>
                <c:pt idx="54">
                  <c:v>12.022644346174133</c:v>
                </c:pt>
                <c:pt idx="55">
                  <c:v>12.589254117941673</c:v>
                </c:pt>
                <c:pt idx="56">
                  <c:v>13.182567385564072</c:v>
                </c:pt>
                <c:pt idx="57">
                  <c:v>13.803842646028849</c:v>
                </c:pt>
                <c:pt idx="58">
                  <c:v>14.454397707459275</c:v>
                </c:pt>
                <c:pt idx="59">
                  <c:v>15.135612484362081</c:v>
                </c:pt>
                <c:pt idx="60">
                  <c:v>15.848931924611136</c:v>
                </c:pt>
                <c:pt idx="61">
                  <c:v>16.595869074375607</c:v>
                </c:pt>
                <c:pt idx="62">
                  <c:v>17.378008287493756</c:v>
                </c:pt>
                <c:pt idx="63">
                  <c:v>18.197008586099837</c:v>
                </c:pt>
                <c:pt idx="64">
                  <c:v>19.054607179632473</c:v>
                </c:pt>
                <c:pt idx="65">
                  <c:v>19.952623149688797</c:v>
                </c:pt>
                <c:pt idx="66">
                  <c:v>20.892961308540396</c:v>
                </c:pt>
                <c:pt idx="67">
                  <c:v>21.877616239495524</c:v>
                </c:pt>
                <c:pt idx="68">
                  <c:v>22.908676527677731</c:v>
                </c:pt>
                <c:pt idx="69">
                  <c:v>23.988329190194907</c:v>
                </c:pt>
                <c:pt idx="70">
                  <c:v>25.118864315095806</c:v>
                </c:pt>
                <c:pt idx="71">
                  <c:v>26.302679918953821</c:v>
                </c:pt>
                <c:pt idx="72">
                  <c:v>27.542287033381662</c:v>
                </c:pt>
                <c:pt idx="73">
                  <c:v>28.840315031266059</c:v>
                </c:pt>
                <c:pt idx="74">
                  <c:v>30.199517204020164</c:v>
                </c:pt>
                <c:pt idx="75">
                  <c:v>31.622776601683796</c:v>
                </c:pt>
                <c:pt idx="76">
                  <c:v>33.11311214825912</c:v>
                </c:pt>
                <c:pt idx="77">
                  <c:v>34.673685045253173</c:v>
                </c:pt>
                <c:pt idx="78">
                  <c:v>36.307805477010142</c:v>
                </c:pt>
                <c:pt idx="79">
                  <c:v>38.018939632056117</c:v>
                </c:pt>
                <c:pt idx="80">
                  <c:v>39.810717055349727</c:v>
                </c:pt>
                <c:pt idx="81">
                  <c:v>41.686938347033546</c:v>
                </c:pt>
                <c:pt idx="82">
                  <c:v>43.651583224016605</c:v>
                </c:pt>
                <c:pt idx="83">
                  <c:v>45.708818961487509</c:v>
                </c:pt>
                <c:pt idx="84">
                  <c:v>47.863009232263842</c:v>
                </c:pt>
                <c:pt idx="85">
                  <c:v>50.118723362727231</c:v>
                </c:pt>
                <c:pt idx="86">
                  <c:v>52.480746024977265</c:v>
                </c:pt>
                <c:pt idx="87">
                  <c:v>54.954087385762456</c:v>
                </c:pt>
                <c:pt idx="88">
                  <c:v>57.543993733715709</c:v>
                </c:pt>
                <c:pt idx="89">
                  <c:v>60.255958607435794</c:v>
                </c:pt>
                <c:pt idx="90">
                  <c:v>63.095734448019343</c:v>
                </c:pt>
                <c:pt idx="91">
                  <c:v>66.069344800759609</c:v>
                </c:pt>
                <c:pt idx="92">
                  <c:v>69.183097091893671</c:v>
                </c:pt>
                <c:pt idx="93">
                  <c:v>72.443596007499025</c:v>
                </c:pt>
                <c:pt idx="94">
                  <c:v>75.857757502918375</c:v>
                </c:pt>
                <c:pt idx="95">
                  <c:v>79.432823472428169</c:v>
                </c:pt>
                <c:pt idx="96">
                  <c:v>83.176377110267111</c:v>
                </c:pt>
                <c:pt idx="97">
                  <c:v>87.096358995608057</c:v>
                </c:pt>
                <c:pt idx="98">
                  <c:v>91.201083935590987</c:v>
                </c:pt>
                <c:pt idx="99">
                  <c:v>95.499258602143584</c:v>
                </c:pt>
                <c:pt idx="100">
                  <c:v>100</c:v>
                </c:pt>
                <c:pt idx="101">
                  <c:v>104.71285480508999</c:v>
                </c:pt>
                <c:pt idx="102">
                  <c:v>109.64781961431854</c:v>
                </c:pt>
                <c:pt idx="103">
                  <c:v>114.81536214968834</c:v>
                </c:pt>
                <c:pt idx="104">
                  <c:v>120.22644346174133</c:v>
                </c:pt>
                <c:pt idx="105">
                  <c:v>125.8925411794168</c:v>
                </c:pt>
                <c:pt idx="106">
                  <c:v>131.82567385564076</c:v>
                </c:pt>
                <c:pt idx="107">
                  <c:v>138.03842646028852</c:v>
                </c:pt>
                <c:pt idx="108">
                  <c:v>144.54397707459276</c:v>
                </c:pt>
                <c:pt idx="109">
                  <c:v>151.35612484362088</c:v>
                </c:pt>
                <c:pt idx="110">
                  <c:v>158.48931924611136</c:v>
                </c:pt>
                <c:pt idx="111">
                  <c:v>165.95869074375614</c:v>
                </c:pt>
                <c:pt idx="112">
                  <c:v>173.78008287493756</c:v>
                </c:pt>
                <c:pt idx="113">
                  <c:v>181.97008586099841</c:v>
                </c:pt>
                <c:pt idx="114">
                  <c:v>190.54607179632478</c:v>
                </c:pt>
                <c:pt idx="115">
                  <c:v>199.52623149688804</c:v>
                </c:pt>
                <c:pt idx="116">
                  <c:v>208.92961308540401</c:v>
                </c:pt>
                <c:pt idx="117">
                  <c:v>218.77616239495538</c:v>
                </c:pt>
                <c:pt idx="118">
                  <c:v>229.08676527677738</c:v>
                </c:pt>
                <c:pt idx="119">
                  <c:v>239.88329190194906</c:v>
                </c:pt>
                <c:pt idx="120">
                  <c:v>251.188643150958</c:v>
                </c:pt>
                <c:pt idx="121">
                  <c:v>263.02679918953822</c:v>
                </c:pt>
                <c:pt idx="122">
                  <c:v>275.42287033381666</c:v>
                </c:pt>
                <c:pt idx="123">
                  <c:v>288.40315031266067</c:v>
                </c:pt>
                <c:pt idx="124">
                  <c:v>301.99517204020162</c:v>
                </c:pt>
                <c:pt idx="125">
                  <c:v>316.22776601683802</c:v>
                </c:pt>
                <c:pt idx="126">
                  <c:v>331.13112148259125</c:v>
                </c:pt>
                <c:pt idx="127">
                  <c:v>346.73685045253183</c:v>
                </c:pt>
                <c:pt idx="128">
                  <c:v>363.07805477010157</c:v>
                </c:pt>
                <c:pt idx="129">
                  <c:v>380.1893963205614</c:v>
                </c:pt>
                <c:pt idx="130">
                  <c:v>398.10717055349755</c:v>
                </c:pt>
                <c:pt idx="131">
                  <c:v>416.86938347033561</c:v>
                </c:pt>
                <c:pt idx="132">
                  <c:v>436.51583224016611</c:v>
                </c:pt>
                <c:pt idx="133">
                  <c:v>457.08818961487509</c:v>
                </c:pt>
                <c:pt idx="134">
                  <c:v>478.63009232263857</c:v>
                </c:pt>
                <c:pt idx="135">
                  <c:v>501.18723362727235</c:v>
                </c:pt>
                <c:pt idx="136">
                  <c:v>524.80746024977282</c:v>
                </c:pt>
                <c:pt idx="137">
                  <c:v>549.54087385762466</c:v>
                </c:pt>
                <c:pt idx="138">
                  <c:v>575.43993733715695</c:v>
                </c:pt>
                <c:pt idx="139">
                  <c:v>602.55958607435821</c:v>
                </c:pt>
                <c:pt idx="140">
                  <c:v>630.95734448019368</c:v>
                </c:pt>
                <c:pt idx="141">
                  <c:v>660.6934480075962</c:v>
                </c:pt>
                <c:pt idx="142">
                  <c:v>691.8309709189366</c:v>
                </c:pt>
                <c:pt idx="143">
                  <c:v>724.4359600749907</c:v>
                </c:pt>
                <c:pt idx="144">
                  <c:v>758.57757502918366</c:v>
                </c:pt>
                <c:pt idx="145">
                  <c:v>794.32823472428197</c:v>
                </c:pt>
                <c:pt idx="146">
                  <c:v>831.76377110267129</c:v>
                </c:pt>
                <c:pt idx="147">
                  <c:v>870.96358995608068</c:v>
                </c:pt>
                <c:pt idx="148">
                  <c:v>912.01083935590975</c:v>
                </c:pt>
                <c:pt idx="149">
                  <c:v>954.99258602143652</c:v>
                </c:pt>
                <c:pt idx="150">
                  <c:v>1000</c:v>
                </c:pt>
                <c:pt idx="151">
                  <c:v>1047.1285480508998</c:v>
                </c:pt>
                <c:pt idx="152">
                  <c:v>1096.4781961431861</c:v>
                </c:pt>
                <c:pt idx="153">
                  <c:v>1148.1536214968835</c:v>
                </c:pt>
                <c:pt idx="154">
                  <c:v>1202.2644346174136</c:v>
                </c:pt>
                <c:pt idx="155">
                  <c:v>1258.9254117941678</c:v>
                </c:pt>
                <c:pt idx="156">
                  <c:v>1318.2567385564084</c:v>
                </c:pt>
                <c:pt idx="157">
                  <c:v>1380.3842646028861</c:v>
                </c:pt>
                <c:pt idx="158">
                  <c:v>1445.4397707459284</c:v>
                </c:pt>
                <c:pt idx="159">
                  <c:v>1513.5612484362091</c:v>
                </c:pt>
                <c:pt idx="160">
                  <c:v>1584.8931924611154</c:v>
                </c:pt>
                <c:pt idx="161">
                  <c:v>1659.5869074375623</c:v>
                </c:pt>
                <c:pt idx="162">
                  <c:v>1737.8008287493767</c:v>
                </c:pt>
                <c:pt idx="163">
                  <c:v>1819.700858609983</c:v>
                </c:pt>
                <c:pt idx="164">
                  <c:v>1905.460717963248</c:v>
                </c:pt>
                <c:pt idx="165">
                  <c:v>1995.2623149688802</c:v>
                </c:pt>
                <c:pt idx="166">
                  <c:v>2089.2961308540398</c:v>
                </c:pt>
                <c:pt idx="167">
                  <c:v>2187.7616239495524</c:v>
                </c:pt>
                <c:pt idx="168">
                  <c:v>2290.8676527677744</c:v>
                </c:pt>
                <c:pt idx="169">
                  <c:v>2398.8329190194913</c:v>
                </c:pt>
                <c:pt idx="170">
                  <c:v>2511.8864315095807</c:v>
                </c:pt>
                <c:pt idx="171">
                  <c:v>2630.2679918953818</c:v>
                </c:pt>
                <c:pt idx="172">
                  <c:v>2754.2287033381681</c:v>
                </c:pt>
                <c:pt idx="173">
                  <c:v>2884.0315031266073</c:v>
                </c:pt>
                <c:pt idx="174">
                  <c:v>3019.9517204020167</c:v>
                </c:pt>
                <c:pt idx="175">
                  <c:v>3162.2776601683827</c:v>
                </c:pt>
                <c:pt idx="176">
                  <c:v>3311.3112148259138</c:v>
                </c:pt>
                <c:pt idx="177">
                  <c:v>3467.3685045253183</c:v>
                </c:pt>
                <c:pt idx="178">
                  <c:v>3630.7805477010152</c:v>
                </c:pt>
                <c:pt idx="179">
                  <c:v>3801.8939632056163</c:v>
                </c:pt>
                <c:pt idx="180">
                  <c:v>3981.071705534976</c:v>
                </c:pt>
                <c:pt idx="181">
                  <c:v>4168.6938347033574</c:v>
                </c:pt>
                <c:pt idx="182">
                  <c:v>4365.1583224016622</c:v>
                </c:pt>
                <c:pt idx="183">
                  <c:v>4570.8818961487559</c:v>
                </c:pt>
                <c:pt idx="184">
                  <c:v>4786.3009232263885</c:v>
                </c:pt>
                <c:pt idx="185">
                  <c:v>5011.8723362727269</c:v>
                </c:pt>
                <c:pt idx="186">
                  <c:v>5248.0746024977288</c:v>
                </c:pt>
                <c:pt idx="187">
                  <c:v>5495.4087385762532</c:v>
                </c:pt>
                <c:pt idx="188">
                  <c:v>5754.3993733715706</c:v>
                </c:pt>
                <c:pt idx="189">
                  <c:v>6025.5958607435778</c:v>
                </c:pt>
                <c:pt idx="190">
                  <c:v>6309.5734448019321</c:v>
                </c:pt>
                <c:pt idx="191">
                  <c:v>6606.9344800759645</c:v>
                </c:pt>
                <c:pt idx="192">
                  <c:v>6918.3097091893669</c:v>
                </c:pt>
                <c:pt idx="193">
                  <c:v>7244.3596007499027</c:v>
                </c:pt>
                <c:pt idx="194">
                  <c:v>7585.7757502918375</c:v>
                </c:pt>
                <c:pt idx="195">
                  <c:v>7943.2823472428208</c:v>
                </c:pt>
                <c:pt idx="196">
                  <c:v>8317.6377110267131</c:v>
                </c:pt>
                <c:pt idx="197">
                  <c:v>8709.6358995608098</c:v>
                </c:pt>
                <c:pt idx="198">
                  <c:v>9120.1083935590977</c:v>
                </c:pt>
                <c:pt idx="199">
                  <c:v>9549.9258602143673</c:v>
                </c:pt>
                <c:pt idx="200">
                  <c:v>10000</c:v>
                </c:pt>
                <c:pt idx="201">
                  <c:v>10471.285480508999</c:v>
                </c:pt>
                <c:pt idx="202">
                  <c:v>10964.781961431863</c:v>
                </c:pt>
                <c:pt idx="203">
                  <c:v>11481.536214968839</c:v>
                </c:pt>
                <c:pt idx="204">
                  <c:v>12022.644346174138</c:v>
                </c:pt>
                <c:pt idx="205">
                  <c:v>12589.25411794168</c:v>
                </c:pt>
                <c:pt idx="206">
                  <c:v>13182.567385564089</c:v>
                </c:pt>
                <c:pt idx="207">
                  <c:v>13803.842646028863</c:v>
                </c:pt>
                <c:pt idx="208">
                  <c:v>14454.397707459288</c:v>
                </c:pt>
                <c:pt idx="209">
                  <c:v>15135.612484362093</c:v>
                </c:pt>
                <c:pt idx="210">
                  <c:v>15848.931924611155</c:v>
                </c:pt>
                <c:pt idx="211">
                  <c:v>16595.869074375627</c:v>
                </c:pt>
                <c:pt idx="212">
                  <c:v>17378.008287493773</c:v>
                </c:pt>
                <c:pt idx="213">
                  <c:v>18197.008586099833</c:v>
                </c:pt>
                <c:pt idx="214">
                  <c:v>19054.607179632483</c:v>
                </c:pt>
                <c:pt idx="215">
                  <c:v>19952.623149688803</c:v>
                </c:pt>
                <c:pt idx="216">
                  <c:v>20892.961308540398</c:v>
                </c:pt>
                <c:pt idx="217">
                  <c:v>21877.616239495528</c:v>
                </c:pt>
                <c:pt idx="218">
                  <c:v>22908.676527677748</c:v>
                </c:pt>
                <c:pt idx="219">
                  <c:v>23988.32919019492</c:v>
                </c:pt>
                <c:pt idx="220">
                  <c:v>25118.864315095812</c:v>
                </c:pt>
                <c:pt idx="221">
                  <c:v>26302.679918953821</c:v>
                </c:pt>
                <c:pt idx="222">
                  <c:v>27542.28703338169</c:v>
                </c:pt>
                <c:pt idx="223">
                  <c:v>28840.315031266076</c:v>
                </c:pt>
                <c:pt idx="224">
                  <c:v>30199.517204020176</c:v>
                </c:pt>
                <c:pt idx="225">
                  <c:v>31622.776601683803</c:v>
                </c:pt>
                <c:pt idx="226">
                  <c:v>33113.112148259112</c:v>
                </c:pt>
                <c:pt idx="227">
                  <c:v>34673.685045253224</c:v>
                </c:pt>
                <c:pt idx="228">
                  <c:v>36307.805477010188</c:v>
                </c:pt>
                <c:pt idx="229">
                  <c:v>38018.939632056172</c:v>
                </c:pt>
                <c:pt idx="230">
                  <c:v>39810.717055349771</c:v>
                </c:pt>
                <c:pt idx="231">
                  <c:v>41686.938347033582</c:v>
                </c:pt>
                <c:pt idx="232">
                  <c:v>43651.583224016635</c:v>
                </c:pt>
                <c:pt idx="233">
                  <c:v>45708.81896148753</c:v>
                </c:pt>
                <c:pt idx="234">
                  <c:v>47863.009232263852</c:v>
                </c:pt>
                <c:pt idx="235">
                  <c:v>50118.723362727324</c:v>
                </c:pt>
                <c:pt idx="236">
                  <c:v>52480.74602497735</c:v>
                </c:pt>
                <c:pt idx="237">
                  <c:v>54954.087385762541</c:v>
                </c:pt>
                <c:pt idx="238">
                  <c:v>57543.993733715673</c:v>
                </c:pt>
                <c:pt idx="239">
                  <c:v>60255.958607435852</c:v>
                </c:pt>
                <c:pt idx="240">
                  <c:v>63095.734448019386</c:v>
                </c:pt>
                <c:pt idx="241">
                  <c:v>66069.34480075966</c:v>
                </c:pt>
                <c:pt idx="242">
                  <c:v>69183.097091893695</c:v>
                </c:pt>
                <c:pt idx="243">
                  <c:v>72443.596007499029</c:v>
                </c:pt>
                <c:pt idx="244">
                  <c:v>75857.757502918394</c:v>
                </c:pt>
                <c:pt idx="245">
                  <c:v>79432.82347242815</c:v>
                </c:pt>
                <c:pt idx="246">
                  <c:v>83176.377110267087</c:v>
                </c:pt>
                <c:pt idx="247">
                  <c:v>87096.358995608185</c:v>
                </c:pt>
                <c:pt idx="248">
                  <c:v>91201.083935591087</c:v>
                </c:pt>
                <c:pt idx="249">
                  <c:v>95499.258602143687</c:v>
                </c:pt>
                <c:pt idx="250">
                  <c:v>100000</c:v>
                </c:pt>
                <c:pt idx="251">
                  <c:v>104712.85480509003</c:v>
                </c:pt>
                <c:pt idx="252">
                  <c:v>109647.81961431856</c:v>
                </c:pt>
                <c:pt idx="253">
                  <c:v>114815.36214968831</c:v>
                </c:pt>
                <c:pt idx="254">
                  <c:v>120226.44346174151</c:v>
                </c:pt>
                <c:pt idx="255">
                  <c:v>125892.54117941672</c:v>
                </c:pt>
                <c:pt idx="256">
                  <c:v>131825.6738556409</c:v>
                </c:pt>
                <c:pt idx="257">
                  <c:v>138038.42646028841</c:v>
                </c:pt>
                <c:pt idx="258">
                  <c:v>144543.9770745929</c:v>
                </c:pt>
                <c:pt idx="259">
                  <c:v>151356.12484362445</c:v>
                </c:pt>
                <c:pt idx="260">
                  <c:v>158489.31924611147</c:v>
                </c:pt>
                <c:pt idx="261">
                  <c:v>165958.69074375616</c:v>
                </c:pt>
                <c:pt idx="262">
                  <c:v>173780.08287493791</c:v>
                </c:pt>
                <c:pt idx="263">
                  <c:v>181970.08586100259</c:v>
                </c:pt>
                <c:pt idx="264">
                  <c:v>190546.07179632504</c:v>
                </c:pt>
                <c:pt idx="265">
                  <c:v>199526.23149688792</c:v>
                </c:pt>
                <c:pt idx="266">
                  <c:v>208929.61308540424</c:v>
                </c:pt>
                <c:pt idx="267">
                  <c:v>218776.16239496018</c:v>
                </c:pt>
                <c:pt idx="268">
                  <c:v>229086.7652767775</c:v>
                </c:pt>
                <c:pt idx="269">
                  <c:v>239883.29190194924</c:v>
                </c:pt>
                <c:pt idx="270">
                  <c:v>251188.64315095858</c:v>
                </c:pt>
                <c:pt idx="271">
                  <c:v>263026.79918954434</c:v>
                </c:pt>
                <c:pt idx="272">
                  <c:v>275422.87033381721</c:v>
                </c:pt>
                <c:pt idx="273">
                  <c:v>288403.15031266061</c:v>
                </c:pt>
                <c:pt idx="274">
                  <c:v>301995.17204020213</c:v>
                </c:pt>
                <c:pt idx="275">
                  <c:v>316227.76601684513</c:v>
                </c:pt>
                <c:pt idx="276">
                  <c:v>331131.12148259091</c:v>
                </c:pt>
                <c:pt idx="277">
                  <c:v>346736.850452532</c:v>
                </c:pt>
                <c:pt idx="278">
                  <c:v>363078.05477010168</c:v>
                </c:pt>
                <c:pt idx="279">
                  <c:v>380189.39632057026</c:v>
                </c:pt>
                <c:pt idx="280">
                  <c:v>398107.17055349739</c:v>
                </c:pt>
                <c:pt idx="281">
                  <c:v>416869.38347033627</c:v>
                </c:pt>
                <c:pt idx="282">
                  <c:v>436515.83224017685</c:v>
                </c:pt>
                <c:pt idx="283">
                  <c:v>457088.18961488554</c:v>
                </c:pt>
                <c:pt idx="284">
                  <c:v>478630.09232265007</c:v>
                </c:pt>
                <c:pt idx="285">
                  <c:v>501187.23362727294</c:v>
                </c:pt>
                <c:pt idx="286">
                  <c:v>524807.46024978533</c:v>
                </c:pt>
                <c:pt idx="287">
                  <c:v>549540.87385763775</c:v>
                </c:pt>
                <c:pt idx="288">
                  <c:v>575439.93733717059</c:v>
                </c:pt>
                <c:pt idx="289">
                  <c:v>602559.58607435913</c:v>
                </c:pt>
                <c:pt idx="290">
                  <c:v>630957.344480208</c:v>
                </c:pt>
                <c:pt idx="291">
                  <c:v>660693.44800761249</c:v>
                </c:pt>
                <c:pt idx="292">
                  <c:v>691830.97091895237</c:v>
                </c:pt>
                <c:pt idx="293">
                  <c:v>724435.96007499122</c:v>
                </c:pt>
                <c:pt idx="294">
                  <c:v>758577.57502920099</c:v>
                </c:pt>
                <c:pt idx="295">
                  <c:v>794328.23472430068</c:v>
                </c:pt>
                <c:pt idx="296">
                  <c:v>831763.77110269095</c:v>
                </c:pt>
                <c:pt idx="297">
                  <c:v>870963.58995608287</c:v>
                </c:pt>
                <c:pt idx="298">
                  <c:v>912010.83935593138</c:v>
                </c:pt>
                <c:pt idx="299">
                  <c:v>954992.58602146001</c:v>
                </c:pt>
                <c:pt idx="300">
                  <c:v>1000000.0000000233</c:v>
                </c:pt>
                <c:pt idx="301">
                  <c:v>1047128.5480509256</c:v>
                </c:pt>
                <c:pt idx="302">
                  <c:v>1096478.1961432102</c:v>
                </c:pt>
                <c:pt idx="303">
                  <c:v>1148153.6214969109</c:v>
                </c:pt>
                <c:pt idx="304">
                  <c:v>1202264.4346174421</c:v>
                </c:pt>
                <c:pt idx="305">
                  <c:v>1258925.4117941975</c:v>
                </c:pt>
                <c:pt idx="306">
                  <c:v>1318256.7385564386</c:v>
                </c:pt>
                <c:pt idx="307">
                  <c:v>1380384.26460292</c:v>
                </c:pt>
                <c:pt idx="308">
                  <c:v>1445439.7707459615</c:v>
                </c:pt>
                <c:pt idx="309">
                  <c:v>1513561.2484362463</c:v>
                </c:pt>
                <c:pt idx="310">
                  <c:v>1584893.1924611502</c:v>
                </c:pt>
                <c:pt idx="311">
                  <c:v>1659586.9074376018</c:v>
                </c:pt>
                <c:pt idx="312">
                  <c:v>1737800.828749378</c:v>
                </c:pt>
                <c:pt idx="313">
                  <c:v>1819700.8586099858</c:v>
                </c:pt>
                <c:pt idx="314">
                  <c:v>1905460.7179632492</c:v>
                </c:pt>
                <c:pt idx="315">
                  <c:v>1995262.3149688812</c:v>
                </c:pt>
                <c:pt idx="316">
                  <c:v>2089296.1308540448</c:v>
                </c:pt>
                <c:pt idx="317">
                  <c:v>2187761.6239495538</c:v>
                </c:pt>
                <c:pt idx="318">
                  <c:v>2290867.6527677779</c:v>
                </c:pt>
                <c:pt idx="319">
                  <c:v>2398832.9190194905</c:v>
                </c:pt>
                <c:pt idx="320">
                  <c:v>2511886.4315095842</c:v>
                </c:pt>
                <c:pt idx="321">
                  <c:v>2630267.991895386</c:v>
                </c:pt>
                <c:pt idx="322">
                  <c:v>2754228.7033381704</c:v>
                </c:pt>
                <c:pt idx="323">
                  <c:v>2884031.5031266091</c:v>
                </c:pt>
                <c:pt idx="324">
                  <c:v>3019951.7204020242</c:v>
                </c:pt>
                <c:pt idx="325">
                  <c:v>3162277.6601683819</c:v>
                </c:pt>
                <c:pt idx="326">
                  <c:v>3311311.2148259124</c:v>
                </c:pt>
                <c:pt idx="327">
                  <c:v>3467368.5045253243</c:v>
                </c:pt>
                <c:pt idx="328">
                  <c:v>3630780.5477010137</c:v>
                </c:pt>
                <c:pt idx="329">
                  <c:v>3801893.9632056188</c:v>
                </c:pt>
                <c:pt idx="330">
                  <c:v>3981071.7055349713</c:v>
                </c:pt>
                <c:pt idx="331">
                  <c:v>4168693.8347033598</c:v>
                </c:pt>
                <c:pt idx="332">
                  <c:v>4365158.3224016652</c:v>
                </c:pt>
                <c:pt idx="333">
                  <c:v>4570881.8961487543</c:v>
                </c:pt>
                <c:pt idx="334">
                  <c:v>4786300.9232263872</c:v>
                </c:pt>
                <c:pt idx="335">
                  <c:v>5011872.3362726187</c:v>
                </c:pt>
                <c:pt idx="336">
                  <c:v>5248074.6024976065</c:v>
                </c:pt>
                <c:pt idx="337">
                  <c:v>5495408.7385761291</c:v>
                </c:pt>
                <c:pt idx="338">
                  <c:v>5754399.3733714474</c:v>
                </c:pt>
                <c:pt idx="339">
                  <c:v>6025595.8607434379</c:v>
                </c:pt>
                <c:pt idx="340">
                  <c:v>6309573.4448017962</c:v>
                </c:pt>
                <c:pt idx="341">
                  <c:v>6606934.4800758157</c:v>
                </c:pt>
                <c:pt idx="342">
                  <c:v>6918309.7091892129</c:v>
                </c:pt>
                <c:pt idx="343">
                  <c:v>7244359.6007497404</c:v>
                </c:pt>
                <c:pt idx="344">
                  <c:v>7585775.7502916818</c:v>
                </c:pt>
                <c:pt idx="345">
                  <c:v>7943282.3472426357</c:v>
                </c:pt>
                <c:pt idx="346">
                  <c:v>8317637.7110265344</c:v>
                </c:pt>
                <c:pt idx="347">
                  <c:v>8709635.8995606061</c:v>
                </c:pt>
                <c:pt idx="348">
                  <c:v>9120108.3935589008</c:v>
                </c:pt>
                <c:pt idx="349">
                  <c:v>9549925.8602141533</c:v>
                </c:pt>
                <c:pt idx="350">
                  <c:v>9999999.9999997821</c:v>
                </c:pt>
              </c:numCache>
            </c:numRef>
          </c:xVal>
          <c:yVal>
            <c:numRef>
              <c:f>'Opamp Response'!$L$3:$L$353</c:f>
              <c:numCache>
                <c:formatCode>General</c:formatCode>
                <c:ptCount val="351"/>
                <c:pt idx="0">
                  <c:v>-5.710593137499643</c:v>
                </c:pt>
                <c:pt idx="1">
                  <c:v>-5.9778196640987522</c:v>
                </c:pt>
                <c:pt idx="2">
                  <c:v>-6.2573605177506941</c:v>
                </c:pt>
                <c:pt idx="3">
                  <c:v>-6.5497552930741145</c:v>
                </c:pt>
                <c:pt idx="4">
                  <c:v>-6.8555631473533358</c:v>
                </c:pt>
                <c:pt idx="5">
                  <c:v>-7.1753628965097134</c:v>
                </c:pt>
                <c:pt idx="6">
                  <c:v>-7.5097530040532607</c:v>
                </c:pt>
                <c:pt idx="7">
                  <c:v>-7.8593514441058181</c:v>
                </c:pt>
                <c:pt idx="8">
                  <c:v>-8.2247954172798181</c:v>
                </c:pt>
                <c:pt idx="9">
                  <c:v>-8.6067408957140668</c:v>
                </c:pt>
                <c:pt idx="10">
                  <c:v>-9.0058619709314893</c:v>
                </c:pt>
                <c:pt idx="11">
                  <c:v>-9.4228499754044535</c:v>
                </c:pt>
                <c:pt idx="12">
                  <c:v>-9.8584123458402946</c:v>
                </c:pt>
                <c:pt idx="13">
                  <c:v>-10.313271193276307</c:v>
                </c:pt>
                <c:pt idx="14">
                  <c:v>-10.788161542168142</c:v>
                </c:pt>
                <c:pt idx="15">
                  <c:v>-11.283829197867838</c:v>
                </c:pt>
                <c:pt idx="16">
                  <c:v>-11.801028199327847</c:v>
                </c:pt>
                <c:pt idx="17">
                  <c:v>-12.340517811694946</c:v>
                </c:pt>
                <c:pt idx="18">
                  <c:v>-12.903059011845798</c:v>
                </c:pt>
                <c:pt idx="19">
                  <c:v>-13.489410419100313</c:v>
                </c:pt>
                <c:pt idx="20">
                  <c:v>-14.100323623589263</c:v>
                </c:pt>
                <c:pt idx="21">
                  <c:v>-14.736537866356848</c:v>
                </c:pt>
                <c:pt idx="22">
                  <c:v>-15.398774028607072</c:v>
                </c:pt>
                <c:pt idx="23">
                  <c:v>-16.087727892932822</c:v>
                </c:pt>
                <c:pt idx="24">
                  <c:v>-16.804062647338601</c:v>
                </c:pt>
                <c:pt idx="25">
                  <c:v>-17.548400613792332</c:v>
                </c:pt>
                <c:pt idx="26">
                  <c:v>-18.321314197383831</c:v>
                </c:pt>
                <c:pt idx="27">
                  <c:v>-19.123316070287611</c:v>
                </c:pt>
                <c:pt idx="28">
                  <c:v>-19.954848626980858</c:v>
                </c:pt>
                <c:pt idx="29">
                  <c:v>-20.816272773735669</c:v>
                </c:pt>
                <c:pt idx="30">
                  <c:v>-21.707856146309165</c:v>
                </c:pt>
                <c:pt idx="31">
                  <c:v>-22.629760884775852</c:v>
                </c:pt>
                <c:pt idx="32">
                  <c:v>-23.582031133036327</c:v>
                </c:pt>
                <c:pt idx="33">
                  <c:v>-24.564580471759665</c:v>
                </c:pt>
                <c:pt idx="34">
                  <c:v>-25.577179536019628</c:v>
                </c:pt>
                <c:pt idx="35">
                  <c:v>-26.619444110792937</c:v>
                </c:pt>
                <c:pt idx="36">
                  <c:v>-27.690824036480493</c:v>
                </c:pt>
                <c:pt idx="37">
                  <c:v>-28.790593289891955</c:v>
                </c:pt>
                <c:pt idx="38">
                  <c:v>-29.917841630566709</c:v>
                </c:pt>
                <c:pt idx="39">
                  <c:v>-31.071468214576754</c:v>
                </c:pt>
                <c:pt idx="40">
                  <c:v>-32.250177574793568</c:v>
                </c:pt>
                <c:pt idx="41">
                  <c:v>-33.45247834509432</c:v>
                </c:pt>
                <c:pt idx="42">
                  <c:v>-34.676685063915208</c:v>
                </c:pt>
                <c:pt idx="43">
                  <c:v>-35.92092332877521</c:v>
                </c:pt>
                <c:pt idx="44">
                  <c:v>-37.18313848814379</c:v>
                </c:pt>
                <c:pt idx="45">
                  <c:v>-38.461107952210021</c:v>
                </c:pt>
                <c:pt idx="46">
                  <c:v>-39.752457083430912</c:v>
                </c:pt>
                <c:pt idx="47">
                  <c:v>-41.054678496630203</c:v>
                </c:pt>
                <c:pt idx="48">
                  <c:v>-42.365154463831658</c:v>
                </c:pt>
                <c:pt idx="49">
                  <c:v>-43.681181988918397</c:v>
                </c:pt>
                <c:pt idx="50">
                  <c:v>-45</c:v>
                </c:pt>
                <c:pt idx="51">
                  <c:v>-46.31881801108166</c:v>
                </c:pt>
                <c:pt idx="52">
                  <c:v>-47.634845536168555</c:v>
                </c:pt>
                <c:pt idx="53">
                  <c:v>-48.945321503369776</c:v>
                </c:pt>
                <c:pt idx="54">
                  <c:v>-50.247542916569081</c:v>
                </c:pt>
                <c:pt idx="55">
                  <c:v>-51.538892047790121</c:v>
                </c:pt>
                <c:pt idx="56">
                  <c:v>-52.816861511856409</c:v>
                </c:pt>
                <c:pt idx="57">
                  <c:v>-54.079076671224797</c:v>
                </c:pt>
                <c:pt idx="58">
                  <c:v>-55.323314936084941</c:v>
                </c:pt>
                <c:pt idx="59">
                  <c:v>-56.547521654905722</c:v>
                </c:pt>
                <c:pt idx="60">
                  <c:v>-57.749822425206538</c:v>
                </c:pt>
                <c:pt idx="61">
                  <c:v>-58.928531785423274</c:v>
                </c:pt>
                <c:pt idx="62">
                  <c:v>-60.082158369433451</c:v>
                </c:pt>
                <c:pt idx="63">
                  <c:v>-61.209406710107977</c:v>
                </c:pt>
                <c:pt idx="64">
                  <c:v>-62.309175963519422</c:v>
                </c:pt>
                <c:pt idx="65">
                  <c:v>-63.380555889207095</c:v>
                </c:pt>
                <c:pt idx="66">
                  <c:v>-64.422820463980571</c:v>
                </c:pt>
                <c:pt idx="67">
                  <c:v>-65.435419528240587</c:v>
                </c:pt>
                <c:pt idx="68">
                  <c:v>-66.417968866963804</c:v>
                </c:pt>
                <c:pt idx="69">
                  <c:v>-67.370239115224251</c:v>
                </c:pt>
                <c:pt idx="70">
                  <c:v>-68.29214385369103</c:v>
                </c:pt>
                <c:pt idx="71">
                  <c:v>-69.183727226264295</c:v>
                </c:pt>
                <c:pt idx="72">
                  <c:v>-70.045151373019138</c:v>
                </c:pt>
                <c:pt idx="73">
                  <c:v>-70.876683929712414</c:v>
                </c:pt>
                <c:pt idx="74">
                  <c:v>-71.678685802616144</c:v>
                </c:pt>
                <c:pt idx="75">
                  <c:v>-72.451599386207675</c:v>
                </c:pt>
                <c:pt idx="76">
                  <c:v>-73.195937352661531</c:v>
                </c:pt>
                <c:pt idx="77">
                  <c:v>-73.912272107067082</c:v>
                </c:pt>
                <c:pt idx="78">
                  <c:v>-74.601225971393006</c:v>
                </c:pt>
                <c:pt idx="79">
                  <c:v>-75.263462133643174</c:v>
                </c:pt>
                <c:pt idx="80">
                  <c:v>-75.899676376410767</c:v>
                </c:pt>
                <c:pt idx="81">
                  <c:v>-76.510589580899705</c:v>
                </c:pt>
                <c:pt idx="82">
                  <c:v>-77.096940988154216</c:v>
                </c:pt>
                <c:pt idx="83">
                  <c:v>-77.659482188305091</c:v>
                </c:pt>
                <c:pt idx="84">
                  <c:v>-78.198971800672226</c:v>
                </c:pt>
                <c:pt idx="85">
                  <c:v>-78.716170802132183</c:v>
                </c:pt>
                <c:pt idx="86">
                  <c:v>-79.211838457831817</c:v>
                </c:pt>
                <c:pt idx="87">
                  <c:v>-79.686728806723693</c:v>
                </c:pt>
                <c:pt idx="88">
                  <c:v>-80.141587654159707</c:v>
                </c:pt>
                <c:pt idx="89">
                  <c:v>-80.57715002459561</c:v>
                </c:pt>
                <c:pt idx="90">
                  <c:v>-80.99413802906848</c:v>
                </c:pt>
                <c:pt idx="91">
                  <c:v>-81.393259104285974</c:v>
                </c:pt>
                <c:pt idx="92">
                  <c:v>-81.775204582720221</c:v>
                </c:pt>
                <c:pt idx="93">
                  <c:v>-82.14064855589416</c:v>
                </c:pt>
                <c:pt idx="94">
                  <c:v>-82.490246995946748</c:v>
                </c:pt>
                <c:pt idx="95">
                  <c:v>-82.824637103490318</c:v>
                </c:pt>
                <c:pt idx="96">
                  <c:v>-83.144436852646692</c:v>
                </c:pt>
                <c:pt idx="97">
                  <c:v>-83.450244706925886</c:v>
                </c:pt>
                <c:pt idx="98">
                  <c:v>-83.742639482249345</c:v>
                </c:pt>
                <c:pt idx="99">
                  <c:v>-84.022180335901268</c:v>
                </c:pt>
                <c:pt idx="100">
                  <c:v>-84.289406862500371</c:v>
                </c:pt>
                <c:pt idx="101">
                  <c:v>-84.544839280213253</c:v>
                </c:pt>
                <c:pt idx="102">
                  <c:v>-84.788978692381249</c:v>
                </c:pt>
                <c:pt idx="103">
                  <c:v>-85.022307411507711</c:v>
                </c:pt>
                <c:pt idx="104">
                  <c:v>-85.245289334159821</c:v>
                </c:pt>
                <c:pt idx="105">
                  <c:v>-85.45837035678413</c:v>
                </c:pt>
                <c:pt idx="106">
                  <c:v>-85.661978823734188</c:v>
                </c:pt>
                <c:pt idx="107">
                  <c:v>-85.856525999966166</c:v>
                </c:pt>
                <c:pt idx="108">
                  <c:v>-86.042406561888171</c:v>
                </c:pt>
                <c:pt idx="109">
                  <c:v>-86.219999100764738</c:v>
                </c:pt>
                <c:pt idx="110">
                  <c:v>-86.389666633884048</c:v>
                </c:pt>
                <c:pt idx="111">
                  <c:v>-86.55175711940862</c:v>
                </c:pt>
                <c:pt idx="112">
                  <c:v>-86.706603971455039</c:v>
                </c:pt>
                <c:pt idx="113">
                  <c:v>-86.854526572497406</c:v>
                </c:pt>
                <c:pt idx="114">
                  <c:v>-86.995830780667774</c:v>
                </c:pt>
                <c:pt idx="115">
                  <c:v>-87.130809429944989</c:v>
                </c:pt>
                <c:pt idx="116">
                  <c:v>-87.259742821586343</c:v>
                </c:pt>
                <c:pt idx="117">
                  <c:v>-87.382899205471787</c:v>
                </c:pt>
                <c:pt idx="118">
                  <c:v>-87.50053525030205</c:v>
                </c:pt>
                <c:pt idx="119">
                  <c:v>-87.612896501826938</c:v>
                </c:pt>
                <c:pt idx="120">
                  <c:v>-87.720217828482106</c:v>
                </c:pt>
                <c:pt idx="121">
                  <c:v>-87.822723853984201</c:v>
                </c:pt>
                <c:pt idx="122">
                  <c:v>-87.920629376582866</c:v>
                </c:pt>
                <c:pt idx="123">
                  <c:v>-88.01413977479163</c:v>
                </c:pt>
                <c:pt idx="124">
                  <c:v>-88.10345139952689</c:v>
                </c:pt>
                <c:pt idx="125">
                  <c:v>-88.188751952672035</c:v>
                </c:pt>
                <c:pt idx="126">
                  <c:v>-88.270220852158374</c:v>
                </c:pt>
                <c:pt idx="127">
                  <c:v>-88.348029583716325</c:v>
                </c:pt>
                <c:pt idx="128">
                  <c:v>-88.422342039500492</c:v>
                </c:pt>
                <c:pt idx="129">
                  <c:v>-88.493314843833403</c:v>
                </c:pt>
                <c:pt idx="130">
                  <c:v>-88.561097666346328</c:v>
                </c:pt>
                <c:pt idx="131">
                  <c:v>-88.625833522820344</c:v>
                </c:pt>
                <c:pt idx="132">
                  <c:v>-88.687659064051573</c:v>
                </c:pt>
                <c:pt idx="133">
                  <c:v>-88.746704853079208</c:v>
                </c:pt>
                <c:pt idx="134">
                  <c:v>-88.80309563112489</c:v>
                </c:pt>
                <c:pt idx="135">
                  <c:v>-88.856950572599075</c:v>
                </c:pt>
                <c:pt idx="136">
                  <c:v>-88.908383529533324</c:v>
                </c:pt>
                <c:pt idx="137">
                  <c:v>-88.957503265798508</c:v>
                </c:pt>
                <c:pt idx="138">
                  <c:v>-89.004413681467383</c:v>
                </c:pt>
                <c:pt idx="139">
                  <c:v>-89.049214027676982</c:v>
                </c:pt>
                <c:pt idx="140">
                  <c:v>-89.091999112341426</c:v>
                </c:pt>
                <c:pt idx="141">
                  <c:v>-89.132859497060139</c:v>
                </c:pt>
                <c:pt idx="142">
                  <c:v>-89.171881685559157</c:v>
                </c:pt>
                <c:pt idx="143">
                  <c:v>-89.209148303995761</c:v>
                </c:pt>
                <c:pt idx="144">
                  <c:v>-89.244738273448277</c:v>
                </c:pt>
                <c:pt idx="145">
                  <c:v>-89.278726974904174</c:v>
                </c:pt>
                <c:pt idx="146">
                  <c:v>-89.311186407050343</c:v>
                </c:pt>
                <c:pt idx="147">
                  <c:v>-89.342185337160004</c:v>
                </c:pt>
                <c:pt idx="148">
                  <c:v>-89.371789445361927</c:v>
                </c:pt>
                <c:pt idx="149">
                  <c:v>-89.400061462566626</c:v>
                </c:pt>
                <c:pt idx="150">
                  <c:v>-89.427061302316517</c:v>
                </c:pt>
                <c:pt idx="151">
                  <c:v>-89.452846186815975</c:v>
                </c:pt>
                <c:pt idx="152">
                  <c:v>-89.477470767388738</c:v>
                </c:pt>
                <c:pt idx="153">
                  <c:v>-89.500987239600633</c:v>
                </c:pt>
                <c:pt idx="154">
                  <c:v>-89.523445453276395</c:v>
                </c:pt>
                <c:pt idx="155">
                  <c:v>-89.54489301763094</c:v>
                </c:pt>
                <c:pt idx="156">
                  <c:v>-89.565375401726058</c:v>
                </c:pt>
                <c:pt idx="157">
                  <c:v>-89.584936030455935</c:v>
                </c:pt>
                <c:pt idx="158">
                  <c:v>-89.603616376256042</c:v>
                </c:pt>
                <c:pt idx="159">
                  <c:v>-89.621456046722372</c:v>
                </c:pt>
                <c:pt idx="160">
                  <c:v>-89.638492868320157</c:v>
                </c:pt>
                <c:pt idx="161">
                  <c:v>-89.6547629663538</c:v>
                </c:pt>
                <c:pt idx="162">
                  <c:v>-89.670300841362689</c:v>
                </c:pt>
                <c:pt idx="163">
                  <c:v>-89.68513944210035</c:v>
                </c:pt>
                <c:pt idx="164">
                  <c:v>-89.699310235248092</c:v>
                </c:pt>
                <c:pt idx="165">
                  <c:v>-89.71284327200739</c:v>
                </c:pt>
                <c:pt idx="166">
                  <c:v>-89.725767251709883</c:v>
                </c:pt>
                <c:pt idx="167">
                  <c:v>-89.738109582576541</c:v>
                </c:pt>
                <c:pt idx="168">
                  <c:v>-89.749896439753599</c:v>
                </c:pt>
                <c:pt idx="169">
                  <c:v>-89.761152820745636</c:v>
                </c:pt>
                <c:pt idx="170">
                  <c:v>-89.771902598362203</c:v>
                </c:pt>
                <c:pt idx="171">
                  <c:v>-89.782168571288707</c:v>
                </c:pt>
                <c:pt idx="172">
                  <c:v>-89.791972512387446</c:v>
                </c:pt>
                <c:pt idx="173">
                  <c:v>-89.801335214830246</c:v>
                </c:pt>
                <c:pt idx="174">
                  <c:v>-89.810276536159577</c:v>
                </c:pt>
                <c:pt idx="175">
                  <c:v>-89.81881544037077</c:v>
                </c:pt>
                <c:pt idx="176">
                  <c:v>-89.826970038103752</c:v>
                </c:pt>
                <c:pt idx="177">
                  <c:v>-89.834757625029141</c:v>
                </c:pt>
                <c:pt idx="178">
                  <c:v>-89.84219471850929</c:v>
                </c:pt>
                <c:pt idx="179">
                  <c:v>-89.849297092611863</c:v>
                </c:pt>
                <c:pt idx="180">
                  <c:v>-89.856079811549478</c:v>
                </c:pt>
                <c:pt idx="181">
                  <c:v>-89.862557261616203</c:v>
                </c:pt>
                <c:pt idx="182">
                  <c:v>-89.868743181688245</c:v>
                </c:pt>
                <c:pt idx="183">
                  <c:v>-89.874650692353256</c:v>
                </c:pt>
                <c:pt idx="184">
                  <c:v>-89.880292323729833</c:v>
                </c:pt>
                <c:pt idx="185">
                  <c:v>-89.885680042035943</c:v>
                </c:pt>
                <c:pt idx="186">
                  <c:v>-89.890825274962438</c:v>
                </c:pt>
                <c:pt idx="187">
                  <c:v>-89.895738935905484</c:v>
                </c:pt>
                <c:pt idx="188">
                  <c:v>-89.900431447108986</c:v>
                </c:pt>
                <c:pt idx="189">
                  <c:v>-89.904912761765928</c:v>
                </c:pt>
                <c:pt idx="190">
                  <c:v>-89.909192385125721</c:v>
                </c:pt>
                <c:pt idx="191">
                  <c:v>-89.913279394651838</c:v>
                </c:pt>
                <c:pt idx="192">
                  <c:v>-89.917182459272667</c:v>
                </c:pt>
                <c:pt idx="193">
                  <c:v>-89.920909857766347</c:v>
                </c:pt>
                <c:pt idx="194">
                  <c:v>-89.924469496318352</c:v>
                </c:pt>
                <c:pt idx="195">
                  <c:v>-89.92786892528909</c:v>
                </c:pt>
                <c:pt idx="196">
                  <c:v>-89.931115355227277</c:v>
                </c:pt>
                <c:pt idx="197">
                  <c:v>-89.934215672162438</c:v>
                </c:pt>
                <c:pt idx="198">
                  <c:v>-89.937176452209712</c:v>
                </c:pt>
                <c:pt idx="199">
                  <c:v>-89.940003975517129</c:v>
                </c:pt>
                <c:pt idx="200">
                  <c:v>-89.94270423958551</c:v>
                </c:pt>
                <c:pt idx="201">
                  <c:v>-89.94528297198886</c:v>
                </c:pt>
                <c:pt idx="202">
                  <c:v>-89.947745642522477</c:v>
                </c:pt>
                <c:pt idx="203">
                  <c:v>-89.950097474804267</c:v>
                </c:pt>
                <c:pt idx="204">
                  <c:v>-89.952343457354019</c:v>
                </c:pt>
                <c:pt idx="205">
                  <c:v>-89.954488354174188</c:v>
                </c:pt>
                <c:pt idx="206">
                  <c:v>-89.956536714854408</c:v>
                </c:pt>
                <c:pt idx="207">
                  <c:v>-89.958492884221286</c:v>
                </c:pt>
                <c:pt idx="208">
                  <c:v>-89.960361011554042</c:v>
                </c:pt>
                <c:pt idx="209">
                  <c:v>-89.962145059385321</c:v>
                </c:pt>
                <c:pt idx="210">
                  <c:v>-89.963848811905862</c:v>
                </c:pt>
                <c:pt idx="211">
                  <c:v>-89.965475882991115</c:v>
                </c:pt>
                <c:pt idx="212">
                  <c:v>-89.967029723866474</c:v>
                </c:pt>
                <c:pt idx="213">
                  <c:v>-89.968513630427609</c:v>
                </c:pt>
                <c:pt idx="214">
                  <c:v>-89.969930750231285</c:v>
                </c:pt>
                <c:pt idx="215">
                  <c:v>-89.971284089171689</c:v>
                </c:pt>
                <c:pt idx="216">
                  <c:v>-89.972576517856083</c:v>
                </c:pt>
                <c:pt idx="217">
                  <c:v>-89.9738107776937</c:v>
                </c:pt>
                <c:pt idx="218">
                  <c:v>-89.974989486710541</c:v>
                </c:pt>
                <c:pt idx="219">
                  <c:v>-89.976115145102497</c:v>
                </c:pt>
                <c:pt idx="220">
                  <c:v>-89.977190140538426</c:v>
                </c:pt>
                <c:pt idx="221">
                  <c:v>-89.978216753224757</c:v>
                </c:pt>
                <c:pt idx="222">
                  <c:v>-89.979197160741975</c:v>
                </c:pt>
                <c:pt idx="223">
                  <c:v>-89.980133442663572</c:v>
                </c:pt>
                <c:pt idx="224">
                  <c:v>-89.981027584967052</c:v>
                </c:pt>
                <c:pt idx="225">
                  <c:v>-89.981881484246344</c:v>
                </c:pt>
                <c:pt idx="226">
                  <c:v>-89.982696951734795</c:v>
                </c:pt>
                <c:pt idx="227">
                  <c:v>-89.983475717146959</c:v>
                </c:pt>
                <c:pt idx="228">
                  <c:v>-89.984219432347516</c:v>
                </c:pt>
                <c:pt idx="229">
                  <c:v>-89.984929674855138</c:v>
                </c:pt>
                <c:pt idx="230">
                  <c:v>-89.985607951188527</c:v>
                </c:pt>
                <c:pt idx="231">
                  <c:v>-89.98625570006196</c:v>
                </c:pt>
                <c:pt idx="232">
                  <c:v>-89.986874295436962</c:v>
                </c:pt>
                <c:pt idx="233">
                  <c:v>-89.987465049436693</c:v>
                </c:pt>
                <c:pt idx="234">
                  <c:v>-89.988029215129089</c:v>
                </c:pt>
                <c:pt idx="235">
                  <c:v>-89.988567989184787</c:v>
                </c:pt>
                <c:pt idx="236">
                  <c:v>-89.989082514415401</c:v>
                </c:pt>
                <c:pt idx="237">
                  <c:v>-89.989573882197618</c:v>
                </c:pt>
                <c:pt idx="238">
                  <c:v>-89.990043134788067</c:v>
                </c:pt>
                <c:pt idx="239">
                  <c:v>-89.990491267534168</c:v>
                </c:pt>
                <c:pt idx="240">
                  <c:v>-89.990919230985341</c:v>
                </c:pt>
                <c:pt idx="241">
                  <c:v>-89.991327932909243</c:v>
                </c:pt>
                <c:pt idx="242">
                  <c:v>-89.991718240217267</c:v>
                </c:pt>
                <c:pt idx="243">
                  <c:v>-89.992090980803425</c:v>
                </c:pt>
                <c:pt idx="244">
                  <c:v>-89.992446945300358</c:v>
                </c:pt>
                <c:pt idx="245">
                  <c:v>-89.992786888756356</c:v>
                </c:pt>
                <c:pt idx="246">
                  <c:v>-89.993111532236966</c:v>
                </c:pt>
                <c:pt idx="247">
                  <c:v>-89.993421564354477</c:v>
                </c:pt>
                <c:pt idx="248">
                  <c:v>-89.99371764272847</c:v>
                </c:pt>
                <c:pt idx="249">
                  <c:v>-89.994000395380837</c:v>
                </c:pt>
                <c:pt idx="250">
                  <c:v>-89.994270422067785</c:v>
                </c:pt>
                <c:pt idx="251">
                  <c:v>-89.994528295552101</c:v>
                </c:pt>
                <c:pt idx="252">
                  <c:v>-89.994774562817966</c:v>
                </c:pt>
                <c:pt idx="253">
                  <c:v>-89.995009746231219</c:v>
                </c:pt>
                <c:pt idx="254">
                  <c:v>-89.995234344647386</c:v>
                </c:pt>
                <c:pt idx="255">
                  <c:v>-89.995448834469798</c:v>
                </c:pt>
                <c:pt idx="256">
                  <c:v>-89.99565367066009</c:v>
                </c:pt>
                <c:pt idx="257">
                  <c:v>-89.99584928770328</c:v>
                </c:pt>
                <c:pt idx="258">
                  <c:v>-89.996036100529324</c:v>
                </c:pt>
                <c:pt idx="259">
                  <c:v>-89.99621450539324</c:v>
                </c:pt>
                <c:pt idx="260">
                  <c:v>-89.996384880715652</c:v>
                </c:pt>
                <c:pt idx="261">
                  <c:v>-89.996547587885459</c:v>
                </c:pt>
                <c:pt idx="262">
                  <c:v>-89.99670297202637</c:v>
                </c:pt>
                <c:pt idx="263">
                  <c:v>-89.996851362728975</c:v>
                </c:pt>
                <c:pt idx="264">
                  <c:v>-89.996993074749838</c:v>
                </c:pt>
                <c:pt idx="265">
                  <c:v>-89.997128408679146</c:v>
                </c:pt>
                <c:pt idx="266">
                  <c:v>-89.997257651578295</c:v>
                </c:pt>
                <c:pt idx="267">
                  <c:v>-89.997381077588798</c:v>
                </c:pt>
                <c:pt idx="268">
                  <c:v>-89.997498948513794</c:v>
                </c:pt>
                <c:pt idx="269">
                  <c:v>-89.997611514373276</c:v>
                </c:pt>
                <c:pt idx="270">
                  <c:v>-89.997719013934542</c:v>
                </c:pt>
                <c:pt idx="271">
                  <c:v>-89.997821675218574</c:v>
                </c:pt>
                <c:pt idx="272">
                  <c:v>-89.997919715983699</c:v>
                </c:pt>
                <c:pt idx="273">
                  <c:v>-89.998013344187541</c:v>
                </c:pt>
                <c:pt idx="274">
                  <c:v>-89.998102758428061</c:v>
                </c:pt>
                <c:pt idx="275">
                  <c:v>-89.998188148364846</c:v>
                </c:pt>
                <c:pt idx="276">
                  <c:v>-89.998269695121408</c:v>
                </c:pt>
                <c:pt idx="277">
                  <c:v>-89.998347571669342</c:v>
                </c:pt>
                <c:pt idx="278">
                  <c:v>-89.998421943195254</c:v>
                </c:pt>
                <c:pt idx="279">
                  <c:v>-89.998492967451114</c:v>
                </c:pt>
                <c:pt idx="280">
                  <c:v>-89.998560795088892</c:v>
                </c:pt>
                <c:pt idx="281">
                  <c:v>-89.998625569980106</c:v>
                </c:pt>
                <c:pt idx="282">
                  <c:v>-89.99868742952097</c:v>
                </c:pt>
                <c:pt idx="283">
                  <c:v>-89.998746504923872</c:v>
                </c:pt>
                <c:pt idx="284">
                  <c:v>-89.998802921495667</c:v>
                </c:pt>
                <c:pt idx="285">
                  <c:v>-89.998856798903461</c:v>
                </c:pt>
                <c:pt idx="286">
                  <c:v>-89.99890825142846</c:v>
                </c:pt>
                <c:pt idx="287">
                  <c:v>-89.998957388208382</c:v>
                </c:pt>
                <c:pt idx="288">
                  <c:v>-89.999004313468888</c:v>
                </c:pt>
                <c:pt idx="289">
                  <c:v>-89.999049126744779</c:v>
                </c:pt>
                <c:pt idx="290">
                  <c:v>-89.999091923091001</c:v>
                </c:pt>
                <c:pt idx="291">
                  <c:v>-89.999132793284375</c:v>
                </c:pt>
                <c:pt idx="292">
                  <c:v>-89.999171824016031</c:v>
                </c:pt>
                <c:pt idx="293">
                  <c:v>-89.999209098075369</c:v>
                </c:pt>
                <c:pt idx="294">
                  <c:v>-89.9992446945257</c:v>
                </c:pt>
                <c:pt idx="295">
                  <c:v>-89.999278688871868</c:v>
                </c:pt>
                <c:pt idx="296">
                  <c:v>-89.999311153220404</c:v>
                </c:pt>
                <c:pt idx="297">
                  <c:v>-89.99934215643259</c:v>
                </c:pt>
                <c:pt idx="298">
                  <c:v>-89.999371764270364</c:v>
                </c:pt>
                <c:pt idx="299">
                  <c:v>-89.999400039535914</c:v>
                </c:pt>
                <c:pt idx="300">
                  <c:v>-89.999427042204886</c:v>
                </c:pt>
                <c:pt idx="301">
                  <c:v>-89.999452829553562</c:v>
                </c:pt>
                <c:pt idx="302">
                  <c:v>-89.999477456280374</c:v>
                </c:pt>
                <c:pt idx="303">
                  <c:v>-89.999500974621867</c:v>
                </c:pt>
                <c:pt idx="304">
                  <c:v>-89.999523434463654</c:v>
                </c:pt>
                <c:pt idx="305">
                  <c:v>-89.999544883446035</c:v>
                </c:pt>
                <c:pt idx="306">
                  <c:v>-89.999565367065188</c:v>
                </c:pt>
                <c:pt idx="307">
                  <c:v>-89.999584928769607</c:v>
                </c:pt>
                <c:pt idx="308">
                  <c:v>-89.999603610052304</c:v>
                </c:pt>
                <c:pt idx="309">
                  <c:v>-89.999621450538783</c:v>
                </c:pt>
                <c:pt idx="310">
                  <c:v>-89.999638488071099</c:v>
                </c:pt>
                <c:pt idx="311">
                  <c:v>-89.999654758788125</c:v>
                </c:pt>
                <c:pt idx="312">
                  <c:v>-89.999670297202286</c:v>
                </c:pt>
                <c:pt idx="313">
                  <c:v>-89.999685136272589</c:v>
                </c:pt>
                <c:pt idx="314">
                  <c:v>-89.999699307474714</c:v>
                </c:pt>
                <c:pt idx="315">
                  <c:v>-89.999712840867673</c:v>
                </c:pt>
                <c:pt idx="316">
                  <c:v>-89.999725765157621</c:v>
                </c:pt>
                <c:pt idx="317">
                  <c:v>-89.999738107758702</c:v>
                </c:pt>
                <c:pt idx="318">
                  <c:v>-89.99974989485122</c:v>
                </c:pt>
                <c:pt idx="319">
                  <c:v>-89.999761151437198</c:v>
                </c:pt>
                <c:pt idx="320">
                  <c:v>-89.999771901393345</c:v>
                </c:pt>
                <c:pt idx="321">
                  <c:v>-89.999782167521758</c:v>
                </c:pt>
                <c:pt idx="322">
                  <c:v>-89.999791971598285</c:v>
                </c:pt>
                <c:pt idx="323">
                  <c:v>-89.999801334418677</c:v>
                </c:pt>
                <c:pt idx="324">
                  <c:v>-89.999810275842734</c:v>
                </c:pt>
                <c:pt idx="325">
                  <c:v>-89.999818814836416</c:v>
                </c:pt>
                <c:pt idx="326">
                  <c:v>-89.9998269695121</c:v>
                </c:pt>
                <c:pt idx="327">
                  <c:v>-89.999834757166894</c:v>
                </c:pt>
                <c:pt idx="328">
                  <c:v>-89.999842194319484</c:v>
                </c:pt>
                <c:pt idx="329">
                  <c:v>-89.999849296745083</c:v>
                </c:pt>
                <c:pt idx="330">
                  <c:v>-89.999856079508859</c:v>
                </c:pt>
                <c:pt idx="331">
                  <c:v>-89.999862556997982</c:v>
                </c:pt>
                <c:pt idx="332">
                  <c:v>-89.999868742952074</c:v>
                </c:pt>
                <c:pt idx="333">
                  <c:v>-89.999874650492373</c:v>
                </c:pt>
                <c:pt idx="334">
                  <c:v>-89.999880292149555</c:v>
                </c:pt>
                <c:pt idx="335">
                  <c:v>-89.999885679890326</c:v>
                </c:pt>
                <c:pt idx="336">
                  <c:v>-89.999890825142842</c:v>
                </c:pt>
                <c:pt idx="337">
                  <c:v>-89.99989573882084</c:v>
                </c:pt>
                <c:pt idx="338">
                  <c:v>-89.999900431346873</c:v>
                </c:pt>
                <c:pt idx="339">
                  <c:v>-89.999904912674467</c:v>
                </c:pt>
                <c:pt idx="340">
                  <c:v>-89.99990919230909</c:v>
                </c:pt>
                <c:pt idx="341">
                  <c:v>-89.999913279328439</c:v>
                </c:pt>
                <c:pt idx="342">
                  <c:v>-89.999917182401589</c:v>
                </c:pt>
                <c:pt idx="343">
                  <c:v>-89.999920909807543</c:v>
                </c:pt>
                <c:pt idx="344">
                  <c:v>-89.999924469452566</c:v>
                </c:pt>
                <c:pt idx="345">
                  <c:v>-89.999927868887184</c:v>
                </c:pt>
                <c:pt idx="346">
                  <c:v>-89.999931115322042</c:v>
                </c:pt>
                <c:pt idx="347">
                  <c:v>-89.99993421564325</c:v>
                </c:pt>
                <c:pt idx="348">
                  <c:v>-89.999937176427039</c:v>
                </c:pt>
                <c:pt idx="349">
                  <c:v>-89.999940003953583</c:v>
                </c:pt>
                <c:pt idx="350">
                  <c:v>-89.999942704220487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7-4BE6-B91D-CA0F5B948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103920"/>
        <c:axId val="420102936"/>
      </c:scatterChart>
      <c:valAx>
        <c:axId val="42010392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2936"/>
        <c:crossesAt val="-300"/>
        <c:crossBetween val="midCat"/>
      </c:valAx>
      <c:valAx>
        <c:axId val="420102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103920"/>
        <c:crossesAt val="1.000000000000000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Response'!$M$3:$M$353</c:f>
              <c:numCache>
                <c:formatCode>General</c:formatCode>
                <c:ptCount val="351"/>
                <c:pt idx="0">
                  <c:v>990099.00990098994</c:v>
                </c:pt>
                <c:pt idx="1">
                  <c:v>989154.14052291901</c:v>
                </c:pt>
                <c:pt idx="2">
                  <c:v>988120.18247482798</c:v>
                </c:pt>
                <c:pt idx="3">
                  <c:v>986988.95163624804</c:v>
                </c:pt>
                <c:pt idx="4">
                  <c:v>985751.55498352204</c:v>
                </c:pt>
                <c:pt idx="5">
                  <c:v>984398.33775816998</c:v>
                </c:pt>
                <c:pt idx="6">
                  <c:v>982918.82845320599</c:v>
                </c:pt>
                <c:pt idx="7">
                  <c:v>981301.68192618398</c:v>
                </c:pt>
                <c:pt idx="8">
                  <c:v>979534.62106178002</c:v>
                </c:pt>
                <c:pt idx="9">
                  <c:v>977604.37754282902</c:v>
                </c:pt>
                <c:pt idx="10">
                  <c:v>975496.63244966394</c:v>
                </c:pt>
                <c:pt idx="11">
                  <c:v>973195.95759616001</c:v>
                </c:pt>
                <c:pt idx="12">
                  <c:v>970685.75872954901</c:v>
                </c:pt>
                <c:pt idx="13">
                  <c:v>967948.22197212896</c:v>
                </c:pt>
                <c:pt idx="14">
                  <c:v>964964.26516801398</c:v>
                </c:pt>
                <c:pt idx="15">
                  <c:v>961713.49611774494</c:v>
                </c:pt>
                <c:pt idx="16">
                  <c:v>958174.18003701</c:v>
                </c:pt>
                <c:pt idx="17">
                  <c:v>954323.21896033699</c:v>
                </c:pt>
                <c:pt idx="18">
                  <c:v>950136.14622102305</c:v>
                </c:pt>
                <c:pt idx="19">
                  <c:v>945587.139566125</c:v>
                </c:pt>
                <c:pt idx="20">
                  <c:v>940649.05689723196</c:v>
                </c:pt>
                <c:pt idx="21">
                  <c:v>935293.49904607795</c:v>
                </c:pt>
                <c:pt idx="22">
                  <c:v>929490.90437477001</c:v>
                </c:pt>
                <c:pt idx="23">
                  <c:v>923210.68030290003</c:v>
                </c:pt>
                <c:pt idx="24">
                  <c:v>916421.37706951296</c:v>
                </c:pt>
                <c:pt idx="25">
                  <c:v>909090.90909090894</c:v>
                </c:pt>
                <c:pt idx="26">
                  <c:v>901186.82912166801</c:v>
                </c:pt>
                <c:pt idx="27">
                  <c:v>892676.66000615398</c:v>
                </c:pt>
                <c:pt idx="28">
                  <c:v>883528.28805643902</c:v>
                </c:pt>
                <c:pt idx="29">
                  <c:v>873710.42094508104</c:v>
                </c:pt>
                <c:pt idx="30">
                  <c:v>863193.11139678897</c:v>
                </c:pt>
                <c:pt idx="31">
                  <c:v>851948.34585257305</c:v>
                </c:pt>
                <c:pt idx="32">
                  <c:v>839950.694634752</c:v>
                </c:pt>
                <c:pt idx="33">
                  <c:v>827178.01696313801</c:v>
                </c:pt>
                <c:pt idx="34">
                  <c:v>813612.210505586</c:v>
                </c:pt>
                <c:pt idx="35">
                  <c:v>799239.99108689697</c:v>
                </c:pt>
                <c:pt idx="36">
                  <c:v>784053.68388781499</c:v>
                </c:pt>
                <c:pt idx="37">
                  <c:v>768052.00316758396</c:v>
                </c:pt>
                <c:pt idx="38">
                  <c:v>751240.79353370995</c:v>
                </c:pt>
                <c:pt idx="39">
                  <c:v>733633.70241380599</c:v>
                </c:pt>
                <c:pt idx="40">
                  <c:v>715252.75104919705</c:v>
                </c:pt>
                <c:pt idx="41">
                  <c:v>696128.77042959898</c:v>
                </c:pt>
                <c:pt idx="42">
                  <c:v>676301.66949273599</c:v>
                </c:pt>
                <c:pt idx="43">
                  <c:v>655820.50591239403</c:v>
                </c:pt>
                <c:pt idx="44">
                  <c:v>634743.33505231503</c:v>
                </c:pt>
                <c:pt idx="45">
                  <c:v>613136.82015314198</c:v>
                </c:pt>
                <c:pt idx="46">
                  <c:v>591075.596314942</c:v>
                </c:pt>
                <c:pt idx="47">
                  <c:v>568641.39188366698</c:v>
                </c:pt>
                <c:pt idx="48">
                  <c:v>545921.92278048198</c:v>
                </c:pt>
                <c:pt idx="49">
                  <c:v>523009.587297561</c:v>
                </c:pt>
                <c:pt idx="50">
                  <c:v>500000</c:v>
                </c:pt>
                <c:pt idx="51">
                  <c:v>476990.41270243801</c:v>
                </c:pt>
                <c:pt idx="52">
                  <c:v>454078.077219514</c:v>
                </c:pt>
                <c:pt idx="53">
                  <c:v>431358.60811633401</c:v>
                </c:pt>
                <c:pt idx="54">
                  <c:v>408924.403685058</c:v>
                </c:pt>
                <c:pt idx="55">
                  <c:v>386863.17984685599</c:v>
                </c:pt>
                <c:pt idx="56">
                  <c:v>365256.664947682</c:v>
                </c:pt>
                <c:pt idx="57">
                  <c:v>344179.49408760603</c:v>
                </c:pt>
                <c:pt idx="58">
                  <c:v>323698.33050726203</c:v>
                </c:pt>
                <c:pt idx="59">
                  <c:v>303871.22957040003</c:v>
                </c:pt>
                <c:pt idx="60">
                  <c:v>284747.24895080202</c:v>
                </c:pt>
                <c:pt idx="61">
                  <c:v>266366.29758619302</c:v>
                </c:pt>
                <c:pt idx="62">
                  <c:v>248759.20646628799</c:v>
                </c:pt>
                <c:pt idx="63">
                  <c:v>231947.996832417</c:v>
                </c:pt>
                <c:pt idx="64">
                  <c:v>215946.316112186</c:v>
                </c:pt>
                <c:pt idx="65">
                  <c:v>200760.00891310201</c:v>
                </c:pt>
                <c:pt idx="66">
                  <c:v>186387.78949441199</c:v>
                </c:pt>
                <c:pt idx="67">
                  <c:v>172821.98303685899</c:v>
                </c:pt>
                <c:pt idx="68">
                  <c:v>160049.30536524599</c:v>
                </c:pt>
                <c:pt idx="69">
                  <c:v>148051.65414742599</c:v>
                </c:pt>
                <c:pt idx="70">
                  <c:v>136806.88860320899</c:v>
                </c:pt>
                <c:pt idx="71">
                  <c:v>126289.579054919</c:v>
                </c:pt>
                <c:pt idx="72">
                  <c:v>116471.71194356099</c:v>
                </c:pt>
                <c:pt idx="73">
                  <c:v>107323.33999384601</c:v>
                </c:pt>
                <c:pt idx="74">
                  <c:v>98813.170878332094</c:v>
                </c:pt>
                <c:pt idx="75">
                  <c:v>90909.090909090897</c:v>
                </c:pt>
                <c:pt idx="76">
                  <c:v>83578.622930486104</c:v>
                </c:pt>
                <c:pt idx="77">
                  <c:v>76789.319697100495</c:v>
                </c:pt>
                <c:pt idx="78">
                  <c:v>70509.095625229398</c:v>
                </c:pt>
                <c:pt idx="79">
                  <c:v>64706.500953921503</c:v>
                </c:pt>
                <c:pt idx="80">
                  <c:v>59350.943102767698</c:v>
                </c:pt>
                <c:pt idx="81">
                  <c:v>54412.860433875299</c:v>
                </c:pt>
                <c:pt idx="82">
                  <c:v>49863.853778976198</c:v>
                </c:pt>
                <c:pt idx="83">
                  <c:v>45676.781039662397</c:v>
                </c:pt>
                <c:pt idx="84">
                  <c:v>41825.819962989503</c:v>
                </c:pt>
                <c:pt idx="85">
                  <c:v>38286.503882254801</c:v>
                </c:pt>
                <c:pt idx="86">
                  <c:v>35035.734831986199</c:v>
                </c:pt>
                <c:pt idx="87">
                  <c:v>32051.7780278711</c:v>
                </c:pt>
                <c:pt idx="88">
                  <c:v>29314.2412704503</c:v>
                </c:pt>
                <c:pt idx="89">
                  <c:v>26804.0424038401</c:v>
                </c:pt>
                <c:pt idx="90">
                  <c:v>24503.367550335999</c:v>
                </c:pt>
                <c:pt idx="91">
                  <c:v>22395.622457170401</c:v>
                </c:pt>
                <c:pt idx="92">
                  <c:v>20465.378938219499</c:v>
                </c:pt>
                <c:pt idx="93">
                  <c:v>18698.318073816001</c:v>
                </c:pt>
                <c:pt idx="94">
                  <c:v>17081.171546793499</c:v>
                </c:pt>
                <c:pt idx="95">
                  <c:v>15601.662241829599</c:v>
                </c:pt>
                <c:pt idx="96">
                  <c:v>14248.445016478199</c:v>
                </c:pt>
                <c:pt idx="97">
                  <c:v>13011.048363752099</c:v>
                </c:pt>
                <c:pt idx="98">
                  <c:v>11879.8175251716</c:v>
                </c:pt>
                <c:pt idx="99">
                  <c:v>10845.8594770813</c:v>
                </c:pt>
                <c:pt idx="100">
                  <c:v>9900.9900990098995</c:v>
                </c:pt>
                <c:pt idx="101">
                  <c:v>9037.6837382396407</c:v>
                </c:pt>
                <c:pt idx="102">
                  <c:v>8249.0253070534709</c:v>
                </c:pt>
                <c:pt idx="103">
                  <c:v>7528.6649860089401</c:v>
                </c:pt>
                <c:pt idx="104">
                  <c:v>6870.7755559509997</c:v>
                </c:pt>
                <c:pt idx="105">
                  <c:v>6270.0123414338104</c:v>
                </c:pt>
                <c:pt idx="106">
                  <c:v>5721.4757170903604</c:v>
                </c:pt>
                <c:pt idx="107">
                  <c:v>5220.6761048240896</c:v>
                </c:pt>
                <c:pt idx="108">
                  <c:v>4763.5013722107597</c:v>
                </c:pt>
                <c:pt idx="109">
                  <c:v>4346.1865300990803</c:v>
                </c:pt>
                <c:pt idx="110">
                  <c:v>3965.2856191522201</c:v>
                </c:pt>
                <c:pt idx="111">
                  <c:v>3617.64567017328</c:v>
                </c:pt>
                <c:pt idx="112">
                  <c:v>3300.3826208402902</c:v>
                </c:pt>
                <c:pt idx="113">
                  <c:v>3010.8590713695598</c:v>
                </c:pt>
                <c:pt idx="114">
                  <c:v>2746.6637631632598</c:v>
                </c:pt>
                <c:pt idx="115">
                  <c:v>2505.5926672857299</c:v>
                </c:pt>
                <c:pt idx="116">
                  <c:v>2285.6315733302599</c:v>
                </c:pt>
                <c:pt idx="117">
                  <c:v>2084.94007362514</c:v>
                </c:pt>
                <c:pt idx="118">
                  <c:v>1901.83684256775</c:v>
                </c:pt>
                <c:pt idx="119">
                  <c:v>1734.7861159992899</c:v>
                </c:pt>
                <c:pt idx="120">
                  <c:v>1582.38528080171</c:v>
                </c:pt>
                <c:pt idx="121">
                  <c:v>1443.35349020794</c:v>
                </c:pt>
                <c:pt idx="122">
                  <c:v>1316.5212255793299</c:v>
                </c:pt>
                <c:pt idx="123">
                  <c:v>1200.8207305607</c:v>
                </c:pt>
                <c:pt idx="124">
                  <c:v>1095.27724852145</c:v>
                </c:pt>
                <c:pt idx="125">
                  <c:v>999.00099900099895</c:v>
                </c:pt>
                <c:pt idx="126">
                  <c:v>911.17983347117695</c:v>
                </c:pt>
                <c:pt idx="127">
                  <c:v>831.07251509345997</c:v>
                </c:pt>
                <c:pt idx="128">
                  <c:v>758.00257127679595</c:v>
                </c:pt>
                <c:pt idx="129">
                  <c:v>691.35267172880401</c:v>
                </c:pt>
                <c:pt idx="130">
                  <c:v>630.55948833989396</c:v>
                </c:pt>
                <c:pt idx="131">
                  <c:v>575.10899665216004</c:v>
                </c:pt>
                <c:pt idx="132">
                  <c:v>524.53218184759805</c:v>
                </c:pt>
                <c:pt idx="133">
                  <c:v>478.40111515272599</c:v>
                </c:pt>
                <c:pt idx="134">
                  <c:v>436.32536930845498</c:v>
                </c:pt>
                <c:pt idx="135">
                  <c:v>397.94874430487698</c:v>
                </c:pt>
                <c:pt idx="136">
                  <c:v>362.94627694188301</c:v>
                </c:pt>
                <c:pt idx="137">
                  <c:v>331.02150995876298</c:v>
                </c:pt>
                <c:pt idx="138">
                  <c:v>301.90399849023697</c:v>
                </c:pt>
                <c:pt idx="139">
                  <c:v>275.347033463522</c:v>
                </c:pt>
                <c:pt idx="140">
                  <c:v>251.12556326146199</c:v>
                </c:pt>
                <c:pt idx="141">
                  <c:v>229.03429655064301</c:v>
                </c:pt>
                <c:pt idx="142">
                  <c:v>208.88597062038301</c:v>
                </c:pt>
                <c:pt idx="143">
                  <c:v>190.509770907839</c:v>
                </c:pt>
                <c:pt idx="144">
                  <c:v>173.749888604896</c:v>
                </c:pt>
                <c:pt idx="145">
                  <c:v>158.46420436223701</c:v>
                </c:pt>
                <c:pt idx="146">
                  <c:v>144.52308713279899</c:v>
                </c:pt>
                <c:pt idx="147">
                  <c:v>131.808298137919</c:v>
                </c:pt>
                <c:pt idx="148">
                  <c:v>120.211990801626</c:v>
                </c:pt>
                <c:pt idx="149">
                  <c:v>109.635798288084</c:v>
                </c:pt>
                <c:pt idx="150">
                  <c:v>99.990000999900005</c:v>
                </c:pt>
                <c:pt idx="151">
                  <c:v>91.192767056388206</c:v>
                </c:pt>
                <c:pt idx="152">
                  <c:v>83.169459375949202</c:v>
                </c:pt>
                <c:pt idx="153">
                  <c:v>75.852003540028093</c:v>
                </c:pt>
                <c:pt idx="154">
                  <c:v>69.178311122078995</c:v>
                </c:pt>
                <c:pt idx="155">
                  <c:v>63.091753627486298</c:v>
                </c:pt>
                <c:pt idx="156">
                  <c:v>57.540682613035699</c:v>
                </c:pt>
                <c:pt idx="157">
                  <c:v>52.4779919408099</c:v>
                </c:pt>
                <c:pt idx="158">
                  <c:v>47.860718474253503</c:v>
                </c:pt>
                <c:pt idx="159">
                  <c:v>43.649677846471299</c:v>
                </c:pt>
                <c:pt idx="160">
                  <c:v>39.809132225250202</c:v>
                </c:pt>
                <c:pt idx="161">
                  <c:v>36.306487268132898</c:v>
                </c:pt>
                <c:pt idx="162">
                  <c:v>33.112015706369398</c:v>
                </c:pt>
                <c:pt idx="163">
                  <c:v>30.198605220722399</c:v>
                </c:pt>
                <c:pt idx="164">
                  <c:v>27.541528476699199</c:v>
                </c:pt>
                <c:pt idx="165">
                  <c:v>25.1182333735998</c:v>
                </c:pt>
                <c:pt idx="166">
                  <c:v>22.908151732239599</c:v>
                </c:pt>
                <c:pt idx="167">
                  <c:v>20.8925248018279</c:v>
                </c:pt>
                <c:pt idx="168">
                  <c:v>19.054244108495801</c:v>
                </c:pt>
                <c:pt idx="169">
                  <c:v>17.377706297569699</c:v>
                </c:pt>
                <c:pt idx="170">
                  <c:v>15.8486807399489</c:v>
                </c:pt>
                <c:pt idx="171">
                  <c:v>14.454188780866099</c:v>
                </c:pt>
                <c:pt idx="172">
                  <c:v>13.182393607771999</c:v>
                </c:pt>
                <c:pt idx="173">
                  <c:v>12.022499803934799</c:v>
                </c:pt>
                <c:pt idx="174">
                  <c:v>10.964661736306599</c:v>
                </c:pt>
                <c:pt idx="175">
                  <c:v>9.9999000009999808</c:v>
                </c:pt>
                <c:pt idx="176">
                  <c:v>9.1200252179405101</c:v>
                </c:pt>
                <c:pt idx="177">
                  <c:v>8.3175685285050793</c:v>
                </c:pt>
                <c:pt idx="178">
                  <c:v>7.5857182067345903</c:v>
                </c:pt>
                <c:pt idx="179">
                  <c:v>6.9182618465112302</c:v>
                </c:pt>
                <c:pt idx="180">
                  <c:v>6.30953363433607</c:v>
                </c:pt>
                <c:pt idx="181">
                  <c:v>5.7543662604499497</c:v>
                </c:pt>
                <c:pt idx="182">
                  <c:v>5.2480470603552298</c:v>
                </c:pt>
                <c:pt idx="183">
                  <c:v>4.7862780146594996</c:v>
                </c:pt>
                <c:pt idx="184">
                  <c:v>4.3651392678776597</c:v>
                </c:pt>
                <c:pt idx="185">
                  <c:v>3.98105585666615</c:v>
                </c:pt>
                <c:pt idx="186">
                  <c:v>3.6307673651814798</c:v>
                </c:pt>
                <c:pt idx="187">
                  <c:v>3.31130025008025</c:v>
                </c:pt>
                <c:pt idx="188">
                  <c:v>3.01994260032115</c:v>
                </c:pt>
                <c:pt idx="189">
                  <c:v>2.75422111758331</c:v>
                </c:pt>
                <c:pt idx="190">
                  <c:v>2.51188012195199</c:v>
                </c:pt>
                <c:pt idx="191">
                  <c:v>2.29086240470519</c:v>
                </c:pt>
                <c:pt idx="192">
                  <c:v>2.08929176570483</c:v>
                </c:pt>
                <c:pt idx="193">
                  <c:v>1.9054570871896099</c:v>
                </c:pt>
                <c:pt idx="194">
                  <c:v>1.7377978088029</c:v>
                </c:pt>
                <c:pt idx="195">
                  <c:v>1.58489068057866</c:v>
                </c:pt>
                <c:pt idx="196">
                  <c:v>1.44543768145281</c:v>
                </c:pt>
                <c:pt idx="197">
                  <c:v>1.3182550007578699</c:v>
                </c:pt>
                <c:pt idx="198">
                  <c:v>1.2022629891793799</c:v>
                </c:pt>
                <c:pt idx="199">
                  <c:v>1.09647699388007</c:v>
                </c:pt>
                <c:pt idx="200">
                  <c:v>0.99999900000099995</c:v>
                </c:pt>
                <c:pt idx="201">
                  <c:v>0.91201000759289597</c:v>
                </c:pt>
                <c:pt idx="202">
                  <c:v>0.831763079272268</c:v>
                </c:pt>
                <c:pt idx="203">
                  <c:v>0.75857699958968605</c:v>
                </c:pt>
                <c:pt idx="204">
                  <c:v>0.69183049228917903</c:v>
                </c:pt>
                <c:pt idx="205">
                  <c:v>0.63095694637327104</c:v>
                </c:pt>
                <c:pt idx="206">
                  <c:v>0.57543960620622303</c:v>
                </c:pt>
                <c:pt idx="207">
                  <c:v>0.52480718482704303</c:v>
                </c:pt>
                <c:pt idx="208">
                  <c:v>0.478629863235981</c:v>
                </c:pt>
                <c:pt idx="209">
                  <c:v>0.436515641694176</c:v>
                </c:pt>
                <c:pt idx="210">
                  <c:v>0.39810701206423799</c:v>
                </c:pt>
                <c:pt idx="211">
                  <c:v>0.36307792294447599</c:v>
                </c:pt>
                <c:pt idx="212">
                  <c:v>0.33113101183480598</c:v>
                </c:pt>
                <c:pt idx="213">
                  <c:v>0.301995080839146</c:v>
                </c:pt>
                <c:pt idx="214">
                  <c:v>0.27542279447608198</c:v>
                </c:pt>
                <c:pt idx="215">
                  <c:v>0.25118858005523897</c:v>
                </c:pt>
                <c:pt idx="216">
                  <c:v>0.22908671279604101</c:v>
                </c:pt>
                <c:pt idx="217">
                  <c:v>0.20892956943382801</c:v>
                </c:pt>
                <c:pt idx="218">
                  <c:v>0.190546035488525</c:v>
                </c:pt>
                <c:pt idx="219">
                  <c:v>0.17378005267542601</c:v>
                </c:pt>
                <c:pt idx="220">
                  <c:v>0.15848929412724999</c:v>
                </c:pt>
                <c:pt idx="221">
                  <c:v>0.14454395618163501</c:v>
                </c:pt>
                <c:pt idx="222">
                  <c:v>0.131825656477634</c:v>
                </c:pt>
                <c:pt idx="223">
                  <c:v>0.120226429007345</c:v>
                </c:pt>
                <c:pt idx="224">
                  <c:v>0.109647807591675</c:v>
                </c:pt>
                <c:pt idx="225">
                  <c:v>9.9999990000000996E-2</c:v>
                </c:pt>
                <c:pt idx="226">
                  <c:v>9.12010756179535E-2</c:v>
                </c:pt>
                <c:pt idx="227">
                  <c:v>8.3176370191957297E-2</c:v>
                </c:pt>
                <c:pt idx="228">
                  <c:v>7.5857751748519206E-2</c:v>
                </c:pt>
                <c:pt idx="229">
                  <c:v>6.9183092305592803E-2</c:v>
                </c:pt>
                <c:pt idx="230">
                  <c:v>6.30957304669479E-2</c:v>
                </c:pt>
                <c:pt idx="231">
                  <c:v>5.7543990422404503E-2</c:v>
                </c:pt>
                <c:pt idx="232">
                  <c:v>5.2480743270748698E-2</c:v>
                </c:pt>
                <c:pt idx="233">
                  <c:v>4.7863006941396301E-2</c:v>
                </c:pt>
                <c:pt idx="234">
                  <c:v>4.3651581318556003E-2</c:v>
                </c:pt>
                <c:pt idx="235">
                  <c:v>3.9810715470456302E-2</c:v>
                </c:pt>
                <c:pt idx="236">
                  <c:v>3.6307804158753398E-2</c:v>
                </c:pt>
                <c:pt idx="237">
                  <c:v>3.31131110517809E-2</c:v>
                </c:pt>
                <c:pt idx="238">
                  <c:v>3.0199516292009201E-2</c:v>
                </c:pt>
                <c:pt idx="239">
                  <c:v>2.7542286274804099E-2</c:v>
                </c:pt>
                <c:pt idx="240">
                  <c:v>2.5118863684138501E-2</c:v>
                </c:pt>
                <c:pt idx="241">
                  <c:v>2.29086760028702E-2</c:v>
                </c:pt>
                <c:pt idx="242">
                  <c:v>2.08929608720245E-2</c:v>
                </c:pt>
                <c:pt idx="243">
                  <c:v>1.9054606816554399E-2</c:v>
                </c:pt>
                <c:pt idx="244">
                  <c:v>1.73780079854986E-2</c:v>
                </c:pt>
                <c:pt idx="245">
                  <c:v>1.5848931673422498E-2</c:v>
                </c:pt>
                <c:pt idx="246">
                  <c:v>1.4454397498529699E-2</c:v>
                </c:pt>
                <c:pt idx="247">
                  <c:v>1.31825672117839E-2</c:v>
                </c:pt>
                <c:pt idx="248">
                  <c:v>1.2022644201630101E-2</c:v>
                </c:pt>
                <c:pt idx="249">
                  <c:v>1.09647818412054E-2</c:v>
                </c:pt>
                <c:pt idx="250">
                  <c:v>9.9999999000000006E-3</c:v>
                </c:pt>
                <c:pt idx="251">
                  <c:v>9.1201083103827092E-3</c:v>
                </c:pt>
                <c:pt idx="252">
                  <c:v>8.3176376418435394E-3</c:v>
                </c:pt>
                <c:pt idx="253">
                  <c:v>7.5857756927478802E-3</c:v>
                </c:pt>
                <c:pt idx="254">
                  <c:v>6.9183096613262699E-3</c:v>
                </c:pt>
                <c:pt idx="255">
                  <c:v>6.3095734049911896E-3</c:v>
                </c:pt>
                <c:pt idx="256">
                  <c:v>5.7543993402584303E-3</c:v>
                </c:pt>
                <c:pt idx="257">
                  <c:v>5.2480745749554801E-3</c:v>
                </c:pt>
                <c:pt idx="258">
                  <c:v>4.7863009003176896E-3</c:v>
                </c:pt>
                <c:pt idx="259">
                  <c:v>4.3651583033468703E-3</c:v>
                </c:pt>
                <c:pt idx="260">
                  <c:v>3.9810716896860601E-3</c:v>
                </c:pt>
                <c:pt idx="261">
                  <c:v>3.63078053451845E-3</c:v>
                </c:pt>
                <c:pt idx="262">
                  <c:v>3.3113112038611098E-3</c:v>
                </c:pt>
                <c:pt idx="263">
                  <c:v>3.01995171128175E-3</c:v>
                </c:pt>
                <c:pt idx="264">
                  <c:v>2.7542286957523499E-3</c:v>
                </c:pt>
                <c:pt idx="265">
                  <c:v>2.5118864252000098E-3</c:v>
                </c:pt>
                <c:pt idx="266">
                  <c:v>2.2908676475196801E-3</c:v>
                </c:pt>
                <c:pt idx="267">
                  <c:v>2.08929612648879E-3</c:v>
                </c:pt>
                <c:pt idx="268">
                  <c:v>1.90546071433246E-3</c:v>
                </c:pt>
                <c:pt idx="269">
                  <c:v>1.73780082572942E-3</c:v>
                </c:pt>
                <c:pt idx="270">
                  <c:v>1.58489318994921E-3</c:v>
                </c:pt>
                <c:pt idx="271">
                  <c:v>1.44543976865657E-3</c:v>
                </c:pt>
                <c:pt idx="272">
                  <c:v>1.3182567368185999E-3</c:v>
                </c:pt>
                <c:pt idx="273">
                  <c:v>1.20226443317198E-3</c:v>
                </c:pt>
                <c:pt idx="274">
                  <c:v>1.0964781949409201E-3</c:v>
                </c:pt>
                <c:pt idx="275">
                  <c:v>9.9999999899994907E-4</c:v>
                </c:pt>
                <c:pt idx="276">
                  <c:v>9.1201083852415201E-4</c:v>
                </c:pt>
                <c:pt idx="277">
                  <c:v>8.3176377041084299E-4</c:v>
                </c:pt>
                <c:pt idx="278">
                  <c:v>7.5857757445374095E-4</c:v>
                </c:pt>
                <c:pt idx="279">
                  <c:v>6.9183097044027398E-4</c:v>
                </c:pt>
                <c:pt idx="280">
                  <c:v>6.3095734408208696E-4</c:v>
                </c:pt>
                <c:pt idx="281">
                  <c:v>5.7543993700602395E-4</c:v>
                </c:pt>
                <c:pt idx="282">
                  <c:v>5.2480745997432303E-4</c:v>
                </c:pt>
                <c:pt idx="283">
                  <c:v>4.78630092093529E-4</c:v>
                </c:pt>
                <c:pt idx="284">
                  <c:v>4.3651583204959898E-4</c:v>
                </c:pt>
                <c:pt idx="285">
                  <c:v>3.9810717039500797E-4</c:v>
                </c:pt>
                <c:pt idx="286">
                  <c:v>3.6307805463825699E-4</c:v>
                </c:pt>
                <c:pt idx="287">
                  <c:v>3.3113112137292698E-4</c:v>
                </c:pt>
                <c:pt idx="288">
                  <c:v>3.01995171948987E-4</c:v>
                </c:pt>
                <c:pt idx="289">
                  <c:v>2.75422870257957E-4</c:v>
                </c:pt>
                <c:pt idx="290">
                  <c:v>2.5118864308785099E-4</c:v>
                </c:pt>
                <c:pt idx="291">
                  <c:v>2.2908676522428499E-4</c:v>
                </c:pt>
                <c:pt idx="292">
                  <c:v>2.08929613041742E-4</c:v>
                </c:pt>
                <c:pt idx="293">
                  <c:v>1.9054607176001599E-4</c:v>
                </c:pt>
                <c:pt idx="294">
                  <c:v>1.7378008284473E-4</c:v>
                </c:pt>
                <c:pt idx="295">
                  <c:v>1.5848931922098501E-4</c:v>
                </c:pt>
                <c:pt idx="296">
                  <c:v>1.4454397705369301E-4</c:v>
                </c:pt>
                <c:pt idx="297">
                  <c:v>1.3182567383826201E-4</c:v>
                </c:pt>
                <c:pt idx="298">
                  <c:v>1.20226443447281E-4</c:v>
                </c:pt>
                <c:pt idx="299">
                  <c:v>1.0964781960229E-4</c:v>
                </c:pt>
                <c:pt idx="300">
                  <c:v>9.9999999989996004E-5</c:v>
                </c:pt>
                <c:pt idx="301">
                  <c:v>9.1201083927268004E-5</c:v>
                </c:pt>
                <c:pt idx="302">
                  <c:v>8.3176377103345002E-5</c:v>
                </c:pt>
                <c:pt idx="303">
                  <c:v>7.5857757497160404E-5</c:v>
                </c:pt>
                <c:pt idx="304">
                  <c:v>6.9183097087104203E-5</c:v>
                </c:pt>
                <c:pt idx="305">
                  <c:v>6.3095734444034999E-5</c:v>
                </c:pt>
                <c:pt idx="306">
                  <c:v>5.7543993730401502E-5</c:v>
                </c:pt>
                <c:pt idx="307">
                  <c:v>5.2480746022220398E-5</c:v>
                </c:pt>
                <c:pt idx="308">
                  <c:v>4.7863009229970797E-5</c:v>
                </c:pt>
                <c:pt idx="309">
                  <c:v>4.3651583222108702E-5</c:v>
                </c:pt>
                <c:pt idx="310">
                  <c:v>3.9810717053762999E-5</c:v>
                </c:pt>
                <c:pt idx="311">
                  <c:v>3.6307805475690598E-5</c:v>
                </c:pt>
                <c:pt idx="312">
                  <c:v>3.3113112147162501E-5</c:v>
                </c:pt>
                <c:pt idx="313">
                  <c:v>3.01995172031083E-5</c:v>
                </c:pt>
                <c:pt idx="314">
                  <c:v>2.7542287032622701E-5</c:v>
                </c:pt>
                <c:pt idx="315">
                  <c:v>2.5118864314464799E-5</c:v>
                </c:pt>
                <c:pt idx="316">
                  <c:v>2.29086765271527E-5</c:v>
                </c:pt>
                <c:pt idx="317">
                  <c:v>2.0892961308103699E-5</c:v>
                </c:pt>
                <c:pt idx="318">
                  <c:v>1.90546071792693E-5</c:v>
                </c:pt>
                <c:pt idx="319">
                  <c:v>1.73780082871918E-5</c:v>
                </c:pt>
                <c:pt idx="320">
                  <c:v>1.5848931924359799E-5</c:v>
                </c:pt>
                <c:pt idx="321">
                  <c:v>1.44543977072504E-5</c:v>
                </c:pt>
                <c:pt idx="322">
                  <c:v>1.31825673853903E-5</c:v>
                </c:pt>
                <c:pt idx="323">
                  <c:v>1.2022644346029599E-5</c:v>
                </c:pt>
                <c:pt idx="324">
                  <c:v>1.09647819613116E-5</c:v>
                </c:pt>
                <c:pt idx="325">
                  <c:v>9.9999999998999899E-6</c:v>
                </c:pt>
                <c:pt idx="326">
                  <c:v>9.1201083934758703E-6</c:v>
                </c:pt>
                <c:pt idx="327">
                  <c:v>8.3176377109574594E-6</c:v>
                </c:pt>
                <c:pt idx="328">
                  <c:v>7.5857757502342696E-6</c:v>
                </c:pt>
                <c:pt idx="329">
                  <c:v>6.9183097091414696E-6</c:v>
                </c:pt>
                <c:pt idx="330">
                  <c:v>6.3095734447621301E-6</c:v>
                </c:pt>
                <c:pt idx="331">
                  <c:v>5.7543993733384401E-6</c:v>
                </c:pt>
                <c:pt idx="332">
                  <c:v>5.2480746024701801E-6</c:v>
                </c:pt>
                <c:pt idx="333">
                  <c:v>4.7863009232034796E-6</c:v>
                </c:pt>
                <c:pt idx="334">
                  <c:v>4.3651583223826102E-6</c:v>
                </c:pt>
                <c:pt idx="335">
                  <c:v>3.9810717055192999E-6</c:v>
                </c:pt>
                <c:pt idx="336">
                  <c:v>3.6307805476879901E-6</c:v>
                </c:pt>
                <c:pt idx="337">
                  <c:v>3.3113112148151E-6</c:v>
                </c:pt>
                <c:pt idx="338">
                  <c:v>3.01995172039302E-6</c:v>
                </c:pt>
                <c:pt idx="339">
                  <c:v>2.7542287033307099E-6</c:v>
                </c:pt>
                <c:pt idx="340">
                  <c:v>2.5118864315033799E-6</c:v>
                </c:pt>
                <c:pt idx="341">
                  <c:v>2.2908676527626201E-6</c:v>
                </c:pt>
                <c:pt idx="342">
                  <c:v>2.0892961308497699E-6</c:v>
                </c:pt>
                <c:pt idx="343">
                  <c:v>1.9054607179597101E-6</c:v>
                </c:pt>
                <c:pt idx="344">
                  <c:v>1.7378008287464299E-6</c:v>
                </c:pt>
                <c:pt idx="345">
                  <c:v>1.58489319245867E-6</c:v>
                </c:pt>
                <c:pt idx="346">
                  <c:v>1.4454397707438999E-6</c:v>
                </c:pt>
                <c:pt idx="347">
                  <c:v>1.3182567385547301E-6</c:v>
                </c:pt>
                <c:pt idx="348">
                  <c:v>1.20226443461602E-6</c:v>
                </c:pt>
                <c:pt idx="349">
                  <c:v>1.09647819614203E-6</c:v>
                </c:pt>
                <c:pt idx="350">
                  <c:v>9.9999999999904408E-7</c:v>
                </c:pt>
              </c:numCache>
            </c:numRef>
          </c:xVal>
          <c:yVal>
            <c:numRef>
              <c:f>'Opamp Response'!$N$3:$N$353</c:f>
              <c:numCache>
                <c:formatCode>General</c:formatCode>
                <c:ptCount val="351"/>
                <c:pt idx="0">
                  <c:v>-99009.900990099006</c:v>
                </c:pt>
                <c:pt idx="1">
                  <c:v>-103577.15389643</c:v>
                </c:pt>
                <c:pt idx="2">
                  <c:v>-108345.223525268</c:v>
                </c:pt>
                <c:pt idx="3">
                  <c:v>-113321.49391985701</c:v>
                </c:pt>
                <c:pt idx="4">
                  <c:v>-118513.40359255001</c:v>
                </c:pt>
                <c:pt idx="5">
                  <c:v>-123928.40827317</c:v>
                </c:pt>
                <c:pt idx="6">
                  <c:v>-129573.936906241</c:v>
                </c:pt>
                <c:pt idx="7">
                  <c:v>-135457.340055924</c:v>
                </c:pt>
                <c:pt idx="8">
                  <c:v>-141585.82981052401</c:v>
                </c:pt>
                <c:pt idx="9">
                  <c:v>-147966.410215043</c:v>
                </c:pt>
                <c:pt idx="10">
                  <c:v>-154605.79720382101</c:v>
                </c:pt>
                <c:pt idx="11">
                  <c:v>-161510.326959775</c:v>
                </c:pt>
                <c:pt idx="12">
                  <c:v>-168685.85159754299</c:v>
                </c:pt>
                <c:pt idx="13">
                  <c:v>-176137.62106126899</c:v>
                </c:pt>
                <c:pt idx="14">
                  <c:v>-183870.15015159099</c:v>
                </c:pt>
                <c:pt idx="15">
                  <c:v>-191887.06966007099</c:v>
                </c:pt>
                <c:pt idx="16">
                  <c:v>-200190.960703558</c:v>
                </c:pt>
                <c:pt idx="17">
                  <c:v>-208783.17152854399</c:v>
                </c:pt>
                <c:pt idx="18">
                  <c:v>-217663.616310318</c:v>
                </c:pt>
                <c:pt idx="19">
                  <c:v>-226830.55581927</c:v>
                </c:pt>
                <c:pt idx="20">
                  <c:v>-236280.36028324501</c:v>
                </c:pt>
                <c:pt idx="21">
                  <c:v>-246007.25535687301</c:v>
                </c:pt>
                <c:pt idx="22">
                  <c:v>-256003.05283207499</c:v>
                </c:pt>
                <c:pt idx="23">
                  <c:v>-266256.86860165</c:v>
                </c:pt>
                <c:pt idx="24">
                  <c:v>-276754.83142942702</c:v>
                </c:pt>
                <c:pt idx="25">
                  <c:v>-287479.78728803498</c:v>
                </c:pt>
                <c:pt idx="26">
                  <c:v>-298411.005392397</c:v>
                </c:pt>
                <c:pt idx="27">
                  <c:v>-309523.893563019</c:v>
                </c:pt>
                <c:pt idx="28">
                  <c:v>-320789.73216189002</c:v>
                </c:pt>
                <c:pt idx="29">
                  <c:v>-332175.43749809399</c:v>
                </c:pt>
                <c:pt idx="30">
                  <c:v>-343643.36721944698</c:v>
                </c:pt>
                <c:pt idx="31">
                  <c:v>-355151.18168413499</c:v>
                </c:pt>
                <c:pt idx="32">
                  <c:v>-366651.77650919597</c:v>
                </c:pt>
                <c:pt idx="33">
                  <c:v>-378093.302262905</c:v>
                </c:pt>
                <c:pt idx="34">
                  <c:v>-389419.28742911603</c:v>
                </c:pt>
                <c:pt idx="35">
                  <c:v>-400568.88013712899</c:v>
                </c:pt>
                <c:pt idx="36">
                  <c:v>-411477.22254064202</c:v>
                </c:pt>
                <c:pt idx="37">
                  <c:v>-422075.96898881299</c:v>
                </c:pt>
                <c:pt idx="38">
                  <c:v>-432293.95515615499</c:v>
                </c:pt>
                <c:pt idx="39">
                  <c:v>-442058.02005666302</c:v>
                </c:pt>
                <c:pt idx="40">
                  <c:v>-451293.97643415601</c:v>
                </c:pt>
                <c:pt idx="41">
                  <c:v>-459927.71759242099</c:v>
                </c:pt>
                <c:pt idx="42">
                  <c:v>-467886.44063925801</c:v>
                </c:pt>
                <c:pt idx="43">
                  <c:v>-475099.95783751202</c:v>
                </c:pt>
                <c:pt idx="44">
                  <c:v>-481502.05986992398</c:v>
                </c:pt>
                <c:pt idx="45">
                  <c:v>-487031.88799670601</c:v>
                </c:pt>
                <c:pt idx="46">
                  <c:v>-491635.26699767698</c:v>
                </c:pt>
                <c:pt idx="47">
                  <c:v>-495265.94807262201</c:v>
                </c:pt>
                <c:pt idx="48">
                  <c:v>-497886.71101782098</c:v>
                </c:pt>
                <c:pt idx="49">
                  <c:v>-499470.27828730299</c:v>
                </c:pt>
                <c:pt idx="50">
                  <c:v>-500000</c:v>
                </c:pt>
                <c:pt idx="51">
                  <c:v>-499470.27828730299</c:v>
                </c:pt>
                <c:pt idx="52">
                  <c:v>-497886.71101782098</c:v>
                </c:pt>
                <c:pt idx="53">
                  <c:v>-495265.94807262201</c:v>
                </c:pt>
                <c:pt idx="54">
                  <c:v>-491635.26699767797</c:v>
                </c:pt>
                <c:pt idx="55">
                  <c:v>-487031.88799670502</c:v>
                </c:pt>
                <c:pt idx="56">
                  <c:v>-481502.05986992299</c:v>
                </c:pt>
                <c:pt idx="57">
                  <c:v>-475099.95783751202</c:v>
                </c:pt>
                <c:pt idx="58">
                  <c:v>-467886.44063925801</c:v>
                </c:pt>
                <c:pt idx="59">
                  <c:v>-459927.71759242</c:v>
                </c:pt>
                <c:pt idx="60">
                  <c:v>-451293.97643415601</c:v>
                </c:pt>
                <c:pt idx="61">
                  <c:v>-442058.02005666198</c:v>
                </c:pt>
                <c:pt idx="62">
                  <c:v>-432293.955156154</c:v>
                </c:pt>
                <c:pt idx="63">
                  <c:v>-422075.96898881398</c:v>
                </c:pt>
                <c:pt idx="64">
                  <c:v>-411477.22254064301</c:v>
                </c:pt>
                <c:pt idx="65">
                  <c:v>-400568.880137128</c:v>
                </c:pt>
                <c:pt idx="66">
                  <c:v>-389419.28742911399</c:v>
                </c:pt>
                <c:pt idx="67">
                  <c:v>-378093.30226290302</c:v>
                </c:pt>
                <c:pt idx="68">
                  <c:v>-366651.77650919399</c:v>
                </c:pt>
                <c:pt idx="69">
                  <c:v>-355151.18168413499</c:v>
                </c:pt>
                <c:pt idx="70">
                  <c:v>-343643.367219445</c:v>
                </c:pt>
                <c:pt idx="71">
                  <c:v>-332175.43749809399</c:v>
                </c:pt>
                <c:pt idx="72">
                  <c:v>-320789.73216189002</c:v>
                </c:pt>
                <c:pt idx="73">
                  <c:v>-309523.89356301998</c:v>
                </c:pt>
                <c:pt idx="74">
                  <c:v>-298411.00539239799</c:v>
                </c:pt>
                <c:pt idx="75">
                  <c:v>-287479.78728803399</c:v>
                </c:pt>
                <c:pt idx="76">
                  <c:v>-276754.83142942598</c:v>
                </c:pt>
                <c:pt idx="77">
                  <c:v>-266256.86860165099</c:v>
                </c:pt>
                <c:pt idx="78">
                  <c:v>-256003.052832074</c:v>
                </c:pt>
                <c:pt idx="79">
                  <c:v>-246007.25535687301</c:v>
                </c:pt>
                <c:pt idx="80">
                  <c:v>-236280.36028324399</c:v>
                </c:pt>
                <c:pt idx="81">
                  <c:v>-226830.55581927</c:v>
                </c:pt>
                <c:pt idx="82">
                  <c:v>-217663.61631031701</c:v>
                </c:pt>
                <c:pt idx="83">
                  <c:v>-208783.171528543</c:v>
                </c:pt>
                <c:pt idx="84">
                  <c:v>-200190.96070355701</c:v>
                </c:pt>
                <c:pt idx="85">
                  <c:v>-191887.06966007099</c:v>
                </c:pt>
                <c:pt idx="86">
                  <c:v>-183870.15015159201</c:v>
                </c:pt>
                <c:pt idx="87">
                  <c:v>-176137.62106126899</c:v>
                </c:pt>
                <c:pt idx="88">
                  <c:v>-168685.851597542</c:v>
                </c:pt>
                <c:pt idx="89">
                  <c:v>-161510.326959775</c:v>
                </c:pt>
                <c:pt idx="90">
                  <c:v>-154605.79720382101</c:v>
                </c:pt>
                <c:pt idx="91">
                  <c:v>-147966.410215043</c:v>
                </c:pt>
                <c:pt idx="92">
                  <c:v>-141585.82981052401</c:v>
                </c:pt>
                <c:pt idx="93">
                  <c:v>-135457.34005592499</c:v>
                </c:pt>
                <c:pt idx="94">
                  <c:v>-129573.936906241</c:v>
                </c:pt>
                <c:pt idx="95">
                  <c:v>-123928.40827317</c:v>
                </c:pt>
                <c:pt idx="96">
                  <c:v>-118513.40359255001</c:v>
                </c:pt>
                <c:pt idx="97">
                  <c:v>-113321.49391985701</c:v>
                </c:pt>
                <c:pt idx="98">
                  <c:v>-108345.223525268</c:v>
                </c:pt>
                <c:pt idx="99">
                  <c:v>-103577.15389643</c:v>
                </c:pt>
                <c:pt idx="100">
                  <c:v>-99009.900990099006</c:v>
                </c:pt>
                <c:pt idx="101">
                  <c:v>-94636.166505661007</c:v>
                </c:pt>
                <c:pt idx="102">
                  <c:v>-90448.763886175206</c:v>
                </c:pt>
                <c:pt idx="103">
                  <c:v>-86440.639687229195</c:v>
                </c:pt>
                <c:pt idx="104">
                  <c:v>-82604.890891585499</c:v>
                </c:pt>
                <c:pt idx="105">
                  <c:v>-78934.778688940904</c:v>
                </c:pt>
                <c:pt idx="106">
                  <c:v>-75423.739185412298</c:v>
                </c:pt>
                <c:pt idx="107">
                  <c:v>-72065.391456874902</c:v>
                </c:pt>
                <c:pt idx="108">
                  <c:v>-68853.543313962495</c:v>
                </c:pt>
                <c:pt idx="109">
                  <c:v>-65782.195104333994</c:v>
                </c:pt>
                <c:pt idx="110">
                  <c:v>-62845.541839582897</c:v>
                </c:pt>
                <c:pt idx="111">
                  <c:v>-60037.973899677498</c:v>
                </c:pt>
                <c:pt idx="112">
                  <c:v>-57354.076536863002</c:v>
                </c:pt>
                <c:pt idx="113">
                  <c:v>-54788.628373248299</c:v>
                </c:pt>
                <c:pt idx="114">
                  <c:v>-52336.599061606903</c:v>
                </c:pt>
                <c:pt idx="115">
                  <c:v>-49993.146256975902</c:v>
                </c:pt>
                <c:pt idx="116">
                  <c:v>-47753.612027167699</c:v>
                </c:pt>
                <c:pt idx="117">
                  <c:v>-45613.518813116498</c:v>
                </c:pt>
                <c:pt idx="118">
                  <c:v>-43568.565034804597</c:v>
                </c:pt>
                <c:pt idx="119">
                  <c:v>-41614.6204251706</c:v>
                </c:pt>
                <c:pt idx="120">
                  <c:v>-39747.721162663001</c:v>
                </c:pt>
                <c:pt idx="121">
                  <c:v>-37964.0648628442</c:v>
                </c:pt>
                <c:pt idx="122">
                  <c:v>-36260.005480445398</c:v>
                </c:pt>
                <c:pt idx="123">
                  <c:v>-34632.048165445798</c:v>
                </c:pt>
                <c:pt idx="124">
                  <c:v>-33076.844109895297</c:v>
                </c:pt>
                <c:pt idx="125">
                  <c:v>-31591.185416267501</c:v>
                </c:pt>
                <c:pt idx="126">
                  <c:v>-30172.000012963199</c:v>
                </c:pt>
                <c:pt idx="127">
                  <c:v>-28816.346638117</c:v>
                </c:pt>
                <c:pt idx="128">
                  <c:v>-27521.4099089915</c:v>
                </c:pt>
                <c:pt idx="129">
                  <c:v>-26284.495490918202</c:v>
                </c:pt>
                <c:pt idx="130">
                  <c:v>-25103.0253768656</c:v>
                </c:pt>
                <c:pt idx="131">
                  <c:v>-23974.5332862629</c:v>
                </c:pt>
                <c:pt idx="132">
                  <c:v>-22896.660189595401</c:v>
                </c:pt>
                <c:pt idx="133">
                  <c:v>-21867.149963489701</c:v>
                </c:pt>
                <c:pt idx="134">
                  <c:v>-20883.845179481501</c:v>
                </c:pt>
                <c:pt idx="135">
                  <c:v>-19944.6830283608</c:v>
                </c:pt>
                <c:pt idx="136">
                  <c:v>-19047.691380897999</c:v>
                </c:pt>
                <c:pt idx="137">
                  <c:v>-18190.984984840899</c:v>
                </c:pt>
                <c:pt idx="138">
                  <c:v>-17372.761797305899</c:v>
                </c:pt>
                <c:pt idx="139">
                  <c:v>-16591.299451058199</c:v>
                </c:pt>
                <c:pt idx="140">
                  <c:v>-15844.9518526545</c:v>
                </c:pt>
                <c:pt idx="141">
                  <c:v>-15132.145910003899</c:v>
                </c:pt>
                <c:pt idx="142">
                  <c:v>-14451.3783865644</c:v>
                </c:pt>
                <c:pt idx="143">
                  <c:v>-13801.2128791287</c:v>
                </c:pt>
                <c:pt idx="144">
                  <c:v>-13180.2769159493</c:v>
                </c:pt>
                <c:pt idx="145">
                  <c:v>-12587.2591718043</c:v>
                </c:pt>
                <c:pt idx="146">
                  <c:v>-12020.9067964977</c:v>
                </c:pt>
                <c:pt idx="147">
                  <c:v>-11480.0228532203</c:v>
                </c:pt>
                <c:pt idx="148">
                  <c:v>-10963.463863163601</c:v>
                </c:pt>
                <c:pt idx="149">
                  <c:v>-10470.137452766199</c:v>
                </c:pt>
                <c:pt idx="150">
                  <c:v>-9999.0000999900003</c:v>
                </c:pt>
                <c:pt idx="151">
                  <c:v>-9549.0549760499798</c:v>
                </c:pt>
                <c:pt idx="152">
                  <c:v>-9119.3498790745107</c:v>
                </c:pt>
                <c:pt idx="153">
                  <c:v>-8708.9752562277408</c:v>
                </c:pt>
                <c:pt idx="154">
                  <c:v>-8317.0623108973596</c:v>
                </c:pt>
                <c:pt idx="155">
                  <c:v>-7942.7811916299497</c:v>
                </c:pt>
                <c:pt idx="156">
                  <c:v>-7585.3392595770001</c:v>
                </c:pt>
                <c:pt idx="157">
                  <c:v>-7243.9794313051298</c:v>
                </c:pt>
                <c:pt idx="158">
                  <c:v>-6917.9785939160402</c:v>
                </c:pt>
                <c:pt idx="159">
                  <c:v>-6606.64608951434</c:v>
                </c:pt>
                <c:pt idx="160">
                  <c:v>-6309.3222661583604</c:v>
                </c:pt>
                <c:pt idx="161">
                  <c:v>-6025.3770925241797</c:v>
                </c:pt>
                <c:pt idx="162">
                  <c:v>-5754.2088336091201</c:v>
                </c:pt>
                <c:pt idx="163">
                  <c:v>-5495.2427848972302</c:v>
                </c:pt>
                <c:pt idx="164">
                  <c:v>-5247.9300625016303</c:v>
                </c:pt>
                <c:pt idx="165">
                  <c:v>-5011.7464468937396</c:v>
                </c:pt>
                <c:pt idx="166">
                  <c:v>-4786.1912779185704</c:v>
                </c:pt>
                <c:pt idx="167">
                  <c:v>-4570.7863988853496</c:v>
                </c:pt>
                <c:pt idx="168">
                  <c:v>-4365.0751476094001</c:v>
                </c:pt>
                <c:pt idx="169">
                  <c:v>-4168.6213923662499</c:v>
                </c:pt>
                <c:pt idx="170">
                  <c:v>-3981.0086108004898</c:v>
                </c:pt>
                <c:pt idx="171">
                  <c:v>-3801.83900991255</c:v>
                </c:pt>
                <c:pt idx="172">
                  <c:v>-3630.73268532273</c:v>
                </c:pt>
                <c:pt idx="173">
                  <c:v>-3467.32681808815</c:v>
                </c:pt>
                <c:pt idx="174">
                  <c:v>-3311.2749074185299</c:v>
                </c:pt>
                <c:pt idx="175">
                  <c:v>-3162.2460377080001</c:v>
                </c:pt>
                <c:pt idx="176">
                  <c:v>-3019.92417836616</c:v>
                </c:pt>
                <c:pt idx="177">
                  <c:v>-2884.0075149969498</c:v>
                </c:pt>
                <c:pt idx="178">
                  <c:v>-2754.2078105353398</c:v>
                </c:pt>
                <c:pt idx="179">
                  <c:v>-2630.2497950126799</c:v>
                </c:pt>
                <c:pt idx="180">
                  <c:v>-2511.87058267766</c:v>
                </c:pt>
                <c:pt idx="181">
                  <c:v>-2398.8191152562699</c:v>
                </c:pt>
                <c:pt idx="182">
                  <c:v>-2290.8556301865201</c:v>
                </c:pt>
                <c:pt idx="183">
                  <c:v>-2187.7511527141901</c:v>
                </c:pt>
                <c:pt idx="184">
                  <c:v>-2089.2870107854601</c:v>
                </c:pt>
                <c:pt idx="185">
                  <c:v>-1995.25437171816</c:v>
                </c:pt>
                <c:pt idx="186">
                  <c:v>-1905.4537996786601</c:v>
                </c:pt>
                <c:pt idx="187">
                  <c:v>-1819.6948330340699</c:v>
                </c:pt>
                <c:pt idx="188">
                  <c:v>-1737.79558069062</c:v>
                </c:pt>
                <c:pt idx="189">
                  <c:v>-1659.58233656825</c:v>
                </c:pt>
                <c:pt idx="190">
                  <c:v>-1584.88921139941</c:v>
                </c:pt>
                <c:pt idx="191">
                  <c:v>-1513.5577810756499</c:v>
                </c:pt>
                <c:pt idx="192">
                  <c:v>-1445.43675080052</c:v>
                </c:pt>
                <c:pt idx="193">
                  <c:v>-1380.3816343399001</c:v>
                </c:pt>
                <c:pt idx="194">
                  <c:v>-1318.2544476927401</c:v>
                </c:pt>
                <c:pt idx="195">
                  <c:v>-1258.9234165350099</c:v>
                </c:pt>
                <c:pt idx="196">
                  <c:v>-1202.26269681909</c:v>
                </c:pt>
                <c:pt idx="197">
                  <c:v>-1148.15210793763</c:v>
                </c:pt>
                <c:pt idx="198">
                  <c:v>-1096.47687788803</c:v>
                </c:pt>
                <c:pt idx="199">
                  <c:v>-1047.12739989854</c:v>
                </c:pt>
                <c:pt idx="200">
                  <c:v>-999.99900000100001</c:v>
                </c:pt>
                <c:pt idx="201">
                  <c:v>-954.99171505864001</c:v>
                </c:pt>
                <c:pt idx="202">
                  <c:v>-912.01008077896199</c:v>
                </c:pt>
                <c:pt idx="203">
                  <c:v>-870.96292926313595</c:v>
                </c:pt>
                <c:pt idx="204">
                  <c:v>-831.76319566313396</c:v>
                </c:pt>
                <c:pt idx="205">
                  <c:v>-794.32773353736195</c:v>
                </c:pt>
                <c:pt idx="206">
                  <c:v>-758.57713851360097</c:v>
                </c:pt>
                <c:pt idx="207">
                  <c:v>-724.43557988579096</c:v>
                </c:pt>
                <c:pt idx="208">
                  <c:v>-691.83063978797202</c:v>
                </c:pt>
                <c:pt idx="209">
                  <c:v>-660.69315960457095</c:v>
                </c:pt>
                <c:pt idx="210">
                  <c:v>-630.95709329164799</c:v>
                </c:pt>
                <c:pt idx="211">
                  <c:v>-602.55936729827499</c:v>
                </c:pt>
                <c:pt idx="212">
                  <c:v>-575.43974679114694</c:v>
                </c:pt>
                <c:pt idx="213">
                  <c:v>-549.54070789898503</c:v>
                </c:pt>
                <c:pt idx="214">
                  <c:v>-524.80731570583703</c:v>
                </c:pt>
                <c:pt idx="215">
                  <c:v>-501.187107734763</c:v>
                </c:pt>
                <c:pt idx="216">
                  <c:v>-478.62998267484102</c:v>
                </c:pt>
                <c:pt idx="217">
                  <c:v>-457.08809411563499</c:v>
                </c:pt>
                <c:pt idx="218">
                  <c:v>-436.51574906380301</c:v>
                </c:pt>
                <c:pt idx="219">
                  <c:v>-416.86931102675197</c:v>
                </c:pt>
                <c:pt idx="220">
                  <c:v>-398.10710745777101</c:v>
                </c:pt>
                <c:pt idx="221">
                  <c:v>-380.18934136648198</c:v>
                </c:pt>
                <c:pt idx="222">
                  <c:v>-363.07800690709797</c:v>
                </c:pt>
                <c:pt idx="223">
                  <c:v>-346.73680876559803</c:v>
                </c:pt>
                <c:pt idx="224">
                  <c:v>-331.13108517478901</c:v>
                </c:pt>
                <c:pt idx="225">
                  <c:v>-316.22773439406399</c:v>
                </c:pt>
                <c:pt idx="226">
                  <c:v>-301.99514449791599</c:v>
                </c:pt>
                <c:pt idx="227">
                  <c:v>-288.40312632433199</c:v>
                </c:pt>
                <c:pt idx="228">
                  <c:v>-275.422849440856</c:v>
                </c:pt>
                <c:pt idx="229">
                  <c:v>-263.02678099253001</c:v>
                </c:pt>
                <c:pt idx="230">
                  <c:v>-251.18862730202699</c:v>
                </c:pt>
                <c:pt idx="231">
                  <c:v>-239.88327809810701</c:v>
                </c:pt>
                <c:pt idx="232">
                  <c:v>-229.08675325413401</c:v>
                </c:pt>
                <c:pt idx="233">
                  <c:v>-218.77615192367</c:v>
                </c:pt>
                <c:pt idx="234">
                  <c:v>-208.929603965296</c:v>
                </c:pt>
                <c:pt idx="235">
                  <c:v>-199.52622355360501</c:v>
                </c:pt>
                <c:pt idx="236">
                  <c:v>-190.54606487801499</c:v>
                </c:pt>
                <c:pt idx="237">
                  <c:v>-181.970079835403</c:v>
                </c:pt>
                <c:pt idx="238">
                  <c:v>-173.780077626863</c:v>
                </c:pt>
                <c:pt idx="239">
                  <c:v>-165.958686172874</c:v>
                </c:pt>
                <c:pt idx="240">
                  <c:v>-158.48931526504001</c:v>
                </c:pt>
                <c:pt idx="241">
                  <c:v>-151.35612137625199</c:v>
                </c:pt>
                <c:pt idx="242">
                  <c:v>-144.54397405464101</c:v>
                </c:pt>
                <c:pt idx="243">
                  <c:v>-138.03842383002001</c:v>
                </c:pt>
                <c:pt idx="244">
                  <c:v>-131.82567156477299</c:v>
                </c:pt>
                <c:pt idx="245">
                  <c:v>-125.892539184155</c:v>
                </c:pt>
                <c:pt idx="246">
                  <c:v>-120.22644172394</c:v>
                </c:pt>
                <c:pt idx="247">
                  <c:v>-114.815360636127</c:v>
                </c:pt>
                <c:pt idx="248">
                  <c:v>-109.647818296062</c:v>
                </c:pt>
                <c:pt idx="249">
                  <c:v>-104.71285365693601</c:v>
                </c:pt>
                <c:pt idx="250">
                  <c:v>-99.999999000000003</c:v>
                </c:pt>
                <c:pt idx="251">
                  <c:v>-95.499257731179995</c:v>
                </c:pt>
                <c:pt idx="252">
                  <c:v>-91.201083177013004</c:v>
                </c:pt>
                <c:pt idx="253">
                  <c:v>-87.096358334914797</c:v>
                </c:pt>
                <c:pt idx="254">
                  <c:v>-83.176376534826701</c:v>
                </c:pt>
                <c:pt idx="255">
                  <c:v>-79.432822971240697</c:v>
                </c:pt>
                <c:pt idx="256">
                  <c:v>-75.857757066402399</c:v>
                </c:pt>
                <c:pt idx="257">
                  <c:v>-72.443595627309904</c:v>
                </c:pt>
                <c:pt idx="258">
                  <c:v>-69.183096760762396</c:v>
                </c:pt>
                <c:pt idx="259">
                  <c:v>-66.069344512355102</c:v>
                </c:pt>
                <c:pt idx="260">
                  <c:v>-63.095734196830797</c:v>
                </c:pt>
                <c:pt idx="261">
                  <c:v>-60.2559583886596</c:v>
                </c:pt>
                <c:pt idx="262">
                  <c:v>-57.543993543169499</c:v>
                </c:pt>
                <c:pt idx="263">
                  <c:v>-54.954087219802403</c:v>
                </c:pt>
                <c:pt idx="264">
                  <c:v>-52.480745880432899</c:v>
                </c:pt>
                <c:pt idx="265">
                  <c:v>-50.118723236834697</c:v>
                </c:pt>
                <c:pt idx="266">
                  <c:v>-47.8630091226158</c:v>
                </c:pt>
                <c:pt idx="267">
                  <c:v>-45.708818865987297</c:v>
                </c:pt>
                <c:pt idx="268">
                  <c:v>-43.651583140840103</c:v>
                </c:pt>
                <c:pt idx="269">
                  <c:v>-41.686938274589899</c:v>
                </c:pt>
                <c:pt idx="270">
                  <c:v>-39.810716992253802</c:v>
                </c:pt>
                <c:pt idx="271">
                  <c:v>-38.0189395771012</c:v>
                </c:pt>
                <c:pt idx="272">
                  <c:v>-36.307805429147102</c:v>
                </c:pt>
                <c:pt idx="273">
                  <c:v>-34.673685003566298</c:v>
                </c:pt>
                <c:pt idx="274">
                  <c:v>-33.113112111951303</c:v>
                </c:pt>
                <c:pt idx="275">
                  <c:v>-31.6227765700602</c:v>
                </c:pt>
                <c:pt idx="276">
                  <c:v>-30.199517176478</c:v>
                </c:pt>
                <c:pt idx="277">
                  <c:v>-28.840315007277798</c:v>
                </c:pt>
                <c:pt idx="278">
                  <c:v>-27.5422870124887</c:v>
                </c:pt>
                <c:pt idx="279">
                  <c:v>-26.3026799007562</c:v>
                </c:pt>
                <c:pt idx="280">
                  <c:v>-25.118864299246901</c:v>
                </c:pt>
                <c:pt idx="281">
                  <c:v>-23.988329176391002</c:v>
                </c:pt>
                <c:pt idx="282">
                  <c:v>-22.908676515654498</c:v>
                </c:pt>
                <c:pt idx="283">
                  <c:v>-21.877616229023701</c:v>
                </c:pt>
                <c:pt idx="284">
                  <c:v>-20.892961299419799</c:v>
                </c:pt>
                <c:pt idx="285">
                  <c:v>-19.952623141745502</c:v>
                </c:pt>
                <c:pt idx="286">
                  <c:v>-19.054607172713698</c:v>
                </c:pt>
                <c:pt idx="287">
                  <c:v>-18.197008580073799</c:v>
                </c:pt>
                <c:pt idx="288">
                  <c:v>-17.3780082822453</c:v>
                </c:pt>
                <c:pt idx="289">
                  <c:v>-16.595869069804699</c:v>
                </c:pt>
                <c:pt idx="290">
                  <c:v>-15.848931920629701</c:v>
                </c:pt>
                <c:pt idx="291">
                  <c:v>-15.1356124808943</c:v>
                </c:pt>
                <c:pt idx="292">
                  <c:v>-14.454397704439</c:v>
                </c:pt>
                <c:pt idx="293">
                  <c:v>-13.8038426433986</c:v>
                </c:pt>
                <c:pt idx="294">
                  <c:v>-13.1825673832729</c:v>
                </c:pt>
                <c:pt idx="295">
                  <c:v>-12.589254115946099</c:v>
                </c:pt>
                <c:pt idx="296">
                  <c:v>-12.022644344435999</c:v>
                </c:pt>
                <c:pt idx="297">
                  <c:v>-11.4815362134552</c:v>
                </c:pt>
                <c:pt idx="298">
                  <c:v>-10.964781960113299</c:v>
                </c:pt>
                <c:pt idx="299">
                  <c:v>-10.471285479360599</c:v>
                </c:pt>
                <c:pt idx="300">
                  <c:v>-9.9999999989997992</c:v>
                </c:pt>
                <c:pt idx="301">
                  <c:v>-9.5499258593431193</c:v>
                </c:pt>
                <c:pt idx="302">
                  <c:v>-9.1201083928003097</c:v>
                </c:pt>
                <c:pt idx="303">
                  <c:v>-8.7096358988999096</c:v>
                </c:pt>
                <c:pt idx="304">
                  <c:v>-8.3176377104510806</c:v>
                </c:pt>
                <c:pt idx="305">
                  <c:v>-7.9432823467414204</c:v>
                </c:pt>
                <c:pt idx="306">
                  <c:v>-7.5857757498551299</c:v>
                </c:pt>
                <c:pt idx="307">
                  <c:v>-7.2443596003695303</c:v>
                </c:pt>
                <c:pt idx="308">
                  <c:v>-6.9183097088580796</c:v>
                </c:pt>
                <c:pt idx="309">
                  <c:v>-6.6069344797873697</c:v>
                </c:pt>
                <c:pt idx="310">
                  <c:v>-6.3095734445506002</c:v>
                </c:pt>
                <c:pt idx="311">
                  <c:v>-6.0255958605246898</c:v>
                </c:pt>
                <c:pt idx="312">
                  <c:v>-5.7543993731810099</c:v>
                </c:pt>
                <c:pt idx="313">
                  <c:v>-5.4954087384103003</c:v>
                </c:pt>
                <c:pt idx="314">
                  <c:v>-5.2480746023531504</c:v>
                </c:pt>
                <c:pt idx="315">
                  <c:v>-5.0118723361468298</c:v>
                </c:pt>
                <c:pt idx="316">
                  <c:v>-4.78630092311671</c:v>
                </c:pt>
                <c:pt idx="317">
                  <c:v>-4.5708818960532396</c:v>
                </c:pt>
                <c:pt idx="318">
                  <c:v>-4.3651583223184698</c:v>
                </c:pt>
                <c:pt idx="319">
                  <c:v>-4.1686938346309104</c:v>
                </c:pt>
                <c:pt idx="320">
                  <c:v>-3.9810717054718601</c:v>
                </c:pt>
                <c:pt idx="321">
                  <c:v>-3.8018939631506599</c:v>
                </c:pt>
                <c:pt idx="322">
                  <c:v>-3.6307805476531501</c:v>
                </c:pt>
                <c:pt idx="323">
                  <c:v>-3.4673685044836202</c:v>
                </c:pt>
                <c:pt idx="324">
                  <c:v>-3.3113112147896002</c:v>
                </c:pt>
                <c:pt idx="325">
                  <c:v>-3.1622776601367599</c:v>
                </c:pt>
                <c:pt idx="326">
                  <c:v>-3.0199517203744701</c:v>
                </c:pt>
                <c:pt idx="327">
                  <c:v>-2.88403150310261</c:v>
                </c:pt>
                <c:pt idx="328">
                  <c:v>-2.7542287033172701</c:v>
                </c:pt>
                <c:pt idx="329">
                  <c:v>-2.6302679918771799</c:v>
                </c:pt>
                <c:pt idx="330">
                  <c:v>-2.5118864314937301</c:v>
                </c:pt>
                <c:pt idx="331">
                  <c:v>-2.3988329190056801</c:v>
                </c:pt>
                <c:pt idx="332">
                  <c:v>-2.2908676527557499</c:v>
                </c:pt>
                <c:pt idx="333">
                  <c:v>-2.18776162393908</c:v>
                </c:pt>
                <c:pt idx="334">
                  <c:v>-2.0892961308449198</c:v>
                </c:pt>
                <c:pt idx="335">
                  <c:v>-1.9952623149609801</c:v>
                </c:pt>
                <c:pt idx="336">
                  <c:v>-1.9054607179563701</c:v>
                </c:pt>
                <c:pt idx="337">
                  <c:v>-1.819700858604</c:v>
                </c:pt>
                <c:pt idx="338">
                  <c:v>-1.73780082874416</c:v>
                </c:pt>
                <c:pt idx="339">
                  <c:v>-1.6595869074330301</c:v>
                </c:pt>
                <c:pt idx="340">
                  <c:v>-1.5848931924571701</c:v>
                </c:pt>
                <c:pt idx="341">
                  <c:v>-1.5135612484327701</c:v>
                </c:pt>
                <c:pt idx="342">
                  <c:v>-1.4454397707429401</c:v>
                </c:pt>
                <c:pt idx="343">
                  <c:v>-1.38038426460029</c:v>
                </c:pt>
                <c:pt idx="344">
                  <c:v>-1.3182567385541399</c:v>
                </c:pt>
                <c:pt idx="345">
                  <c:v>-1.2589254117922</c:v>
                </c:pt>
                <c:pt idx="346">
                  <c:v>-1.2022644346157001</c:v>
                </c:pt>
                <c:pt idx="347">
                  <c:v>-1.1481536214954</c:v>
                </c:pt>
                <c:pt idx="348">
                  <c:v>-1.0964781961418899</c:v>
                </c:pt>
                <c:pt idx="349">
                  <c:v>-1.0471285480497701</c:v>
                </c:pt>
                <c:pt idx="350">
                  <c:v>-0.999999999999022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F0-4795-9666-F6CB40F69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 val="autoZero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Cload Pole'!$H$3:$H$353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Cload Pole'!$K$3:$K$353</c:f>
              <c:numCache>
                <c:formatCode>General</c:formatCode>
                <c:ptCount val="351"/>
                <c:pt idx="0">
                  <c:v>119.95678626214614</c:v>
                </c:pt>
                <c:pt idx="1">
                  <c:v>119.95263973254873</c:v>
                </c:pt>
                <c:pt idx="2">
                  <c:v>119.94809769899476</c:v>
                </c:pt>
                <c:pt idx="3">
                  <c:v>119.94312291196651</c:v>
                </c:pt>
                <c:pt idx="4">
                  <c:v>119.93767470823954</c:v>
                </c:pt>
                <c:pt idx="5">
                  <c:v>119.93170871683199</c:v>
                </c:pt>
                <c:pt idx="6">
                  <c:v>119.92517654337615</c:v>
                </c:pt>
                <c:pt idx="7">
                  <c:v>119.91802543209778</c:v>
                </c:pt>
                <c:pt idx="8">
                  <c:v>119.91019790473437</c:v>
                </c:pt>
                <c:pt idx="9">
                  <c:v>119.90163137591907</c:v>
                </c:pt>
                <c:pt idx="10">
                  <c:v>119.89225774481153</c:v>
                </c:pt>
                <c:pt idx="11">
                  <c:v>119.88200296308224</c:v>
                </c:pt>
                <c:pt idx="12">
                  <c:v>119.87078657976255</c:v>
                </c:pt>
                <c:pt idx="13">
                  <c:v>119.85852126397225</c:v>
                </c:pt>
                <c:pt idx="14">
                  <c:v>119.84511230714453</c:v>
                </c:pt>
                <c:pt idx="15">
                  <c:v>119.83045710709547</c:v>
                </c:pt>
                <c:pt idx="16">
                  <c:v>119.81444463714772</c:v>
                </c:pt>
                <c:pt idx="17">
                  <c:v>119.7969549045298</c:v>
                </c:pt>
                <c:pt idx="18">
                  <c:v>119.77785840344018</c:v>
                </c:pt>
                <c:pt idx="19">
                  <c:v>119.7570155695049</c:v>
                </c:pt>
                <c:pt idx="20">
                  <c:v>119.73427624386589</c:v>
                </c:pt>
                <c:pt idx="21">
                  <c:v>119.70947915681917</c:v>
                </c:pt>
                <c:pt idx="22">
                  <c:v>119.68245144276268</c:v>
                </c:pt>
                <c:pt idx="23">
                  <c:v>119.65300820019542</c:v>
                </c:pt>
                <c:pt idx="24">
                  <c:v>119.62095211259523</c:v>
                </c:pt>
                <c:pt idx="25">
                  <c:v>119.58607314814343</c:v>
                </c:pt>
                <c:pt idx="26">
                  <c:v>119.54814835838425</c:v>
                </c:pt>
                <c:pt idx="27">
                  <c:v>119.50694179791796</c:v>
                </c:pt>
                <c:pt idx="28">
                  <c:v>119.46220458900159</c:v>
                </c:pt>
                <c:pt idx="29">
                  <c:v>119.41367515633144</c:v>
                </c:pt>
                <c:pt idx="30">
                  <c:v>119.36107965813143</c:v>
                </c:pt>
                <c:pt idx="31">
                  <c:v>119.30413263978127</c:v>
                </c:pt>
                <c:pt idx="32">
                  <c:v>119.24253793537565</c:v>
                </c:pt>
                <c:pt idx="33">
                  <c:v>119.1759898405998</c:v>
                </c:pt>
                <c:pt idx="34">
                  <c:v>119.10417457692803</c:v>
                </c:pt>
                <c:pt idx="35">
                  <c:v>119.02677206222398</c:v>
                </c:pt>
                <c:pt idx="36">
                  <c:v>118.94345799621709</c:v>
                </c:pt>
                <c:pt idx="37">
                  <c:v>118.85390626099871</c:v>
                </c:pt>
                <c:pt idx="38">
                  <c:v>118.75779162667703</c:v>
                </c:pt>
                <c:pt idx="39">
                  <c:v>118.65479274083818</c:v>
                </c:pt>
                <c:pt idx="40">
                  <c:v>118.54459536781496</c:v>
                </c:pt>
                <c:pt idx="41">
                  <c:v>118.42689583045743</c:v>
                </c:pt>
                <c:pt idx="42">
                  <c:v>118.30140459378306</c:v>
                </c:pt>
                <c:pt idx="43">
                  <c:v>118.16784991734011</c:v>
                </c:pt>
                <c:pt idx="44">
                  <c:v>118.02598149222172</c:v>
                </c:pt>
                <c:pt idx="45">
                  <c:v>117.87557397032573</c:v>
                </c:pt>
                <c:pt idx="46">
                  <c:v>117.71643028851975</c:v>
                </c:pt>
                <c:pt idx="47">
                  <c:v>117.54838468956392</c:v>
                </c:pt>
                <c:pt idx="48">
                  <c:v>117.37130534545679</c:v>
                </c:pt>
                <c:pt idx="49">
                  <c:v>117.18509649749524</c:v>
                </c:pt>
                <c:pt idx="50">
                  <c:v>116.98970004061694</c:v>
                </c:pt>
                <c:pt idx="51">
                  <c:v>116.78509649698923</c:v>
                </c:pt>
                <c:pt idx="52">
                  <c:v>116.57130534444038</c:v>
                </c:pt>
                <c:pt idx="53">
                  <c:v>116.34838468802856</c:v>
                </c:pt>
                <c:pt idx="54">
                  <c:v>116.11643028645246</c:v>
                </c:pt>
                <c:pt idx="55">
                  <c:v>115.87557396770885</c:v>
                </c:pt>
                <c:pt idx="56">
                  <c:v>115.62598148903308</c:v>
                </c:pt>
                <c:pt idx="57">
                  <c:v>115.36784991355262</c:v>
                </c:pt>
                <c:pt idx="58">
                  <c:v>115.10140458936462</c:v>
                </c:pt>
                <c:pt idx="59">
                  <c:v>114.82689582537049</c:v>
                </c:pt>
                <c:pt idx="60">
                  <c:v>114.54459536201634</c:v>
                </c:pt>
                <c:pt idx="61">
                  <c:v>114.25479273427868</c:v>
                </c:pt>
                <c:pt idx="62">
                  <c:v>113.95779161930092</c:v>
                </c:pt>
                <c:pt idx="63">
                  <c:v>113.65390625274345</c:v>
                </c:pt>
                <c:pt idx="64">
                  <c:v>113.34345798701247</c:v>
                </c:pt>
                <c:pt idx="65">
                  <c:v>113.026772051992</c:v>
                </c:pt>
                <c:pt idx="66">
                  <c:v>112.70417456558175</c:v>
                </c:pt>
                <c:pt idx="67">
                  <c:v>112.37598982804292</c:v>
                </c:pt>
                <c:pt idx="68">
                  <c:v>112.04253792150158</c:v>
                </c:pt>
                <c:pt idx="69">
                  <c:v>111.70413262447229</c:v>
                </c:pt>
                <c:pt idx="70">
                  <c:v>111.36107964125749</c:v>
                </c:pt>
                <c:pt idx="71">
                  <c:v>111.01367513774937</c:v>
                </c:pt>
                <c:pt idx="72">
                  <c:v>110.66220456855361</c:v>
                </c:pt>
                <c:pt idx="73">
                  <c:v>110.30694177543049</c:v>
                </c:pt>
                <c:pt idx="74">
                  <c:v>109.94814833366638</c:v>
                </c:pt>
                <c:pt idx="75">
                  <c:v>109.5860731209853</c:v>
                </c:pt>
                <c:pt idx="76">
                  <c:v>109.22095208276637</c:v>
                </c:pt>
                <c:pt idx="77">
                  <c:v>108.85300816744254</c:v>
                </c:pt>
                <c:pt idx="78">
                  <c:v>108.48245140680781</c:v>
                </c:pt>
                <c:pt idx="79">
                  <c:v>108.10947911735703</c:v>
                </c:pt>
                <c:pt idx="80">
                  <c:v>107.73427620056148</c:v>
                </c:pt>
                <c:pt idx="81">
                  <c:v>107.35701552199068</c:v>
                </c:pt>
                <c:pt idx="82">
                  <c:v>106.97785835131272</c:v>
                </c:pt>
                <c:pt idx="83">
                  <c:v>106.59695484734662</c:v>
                </c:pt>
                <c:pt idx="84">
                  <c:v>106.2144445744234</c:v>
                </c:pt>
                <c:pt idx="85">
                  <c:v>105.83045703829752</c:v>
                </c:pt>
                <c:pt idx="86">
                  <c:v>105.44511223168902</c:v>
                </c:pt>
                <c:pt idx="87">
                  <c:v>105.05852118121848</c:v>
                </c:pt>
                <c:pt idx="88">
                  <c:v>104.67078648900812</c:v>
                </c:pt>
                <c:pt idx="89">
                  <c:v>104.28200286355668</c:v>
                </c:pt>
                <c:pt idx="90">
                  <c:v>103.89225763567001</c:v>
                </c:pt>
                <c:pt idx="91">
                  <c:v>103.50163125623507</c:v>
                </c:pt>
                <c:pt idx="92">
                  <c:v>103.11019777349188</c:v>
                </c:pt>
                <c:pt idx="93">
                  <c:v>102.71802528818269</c:v>
                </c:pt>
                <c:pt idx="94">
                  <c:v>102.32517638556675</c:v>
                </c:pt>
                <c:pt idx="95">
                  <c:v>101.93170854378862</c:v>
                </c:pt>
                <c:pt idx="96">
                  <c:v>101.53767451849322</c:v>
                </c:pt>
                <c:pt idx="97">
                  <c:v>101.14312270390647</c:v>
                </c:pt>
                <c:pt idx="98">
                  <c:v>100.74809747085483</c:v>
                </c:pt>
                <c:pt idx="99">
                  <c:v>100.35263948239222</c:v>
                </c:pt>
                <c:pt idx="100">
                  <c:v>99.956785987849429</c:v>
                </c:pt>
                <c:pt idx="101">
                  <c:v>99.560571096224322</c:v>
                </c:pt>
                <c:pt idx="102">
                  <c:v>99.164026029900327</c:v>
                </c:pt>
                <c:pt idx="103">
                  <c:v>98.767179359724096</c:v>
                </c:pt>
                <c:pt idx="104">
                  <c:v>98.370057222489166</c:v>
                </c:pt>
                <c:pt idx="105">
                  <c:v>97.972683521876149</c:v>
                </c:pt>
                <c:pt idx="106">
                  <c:v>97.575080113884823</c:v>
                </c:pt>
                <c:pt idx="107">
                  <c:v>97.177266977769023</c:v>
                </c:pt>
                <c:pt idx="108">
                  <c:v>96.77926237345396</c:v>
                </c:pt>
                <c:pt idx="109">
                  <c:v>96.381082986375674</c:v>
                </c:pt>
                <c:pt idx="110">
                  <c:v>95.982744060641011</c:v>
                </c:pt>
                <c:pt idx="111">
                  <c:v>95.58425952136065</c:v>
                </c:pt>
                <c:pt idx="112">
                  <c:v>95.185642086960499</c:v>
                </c:pt>
                <c:pt idx="113">
                  <c:v>94.786903372231862</c:v>
                </c:pt>
                <c:pt idx="114">
                  <c:v>94.388053982831096</c:v>
                </c:pt>
                <c:pt idx="115">
                  <c:v>93.989103601896403</c:v>
                </c:pt>
                <c:pt idx="116">
                  <c:v>93.590061069402623</c:v>
                </c:pt>
                <c:pt idx="117">
                  <c:v>93.190934454834149</c:v>
                </c:pt>
                <c:pt idx="118">
                  <c:v>92.791731123712481</c:v>
                </c:pt>
                <c:pt idx="119">
                  <c:v>92.392457798478262</c:v>
                </c:pt>
                <c:pt idx="120">
                  <c:v>91.993120614188797</c:v>
                </c:pt>
                <c:pt idx="121">
                  <c:v>91.593725169459248</c:v>
                </c:pt>
                <c:pt idx="122">
                  <c:v>91.194276573039616</c:v>
                </c:pt>
                <c:pt idx="123">
                  <c:v>90.794779486393452</c:v>
                </c:pt>
                <c:pt idx="124">
                  <c:v>90.395238162610923</c:v>
                </c:pt>
                <c:pt idx="125">
                  <c:v>89.995656481966222</c:v>
                </c:pt>
                <c:pt idx="126">
                  <c:v>89.59603798440159</c:v>
                </c:pt>
                <c:pt idx="127">
                  <c:v>89.196385899198575</c:v>
                </c:pt>
                <c:pt idx="128">
                  <c:v>88.796703172076036</c:v>
                </c:pt>
                <c:pt idx="129">
                  <c:v>88.396992489933638</c:v>
                </c:pt>
                <c:pt idx="130">
                  <c:v>87.997256303442498</c:v>
                </c:pt>
                <c:pt idx="131">
                  <c:v>87.597496847667202</c:v>
                </c:pt>
                <c:pt idx="132">
                  <c:v>87.19771616088785</c:v>
                </c:pt>
                <c:pt idx="133">
                  <c:v>86.797916101777275</c:v>
                </c:pt>
                <c:pt idx="134">
                  <c:v>86.39809836507456</c:v>
                </c:pt>
                <c:pt idx="135">
                  <c:v>85.998264495884598</c:v>
                </c:pt>
                <c:pt idx="136">
                  <c:v>85.598415902721939</c:v>
                </c:pt>
                <c:pt idx="137">
                  <c:v>85.198553869407405</c:v>
                </c:pt>
                <c:pt idx="138">
                  <c:v>84.798679565916359</c:v>
                </c:pt>
                <c:pt idx="139">
                  <c:v>84.398794058268805</c:v>
                </c:pt>
                <c:pt idx="140">
                  <c:v>83.998898317544217</c:v>
                </c:pt>
                <c:pt idx="141">
                  <c:v>83.59899322809602</c:v>
                </c:pt>
                <c:pt idx="142">
                  <c:v>83.199079595035158</c:v>
                </c:pt>
                <c:pt idx="143">
                  <c:v>82.799158151044296</c:v>
                </c:pt>
                <c:pt idx="144">
                  <c:v>82.399229562581141</c:v>
                </c:pt>
                <c:pt idx="145">
                  <c:v>81.99929443552243</c:v>
                </c:pt>
                <c:pt idx="146">
                  <c:v>81.599353320295393</c:v>
                </c:pt>
                <c:pt idx="147">
                  <c:v>81.199406716540764</c:v>
                </c:pt>
                <c:pt idx="148">
                  <c:v>80.799455077346622</c:v>
                </c:pt>
                <c:pt idx="149">
                  <c:v>80.399498813087661</c:v>
                </c:pt>
                <c:pt idx="150">
                  <c:v>79.999538294903644</c:v>
                </c:pt>
                <c:pt idx="151">
                  <c:v>79.599573857845428</c:v>
                </c:pt>
                <c:pt idx="152">
                  <c:v>79.199605803715173</c:v>
                </c:pt>
                <c:pt idx="153">
                  <c:v>78.79963440362549</c:v>
                </c:pt>
                <c:pt idx="154">
                  <c:v>78.399659900298161</c:v>
                </c:pt>
                <c:pt idx="155">
                  <c:v>77.999682510122383</c:v>
                </c:pt>
                <c:pt idx="156">
                  <c:v>77.599702424990085</c:v>
                </c:pt>
                <c:pt idx="157">
                  <c:v>77.19971981392321</c:v>
                </c:pt>
                <c:pt idx="158">
                  <c:v>76.799734824507539</c:v>
                </c:pt>
                <c:pt idx="159">
                  <c:v>76.39974758414445</c:v>
                </c:pt>
                <c:pt idx="160">
                  <c:v>75.999758201131513</c:v>
                </c:pt>
                <c:pt idx="161">
                  <c:v>75.599766765581236</c:v>
                </c:pt>
                <c:pt idx="162">
                  <c:v>75.199773350185509</c:v>
                </c:pt>
                <c:pt idx="163">
                  <c:v>74.799778010832455</c:v>
                </c:pt>
                <c:pt idx="164">
                  <c:v>74.399780787080346</c:v>
                </c:pt>
                <c:pt idx="165">
                  <c:v>73.999781702493181</c:v>
                </c:pt>
                <c:pt idx="166">
                  <c:v>73.599780764840858</c:v>
                </c:pt>
                <c:pt idx="167">
                  <c:v>73.199777966164731</c:v>
                </c:pt>
                <c:pt idx="168">
                  <c:v>72.79977328271039</c:v>
                </c:pt>
                <c:pt idx="169">
                  <c:v>72.399766674725981</c:v>
                </c:pt>
                <c:pt idx="170">
                  <c:v>71.999758086125055</c:v>
                </c:pt>
                <c:pt idx="171">
                  <c:v>71.599747444010717</c:v>
                </c:pt>
                <c:pt idx="172">
                  <c:v>71.199734658057054</c:v>
                </c:pt>
                <c:pt idx="173">
                  <c:v>70.799719619743115</c:v>
                </c:pt>
                <c:pt idx="174">
                  <c:v>70.39970220143239</c:v>
                </c:pt>
                <c:pt idx="175">
                  <c:v>69.999682255289727</c:v>
                </c:pt>
                <c:pt idx="176">
                  <c:v>69.599659612027722</c:v>
                </c:pt>
                <c:pt idx="177">
                  <c:v>69.199634079470769</c:v>
                </c:pt>
                <c:pt idx="178">
                  <c:v>68.799605440925035</c:v>
                </c:pt>
                <c:pt idx="179">
                  <c:v>68.399573453340977</c:v>
                </c:pt>
                <c:pt idx="180">
                  <c:v>67.999537845252036</c:v>
                </c:pt>
                <c:pt idx="181">
                  <c:v>67.599498314473024</c:v>
                </c:pt>
                <c:pt idx="182">
                  <c:v>67.199454525537618</c:v>
                </c:pt>
                <c:pt idx="183">
                  <c:v>66.799406106854903</c:v>
                </c:pt>
                <c:pt idx="184">
                  <c:v>66.399352647559098</c:v>
                </c:pt>
                <c:pt idx="185">
                  <c:v>65.999293694027472</c:v>
                </c:pt>
                <c:pt idx="186">
                  <c:v>65.599228746035948</c:v>
                </c:pt>
                <c:pt idx="187">
                  <c:v>65.199157252520848</c:v>
                </c:pt>
                <c:pt idx="188">
                  <c:v>64.799078606910385</c:v>
                </c:pt>
                <c:pt idx="189">
                  <c:v>64.39899214198708</c:v>
                </c:pt>
                <c:pt idx="190">
                  <c:v>63.998897124237423</c:v>
                </c:pt>
                <c:pt idx="191">
                  <c:v>63.598792747641902</c:v>
                </c:pt>
                <c:pt idx="192">
                  <c:v>63.19867812685267</c:v>
                </c:pt>
                <c:pt idx="193">
                  <c:v>62.798552289701902</c:v>
                </c:pt>
                <c:pt idx="194">
                  <c:v>62.398414168977851</c:v>
                </c:pt>
                <c:pt idx="195">
                  <c:v>61.99826259340027</c:v>
                </c:pt>
                <c:pt idx="196">
                  <c:v>61.598096277719144</c:v>
                </c:pt>
                <c:pt idx="197">
                  <c:v>61.197913811854434</c:v>
                </c:pt>
                <c:pt idx="198">
                  <c:v>60.797713648986473</c:v>
                </c:pt>
                <c:pt idx="199">
                  <c:v>60.397494092497382</c:v>
                </c:pt>
                <c:pt idx="200">
                  <c:v>59.997253281656057</c:v>
                </c:pt>
                <c:pt idx="201">
                  <c:v>59.596989175927284</c:v>
                </c:pt>
                <c:pt idx="202">
                  <c:v>59.19669953777565</c:v>
                </c:pt>
                <c:pt idx="203">
                  <c:v>58.796381913822884</c:v>
                </c:pt>
                <c:pt idx="204">
                  <c:v>58.396033614203269</c:v>
                </c:pt>
                <c:pt idx="205">
                  <c:v>57.995651689948183</c:v>
                </c:pt>
                <c:pt idx="206">
                  <c:v>57.595232908215948</c:v>
                </c:pt>
                <c:pt idx="207">
                  <c:v>57.194773725163792</c:v>
                </c:pt>
                <c:pt idx="208">
                  <c:v>56.794270256244786</c:v>
                </c:pt>
                <c:pt idx="209">
                  <c:v>56.393718243688085</c:v>
                </c:pt>
                <c:pt idx="210">
                  <c:v>55.993113020903465</c:v>
                </c:pt>
                <c:pt idx="211">
                  <c:v>55.592449473525818</c:v>
                </c:pt>
                <c:pt idx="212">
                  <c:v>55.191721996790911</c:v>
                </c:pt>
                <c:pt idx="213">
                  <c:v>54.79092444890771</c:v>
                </c:pt>
                <c:pt idx="214">
                  <c:v>54.390050100063043</c:v>
                </c:pt>
                <c:pt idx="215">
                  <c:v>53.989091576664272</c:v>
                </c:pt>
                <c:pt idx="216">
                  <c:v>53.588040800392619</c:v>
                </c:pt>
                <c:pt idx="217">
                  <c:v>53.186888921604343</c:v>
                </c:pt>
                <c:pt idx="218">
                  <c:v>52.785626246581614</c:v>
                </c:pt>
                <c:pt idx="219">
                  <c:v>52.384242158093926</c:v>
                </c:pt>
                <c:pt idx="220">
                  <c:v>51.982725028690311</c:v>
                </c:pt>
                <c:pt idx="221">
                  <c:v>51.581062126101443</c:v>
                </c:pt>
                <c:pt idx="222">
                  <c:v>51.179239510082517</c:v>
                </c:pt>
                <c:pt idx="223">
                  <c:v>50.777241919986558</c:v>
                </c:pt>
                <c:pt idx="224">
                  <c:v>50.375052652305996</c:v>
                </c:pt>
                <c:pt idx="225">
                  <c:v>49.972653427378162</c:v>
                </c:pt>
                <c:pt idx="226">
                  <c:v>49.570024244400031</c:v>
                </c:pt>
                <c:pt idx="227">
                  <c:v>49.167143223854879</c:v>
                </c:pt>
                <c:pt idx="228">
                  <c:v>48.763986436408821</c:v>
                </c:pt>
                <c:pt idx="229">
                  <c:v>48.360527717299306</c:v>
                </c:pt>
                <c:pt idx="230">
                  <c:v>47.956738465202591</c:v>
                </c:pt>
                <c:pt idx="231">
                  <c:v>47.552587424544953</c:v>
                </c:pt>
                <c:pt idx="232">
                  <c:v>47.148040450208114</c:v>
                </c:pt>
                <c:pt idx="233">
                  <c:v>46.743060253580559</c:v>
                </c:pt>
                <c:pt idx="234">
                  <c:v>46.337606128925373</c:v>
                </c:pt>
                <c:pt idx="235">
                  <c:v>45.931633659077633</c:v>
                </c:pt>
                <c:pt idx="236">
                  <c:v>45.52509439955309</c:v>
                </c:pt>
                <c:pt idx="237">
                  <c:v>45.117935540255786</c:v>
                </c:pt>
                <c:pt idx="238">
                  <c:v>44.710099544117796</c:v>
                </c:pt>
                <c:pt idx="239">
                  <c:v>44.301523762199551</c:v>
                </c:pt>
                <c:pt idx="240">
                  <c:v>43.89214002503703</c:v>
                </c:pt>
                <c:pt idx="241">
                  <c:v>43.48187421034541</c:v>
                </c:pt>
                <c:pt idx="242">
                  <c:v>43.070645787597385</c:v>
                </c:pt>
                <c:pt idx="243">
                  <c:v>42.658367340494635</c:v>
                </c:pt>
                <c:pt idx="244">
                  <c:v>42.244944068960379</c:v>
                </c:pt>
                <c:pt idx="245">
                  <c:v>41.830273273008885</c:v>
                </c:pt>
                <c:pt idx="246">
                  <c:v>41.4142438217144</c:v>
                </c:pt>
                <c:pt idx="247">
                  <c:v>40.9967356115122</c:v>
                </c:pt>
                <c:pt idx="248">
                  <c:v>40.577619019237048</c:v>
                </c:pt>
                <c:pt idx="249">
                  <c:v>40.156754356644875</c:v>
                </c:pt>
                <c:pt idx="250">
                  <c:v>39.733991334673689</c:v>
                </c:pt>
                <c:pt idx="251">
                  <c:v>39.30916854738399</c:v>
                </c:pt>
                <c:pt idx="252">
                  <c:v>38.882112987361616</c:v>
                </c:pt>
                <c:pt idx="253">
                  <c:v>38.452639606349386</c:v>
                </c:pt>
                <c:pt idx="254">
                  <c:v>38.020550936960092</c:v>
                </c:pt>
                <c:pt idx="255">
                  <c:v>37.585636793464424</c:v>
                </c:pt>
                <c:pt idx="256">
                  <c:v>37.147674071767689</c:v>
                </c:pt>
                <c:pt idx="257">
                  <c:v>36.706426670696132</c:v>
                </c:pt>
                <c:pt idx="258">
                  <c:v>36.261645558487032</c:v>
                </c:pt>
                <c:pt idx="259">
                  <c:v>35.813069009769379</c:v>
                </c:pt>
                <c:pt idx="260">
                  <c:v>35.360423039167088</c:v>
                </c:pt>
                <c:pt idx="261">
                  <c:v>34.903422057752536</c:v>
                </c:pt>
                <c:pt idx="262">
                  <c:v>34.441769777727004</c:v>
                </c:pt>
                <c:pt idx="263">
                  <c:v>33.975160388679441</c:v>
                </c:pt>
                <c:pt idx="264">
                  <c:v>33.503280025382416</c:v>
                </c:pt>
                <c:pt idx="265">
                  <c:v>33.025808542133156</c:v>
                </c:pt>
                <c:pt idx="266">
                  <c:v>32.542421602025591</c:v>
                </c:pt>
                <c:pt idx="267">
                  <c:v>32.052793081186849</c:v>
                </c:pt>
                <c:pt idx="268">
                  <c:v>31.556597777985971</c:v>
                </c:pt>
                <c:pt idx="269">
                  <c:v>31.053514405719294</c:v>
                </c:pt>
                <c:pt idx="270">
                  <c:v>30.543228834614517</c:v>
                </c:pt>
                <c:pt idx="271">
                  <c:v>30.025437535688756</c:v>
                </c:pt>
                <c:pt idx="272">
                  <c:v>29.499851165679495</c:v>
                </c:pt>
                <c:pt idx="273">
                  <c:v>28.966198219741905</c:v>
                </c:pt>
                <c:pt idx="274">
                  <c:v>28.424228667731729</c:v>
                </c:pt>
                <c:pt idx="275">
                  <c:v>27.87371748158786</c:v>
                </c:pt>
                <c:pt idx="276">
                  <c:v>27.314467956439579</c:v>
                </c:pt>
                <c:pt idx="277">
                  <c:v>26.746314727307393</c:v>
                </c:pt>
                <c:pt idx="278">
                  <c:v>26.169126387138949</c:v>
                </c:pt>
                <c:pt idx="279">
                  <c:v>25.58280762060199</c:v>
                </c:pt>
                <c:pt idx="280">
                  <c:v>24.987300781390182</c:v>
                </c:pt>
                <c:pt idx="281">
                  <c:v>24.38258685823445</c:v>
                </c:pt>
                <c:pt idx="282">
                  <c:v>23.768685795479406</c:v>
                </c:pt>
                <c:pt idx="283">
                  <c:v>23.145656156798559</c:v>
                </c:pt>
                <c:pt idx="284">
                  <c:v>22.513594144032965</c:v>
                </c:pt>
                <c:pt idx="285">
                  <c:v>21.872632005820122</c:v>
                </c:pt>
                <c:pt idx="286">
                  <c:v>21.222935891277054</c:v>
                </c:pt>
                <c:pt idx="287">
                  <c:v>20.564703221357405</c:v>
                </c:pt>
                <c:pt idx="288">
                  <c:v>19.89815966371992</c:v>
                </c:pt>
                <c:pt idx="289">
                  <c:v>19.223555805520022</c:v>
                </c:pt>
                <c:pt idx="290">
                  <c:v>18.54116362228638</c:v>
                </c:pt>
                <c:pt idx="291">
                  <c:v>17.851272840189335</c:v>
                </c:pt>
                <c:pt idx="292">
                  <c:v>17.154187284022871</c:v>
                </c:pt>
                <c:pt idx="293">
                  <c:v>16.450221294846468</c:v>
                </c:pt>
                <c:pt idx="294">
                  <c:v>15.739696290310274</c:v>
                </c:pt>
                <c:pt idx="295">
                  <c:v>15.02293752812869</c:v>
                </c:pt>
                <c:pt idx="296">
                  <c:v>14.300271119847794</c:v>
                </c:pt>
                <c:pt idx="297">
                  <c:v>13.57202132874788</c:v>
                </c:pt>
                <c:pt idx="298">
                  <c:v>12.838508173088705</c:v>
                </c:pt>
                <c:pt idx="299">
                  <c:v>12.100045344428365</c:v>
                </c:pt>
                <c:pt idx="300">
                  <c:v>11.356938440762965</c:v>
                </c:pt>
                <c:pt idx="301">
                  <c:v>10.609483505922437</c:v>
                </c:pt>
                <c:pt idx="302">
                  <c:v>9.8579658600761491</c:v>
                </c:pt>
                <c:pt idx="303">
                  <c:v>9.1026592012903809</c:v>
                </c:pt>
                <c:pt idx="304">
                  <c:v>8.3438249547227556</c:v>
                </c:pt>
                <c:pt idx="305">
                  <c:v>7.581711844043979</c:v>
                </c:pt>
                <c:pt idx="306">
                  <c:v>6.8165556588500547</c:v>
                </c:pt>
                <c:pt idx="307">
                  <c:v>6.048579191947093</c:v>
                </c:pt>
                <c:pt idx="308">
                  <c:v>5.2779923212476678</c:v>
                </c:pt>
                <c:pt idx="309">
                  <c:v>4.5049922124249537</c:v>
                </c:pt>
                <c:pt idx="310">
                  <c:v>3.7297636202489097</c:v>
                </c:pt>
                <c:pt idx="311">
                  <c:v>2.9524792685403312</c:v>
                </c:pt>
                <c:pt idx="312">
                  <c:v>2.1733002908021133</c:v>
                </c:pt>
                <c:pt idx="313">
                  <c:v>1.3923767157233824</c:v>
                </c:pt>
                <c:pt idx="314">
                  <c:v>0.60984798384240269</c:v>
                </c:pt>
                <c:pt idx="315">
                  <c:v>-0.17415651637130689</c:v>
                </c:pt>
                <c:pt idx="316">
                  <c:v>-0.95951690291226388</c:v>
                </c:pt>
                <c:pt idx="317">
                  <c:v>-1.7461222533302165</c:v>
                </c:pt>
                <c:pt idx="318">
                  <c:v>-2.5338700632282665</c:v>
                </c:pt>
                <c:pt idx="319">
                  <c:v>-3.3226657155433879</c:v>
                </c:pt>
                <c:pt idx="320">
                  <c:v>-4.1124219648161127</c:v>
                </c:pt>
                <c:pt idx="321">
                  <c:v>-4.9030584396493433</c:v>
                </c:pt>
                <c:pt idx="322">
                  <c:v>-5.6945011656928282</c:v>
                </c:pt>
                <c:pt idx="323">
                  <c:v>-6.4866821107657788</c:v>
                </c:pt>
                <c:pt idx="324">
                  <c:v>-7.2795387531227185</c:v>
                </c:pt>
                <c:pt idx="325">
                  <c:v>-8.0730136733690436</c:v>
                </c:pt>
                <c:pt idx="326">
                  <c:v>-8.8670541701296042</c:v>
                </c:pt>
                <c:pt idx="327">
                  <c:v>-9.6616118992461235</c:v>
                </c:pt>
                <c:pt idx="328">
                  <c:v>-10.456642536029738</c:v>
                </c:pt>
                <c:pt idx="329">
                  <c:v>-11.252105459896617</c:v>
                </c:pt>
                <c:pt idx="330">
                  <c:v>-12.047963460569999</c:v>
                </c:pt>
                <c:pt idx="331">
                  <c:v>-12.844182464931089</c:v>
                </c:pt>
                <c:pt idx="332">
                  <c:v>-13.640731283527593</c:v>
                </c:pt>
                <c:pt idx="333">
                  <c:v>-14.437581375712568</c:v>
                </c:pt>
                <c:pt idx="334">
                  <c:v>-15.234706632362007</c:v>
                </c:pt>
                <c:pt idx="335">
                  <c:v>-16.032083175125194</c:v>
                </c:pt>
                <c:pt idx="336">
                  <c:v>-16.82968917116975</c:v>
                </c:pt>
                <c:pt idx="337">
                  <c:v>-17.627504662411887</c:v>
                </c:pt>
                <c:pt idx="338">
                  <c:v>-18.425511408252294</c:v>
                </c:pt>
                <c:pt idx="339">
                  <c:v>-19.223692740878391</c:v>
                </c:pt>
                <c:pt idx="340">
                  <c:v>-20.022033432236185</c:v>
                </c:pt>
                <c:pt idx="341">
                  <c:v>-20.820519571817655</c:v>
                </c:pt>
                <c:pt idx="342">
                  <c:v>-21.61913845446055</c:v>
                </c:pt>
                <c:pt idx="343">
                  <c:v>-22.417878477400023</c:v>
                </c:pt>
                <c:pt idx="344">
                  <c:v>-23.216729045862262</c:v>
                </c:pt>
                <c:pt idx="345">
                  <c:v>-24.015680486532666</c:v>
                </c:pt>
                <c:pt idx="346">
                  <c:v>-24.8147239682778</c:v>
                </c:pt>
                <c:pt idx="347">
                  <c:v>-25.61385142954293</c:v>
                </c:pt>
                <c:pt idx="348">
                  <c:v>-26.413055511887094</c:v>
                </c:pt>
                <c:pt idx="349">
                  <c:v>-27.212329499157729</c:v>
                </c:pt>
                <c:pt idx="350">
                  <c:v>-28.011667261843133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E4-44B7-B096-76CEF267C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'Opamp and Cload Pole'!$H$3:$H$353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Cload Pole'!$L$3:$L$353</c:f>
              <c:numCache>
                <c:formatCode>General</c:formatCode>
                <c:ptCount val="351"/>
                <c:pt idx="0">
                  <c:v>-5.7107371374996454</c:v>
                </c:pt>
                <c:pt idx="1">
                  <c:v>-5.9779704506096865</c:v>
                </c:pt>
                <c:pt idx="2">
                  <c:v>-6.2575184106109738</c:v>
                </c:pt>
                <c:pt idx="3">
                  <c:v>-6.5499206271955686</c:v>
                </c:pt>
                <c:pt idx="4">
                  <c:v>-6.8557362734318907</c:v>
                </c:pt>
                <c:pt idx="5">
                  <c:v>-7.175544181768986</c:v>
                </c:pt>
                <c:pt idx="6">
                  <c:v>-7.5099428330236124</c:v>
                </c:pt>
                <c:pt idx="7">
                  <c:v>-7.8595502194399378</c:v>
                </c:pt>
                <c:pt idx="8">
                  <c:v>-8.2250035606068206</c:v>
                </c:pt>
                <c:pt idx="9">
                  <c:v>-8.6069588485338215</c:v>
                </c:pt>
                <c:pt idx="10">
                  <c:v>-9.0060901955511685</c:v>
                </c:pt>
                <c:pt idx="11">
                  <c:v>-9.4230889559191091</c:v>
                </c:pt>
                <c:pt idx="12">
                  <c:v>-9.8586625891596675</c:v>
                </c:pt>
                <c:pt idx="13">
                  <c:v>-10.313533230199916</c:v>
                </c:pt>
                <c:pt idx="14">
                  <c:v>-10.788435928511563</c:v>
                </c:pt>
                <c:pt idx="15">
                  <c:v>-11.284116515641216</c:v>
                </c:pt>
                <c:pt idx="16">
                  <c:v>-11.801329057970712</c:v>
                </c:pt>
                <c:pt idx="17">
                  <c:v>-12.340832849368754</c:v>
                </c:pt>
                <c:pt idx="18">
                  <c:v>-12.903388896787789</c:v>
                </c:pt>
                <c:pt idx="19">
                  <c:v>-13.489755851040641</c:v>
                </c:pt>
                <c:pt idx="20">
                  <c:v>-14.100685335235438</c:v>
                </c:pt>
                <c:pt idx="21">
                  <c:v>-14.736916624947698</c:v>
                </c:pt>
                <c:pt idx="22">
                  <c:v>-15.399170637540312</c:v>
                </c:pt>
                <c:pt idx="23">
                  <c:v>-16.088143193469342</c:v>
                </c:pt>
                <c:pt idx="24">
                  <c:v>-16.804497520386295</c:v>
                </c:pt>
                <c:pt idx="25">
                  <c:v>-17.548855981775375</c:v>
                </c:pt>
                <c:pt idx="26">
                  <c:v>-18.321791026198877</c:v>
                </c:pt>
                <c:pt idx="27">
                  <c:v>-19.123815371352212</c:v>
                </c:pt>
                <c:pt idx="28">
                  <c:v>-19.95537145937973</c:v>
                </c:pt>
                <c:pt idx="29">
                  <c:v>-20.816820246466417</c:v>
                </c:pt>
                <c:pt idx="30">
                  <c:v>-21.708429420634658</c:v>
                </c:pt>
                <c:pt idx="31">
                  <c:v>-22.630361176688037</c:v>
                </c:pt>
                <c:pt idx="32">
                  <c:v>-23.582659715834623</c:v>
                </c:pt>
                <c:pt idx="33">
                  <c:v>-24.565238678752561</c:v>
                </c:pt>
                <c:pt idx="34">
                  <c:v>-25.577868763352484</c:v>
                </c:pt>
                <c:pt idx="35">
                  <c:v>-26.620165820409223</c:v>
                </c:pt>
                <c:pt idx="36">
                  <c:v>-27.691579759223224</c:v>
                </c:pt>
                <c:pt idx="37">
                  <c:v>-28.79138462875029</c:v>
                </c:pt>
                <c:pt idx="38">
                  <c:v>-29.918670264076439</c:v>
                </c:pt>
                <c:pt idx="39">
                  <c:v>-31.07233590038053</c:v>
                </c:pt>
                <c:pt idx="40">
                  <c:v>-32.251086153369442</c:v>
                </c:pt>
                <c:pt idx="41">
                  <c:v>-33.453429743659292</c:v>
                </c:pt>
                <c:pt idx="42">
                  <c:v>-34.677681300513242</c:v>
                </c:pt>
                <c:pt idx="43">
                  <c:v>-35.921966516557518</c:v>
                </c:pt>
                <c:pt idx="44">
                  <c:v>-37.184230839851594</c:v>
                </c:pt>
                <c:pt idx="45">
                  <c:v>-38.46225178486786</c:v>
                </c:pt>
                <c:pt idx="46">
                  <c:v>-39.753654823261158</c:v>
                </c:pt>
                <c:pt idx="47">
                  <c:v>-41.055932684199526</c:v>
                </c:pt>
                <c:pt idx="48">
                  <c:v>-42.366467759440098</c:v>
                </c:pt>
                <c:pt idx="49">
                  <c:v>-43.682557178241957</c:v>
                </c:pt>
                <c:pt idx="50">
                  <c:v>-45.001439999999711</c:v>
                </c:pt>
                <c:pt idx="51">
                  <c:v>-46.320325876190509</c:v>
                </c:pt>
                <c:pt idx="52">
                  <c:v>-47.636424464770691</c:v>
                </c:pt>
                <c:pt idx="53">
                  <c:v>-48.946974844584552</c:v>
                </c:pt>
                <c:pt idx="54">
                  <c:v>-50.249274177354344</c:v>
                </c:pt>
                <c:pt idx="55">
                  <c:v>-51.540704900382508</c:v>
                </c:pt>
                <c:pt idx="56">
                  <c:v>-52.818759801559146</c:v>
                </c:pt>
                <c:pt idx="57">
                  <c:v>-54.081064424565191</c:v>
                </c:pt>
                <c:pt idx="58">
                  <c:v>-55.325396369353825</c:v>
                </c:pt>
                <c:pt idx="59">
                  <c:v>-56.549701183102449</c:v>
                </c:pt>
                <c:pt idx="60">
                  <c:v>-57.752104671402527</c:v>
                </c:pt>
                <c:pt idx="61">
                  <c:v>-58.930921590568701</c:v>
                </c:pt>
                <c:pt idx="62">
                  <c:v>-60.084660802625308</c:v>
                </c:pt>
                <c:pt idx="63">
                  <c:v>-61.212027079342548</c:v>
                </c:pt>
                <c:pt idx="64">
                  <c:v>-62.311919826951488</c:v>
                </c:pt>
                <c:pt idx="65">
                  <c:v>-63.383429066938383</c:v>
                </c:pt>
                <c:pt idx="66">
                  <c:v>-64.425829050406193</c:v>
                </c:pt>
                <c:pt idx="67">
                  <c:v>-65.438569904975907</c:v>
                </c:pt>
                <c:pt idx="68">
                  <c:v>-66.421267716380243</c:v>
                </c:pt>
                <c:pt idx="69">
                  <c:v>-67.373693434623348</c:v>
                </c:pt>
                <c:pt idx="70">
                  <c:v>-68.295760970147654</c:v>
                </c:pt>
                <c:pt idx="71">
                  <c:v>-69.187514812167151</c:v>
                </c:pt>
                <c:pt idx="72">
                  <c:v>-70.049117462345677</c:v>
                </c:pt>
                <c:pt idx="73">
                  <c:v>-70.880836935069553</c:v>
                </c:pt>
                <c:pt idx="74">
                  <c:v>-71.683034533085134</c:v>
                </c:pt>
                <c:pt idx="75">
                  <c:v>-72.456153066028762</c:v>
                </c:pt>
                <c:pt idx="76">
                  <c:v>-73.200705640799853</c:v>
                </c:pt>
                <c:pt idx="77">
                  <c:v>-73.917265117701064</c:v>
                </c:pt>
                <c:pt idx="78">
                  <c:v>-74.606454295367158</c:v>
                </c:pt>
                <c:pt idx="79">
                  <c:v>-75.268936860933522</c:v>
                </c:pt>
                <c:pt idx="80">
                  <c:v>-75.9054091196477</c:v>
                </c:pt>
                <c:pt idx="81">
                  <c:v>-76.516592499999746</c:v>
                </c:pt>
                <c:pt idx="82">
                  <c:v>-77.103226816113349</c:v>
                </c:pt>
                <c:pt idx="83">
                  <c:v>-77.666064258206646</c:v>
                </c:pt>
                <c:pt idx="84">
                  <c:v>-78.205864073968456</c:v>
                </c:pt>
                <c:pt idx="85">
                  <c:v>-78.723387898258295</c:v>
                </c:pt>
                <c:pt idx="86">
                  <c:v>-79.219395685215574</c:v>
                </c:pt>
                <c:pt idx="87">
                  <c:v>-79.694642195256947</c:v>
                </c:pt>
                <c:pt idx="88">
                  <c:v>-80.149873989199676</c:v>
                </c:pt>
                <c:pt idx="89">
                  <c:v>-80.585826882568739</c:v>
                </c:pt>
                <c:pt idx="90">
                  <c:v>-81.0032238147529</c:v>
                </c:pt>
                <c:pt idx="91">
                  <c:v>-81.402773089849831</c:v>
                </c:pt>
                <c:pt idx="92">
                  <c:v>-81.785166948601059</c:v>
                </c:pt>
                <c:pt idx="93">
                  <c:v>-82.151080433603994</c:v>
                </c:pt>
                <c:pt idx="94">
                  <c:v>-82.501170512894845</c:v>
                </c:pt>
                <c:pt idx="95">
                  <c:v>-82.836075429918395</c:v>
                </c:pt>
                <c:pt idx="96">
                  <c:v>-83.156414250776109</c:v>
                </c:pt>
                <c:pt idx="97">
                  <c:v>-83.462786582420961</c:v>
                </c:pt>
                <c:pt idx="98">
                  <c:v>-83.755772438106078</c:v>
                </c:pt>
                <c:pt idx="99">
                  <c:v>-84.035932228875936</c:v>
                </c:pt>
                <c:pt idx="100">
                  <c:v>-84.303806862197177</c:v>
                </c:pt>
                <c:pt idx="101">
                  <c:v>-84.55991793095707</c:v>
                </c:pt>
                <c:pt idx="102">
                  <c:v>-84.804767978006041</c:v>
                </c:pt>
                <c:pt idx="103">
                  <c:v>-85.038840823198413</c:v>
                </c:pt>
                <c:pt idx="104">
                  <c:v>-85.262601941491454</c:v>
                </c:pt>
                <c:pt idx="105">
                  <c:v>-85.476498882109013</c:v>
                </c:pt>
                <c:pt idx="106">
                  <c:v>-85.680961720074819</c:v>
                </c:pt>
                <c:pt idx="107">
                  <c:v>-85.876403532578962</c:v>
                </c:pt>
                <c:pt idx="108">
                  <c:v>-86.063220893671271</c:v>
                </c:pt>
                <c:pt idx="109">
                  <c:v>-86.241794381690923</c:v>
                </c:pt>
                <c:pt idx="110">
                  <c:v>-86.412489094648478</c:v>
                </c:pt>
                <c:pt idx="111">
                  <c:v>-86.575655169489849</c:v>
                </c:pt>
                <c:pt idx="112">
                  <c:v>-86.731628301797855</c:v>
                </c:pt>
                <c:pt idx="113">
                  <c:v>-86.880730263034479</c:v>
                </c:pt>
                <c:pt idx="114">
                  <c:v>-87.023269412908888</c:v>
                </c:pt>
                <c:pt idx="115">
                  <c:v>-87.159541204872184</c:v>
                </c:pt>
                <c:pt idx="116">
                  <c:v>-87.289828683105483</c:v>
                </c:pt>
                <c:pt idx="117">
                  <c:v>-87.414402969681845</c:v>
                </c:pt>
                <c:pt idx="118">
                  <c:v>-87.533523740856722</c:v>
                </c:pt>
                <c:pt idx="119">
                  <c:v>-87.647439691675572</c:v>
                </c:pt>
                <c:pt idx="120">
                  <c:v>-87.756388988290539</c:v>
                </c:pt>
                <c:pt idx="121">
                  <c:v>-87.860599707550293</c:v>
                </c:pt>
                <c:pt idx="122">
                  <c:v>-87.960290263576326</c:v>
                </c:pt>
                <c:pt idx="123">
                  <c:v>-88.055669821163534</c:v>
                </c:pt>
                <c:pt idx="124">
                  <c:v>-88.146938695950027</c:v>
                </c:pt>
                <c:pt idx="125">
                  <c:v>-88.234288741390614</c:v>
                </c:pt>
                <c:pt idx="126">
                  <c:v>-88.31790372264355</c:v>
                </c:pt>
                <c:pt idx="127">
                  <c:v>-88.397959677542275</c:v>
                </c:pt>
                <c:pt idx="128">
                  <c:v>-88.474625264875598</c:v>
                </c:pt>
                <c:pt idx="129">
                  <c:v>-88.548062100241808</c:v>
                </c:pt>
                <c:pt idx="130">
                  <c:v>-88.618425079775776</c:v>
                </c:pt>
                <c:pt idx="131">
                  <c:v>-88.685862692075602</c:v>
                </c:pt>
                <c:pt idx="132">
                  <c:v>-88.750517318675591</c:v>
                </c:pt>
                <c:pt idx="133">
                  <c:v>-88.81252552342896</c:v>
                </c:pt>
                <c:pt idx="134">
                  <c:v>-88.8720183311748</c:v>
                </c:pt>
                <c:pt idx="135">
                  <c:v>-88.929121496071545</c:v>
                </c:pt>
                <c:pt idx="136">
                  <c:v>-88.98395575998444</c:v>
                </c:pt>
                <c:pt idx="137">
                  <c:v>-89.036637101316344</c:v>
                </c:pt>
                <c:pt idx="138">
                  <c:v>-89.087276974671539</c:v>
                </c:pt>
                <c:pt idx="139">
                  <c:v>-89.135982541740105</c:v>
                </c:pt>
                <c:pt idx="140">
                  <c:v>-89.182856893787744</c:v>
                </c:pt>
                <c:pt idx="141">
                  <c:v>-89.227999266131206</c:v>
                </c:pt>
                <c:pt idx="142">
                  <c:v>-89.27150524497462</c:v>
                </c:pt>
                <c:pt idx="143">
                  <c:v>-89.313466966975554</c:v>
                </c:pt>
                <c:pt idx="144">
                  <c:v>-89.353973311903687</c:v>
                </c:pt>
                <c:pt idx="145">
                  <c:v>-89.393110088747761</c:v>
                </c:pt>
                <c:pt idx="146">
                  <c:v>-89.430960215619493</c:v>
                </c:pt>
                <c:pt idx="147">
                  <c:v>-89.467603893795825</c:v>
                </c:pt>
                <c:pt idx="148">
                  <c:v>-89.503118776233549</c:v>
                </c:pt>
                <c:pt idx="149">
                  <c:v>-89.537580130883484</c:v>
                </c:pt>
                <c:pt idx="150">
                  <c:v>-89.571060999123418</c:v>
                </c:pt>
                <c:pt idx="151">
                  <c:v>-89.603632349623183</c:v>
                </c:pt>
                <c:pt idx="152">
                  <c:v>-89.635363227947337</c:v>
                </c:pt>
                <c:pt idx="153">
                  <c:v>-89.666320902195409</c:v>
                </c:pt>
                <c:pt idx="154">
                  <c:v>-89.696571004972981</c:v>
                </c:pt>
                <c:pt idx="155">
                  <c:v>-89.726177671980878</c:v>
                </c:pt>
                <c:pt idx="156">
                  <c:v>-89.755203677504866</c:v>
                </c:pt>
                <c:pt idx="157">
                  <c:v>-89.78371056708238</c:v>
                </c:pt>
                <c:pt idx="158">
                  <c:v>-89.811758787618729</c:v>
                </c:pt>
                <c:pt idx="159">
                  <c:v>-89.839407815220127</c:v>
                </c:pt>
                <c:pt idx="160">
                  <c:v>-89.866716281007996</c:v>
                </c:pt>
                <c:pt idx="161">
                  <c:v>-89.893742095174176</c:v>
                </c:pt>
                <c:pt idx="162">
                  <c:v>-89.920542569534788</c:v>
                </c:pt>
                <c:pt idx="163">
                  <c:v>-89.947174538837132</c:v>
                </c:pt>
                <c:pt idx="164">
                  <c:v>-89.973694481071945</c:v>
                </c:pt>
                <c:pt idx="165">
                  <c:v>-90.000158637041736</c:v>
                </c:pt>
                <c:pt idx="166">
                  <c:v>-90.026623129434199</c:v>
                </c:pt>
                <c:pt idx="167">
                  <c:v>-90.05314408164935</c:v>
                </c:pt>
                <c:pt idx="168">
                  <c:v>-90.07977773662806</c:v>
                </c:pt>
                <c:pt idx="169">
                  <c:v>-90.106580575930039</c:v>
                </c:pt>
                <c:pt idx="170">
                  <c:v>-90.133609439309495</c:v>
                </c:pt>
                <c:pt idx="171">
                  <c:v>-90.160921645037988</c:v>
                </c:pt>
                <c:pt idx="172">
                  <c:v>-90.188575111224566</c:v>
                </c:pt>
                <c:pt idx="173">
                  <c:v>-90.216628478386326</c:v>
                </c:pt>
                <c:pt idx="174">
                  <c:v>-90.245141233523114</c:v>
                </c:pt>
                <c:pt idx="175">
                  <c:v>-90.274173835954414</c:v>
                </c:pt>
                <c:pt idx="176">
                  <c:v>-90.303787845178363</c:v>
                </c:pt>
                <c:pt idx="177">
                  <c:v>-90.334046051016756</c:v>
                </c:pt>
                <c:pt idx="178">
                  <c:v>-90.365012606314167</c:v>
                </c:pt>
                <c:pt idx="179">
                  <c:v>-90.396753162463014</c:v>
                </c:pt>
                <c:pt idx="180">
                  <c:v>-90.429335008031813</c:v>
                </c:pt>
                <c:pt idx="181">
                  <c:v>-90.462827210778428</c:v>
                </c:pt>
                <c:pt idx="182">
                  <c:v>-90.497300763336057</c:v>
                </c:pt>
                <c:pt idx="183">
                  <c:v>-90.532828732865354</c:v>
                </c:pt>
                <c:pt idx="184">
                  <c:v>-90.569486414972388</c:v>
                </c:pt>
                <c:pt idx="185">
                  <c:v>-90.607351492198262</c:v>
                </c:pt>
                <c:pt idx="186">
                  <c:v>-90.64650419739381</c:v>
                </c:pt>
                <c:pt idx="187">
                  <c:v>-90.687027482298447</c:v>
                </c:pt>
                <c:pt idx="188">
                  <c:v>-90.729007191650851</c:v>
                </c:pt>
                <c:pt idx="189">
                  <c:v>-90.772532243165145</c:v>
                </c:pt>
                <c:pt idx="190">
                  <c:v>-90.817694813714411</c:v>
                </c:pt>
                <c:pt idx="191">
                  <c:v>-90.864590532069982</c:v>
                </c:pt>
                <c:pt idx="192">
                  <c:v>-90.913318678552656</c:v>
                </c:pt>
                <c:pt idx="193">
                  <c:v>-90.963982391958353</c:v>
                </c:pt>
                <c:pt idx="194">
                  <c:v>-91.016688884127433</c:v>
                </c:pt>
                <c:pt idx="195">
                  <c:v>-91.071549662532959</c:v>
                </c:pt>
                <c:pt idx="196">
                  <c:v>-91.1286807612681</c:v>
                </c:pt>
                <c:pt idx="197">
                  <c:v>-91.188202980817536</c:v>
                </c:pt>
                <c:pt idx="198">
                  <c:v>-91.250242137000555</c:v>
                </c:pt>
                <c:pt idx="199">
                  <c:v>-91.314929319475496</c:v>
                </c:pt>
                <c:pt idx="200">
                  <c:v>-91.382401160194931</c:v>
                </c:pt>
                <c:pt idx="201">
                  <c:v>-91.452800112198844</c:v>
                </c:pt>
                <c:pt idx="202">
                  <c:v>-91.526274739128084</c:v>
                </c:pt>
                <c:pt idx="203">
                  <c:v>-91.602980015832685</c:v>
                </c:pt>
                <c:pt idx="204">
                  <c:v>-91.683077640437887</c:v>
                </c:pt>
                <c:pt idx="205">
                  <c:v>-91.766736358214999</c:v>
                </c:pt>
                <c:pt idx="206">
                  <c:v>-91.854132297582581</c:v>
                </c:pt>
                <c:pt idx="207">
                  <c:v>-91.94544931853747</c:v>
                </c:pt>
                <c:pt idx="208">
                  <c:v>-92.040879373780228</c:v>
                </c:pt>
                <c:pt idx="209">
                  <c:v>-92.140622882757782</c:v>
                </c:pt>
                <c:pt idx="210">
                  <c:v>-92.244889118794774</c:v>
                </c:pt>
                <c:pt idx="211">
                  <c:v>-92.353896609422009</c:v>
                </c:pt>
                <c:pt idx="212">
                  <c:v>-92.46787354993549</c:v>
                </c:pt>
                <c:pt idx="213">
                  <c:v>-92.587058230130069</c:v>
                </c:pt>
                <c:pt idx="214">
                  <c:v>-92.711699474043826</c:v>
                </c:pt>
                <c:pt idx="215">
                  <c:v>-92.842057092425122</c:v>
                </c:pt>
                <c:pt idx="216">
                  <c:v>-92.978402347484206</c:v>
                </c:pt>
                <c:pt idx="217">
                  <c:v>-93.121018429319363</c:v>
                </c:pt>
                <c:pt idx="218">
                  <c:v>-93.270200943203406</c:v>
                </c:pt>
                <c:pt idx="219">
                  <c:v>-93.426258406682066</c:v>
                </c:pt>
                <c:pt idx="220">
                  <c:v>-93.589512755161707</c:v>
                </c:pt>
                <c:pt idx="221">
                  <c:v>-93.760299854348133</c:v>
                </c:pt>
                <c:pt idx="222">
                  <c:v>-93.938970017534004</c:v>
                </c:pt>
                <c:pt idx="223">
                  <c:v>-94.125888525312817</c:v>
                </c:pt>
                <c:pt idx="224">
                  <c:v>-94.321436144818193</c:v>
                </c:pt>
                <c:pt idx="225">
                  <c:v>-94.526009645036012</c:v>
                </c:pt>
                <c:pt idx="226">
                  <c:v>-94.740022304110994</c:v>
                </c:pt>
                <c:pt idx="227">
                  <c:v>-94.963904403855196</c:v>
                </c:pt>
                <c:pt idx="228">
                  <c:v>-95.198103705857093</c:v>
                </c:pt>
                <c:pt idx="229">
                  <c:v>-95.443085902673488</c:v>
                </c:pt>
                <c:pt idx="230">
                  <c:v>-95.699335036555041</c:v>
                </c:pt>
                <c:pt idx="231">
                  <c:v>-95.967353876994181</c:v>
                </c:pt>
                <c:pt idx="232">
                  <c:v>-96.247664247087584</c:v>
                </c:pt>
                <c:pt idx="233">
                  <c:v>-96.5408072872536</c:v>
                </c:pt>
                <c:pt idx="234">
                  <c:v>-96.847343643237849</c:v>
                </c:pt>
                <c:pt idx="235">
                  <c:v>-97.167853563563114</c:v>
                </c:pt>
                <c:pt idx="236">
                  <c:v>-97.502936889624934</c:v>
                </c:pt>
                <c:pt idx="237">
                  <c:v>-97.853212919505239</c:v>
                </c:pt>
                <c:pt idx="238">
                  <c:v>-98.219320124261628</c:v>
                </c:pt>
                <c:pt idx="239">
                  <c:v>-98.601915692971971</c:v>
                </c:pt>
                <c:pt idx="240">
                  <c:v>-99.001674880166675</c:v>
                </c:pt>
                <c:pt idx="241">
                  <c:v>-99.419290126508145</c:v>
                </c:pt>
                <c:pt idx="242">
                  <c:v>-99.855469920698496</c:v>
                </c:pt>
                <c:pt idx="243">
                  <c:v>-100.31093736767352</c:v>
                </c:pt>
                <c:pt idx="244">
                  <c:v>-100.78642842523587</c:v>
                </c:pt>
                <c:pt idx="245">
                  <c:v>-101.28268976849674</c:v>
                </c:pt>
                <c:pt idx="246">
                  <c:v>-101.80047623893573</c:v>
                </c:pt>
                <c:pt idx="247">
                  <c:v>-102.34054783272357</c:v>
                </c:pt>
                <c:pt idx="248">
                  <c:v>-102.90366618134817</c:v>
                </c:pt>
                <c:pt idx="249">
                  <c:v>-103.49059047677881</c:v>
                </c:pt>
                <c:pt idx="250">
                  <c:v>-104.10207279365805</c:v>
                </c:pt>
                <c:pt idx="251">
                  <c:v>-104.73885276263574</c:v>
                </c:pt>
                <c:pt idx="252">
                  <c:v>-105.40165155230495</c:v>
                </c:pt>
                <c:pt idx="253">
                  <c:v>-106.09116512266567</c:v>
                </c:pt>
                <c:pt idx="254">
                  <c:v>-106.80805672103675</c:v>
                </c:pt>
                <c:pt idx="255">
                  <c:v>-107.55294860231109</c:v>
                </c:pt>
                <c:pt idx="256">
                  <c:v>-108.32641296982278</c:v>
                </c:pt>
                <c:pt idx="257">
                  <c:v>-109.12896215126945</c:v>
                </c:pt>
                <c:pt idx="258">
                  <c:v>-109.96103804643853</c:v>
                </c:pt>
                <c:pt idx="259">
                  <c:v>-110.82300091009846</c:v>
                </c:pt>
                <c:pt idx="260">
                  <c:v>-111.71511756438048</c:v>
                </c:pt>
                <c:pt idx="261">
                  <c:v>-112.63754917003935</c:v>
                </c:pt>
                <c:pt idx="262">
                  <c:v>-113.5903387246079</c:v>
                </c:pt>
                <c:pt idx="263">
                  <c:v>-114.57339849671538</c:v>
                </c:pt>
                <c:pt idx="264">
                  <c:v>-115.58649764833126</c:v>
                </c:pt>
                <c:pt idx="265">
                  <c:v>-116.62925033860783</c:v>
                </c:pt>
                <c:pt idx="266">
                  <c:v>-117.70110464191085</c:v>
                </c:pt>
                <c:pt idx="267">
                  <c:v>-118.80133264583775</c:v>
                </c:pt>
                <c:pt idx="268">
                  <c:v>-119.92902211932368</c:v>
                </c:pt>
                <c:pt idx="269">
                  <c:v>-121.08307015304251</c:v>
                </c:pt>
                <c:pt idx="270">
                  <c:v>-122.26217917093511</c:v>
                </c:pt>
                <c:pt idx="271">
                  <c:v>-123.46485568997377</c:v>
                </c:pt>
                <c:pt idx="272">
                  <c:v>-124.68941216292625</c:v>
                </c:pt>
                <c:pt idx="273">
                  <c:v>-125.93397217485322</c:v>
                </c:pt>
                <c:pt idx="274">
                  <c:v>-127.19647917855985</c:v>
                </c:pt>
                <c:pt idx="275">
                  <c:v>-128.47470884920779</c:v>
                </c:pt>
                <c:pt idx="276">
                  <c:v>-129.76628501743082</c:v>
                </c:pt>
                <c:pt idx="277">
                  <c:v>-131.06869900912776</c:v>
                </c:pt>
                <c:pt idx="278">
                  <c:v>-132.37933208550828</c:v>
                </c:pt>
                <c:pt idx="279">
                  <c:v>-133.6954805469891</c:v>
                </c:pt>
                <c:pt idx="280">
                  <c:v>-135.01438294752361</c:v>
                </c:pt>
                <c:pt idx="281">
                  <c:v>-136.33324876996741</c:v>
                </c:pt>
                <c:pt idx="282">
                  <c:v>-137.64928784498267</c:v>
                </c:pt>
                <c:pt idx="283">
                  <c:v>-138.9597397608301</c:v>
                </c:pt>
                <c:pt idx="284">
                  <c:v>-140.26190251183792</c:v>
                </c:pt>
                <c:pt idx="285">
                  <c:v>-141.55315966931053</c:v>
                </c:pt>
                <c:pt idx="286">
                  <c:v>-142.83100542747709</c:v>
                </c:pt>
                <c:pt idx="287">
                  <c:v>-144.09306697365801</c:v>
                </c:pt>
                <c:pt idx="288">
                  <c:v>-145.33712374924411</c:v>
                </c:pt>
                <c:pt idx="289">
                  <c:v>-146.56112329827164</c:v>
                </c:pt>
                <c:pt idx="290">
                  <c:v>-147.76319353498067</c:v>
                </c:pt>
                <c:pt idx="291">
                  <c:v>-148.94165139274935</c:v>
                </c:pt>
                <c:pt idx="292">
                  <c:v>-150.0950079373284</c:v>
                </c:pt>
                <c:pt idx="293">
                  <c:v>-151.22197013188858</c:v>
                </c:pt>
                <c:pt idx="294">
                  <c:v>-152.32143952640138</c:v>
                </c:pt>
                <c:pt idx="295">
                  <c:v>-153.39250820739463</c:v>
                </c:pt>
                <c:pt idx="296">
                  <c:v>-154.43445238593145</c:v>
                </c:pt>
                <c:pt idx="297">
                  <c:v>-155.44672402293972</c:v>
                </c:pt>
                <c:pt idx="298">
                  <c:v>-156.42894089397274</c:v>
                </c:pt>
                <c:pt idx="299">
                  <c:v>-157.3808754830504</c:v>
                </c:pt>
                <c:pt idx="300">
                  <c:v>-158.30244307066405</c:v>
                </c:pt>
                <c:pt idx="301">
                  <c:v>-159.19368934767098</c:v>
                </c:pt>
                <c:pt idx="302">
                  <c:v>-160.05477784775263</c:v>
                </c:pt>
                <c:pt idx="303">
                  <c:v>-160.88597744918869</c:v>
                </c:pt>
                <c:pt idx="304">
                  <c:v>-161.68765015419933</c:v>
                </c:pt>
                <c:pt idx="305">
                  <c:v>-162.46023931290847</c:v>
                </c:pt>
                <c:pt idx="306">
                  <c:v>-163.20425842043082</c:v>
                </c:pt>
                <c:pt idx="307">
                  <c:v>-163.92028058060973</c:v>
                </c:pt>
                <c:pt idx="308">
                  <c:v>-164.60892869908335</c:v>
                </c:pt>
                <c:pt idx="309">
                  <c:v>-165.27086644183211</c:v>
                </c:pt>
                <c:pt idx="310">
                  <c:v>-165.90678997317264</c:v>
                </c:pt>
                <c:pt idx="311">
                  <c:v>-166.51742046907353</c:v>
                </c:pt>
                <c:pt idx="312">
                  <c:v>-167.10349738738461</c:v>
                </c:pt>
                <c:pt idx="313">
                  <c:v>-167.6657724656755</c:v>
                </c:pt>
                <c:pt idx="314">
                  <c:v>-168.20500440944278</c:v>
                </c:pt>
                <c:pt idx="315">
                  <c:v>-168.72195422804575</c:v>
                </c:pt>
                <c:pt idx="316">
                  <c:v>-169.21738117242069</c:v>
                </c:pt>
                <c:pt idx="317">
                  <c:v>-169.69203922704102</c:v>
                </c:pt>
                <c:pt idx="318">
                  <c:v>-170.14667410836205</c:v>
                </c:pt>
                <c:pt idx="319">
                  <c:v>-170.58202072282086</c:v>
                </c:pt>
                <c:pt idx="320">
                  <c:v>-170.99880103907424</c:v>
                </c:pt>
                <c:pt idx="321">
                  <c:v>-171.39772233134315</c:v>
                </c:pt>
                <c:pt idx="322">
                  <c:v>-171.77947575329003</c:v>
                </c:pt>
                <c:pt idx="323">
                  <c:v>-172.14473520464972</c:v>
                </c:pt>
                <c:pt idx="324">
                  <c:v>-172.49415645573609</c:v>
                </c:pt>
                <c:pt idx="325">
                  <c:v>-172.82837649787317</c:v>
                </c:pt>
                <c:pt idx="326">
                  <c:v>-173.14801309067172</c:v>
                </c:pt>
                <c:pt idx="327">
                  <c:v>-173.45366447984532</c:v>
                </c:pt>
                <c:pt idx="328">
                  <c:v>-173.74590926190189</c:v>
                </c:pt>
                <c:pt idx="329">
                  <c:v>-174.02530637452145</c:v>
                </c:pt>
                <c:pt idx="330">
                  <c:v>-174.2923951937384</c:v>
                </c:pt>
                <c:pt idx="331">
                  <c:v>-174.54769572117581</c:v>
                </c:pt>
                <c:pt idx="332">
                  <c:v>-174.79170884652433</c:v>
                </c:pt>
                <c:pt idx="333">
                  <c:v>-175.02491667223441</c:v>
                </c:pt>
                <c:pt idx="334">
                  <c:v>-175.24778288899245</c:v>
                </c:pt>
                <c:pt idx="335">
                  <c:v>-175.46075319199906</c:v>
                </c:pt>
                <c:pt idx="336">
                  <c:v>-175.66425572936021</c:v>
                </c:pt>
                <c:pt idx="337">
                  <c:v>-175.85870157506116</c:v>
                </c:pt>
                <c:pt idx="338">
                  <c:v>-176.04448522002133</c:v>
                </c:pt>
                <c:pt idx="339">
                  <c:v>-176.22198507564062</c:v>
                </c:pt>
                <c:pt idx="340">
                  <c:v>-176.39156398505503</c:v>
                </c:pt>
                <c:pt idx="341">
                  <c:v>-176.55356973802915</c:v>
                </c:pt>
                <c:pt idx="342">
                  <c:v>-176.70833558603971</c:v>
                </c:pt>
                <c:pt idx="343">
                  <c:v>-176.85618075464933</c:v>
                </c:pt>
                <c:pt idx="344">
                  <c:v>-176.99741095075046</c:v>
                </c:pt>
                <c:pt idx="345">
                  <c:v>-177.13231886267522</c:v>
                </c:pt>
                <c:pt idx="346">
                  <c:v>-177.26118465152908</c:v>
                </c:pt>
                <c:pt idx="347">
                  <c:v>-177.38427643242275</c:v>
                </c:pt>
                <c:pt idx="348">
                  <c:v>-177.50185074454549</c:v>
                </c:pt>
                <c:pt idx="349">
                  <c:v>-177.61415300926004</c:v>
                </c:pt>
                <c:pt idx="350">
                  <c:v>-177.72141797559829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E4-44B7-B096-76CEF267C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73704"/>
        <c:axId val="540376328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0796782114987912"/>
              <c:y val="0.876000913588057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  <c:majorUnit val="10"/>
      </c:valAx>
      <c:valAx>
        <c:axId val="540376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(degrees)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73704"/>
        <c:crosses val="max"/>
        <c:crossBetween val="midCat"/>
      </c:valAx>
      <c:valAx>
        <c:axId val="54037370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037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Cload Pole'!$M$3:$M$353</c:f>
              <c:numCache>
                <c:formatCode>General</c:formatCode>
                <c:ptCount val="351"/>
                <c:pt idx="0">
                  <c:v>990098.76105571399</c:v>
                </c:pt>
                <c:pt idx="1">
                  <c:v>989153.86792988901</c:v>
                </c:pt>
                <c:pt idx="2">
                  <c:v>988119.88389494398</c:v>
                </c:pt>
                <c:pt idx="3">
                  <c:v>986988.62462471798</c:v>
                </c:pt>
                <c:pt idx="4">
                  <c:v>985751.19687204005</c:v>
                </c:pt>
                <c:pt idx="5">
                  <c:v>984397.94563577604</c:v>
                </c:pt>
                <c:pt idx="6">
                  <c:v>982918.39914575301</c:v>
                </c:pt>
                <c:pt idx="7">
                  <c:v>981301.21197438298</c:v>
                </c:pt>
                <c:pt idx="8">
                  <c:v>979534.10669777996</c:v>
                </c:pt>
                <c:pt idx="9">
                  <c:v>977603.81466529903</c:v>
                </c:pt>
                <c:pt idx="10">
                  <c:v>975496.01659739099</c:v>
                </c:pt>
                <c:pt idx="11">
                  <c:v>973195.28392016701</c:v>
                </c:pt>
                <c:pt idx="12">
                  <c:v>970685.02196379297</c:v>
                </c:pt>
                <c:pt idx="13">
                  <c:v>967947.41640284006</c:v>
                </c:pt>
                <c:pt idx="14">
                  <c:v>964963.38460182596</c:v>
                </c:pt>
                <c:pt idx="15">
                  <c:v>961712.53384876705</c:v>
                </c:pt>
                <c:pt idx="16">
                  <c:v>958173.12881308002</c:v>
                </c:pt>
                <c:pt idx="17">
                  <c:v>954322.07094876701</c:v>
                </c:pt>
                <c:pt idx="18">
                  <c:v>950134.89297419298</c:v>
                </c:pt>
                <c:pt idx="19">
                  <c:v>945585.77198741399</c:v>
                </c:pt>
                <c:pt idx="20">
                  <c:v>940647.56520784798</c:v>
                </c:pt>
                <c:pt idx="21">
                  <c:v>935291.87275346206</c:v>
                </c:pt>
                <c:pt idx="22">
                  <c:v>929489.13224337797</c:v>
                </c:pt>
                <c:pt idx="23">
                  <c:v>923208.750328294</c:v>
                </c:pt>
                <c:pt idx="24">
                  <c:v>916419.27645681798</c:v>
                </c:pt>
                <c:pt idx="25">
                  <c:v>909088.62423882901</c:v>
                </c:pt>
                <c:pt idx="26">
                  <c:v>901184.34561339801</c:v>
                </c:pt>
                <c:pt idx="27">
                  <c:v>892673.962608631</c:v>
                </c:pt>
                <c:pt idx="28">
                  <c:v>883525.36072947201</c:v>
                </c:pt>
                <c:pt idx="29">
                  <c:v>873707.24686199904</c:v>
                </c:pt>
                <c:pt idx="30">
                  <c:v>863189.672978246</c:v>
                </c:pt>
                <c:pt idx="31">
                  <c:v>851944.62481514399</c:v>
                </c:pt>
                <c:pt idx="32">
                  <c:v>839946.67205588298</c:v>
                </c:pt>
                <c:pt idx="33">
                  <c:v>827173.67336379795</c:v>
                </c:pt>
                <c:pt idx="34">
                  <c:v>813607.52595177304</c:v>
                </c:pt>
                <c:pt idx="35">
                  <c:v>799234.94531073503</c:v>
                </c:pt>
                <c:pt idx="36">
                  <c:v>784048.25642853102</c:v>
                </c:pt>
                <c:pt idx="37">
                  <c:v>768046.17353209096</c:v>
                </c:pt>
                <c:pt idx="38">
                  <c:v>751234.54137581703</c:v>
                </c:pt>
                <c:pt idx="39">
                  <c:v>733627.00773032801</c:v>
                </c:pt>
                <c:pt idx="40">
                  <c:v>715245.594390415</c:v>
                </c:pt>
                <c:pt idx="41">
                  <c:v>696121.13312068104</c:v>
                </c:pt>
                <c:pt idx="42">
                  <c:v>676293.53386189602</c:v>
                </c:pt>
                <c:pt idx="43">
                  <c:v>655811.85552083398</c:v>
                </c:pt>
                <c:pt idx="44">
                  <c:v>634734.15492036205</c:v>
                </c:pt>
                <c:pt idx="45">
                  <c:v>613127.09697659197</c:v>
                </c:pt>
                <c:pt idx="46">
                  <c:v>591065.31866542797</c:v>
                </c:pt>
                <c:pt idx="47">
                  <c:v>568630.55038692802</c:v>
                </c:pt>
                <c:pt idx="48">
                  <c:v>545910.51026685606</c:v>
                </c:pt>
                <c:pt idx="49">
                  <c:v>522997.59891966399</c:v>
                </c:pt>
                <c:pt idx="50">
                  <c:v>499987.43331356603</c:v>
                </c:pt>
                <c:pt idx="51">
                  <c:v>476977.26770746801</c:v>
                </c:pt>
                <c:pt idx="52">
                  <c:v>454064.35636027198</c:v>
                </c:pt>
                <c:pt idx="53">
                  <c:v>431344.316240202</c:v>
                </c:pt>
                <c:pt idx="54">
                  <c:v>408909.54796170798</c:v>
                </c:pt>
                <c:pt idx="55">
                  <c:v>386847.769650542</c:v>
                </c:pt>
                <c:pt idx="56">
                  <c:v>365240.711706776</c:v>
                </c:pt>
                <c:pt idx="57">
                  <c:v>344163.01110630302</c:v>
                </c:pt>
                <c:pt idx="58">
                  <c:v>323681.33276524401</c:v>
                </c:pt>
                <c:pt idx="59">
                  <c:v>303853.733506463</c:v>
                </c:pt>
                <c:pt idx="60">
                  <c:v>284729.27223673102</c:v>
                </c:pt>
                <c:pt idx="61">
                  <c:v>266347.85889682203</c:v>
                </c:pt>
                <c:pt idx="62">
                  <c:v>248740.325251334</c:v>
                </c:pt>
                <c:pt idx="63">
                  <c:v>231928.69309506801</c:v>
                </c:pt>
                <c:pt idx="64">
                  <c:v>215926.610198629</c:v>
                </c:pt>
                <c:pt idx="65">
                  <c:v>200739.92131643201</c:v>
                </c:pt>
                <c:pt idx="66">
                  <c:v>186367.340675399</c:v>
                </c:pt>
                <c:pt idx="67">
                  <c:v>172801.19326338</c:v>
                </c:pt>
                <c:pt idx="68">
                  <c:v>160028.194571303</c:v>
                </c:pt>
                <c:pt idx="69">
                  <c:v>148030.24181205101</c:v>
                </c:pt>
                <c:pt idx="70">
                  <c:v>136785.19364895599</c:v>
                </c:pt>
                <c:pt idx="71">
                  <c:v>126267.61976521301</c:v>
                </c:pt>
                <c:pt idx="72">
                  <c:v>116449.50589775</c:v>
                </c:pt>
                <c:pt idx="73">
                  <c:v>107300.90401860399</c:v>
                </c:pt>
                <c:pt idx="74">
                  <c:v>98790.521013848804</c:v>
                </c:pt>
                <c:pt idx="75">
                  <c:v>90886.2423884319</c:v>
                </c:pt>
                <c:pt idx="76">
                  <c:v>83555.590170457494</c:v>
                </c:pt>
                <c:pt idx="77">
                  <c:v>76766.116298997906</c:v>
                </c:pt>
                <c:pt idx="78">
                  <c:v>70485.734383932606</c:v>
                </c:pt>
                <c:pt idx="79">
                  <c:v>64682.993873869098</c:v>
                </c:pt>
                <c:pt idx="80">
                  <c:v>59327.3014195043</c:v>
                </c:pt>
                <c:pt idx="81">
                  <c:v>54389.0946399635</c:v>
                </c:pt>
                <c:pt idx="82">
                  <c:v>49839.973653210203</c:v>
                </c:pt>
                <c:pt idx="83">
                  <c:v>45652.795678665199</c:v>
                </c:pt>
                <c:pt idx="84">
                  <c:v>41801.737814383501</c:v>
                </c:pt>
                <c:pt idx="85">
                  <c:v>38262.332778732998</c:v>
                </c:pt>
                <c:pt idx="86">
                  <c:v>35011.482025712598</c:v>
                </c:pt>
                <c:pt idx="87">
                  <c:v>32027.4502247403</c:v>
                </c:pt>
                <c:pt idx="88">
                  <c:v>29289.844663833701</c:v>
                </c:pt>
                <c:pt idx="89">
                  <c:v>26779.582707509999</c:v>
                </c:pt>
                <c:pt idx="90">
                  <c:v>24478.850030342499</c:v>
                </c:pt>
                <c:pt idx="91">
                  <c:v>22371.051962494599</c:v>
                </c:pt>
                <c:pt idx="92">
                  <c:v>20440.759930080399</c:v>
                </c:pt>
                <c:pt idx="93">
                  <c:v>18673.654653550599</c:v>
                </c:pt>
                <c:pt idx="94">
                  <c:v>17056.467482261702</c:v>
                </c:pt>
                <c:pt idx="95">
                  <c:v>15576.920992326901</c:v>
                </c:pt>
                <c:pt idx="96">
                  <c:v>14223.669756159001</c:v>
                </c:pt>
                <c:pt idx="97">
                  <c:v>12986.2420035873</c:v>
                </c:pt>
                <c:pt idx="98">
                  <c:v>11854.9827334765</c:v>
                </c:pt>
                <c:pt idx="99">
                  <c:v>10820.9986986605</c:v>
                </c:pt>
                <c:pt idx="100">
                  <c:v>9876.1055729743894</c:v>
                </c:pt>
                <c:pt idx="101">
                  <c:v>9012.7775145566502</c:v>
                </c:pt>
                <c:pt idx="102">
                  <c:v>8224.0992618919099</c:v>
                </c:pt>
                <c:pt idx="103">
                  <c:v>7503.7208359468696</c:v>
                </c:pt>
                <c:pt idx="104">
                  <c:v>6845.8148711105296</c:v>
                </c:pt>
                <c:pt idx="105">
                  <c:v>6245.0365576089198</c:v>
                </c:pt>
                <c:pt idx="106">
                  <c:v>5696.4861469327097</c:v>
                </c:pt>
                <c:pt idx="107">
                  <c:v>5195.6739481491704</c:v>
                </c:pt>
                <c:pt idx="108">
                  <c:v>4738.4877254846697</c:v>
                </c:pt>
                <c:pt idx="109">
                  <c:v>4321.1623951634501</c:v>
                </c:pt>
                <c:pt idx="110">
                  <c:v>3940.2519112427899</c:v>
                </c:pt>
                <c:pt idx="111">
                  <c:v>3592.6032252841601</c:v>
                </c:pt>
                <c:pt idx="112">
                  <c:v>3275.3322024824702</c:v>
                </c:pt>
                <c:pt idx="113">
                  <c:v>2985.8013767709199</c:v>
                </c:pt>
                <c:pt idx="114">
                  <c:v>2721.5994289525902</c:v>
                </c:pt>
                <c:pt idx="115">
                  <c:v>2480.52227470148</c:v>
                </c:pt>
                <c:pt idx="116">
                  <c:v>2260.5556529915798</c:v>
                </c:pt>
                <c:pt idx="117">
                  <c:v>2059.8591099007399</c:v>
                </c:pt>
                <c:pt idx="118">
                  <c:v>1876.75127757466</c:v>
                </c:pt>
                <c:pt idx="119">
                  <c:v>1709.6963532618299</c:v>
                </c:pt>
                <c:pt idx="120">
                  <c:v>1557.2916885985901</c:v>
                </c:pt>
                <c:pt idx="121">
                  <c:v>1418.25640463338</c:v>
                </c:pt>
                <c:pt idx="122">
                  <c:v>1291.42095334182</c:v>
                </c:pt>
                <c:pt idx="123">
                  <c:v>1175.7175515413901</c:v>
                </c:pt>
                <c:pt idx="124">
                  <c:v>1070.17141811241</c:v>
                </c:pt>
                <c:pt idx="125">
                  <c:v>973.89275024195103</c:v>
                </c:pt>
                <c:pt idx="126">
                  <c:v>886.06937900168498</c:v>
                </c:pt>
                <c:pt idx="127">
                  <c:v>805.96004893627298</c:v>
                </c:pt>
                <c:pt idx="128">
                  <c:v>732.88827046691199</c:v>
                </c:pt>
                <c:pt idx="129">
                  <c:v>666.23669780124806</c:v>
                </c:pt>
                <c:pt idx="130">
                  <c:v>605.44198868849298</c:v>
                </c:pt>
                <c:pt idx="131">
                  <c:v>549.990105770377</c:v>
                </c:pt>
                <c:pt idx="132">
                  <c:v>499.41202246156098</c:v>
                </c:pt>
                <c:pt idx="133">
                  <c:v>453.27979925588102</c:v>
                </c:pt>
                <c:pt idx="134">
                  <c:v>411.20299910626301</c:v>
                </c:pt>
                <c:pt idx="135">
                  <c:v>372.82541307745601</c:v>
                </c:pt>
                <c:pt idx="136">
                  <c:v>337.82206983171801</c:v>
                </c:pt>
                <c:pt idx="137">
                  <c:v>305.89650469002498</c:v>
                </c:pt>
                <c:pt idx="138">
                  <c:v>276.77826602571798</c:v>
                </c:pt>
                <c:pt idx="139">
                  <c:v>250.22063860464701</c:v>
                </c:pt>
                <c:pt idx="140">
                  <c:v>225.99856519640301</c:v>
                </c:pt>
                <c:pt idx="141">
                  <c:v>203.906749355118</c:v>
                </c:pt>
                <c:pt idx="142">
                  <c:v>183.75792371532799</c:v>
                </c:pt>
                <c:pt idx="143">
                  <c:v>165.3812694778</c:v>
                </c:pt>
                <c:pt idx="144">
                  <c:v>148.62097398064401</c:v>
                </c:pt>
                <c:pt idx="145">
                  <c:v>133.33491437084399</c:v>
                </c:pt>
                <c:pt idx="146">
                  <c:v>119.393456418089</c:v>
                </c:pt>
                <c:pt idx="147">
                  <c:v>106.678358454011</c:v>
                </c:pt>
                <c:pt idx="148">
                  <c:v>95.0817712820417</c:v>
                </c:pt>
                <c:pt idx="149">
                  <c:v>84.505325692683599</c:v>
                </c:pt>
                <c:pt idx="150">
                  <c:v>74.8592999417274</c:v>
                </c:pt>
                <c:pt idx="151">
                  <c:v>66.061860210356997</c:v>
                </c:pt>
                <c:pt idx="152">
                  <c:v>58.038367671104901</c:v>
                </c:pt>
                <c:pt idx="153">
                  <c:v>50.720746337032402</c:v>
                </c:pt>
                <c:pt idx="154">
                  <c:v>44.046906377416498</c:v>
                </c:pt>
                <c:pt idx="155">
                  <c:v>37.960218045766901</c:v>
                </c:pt>
                <c:pt idx="156">
                  <c:v>32.409031788693099</c:v>
                </c:pt>
                <c:pt idx="157">
                  <c:v>27.346240490396799</c:v>
                </c:pt>
                <c:pt idx="158">
                  <c:v>22.728880160445598</c:v>
                </c:pt>
                <c:pt idx="159">
                  <c:v>18.517765694837799</c:v>
                </c:pt>
                <c:pt idx="160">
                  <c:v>14.6771586347728</c:v>
                </c:pt>
                <c:pt idx="161">
                  <c:v>11.174464116414301</c:v>
                </c:pt>
                <c:pt idx="162">
                  <c:v>7.9799544504241799</c:v>
                </c:pt>
                <c:pt idx="163">
                  <c:v>5.0665169941994304</c:v>
                </c:pt>
                <c:pt idx="164">
                  <c:v>2.4094241843656401</c:v>
                </c:pt>
                <c:pt idx="165">
                  <c:v>-1.3876216119446901E-2</c:v>
                </c:pt>
                <c:pt idx="166">
                  <c:v>-2.2239524313961199</c:v>
                </c:pt>
                <c:pt idx="167">
                  <c:v>-4.2395631662079598</c:v>
                </c:pt>
                <c:pt idx="168">
                  <c:v>-6.0778167569796802</c:v>
                </c:pt>
                <c:pt idx="169">
                  <c:v>-7.7543163283827301</c:v>
                </c:pt>
                <c:pt idx="170">
                  <c:v>-9.2832921850034698</c:v>
                </c:pt>
                <c:pt idx="171">
                  <c:v>-10.677722559835701</c:v>
                </c:pt>
                <c:pt idx="172">
                  <c:v>-11.949443742815999</c:v>
                </c:pt>
                <c:pt idx="173">
                  <c:v>-13.109250522797501</c:v>
                </c:pt>
                <c:pt idx="174">
                  <c:v>-14.1669877943581</c:v>
                </c:pt>
                <c:pt idx="175">
                  <c:v>-15.131634106067001</c:v>
                </c:pt>
                <c:pt idx="176">
                  <c:v>-16.011377858581099</c:v>
                </c:pt>
                <c:pt idx="177">
                  <c:v>-16.813686798707799</c:v>
                </c:pt>
                <c:pt idx="178">
                  <c:v>-17.545371398770701</c:v>
                </c:pt>
                <c:pt idx="179">
                  <c:v>-18.212642658810999</c:v>
                </c:pt>
                <c:pt idx="180">
                  <c:v>-18.8211648218997</c:v>
                </c:pt>
                <c:pt idx="181">
                  <c:v>-19.376103449714002</c:v>
                </c:pt>
                <c:pt idx="182">
                  <c:v>-19.882169266214799</c:v>
                </c:pt>
                <c:pt idx="183">
                  <c:v>-20.343658141372199</c:v>
                </c:pt>
                <c:pt idx="184">
                  <c:v>-20.764487554170199</c:v>
                </c:pt>
                <c:pt idx="185">
                  <c:v>-21.148229844263</c:v>
                </c:pt>
                <c:pt idx="186">
                  <c:v>-21.4981425344196</c:v>
                </c:pt>
                <c:pt idx="187">
                  <c:v>-21.817195981056901</c:v>
                </c:pt>
                <c:pt idx="188">
                  <c:v>-22.108098587495402</c:v>
                </c:pt>
                <c:pt idx="189">
                  <c:v>-22.373319793896101</c:v>
                </c:pt>
                <c:pt idx="190">
                  <c:v>-22.6151110389841</c:v>
                </c:pt>
                <c:pt idx="191">
                  <c:v>-22.8355248714509</c:v>
                </c:pt>
                <c:pt idx="192">
                  <c:v>-23.036432373235598</c:v>
                </c:pt>
                <c:pt idx="193">
                  <c:v>-23.219539042562801</c:v>
                </c:pt>
                <c:pt idx="194">
                  <c:v>-23.386399271544299</c:v>
                </c:pt>
                <c:pt idx="195">
                  <c:v>-23.5384295412344</c:v>
                </c:pt>
                <c:pt idx="196">
                  <c:v>-23.676920446140102</c:v>
                </c:pt>
                <c:pt idx="197">
                  <c:v>-23.8030476502644</c:v>
                </c:pt>
                <c:pt idx="198">
                  <c:v>-23.917881867691602</c:v>
                </c:pt>
                <c:pt idx="199">
                  <c:v>-24.022397952450898</c:v>
                </c:pt>
                <c:pt idx="200">
                  <c:v>-24.117483174843599</c:v>
                </c:pt>
                <c:pt idx="201">
                  <c:v>-24.203944754514499</c:v>
                </c:pt>
                <c:pt idx="202">
                  <c:v>-24.2825167142488</c:v>
                </c:pt>
                <c:pt idx="203">
                  <c:v>-24.353866112725399</c:v>
                </c:pt>
                <c:pt idx="204">
                  <c:v>-24.4185987091839</c:v>
                </c:pt>
                <c:pt idx="205">
                  <c:v>-24.4772641081654</c:v>
                </c:pt>
                <c:pt idx="206">
                  <c:v>-24.530360428080701</c:v>
                </c:pt>
                <c:pt idx="207">
                  <c:v>-24.578338533333898</c:v>
                </c:pt>
                <c:pt idx="208">
                  <c:v>-24.621605866056498</c:v>
                </c:pt>
                <c:pt idx="209">
                  <c:v>-24.6605299101154</c:v>
                </c:pt>
                <c:pt idx="210">
                  <c:v>-24.6954413169845</c:v>
                </c:pt>
                <c:pt idx="211">
                  <c:v>-24.726636720221901</c:v>
                </c:pt>
                <c:pt idx="212">
                  <c:v>-24.754381262698299</c:v>
                </c:pt>
                <c:pt idx="213">
                  <c:v>-24.7789108583375</c:v>
                </c:pt>
                <c:pt idx="214">
                  <c:v>-24.800434207929499</c:v>
                </c:pt>
                <c:pt idx="215">
                  <c:v>-24.819134586571099</c:v>
                </c:pt>
                <c:pt idx="216">
                  <c:v>-24.835171418427301</c:v>
                </c:pt>
                <c:pt idx="217">
                  <c:v>-24.8486816528136</c:v>
                </c:pt>
                <c:pt idx="218">
                  <c:v>-24.859780954030899</c:v>
                </c:pt>
                <c:pt idx="219">
                  <c:v>-24.868564715954601</c:v>
                </c:pt>
                <c:pt idx="220">
                  <c:v>-24.875108911065801</c:v>
                </c:pt>
                <c:pt idx="221">
                  <c:v>-24.879470782422398</c:v>
                </c:pt>
                <c:pt idx="222">
                  <c:v>-24.881689385977101</c:v>
                </c:pt>
                <c:pt idx="223">
                  <c:v>-24.881785989686101</c:v>
                </c:pt>
                <c:pt idx="224">
                  <c:v>-24.8797643349826</c:v>
                </c:pt>
                <c:pt idx="225">
                  <c:v>-24.875610765450599</c:v>
                </c:pt>
                <c:pt idx="226">
                  <c:v>-24.869294226896798</c:v>
                </c:pt>
                <c:pt idx="227">
                  <c:v>-24.860766142527101</c:v>
                </c:pt>
                <c:pt idx="228">
                  <c:v>-24.849960166565801</c:v>
                </c:pt>
                <c:pt idx="229">
                  <c:v>-24.836791819454799</c:v>
                </c:pt>
                <c:pt idx="230">
                  <c:v>-24.821158007734901</c:v>
                </c:pt>
                <c:pt idx="231">
                  <c:v>-24.802936431874201</c:v>
                </c:pt>
                <c:pt idx="232">
                  <c:v>-24.781984885706901</c:v>
                </c:pt>
                <c:pt idx="233">
                  <c:v>-24.758140451786399</c:v>
                </c:pt>
                <c:pt idx="234">
                  <c:v>-24.731218597911099</c:v>
                </c:pt>
                <c:pt idx="235">
                  <c:v>-24.701012181373599</c:v>
                </c:pt>
                <c:pt idx="236">
                  <c:v>-24.667290369161801</c:v>
                </c:pt>
                <c:pt idx="237">
                  <c:v>-24.629797484487302</c:v>
                </c:pt>
                <c:pt idx="238">
                  <c:v>-24.588251792647</c:v>
                </c:pt>
                <c:pt idx="239">
                  <c:v>-24.54234424246</c:v>
                </c:pt>
                <c:pt idx="240">
                  <c:v>-24.491737183374401</c:v>
                </c:pt>
                <c:pt idx="241">
                  <c:v>-24.4360630829208</c:v>
                </c:pt>
                <c:pt idx="242">
                  <c:v>-24.374923274535501</c:v>
                </c:pt>
                <c:pt idx="243">
                  <c:v>-24.307886771954699</c:v>
                </c:pt>
                <c:pt idx="244">
                  <c:v>-24.234489193420899</c:v>
                </c:pt>
                <c:pt idx="245">
                  <c:v>-24.154231846874101</c:v>
                </c:pt>
                <c:pt idx="246">
                  <c:v>-24.066581036079501</c:v>
                </c:pt>
                <c:pt idx="247">
                  <c:v>-23.970967657223898</c:v>
                </c:pt>
                <c:pt idx="248">
                  <c:v>-23.866787165740401</c:v>
                </c:pt>
                <c:pt idx="249">
                  <c:v>-23.753400003791999</c:v>
                </c:pt>
                <c:pt idx="250">
                  <c:v>-23.630132589619901</c:v>
                </c:pt>
                <c:pt idx="251">
                  <c:v>-23.496278980404199</c:v>
                </c:pt>
                <c:pt idx="252">
                  <c:v>-23.351103329770702</c:v>
                </c:pt>
                <c:pt idx="253">
                  <c:v>-23.193843268855002</c:v>
                </c:pt>
                <c:pt idx="254">
                  <c:v>-23.023714344906701</c:v>
                </c:pt>
                <c:pt idx="255">
                  <c:v>-22.839915652654199</c:v>
                </c:pt>
                <c:pt idx="256">
                  <c:v>-22.641636789673498</c:v>
                </c:pt>
                <c:pt idx="257">
                  <c:v>-22.4280662563114</c:v>
                </c:pt>
                <c:pt idx="258">
                  <c:v>-22.1984014016953</c:v>
                </c:pt>
                <c:pt idx="259">
                  <c:v>-21.9518599883449</c:v>
                </c:pt>
                <c:pt idx="260">
                  <c:v>-21.687693407416301</c:v>
                </c:pt>
                <c:pt idx="261">
                  <c:v>-21.405201523367701</c:v>
                </c:pt>
                <c:pt idx="262">
                  <c:v>-21.1037490601752</c:v>
                </c:pt>
                <c:pt idx="263">
                  <c:v>-20.782783361167098</c:v>
                </c:pt>
                <c:pt idx="264">
                  <c:v>-20.441853262221699</c:v>
                </c:pt>
                <c:pt idx="265">
                  <c:v>-20.080628715942201</c:v>
                </c:pt>
                <c:pt idx="266">
                  <c:v>-19.6989206964762</c:v>
                </c:pt>
                <c:pt idx="267">
                  <c:v>-19.296700806655</c:v>
                </c:pt>
                <c:pt idx="268">
                  <c:v>-18.8741199084572</c:v>
                </c:pt>
                <c:pt idx="269">
                  <c:v>-18.431525013386501</c:v>
                </c:pt>
                <c:pt idx="270">
                  <c:v>-17.969473611005601</c:v>
                </c:pt>
                <c:pt idx="271">
                  <c:v>-17.488744591740399</c:v>
                </c:pt>
                <c:pt idx="272">
                  <c:v>-16.990344943365901</c:v>
                </c:pt>
                <c:pt idx="273">
                  <c:v>-16.475511476648801</c:v>
                </c:pt>
                <c:pt idx="274">
                  <c:v>-15.9457069683346</c:v>
                </c:pt>
                <c:pt idx="275">
                  <c:v>-15.402610298564399</c:v>
                </c:pt>
                <c:pt idx="276">
                  <c:v>-14.8481003989874</c:v>
                </c:pt>
                <c:pt idx="277">
                  <c:v>-14.284234105827499</c:v>
                </c:pt>
                <c:pt idx="278">
                  <c:v>-13.713218312159499</c:v>
                </c:pt>
                <c:pt idx="279">
                  <c:v>-13.1373771147345</c:v>
                </c:pt>
                <c:pt idx="280">
                  <c:v>-12.559114929673401</c:v>
                </c:pt>
                <c:pt idx="281">
                  <c:v>-11.9808767851355</c:v>
                </c:pt>
                <c:pt idx="282">
                  <c:v>-11.405107167342701</c:v>
                </c:pt>
                <c:pt idx="283">
                  <c:v>-10.8342088839479</c:v>
                </c:pt>
                <c:pt idx="284">
                  <c:v>-10.270503407657101</c:v>
                </c:pt>
                <c:pt idx="285">
                  <c:v>-9.7161940733335008</c:v>
                </c:pt>
                <c:pt idx="286">
                  <c:v>-9.1733333317604995</c:v>
                </c:pt>
                <c:pt idx="287">
                  <c:v>-8.6437950281094</c:v>
                </c:pt>
                <c:pt idx="288">
                  <c:v>-8.1292523933613907</c:v>
                </c:pt>
                <c:pt idx="289">
                  <c:v>-7.6311621356053099</c:v>
                </c:pt>
                <c:pt idx="290">
                  <c:v>-7.1507547184187699</c:v>
                </c:pt>
                <c:pt idx="291">
                  <c:v>-6.6890306363027401</c:v>
                </c:pt>
                <c:pt idx="292">
                  <c:v>-6.2467622590324101</c:v>
                </c:pt>
                <c:pt idx="293">
                  <c:v>-5.8245006291956001</c:v>
                </c:pt>
                <c:pt idx="294">
                  <c:v>-5.4225864658253302</c:v>
                </c:pt>
                <c:pt idx="295">
                  <c:v>-5.04116455230439</c:v>
                </c:pt>
                <c:pt idx="296">
                  <c:v>-4.6802006645775798</c:v>
                </c:pt>
                <c:pt idx="297">
                  <c:v>-4.3395002188243703</c:v>
                </c:pt>
                <c:pt idx="298">
                  <c:v>-4.0187278768089696</c:v>
                </c:pt>
                <c:pt idx="299">
                  <c:v>-3.7174274320405098</c:v>
                </c:pt>
                <c:pt idx="300">
                  <c:v>-3.43504140079461</c:v>
                </c:pt>
                <c:pt idx="301">
                  <c:v>-3.1709298501144798</c:v>
                </c:pt>
                <c:pt idx="302">
                  <c:v>-2.92438810274836</c:v>
                </c:pt>
                <c:pt idx="303">
                  <c:v>-2.69466306090297</c:v>
                </c:pt>
                <c:pt idx="304">
                  <c:v>-2.4809679827237399</c:v>
                </c:pt>
                <c:pt idx="305">
                  <c:v>-2.2824956251305601</c:v>
                </c:pt>
                <c:pt idx="306">
                  <c:v>-2.0984297329584498</c:v>
                </c:pt>
                <c:pt idx="307">
                  <c:v>-1.92795490723606</c:v>
                </c:pt>
                <c:pt idx="308">
                  <c:v>-1.7702649256127201</c:v>
                </c:pt>
                <c:pt idx="309">
                  <c:v>-1.62456961665712</c:v>
                </c:pt>
                <c:pt idx="310">
                  <c:v>-1.4901004085224301</c:v>
                </c:pt>
                <c:pt idx="311">
                  <c:v>-1.3661146829434201</c:v>
                </c:pt>
                <c:pt idx="312">
                  <c:v>-1.2518990693191301</c:v>
                </c:pt>
                <c:pt idx="313">
                  <c:v>-1.1467718122492101</c:v>
                </c:pt>
                <c:pt idx="314">
                  <c:v>-1.0500843406825</c:v>
                </c:pt>
                <c:pt idx="315">
                  <c:v>-0.96122215895713103</c:v>
                </c:pt>
                <c:pt idx="316">
                  <c:v>-0.87960517042617403</c:v>
                </c:pt>
                <c:pt idx="317">
                  <c:v>-0.80468753384175296</c:v>
                </c:pt>
                <c:pt idx="318">
                  <c:v>-0.73595714181410199</c:v>
                </c:pt>
                <c:pt idx="319">
                  <c:v>-0.67293479991922001</c:v>
                </c:pt>
                <c:pt idx="320">
                  <c:v>-0.61517317472064703</c:v>
                </c:pt>
                <c:pt idx="321">
                  <c:v>-0.56225556931333898</c:v>
                </c:pt>
                <c:pt idx="322">
                  <c:v>-0.51379457612367097</c:v>
                </c:pt>
                <c:pt idx="323">
                  <c:v>-0.46943064867609602</c:v>
                </c:pt>
                <c:pt idx="324">
                  <c:v>-0.42883062688360701</c:v>
                </c:pt>
                <c:pt idx="325">
                  <c:v>-0.39168624411918401</c:v>
                </c:pt>
                <c:pt idx="326">
                  <c:v>-0.35771263883853699</c:v>
                </c:pt>
                <c:pt idx="327">
                  <c:v>-0.32664688879502102</c:v>
                </c:pt>
                <c:pt idx="328">
                  <c:v>-0.29824658185001302</c:v>
                </c:pt>
                <c:pt idx="329">
                  <c:v>-0.27228843396827002</c:v>
                </c:pt>
                <c:pt idx="330">
                  <c:v>-0.24856696212805501</c:v>
                </c:pt>
                <c:pt idx="331">
                  <c:v>-0.22689321750335201</c:v>
                </c:pt>
                <c:pt idx="332">
                  <c:v>-0.207093582327425</c:v>
                </c:pt>
                <c:pt idx="333">
                  <c:v>-0.18900863226453499</c:v>
                </c:pt>
                <c:pt idx="334">
                  <c:v>-0.17249206484753099</c:v>
                </c:pt>
                <c:pt idx="335">
                  <c:v>-0.157409693535283</c:v>
                </c:pt>
                <c:pt idx="336">
                  <c:v>-0.14363850616420901</c:v>
                </c:pt>
                <c:pt idx="337">
                  <c:v>-0.131065785975187</c:v>
                </c:pt>
                <c:pt idx="338">
                  <c:v>-0.119588292959404</c:v>
                </c:pt>
                <c:pt idx="339">
                  <c:v>-0.109111502956423</c:v>
                </c:pt>
                <c:pt idx="340">
                  <c:v>-9.9548901731539699E-2</c:v>
                </c:pt>
                <c:pt idx="341">
                  <c:v>-9.0821331137334302E-2</c:v>
                </c:pt>
                <c:pt idx="342">
                  <c:v>-8.2856384409196293E-2</c:v>
                </c:pt>
                <c:pt idx="343">
                  <c:v>-7.5587847642552594E-2</c:v>
                </c:pt>
                <c:pt idx="344">
                  <c:v>-6.8955184538514694E-2</c:v>
                </c:pt>
                <c:pt idx="345">
                  <c:v>-6.2903061575089805E-2</c:v>
                </c:pt>
                <c:pt idx="346">
                  <c:v>-5.7380910854759597E-2</c:v>
                </c:pt>
                <c:pt idx="347">
                  <c:v>-5.23425279896301E-2</c:v>
                </c:pt>
                <c:pt idx="348">
                  <c:v>-4.77457025071166E-2</c:v>
                </c:pt>
                <c:pt idx="349">
                  <c:v>-4.35518783879442E-2</c:v>
                </c:pt>
                <c:pt idx="350">
                  <c:v>-3.9725842480714202E-2</c:v>
                </c:pt>
              </c:numCache>
            </c:numRef>
          </c:xVal>
          <c:yVal>
            <c:numRef>
              <c:f>'Opamp and Cload Pole'!$N$3:$N$353</c:f>
              <c:numCache>
                <c:formatCode>General</c:formatCode>
                <c:ptCount val="351"/>
                <c:pt idx="0">
                  <c:v>-99012.389379694301</c:v>
                </c:pt>
                <c:pt idx="1">
                  <c:v>-103579.75707351899</c:v>
                </c:pt>
                <c:pt idx="2">
                  <c:v>-108347.946536912</c:v>
                </c:pt>
                <c:pt idx="3">
                  <c:v>-113324.341998695</c:v>
                </c:pt>
                <c:pt idx="4">
                  <c:v>-118516.382158172</c:v>
                </c:pt>
                <c:pt idx="5">
                  <c:v>-123931.52293254501</c:v>
                </c:pt>
                <c:pt idx="6">
                  <c:v>-129577.19345304499</c:v>
                </c:pt>
                <c:pt idx="7">
                  <c:v>-135460.744468569</c:v>
                </c:pt>
                <c:pt idx="8">
                  <c:v>-141589.38824867801</c:v>
                </c:pt>
                <c:pt idx="9">
                  <c:v>-147970.12901440001</c:v>
                </c:pt>
                <c:pt idx="10">
                  <c:v>-154609.68286886101</c:v>
                </c:pt>
                <c:pt idx="11">
                  <c:v>-161514.38615421799</c:v>
                </c:pt>
                <c:pt idx="12">
                  <c:v>-168690.09113218301</c:v>
                </c:pt>
                <c:pt idx="13">
                  <c:v>-176142.047878835</c:v>
                </c:pt>
                <c:pt idx="14">
                  <c:v>-183874.771308278</c:v>
                </c:pt>
                <c:pt idx="15">
                  <c:v>-191891.89230331301</c:v>
                </c:pt>
                <c:pt idx="16">
                  <c:v>-200195.99204565</c:v>
                </c:pt>
                <c:pt idx="17">
                  <c:v>-208788.418815654</c:v>
                </c:pt>
                <c:pt idx="18">
                  <c:v>-217669.08678644599</c:v>
                </c:pt>
                <c:pt idx="19">
                  <c:v>-226836.25668468699</c:v>
                </c:pt>
                <c:pt idx="20">
                  <c:v>-236286.29864698101</c:v>
                </c:pt>
                <c:pt idx="21">
                  <c:v>-246013.43818281201</c:v>
                </c:pt>
                <c:pt idx="22">
                  <c:v>-256009.48687828801</c:v>
                </c:pt>
                <c:pt idx="23">
                  <c:v>-266263.56035264098</c:v>
                </c:pt>
                <c:pt idx="24">
                  <c:v>-276761.78702104499</c:v>
                </c:pt>
                <c:pt idx="25">
                  <c:v>-287487.01242497802</c:v>
                </c:pt>
                <c:pt idx="26">
                  <c:v>-298418.50525830901</c:v>
                </c:pt>
                <c:pt idx="27">
                  <c:v>-309531.672723433</c:v>
                </c:pt>
                <c:pt idx="28">
                  <c:v>-320797.79446050501</c:v>
                </c:pt>
                <c:pt idx="29">
                  <c:v>-332183.78594707901</c:v>
                </c:pt>
                <c:pt idx="30">
                  <c:v>-343652.00388486602</c:v>
                </c:pt>
                <c:pt idx="31">
                  <c:v>-355160.10756789602</c:v>
                </c:pt>
                <c:pt idx="32">
                  <c:v>-366660.99142928398</c:v>
                </c:pt>
                <c:pt idx="33">
                  <c:v>-378102.80473413097</c:v>
                </c:pt>
                <c:pt idx="34">
                  <c:v>-389429.074546944</c:v>
                </c:pt>
                <c:pt idx="35">
                  <c:v>-400578.94746757898</c:v>
                </c:pt>
                <c:pt idx="36">
                  <c:v>-411487.56401961099</c:v>
                </c:pt>
                <c:pt idx="37">
                  <c:v>-422086.57683440502</c:v>
                </c:pt>
                <c:pt idx="38">
                  <c:v>-432304.81979784399</c:v>
                </c:pt>
                <c:pt idx="39">
                  <c:v>-442069.13008510403</c:v>
                </c:pt>
                <c:pt idx="40">
                  <c:v>-451305.31857539498</c:v>
                </c:pt>
                <c:pt idx="41">
                  <c:v>-459939.27670991299</c:v>
                </c:pt>
                <c:pt idx="42">
                  <c:v>-467898.19976663601</c:v>
                </c:pt>
                <c:pt idx="43">
                  <c:v>-475111.89824431099</c:v>
                </c:pt>
                <c:pt idx="44">
                  <c:v>-481514.161161575</c:v>
                </c:pt>
                <c:pt idx="45">
                  <c:v>-487044.12824900699</c:v>
                </c:pt>
                <c:pt idx="46">
                  <c:v>-491647.62292477302</c:v>
                </c:pt>
                <c:pt idx="47">
                  <c:v>-495278.39522621699</c:v>
                </c:pt>
                <c:pt idx="48">
                  <c:v>-497899.22401410103</c:v>
                </c:pt>
                <c:pt idx="49">
                  <c:v>-499482.83105681802</c:v>
                </c:pt>
                <c:pt idx="50">
                  <c:v>-500012.56605477899</c:v>
                </c:pt>
                <c:pt idx="51">
                  <c:v>-499482.83099861903</c:v>
                </c:pt>
                <c:pt idx="52">
                  <c:v>-497899.22389757697</c:v>
                </c:pt>
                <c:pt idx="53">
                  <c:v>-495278.39505112398</c:v>
                </c:pt>
                <c:pt idx="54">
                  <c:v>-491647.62269073899</c:v>
                </c:pt>
                <c:pt idx="55">
                  <c:v>-487044.12795553397</c:v>
                </c:pt>
                <c:pt idx="56">
                  <c:v>-481514.16080804198</c:v>
                </c:pt>
                <c:pt idx="57">
                  <c:v>-475111.89782996703</c:v>
                </c:pt>
                <c:pt idx="58">
                  <c:v>-467898.19929060299</c:v>
                </c:pt>
                <c:pt idx="59">
                  <c:v>-459939.276171181</c:v>
                </c:pt>
                <c:pt idx="60">
                  <c:v>-451305.31797282101</c:v>
                </c:pt>
                <c:pt idx="61">
                  <c:v>-442069.12941741198</c:v>
                </c:pt>
                <c:pt idx="62">
                  <c:v>-432304.81906361302</c:v>
                </c:pt>
                <c:pt idx="63">
                  <c:v>-422086.57603208302</c:v>
                </c:pt>
                <c:pt idx="64">
                  <c:v>-411487.56314748997</c:v>
                </c:pt>
                <c:pt idx="65">
                  <c:v>-400578.94652381598</c:v>
                </c:pt>
                <c:pt idx="66">
                  <c:v>-389429.07352953102</c:v>
                </c:pt>
                <c:pt idx="67">
                  <c:v>-378102.80364091397</c:v>
                </c:pt>
                <c:pt idx="68">
                  <c:v>-366660.99025794299</c:v>
                </c:pt>
                <c:pt idx="69">
                  <c:v>-355160.10631594801</c:v>
                </c:pt>
                <c:pt idx="70">
                  <c:v>-343652.002549653</c:v>
                </c:pt>
                <c:pt idx="71">
                  <c:v>-332183.78452577</c:v>
                </c:pt>
                <c:pt idx="72">
                  <c:v>-320797.79295008502</c:v>
                </c:pt>
                <c:pt idx="73">
                  <c:v>-309531.67112070002</c:v>
                </c:pt>
                <c:pt idx="74">
                  <c:v>-298418.503559859</c:v>
                </c:pt>
                <c:pt idx="75">
                  <c:v>-287487.01062721101</c:v>
                </c:pt>
                <c:pt idx="76">
                  <c:v>-276761.78512014798</c:v>
                </c:pt>
                <c:pt idx="77">
                  <c:v>-266263.55834458099</c:v>
                </c:pt>
                <c:pt idx="78">
                  <c:v>-256009.484758807</c:v>
                </c:pt>
                <c:pt idx="79">
                  <c:v>-246013.435947413</c:v>
                </c:pt>
                <c:pt idx="80">
                  <c:v>-236286.29629092099</c:v>
                </c:pt>
                <c:pt idx="81">
                  <c:v>-226836.25420297301</c:v>
                </c:pt>
                <c:pt idx="82">
                  <c:v>-217669.08417381</c:v>
                </c:pt>
                <c:pt idx="83">
                  <c:v>-208788.416066556</c:v>
                </c:pt>
                <c:pt idx="84">
                  <c:v>-200195.989154257</c:v>
                </c:pt>
                <c:pt idx="85">
                  <c:v>-191891.889263494</c:v>
                </c:pt>
                <c:pt idx="86">
                  <c:v>-183874.76811358699</c:v>
                </c:pt>
                <c:pt idx="87">
                  <c:v>-176142.04452249201</c:v>
                </c:pt>
                <c:pt idx="88">
                  <c:v>-168690.087607069</c:v>
                </c:pt>
                <c:pt idx="89">
                  <c:v>-161514.38245285701</c:v>
                </c:pt>
                <c:pt idx="90">
                  <c:v>-154609.67898340299</c:v>
                </c:pt>
                <c:pt idx="91">
                  <c:v>-147970.124936601</c:v>
                </c:pt>
                <c:pt idx="92">
                  <c:v>-141589.38396988899</c:v>
                </c:pt>
                <c:pt idx="93">
                  <c:v>-135460.73997971599</c:v>
                </c:pt>
                <c:pt idx="94">
                  <c:v>-129577.18874460401</c:v>
                </c:pt>
                <c:pt idx="95">
                  <c:v>-123931.51799453</c:v>
                </c:pt>
                <c:pt idx="96">
                  <c:v>-118516.37698010899</c:v>
                </c:pt>
                <c:pt idx="97">
                  <c:v>-113324.3365696</c:v>
                </c:pt>
                <c:pt idx="98">
                  <c:v>-108347.94084526801</c:v>
                </c:pt>
                <c:pt idx="99">
                  <c:v>-103579.751107256</c:v>
                </c:pt>
                <c:pt idx="100">
                  <c:v>-99012.383126155997</c:v>
                </c:pt>
                <c:pt idx="101">
                  <c:v>-94638.538417321397</c:v>
                </c:pt>
                <c:pt idx="102">
                  <c:v>-90451.030242556502</c:v>
                </c:pt>
                <c:pt idx="103">
                  <c:v>-86442.804979511595</c:v>
                </c:pt>
                <c:pt idx="104">
                  <c:v>-82606.959436761405</c:v>
                </c:pt>
                <c:pt idx="105">
                  <c:v>-78936.754633908102</c:v>
                </c:pt>
                <c:pt idx="106">
                  <c:v>-75425.626511336101</c:v>
                </c:pt>
                <c:pt idx="107">
                  <c:v>-72067.193983751495</c:v>
                </c:pt>
                <c:pt idx="108">
                  <c:v>-68855.264705325797</c:v>
                </c:pt>
                <c:pt idx="109">
                  <c:v>-65783.838872054301</c:v>
                </c:pt>
                <c:pt idx="110">
                  <c:v>-62847.111348718601</c:v>
                </c:pt>
                <c:pt idx="111">
                  <c:v>-60039.472373343597</c:v>
                </c:pt>
                <c:pt idx="112">
                  <c:v>-57355.507061081698</c:v>
                </c:pt>
                <c:pt idx="113">
                  <c:v>-54789.993901763199</c:v>
                </c:pt>
                <c:pt idx="114">
                  <c:v>-52337.902420635102</c:v>
                </c:pt>
                <c:pt idx="115">
                  <c:v>-49994.390149881503</c:v>
                </c:pt>
                <c:pt idx="116">
                  <c:v>-47754.799039041201</c:v>
                </c:pt>
                <c:pt idx="117">
                  <c:v>-45614.651415252098</c:v>
                </c:pt>
                <c:pt idx="118">
                  <c:v>-43569.645589064603</c:v>
                </c:pt>
                <c:pt idx="119">
                  <c:v>-41615.651188228097</c:v>
                </c:pt>
                <c:pt idx="120">
                  <c:v>-39748.7042901202</c:v>
                </c:pt>
                <c:pt idx="121">
                  <c:v>-37965.002413221897</c:v>
                </c:pt>
                <c:pt idx="122">
                  <c:v>-36260.899419040899</c:v>
                </c:pt>
                <c:pt idx="123">
                  <c:v>-34632.900368058399</c:v>
                </c:pt>
                <c:pt idx="124">
                  <c:v>-33077.656366417803</c:v>
                </c:pt>
                <c:pt idx="125">
                  <c:v>-31591.959434146502</c:v>
                </c:pt>
                <c:pt idx="126">
                  <c:v>-30172.737420527101</c:v>
                </c:pt>
                <c:pt idx="127">
                  <c:v>-28817.048987773102</c:v>
                </c:pt>
                <c:pt idx="128">
                  <c:v>-27522.078680296701</c:v>
                </c:pt>
                <c:pt idx="129">
                  <c:v>-26285.132093521901</c:v>
                </c:pt>
                <c:pt idx="130">
                  <c:v>-25103.631153330502</c:v>
                </c:pt>
                <c:pt idx="131">
                  <c:v>-23975.109514765401</c:v>
                </c:pt>
                <c:pt idx="132">
                  <c:v>-22897.2080865073</c:v>
                </c:pt>
                <c:pt idx="133">
                  <c:v>-21867.670685846799</c:v>
                </c:pt>
                <c:pt idx="134">
                  <c:v>-20884.3398273399</c:v>
                </c:pt>
                <c:pt idx="135">
                  <c:v>-19945.152647044899</c:v>
                </c:pt>
                <c:pt idx="136">
                  <c:v>-19048.136963143901</c:v>
                </c:pt>
                <c:pt idx="137">
                  <c:v>-18191.407472837102</c:v>
                </c:pt>
                <c:pt idx="138">
                  <c:v>-17373.1620846359</c:v>
                </c:pt>
                <c:pt idx="139">
                  <c:v>-16591.6783845465</c:v>
                </c:pt>
                <c:pt idx="140">
                  <c:v>-15845.310234120399</c:v>
                </c:pt>
                <c:pt idx="141">
                  <c:v>-15132.484497924899</c:v>
                </c:pt>
                <c:pt idx="142">
                  <c:v>-14451.697897652901</c:v>
                </c:pt>
                <c:pt idx="143">
                  <c:v>-13801.513989823499</c:v>
                </c:pt>
                <c:pt idx="144">
                  <c:v>-13180.560263826101</c:v>
                </c:pt>
                <c:pt idx="145">
                  <c:v>-12587.525356906899</c:v>
                </c:pt>
                <c:pt idx="146">
                  <c:v>-12021.1563825919</c:v>
                </c:pt>
                <c:pt idx="147">
                  <c:v>-11480.2563689735</c:v>
                </c:pt>
                <c:pt idx="148">
                  <c:v>-10963.681803252201</c:v>
                </c:pt>
                <c:pt idx="149">
                  <c:v>-10470.340278912699</c:v>
                </c:pt>
                <c:pt idx="150">
                  <c:v>-9999.1882419312897</c:v>
                </c:pt>
                <c:pt idx="151">
                  <c:v>-9549.2288324402107</c:v>
                </c:pt>
                <c:pt idx="152">
                  <c:v>-9119.5098183222508</c:v>
                </c:pt>
                <c:pt idx="153">
                  <c:v>-8709.1216172704608</c:v>
                </c:pt>
                <c:pt idx="154">
                  <c:v>-8317.1954039146294</c:v>
                </c:pt>
                <c:pt idx="155">
                  <c:v>-7942.9012986959597</c:v>
                </c:pt>
                <c:pt idx="156">
                  <c:v>-7585.4466352543704</c:v>
                </c:pt>
                <c:pt idx="157">
                  <c:v>-7244.0743031811298</c:v>
                </c:pt>
                <c:pt idx="158">
                  <c:v>-6918.0611630820904</c:v>
                </c:pt>
                <c:pt idx="159">
                  <c:v>-6606.7165309898101</c:v>
                </c:pt>
                <c:pt idx="160">
                  <c:v>-6309.3807292594201</c:v>
                </c:pt>
                <c:pt idx="161">
                  <c:v>-6025.4237011785799</c:v>
                </c:pt>
                <c:pt idx="162">
                  <c:v>-5754.2436866176004</c:v>
                </c:pt>
                <c:pt idx="163">
                  <c:v>-5495.2659561418704</c:v>
                </c:pt>
                <c:pt idx="164">
                  <c:v>-5247.9416011017402</c:v>
                </c:pt>
                <c:pt idx="165">
                  <c:v>-5011.7463773094396</c:v>
                </c:pt>
                <c:pt idx="166">
                  <c:v>-4786.1796000023896</c:v>
                </c:pt>
                <c:pt idx="167">
                  <c:v>-4570.76308788182</c:v>
                </c:pt>
                <c:pt idx="168">
                  <c:v>-4365.0401541029696</c:v>
                </c:pt>
                <c:pt idx="169">
                  <c:v>-4168.57464217698</c:v>
                </c:pt>
                <c:pt idx="170">
                  <c:v>-3980.95000482765</c:v>
                </c:pt>
                <c:pt idx="171">
                  <c:v>-3801.7684239255</c:v>
                </c:pt>
                <c:pt idx="172">
                  <c:v>-3630.64996969905</c:v>
                </c:pt>
                <c:pt idx="173">
                  <c:v>-3467.2317974981102</c:v>
                </c:pt>
                <c:pt idx="174">
                  <c:v>-3311.1673804555899</c:v>
                </c:pt>
                <c:pt idx="175">
                  <c:v>-3162.1257764642801</c:v>
                </c:pt>
                <c:pt idx="176">
                  <c:v>-3019.7909279523401</c:v>
                </c:pt>
                <c:pt idx="177">
                  <c:v>-2883.8609930054199</c:v>
                </c:pt>
                <c:pt idx="178">
                  <c:v>-2754.04770644572</c:v>
                </c:pt>
                <c:pt idx="179">
                  <c:v>-2630.0757695382899</c:v>
                </c:pt>
                <c:pt idx="180">
                  <c:v>-2511.68226705191</c:v>
                </c:pt>
                <c:pt idx="181">
                  <c:v>-2398.6161104574899</c:v>
                </c:pt>
                <c:pt idx="182">
                  <c:v>-2290.6375060994901</c:v>
                </c:pt>
                <c:pt idx="183">
                  <c:v>-2187.5174472272001</c:v>
                </c:pt>
                <c:pt idx="184">
                  <c:v>-2089.03722882072</c:v>
                </c:pt>
                <c:pt idx="185">
                  <c:v>-1994.9879841939901</c:v>
                </c:pt>
                <c:pt idx="186">
                  <c:v>-1905.1702424013299</c:v>
                </c:pt>
                <c:pt idx="187">
                  <c:v>-1819.3935055173299</c:v>
                </c:pt>
                <c:pt idx="188">
                  <c:v>-1737.4758449005999</c:v>
                </c:pt>
                <c:pt idx="189">
                  <c:v>-1659.2435155916</c:v>
                </c:pt>
                <c:pt idx="190">
                  <c:v>-1584.53058803203</c:v>
                </c:pt>
                <c:pt idx="191">
                  <c:v>-1513.17859632972</c:v>
                </c:pt>
                <c:pt idx="192">
                  <c:v>-1445.03620232703</c:v>
                </c:pt>
                <c:pt idx="193">
                  <c:v>-1379.9588747640501</c:v>
                </c:pt>
                <c:pt idx="194">
                  <c:v>-1317.80858285929</c:v>
                </c:pt>
                <c:pt idx="195">
                  <c:v>-1258.45350366086</c:v>
                </c:pt>
                <c:pt idx="196">
                  <c:v>-1201.76774254985</c:v>
                </c:pt>
                <c:pt idx="197">
                  <c:v>-1147.63106630534</c:v>
                </c:pt>
                <c:pt idx="198">
                  <c:v>-1095.9286481668701</c:v>
                </c:pt>
                <c:pt idx="199">
                  <c:v>-1046.5508243552899</c:v>
                </c:pt>
                <c:pt idx="200">
                  <c:v>-999.39286153726698</c:v>
                </c:pt>
                <c:pt idx="201">
                  <c:v>-954.35473474157698</c:v>
                </c:pt>
                <c:pt idx="202">
                  <c:v>-911.34091525742599</c:v>
                </c:pt>
                <c:pt idx="203">
                  <c:v>-870.26016806623295</c:v>
                </c:pt>
                <c:pt idx="204">
                  <c:v>-831.02535837825701</c:v>
                </c:pt>
                <c:pt idx="205">
                  <c:v>-793.55326686485898</c:v>
                </c:pt>
                <c:pt idx="206">
                  <c:v>-757.76441319560695</c:v>
                </c:pt>
                <c:pt idx="207">
                  <c:v>-723.58288750683903</c:v>
                </c:pt>
                <c:pt idx="208">
                  <c:v>-690.93618944550099</c:v>
                </c:pt>
                <c:pt idx="209">
                  <c:v>-659.755074447732</c:v>
                </c:pt>
                <c:pt idx="210">
                  <c:v>-629.97340692745695</c:v>
                </c:pt>
                <c:pt idx="211">
                  <c:v>-601.52802006471995</c:v>
                </c:pt>
                <c:pt idx="212">
                  <c:v>-574.35858189766702</c:v>
                </c:pt>
                <c:pt idx="213">
                  <c:v>-548.40746743560805</c:v>
                </c:pt>
                <c:pt idx="214">
                  <c:v>-523.61963652342899</c:v>
                </c:pt>
                <c:pt idx="215">
                  <c:v>-499.94251720005599</c:v>
                </c:pt>
                <c:pt idx="216">
                  <c:v>-477.325894305465</c:v>
                </c:pt>
                <c:pt idx="217">
                  <c:v>-455.72180310211598</c:v>
                </c:pt>
                <c:pt idx="218">
                  <c:v>-435.08442768763302</c:v>
                </c:pt>
                <c:pt idx="219">
                  <c:v>-415.37000398593801</c:v>
                </c:pt>
                <c:pt idx="220">
                  <c:v>-396.53672711413299</c:v>
                </c:pt>
                <c:pt idx="221">
                  <c:v>-378.54466293217001</c:v>
                </c:pt>
                <c:pt idx="222">
                  <c:v>-361.35566359150403</c:v>
                </c:pt>
                <c:pt idx="223">
                  <c:v>-344.93328690810898</c:v>
                </c:pt>
                <c:pt idx="224">
                  <c:v>-329.24271939369402</c:v>
                </c:pt>
                <c:pt idx="225">
                  <c:v>-314.25070278754299</c:v>
                </c:pt>
                <c:pt idx="226">
                  <c:v>-299.92546393937101</c:v>
                </c:pt>
                <c:pt idx="227">
                  <c:v>-286.23664790157301</c:v>
                </c:pt>
                <c:pt idx="228">
                  <c:v>-273.15525409681698</c:v>
                </c:pt>
                <c:pt idx="229">
                  <c:v>-260.65357543448903</c:v>
                </c:pt>
                <c:pt idx="230">
                  <c:v>-248.705140256671</c:v>
                </c:pt>
                <c:pt idx="231">
                  <c:v>-237.284657001521</c:v>
                </c:pt>
                <c:pt idx="232">
                  <c:v>-226.36796147882399</c:v>
                </c:pt>
                <c:pt idx="233">
                  <c:v>-215.9319666593</c:v>
                </c:pt>
                <c:pt idx="234">
                  <c:v>-205.95461488589501</c:v>
                </c:pt>
                <c:pt idx="235">
                  <c:v>-196.41483242179899</c:v>
                </c:pt>
                <c:pt idx="236">
                  <c:v>-187.29248625622799</c:v>
                </c:pt>
                <c:pt idx="237">
                  <c:v>-178.56834309518601</c:v>
                </c:pt>
                <c:pt idx="238">
                  <c:v>-170.22403047031901</c:v>
                </c:pt>
                <c:pt idx="239">
                  <c:v>-162.24199990457601</c:v>
                </c:pt>
                <c:pt idx="240">
                  <c:v>-154.60549207872199</c:v>
                </c:pt>
                <c:pt idx="241">
                  <c:v>-147.29850394751301</c:v>
                </c:pt>
                <c:pt idx="242">
                  <c:v>-140.30575775862201</c:v>
                </c:pt>
                <c:pt idx="243">
                  <c:v>-133.61267193091101</c:v>
                </c:pt>
                <c:pt idx="244">
                  <c:v>-127.205333751249</c:v>
                </c:pt>
                <c:pt idx="245">
                  <c:v>-121.070473850507</c:v>
                </c:pt>
                <c:pt idx="246">
                  <c:v>-115.195442419429</c:v>
                </c:pt>
                <c:pt idx="247">
                  <c:v>-109.568187123356</c:v>
                </c:pt>
                <c:pt idx="248">
                  <c:v>-104.17723267103599</c:v>
                </c:pt>
                <c:pt idx="249">
                  <c:v>-99.011661986545406</c:v>
                </c:pt>
                <c:pt idx="250">
                  <c:v>-94.061098924246593</c:v>
                </c:pt>
                <c:pt idx="251">
                  <c:v>-89.315692454379999</c:v>
                </c:pt>
                <c:pt idx="252">
                  <c:v>-84.766102230879795</c:v>
                </c:pt>
                <c:pt idx="253">
                  <c:v>-80.403485433017195</c:v>
                </c:pt>
                <c:pt idx="254">
                  <c:v>-76.219484748263994</c:v>
                </c:pt>
                <c:pt idx="255">
                  <c:v>-72.206217335307898</c:v>
                </c:pt>
                <c:pt idx="256">
                  <c:v>-68.356264573593194</c:v>
                </c:pt>
                <c:pt idx="257">
                  <c:v>-64.662662369632798</c:v>
                </c:pt>
                <c:pt idx="258">
                  <c:v>-61.1188917515681</c:v>
                </c:pt>
                <c:pt idx="259">
                  <c:v>-57.718869443474098</c:v>
                </c:pt>
                <c:pt idx="260">
                  <c:v>-54.456938071786503</c:v>
                </c:pt>
                <c:pt idx="261">
                  <c:v>-51.327855620596203</c:v>
                </c:pt>
                <c:pt idx="262">
                  <c:v>-48.326783723851896</c:v>
                </c:pt>
                <c:pt idx="263">
                  <c:v>-45.449274364626802</c:v>
                </c:pt>
                <c:pt idx="264">
                  <c:v>-42.691254549072902</c:v>
                </c:pt>
                <c:pt idx="265">
                  <c:v>-40.049008540090298</c:v>
                </c:pt>
                <c:pt idx="266">
                  <c:v>-37.519157277716999</c:v>
                </c:pt>
                <c:pt idx="267">
                  <c:v>-35.098634683582098</c:v>
                </c:pt>
                <c:pt idx="268">
                  <c:v>-32.784660648140203</c:v>
                </c:pt>
                <c:pt idx="269">
                  <c:v>-30.574710632546601</c:v>
                </c:pt>
                <c:pt idx="270">
                  <c:v>-28.466481980014201</c:v>
                </c:pt>
                <c:pt idx="271">
                  <c:v>-26.4578572193833</c:v>
                </c:pt>
                <c:pt idx="272">
                  <c:v>-24.5468648479644</c:v>
                </c:pt>
                <c:pt idx="273">
                  <c:v>-22.731638289669</c:v>
                </c:pt>
                <c:pt idx="274">
                  <c:v>-21.010373923231398</c:v>
                </c:pt>
                <c:pt idx="275">
                  <c:v>-19.381289247281799</c:v>
                </c:pt>
                <c:pt idx="276">
                  <c:v>-17.842582377000902</c:v>
                </c:pt>
                <c:pt idx="277">
                  <c:v>-16.3923941352976</c:v>
                </c:pt>
                <c:pt idx="278">
                  <c:v>-15.0287739975861</c:v>
                </c:pt>
                <c:pt idx="279">
                  <c:v>-13.749651066202199</c:v>
                </c:pt>
                <c:pt idx="280">
                  <c:v>-12.552811088015501</c:v>
                </c:pt>
                <c:pt idx="281">
                  <c:v>-11.435880293997499</c:v>
                </c:pt>
                <c:pt idx="282">
                  <c:v>-10.3963165468768</c:v>
                </c:pt>
                <c:pt idx="283">
                  <c:v>-9.4314079530716501</c:v>
                </c:pt>
                <c:pt idx="284">
                  <c:v>-8.5382787524427197</c:v>
                </c:pt>
                <c:pt idx="285">
                  <c:v>-7.71390197004383</c:v>
                </c:pt>
                <c:pt idx="286">
                  <c:v>-6.9551180224820399</c:v>
                </c:pt>
                <c:pt idx="287">
                  <c:v>-6.25865823816779</c:v>
                </c:pt>
                <c:pt idx="288">
                  <c:v>-5.6211720899006696</c:v>
                </c:pt>
                <c:pt idx="289">
                  <c:v>-5.03925685690895</c:v>
                </c:pt>
                <c:pt idx="290">
                  <c:v>-4.50948843113117</c:v>
                </c:pt>
                <c:pt idx="291">
                  <c:v>-4.0284520520157496</c:v>
                </c:pt>
                <c:pt idx="292">
                  <c:v>-3.5927718829391302</c:v>
                </c:pt>
                <c:pt idx="293">
                  <c:v>-3.1991385147129101</c:v>
                </c:pt>
                <c:pt idx="294">
                  <c:v>-2.84433368039298</c:v>
                </c:pt>
                <c:pt idx="295">
                  <c:v>-2.5252516740639299</c:v>
                </c:pt>
                <c:pt idx="296">
                  <c:v>-2.2389171697465602</c:v>
                </c:pt>
                <c:pt idx="297">
                  <c:v>-1.9824993232975801</c:v>
                </c:pt>
                <c:pt idx="298">
                  <c:v>-1.7533222017949199</c:v>
                </c:pt>
                <c:pt idx="299">
                  <c:v>-1.54887171651269</c:v>
                </c:pt>
                <c:pt idx="300">
                  <c:v>-1.3667993353902499</c:v>
                </c:pt>
                <c:pt idx="301">
                  <c:v>-1.2049229196503899</c:v>
                </c:pt>
                <c:pt idx="302">
                  <c:v>-1.0612250695916601</c:v>
                </c:pt>
                <c:pt idx="303">
                  <c:v>-0.93384938046834598</c:v>
                </c:pt>
                <c:pt idx="304">
                  <c:v>-0.82109500531961299</c:v>
                </c:pt>
                <c:pt idx="305">
                  <c:v>-0.72140990228615598</c:v>
                </c:pt>
                <c:pt idx="306">
                  <c:v>-0.63338311380100298</c:v>
                </c:pt>
                <c:pt idx="307">
                  <c:v>-0.55573638801825698</c:v>
                </c:pt>
                <c:pt idx="308">
                  <c:v>-0.48731541228901099</c:v>
                </c:pt>
                <c:pt idx="309">
                  <c:v>-0.42708088708053399</c:v>
                </c:pt>
                <c:pt idx="310">
                  <c:v>-0.37409962847990902</c:v>
                </c:pt>
                <c:pt idx="311">
                  <c:v>-0.32753584975447703</c:v>
                </c:pt>
                <c:pt idx="312">
                  <c:v>-0.28664273827220799</c:v>
                </c:pt>
                <c:pt idx="313">
                  <c:v>-0.25075441391474801</c:v>
                </c:pt>
                <c:pt idx="314">
                  <c:v>-0.21927832911821199</c:v>
                </c:pt>
                <c:pt idx="315">
                  <c:v>-0.191688148785221</c:v>
                </c:pt>
                <c:pt idx="316">
                  <c:v>-0.16751713029594001</c:v>
                </c:pt>
                <c:pt idx="317">
                  <c:v>-0.14635200936814899</c:v>
                </c:pt>
                <c:pt idx="318">
                  <c:v>-0.127827386183687</c:v>
                </c:pt>
                <c:pt idx="319">
                  <c:v>-0.11162059759606301</c:v>
                </c:pt>
                <c:pt idx="320">
                  <c:v>-9.7447054952388701E-2</c:v>
                </c:pt>
                <c:pt idx="321">
                  <c:v>-8.5056022714942003E-2</c:v>
                </c:pt>
                <c:pt idx="322">
                  <c:v>-7.4226810300413795E-2</c:v>
                </c:pt>
                <c:pt idx="323">
                  <c:v>-6.4765348053513402E-2</c:v>
                </c:pt>
                <c:pt idx="324">
                  <c:v>-5.6501117762811102E-2</c:v>
                </c:pt>
                <c:pt idx="325">
                  <c:v>-4.9284408377016801E-2</c:v>
                </c:pt>
                <c:pt idx="326">
                  <c:v>-4.2983868394055699E-2</c:v>
                </c:pt>
                <c:pt idx="327">
                  <c:v>-3.7484327612297898E-2</c:v>
                </c:pt>
                <c:pt idx="328">
                  <c:v>-3.2684862422667597E-2</c:v>
                </c:pt>
                <c:pt idx="329">
                  <c:v>-2.84970804784439E-2</c:v>
                </c:pt>
                <c:pt idx="330">
                  <c:v>-2.4843602324983099E-2</c:v>
                </c:pt>
                <c:pt idx="331">
                  <c:v>-2.16567193422589E-2</c:v>
                </c:pt>
                <c:pt idx="332">
                  <c:v>-1.8877209102521501E-2</c:v>
                </c:pt>
                <c:pt idx="333">
                  <c:v>-1.6453290939730001E-2</c:v>
                </c:pt>
                <c:pt idx="334">
                  <c:v>-1.4339706143378299E-2</c:v>
                </c:pt>
                <c:pt idx="335">
                  <c:v>-1.24969087114632E-2</c:v>
                </c:pt>
                <c:pt idx="336">
                  <c:v>-1.08903540167675E-2</c:v>
                </c:pt>
                <c:pt idx="337">
                  <c:v>-9.4898740530851705E-3</c:v>
                </c:pt>
                <c:pt idx="338">
                  <c:v>-8.2691291330656107E-3</c:v>
                </c:pt>
                <c:pt idx="339">
                  <c:v>-7.20512700907872E-3</c:v>
                </c:pt>
                <c:pt idx="340">
                  <c:v>-6.2778013869305904E-3</c:v>
                </c:pt>
                <c:pt idx="341">
                  <c:v>-5.4696427046445201E-3</c:v>
                </c:pt>
                <c:pt idx="342">
                  <c:v>-4.7653748609061998E-3</c:v>
                </c:pt>
                <c:pt idx="343">
                  <c:v>-4.1516723066304696E-3</c:v>
                </c:pt>
                <c:pt idx="344">
                  <c:v>-3.6169125650363202E-3</c:v>
                </c:pt>
                <c:pt idx="345">
                  <c:v>-3.15095982719007E-3</c:v>
                </c:pt>
                <c:pt idx="346">
                  <c:v>-2.7449757875449301E-3</c:v>
                </c:pt>
                <c:pt idx="347">
                  <c:v>-2.3912543436438402E-3</c:v>
                </c:pt>
                <c:pt idx="348">
                  <c:v>-2.0830771915764201E-3</c:v>
                </c:pt>
                <c:pt idx="349">
                  <c:v>-1.81458770930928E-3</c:v>
                </c:pt>
                <c:pt idx="350">
                  <c:v>-1.58068083855983E-3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2-4809-98E7-9F2BAB14B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At val="-2000000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Iso R'!$H$3:$H$353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Iso R'!$K$3:$K$353</c:f>
              <c:numCache>
                <c:formatCode>General</c:formatCode>
                <c:ptCount val="351"/>
                <c:pt idx="0">
                  <c:v>119.95678626213243</c:v>
                </c:pt>
                <c:pt idx="1">
                  <c:v>119.9526397325337</c:v>
                </c:pt>
                <c:pt idx="2">
                  <c:v>119.94809769897827</c:v>
                </c:pt>
                <c:pt idx="3">
                  <c:v>119.94312291194844</c:v>
                </c:pt>
                <c:pt idx="4">
                  <c:v>119.93767470821972</c:v>
                </c:pt>
                <c:pt idx="5">
                  <c:v>119.93170871681025</c:v>
                </c:pt>
                <c:pt idx="6">
                  <c:v>119.92517654335232</c:v>
                </c:pt>
                <c:pt idx="7">
                  <c:v>119.91802543207163</c:v>
                </c:pt>
                <c:pt idx="8">
                  <c:v>119.91019790470573</c:v>
                </c:pt>
                <c:pt idx="9">
                  <c:v>119.90163137588765</c:v>
                </c:pt>
                <c:pt idx="10">
                  <c:v>119.89225774477705</c:v>
                </c:pt>
                <c:pt idx="11">
                  <c:v>119.88200296304448</c:v>
                </c:pt>
                <c:pt idx="12">
                  <c:v>119.87078657972113</c:v>
                </c:pt>
                <c:pt idx="13">
                  <c:v>119.85852126392683</c:v>
                </c:pt>
                <c:pt idx="14">
                  <c:v>119.84511230709474</c:v>
                </c:pt>
                <c:pt idx="15">
                  <c:v>119.83045710704084</c:v>
                </c:pt>
                <c:pt idx="16">
                  <c:v>119.81444463708785</c:v>
                </c:pt>
                <c:pt idx="17">
                  <c:v>119.79695490446414</c:v>
                </c:pt>
                <c:pt idx="18">
                  <c:v>119.7778584033682</c:v>
                </c:pt>
                <c:pt idx="19">
                  <c:v>119.75701556942596</c:v>
                </c:pt>
                <c:pt idx="20">
                  <c:v>119.73427624377933</c:v>
                </c:pt>
                <c:pt idx="21">
                  <c:v>119.70947915672427</c:v>
                </c:pt>
                <c:pt idx="22">
                  <c:v>119.68245144265865</c:v>
                </c:pt>
                <c:pt idx="23">
                  <c:v>119.65300820008132</c:v>
                </c:pt>
                <c:pt idx="24">
                  <c:v>119.62095211247015</c:v>
                </c:pt>
                <c:pt idx="25">
                  <c:v>119.58607314800628</c:v>
                </c:pt>
                <c:pt idx="26">
                  <c:v>119.54814835823385</c:v>
                </c:pt>
                <c:pt idx="27">
                  <c:v>119.50694179775304</c:v>
                </c:pt>
                <c:pt idx="28">
                  <c:v>119.46220458882078</c:v>
                </c:pt>
                <c:pt idx="29">
                  <c:v>119.41367515613317</c:v>
                </c:pt>
                <c:pt idx="30">
                  <c:v>119.36107965791405</c:v>
                </c:pt>
                <c:pt idx="31">
                  <c:v>119.30413263954291</c:v>
                </c:pt>
                <c:pt idx="32">
                  <c:v>119.24253793511427</c:v>
                </c:pt>
                <c:pt idx="33">
                  <c:v>119.17598984031322</c:v>
                </c:pt>
                <c:pt idx="34">
                  <c:v>119.10417457661381</c:v>
                </c:pt>
                <c:pt idx="35">
                  <c:v>119.02677206187944</c:v>
                </c:pt>
                <c:pt idx="36">
                  <c:v>118.94345799583931</c:v>
                </c:pt>
                <c:pt idx="37">
                  <c:v>118.85390626058449</c:v>
                </c:pt>
                <c:pt idx="38">
                  <c:v>118.75779162622283</c:v>
                </c:pt>
                <c:pt idx="39">
                  <c:v>118.65479274034017</c:v>
                </c:pt>
                <c:pt idx="40">
                  <c:v>118.54459536726891</c:v>
                </c:pt>
                <c:pt idx="41">
                  <c:v>118.42689582985871</c:v>
                </c:pt>
                <c:pt idx="42">
                  <c:v>118.30140459312658</c:v>
                </c:pt>
                <c:pt idx="43">
                  <c:v>118.16784991662027</c:v>
                </c:pt>
                <c:pt idx="44">
                  <c:v>118.02598149143243</c:v>
                </c:pt>
                <c:pt idx="45">
                  <c:v>117.87557396946029</c:v>
                </c:pt>
                <c:pt idx="46">
                  <c:v>117.71643028757082</c:v>
                </c:pt>
                <c:pt idx="47">
                  <c:v>117.54838468852344</c:v>
                </c:pt>
                <c:pt idx="48">
                  <c:v>117.37130534431593</c:v>
                </c:pt>
                <c:pt idx="49">
                  <c:v>117.18509649624431</c:v>
                </c:pt>
                <c:pt idx="50">
                  <c:v>116.98970003924531</c:v>
                </c:pt>
                <c:pt idx="51">
                  <c:v>116.78509649548525</c:v>
                </c:pt>
                <c:pt idx="52">
                  <c:v>116.57130534279133</c:v>
                </c:pt>
                <c:pt idx="53">
                  <c:v>116.34838468622043</c:v>
                </c:pt>
                <c:pt idx="54">
                  <c:v>116.11643028446984</c:v>
                </c:pt>
                <c:pt idx="55">
                  <c:v>115.87557396553498</c:v>
                </c:pt>
                <c:pt idx="56">
                  <c:v>115.62598148664948</c:v>
                </c:pt>
                <c:pt idx="57">
                  <c:v>115.36784991093904</c:v>
                </c:pt>
                <c:pt idx="58">
                  <c:v>115.10140458649889</c:v>
                </c:pt>
                <c:pt idx="59">
                  <c:v>114.82689582222829</c:v>
                </c:pt>
                <c:pt idx="60">
                  <c:v>114.54459535857097</c:v>
                </c:pt>
                <c:pt idx="61">
                  <c:v>114.25479273050094</c:v>
                </c:pt>
                <c:pt idx="62">
                  <c:v>113.9577916151587</c:v>
                </c:pt>
                <c:pt idx="63">
                  <c:v>113.65390624820159</c:v>
                </c:pt>
                <c:pt idx="64">
                  <c:v>113.34345798203245</c:v>
                </c:pt>
                <c:pt idx="65">
                  <c:v>113.02677204653149</c:v>
                </c:pt>
                <c:pt idx="66">
                  <c:v>112.70417455959441</c:v>
                </c:pt>
                <c:pt idx="67">
                  <c:v>112.37598982147793</c:v>
                </c:pt>
                <c:pt idx="68">
                  <c:v>112.04253791430324</c:v>
                </c:pt>
                <c:pt idx="69">
                  <c:v>111.70413261657941</c:v>
                </c:pt>
                <c:pt idx="70">
                  <c:v>111.36107963260315</c:v>
                </c:pt>
                <c:pt idx="71">
                  <c:v>111.01367512826005</c:v>
                </c:pt>
                <c:pt idx="72">
                  <c:v>110.6622045581488</c:v>
                </c:pt>
                <c:pt idx="73">
                  <c:v>110.30694176402181</c:v>
                </c:pt>
                <c:pt idx="74">
                  <c:v>109.94814832115702</c:v>
                </c:pt>
                <c:pt idx="75">
                  <c:v>109.58607310726912</c:v>
                </c:pt>
                <c:pt idx="76">
                  <c:v>109.22095206772684</c:v>
                </c:pt>
                <c:pt idx="77">
                  <c:v>108.85300815095204</c:v>
                </c:pt>
                <c:pt idx="78">
                  <c:v>108.48245138872635</c:v>
                </c:pt>
                <c:pt idx="79">
                  <c:v>108.10947909753108</c:v>
                </c:pt>
                <c:pt idx="80">
                  <c:v>107.73427617882277</c:v>
                </c:pt>
                <c:pt idx="81">
                  <c:v>107.35701549815461</c:v>
                </c:pt>
                <c:pt idx="82">
                  <c:v>106.97785832517704</c:v>
                </c:pt>
                <c:pt idx="83">
                  <c:v>106.5969548186894</c:v>
                </c:pt>
                <c:pt idx="84">
                  <c:v>106.21444454300141</c:v>
                </c:pt>
                <c:pt idx="85">
                  <c:v>105.830457003844</c:v>
                </c:pt>
                <c:pt idx="86">
                  <c:v>105.44511219391141</c:v>
                </c:pt>
                <c:pt idx="87">
                  <c:v>105.0585211397962</c:v>
                </c:pt>
                <c:pt idx="88">
                  <c:v>104.67078644358948</c:v>
                </c:pt>
                <c:pt idx="89">
                  <c:v>104.28200281375618</c:v>
                </c:pt>
                <c:pt idx="90">
                  <c:v>103.89225758106477</c:v>
                </c:pt>
                <c:pt idx="91">
                  <c:v>103.50163119636164</c:v>
                </c:pt>
                <c:pt idx="92">
                  <c:v>103.11019770784198</c:v>
                </c:pt>
                <c:pt idx="93">
                  <c:v>102.71802521619897</c:v>
                </c:pt>
                <c:pt idx="94">
                  <c:v>102.3251763066382</c:v>
                </c:pt>
                <c:pt idx="95">
                  <c:v>101.93170845724524</c:v>
                </c:pt>
                <c:pt idx="96">
                  <c:v>101.53767442360024</c:v>
                </c:pt>
                <c:pt idx="97">
                  <c:v>101.1431225998584</c:v>
                </c:pt>
                <c:pt idx="98">
                  <c:v>100.74809735676845</c:v>
                </c:pt>
                <c:pt idx="99">
                  <c:v>100.3526393572989</c:v>
                </c:pt>
                <c:pt idx="100">
                  <c:v>99.956785850687339</c:v>
                </c:pt>
                <c:pt idx="101">
                  <c:v>99.560570945829099</c:v>
                </c:pt>
                <c:pt idx="102">
                  <c:v>99.164025864995281</c:v>
                </c:pt>
                <c:pt idx="103">
                  <c:v>98.767179178909345</c:v>
                </c:pt>
                <c:pt idx="104">
                  <c:v>98.370057024229695</c:v>
                </c:pt>
                <c:pt idx="105">
                  <c:v>97.972683304488953</c:v>
                </c:pt>
                <c:pt idx="106">
                  <c:v>97.575079875524509</c:v>
                </c:pt>
                <c:pt idx="107">
                  <c:v>97.177266716412134</c:v>
                </c:pt>
                <c:pt idx="108">
                  <c:v>96.779262086881843</c:v>
                </c:pt>
                <c:pt idx="109">
                  <c:v>96.381082672155571</c:v>
                </c:pt>
                <c:pt idx="110">
                  <c:v>95.982743716105546</c:v>
                </c:pt>
                <c:pt idx="111">
                  <c:v>95.584259143585058</c:v>
                </c:pt>
                <c:pt idx="112">
                  <c:v>95.185641672737802</c:v>
                </c:pt>
                <c:pt idx="113">
                  <c:v>94.786902918045698</c:v>
                </c:pt>
                <c:pt idx="114">
                  <c:v>94.388053484825917</c:v>
                </c:pt>
                <c:pt idx="115">
                  <c:v>93.989103055844581</c:v>
                </c:pt>
                <c:pt idx="116">
                  <c:v>93.590060470668703</c:v>
                </c:pt>
                <c:pt idx="117">
                  <c:v>93.190933798335465</c:v>
                </c:pt>
                <c:pt idx="118">
                  <c:v>92.791730403876059</c:v>
                </c:pt>
                <c:pt idx="119">
                  <c:v>92.392457009193322</c:v>
                </c:pt>
                <c:pt idx="120">
                  <c:v>91.993119748755134</c:v>
                </c:pt>
                <c:pt idx="121">
                  <c:v>91.593724220530163</c:v>
                </c:pt>
                <c:pt idx="122">
                  <c:v>91.194275532559629</c:v>
                </c:pt>
                <c:pt idx="123">
                  <c:v>90.794778345529892</c:v>
                </c:pt>
                <c:pt idx="124">
                  <c:v>90.395236911679007</c:v>
                </c:pt>
                <c:pt idx="125">
                  <c:v>89.99565511034676</c:v>
                </c:pt>
                <c:pt idx="126">
                  <c:v>89.596036480450891</c:v>
                </c:pt>
                <c:pt idx="127">
                  <c:v>89.196384250149606</c:v>
                </c:pt>
                <c:pt idx="128">
                  <c:v>88.796701363929955</c:v>
                </c:pt>
                <c:pt idx="129">
                  <c:v>88.396990507341087</c:v>
                </c:pt>
                <c:pt idx="130">
                  <c:v>87.997254129573307</c:v>
                </c:pt>
                <c:pt idx="131">
                  <c:v>87.597494464067381</c:v>
                </c:pt>
                <c:pt idx="132">
                  <c:v>87.197713547322991</c:v>
                </c:pt>
                <c:pt idx="133">
                  <c:v>86.797913236060879</c:v>
                </c:pt>
                <c:pt idx="134">
                  <c:v>86.398095222879604</c:v>
                </c:pt>
                <c:pt idx="135">
                  <c:v>85.99826105053701</c:v>
                </c:pt>
                <c:pt idx="136">
                  <c:v>85.598412124974232</c:v>
                </c:pt>
                <c:pt idx="137">
                  <c:v>85.198549727190439</c:v>
                </c:pt>
                <c:pt idx="138">
                  <c:v>84.798675024066981</c:v>
                </c:pt>
                <c:pt idx="139">
                  <c:v>84.398789078231403</c:v>
                </c:pt>
                <c:pt idx="140">
                  <c:v>83.998892857043529</c:v>
                </c:pt>
                <c:pt idx="141">
                  <c:v>83.598987240778214</c:v>
                </c:pt>
                <c:pt idx="142">
                  <c:v>83.199073030074189</c:v>
                </c:pt>
                <c:pt idx="143">
                  <c:v>82.799150952710761</c:v>
                </c:pt>
                <c:pt idx="144">
                  <c:v>82.399221669768991</c:v>
                </c:pt>
                <c:pt idx="145">
                  <c:v>81.999285781230412</c:v>
                </c:pt>
                <c:pt idx="146">
                  <c:v>81.599343831058079</c:v>
                </c:pt>
                <c:pt idx="147">
                  <c:v>81.199396311805287</c:v>
                </c:pt>
                <c:pt idx="148">
                  <c:v>80.799443668788612</c:v>
                </c:pt>
                <c:pt idx="149">
                  <c:v>80.399486303861664</c:v>
                </c:pt>
                <c:pt idx="150">
                  <c:v>79.999524578821024</c:v>
                </c:pt>
                <c:pt idx="151">
                  <c:v>79.599558818473085</c:v>
                </c:pt>
                <c:pt idx="152">
                  <c:v>79.199589313387193</c:v>
                </c:pt>
                <c:pt idx="153">
                  <c:v>78.799616322359483</c:v>
                </c:pt>
                <c:pt idx="154">
                  <c:v>78.399640074607063</c:v>
                </c:pt>
                <c:pt idx="155">
                  <c:v>77.999660771711902</c:v>
                </c:pt>
                <c:pt idx="156">
                  <c:v>77.599678589330068</c:v>
                </c:pt>
                <c:pt idx="157">
                  <c:v>77.199693678681484</c:v>
                </c:pt>
                <c:pt idx="158">
                  <c:v>76.799706167832682</c:v>
                </c:pt>
                <c:pt idx="159">
                  <c:v>76.399716162782795</c:v>
                </c:pt>
                <c:pt idx="160">
                  <c:v>75.999723748362712</c:v>
                </c:pt>
                <c:pt idx="161">
                  <c:v>75.59972898895461</c:v>
                </c:pt>
                <c:pt idx="162">
                  <c:v>75.199731929038009</c:v>
                </c:pt>
                <c:pt idx="163">
                  <c:v>74.799732593567512</c:v>
                </c:pt>
                <c:pt idx="164">
                  <c:v>74.399730988184075</c:v>
                </c:pt>
                <c:pt idx="165">
                  <c:v>73.99972709926287</c:v>
                </c:pt>
                <c:pt idx="166">
                  <c:v>73.599720893798207</c:v>
                </c:pt>
                <c:pt idx="167">
                  <c:v>73.199712319122838</c:v>
                </c:pt>
                <c:pt idx="168">
                  <c:v>72.799701302462182</c:v>
                </c:pt>
                <c:pt idx="169">
                  <c:v>72.399687750316033</c:v>
                </c:pt>
                <c:pt idx="170">
                  <c:v>71.999671547666679</c:v>
                </c:pt>
                <c:pt idx="171">
                  <c:v>71.5996525570024</c:v>
                </c:pt>
                <c:pt idx="172">
                  <c:v>71.199630617151854</c:v>
                </c:pt>
                <c:pt idx="173">
                  <c:v>70.799605541917131</c:v>
                </c:pt>
                <c:pt idx="174">
                  <c:v>70.399577118494847</c:v>
                </c:pt>
                <c:pt idx="175">
                  <c:v>69.999545105671714</c:v>
                </c:pt>
                <c:pt idx="176">
                  <c:v>69.599509231779223</c:v>
                </c:pt>
                <c:pt idx="177">
                  <c:v>69.199469192390836</c:v>
                </c:pt>
                <c:pt idx="178">
                  <c:v>68.799424647741048</c:v>
                </c:pt>
                <c:pt idx="179">
                  <c:v>68.399375219845766</c:v>
                </c:pt>
                <c:pt idx="180">
                  <c:v>67.999320489298754</c:v>
                </c:pt>
                <c:pt idx="181">
                  <c:v>67.599259991717915</c:v>
                </c:pt>
                <c:pt idx="182">
                  <c:v>67.199193213810616</c:v>
                </c:pt>
                <c:pt idx="183">
                  <c:v>66.79911958902585</c:v>
                </c:pt>
                <c:pt idx="184">
                  <c:v>66.39903849275575</c:v>
                </c:pt>
                <c:pt idx="185">
                  <c:v>65.998949237046972</c:v>
                </c:pt>
                <c:pt idx="186">
                  <c:v>65.598851064776554</c:v>
                </c:pt>
                <c:pt idx="187">
                  <c:v>65.198743143244371</c:v>
                </c:pt>
                <c:pt idx="188">
                  <c:v>64.798624557127368</c:v>
                </c:pt>
                <c:pt idx="189">
                  <c:v>64.398494300737894</c:v>
                </c:pt>
                <c:pt idx="190">
                  <c:v>63.998351269519695</c:v>
                </c:pt>
                <c:pt idx="191">
                  <c:v>63.59819425071224</c:v>
                </c:pt>
                <c:pt idx="192">
                  <c:v>63.198021913104412</c:v>
                </c:pt>
                <c:pt idx="193">
                  <c:v>62.797832795792139</c:v>
                </c:pt>
                <c:pt idx="194">
                  <c:v>62.397625295847604</c:v>
                </c:pt>
                <c:pt idx="195">
                  <c:v>61.997397654796657</c:v>
                </c:pt>
                <c:pt idx="196">
                  <c:v>61.59714794379272</c:v>
                </c:pt>
                <c:pt idx="197">
                  <c:v>61.196874047365654</c:v>
                </c:pt>
                <c:pt idx="198">
                  <c:v>60.796573645610351</c:v>
                </c:pt>
                <c:pt idx="199">
                  <c:v>60.396244194669777</c:v>
                </c:pt>
                <c:pt idx="200">
                  <c:v>59.995882905353035</c:v>
                </c:pt>
                <c:pt idx="201">
                  <c:v>59.595486719713129</c:v>
                </c:pt>
                <c:pt idx="202">
                  <c:v>59.195052285394837</c:v>
                </c:pt>
                <c:pt idx="203">
                  <c:v>58.794575927545367</c:v>
                </c:pt>
                <c:pt idx="204">
                  <c:v>58.394053618062031</c:v>
                </c:pt>
                <c:pt idx="205">
                  <c:v>57.993480941929299</c:v>
                </c:pt>
                <c:pt idx="206">
                  <c:v>57.592853060380364</c:v>
                </c:pt>
                <c:pt idx="207">
                  <c:v>57.192164670588291</c:v>
                </c:pt>
                <c:pt idx="208">
                  <c:v>56.791409961574182</c:v>
                </c:pt>
                <c:pt idx="209">
                  <c:v>56.390582565985817</c:v>
                </c:pt>
                <c:pt idx="210">
                  <c:v>55.989675507377214</c:v>
                </c:pt>
                <c:pt idx="211">
                  <c:v>55.588681142584591</c:v>
                </c:pt>
                <c:pt idx="212">
                  <c:v>55.18759109876359</c:v>
                </c:pt>
                <c:pt idx="213">
                  <c:v>54.786396204617603</c:v>
                </c:pt>
                <c:pt idx="214">
                  <c:v>54.385086415310262</c:v>
                </c:pt>
                <c:pt idx="215">
                  <c:v>53.983650730516217</c:v>
                </c:pt>
                <c:pt idx="216">
                  <c:v>53.582077105026407</c:v>
                </c:pt>
                <c:pt idx="217">
                  <c:v>53.180352351278771</c:v>
                </c:pt>
                <c:pt idx="218">
                  <c:v>52.778462033147605</c:v>
                </c:pt>
                <c:pt idx="219">
                  <c:v>52.376390350277511</c:v>
                </c:pt>
                <c:pt idx="220">
                  <c:v>51.974120012206669</c:v>
                </c:pt>
                <c:pt idx="221">
                  <c:v>51.571632101481633</c:v>
                </c:pt>
                <c:pt idx="222">
                  <c:v>51.168905924923664</c:v>
                </c:pt>
                <c:pt idx="223">
                  <c:v>50.765918852170977</c:v>
                </c:pt>
                <c:pt idx="224">
                  <c:v>50.362646140583564</c:v>
                </c:pt>
                <c:pt idx="225">
                  <c:v>49.959060745574639</c:v>
                </c:pt>
                <c:pt idx="226">
                  <c:v>49.555133115409333</c:v>
                </c:pt>
                <c:pt idx="227">
                  <c:v>49.150830969505883</c:v>
                </c:pt>
                <c:pt idx="228">
                  <c:v>48.74611905927884</c:v>
                </c:pt>
                <c:pt idx="229">
                  <c:v>48.340958910590516</c:v>
                </c:pt>
                <c:pt idx="230">
                  <c:v>47.935308546921775</c:v>
                </c:pt>
                <c:pt idx="231">
                  <c:v>47.529122192449627</c:v>
                </c:pt>
                <c:pt idx="232">
                  <c:v>47.122349954329792</c:v>
                </c:pt>
                <c:pt idx="233">
                  <c:v>46.714937483631047</c:v>
                </c:pt>
                <c:pt idx="234">
                  <c:v>46.306825614571238</c:v>
                </c:pt>
                <c:pt idx="235">
                  <c:v>45.897949981963428</c:v>
                </c:pt>
                <c:pt idx="236">
                  <c:v>45.4882406171116</c:v>
                </c:pt>
                <c:pt idx="237">
                  <c:v>45.077621522803035</c:v>
                </c:pt>
                <c:pt idx="238">
                  <c:v>44.666010228551656</c:v>
                </c:pt>
                <c:pt idx="239">
                  <c:v>44.253317327853885</c:v>
                </c:pt>
                <c:pt idx="240">
                  <c:v>43.839445999952716</c:v>
                </c:pt>
                <c:pt idx="241">
                  <c:v>43.424291519468426</c:v>
                </c:pt>
                <c:pt idx="242">
                  <c:v>43.007740758269748</c:v>
                </c:pt>
                <c:pt idx="243">
                  <c:v>42.589671685131222</c:v>
                </c:pt>
                <c:pt idx="244">
                  <c:v>42.169952870064272</c:v>
                </c:pt>
                <c:pt idx="245">
                  <c:v>41.748443001725335</c:v>
                </c:pt>
                <c:pt idx="246">
                  <c:v>41.324990427994891</c:v>
                </c:pt>
                <c:pt idx="247">
                  <c:v>40.899432731672846</c:v>
                </c:pt>
                <c:pt idx="248">
                  <c:v>40.471596355239548</c:v>
                </c:pt>
                <c:pt idx="249">
                  <c:v>40.041296290740235</c:v>
                </c:pt>
                <c:pt idx="250">
                  <c:v>39.608335853031484</c:v>
                </c:pt>
                <c:pt idx="251">
                  <c:v>39.172506556798183</c:v>
                </c:pt>
                <c:pt idx="252">
                  <c:v>38.733588119825377</c:v>
                </c:pt>
                <c:pt idx="253">
                  <c:v>38.291348616875105</c:v>
                </c:pt>
                <c:pt idx="254">
                  <c:v>37.845544810026254</c:v>
                </c:pt>
                <c:pt idx="255">
                  <c:v>37.395922682321554</c:v>
                </c:pt>
                <c:pt idx="256">
                  <c:v>36.942218201844675</c:v>
                </c:pt>
                <c:pt idx="257">
                  <c:v>36.484158342694862</c:v>
                </c:pt>
                <c:pt idx="258">
                  <c:v>36.021462387549683</c:v>
                </c:pt>
                <c:pt idx="259">
                  <c:v>35.553843533367917</c:v>
                </c:pt>
                <c:pt idx="260">
                  <c:v>35.081010817124529</c:v>
                </c:pt>
                <c:pt idx="261">
                  <c:v>34.602671372131383</c:v>
                </c:pt>
                <c:pt idx="262">
                  <c:v>34.118533017428298</c:v>
                </c:pt>
                <c:pt idx="263">
                  <c:v>33.628307172954528</c:v>
                </c:pt>
                <c:pt idx="264">
                  <c:v>33.131712081899536</c:v>
                </c:pt>
                <c:pt idx="265">
                  <c:v>32.628476309080533</c:v>
                </c:pt>
                <c:pt idx="266">
                  <c:v>32.118342470883334</c:v>
                </c:pt>
                <c:pt idx="267">
                  <c:v>31.601071138839032</c:v>
                </c:pt>
                <c:pt idx="268">
                  <c:v>31.076444846060944</c:v>
                </c:pt>
                <c:pt idx="269">
                  <c:v>30.54427211439225</c:v>
                </c:pt>
                <c:pt idx="270">
                  <c:v>30.004391411102105</c:v>
                </c:pt>
                <c:pt idx="271">
                  <c:v>29.456674938182637</c:v>
                </c:pt>
                <c:pt idx="272">
                  <c:v>28.901032155467963</c:v>
                </c:pt>
                <c:pt idx="273">
                  <c:v>28.337412941442949</c:v>
                </c:pt>
                <c:pt idx="274">
                  <c:v>27.76581030295123</c:v>
                </c:pt>
                <c:pt idx="275">
                  <c:v>27.186262556934967</c:v>
                </c:pt>
                <c:pt idx="276">
                  <c:v>26.598854923345012</c:v>
                </c:pt>
                <c:pt idx="277">
                  <c:v>26.00372048759791</c:v>
                </c:pt>
                <c:pt idx="278">
                  <c:v>25.401040512287359</c:v>
                </c:pt>
                <c:pt idx="279">
                  <c:v>24.791044099929888</c:v>
                </c:pt>
                <c:pt idx="280">
                  <c:v>24.174007229918402</c:v>
                </c:pt>
                <c:pt idx="281">
                  <c:v>23.550251212191746</c:v>
                </c:pt>
                <c:pt idx="282">
                  <c:v>22.920140616223456</c:v>
                </c:pt>
                <c:pt idx="283">
                  <c:v>22.284080745864408</c:v>
                </c:pt>
                <c:pt idx="284">
                  <c:v>21.642514737805406</c:v>
                </c:pt>
                <c:pt idx="285">
                  <c:v>20.995920363782034</c:v>
                </c:pt>
                <c:pt idx="286">
                  <c:v>20.344806614343767</c:v>
                </c:pt>
                <c:pt idx="287">
                  <c:v>19.689710135601043</c:v>
                </c:pt>
                <c:pt idx="288">
                  <c:v>19.031191580651424</c:v>
                </c:pt>
                <c:pt idx="289">
                  <c:v>18.369831925360046</c:v>
                </c:pt>
                <c:pt idx="290">
                  <c:v>17.706228784895849</c:v>
                </c:pt>
                <c:pt idx="291">
                  <c:v>17.040992753983893</c:v>
                </c:pt>
                <c:pt idx="292">
                  <c:v>16.374743781228787</c:v>
                </c:pt>
                <c:pt idx="293">
                  <c:v>15.708107576981442</c:v>
                </c:pt>
                <c:pt idx="294">
                  <c:v>15.041712045787467</c:v>
                </c:pt>
                <c:pt idx="295">
                  <c:v>14.376183729003763</c:v>
                </c:pt>
                <c:pt idx="296">
                  <c:v>13.712144241044971</c:v>
                </c:pt>
                <c:pt idx="297">
                  <c:v>13.050206684044827</c:v>
                </c:pt>
                <c:pt idx="298">
                  <c:v>12.390972030414124</c:v>
                </c:pt>
                <c:pt idx="299">
                  <c:v>11.735025470556453</c:v>
                </c:pt>
                <c:pt idx="300">
                  <c:v>11.082932733372621</c:v>
                </c:pt>
                <c:pt idx="301">
                  <c:v>10.435236399458683</c:v>
                </c:pt>
                <c:pt idx="302">
                  <c:v>9.792452240239589</c:v>
                </c:pt>
                <c:pt idx="303">
                  <c:v>9.1550656296828379</c:v>
                </c:pt>
                <c:pt idx="304">
                  <c:v>8.523528087655718</c:v>
                </c:pt>
                <c:pt idx="305">
                  <c:v>7.8982540243325863</c:v>
                </c:pt>
                <c:pt idx="306">
                  <c:v>7.2796177623182556</c:v>
                </c:pt>
                <c:pt idx="307">
                  <c:v>6.6679509164768822</c:v>
                </c:pt>
                <c:pt idx="308">
                  <c:v>6.0635402102135512</c:v>
                </c:pt>
                <c:pt idx="309">
                  <c:v>5.4666258008682922</c:v>
                </c:pt>
                <c:pt idx="310">
                  <c:v>4.8774001760079404</c:v>
                </c:pt>
                <c:pt idx="311">
                  <c:v>4.296007667213245</c:v>
                </c:pt>
                <c:pt idx="312">
                  <c:v>3.7225446092807672</c:v>
                </c:pt>
                <c:pt idx="313">
                  <c:v>3.1570601517274093</c:v>
                </c:pt>
                <c:pt idx="314">
                  <c:v>2.5995577074466873</c:v>
                </c:pt>
                <c:pt idx="315">
                  <c:v>2.0499970017331091</c:v>
                </c:pt>
                <c:pt idx="316">
                  <c:v>1.5082966650539338</c:v>
                </c:pt>
                <c:pt idx="317">
                  <c:v>0.97433729609913711</c:v>
                </c:pt>
                <c:pt idx="318">
                  <c:v>0.44796490870658601</c:v>
                </c:pt>
                <c:pt idx="319">
                  <c:v>-7.1005332179612857E-2</c:v>
                </c:pt>
                <c:pt idx="320">
                  <c:v>-0.58278518409024971</c:v>
                </c:pt>
                <c:pt idx="321">
                  <c:v>-1.0876093079056361</c:v>
                </c:pt>
                <c:pt idx="322">
                  <c:v>-1.5857312488537105</c:v>
                </c:pt>
                <c:pt idx="323">
                  <c:v>-2.0774195021317263</c:v>
                </c:pt>
                <c:pt idx="324">
                  <c:v>-2.5629537367467989</c:v>
                </c:pt>
                <c:pt idx="325">
                  <c:v>-3.0426212385872842</c:v>
                </c:pt>
                <c:pt idx="326">
                  <c:v>-3.5167136203480363</c:v>
                </c:pt>
                <c:pt idx="327">
                  <c:v>-3.9855238325184912</c:v>
                </c:pt>
                <c:pt idx="328">
                  <c:v>-4.4493434968733734</c:v>
                </c:pt>
                <c:pt idx="329">
                  <c:v>-4.9084605722644463</c:v>
                </c:pt>
                <c:pt idx="330">
                  <c:v>-5.3631573523668239</c:v>
                </c:pt>
                <c:pt idx="331">
                  <c:v>-5.8137087865497001</c:v>
                </c:pt>
                <c:pt idx="332">
                  <c:v>-6.2603811083110728</c:v>
                </c:pt>
                <c:pt idx="333">
                  <c:v>-6.7034307506652926</c:v>
                </c:pt>
                <c:pt idx="334">
                  <c:v>-7.1431035244013144</c:v>
                </c:pt>
                <c:pt idx="335">
                  <c:v>-7.5796340330471565</c:v>
                </c:pt>
                <c:pt idx="336">
                  <c:v>-8.013245297480605</c:v>
                </c:pt>
                <c:pt idx="337">
                  <c:v>-8.4441485632069977</c:v>
                </c:pt>
                <c:pt idx="338">
                  <c:v>-8.8725432641607842</c:v>
                </c:pt>
                <c:pt idx="339">
                  <c:v>-9.2986171182915687</c:v>
                </c:pt>
                <c:pt idx="340">
                  <c:v>-9.7225463319922607</c:v>
                </c:pt>
                <c:pt idx="341">
                  <c:v>-10.144495892460551</c:v>
                </c:pt>
                <c:pt idx="342">
                  <c:v>-10.56461992924865</c:v>
                </c:pt>
                <c:pt idx="343">
                  <c:v>-10.983062128434991</c:v>
                </c:pt>
                <c:pt idx="344">
                  <c:v>-11.399956184986237</c:v>
                </c:pt>
                <c:pt idx="345">
                  <c:v>-11.815426280907843</c:v>
                </c:pt>
                <c:pt idx="346">
                  <c:v>-12.229587578671248</c:v>
                </c:pt>
                <c:pt idx="347">
                  <c:v>-12.642546721135627</c:v>
                </c:pt>
                <c:pt idx="348">
                  <c:v>-13.054402330736728</c:v>
                </c:pt>
                <c:pt idx="349">
                  <c:v>-13.465245502100981</c:v>
                </c:pt>
                <c:pt idx="350">
                  <c:v>-13.875160283451219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0-4112-B635-509B7D45A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'Opamp and Iso R'!$H$3:$H$353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Iso R'!$L$3:$L$353</c:f>
              <c:numCache>
                <c:formatCode>General</c:formatCode>
                <c:ptCount val="351"/>
                <c:pt idx="0">
                  <c:v>-5.7107371374996632</c:v>
                </c:pt>
                <c:pt idx="1">
                  <c:v>-5.9779704506096509</c:v>
                </c:pt>
                <c:pt idx="2">
                  <c:v>-6.2575184106109498</c:v>
                </c:pt>
                <c:pt idx="3">
                  <c:v>-6.5499206271955588</c:v>
                </c:pt>
                <c:pt idx="4">
                  <c:v>-6.8557362734318561</c:v>
                </c:pt>
                <c:pt idx="5">
                  <c:v>-7.1755441817689993</c:v>
                </c:pt>
                <c:pt idx="6">
                  <c:v>-7.5099428330235849</c:v>
                </c:pt>
                <c:pt idx="7">
                  <c:v>-7.8595502194399751</c:v>
                </c:pt>
                <c:pt idx="8">
                  <c:v>-8.2250035606068224</c:v>
                </c:pt>
                <c:pt idx="9">
                  <c:v>-8.6069588485338322</c:v>
                </c:pt>
                <c:pt idx="10">
                  <c:v>-9.0060901955511898</c:v>
                </c:pt>
                <c:pt idx="11">
                  <c:v>-9.4230889559190718</c:v>
                </c:pt>
                <c:pt idx="12">
                  <c:v>-9.8586625891596373</c:v>
                </c:pt>
                <c:pt idx="13">
                  <c:v>-10.313533230199914</c:v>
                </c:pt>
                <c:pt idx="14">
                  <c:v>-10.788435928511568</c:v>
                </c:pt>
                <c:pt idx="15">
                  <c:v>-11.284116515641189</c:v>
                </c:pt>
                <c:pt idx="16">
                  <c:v>-11.801329057970701</c:v>
                </c:pt>
                <c:pt idx="17">
                  <c:v>-12.340832849368816</c:v>
                </c:pt>
                <c:pt idx="18">
                  <c:v>-12.903388896787783</c:v>
                </c:pt>
                <c:pt idx="19">
                  <c:v>-13.489755851040663</c:v>
                </c:pt>
                <c:pt idx="20">
                  <c:v>-14.100685335235406</c:v>
                </c:pt>
                <c:pt idx="21">
                  <c:v>-14.736916624947675</c:v>
                </c:pt>
                <c:pt idx="22">
                  <c:v>-15.399170637540347</c:v>
                </c:pt>
                <c:pt idx="23">
                  <c:v>-16.088143193469364</c:v>
                </c:pt>
                <c:pt idx="24">
                  <c:v>-16.804497520386285</c:v>
                </c:pt>
                <c:pt idx="25">
                  <c:v>-17.548855981775365</c:v>
                </c:pt>
                <c:pt idx="26">
                  <c:v>-18.321791026198827</c:v>
                </c:pt>
                <c:pt idx="27">
                  <c:v>-19.123815371352173</c:v>
                </c:pt>
                <c:pt idx="28">
                  <c:v>-19.955371459379666</c:v>
                </c:pt>
                <c:pt idx="29">
                  <c:v>-20.81682024646636</c:v>
                </c:pt>
                <c:pt idx="30">
                  <c:v>-21.708429420634655</c:v>
                </c:pt>
                <c:pt idx="31">
                  <c:v>-22.630361176687995</c:v>
                </c:pt>
                <c:pt idx="32">
                  <c:v>-23.582659715834556</c:v>
                </c:pt>
                <c:pt idx="33">
                  <c:v>-24.565238678752525</c:v>
                </c:pt>
                <c:pt idx="34">
                  <c:v>-25.577868763352342</c:v>
                </c:pt>
                <c:pt idx="35">
                  <c:v>-26.62016582040917</c:v>
                </c:pt>
                <c:pt idx="36">
                  <c:v>-27.691579759223231</c:v>
                </c:pt>
                <c:pt idx="37">
                  <c:v>-28.791384628750247</c:v>
                </c:pt>
                <c:pt idx="38">
                  <c:v>-29.91867026407634</c:v>
                </c:pt>
                <c:pt idx="39">
                  <c:v>-31.072335900380519</c:v>
                </c:pt>
                <c:pt idx="40">
                  <c:v>-32.251086153369386</c:v>
                </c:pt>
                <c:pt idx="41">
                  <c:v>-33.453429743659171</c:v>
                </c:pt>
                <c:pt idx="42">
                  <c:v>-34.67768130051315</c:v>
                </c:pt>
                <c:pt idx="43">
                  <c:v>-35.92196651655749</c:v>
                </c:pt>
                <c:pt idx="44">
                  <c:v>-37.18423083985148</c:v>
                </c:pt>
                <c:pt idx="45">
                  <c:v>-38.462251784867725</c:v>
                </c:pt>
                <c:pt idx="46">
                  <c:v>-39.753654823260973</c:v>
                </c:pt>
                <c:pt idx="47">
                  <c:v>-41.055932684199313</c:v>
                </c:pt>
                <c:pt idx="48">
                  <c:v>-42.366467759439871</c:v>
                </c:pt>
                <c:pt idx="49">
                  <c:v>-43.682557178241694</c:v>
                </c:pt>
                <c:pt idx="50">
                  <c:v>-45.001439999999533</c:v>
                </c:pt>
                <c:pt idx="51">
                  <c:v>-46.320325876190203</c:v>
                </c:pt>
                <c:pt idx="52">
                  <c:v>-47.636424464770293</c:v>
                </c:pt>
                <c:pt idx="53">
                  <c:v>-48.946974844583949</c:v>
                </c:pt>
                <c:pt idx="54">
                  <c:v>-50.249274177353797</c:v>
                </c:pt>
                <c:pt idx="55">
                  <c:v>-51.540704900381968</c:v>
                </c:pt>
                <c:pt idx="56">
                  <c:v>-52.818759801558478</c:v>
                </c:pt>
                <c:pt idx="57">
                  <c:v>-54.081064424564509</c:v>
                </c:pt>
                <c:pt idx="58">
                  <c:v>-55.32539636935298</c:v>
                </c:pt>
                <c:pt idx="59">
                  <c:v>-56.549701183101583</c:v>
                </c:pt>
                <c:pt idx="60">
                  <c:v>-57.752104671401376</c:v>
                </c:pt>
                <c:pt idx="61">
                  <c:v>-58.930921590567351</c:v>
                </c:pt>
                <c:pt idx="62">
                  <c:v>-60.084660802623731</c:v>
                </c:pt>
                <c:pt idx="63">
                  <c:v>-61.212027079340793</c:v>
                </c:pt>
                <c:pt idx="64">
                  <c:v>-62.311919826949485</c:v>
                </c:pt>
                <c:pt idx="65">
                  <c:v>-63.383429066936081</c:v>
                </c:pt>
                <c:pt idx="66">
                  <c:v>-64.425829050403678</c:v>
                </c:pt>
                <c:pt idx="67">
                  <c:v>-65.438569904972923</c:v>
                </c:pt>
                <c:pt idx="68">
                  <c:v>-66.421267716376718</c:v>
                </c:pt>
                <c:pt idx="69">
                  <c:v>-67.37369343461954</c:v>
                </c:pt>
                <c:pt idx="70">
                  <c:v>-68.295760970143064</c:v>
                </c:pt>
                <c:pt idx="71">
                  <c:v>-69.187514812161993</c:v>
                </c:pt>
                <c:pt idx="72">
                  <c:v>-70.049117462339694</c:v>
                </c:pt>
                <c:pt idx="73">
                  <c:v>-70.880836935062746</c:v>
                </c:pt>
                <c:pt idx="74">
                  <c:v>-71.683034533077318</c:v>
                </c:pt>
                <c:pt idx="75">
                  <c:v>-72.45615306601978</c:v>
                </c:pt>
                <c:pt idx="76">
                  <c:v>-73.200705640789508</c:v>
                </c:pt>
                <c:pt idx="77">
                  <c:v>-73.917265117689226</c:v>
                </c:pt>
                <c:pt idx="78">
                  <c:v>-74.606454295353572</c:v>
                </c:pt>
                <c:pt idx="79">
                  <c:v>-75.268936860917933</c:v>
                </c:pt>
                <c:pt idx="80">
                  <c:v>-75.905409119629795</c:v>
                </c:pt>
                <c:pt idx="81">
                  <c:v>-76.516592499979097</c:v>
                </c:pt>
                <c:pt idx="82">
                  <c:v>-77.103226816089688</c:v>
                </c:pt>
                <c:pt idx="83">
                  <c:v>-77.666064258179475</c:v>
                </c:pt>
                <c:pt idx="84">
                  <c:v>-78.205864073937306</c:v>
                </c:pt>
                <c:pt idx="85">
                  <c:v>-78.723387898222484</c:v>
                </c:pt>
                <c:pt idx="86">
                  <c:v>-79.219395685174476</c:v>
                </c:pt>
                <c:pt idx="87">
                  <c:v>-79.694642195209809</c:v>
                </c:pt>
                <c:pt idx="88">
                  <c:v>-80.149873989145462</c:v>
                </c:pt>
                <c:pt idx="89">
                  <c:v>-80.585826882506595</c:v>
                </c:pt>
                <c:pt idx="90">
                  <c:v>-81.003223814681448</c:v>
                </c:pt>
                <c:pt idx="91">
                  <c:v>-81.402773089767848</c:v>
                </c:pt>
                <c:pt idx="92">
                  <c:v>-81.785166948506912</c:v>
                </c:pt>
                <c:pt idx="93">
                  <c:v>-82.151080433495892</c:v>
                </c:pt>
                <c:pt idx="94">
                  <c:v>-82.501170512770742</c:v>
                </c:pt>
                <c:pt idx="95">
                  <c:v>-82.83607542977596</c:v>
                </c:pt>
                <c:pt idx="96">
                  <c:v>-83.156414250612514</c:v>
                </c:pt>
                <c:pt idx="97">
                  <c:v>-83.462786582233136</c:v>
                </c:pt>
                <c:pt idx="98">
                  <c:v>-83.755772437890485</c:v>
                </c:pt>
                <c:pt idx="99">
                  <c:v>-84.035932228628369</c:v>
                </c:pt>
                <c:pt idx="100">
                  <c:v>-84.303806861912946</c:v>
                </c:pt>
                <c:pt idx="101">
                  <c:v>-84.559917930630718</c:v>
                </c:pt>
                <c:pt idx="102">
                  <c:v>-84.804767977631315</c:v>
                </c:pt>
                <c:pt idx="103">
                  <c:v>-85.038840822768151</c:v>
                </c:pt>
                <c:pt idx="104">
                  <c:v>-85.262601940997484</c:v>
                </c:pt>
                <c:pt idx="105">
                  <c:v>-85.476498881541858</c:v>
                </c:pt>
                <c:pt idx="106">
                  <c:v>-85.680961719423635</c:v>
                </c:pt>
                <c:pt idx="107">
                  <c:v>-85.876403531831329</c:v>
                </c:pt>
                <c:pt idx="108">
                  <c:v>-86.063220892812865</c:v>
                </c:pt>
                <c:pt idx="109">
                  <c:v>-86.241794380705358</c:v>
                </c:pt>
                <c:pt idx="110">
                  <c:v>-86.412489093516868</c:v>
                </c:pt>
                <c:pt idx="111">
                  <c:v>-86.575655168190593</c:v>
                </c:pt>
                <c:pt idx="112">
                  <c:v>-86.731628300306099</c:v>
                </c:pt>
                <c:pt idx="113">
                  <c:v>-86.880730261321744</c:v>
                </c:pt>
                <c:pt idx="114">
                  <c:v>-87.02326941094239</c:v>
                </c:pt>
                <c:pt idx="115">
                  <c:v>-87.159541202614363</c:v>
                </c:pt>
                <c:pt idx="116">
                  <c:v>-87.289828680513139</c:v>
                </c:pt>
                <c:pt idx="117">
                  <c:v>-87.414402966705453</c:v>
                </c:pt>
                <c:pt idx="118">
                  <c:v>-87.533523737439339</c:v>
                </c:pt>
                <c:pt idx="119">
                  <c:v>-87.647439687751913</c:v>
                </c:pt>
                <c:pt idx="120">
                  <c:v>-87.75638898378557</c:v>
                </c:pt>
                <c:pt idx="121">
                  <c:v>-87.860599702377883</c:v>
                </c:pt>
                <c:pt idx="122">
                  <c:v>-87.96029025763761</c:v>
                </c:pt>
                <c:pt idx="123">
                  <c:v>-88.055669814344995</c:v>
                </c:pt>
                <c:pt idx="124">
                  <c:v>-88.146938688121296</c:v>
                </c:pt>
                <c:pt idx="125">
                  <c:v>-88.234288732402035</c:v>
                </c:pt>
                <c:pt idx="126">
                  <c:v>-88.317903712323272</c:v>
                </c:pt>
                <c:pt idx="127">
                  <c:v>-88.397959665693008</c:v>
                </c:pt>
                <c:pt idx="128">
                  <c:v>-88.474625251270822</c:v>
                </c:pt>
                <c:pt idx="129">
                  <c:v>-88.548062084621421</c:v>
                </c:pt>
                <c:pt idx="130">
                  <c:v>-88.61842506184118</c:v>
                </c:pt>
                <c:pt idx="131">
                  <c:v>-88.685862671483918</c:v>
                </c:pt>
                <c:pt idx="132">
                  <c:v>-88.750517295033177</c:v>
                </c:pt>
                <c:pt idx="133">
                  <c:v>-88.812525496283854</c:v>
                </c:pt>
                <c:pt idx="134">
                  <c:v>-88.872018300008051</c:v>
                </c:pt>
                <c:pt idx="135">
                  <c:v>-88.929121460287348</c:v>
                </c:pt>
                <c:pt idx="136">
                  <c:v>-88.983955718898684</c:v>
                </c:pt>
                <c:pt idx="137">
                  <c:v>-89.036637054143611</c:v>
                </c:pt>
                <c:pt idx="138">
                  <c:v>-89.087276920510007</c:v>
                </c:pt>
                <c:pt idx="139">
                  <c:v>-89.135982479554343</c:v>
                </c:pt>
                <c:pt idx="140">
                  <c:v>-89.182856822388956</c:v>
                </c:pt>
                <c:pt idx="141">
                  <c:v>-89.227999184154456</c:v>
                </c:pt>
                <c:pt idx="142">
                  <c:v>-89.271505150852761</c:v>
                </c:pt>
                <c:pt idx="143">
                  <c:v>-89.313466858909237</c:v>
                </c:pt>
                <c:pt idx="144">
                  <c:v>-89.353973187827009</c:v>
                </c:pt>
                <c:pt idx="145">
                  <c:v>-89.393109946288732</c:v>
                </c:pt>
                <c:pt idx="146">
                  <c:v>-89.430960052054743</c:v>
                </c:pt>
                <c:pt idx="147">
                  <c:v>-89.467603705998457</c:v>
                </c:pt>
                <c:pt idx="148">
                  <c:v>-89.503118560613458</c:v>
                </c:pt>
                <c:pt idx="149">
                  <c:v>-89.537579883318642</c:v>
                </c:pt>
                <c:pt idx="150">
                  <c:v>-89.57106071488117</c:v>
                </c:pt>
                <c:pt idx="151">
                  <c:v>-89.603632023269668</c:v>
                </c:pt>
                <c:pt idx="152">
                  <c:v>-89.635362853243691</c:v>
                </c:pt>
                <c:pt idx="153">
                  <c:v>-89.66632047197848</c:v>
                </c:pt>
                <c:pt idx="154">
                  <c:v>-89.696570511018393</c:v>
                </c:pt>
                <c:pt idx="155">
                  <c:v>-89.726177104845775</c:v>
                </c:pt>
                <c:pt idx="156">
                  <c:v>-89.755203026347459</c:v>
                </c:pt>
                <c:pt idx="157">
                  <c:v>-89.783709819454714</c:v>
                </c:pt>
                <c:pt idx="158">
                  <c:v>-89.811757929228605</c:v>
                </c:pt>
                <c:pt idx="159">
                  <c:v>-89.839406829658046</c:v>
                </c:pt>
                <c:pt idx="160">
                  <c:v>-89.866715149433404</c:v>
                </c:pt>
                <c:pt idx="161">
                  <c:v>-89.893740795955324</c:v>
                </c:pt>
                <c:pt idx="162">
                  <c:v>-89.920541077835225</c:v>
                </c:pt>
                <c:pt idx="163">
                  <c:v>-89.947172826141014</c:v>
                </c:pt>
                <c:pt idx="164">
                  <c:v>-89.973692514638913</c:v>
                </c:pt>
                <c:pt idx="165">
                  <c:v>-90.000156379281094</c:v>
                </c:pt>
                <c:pt idx="166">
                  <c:v>-90.026620537186389</c:v>
                </c:pt>
                <c:pt idx="167">
                  <c:v>-90.053141105361021</c:v>
                </c:pt>
                <c:pt idx="168">
                  <c:v>-90.079774319404933</c:v>
                </c:pt>
                <c:pt idx="169">
                  <c:v>-90.106576652449391</c:v>
                </c:pt>
                <c:pt idx="170">
                  <c:v>-90.133604934571707</c:v>
                </c:pt>
                <c:pt idx="171">
                  <c:v>-90.160916472933081</c:v>
                </c:pt>
                <c:pt idx="172">
                  <c:v>-90.18856917288646</c:v>
                </c:pt>
                <c:pt idx="173">
                  <c:v>-90.216621660303289</c:v>
                </c:pt>
                <c:pt idx="174">
                  <c:v>-90.245133405368449</c:v>
                </c:pt>
                <c:pt idx="175">
                  <c:v>-90.274164848095864</c:v>
                </c:pt>
                <c:pt idx="176">
                  <c:v>-90.303777525818546</c:v>
                </c:pt>
                <c:pt idx="177">
                  <c:v>-90.334034202910303</c:v>
                </c:pt>
                <c:pt idx="178">
                  <c:v>-90.36499900299863</c:v>
                </c:pt>
                <c:pt idx="179">
                  <c:v>-90.396737543931678</c:v>
                </c:pt>
                <c:pt idx="180">
                  <c:v>-90.429317075765795</c:v>
                </c:pt>
                <c:pt idx="181">
                  <c:v>-90.462806622043232</c:v>
                </c:pt>
                <c:pt idx="182">
                  <c:v>-90.497277124633698</c:v>
                </c:pt>
                <c:pt idx="183">
                  <c:v>-90.532801592417215</c:v>
                </c:pt>
                <c:pt idx="184">
                  <c:v>-90.569455254089206</c:v>
                </c:pt>
                <c:pt idx="185">
                  <c:v>-90.607315715372835</c:v>
                </c:pt>
                <c:pt idx="186">
                  <c:v>-90.646463120927223</c:v>
                </c:pt>
                <c:pt idx="187">
                  <c:v>-90.686980321243283</c:v>
                </c:pt>
                <c:pt idx="188">
                  <c:v>-90.728953044822163</c:v>
                </c:pt>
                <c:pt idx="189">
                  <c:v>-90.772470075933782</c:v>
                </c:pt>
                <c:pt idx="190">
                  <c:v>-90.817623438254756</c:v>
                </c:pt>
                <c:pt idx="191">
                  <c:v>-90.86450858468605</c:v>
                </c:pt>
                <c:pt idx="192">
                  <c:v>-90.913224593650781</c:v>
                </c:pt>
                <c:pt idx="193">
                  <c:v>-90.963874372171205</c:v>
                </c:pt>
                <c:pt idx="194">
                  <c:v>-91.016564866021255</c:v>
                </c:pt>
                <c:pt idx="195">
                  <c:v>-91.071407277245598</c:v>
                </c:pt>
                <c:pt idx="196">
                  <c:v>-91.128517289330404</c:v>
                </c:pt>
                <c:pt idx="197">
                  <c:v>-91.18801530029981</c:v>
                </c:pt>
                <c:pt idx="198">
                  <c:v>-91.250026663999989</c:v>
                </c:pt>
                <c:pt idx="199">
                  <c:v>-91.314681939816026</c:v>
                </c:pt>
                <c:pt idx="200">
                  <c:v>-91.382117151045037</c:v>
                </c:pt>
                <c:pt idx="201">
                  <c:v>-91.452474052123151</c:v>
                </c:pt>
                <c:pt idx="202">
                  <c:v>-91.525900404871308</c:v>
                </c:pt>
                <c:pt idx="203">
                  <c:v>-91.602550263885206</c:v>
                </c:pt>
                <c:pt idx="204">
                  <c:v>-91.682584271147491</c:v>
                </c:pt>
                <c:pt idx="205">
                  <c:v>-91.766169959882347</c:v>
                </c:pt>
                <c:pt idx="206">
                  <c:v>-91.853482067605668</c:v>
                </c:pt>
                <c:pt idx="207">
                  <c:v>-91.944702858241811</c:v>
                </c:pt>
                <c:pt idx="208">
                  <c:v>-92.040022453084191</c:v>
                </c:pt>
                <c:pt idx="209">
                  <c:v>-92.13963917026345</c:v>
                </c:pt>
                <c:pt idx="210">
                  <c:v>-92.243759872257087</c:v>
                </c:pt>
                <c:pt idx="211">
                  <c:v>-92.352600320820329</c:v>
                </c:pt>
                <c:pt idx="212">
                  <c:v>-92.466385538540422</c:v>
                </c:pt>
                <c:pt idx="213">
                  <c:v>-92.585350176009285</c:v>
                </c:pt>
                <c:pt idx="214">
                  <c:v>-92.709738883370207</c:v>
                </c:pt>
                <c:pt idx="215">
                  <c:v>-92.839806684717729</c:v>
                </c:pt>
                <c:pt idx="216">
                  <c:v>-92.975819353511724</c:v>
                </c:pt>
                <c:pt idx="217">
                  <c:v>-93.11805378679955</c:v>
                </c:pt>
                <c:pt idx="218">
                  <c:v>-93.266798375622059</c:v>
                </c:pt>
                <c:pt idx="219">
                  <c:v>-93.422353368497269</c:v>
                </c:pt>
                <c:pt idx="220">
                  <c:v>-93.585031224329256</c:v>
                </c:pt>
                <c:pt idx="221">
                  <c:v>-93.755156950463856</c:v>
                </c:pt>
                <c:pt idx="222">
                  <c:v>-93.93306842090611</c:v>
                </c:pt>
                <c:pt idx="223">
                  <c:v>-94.119116668909768</c:v>
                </c:pt>
                <c:pt idx="224">
                  <c:v>-94.313666147243055</c:v>
                </c:pt>
                <c:pt idx="225">
                  <c:v>-94.517094948413387</c:v>
                </c:pt>
                <c:pt idx="226">
                  <c:v>-94.729794975986195</c:v>
                </c:pt>
                <c:pt idx="227">
                  <c:v>-94.95217205685023</c:v>
                </c:pt>
                <c:pt idx="228">
                  <c:v>-95.184645982852572</c:v>
                </c:pt>
                <c:pt idx="229">
                  <c:v>-95.427650468636898</c:v>
                </c:pt>
                <c:pt idx="230">
                  <c:v>-95.681633010770554</c:v>
                </c:pt>
                <c:pt idx="231">
                  <c:v>-95.947054631316448</c:v>
                </c:pt>
                <c:pt idx="232">
                  <c:v>-96.224389486908223</c:v>
                </c:pt>
                <c:pt idx="233">
                  <c:v>-96.514124322108401</c:v>
                </c:pt>
                <c:pt idx="234">
                  <c:v>-96.816757743382595</c:v>
                </c:pt>
                <c:pt idx="235">
                  <c:v>-97.132799287418806</c:v>
                </c:pt>
                <c:pt idx="236">
                  <c:v>-97.462768254779959</c:v>
                </c:pt>
                <c:pt idx="237">
                  <c:v>-97.807192277044209</c:v>
                </c:pt>
                <c:pt idx="238">
                  <c:v>-98.166605582691318</c:v>
                </c:pt>
                <c:pt idx="239">
                  <c:v>-98.541546924130543</c:v>
                </c:pt>
                <c:pt idx="240">
                  <c:v>-98.932557125494469</c:v>
                </c:pt>
                <c:pt idx="241">
                  <c:v>-99.340176208291496</c:v>
                </c:pt>
                <c:pt idx="242">
                  <c:v>-99.764940049836</c:v>
                </c:pt>
                <c:pt idx="243">
                  <c:v>-100.20737652776408</c:v>
                </c:pt>
                <c:pt idx="244">
                  <c:v>-100.66800110310011</c:v>
                </c:pt>
                <c:pt idx="245">
                  <c:v>-101.14731179453354</c:v>
                </c:pt>
                <c:pt idx="246">
                  <c:v>-101.64578349809929</c:v>
                </c:pt>
                <c:pt idx="247">
                  <c:v>-102.16386160968854</c:v>
                </c:pt>
                <c:pt idx="248">
                  <c:v>-102.70195491311425</c:v>
                </c:pt>
                <c:pt idx="249">
                  <c:v>-103.26042770427586</c:v>
                </c:pt>
                <c:pt idx="250">
                  <c:v>-103.83959113271153</c:v>
                </c:pt>
                <c:pt idx="251">
                  <c:v>-104.43969375596322</c:v>
                </c:pt>
                <c:pt idx="252">
                  <c:v>-105.06091132010386</c:v>
                </c:pt>
                <c:pt idx="253">
                  <c:v>-105.70333580183323</c:v>
                </c:pt>
                <c:pt idx="254">
                  <c:v>-106.36696377396957</c:v>
                </c:pt>
                <c:pt idx="255">
                  <c:v>-107.05168418699813</c:v>
                </c:pt>
                <c:pt idx="256">
                  <c:v>-107.75726569442584</c:v>
                </c:pt>
                <c:pt idx="257">
                  <c:v>-108.48334368850118</c:v>
                </c:pt>
                <c:pt idx="258">
                  <c:v>-109.22940725460501</c:v>
                </c:pt>
                <c:pt idx="259">
                  <c:v>-109.99478629592045</c:v>
                </c:pt>
                <c:pt idx="260">
                  <c:v>-110.77863912314962</c:v>
                </c:pt>
                <c:pt idx="261">
                  <c:v>-111.57994084475155</c:v>
                </c:pt>
                <c:pt idx="262">
                  <c:v>-112.3974729287423</c:v>
                </c:pt>
                <c:pt idx="263">
                  <c:v>-113.22981433442496</c:v>
                </c:pt>
                <c:pt idx="264">
                  <c:v>-114.0753346282125</c:v>
                </c:pt>
                <c:pt idx="265">
                  <c:v>-114.93218949870172</c:v>
                </c:pt>
                <c:pt idx="266">
                  <c:v>-115.79831906934407</c:v>
                </c:pt>
                <c:pt idx="267">
                  <c:v>-116.67144937013914</c:v>
                </c:pt>
                <c:pt idx="268">
                  <c:v>-117.54909727139952</c:v>
                </c:pt>
                <c:pt idx="269">
                  <c:v>-118.42857910283249</c:v>
                </c:pt>
                <c:pt idx="270">
                  <c:v>-119.30702308160038</c:v>
                </c:pt>
                <c:pt idx="271">
                  <c:v>-120.1813855570724</c:v>
                </c:pt>
                <c:pt idx="272">
                  <c:v>-121.04847095283567</c:v>
                </c:pt>
                <c:pt idx="273">
                  <c:v>-121.90495515489559</c:v>
                </c:pt>
                <c:pt idx="274">
                  <c:v>-122.74741196665276</c:v>
                </c:pt>
                <c:pt idx="275">
                  <c:v>-123.57234213450906</c:v>
                </c:pt>
                <c:pt idx="276">
                  <c:v>-124.37620435079974</c:v>
                </c:pt>
                <c:pt idx="277">
                  <c:v>-125.15544757018866</c:v>
                </c:pt>
                <c:pt idx="278">
                  <c:v>-125.90654393685269</c:v>
                </c:pt>
                <c:pt idx="279">
                  <c:v>-126.62602161554504</c:v>
                </c:pt>
                <c:pt idx="280">
                  <c:v>-127.31049685010073</c:v>
                </c:pt>
                <c:pt idx="281">
                  <c:v>-127.95670463551302</c:v>
                </c:pt>
                <c:pt idx="282">
                  <c:v>-128.56152747926353</c:v>
                </c:pt>
                <c:pt idx="283">
                  <c:v>-129.12202183706296</c:v>
                </c:pt>
                <c:pt idx="284">
                  <c:v>-129.6354419292164</c:v>
                </c:pt>
                <c:pt idx="285">
                  <c:v>-130.09926076762588</c:v>
                </c:pt>
                <c:pt idx="286">
                  <c:v>-130.51118834150199</c:v>
                </c:pt>
                <c:pt idx="287">
                  <c:v>-130.86918701461974</c:v>
                </c:pt>
                <c:pt idx="288">
                  <c:v>-131.17148427243441</c:v>
                </c:pt>
                <c:pt idx="289">
                  <c:v>-131.41658301940231</c:v>
                </c:pt>
                <c:pt idx="290">
                  <c:v>-131.60326966322339</c:v>
                </c:pt>
                <c:pt idx="291">
                  <c:v>-131.73062023318562</c:v>
                </c:pt>
                <c:pt idx="292">
                  <c:v>-131.79800476581539</c:v>
                </c:pt>
                <c:pt idx="293">
                  <c:v>-131.80509015561299</c:v>
                </c:pt>
                <c:pt idx="294">
                  <c:v>-131.75184161593415</c:v>
                </c:pt>
                <c:pt idx="295">
                  <c:v>-131.63852283012042</c:v>
                </c:pt>
                <c:pt idx="296">
                  <c:v>-131.46569480139408</c:v>
                </c:pt>
                <c:pt idx="297">
                  <c:v>-131.23421333775798</c:v>
                </c:pt>
                <c:pt idx="298">
                  <c:v>-130.94522504111035</c:v>
                </c:pt>
                <c:pt idx="299">
                  <c:v>-130.60016161373528</c:v>
                </c:pt>
                <c:pt idx="300">
                  <c:v>-130.20073225545033</c:v>
                </c:pt>
                <c:pt idx="301">
                  <c:v>-129.74891390539958</c:v>
                </c:pt>
                <c:pt idx="302">
                  <c:v>-129.24693908704003</c:v>
                </c:pt>
                <c:pt idx="303">
                  <c:v>-128.69728114514771</c:v>
                </c:pt>
                <c:pt idx="304">
                  <c:v>-128.10263671983321</c:v>
                </c:pt>
                <c:pt idx="305">
                  <c:v>-127.4659053828577</c:v>
                </c:pt>
                <c:pt idx="306">
                  <c:v>-126.79016646228131</c:v>
                </c:pt>
                <c:pt idx="307">
                  <c:v>-126.07865319704784</c:v>
                </c:pt>
                <c:pt idx="308">
                  <c:v>-125.33472448630994</c:v>
                </c:pt>
                <c:pt idx="309">
                  <c:v>-124.56183462077864</c:v>
                </c:pt>
                <c:pt idx="310">
                  <c:v>-123.76350149634904</c:v>
                </c:pt>
                <c:pt idx="311">
                  <c:v>-122.94327390513938</c:v>
                </c:pt>
                <c:pt idx="312">
                  <c:v>-122.10469856849733</c:v>
                </c:pt>
                <c:pt idx="313">
                  <c:v>-121.25128761481787</c:v>
                </c:pt>
                <c:pt idx="314">
                  <c:v>-120.38648720898435</c:v>
                </c:pt>
                <c:pt idx="315">
                  <c:v>-119.51364800934724</c:v>
                </c:pt>
                <c:pt idx="316">
                  <c:v>-118.6359980646203</c:v>
                </c:pt>
                <c:pt idx="317">
                  <c:v>-117.75661867156782</c:v>
                </c:pt>
                <c:pt idx="318">
                  <c:v>-116.87842360149658</c:v>
                </c:pt>
                <c:pt idx="319">
                  <c:v>-116.00414197718878</c:v>
                </c:pt>
                <c:pt idx="320">
                  <c:v>-115.1363049503228</c:v>
                </c:pt>
                <c:pt idx="321">
                  <c:v>-114.27723620057949</c:v>
                </c:pt>
                <c:pt idx="322">
                  <c:v>-113.42904615854916</c:v>
                </c:pt>
                <c:pt idx="323">
                  <c:v>-112.59362975077475</c:v>
                </c:pt>
                <c:pt idx="324">
                  <c:v>-111.77266738063214</c:v>
                </c:pt>
                <c:pt idx="325">
                  <c:v>-110.96762879531619</c:v>
                </c:pt>
                <c:pt idx="326">
                  <c:v>-110.17977944733536</c:v>
                </c:pt>
                <c:pt idx="327">
                  <c:v>-109.41018893759924</c:v>
                </c:pt>
                <c:pt idx="328">
                  <c:v>-108.65974112425785</c:v>
                </c:pt>
                <c:pt idx="329">
                  <c:v>-107.9291454940854</c:v>
                </c:pt>
                <c:pt idx="330">
                  <c:v>-107.2189494181342</c:v>
                </c:pt>
                <c:pt idx="331">
                  <c:v>-106.52955094730616</c:v>
                </c:pt>
                <c:pt idx="332">
                  <c:v>-105.86121184326657</c:v>
                </c:pt>
                <c:pt idx="333">
                  <c:v>-105.21407058291764</c:v>
                </c:pt>
                <c:pt idx="334">
                  <c:v>-104.58815511810985</c:v>
                </c:pt>
                <c:pt idx="335">
                  <c:v>-103.98339521449724</c:v>
                </c:pt>
                <c:pt idx="336">
                  <c:v>-103.39963423304276</c:v>
                </c:pt>
                <c:pt idx="337">
                  <c:v>-102.83664025368702</c:v>
                </c:pt>
                <c:pt idx="338">
                  <c:v>-102.29411647254793</c:v>
                </c:pt>
                <c:pt idx="339">
                  <c:v>-101.77171083147462</c:v>
                </c:pt>
                <c:pt idx="340">
                  <c:v>-101.26902486183801</c:v>
                </c:pt>
                <c:pt idx="341">
                  <c:v>-100.7856217433047</c:v>
                </c:pt>
                <c:pt idx="342">
                  <c:v>-100.32103359332352</c:v>
                </c:pt>
                <c:pt idx="343">
                  <c:v>-99.8747680145582</c:v>
                </c:pt>
                <c:pt idx="344">
                  <c:v>-99.446313935954237</c:v>
                </c:pt>
                <c:pt idx="345">
                  <c:v>-99.035146788984378</c:v>
                </c:pt>
                <c:pt idx="346">
                  <c:v>-98.64073306429151</c:v>
                </c:pt>
                <c:pt idx="347">
                  <c:v>-98.262534295847189</c:v>
                </c:pt>
                <c:pt idx="348">
                  <c:v>-97.900010520222565</c:v>
                </c:pt>
                <c:pt idx="349">
                  <c:v>-97.55262325794304</c:v>
                </c:pt>
                <c:pt idx="350">
                  <c:v>-97.21983806244468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20-4112-B635-509B7D45A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73704"/>
        <c:axId val="540376328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0796782114987912"/>
              <c:y val="0.876000913588057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  <c:majorUnit val="10"/>
      </c:valAx>
      <c:valAx>
        <c:axId val="540376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(degrees)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73704"/>
        <c:crosses val="max"/>
        <c:crossBetween val="midCat"/>
      </c:valAx>
      <c:valAx>
        <c:axId val="54037370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037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Iso R'!$M$3:$M$353</c:f>
              <c:numCache>
                <c:formatCode>General</c:formatCode>
                <c:ptCount val="351"/>
                <c:pt idx="0">
                  <c:v>990098.76105414995</c:v>
                </c:pt>
                <c:pt idx="1">
                  <c:v>989153.86792817595</c:v>
                </c:pt>
                <c:pt idx="2">
                  <c:v>988119.883893069</c:v>
                </c:pt>
                <c:pt idx="3">
                  <c:v>986988.62462266395</c:v>
                </c:pt>
                <c:pt idx="4">
                  <c:v>985751.19686979102</c:v>
                </c:pt>
                <c:pt idx="5">
                  <c:v>984397.94563331199</c:v>
                </c:pt>
                <c:pt idx="6">
                  <c:v>982918.39914305601</c:v>
                </c:pt>
                <c:pt idx="7">
                  <c:v>981301.21197142999</c:v>
                </c:pt>
                <c:pt idx="8">
                  <c:v>979534.10669454897</c:v>
                </c:pt>
                <c:pt idx="9">
                  <c:v>977603.81466176303</c:v>
                </c:pt>
                <c:pt idx="10">
                  <c:v>975496.016593521</c:v>
                </c:pt>
                <c:pt idx="11">
                  <c:v>973195.28391593497</c:v>
                </c:pt>
                <c:pt idx="12">
                  <c:v>970685.02195916395</c:v>
                </c:pt>
                <c:pt idx="13">
                  <c:v>967947.41639777902</c:v>
                </c:pt>
                <c:pt idx="14">
                  <c:v>964963.38459629402</c:v>
                </c:pt>
                <c:pt idx="15">
                  <c:v>961712.53384271997</c:v>
                </c:pt>
                <c:pt idx="16">
                  <c:v>958173.12880647602</c:v>
                </c:pt>
                <c:pt idx="17">
                  <c:v>954322.07094155403</c:v>
                </c:pt>
                <c:pt idx="18">
                  <c:v>950134.89296631899</c:v>
                </c:pt>
                <c:pt idx="19">
                  <c:v>945585.77197882102</c:v>
                </c:pt>
                <c:pt idx="20">
                  <c:v>940647.56519847503</c:v>
                </c:pt>
                <c:pt idx="21">
                  <c:v>935291.87274324405</c:v>
                </c:pt>
                <c:pt idx="22">
                  <c:v>929489.13223224401</c:v>
                </c:pt>
                <c:pt idx="23">
                  <c:v>923208.75031616795</c:v>
                </c:pt>
                <c:pt idx="24">
                  <c:v>916419.27644361998</c:v>
                </c:pt>
                <c:pt idx="25">
                  <c:v>909088.62422447302</c:v>
                </c:pt>
                <c:pt idx="26">
                  <c:v>901184.34559779405</c:v>
                </c:pt>
                <c:pt idx="27">
                  <c:v>892673.96259168396</c:v>
                </c:pt>
                <c:pt idx="28">
                  <c:v>883525.36071108002</c:v>
                </c:pt>
                <c:pt idx="29">
                  <c:v>873707.24684205698</c:v>
                </c:pt>
                <c:pt idx="30">
                  <c:v>863189.672956642</c:v>
                </c:pt>
                <c:pt idx="31">
                  <c:v>851944.624791765</c:v>
                </c:pt>
                <c:pt idx="32">
                  <c:v>839946.67203060898</c:v>
                </c:pt>
                <c:pt idx="33">
                  <c:v>827173.67333650799</c:v>
                </c:pt>
                <c:pt idx="34">
                  <c:v>813607.52592234104</c:v>
                </c:pt>
                <c:pt idx="35">
                  <c:v>799234.94527903304</c:v>
                </c:pt>
                <c:pt idx="36">
                  <c:v>784048.25639442995</c:v>
                </c:pt>
                <c:pt idx="37">
                  <c:v>768046.17349546298</c:v>
                </c:pt>
                <c:pt idx="38">
                  <c:v>751234.54133653501</c:v>
                </c:pt>
                <c:pt idx="39">
                  <c:v>733627.00768826599</c:v>
                </c:pt>
                <c:pt idx="40">
                  <c:v>715245.59434545005</c:v>
                </c:pt>
                <c:pt idx="41">
                  <c:v>696121.13307269698</c:v>
                </c:pt>
                <c:pt idx="42">
                  <c:v>676293.53381078097</c:v>
                </c:pt>
                <c:pt idx="43">
                  <c:v>655811.85546648398</c:v>
                </c:pt>
                <c:pt idx="44">
                  <c:v>634734.15486268396</c:v>
                </c:pt>
                <c:pt idx="45">
                  <c:v>613127.09691550303</c:v>
                </c:pt>
                <c:pt idx="46">
                  <c:v>591065.318600856</c:v>
                </c:pt>
                <c:pt idx="47">
                  <c:v>568630.550318814</c:v>
                </c:pt>
                <c:pt idx="48">
                  <c:v>545910.510195154</c:v>
                </c:pt>
                <c:pt idx="49">
                  <c:v>522997.59884434502</c:v>
                </c:pt>
                <c:pt idx="50">
                  <c:v>499987.43323461199</c:v>
                </c:pt>
                <c:pt idx="51">
                  <c:v>476977.26762488199</c:v>
                </c:pt>
                <c:pt idx="52">
                  <c:v>454064.35627406999</c:v>
                </c:pt>
                <c:pt idx="53">
                  <c:v>431344.31615041499</c:v>
                </c:pt>
                <c:pt idx="54">
                  <c:v>408909.54786837701</c:v>
                </c:pt>
                <c:pt idx="55">
                  <c:v>386847.76955372799</c:v>
                </c:pt>
                <c:pt idx="56">
                  <c:v>365240.71160655102</c:v>
                </c:pt>
                <c:pt idx="57">
                  <c:v>344163.01100275101</c:v>
                </c:pt>
                <c:pt idx="58">
                  <c:v>323681.33265845902</c:v>
                </c:pt>
                <c:pt idx="59">
                  <c:v>303853.73339654802</c:v>
                </c:pt>
                <c:pt idx="60">
                  <c:v>284729.27212379902</c:v>
                </c:pt>
                <c:pt idx="61">
                  <c:v>266347.85878099001</c:v>
                </c:pt>
                <c:pt idx="62">
                  <c:v>248740.32513272401</c:v>
                </c:pt>
                <c:pt idx="63">
                  <c:v>231928.69297380501</c:v>
                </c:pt>
                <c:pt idx="64">
                  <c:v>215926.61007484299</c:v>
                </c:pt>
                <c:pt idx="65">
                  <c:v>200739.92119025</c:v>
                </c:pt>
                <c:pt idx="66">
                  <c:v>186367.34054695</c:v>
                </c:pt>
                <c:pt idx="67">
                  <c:v>172801.19313279301</c:v>
                </c:pt>
                <c:pt idx="68">
                  <c:v>160028.194438704</c:v>
                </c:pt>
                <c:pt idx="69">
                  <c:v>148030.24167755901</c:v>
                </c:pt>
                <c:pt idx="70">
                  <c:v>136785.193512695</c:v>
                </c:pt>
                <c:pt idx="71">
                  <c:v>126267.61962729599</c:v>
                </c:pt>
                <c:pt idx="72">
                  <c:v>116449.505758289</c:v>
                </c:pt>
                <c:pt idx="73">
                  <c:v>107300.903877704</c:v>
                </c:pt>
                <c:pt idx="74">
                  <c:v>98790.520871612302</c:v>
                </c:pt>
                <c:pt idx="75">
                  <c:v>90886.242244955298</c:v>
                </c:pt>
                <c:pt idx="76">
                  <c:v>83555.590025831902</c:v>
                </c:pt>
                <c:pt idx="77">
                  <c:v>76766.116153309398</c:v>
                </c:pt>
                <c:pt idx="78">
                  <c:v>70485.734237262805</c:v>
                </c:pt>
                <c:pt idx="79">
                  <c:v>64682.993726294102</c:v>
                </c:pt>
                <c:pt idx="80">
                  <c:v>59327.301271096003</c:v>
                </c:pt>
                <c:pt idx="81">
                  <c:v>54389.094490789197</c:v>
                </c:pt>
                <c:pt idx="82">
                  <c:v>49839.973503332498</c:v>
                </c:pt>
                <c:pt idx="83">
                  <c:v>45652.795528142597</c:v>
                </c:pt>
                <c:pt idx="84">
                  <c:v>41801.737663270796</c:v>
                </c:pt>
                <c:pt idx="85">
                  <c:v>38262.332627081203</c:v>
                </c:pt>
                <c:pt idx="86">
                  <c:v>35011.481873568802</c:v>
                </c:pt>
                <c:pt idx="87">
                  <c:v>32027.450072149</c:v>
                </c:pt>
                <c:pt idx="88">
                  <c:v>29289.844510836199</c:v>
                </c:pt>
                <c:pt idx="89">
                  <c:v>26779.582554144599</c:v>
                </c:pt>
                <c:pt idx="90">
                  <c:v>24478.849876645101</c:v>
                </c:pt>
                <c:pt idx="91">
                  <c:v>22371.0518084986</c:v>
                </c:pt>
                <c:pt idx="92">
                  <c:v>20440.759775817201</c:v>
                </c:pt>
                <c:pt idx="93">
                  <c:v>18673.654499049499</c:v>
                </c:pt>
                <c:pt idx="94">
                  <c:v>17056.467327550501</c:v>
                </c:pt>
                <c:pt idx="95">
                  <c:v>15576.9208374316</c:v>
                </c:pt>
                <c:pt idx="96">
                  <c:v>14223.6696011044</c:v>
                </c:pt>
                <c:pt idx="97">
                  <c:v>12986.2418483969</c:v>
                </c:pt>
                <c:pt idx="98">
                  <c:v>11854.9825781728</c:v>
                </c:pt>
                <c:pt idx="99">
                  <c:v>10820.998543265099</c:v>
                </c:pt>
                <c:pt idx="100">
                  <c:v>9876.1054175083409</c:v>
                </c:pt>
                <c:pt idx="101">
                  <c:v>9012.7773590404395</c:v>
                </c:pt>
                <c:pt idx="102">
                  <c:v>8224.0991063456895</c:v>
                </c:pt>
                <c:pt idx="103">
                  <c:v>7503.7206803905101</c:v>
                </c:pt>
                <c:pt idx="104">
                  <c:v>6845.8147155637998</c:v>
                </c:pt>
                <c:pt idx="105">
                  <c:v>6245.0364020918396</c:v>
                </c:pt>
                <c:pt idx="106">
                  <c:v>5696.4859914655499</c:v>
                </c:pt>
                <c:pt idx="107">
                  <c:v>5195.6737927526401</c:v>
                </c:pt>
                <c:pt idx="108">
                  <c:v>4738.4875701801102</c:v>
                </c:pt>
                <c:pt idx="109">
                  <c:v>4321.1622399729804</c:v>
                </c:pt>
                <c:pt idx="110">
                  <c:v>3940.2517561895602</c:v>
                </c:pt>
                <c:pt idx="111">
                  <c:v>3592.6030703924598</c:v>
                </c:pt>
                <c:pt idx="112">
                  <c:v>3275.3320477779698</c:v>
                </c:pt>
                <c:pt idx="113">
                  <c:v>2985.8012222808602</c:v>
                </c:pt>
                <c:pt idx="114">
                  <c:v>2721.59927470613</c:v>
                </c:pt>
                <c:pt idx="115">
                  <c:v>2480.52212072974</c:v>
                </c:pt>
                <c:pt idx="116">
                  <c:v>2260.5554993280998</c:v>
                </c:pt>
                <c:pt idx="117">
                  <c:v>2059.8589565816501</c:v>
                </c:pt>
                <c:pt idx="118">
                  <c:v>1876.75112463904</c:v>
                </c:pt>
                <c:pt idx="119">
                  <c:v>1709.6962007519601</c:v>
                </c:pt>
                <c:pt idx="120">
                  <c:v>1557.2915365604499</c:v>
                </c:pt>
                <c:pt idx="121">
                  <c:v>1418.2562531169001</c:v>
                </c:pt>
                <c:pt idx="122">
                  <c:v>1291.4208024013601</c:v>
                </c:pt>
                <c:pt idx="123">
                  <c:v>1175.71740123622</c:v>
                </c:pt>
                <c:pt idx="124">
                  <c:v>1070.17126850719</c:v>
                </c:pt>
                <c:pt idx="125">
                  <c:v>973.89260140729095</c:v>
                </c:pt>
                <c:pt idx="126">
                  <c:v>886.06923101472103</c:v>
                </c:pt>
                <c:pt idx="127">
                  <c:v>805.95990188134397</c:v>
                </c:pt>
                <c:pt idx="128">
                  <c:v>732.88812443627296</c:v>
                </c:pt>
                <c:pt idx="129">
                  <c:v>666.23655289584497</c:v>
                </c:pt>
                <c:pt idx="130">
                  <c:v>605.44184501883205</c:v>
                </c:pt>
                <c:pt idx="131">
                  <c:v>549.98996345744399</c:v>
                </c:pt>
                <c:pt idx="132">
                  <c:v>499.411881637867</c:v>
                </c:pt>
                <c:pt idx="133">
                  <c:v>453.27966006657499</c:v>
                </c:pt>
                <c:pt idx="134">
                  <c:v>411.20286171037202</c:v>
                </c:pt>
                <c:pt idx="135">
                  <c:v>372.82527764922798</c:v>
                </c:pt>
                <c:pt idx="136">
                  <c:v>337.82193656210399</c:v>
                </c:pt>
                <c:pt idx="137">
                  <c:v>305.896373788304</c:v>
                </c:pt>
                <c:pt idx="138">
                  <c:v>276.77813772126802</c:v>
                </c:pt>
                <c:pt idx="139">
                  <c:v>250.220513148892</c:v>
                </c:pt>
                <c:pt idx="140">
                  <c:v>225.99844286494999</c:v>
                </c:pt>
                <c:pt idx="141">
                  <c:v>203.906630450097</c:v>
                </c:pt>
                <c:pt idx="142">
                  <c:v>183.757808567951</c:v>
                </c:pt>
                <c:pt idx="143">
                  <c:v>165.381158451179</c:v>
                </c:pt>
                <c:pt idx="144">
                  <c:v>148.62086747287199</c:v>
                </c:pt>
                <c:pt idx="145">
                  <c:v>133.33481281837001</c:v>
                </c:pt>
                <c:pt idx="146">
                  <c:v>119.393360299427</c:v>
                </c:pt>
                <c:pt idx="147">
                  <c:v>106.678268293797</c:v>
                </c:pt>
                <c:pt idx="148">
                  <c:v>95.081687655493496</c:v>
                </c:pt>
                <c:pt idx="149">
                  <c:v>84.505249230477006</c:v>
                </c:pt>
                <c:pt idx="150">
                  <c:v>74.859231335351495</c:v>
                </c:pt>
                <c:pt idx="151">
                  <c:v>66.061800217983901</c:v>
                </c:pt>
                <c:pt idx="152">
                  <c:v>58.0383171240235</c:v>
                </c:pt>
                <c:pt idx="153">
                  <c:v>50.720706146703797</c:v>
                </c:pt>
                <c:pt idx="154">
                  <c:v>44.046877543209597</c:v>
                </c:pt>
                <c:pt idx="155">
                  <c:v>37.9602016634406</c:v>
                </c:pt>
                <c:pt idx="156">
                  <c:v>32.4090290596953</c:v>
                </c:pt>
                <c:pt idx="157">
                  <c:v>27.3462527320597</c:v>
                </c:pt>
                <c:pt idx="158">
                  <c:v>22.728908817166001</c:v>
                </c:pt>
                <c:pt idx="159">
                  <c:v>18.517812350332701</c:v>
                </c:pt>
                <c:pt idx="160">
                  <c:v>14.6772250255193</c:v>
                </c:pt>
                <c:pt idx="161">
                  <c:v>11.174552146383499</c:v>
                </c:pt>
                <c:pt idx="162">
                  <c:v>7.98006620723626</c:v>
                </c:pt>
                <c:pt idx="163">
                  <c:v>5.0666547668357298</c:v>
                </c:pt>
                <c:pt idx="164">
                  <c:v>2.4095904825888499</c:v>
                </c:pt>
                <c:pt idx="165">
                  <c:v>-1.3678640473854101E-2</c:v>
                </c:pt>
                <c:pt idx="166">
                  <c:v>-2.2237205610759201</c:v>
                </c:pt>
                <c:pt idx="167">
                  <c:v>-4.2392936929504703</c:v>
                </c:pt>
                <c:pt idx="168">
                  <c:v>-6.0775060534519803</c:v>
                </c:pt>
                <c:pt idx="169">
                  <c:v>-7.7539604174173098</c:v>
                </c:pt>
                <c:pt idx="170">
                  <c:v>-9.28288670587132</c:v>
                </c:pt>
                <c:pt idx="171">
                  <c:v>-10.6772627312687</c:v>
                </c:pt>
                <c:pt idx="172">
                  <c:v>-11.9489243224691</c:v>
                </c:pt>
                <c:pt idx="173">
                  <c:v>-13.108665762806099</c:v>
                </c:pt>
                <c:pt idx="174">
                  <c:v>-14.1663313926166</c:v>
                </c:pt>
                <c:pt idx="175">
                  <c:v>-15.1308991528166</c:v>
                </c:pt>
                <c:pt idx="176">
                  <c:v>-16.010556777857399</c:v>
                </c:pt>
                <c:pt idx="177">
                  <c:v>-16.812771284153499</c:v>
                </c:pt>
                <c:pt idx="178">
                  <c:v>-17.5443523432733</c:v>
                </c:pt>
                <c:pt idx="179">
                  <c:v>-18.211510077374101</c:v>
                </c:pt>
                <c:pt idx="180">
                  <c:v>-18.819907767097501</c:v>
                </c:pt>
                <c:pt idx="181">
                  <c:v>-19.374709919021502</c:v>
                </c:pt>
                <c:pt idx="182">
                  <c:v>-19.880626100431702</c:v>
                </c:pt>
                <c:pt idx="183">
                  <c:v>-20.341950913293299</c:v>
                </c:pt>
                <c:pt idx="184">
                  <c:v>-20.762600446568399</c:v>
                </c:pt>
                <c:pt idx="185">
                  <c:v>-21.146145516163301</c:v>
                </c:pt>
                <c:pt idx="186">
                  <c:v>-21.4958419745486</c:v>
                </c:pt>
                <c:pt idx="187">
                  <c:v>-21.8146583472478</c:v>
                </c:pt>
                <c:pt idx="188">
                  <c:v>-22.105301030707501</c:v>
                </c:pt>
                <c:pt idx="189">
                  <c:v>-22.3702372653932</c:v>
                </c:pt>
                <c:pt idx="190">
                  <c:v>-22.6117160790672</c:v>
                </c:pt>
                <c:pt idx="191">
                  <c:v>-22.8317873780044</c:v>
                </c:pt>
                <c:pt idx="192">
                  <c:v>-23.032319348174202</c:v>
                </c:pt>
                <c:pt idx="193">
                  <c:v>-23.215014314094699</c:v>
                </c:pt>
                <c:pt idx="194">
                  <c:v>-23.381423189976299</c:v>
                </c:pt>
                <c:pt idx="195">
                  <c:v>-23.5329586458294</c:v>
                </c:pt>
                <c:pt idx="196">
                  <c:v>-23.6709071003195</c:v>
                </c:pt>
                <c:pt idx="197">
                  <c:v>-23.7964396421971</c:v>
                </c:pt>
                <c:pt idx="198">
                  <c:v>-23.910621973046901</c:v>
                </c:pt>
                <c:pt idx="199">
                  <c:v>-24.014423455807499</c:v>
                </c:pt>
                <c:pt idx="200">
                  <c:v>-24.108725345932399</c:v>
                </c:pt>
                <c:pt idx="201">
                  <c:v>-24.194328275142901</c:v>
                </c:pt>
                <c:pt idx="202">
                  <c:v>-24.271959051390201</c:v>
                </c:pt>
                <c:pt idx="203">
                  <c:v>-24.342276832872098</c:v>
                </c:pt>
                <c:pt idx="204">
                  <c:v>-24.405878728650901</c:v>
                </c:pt>
                <c:pt idx="205">
                  <c:v>-24.463304873579599</c:v>
                </c:pt>
                <c:pt idx="206">
                  <c:v>-24.515043020832501</c:v>
                </c:pt>
                <c:pt idx="207">
                  <c:v>-24.561532691255501</c:v>
                </c:pt>
                <c:pt idx="208">
                  <c:v>-24.603168915069499</c:v>
                </c:pt>
                <c:pt idx="209">
                  <c:v>-24.640305598030402</c:v>
                </c:pt>
                <c:pt idx="210">
                  <c:v>-24.673258541057901</c:v>
                </c:pt>
                <c:pt idx="211">
                  <c:v>-24.7023081394663</c:v>
                </c:pt>
                <c:pt idx="212">
                  <c:v>-24.727701785327699</c:v>
                </c:pt>
                <c:pt idx="213">
                  <c:v>-24.749655994089</c:v>
                </c:pt>
                <c:pt idx="214">
                  <c:v>-24.7683582743729</c:v>
                </c:pt>
                <c:pt idx="215">
                  <c:v>-24.783968757878299</c:v>
                </c:pt>
                <c:pt idx="216">
                  <c:v>-24.796621604476599</c:v>
                </c:pt>
                <c:pt idx="217">
                  <c:v>-24.806426195915499</c:v>
                </c:pt>
                <c:pt idx="218">
                  <c:v>-24.813468130061601</c:v>
                </c:pt>
                <c:pt idx="219">
                  <c:v>-24.8178100262435</c:v>
                </c:pt>
                <c:pt idx="220">
                  <c:v>-24.819492151080699</c:v>
                </c:pt>
                <c:pt idx="221">
                  <c:v>-24.8185328731319</c:v>
                </c:pt>
                <c:pt idx="222">
                  <c:v>-24.8149289538304</c:v>
                </c:pt>
                <c:pt idx="223">
                  <c:v>-24.8086556814619</c:v>
                </c:pt>
                <c:pt idx="224">
                  <c:v>-24.799666854405899</c:v>
                </c:pt>
                <c:pt idx="225">
                  <c:v>-24.787894619545401</c:v>
                </c:pt>
                <c:pt idx="226">
                  <c:v>-24.773249171620598</c:v>
                </c:pt>
                <c:pt idx="227">
                  <c:v>-24.7556183194414</c:v>
                </c:pt>
                <c:pt idx="228">
                  <c:v>-24.734866925274599</c:v>
                </c:pt>
                <c:pt idx="229">
                  <c:v>-24.710836224426</c:v>
                </c:pt>
                <c:pt idx="230">
                  <c:v>-24.68334303312</c:v>
                </c:pt>
                <c:pt idx="231">
                  <c:v>-24.6521788542228</c:v>
                </c:pt>
                <c:pt idx="232">
                  <c:v>-24.617108892294102</c:v>
                </c:pt>
                <c:pt idx="233">
                  <c:v>-24.577870991872601</c:v>
                </c:pt>
                <c:pt idx="234">
                  <c:v>-24.5341745159173</c:v>
                </c:pt>
                <c:pt idx="235">
                  <c:v>-24.485699184977001</c:v>
                </c:pt>
                <c:pt idx="236">
                  <c:v>-24.432093902021499</c:v>
                </c:pt>
                <c:pt idx="237">
                  <c:v>-24.3729755930128</c:v>
                </c:pt>
                <c:pt idx="238">
                  <c:v>-24.307928099243099</c:v>
                </c:pt>
                <c:pt idx="239">
                  <c:v>-24.236501164319101</c:v>
                </c:pt>
                <c:pt idx="240">
                  <c:v>-24.158209566376001</c:v>
                </c:pt>
                <c:pt idx="241">
                  <c:v>-24.072532454712501</c:v>
                </c:pt>
                <c:pt idx="242">
                  <c:v>-23.978912959431799</c:v>
                </c:pt>
                <c:pt idx="243">
                  <c:v>-23.8767581527703</c:v>
                </c:pt>
                <c:pt idx="244">
                  <c:v>-23.765439451365399</c:v>
                </c:pt>
                <c:pt idx="245">
                  <c:v>-23.644293559458099</c:v>
                </c:pt>
                <c:pt idx="246">
                  <c:v>-23.512624063511499</c:v>
                </c:pt>
                <c:pt idx="247">
                  <c:v>-23.369703798381501</c:v>
                </c:pt>
                <c:pt idx="248">
                  <c:v>-23.2147781132274</c:v>
                </c:pt>
                <c:pt idx="249">
                  <c:v>-23.047069170895799</c:v>
                </c:pt>
                <c:pt idx="250">
                  <c:v>-22.865781416389201</c:v>
                </c:pt>
                <c:pt idx="251">
                  <c:v>-22.670108346932299</c:v>
                </c:pt>
                <c:pt idx="252">
                  <c:v>-22.459240706576701</c:v>
                </c:pt>
                <c:pt idx="253">
                  <c:v>-22.232376210636701</c:v>
                </c:pt>
                <c:pt idx="254">
                  <c:v>-21.9887308778689</c:v>
                </c:pt>
                <c:pt idx="255">
                  <c:v>-21.7275520096501</c:v>
                </c:pt>
                <c:pt idx="256">
                  <c:v>-21.448132804220599</c:v>
                </c:pt>
                <c:pt idx="257">
                  <c:v>-21.149828529424401</c:v>
                </c:pt>
                <c:pt idx="258">
                  <c:v>-20.832074099385299</c:v>
                </c:pt>
                <c:pt idx="259">
                  <c:v>-20.494402809953801</c:v>
                </c:pt>
                <c:pt idx="260">
                  <c:v>-20.1364658869322</c:v>
                </c:pt>
                <c:pt idx="261">
                  <c:v>-19.758052393688502</c:v>
                </c:pt>
                <c:pt idx="262">
                  <c:v>-19.359108936334</c:v>
                </c:pt>
                <c:pt idx="263">
                  <c:v>-18.939758502281698</c:v>
                </c:pt>
                <c:pt idx="264">
                  <c:v>-18.500317680436801</c:v>
                </c:pt>
                <c:pt idx="265">
                  <c:v>-18.0413114482335</c:v>
                </c:pt>
                <c:pt idx="266">
                  <c:v>-17.563484682350001</c:v>
                </c:pt>
                <c:pt idx="267">
                  <c:v>-17.0678095656809</c:v>
                </c:pt>
                <c:pt idx="268">
                  <c:v>-16.555488130681901</c:v>
                </c:pt>
                <c:pt idx="269">
                  <c:v>-16.027949303082</c:v>
                </c:pt>
                <c:pt idx="270">
                  <c:v>-15.4868399904028</c:v>
                </c:pt>
                <c:pt idx="271">
                  <c:v>-14.9340099917512</c:v>
                </c:pt>
                <c:pt idx="272">
                  <c:v>-14.3714907783143</c:v>
                </c:pt>
                <c:pt idx="273">
                  <c:v>-13.8014684918671</c:v>
                </c:pt>
                <c:pt idx="274">
                  <c:v>-13.2262518109962</c:v>
                </c:pt>
                <c:pt idx="275">
                  <c:v>-12.6482356186826</c:v>
                </c:pt>
                <c:pt idx="276">
                  <c:v>-12.069861647080501</c:v>
                </c:pt>
                <c:pt idx="277">
                  <c:v>-11.493577454866401</c:v>
                </c:pt>
                <c:pt idx="278">
                  <c:v>-10.9217951933281</c:v>
                </c:pt>
                <c:pt idx="279">
                  <c:v>-10.356851630181</c:v>
                </c:pt>
                <c:pt idx="280">
                  <c:v>-9.8009708237702107</c:v>
                </c:pt>
                <c:pt idx="281">
                  <c:v>-9.2562306818373692</c:v>
                </c:pt>
                <c:pt idx="282">
                  <c:v>-8.7245344127207698</c:v>
                </c:pt>
                <c:pt idx="283">
                  <c:v>-8.2075876024864005</c:v>
                </c:pt>
                <c:pt idx="284">
                  <c:v>-7.70688135194177</c:v>
                </c:pt>
                <c:pt idx="285">
                  <c:v>-7.2236816060736304</c:v>
                </c:pt>
                <c:pt idx="286">
                  <c:v>-6.7590245265258497</c:v>
                </c:pt>
                <c:pt idx="287">
                  <c:v>-6.3137175126971998</c:v>
                </c:pt>
                <c:pt idx="288">
                  <c:v>-5.8883452811229899</c:v>
                </c:pt>
                <c:pt idx="289">
                  <c:v>-5.4832802726010197</c:v>
                </c:pt>
                <c:pt idx="290">
                  <c:v>-5.0986965732059097</c:v>
                </c:pt>
                <c:pt idx="291">
                  <c:v>-4.7345865054799203</c:v>
                </c:pt>
                <c:pt idx="292">
                  <c:v>-4.3907790627854899</c:v>
                </c:pt>
                <c:pt idx="293">
                  <c:v>-4.0669594139674796</c:v>
                </c:pt>
                <c:pt idx="294">
                  <c:v>-3.7626887870549002</c:v>
                </c:pt>
                <c:pt idx="295">
                  <c:v>-3.47742413978767</c:v>
                </c:pt>
                <c:pt idx="296">
                  <c:v>-3.21053713224055</c:v>
                </c:pt>
                <c:pt idx="297">
                  <c:v>-2.9613320251044</c:v>
                </c:pt>
                <c:pt idx="298">
                  <c:v>-2.7290622303246601</c:v>
                </c:pt>
                <c:pt idx="299">
                  <c:v>-2.5129453345508499</c:v>
                </c:pt>
                <c:pt idx="300">
                  <c:v>-2.3121764975733798</c:v>
                </c:pt>
                <c:pt idx="301">
                  <c:v>-2.1259401963394402</c:v>
                </c:pt>
                <c:pt idx="302">
                  <c:v>-1.95342034006878</c:v>
                </c:pt>
                <c:pt idx="303">
                  <c:v>-1.7938088240590999</c:v>
                </c:pt>
                <c:pt idx="304">
                  <c:v>-1.64631262016061</c:v>
                </c:pt>
                <c:pt idx="305">
                  <c:v>-1.5101595221005</c:v>
                </c:pt>
                <c:pt idx="306">
                  <c:v>-1.38460267548366</c:v>
                </c:pt>
                <c:pt idx="307">
                  <c:v>-1.26892402701471</c:v>
                </c:pt>
                <c:pt idx="308">
                  <c:v>-1.1624368268071299</c:v>
                </c:pt>
                <c:pt idx="309">
                  <c:v>-1.0644873129458801</c:v>
                </c:pt>
                <c:pt idx="310">
                  <c:v>-0.97445569993572401</c:v>
                </c:pt>
                <c:pt idx="311">
                  <c:v>-0.89175658329013996</c:v>
                </c:pt>
                <c:pt idx="312">
                  <c:v>-0.815838862095978</c:v>
                </c:pt>
                <c:pt idx="313">
                  <c:v>-0.74618527055121597</c:v>
                </c:pt>
                <c:pt idx="314">
                  <c:v>-0.68231159868912505</c:v>
                </c:pt>
                <c:pt idx="315">
                  <c:v>-0.62376567210970502</c:v>
                </c:pt>
                <c:pt idx="316">
                  <c:v>-0.57012615077091799</c:v>
                </c:pt>
                <c:pt idx="317">
                  <c:v>-0.52100119789114097</c:v>
                </c:pt>
                <c:pt idx="318">
                  <c:v>-0.47602706185705101</c:v>
                </c:pt>
                <c:pt idx="319">
                  <c:v>-0.43486660674336403</c:v>
                </c:pt>
                <c:pt idx="320">
                  <c:v>-0.39720782062138998</c:v>
                </c:pt>
                <c:pt idx="321">
                  <c:v>-0.36276232522389901</c:v>
                </c:pt>
                <c:pt idx="322">
                  <c:v>-0.33126390569144099</c:v>
                </c:pt>
                <c:pt idx="323">
                  <c:v>-0.30246707498523501</c:v>
                </c:pt>
                <c:pt idx="324">
                  <c:v>-0.27614568404596901</c:v>
                </c:pt>
                <c:pt idx="325">
                  <c:v>-0.25209158583700803</c:v>
                </c:pt>
                <c:pt idx="326">
                  <c:v>-0.23011335896690399</c:v>
                </c:pt>
                <c:pt idx="327">
                  <c:v>-0.21003509457644701</c:v>
                </c:pt>
                <c:pt idx="328">
                  <c:v>-0.19169524853999101</c:v>
                </c:pt>
                <c:pt idx="329">
                  <c:v>-0.174945559716632</c:v>
                </c:pt>
                <c:pt idx="330">
                  <c:v>-0.159650033944821</c:v>
                </c:pt>
                <c:pt idx="331">
                  <c:v>-0.14568399266221799</c:v>
                </c:pt>
                <c:pt idx="332">
                  <c:v>-0.132933184412936</c:v>
                </c:pt>
                <c:pt idx="333">
                  <c:v>-0.12129295704451901</c:v>
                </c:pt>
                <c:pt idx="334">
                  <c:v>-0.110667488068624</c:v>
                </c:pt>
                <c:pt idx="335">
                  <c:v>-0.10096907043848199</c:v>
                </c:pt>
                <c:pt idx="336">
                  <c:v>-9.2117450862231096E-2</c:v>
                </c:pt>
                <c:pt idx="337">
                  <c:v>-8.40392177067006E-2</c:v>
                </c:pt>
                <c:pt idx="338">
                  <c:v>-7.6667235536791195E-2</c:v>
                </c:pt>
                <c:pt idx="339">
                  <c:v>-6.9940123368956705E-2</c:v>
                </c:pt>
                <c:pt idx="340">
                  <c:v>-6.3801773783360896E-2</c:v>
                </c:pt>
                <c:pt idx="341">
                  <c:v>-5.82009101298821E-2</c:v>
                </c:pt>
                <c:pt idx="342">
                  <c:v>-5.3090679171265802E-2</c:v>
                </c:pt>
                <c:pt idx="343">
                  <c:v>-4.8428276627072699E-2</c:v>
                </c:pt>
                <c:pt idx="344">
                  <c:v>-4.4174603210008698E-2</c:v>
                </c:pt>
                <c:pt idx="345">
                  <c:v>-4.02939488783347E-2</c:v>
                </c:pt>
                <c:pt idx="346">
                  <c:v>-3.6753703161458998E-2</c:v>
                </c:pt>
                <c:pt idx="347">
                  <c:v>-3.3524089548371598E-2</c:v>
                </c:pt>
                <c:pt idx="348">
                  <c:v>-3.0577922058625001E-2</c:v>
                </c:pt>
                <c:pt idx="349">
                  <c:v>-2.7890382241804498E-2</c:v>
                </c:pt>
                <c:pt idx="350">
                  <c:v>-2.5438814973035202E-2</c:v>
                </c:pt>
              </c:numCache>
            </c:numRef>
          </c:xVal>
          <c:yVal>
            <c:numRef>
              <c:f>'Opamp and Iso R'!$N$3:$N$353</c:f>
              <c:numCache>
                <c:formatCode>General</c:formatCode>
                <c:ptCount val="351"/>
                <c:pt idx="0">
                  <c:v>-99012.389379538203</c:v>
                </c:pt>
                <c:pt idx="1">
                  <c:v>-103579.757073339</c:v>
                </c:pt>
                <c:pt idx="2">
                  <c:v>-108347.946536706</c:v>
                </c:pt>
                <c:pt idx="3">
                  <c:v>-113324.341998459</c:v>
                </c:pt>
                <c:pt idx="4">
                  <c:v>-118516.382157901</c:v>
                </c:pt>
                <c:pt idx="5">
                  <c:v>-123931.52293223501</c:v>
                </c:pt>
                <c:pt idx="6">
                  <c:v>-129577.193452689</c:v>
                </c:pt>
                <c:pt idx="7">
                  <c:v>-135460.74446816201</c:v>
                </c:pt>
                <c:pt idx="8">
                  <c:v>-141589.38824821101</c:v>
                </c:pt>
                <c:pt idx="9">
                  <c:v>-147970.12901386499</c:v>
                </c:pt>
                <c:pt idx="10">
                  <c:v>-154609.682868248</c:v>
                </c:pt>
                <c:pt idx="11">
                  <c:v>-161514.38615351499</c:v>
                </c:pt>
                <c:pt idx="12">
                  <c:v>-168690.09113137799</c:v>
                </c:pt>
                <c:pt idx="13">
                  <c:v>-176142.04787791401</c:v>
                </c:pt>
                <c:pt idx="14">
                  <c:v>-183874.771307224</c:v>
                </c:pt>
                <c:pt idx="15">
                  <c:v>-191891.89230210599</c:v>
                </c:pt>
                <c:pt idx="16">
                  <c:v>-200195.99204427001</c:v>
                </c:pt>
                <c:pt idx="17">
                  <c:v>-208788.41881407701</c:v>
                </c:pt>
                <c:pt idx="18">
                  <c:v>-217669.08678464199</c:v>
                </c:pt>
                <c:pt idx="19">
                  <c:v>-226836.256682626</c:v>
                </c:pt>
                <c:pt idx="20">
                  <c:v>-236286.29864462599</c:v>
                </c:pt>
                <c:pt idx="21">
                  <c:v>-246013.43818012401</c:v>
                </c:pt>
                <c:pt idx="22">
                  <c:v>-256009.48687522201</c:v>
                </c:pt>
                <c:pt idx="23">
                  <c:v>-266263.56034914398</c:v>
                </c:pt>
                <c:pt idx="24">
                  <c:v>-276761.78701705899</c:v>
                </c:pt>
                <c:pt idx="25">
                  <c:v>-287487.012420438</c:v>
                </c:pt>
                <c:pt idx="26">
                  <c:v>-298418.50525314099</c:v>
                </c:pt>
                <c:pt idx="27">
                  <c:v>-309531.67271755601</c:v>
                </c:pt>
                <c:pt idx="28">
                  <c:v>-320797.79445382598</c:v>
                </c:pt>
                <c:pt idx="29">
                  <c:v>-332183.78593949601</c:v>
                </c:pt>
                <c:pt idx="30">
                  <c:v>-343652.00387626502</c:v>
                </c:pt>
                <c:pt idx="31">
                  <c:v>-355160.10755814897</c:v>
                </c:pt>
                <c:pt idx="32">
                  <c:v>-366660.99141825002</c:v>
                </c:pt>
                <c:pt idx="33">
                  <c:v>-378102.80472165602</c:v>
                </c:pt>
                <c:pt idx="34">
                  <c:v>-389429.07453285402</c:v>
                </c:pt>
                <c:pt idx="35">
                  <c:v>-400578.94745168899</c:v>
                </c:pt>
                <c:pt idx="36">
                  <c:v>-411487.564001714</c:v>
                </c:pt>
                <c:pt idx="37">
                  <c:v>-422086.576814275</c:v>
                </c:pt>
                <c:pt idx="38">
                  <c:v>-432304.819775237</c:v>
                </c:pt>
                <c:pt idx="39">
                  <c:v>-442069.13005975803</c:v>
                </c:pt>
                <c:pt idx="40">
                  <c:v>-451305.31854702201</c:v>
                </c:pt>
                <c:pt idx="41">
                  <c:v>-459939.27667820698</c:v>
                </c:pt>
                <c:pt idx="42">
                  <c:v>-467898.19973127003</c:v>
                </c:pt>
                <c:pt idx="43">
                  <c:v>-475111.89820493601</c:v>
                </c:pt>
                <c:pt idx="44">
                  <c:v>-481514.16111781797</c:v>
                </c:pt>
                <c:pt idx="45">
                  <c:v>-487044.12820047798</c:v>
                </c:pt>
                <c:pt idx="46">
                  <c:v>-491647.62287105899</c:v>
                </c:pt>
                <c:pt idx="47">
                  <c:v>-495278.39516688598</c:v>
                </c:pt>
                <c:pt idx="48">
                  <c:v>-497899.22394870099</c:v>
                </c:pt>
                <c:pt idx="49">
                  <c:v>-499482.83098488097</c:v>
                </c:pt>
                <c:pt idx="50">
                  <c:v>-500012.56597581803</c:v>
                </c:pt>
                <c:pt idx="51">
                  <c:v>-499482.830912131</c:v>
                </c:pt>
                <c:pt idx="52">
                  <c:v>-497899.22380304598</c:v>
                </c:pt>
                <c:pt idx="53">
                  <c:v>-495278.39494801802</c:v>
                </c:pt>
                <c:pt idx="54">
                  <c:v>-491647.62257851398</c:v>
                </c:pt>
                <c:pt idx="55">
                  <c:v>-487044.12783363502</c:v>
                </c:pt>
                <c:pt idx="56">
                  <c:v>-481514.16067589901</c:v>
                </c:pt>
                <c:pt idx="57">
                  <c:v>-475111.89768700302</c:v>
                </c:pt>
                <c:pt idx="58">
                  <c:v>-467898.19913622498</c:v>
                </c:pt>
                <c:pt idx="59">
                  <c:v>-459939.27600478899</c:v>
                </c:pt>
                <c:pt idx="60">
                  <c:v>-451305.31779379997</c:v>
                </c:pt>
                <c:pt idx="61">
                  <c:v>-442069.129225137</c:v>
                </c:pt>
                <c:pt idx="62">
                  <c:v>-432304.81885744398</c:v>
                </c:pt>
                <c:pt idx="63">
                  <c:v>-422086.57581136603</c:v>
                </c:pt>
                <c:pt idx="64">
                  <c:v>-411487.56291155802</c:v>
                </c:pt>
                <c:pt idx="65">
                  <c:v>-400578.94627197803</c:v>
                </c:pt>
                <c:pt idx="66">
                  <c:v>-389429.07326108299</c:v>
                </c:pt>
                <c:pt idx="67">
                  <c:v>-378102.80335512699</c:v>
                </c:pt>
                <c:pt idx="68">
                  <c:v>-366660.98995406699</c:v>
                </c:pt>
                <c:pt idx="69">
                  <c:v>-355160.105993203</c:v>
                </c:pt>
                <c:pt idx="70">
                  <c:v>-343652.00220723799</c:v>
                </c:pt>
                <c:pt idx="71">
                  <c:v>-332183.78416284901</c:v>
                </c:pt>
                <c:pt idx="72">
                  <c:v>-320797.79256579001</c:v>
                </c:pt>
                <c:pt idx="73">
                  <c:v>-309531.67071412603</c:v>
                </c:pt>
                <c:pt idx="74">
                  <c:v>-298418.50313006598</c:v>
                </c:pt>
                <c:pt idx="75">
                  <c:v>-287487.010173216</c:v>
                </c:pt>
                <c:pt idx="76">
                  <c:v>-276761.78464092303</c:v>
                </c:pt>
                <c:pt idx="77">
                  <c:v>-266263.55783905298</c:v>
                </c:pt>
                <c:pt idx="78">
                  <c:v>-256009.48422585399</c:v>
                </c:pt>
                <c:pt idx="79">
                  <c:v>-246013.435385858</c:v>
                </c:pt>
                <c:pt idx="80">
                  <c:v>-236286.29569953401</c:v>
                </c:pt>
                <c:pt idx="81">
                  <c:v>-226836.253580463</c:v>
                </c:pt>
                <c:pt idx="82">
                  <c:v>-217669.08351882701</c:v>
                </c:pt>
                <c:pt idx="83">
                  <c:v>-208788.41537768199</c:v>
                </c:pt>
                <c:pt idx="84">
                  <c:v>-200195.98843000701</c:v>
                </c:pt>
                <c:pt idx="85">
                  <c:v>-191891.88850231</c:v>
                </c:pt>
                <c:pt idx="86">
                  <c:v>-183874.76731383399</c:v>
                </c:pt>
                <c:pt idx="87">
                  <c:v>-176142.04368245901</c:v>
                </c:pt>
                <c:pt idx="88">
                  <c:v>-168690.086724958</c:v>
                </c:pt>
                <c:pt idx="89">
                  <c:v>-161514.38152678599</c:v>
                </c:pt>
                <c:pt idx="90">
                  <c:v>-154609.67801139399</c:v>
                </c:pt>
                <c:pt idx="91">
                  <c:v>-147970.12391658401</c:v>
                </c:pt>
                <c:pt idx="92">
                  <c:v>-141589.382899691</c:v>
                </c:pt>
                <c:pt idx="93">
                  <c:v>-135460.73885705901</c:v>
                </c:pt>
                <c:pt idx="94">
                  <c:v>-129577.18756710101</c:v>
                </c:pt>
                <c:pt idx="95">
                  <c:v>-123931.51675967799</c:v>
                </c:pt>
                <c:pt idx="96">
                  <c:v>-118516.37568528199</c:v>
                </c:pt>
                <c:pt idx="97">
                  <c:v>-113324.335212048</c:v>
                </c:pt>
                <c:pt idx="98">
                  <c:v>-108347.939422108</c:v>
                </c:pt>
                <c:pt idx="99">
                  <c:v>-103579.749615464</c:v>
                </c:pt>
                <c:pt idx="100">
                  <c:v>-99012.381562566006</c:v>
                </c:pt>
                <c:pt idx="101">
                  <c:v>-94638.536778614201</c:v>
                </c:pt>
                <c:pt idx="102">
                  <c:v>-90451.028525254194</c:v>
                </c:pt>
                <c:pt idx="103">
                  <c:v>-86442.8031799694</c:v>
                </c:pt>
                <c:pt idx="104">
                  <c:v>-82606.9575511601</c:v>
                </c:pt>
                <c:pt idx="105">
                  <c:v>-78936.752658246696</c:v>
                </c:pt>
                <c:pt idx="106">
                  <c:v>-75425.624441422799</c:v>
                </c:pt>
                <c:pt idx="107">
                  <c:v>-72067.191815194499</c:v>
                </c:pt>
                <c:pt idx="108">
                  <c:v>-68855.262433524404</c:v>
                </c:pt>
                <c:pt idx="109">
                  <c:v>-65783.836492188799</c:v>
                </c:pt>
                <c:pt idx="110">
                  <c:v>-62847.108855740298</c:v>
                </c:pt>
                <c:pt idx="111">
                  <c:v>-60039.469761963999</c:v>
                </c:pt>
                <c:pt idx="112">
                  <c:v>-57355.504325761103</c:v>
                </c:pt>
                <c:pt idx="113">
                  <c:v>-54789.991036698899</c:v>
                </c:pt>
                <c:pt idx="114">
                  <c:v>-52337.89941975</c:v>
                </c:pt>
                <c:pt idx="115">
                  <c:v>-49994.3870068096</c:v>
                </c:pt>
                <c:pt idx="116">
                  <c:v>-47754.795747115299</c:v>
                </c:pt>
                <c:pt idx="117">
                  <c:v>-45614.6479674894</c:v>
                </c:pt>
                <c:pt idx="118">
                  <c:v>-43569.641978152002</c:v>
                </c:pt>
                <c:pt idx="119">
                  <c:v>-41615.647406505799</c:v>
                </c:pt>
                <c:pt idx="120">
                  <c:v>-39748.700329566898</c:v>
                </c:pt>
                <c:pt idx="121">
                  <c:v>-37964.998265436603</c:v>
                </c:pt>
                <c:pt idx="122">
                  <c:v>-36260.895075225599</c:v>
                </c:pt>
                <c:pt idx="123">
                  <c:v>-34632.895818999103</c:v>
                </c:pt>
                <c:pt idx="124">
                  <c:v>-33077.651602465601</c:v>
                </c:pt>
                <c:pt idx="125">
                  <c:v>-31591.954445196399</c:v>
                </c:pt>
                <c:pt idx="126">
                  <c:v>-30172.732195997</c:v>
                </c:pt>
                <c:pt idx="127">
                  <c:v>-28817.0435165813</c:v>
                </c:pt>
                <c:pt idx="128">
                  <c:v>-27522.072950838101</c:v>
                </c:pt>
                <c:pt idx="129">
                  <c:v>-26285.126093643801</c:v>
                </c:pt>
                <c:pt idx="130">
                  <c:v>-25103.6248703069</c:v>
                </c:pt>
                <c:pt idx="131">
                  <c:v>-23975.102935269399</c:v>
                </c:pt>
                <c:pt idx="132">
                  <c:v>-22897.201196583301</c:v>
                </c:pt>
                <c:pt idx="133">
                  <c:v>-21867.6634708809</c:v>
                </c:pt>
                <c:pt idx="134">
                  <c:v>-20884.332272028802</c:v>
                </c:pt>
                <c:pt idx="135">
                  <c:v>-19945.144735363399</c:v>
                </c:pt>
                <c:pt idx="136">
                  <c:v>-19048.128678311001</c:v>
                </c:pt>
                <c:pt idx="137">
                  <c:v>-18191.398797280599</c:v>
                </c:pt>
                <c:pt idx="138">
                  <c:v>-17373.1529999548</c:v>
                </c:pt>
                <c:pt idx="139">
                  <c:v>-16591.668871472099</c:v>
                </c:pt>
                <c:pt idx="140">
                  <c:v>-15845.300272475701</c:v>
                </c:pt>
                <c:pt idx="141">
                  <c:v>-15132.474066581601</c:v>
                </c:pt>
                <c:pt idx="142">
                  <c:v>-14451.6869744864</c:v>
                </c:pt>
                <c:pt idx="143">
                  <c:v>-13801.502551666499</c:v>
                </c:pt>
                <c:pt idx="144">
                  <c:v>-13180.5482864192</c:v>
                </c:pt>
                <c:pt idx="145">
                  <c:v>-12587.5128148473</c:v>
                </c:pt>
                <c:pt idx="146">
                  <c:v>-12021.143249279299</c:v>
                </c:pt>
                <c:pt idx="147">
                  <c:v>-11480.2426165542</c:v>
                </c:pt>
                <c:pt idx="148">
                  <c:v>-10963.6674025597</c:v>
                </c:pt>
                <c:pt idx="149">
                  <c:v>-10470.325199406099</c:v>
                </c:pt>
                <c:pt idx="150">
                  <c:v>-9999.1724516305603</c:v>
                </c:pt>
                <c:pt idx="151">
                  <c:v>-9549.2122978584903</c:v>
                </c:pt>
                <c:pt idx="152">
                  <c:v>-9119.4925043949206</c:v>
                </c:pt>
                <c:pt idx="153">
                  <c:v>-8709.1034872808596</c:v>
                </c:pt>
                <c:pt idx="154">
                  <c:v>-8317.1764194163497</c:v>
                </c:pt>
                <c:pt idx="155">
                  <c:v>-7942.8814194315801</c:v>
                </c:pt>
                <c:pt idx="156">
                  <c:v>-7585.4258190702203</c:v>
                </c:pt>
                <c:pt idx="157">
                  <c:v>-7244.0525059380898</c:v>
                </c:pt>
                <c:pt idx="158">
                  <c:v>-6918.0383385622899</c:v>
                </c:pt>
                <c:pt idx="159">
                  <c:v>-6606.6926307988797</c:v>
                </c:pt>
                <c:pt idx="160">
                  <c:v>-6309.3557027242896</c:v>
                </c:pt>
                <c:pt idx="161">
                  <c:v>-6025.3974952403396</c:v>
                </c:pt>
                <c:pt idx="162">
                  <c:v>-5754.21624571947</c:v>
                </c:pt>
                <c:pt idx="163">
                  <c:v>-5495.2372221119304</c:v>
                </c:pt>
                <c:pt idx="164">
                  <c:v>-5247.9115130302398</c:v>
                </c:pt>
                <c:pt idx="165">
                  <c:v>-5011.7148714202003</c:v>
                </c:pt>
                <c:pt idx="166">
                  <c:v>-4786.1466095185697</c:v>
                </c:pt>
                <c:pt idx="167">
                  <c:v>-4570.7285428850801</c:v>
                </c:pt>
                <c:pt idx="168">
                  <c:v>-4365.0039813864696</c:v>
                </c:pt>
                <c:pt idx="169">
                  <c:v>-4168.5367650911703</c:v>
                </c:pt>
                <c:pt idx="170">
                  <c:v>-3980.9103431193998</c:v>
                </c:pt>
                <c:pt idx="171">
                  <c:v>-3801.7268935694001</c:v>
                </c:pt>
                <c:pt idx="172">
                  <c:v>-3630.6064827212399</c:v>
                </c:pt>
                <c:pt idx="173">
                  <c:v>-3467.18626179188</c:v>
                </c:pt>
                <c:pt idx="174">
                  <c:v>-3311.1196995885898</c:v>
                </c:pt>
                <c:pt idx="175">
                  <c:v>-3162.0758494769698</c:v>
                </c:pt>
                <c:pt idx="176">
                  <c:v>-3019.7386491471898</c:v>
                </c:pt>
                <c:pt idx="177">
                  <c:v>-2883.8062517266499</c:v>
                </c:pt>
                <c:pt idx="178">
                  <c:v>-2753.9903868490601</c:v>
                </c:pt>
                <c:pt idx="179">
                  <c:v>-2630.0157503503901</c:v>
                </c:pt>
                <c:pt idx="180">
                  <c:v>-2511.6194213190101</c:v>
                </c:pt>
                <c:pt idx="181">
                  <c:v>-2398.5503052829199</c:v>
                </c:pt>
                <c:pt idx="182">
                  <c:v>-2290.5686023695798</c:v>
                </c:pt>
                <c:pt idx="183">
                  <c:v>-2187.4452993251002</c:v>
                </c:pt>
                <c:pt idx="184">
                  <c:v>-2088.96168432779</c:v>
                </c:pt>
                <c:pt idx="185">
                  <c:v>-1994.90888357829</c:v>
                </c:pt>
                <c:pt idx="186">
                  <c:v>-1905.0874186927299</c:v>
                </c:pt>
                <c:pt idx="187">
                  <c:v>-1819.3067839688699</c:v>
                </c:pt>
                <c:pt idx="188">
                  <c:v>-1737.38504263561</c:v>
                </c:pt>
                <c:pt idx="189">
                  <c:v>-1659.1484412362499</c:v>
                </c:pt>
                <c:pt idx="190">
                  <c:v>-1584.4310413328501</c:v>
                </c:pt>
                <c:pt idx="191">
                  <c:v>-1513.07436775575</c:v>
                </c:pt>
                <c:pt idx="192">
                  <c:v>-1444.9270726563</c:v>
                </c:pt>
                <c:pt idx="193">
                  <c:v>-1379.844614654</c:v>
                </c:pt>
                <c:pt idx="194">
                  <c:v>-1317.6889524010301</c:v>
                </c:pt>
                <c:pt idx="195">
                  <c:v>-1258.32825191699</c:v>
                </c:pt>
                <c:pt idx="196">
                  <c:v>-1201.6366070757399</c:v>
                </c:pt>
                <c:pt idx="197">
                  <c:v>-1147.4937726539799</c:v>
                </c:pt>
                <c:pt idx="198">
                  <c:v>-1095.78490937725</c:v>
                </c:pt>
                <c:pt idx="199">
                  <c:v>-1046.40034042465</c:v>
                </c:pt>
                <c:pt idx="200">
                  <c:v>-999.23531887761999</c:v>
                </c:pt>
                <c:pt idx="201">
                  <c:v>-954.18980562104196</c:v>
                </c:pt>
                <c:pt idx="202">
                  <c:v>-911.16825722723399</c:v>
                </c:pt>
                <c:pt idx="203">
                  <c:v>-870.07942337444001</c:v>
                </c:pt>
                <c:pt idx="204">
                  <c:v>-830.83615337160904</c:v>
                </c:pt>
                <c:pt idx="205">
                  <c:v>-793.355211380421</c:v>
                </c:pt>
                <c:pt idx="206">
                  <c:v>-757.557099944416</c:v>
                </c:pt>
                <c:pt idx="207">
                  <c:v>-723.36589145210905</c:v>
                </c:pt>
                <c:pt idx="208">
                  <c:v>-690.70906717857702</c:v>
                </c:pt>
                <c:pt idx="209">
                  <c:v>-659.51736356557296</c:v>
                </c:pt>
                <c:pt idx="210">
                  <c:v>-629.72462541618597</c:v>
                </c:pt>
                <c:pt idx="211">
                  <c:v>-601.26766569458505</c:v>
                </c:pt>
                <c:pt idx="212">
                  <c:v>-574.08613163575103</c:v>
                </c:pt>
                <c:pt idx="213">
                  <c:v>-548.12237688370396</c:v>
                </c:pt>
                <c:pt idx="214">
                  <c:v>-523.321339389782</c:v>
                </c:pt>
                <c:pt idx="215">
                  <c:v>-499.630424815053</c:v>
                </c:pt>
                <c:pt idx="216">
                  <c:v>-476.99939519308401</c:v>
                </c:pt>
                <c:pt idx="217">
                  <c:v>-455.38026262069098</c:v>
                </c:pt>
                <c:pt idx="218">
                  <c:v>-434.72718775568302</c:v>
                </c:pt>
                <c:pt idx="219">
                  <c:v>-414.99638291113502</c:v>
                </c:pt>
                <c:pt idx="220">
                  <c:v>-396.14601954620201</c:v>
                </c:pt>
                <c:pt idx="221">
                  <c:v>-378.13613996347698</c:v>
                </c:pt>
                <c:pt idx="222">
                  <c:v>-360.92857303252703</c:v>
                </c:pt>
                <c:pt idx="223">
                  <c:v>-344.48685376872299</c:v>
                </c:pt>
                <c:pt idx="224">
                  <c:v>-328.776146605392</c:v>
                </c:pt>
                <c:pt idx="225">
                  <c:v>-313.76317220639697</c:v>
                </c:pt>
                <c:pt idx="226">
                  <c:v>-299.416137674634</c:v>
                </c:pt>
                <c:pt idx="227">
                  <c:v>-285.704670020447</c:v>
                </c:pt>
                <c:pt idx="228">
                  <c:v>-272.59975276203301</c:v>
                </c:pt>
                <c:pt idx="229">
                  <c:v>-260.07366553794401</c:v>
                </c:pt>
                <c:pt idx="230">
                  <c:v>-248.09992661945</c:v>
                </c:pt>
                <c:pt idx="231">
                  <c:v>-236.653238218105</c:v>
                </c:pt>
                <c:pt idx="232">
                  <c:v>-225.70943449114401</c:v>
                </c:pt>
                <c:pt idx="233">
                  <c:v>-215.24543215431399</c:v>
                </c:pt>
                <c:pt idx="234">
                  <c:v>-205.239183618467</c:v>
                </c:pt>
                <c:pt idx="235">
                  <c:v>-195.669632572534</c:v>
                </c:pt>
                <c:pt idx="236">
                  <c:v>-186.516671941347</c:v>
                </c:pt>
                <c:pt idx="237">
                  <c:v>-177.761104151951</c:v>
                </c:pt>
                <c:pt idx="238">
                  <c:v>-169.38460364661</c:v>
                </c:pt>
                <c:pt idx="239">
                  <c:v>-161.369681584196</c:v>
                </c:pt>
                <c:pt idx="240">
                  <c:v>-153.69965267413201</c:v>
                </c:pt>
                <c:pt idx="241">
                  <c:v>-146.35860408801301</c:v>
                </c:pt>
                <c:pt idx="242">
                  <c:v>-139.331366393373</c:v>
                </c:pt>
                <c:pt idx="243">
                  <c:v>-132.60348645130099</c:v>
                </c:pt>
                <c:pt idx="244">
                  <c:v>-126.161202214442</c:v>
                </c:pt>
                <c:pt idx="245">
                  <c:v>-119.991419353924</c:v>
                </c:pt>
                <c:pt idx="246">
                  <c:v>-114.08168963253701</c:v>
                </c:pt>
                <c:pt idx="247">
                  <c:v>-108.420190926597</c:v>
                </c:pt>
                <c:pt idx="248">
                  <c:v>-102.99570878016399</c:v>
                </c:pt>
                <c:pt idx="249">
                  <c:v>-97.797619352182394</c:v>
                </c:pt>
                <c:pt idx="250">
                  <c:v>-92.815873589842298</c:v>
                </c:pt>
                <c:pt idx="251">
                  <c:v>-88.040982429944094</c:v>
                </c:pt>
                <c:pt idx="252">
                  <c:v>-83.464002794867099</c:v>
                </c:pt>
                <c:pt idx="253">
                  <c:v>-79.076524111747005</c:v>
                </c:pt>
                <c:pt idx="254">
                  <c:v>-74.870655043946499</c:v>
                </c:pt>
                <c:pt idx="255">
                  <c:v>-70.839010084859794</c:v>
                </c:pt>
                <c:pt idx="256">
                  <c:v>-66.974695628143706</c:v>
                </c:pt>
                <c:pt idx="257">
                  <c:v>-63.271295098722597</c:v>
                </c:pt>
                <c:pt idx="258">
                  <c:v>-59.722852709490297</c:v>
                </c:pt>
                <c:pt idx="259">
                  <c:v>-56.323855403680902</c:v>
                </c:pt>
                <c:pt idx="260">
                  <c:v>-53.069212557260897</c:v>
                </c:pt>
                <c:pt idx="261">
                  <c:v>-49.954233053850402</c:v>
                </c:pt>
                <c:pt idx="262">
                  <c:v>-46.974599410731599</c:v>
                </c:pt>
                <c:pt idx="263">
                  <c:v>-44.126338731240899</c:v>
                </c:pt>
                <c:pt idx="264">
                  <c:v>-41.405790387384201</c:v>
                </c:pt>
                <c:pt idx="265">
                  <c:v>-38.8095704953598</c:v>
                </c:pt>
                <c:pt idx="266">
                  <c:v>-36.3345334314333</c:v>
                </c:pt>
                <c:pt idx="267">
                  <c:v>-33.977730838300801</c:v>
                </c:pt>
                <c:pt idx="268">
                  <c:v>-31.736368781421302</c:v>
                </c:pt>
                <c:pt idx="269">
                  <c:v>-29.607763916439001</c:v>
                </c:pt>
                <c:pt idx="270">
                  <c:v>-27.589299706229401</c:v>
                </c:pt>
                <c:pt idx="271">
                  <c:v>-25.678383862141398</c:v>
                </c:pt>
                <c:pt idx="272">
                  <c:v>-23.872408262549399</c:v>
                </c:pt>
                <c:pt idx="273">
                  <c:v>-22.168712609881499</c:v>
                </c:pt>
                <c:pt idx="274">
                  <c:v>-20.564553016848201</c:v>
                </c:pt>
                <c:pt idx="275">
                  <c:v>-19.057076562257699</c:v>
                </c:pt>
                <c:pt idx="276">
                  <c:v>-17.643302632566702</c:v>
                </c:pt>
                <c:pt idx="277">
                  <c:v>-16.320111580541202</c:v>
                </c:pt>
                <c:pt idx="278">
                  <c:v>-15.084240906829599</c:v>
                </c:pt>
                <c:pt idx="279">
                  <c:v>-13.932288827995301</c:v>
                </c:pt>
                <c:pt idx="280">
                  <c:v>-12.8607247615891</c:v>
                </c:pt>
                <c:pt idx="281">
                  <c:v>-11.865905960082699</c:v>
                </c:pt>
                <c:pt idx="282">
                  <c:v>-10.944099282164499</c:v>
                </c:pt>
                <c:pt idx="283">
                  <c:v>-10.0915069173203</c:v>
                </c:pt>
                <c:pt idx="284">
                  <c:v>-9.3042947859586995</c:v>
                </c:pt>
                <c:pt idx="285">
                  <c:v>-8.5786223232228593</c:v>
                </c:pt>
                <c:pt idx="286">
                  <c:v>-7.9106724138110103</c:v>
                </c:pt>
                <c:pt idx="287">
                  <c:v>-7.2966803658530601</c:v>
                </c:pt>
                <c:pt idx="288">
                  <c:v>-6.7329609787232902</c:v>
                </c:pt>
                <c:pt idx="289">
                  <c:v>-6.2159329555417502</c:v>
                </c:pt>
                <c:pt idx="290">
                  <c:v>-5.7421401191768098</c:v>
                </c:pt>
                <c:pt idx="291">
                  <c:v>-5.3082690957310801</c:v>
                </c:pt>
                <c:pt idx="292">
                  <c:v>-4.9111633195084998</c:v>
                </c:pt>
                <c:pt idx="293">
                  <c:v>-4.5478333794342101</c:v>
                </c:pt>
                <c:pt idx="294">
                  <c:v>-4.2154638634030004</c:v>
                </c:pt>
                <c:pt idx="295">
                  <c:v>-3.9114169618146901</c:v>
                </c:pt>
                <c:pt idx="296">
                  <c:v>-3.6332331650295</c:v>
                </c:pt>
                <c:pt idx="297">
                  <c:v>-3.3786294340541501</c:v>
                </c:pt>
                <c:pt idx="298">
                  <c:v>-3.14549524320819</c:v>
                </c:pt>
                <c:pt idx="299">
                  <c:v>-2.9318868922924999</c:v>
                </c:pt>
                <c:pt idx="300">
                  <c:v>-2.73602046856815</c:v>
                </c:pt>
                <c:pt idx="301">
                  <c:v>-2.55626381014739</c:v>
                </c:pt>
                <c:pt idx="302">
                  <c:v>-2.3911277862481999</c:v>
                </c:pt>
                <c:pt idx="303">
                  <c:v>-2.23925716960452</c:v>
                </c:pt>
                <c:pt idx="304">
                  <c:v>-2.0994213349369999</c:v>
                </c:pt>
                <c:pt idx="305">
                  <c:v>-1.97050497688639</c:v>
                </c:pt>
                <c:pt idx="306">
                  <c:v>-1.85149900270785</c:v>
                </c:pt>
                <c:pt idx="307">
                  <c:v>-1.7414917203087299</c:v>
                </c:pt>
                <c:pt idx="308">
                  <c:v>-1.6396604114380799</c:v>
                </c:pt>
                <c:pt idx="309">
                  <c:v>-1.54526335322582</c:v>
                </c:pt>
                <c:pt idx="310">
                  <c:v>-1.4576323287852599</c:v>
                </c:pt>
                <c:pt idx="311">
                  <c:v>-1.3761656490276799</c:v>
                </c:pt>
                <c:pt idx="312">
                  <c:v>-1.3003216928657799</c:v>
                </c:pt>
                <c:pt idx="313">
                  <c:v>-1.22961296121769</c:v>
                </c:pt>
                <c:pt idx="314">
                  <c:v>-1.16360063125199</c:v>
                </c:pt>
                <c:pt idx="315">
                  <c:v>-1.1018895907236199</c:v>
                </c:pt>
                <c:pt idx="316">
                  <c:v>-1.0441239276517</c:v>
                </c:pt>
                <c:pt idx="317">
                  <c:v>-0.98998284762250499</c:v>
                </c:pt>
                <c:pt idx="318">
                  <c:v>-0.93917698934399396</c:v>
                </c:pt>
                <c:pt idx="319">
                  <c:v>-0.891445108452527</c:v>
                </c:pt>
                <c:pt idx="320">
                  <c:v>-0.84655109973881904</c:v>
                </c:pt>
                <c:pt idx="321">
                  <c:v>-0.80428132871672597</c:v>
                </c:pt>
                <c:pt idx="322">
                  <c:v>-0.76444224464035804</c:v>
                </c:pt>
                <c:pt idx="323">
                  <c:v>-0.72685824854650105</c:v>
                </c:pt>
                <c:pt idx="324">
                  <c:v>-0.69136979155334599</c:v>
                </c:pt>
                <c:pt idx="325">
                  <c:v>-0.65783168039833095</c:v>
                </c:pt>
                <c:pt idx="326">
                  <c:v>-0.62611156898270504</c:v>
                </c:pt>
                <c:pt idx="327">
                  <c:v>-0.59608861645987798</c:v>
                </c:pt>
                <c:pt idx="328">
                  <c:v>-0.567652294122302</c:v>
                </c:pt>
                <c:pt idx="329">
                  <c:v>-0.54070132498413204</c:v>
                </c:pt>
                <c:pt idx="330">
                  <c:v>-0.51514274150602202</c:v>
                </c:pt>
                <c:pt idx="331">
                  <c:v>-0.49089104835629599</c:v>
                </c:pt>
                <c:pt idx="332">
                  <c:v>-0.46786747844246601</c:v>
                </c:pt>
                <c:pt idx="333">
                  <c:v>-0.44599933167970501</c:v>
                </c:pt>
                <c:pt idx="334">
                  <c:v>-0.42521938708858298</c:v>
                </c:pt>
                <c:pt idx="335">
                  <c:v>-0.40546537983792902</c:v>
                </c:pt>
                <c:pt idx="336">
                  <c:v>-0.38667953577487502</c:v>
                </c:pt>
                <c:pt idx="337">
                  <c:v>-0.36880815681872697</c:v>
                </c:pt>
                <c:pt idx="338">
                  <c:v>-0.35180125134523299</c:v>
                </c:pt>
                <c:pt idx="339">
                  <c:v>-0.33561220435925199</c:v>
                </c:pt>
                <c:pt idx="340">
                  <c:v>-0.32019748285347799</c:v>
                </c:pt>
                <c:pt idx="341">
                  <c:v>-0.30551637228547601</c:v>
                </c:pt>
                <c:pt idx="342">
                  <c:v>-0.29153074058032502</c:v>
                </c:pt>
                <c:pt idx="343">
                  <c:v>-0.27820482648817701</c:v>
                </c:pt>
                <c:pt idx="344">
                  <c:v>-0.265505049499833</c:v>
                </c:pt>
                <c:pt idx="345">
                  <c:v>-0.25339983885429801</c:v>
                </c:pt>
                <c:pt idx="346">
                  <c:v>-0.24185947946474001</c:v>
                </c:pt>
                <c:pt idx="347">
                  <c:v>-0.23085597284745701</c:v>
                </c:pt>
                <c:pt idx="348">
                  <c:v>-0.22036291136627001</c:v>
                </c:pt>
                <c:pt idx="349">
                  <c:v>-0.21035536430538801</c:v>
                </c:pt>
                <c:pt idx="350">
                  <c:v>-0.20080977446067799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83-4657-A880-68AA445F1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At val="-2000000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Stray'!$K$3:$K$353</c:f>
            </c:numRef>
          </c:yVal>
          <c:smooth val="0"/>
          <c:extLst>
            <c:ext xmlns:c16="http://schemas.microsoft.com/office/drawing/2014/chart" uri="{C3380CC4-5D6E-409C-BE32-E72D297353CC}">
              <c16:uniqueId val="{00000000-7B75-401B-A114-E81AD384CEA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Stray'!$P$3:$P$353</c:f>
            </c:numRef>
          </c:yVal>
          <c:smooth val="0"/>
          <c:extLst>
            <c:ext xmlns:c16="http://schemas.microsoft.com/office/drawing/2014/chart" uri="{C3380CC4-5D6E-409C-BE32-E72D297353CC}">
              <c16:uniqueId val="{00000001-52C0-465D-BBDE-FF0913C5975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Stray'!$R$3:$R$353</c:f>
              <c:numCache>
                <c:formatCode>General</c:formatCode>
                <c:ptCount val="351"/>
                <c:pt idx="0">
                  <c:v>105.97738617544331</c:v>
                </c:pt>
                <c:pt idx="1">
                  <c:v>105.9732396458476</c:v>
                </c:pt>
                <c:pt idx="2">
                  <c:v>105.96869761229549</c:v>
                </c:pt>
                <c:pt idx="3">
                  <c:v>105.96372282526929</c:v>
                </c:pt>
                <c:pt idx="4">
                  <c:v>105.95827462154455</c:v>
                </c:pt>
                <c:pt idx="5">
                  <c:v>105.95230863013944</c:v>
                </c:pt>
                <c:pt idx="6">
                  <c:v>105.94577645668627</c:v>
                </c:pt>
                <c:pt idx="7">
                  <c:v>105.93862534541084</c:v>
                </c:pt>
                <c:pt idx="8">
                  <c:v>105.93079781805068</c:v>
                </c:pt>
                <c:pt idx="9">
                  <c:v>105.92223128923891</c:v>
                </c:pt>
                <c:pt idx="10">
                  <c:v>105.91285765813524</c:v>
                </c:pt>
                <c:pt idx="11">
                  <c:v>105.90260287641024</c:v>
                </c:pt>
                <c:pt idx="12">
                  <c:v>105.8913864930952</c:v>
                </c:pt>
                <c:pt idx="13">
                  <c:v>105.87912117731001</c:v>
                </c:pt>
                <c:pt idx="14">
                  <c:v>105.86571222048792</c:v>
                </c:pt>
                <c:pt idx="15">
                  <c:v>105.85105702044497</c:v>
                </c:pt>
                <c:pt idx="16">
                  <c:v>105.83504455050398</c:v>
                </c:pt>
                <c:pt idx="17">
                  <c:v>105.81755481789344</c:v>
                </c:pt>
                <c:pt idx="18">
                  <c:v>105.79845831681195</c:v>
                </c:pt>
                <c:pt idx="19">
                  <c:v>105.77761548288557</c:v>
                </c:pt>
                <c:pt idx="20">
                  <c:v>105.75487615725628</c:v>
                </c:pt>
                <c:pt idx="21">
                  <c:v>105.73007907022026</c:v>
                </c:pt>
                <c:pt idx="22">
                  <c:v>105.70305135617549</c:v>
                </c:pt>
                <c:pt idx="23">
                  <c:v>105.67360811362107</c:v>
                </c:pt>
                <c:pt idx="24">
                  <c:v>105.64155202603499</c:v>
                </c:pt>
                <c:pt idx="25">
                  <c:v>105.60667306159861</c:v>
                </c:pt>
                <c:pt idx="26">
                  <c:v>105.56874827185638</c:v>
                </c:pt>
                <c:pt idx="27">
                  <c:v>105.52754171140866</c:v>
                </c:pt>
                <c:pt idx="28">
                  <c:v>105.48280450251266</c:v>
                </c:pt>
                <c:pt idx="29">
                  <c:v>105.43427506986482</c:v>
                </c:pt>
                <c:pt idx="30">
                  <c:v>105.38167957168932</c:v>
                </c:pt>
                <c:pt idx="31">
                  <c:v>105.32473255336599</c:v>
                </c:pt>
                <c:pt idx="32">
                  <c:v>105.2631378489898</c:v>
                </c:pt>
                <c:pt idx="33">
                  <c:v>105.19658975424623</c:v>
                </c:pt>
                <c:pt idx="34">
                  <c:v>105.12477449060987</c:v>
                </c:pt>
                <c:pt idx="35">
                  <c:v>105.0473719759446</c:v>
                </c:pt>
                <c:pt idx="36">
                  <c:v>104.96405790998027</c:v>
                </c:pt>
                <c:pt idx="37">
                  <c:v>104.87450617480856</c:v>
                </c:pt>
                <c:pt idx="38">
                  <c:v>104.77839154053801</c:v>
                </c:pt>
                <c:pt idx="39">
                  <c:v>104.67539265475523</c:v>
                </c:pt>
                <c:pt idx="40">
                  <c:v>104.56519528179354</c:v>
                </c:pt>
                <c:pt idx="41">
                  <c:v>104.44749574450346</c:v>
                </c:pt>
                <c:pt idx="42">
                  <c:v>104.32200450790302</c:v>
                </c:pt>
                <c:pt idx="43">
                  <c:v>104.18844983154113</c:v>
                </c:pt>
                <c:pt idx="44">
                  <c:v>104.04658140651163</c:v>
                </c:pt>
                <c:pt idx="45">
                  <c:v>103.89617388471311</c:v>
                </c:pt>
                <c:pt idx="46">
                  <c:v>103.737030203014</c:v>
                </c:pt>
                <c:pt idx="47">
                  <c:v>103.56898460417536</c:v>
                </c:pt>
                <c:pt idx="48">
                  <c:v>103.39190526019672</c:v>
                </c:pt>
                <c:pt idx="49">
                  <c:v>103.20569641237607</c:v>
                </c:pt>
                <c:pt idx="50">
                  <c:v>103.01029995565224</c:v>
                </c:pt>
                <c:pt idx="51">
                  <c:v>102.8056964121939</c:v>
                </c:pt>
                <c:pt idx="52">
                  <c:v>102.59190525983081</c:v>
                </c:pt>
                <c:pt idx="53">
                  <c:v>102.36898460362261</c:v>
                </c:pt>
                <c:pt idx="54">
                  <c:v>102.1370302022698</c:v>
                </c:pt>
                <c:pt idx="55">
                  <c:v>101.89617388377101</c:v>
                </c:pt>
                <c:pt idx="56">
                  <c:v>101.64658140536372</c:v>
                </c:pt>
                <c:pt idx="57">
                  <c:v>101.38844983017762</c:v>
                </c:pt>
                <c:pt idx="58">
                  <c:v>101.12200450631238</c:v>
                </c:pt>
                <c:pt idx="59">
                  <c:v>100.84749574267214</c:v>
                </c:pt>
                <c:pt idx="60">
                  <c:v>100.565195279706</c:v>
                </c:pt>
                <c:pt idx="61">
                  <c:v>100.27539265239382</c:v>
                </c:pt>
                <c:pt idx="62">
                  <c:v>99.978391537882601</c:v>
                </c:pt>
                <c:pt idx="63">
                  <c:v>99.674506171836668</c:v>
                </c:pt>
                <c:pt idx="64">
                  <c:v>99.364057906666588</c:v>
                </c:pt>
                <c:pt idx="65">
                  <c:v>99.047371972261104</c:v>
                </c:pt>
                <c:pt idx="66">
                  <c:v>98.724774486525178</c:v>
                </c:pt>
                <c:pt idx="67">
                  <c:v>98.396589749725734</c:v>
                </c:pt>
                <c:pt idx="68">
                  <c:v>98.063137843995136</c:v>
                </c:pt>
                <c:pt idx="69">
                  <c:v>97.724732547854771</c:v>
                </c:pt>
                <c:pt idx="70">
                  <c:v>97.381679565614689</c:v>
                </c:pt>
                <c:pt idx="71">
                  <c:v>97.034275063175272</c:v>
                </c:pt>
                <c:pt idx="72">
                  <c:v>96.682804495151359</c:v>
                </c:pt>
                <c:pt idx="73">
                  <c:v>96.327541703313159</c:v>
                </c:pt>
                <c:pt idx="74">
                  <c:v>95.968748262957945</c:v>
                </c:pt>
                <c:pt idx="75">
                  <c:v>95.606673051821673</c:v>
                </c:pt>
                <c:pt idx="76">
                  <c:v>95.241552015296591</c:v>
                </c:pt>
                <c:pt idx="77">
                  <c:v>94.873608101830001</c:v>
                </c:pt>
                <c:pt idx="78">
                  <c:v>94.503051343231746</c:v>
                </c:pt>
                <c:pt idx="79">
                  <c:v>94.130079056013884</c:v>
                </c:pt>
                <c:pt idx="80">
                  <c:v>93.754876141666685</c:v>
                </c:pt>
                <c:pt idx="81">
                  <c:v>93.377615465780423</c:v>
                </c:pt>
                <c:pt idx="82">
                  <c:v>92.99845829804606</c:v>
                </c:pt>
                <c:pt idx="83">
                  <c:v>92.617554797307477</c:v>
                </c:pt>
                <c:pt idx="84">
                  <c:v>92.235044527923208</c:v>
                </c:pt>
                <c:pt idx="85">
                  <c:v>91.851056995677709</c:v>
                </c:pt>
                <c:pt idx="86">
                  <c:v>91.465712193323895</c:v>
                </c:pt>
                <c:pt idx="87">
                  <c:v>91.079121147518606</c:v>
                </c:pt>
                <c:pt idx="88">
                  <c:v>90.691386460423573</c:v>
                </c:pt>
                <c:pt idx="89">
                  <c:v>90.302602840581017</c:v>
                </c:pt>
                <c:pt idx="90">
                  <c:v>89.912857618844285</c:v>
                </c:pt>
                <c:pt idx="91">
                  <c:v>89.522231246152643</c:v>
                </c:pt>
                <c:pt idx="92">
                  <c:v>89.130797770803412</c:v>
                </c:pt>
                <c:pt idx="93">
                  <c:v>88.738625293601416</c:v>
                </c:pt>
                <c:pt idx="94">
                  <c:v>88.345776399874836</c:v>
                </c:pt>
                <c:pt idx="95">
                  <c:v>87.952308567843787</c:v>
                </c:pt>
                <c:pt idx="96">
                  <c:v>87.558274553235876</c:v>
                </c:pt>
                <c:pt idx="97">
                  <c:v>87.163722750367683</c:v>
                </c:pt>
                <c:pt idx="98">
                  <c:v>86.768697530165099</c:v>
                </c:pt>
                <c:pt idx="99">
                  <c:v>86.373239555791272</c:v>
                </c:pt>
                <c:pt idx="100">
                  <c:v>85.977386076696504</c:v>
                </c:pt>
                <c:pt idx="101">
                  <c:v>85.581171202009813</c:v>
                </c:pt>
                <c:pt idx="102">
                  <c:v>85.184626154258467</c:v>
                </c:pt>
                <c:pt idx="103">
                  <c:v>84.787779504446689</c:v>
                </c:pt>
                <c:pt idx="104">
                  <c:v>84.39065738954092</c:v>
                </c:pt>
                <c:pt idx="105">
                  <c:v>83.993283713411401</c:v>
                </c:pt>
                <c:pt idx="106">
                  <c:v>83.595680332265687</c:v>
                </c:pt>
                <c:pt idx="107">
                  <c:v>83.197867225585497</c:v>
                </c:pt>
                <c:pt idx="108">
                  <c:v>82.799862653545944</c:v>
                </c:pt>
                <c:pt idx="109">
                  <c:v>82.401683301857048</c:v>
                </c:pt>
                <c:pt idx="110">
                  <c:v>82.003344414926076</c:v>
                </c:pt>
                <c:pt idx="111">
                  <c:v>81.604859918193114</c:v>
                </c:pt>
                <c:pt idx="112">
                  <c:v>81.206242530445309</c:v>
                </c:pt>
                <c:pt idx="113">
                  <c:v>80.807503866869865</c:v>
                </c:pt>
                <c:pt idx="114">
                  <c:v>80.408654533557524</c:v>
                </c:pt>
                <c:pt idx="115">
                  <c:v>80.009704214122564</c:v>
                </c:pt>
                <c:pt idx="116">
                  <c:v>79.610661749061819</c:v>
                </c:pt>
                <c:pt idx="117">
                  <c:v>79.211535208432281</c:v>
                </c:pt>
                <c:pt idx="118">
                  <c:v>78.812331958382998</c:v>
                </c:pt>
                <c:pt idx="119">
                  <c:v>78.413058722042848</c:v>
                </c:pt>
                <c:pt idx="120">
                  <c:v>78.013721635223845</c:v>
                </c:pt>
                <c:pt idx="121">
                  <c:v>77.614326297368507</c:v>
                </c:pt>
                <c:pt idx="122">
                  <c:v>77.214877818134141</c:v>
                </c:pt>
                <c:pt idx="123">
                  <c:v>76.815380859978987</c:v>
                </c:pt>
                <c:pt idx="124">
                  <c:v>76.415839677084094</c:v>
                </c:pt>
                <c:pt idx="125">
                  <c:v>76.016258150919583</c:v>
                </c:pt>
                <c:pt idx="126">
                  <c:v>75.616639822739131</c:v>
                </c:pt>
                <c:pt idx="127">
                  <c:v>75.216987923262138</c:v>
                </c:pt>
                <c:pt idx="128">
                  <c:v>74.81730539978409</c:v>
                </c:pt>
                <c:pt idx="129">
                  <c:v>74.417594940933455</c:v>
                </c:pt>
                <c:pt idx="130">
                  <c:v>74.017858999276825</c:v>
                </c:pt>
                <c:pt idx="131">
                  <c:v>73.61809981195718</c:v>
                </c:pt>
                <c:pt idx="132">
                  <c:v>73.218319419533543</c:v>
                </c:pt>
                <c:pt idx="133">
                  <c:v>72.818519683177584</c:v>
                </c:pt>
                <c:pt idx="134">
                  <c:v>72.418702300368196</c:v>
                </c:pt>
                <c:pt idx="135">
                  <c:v>72.018868819214461</c:v>
                </c:pt>
                <c:pt idx="136">
                  <c:v>71.619020651524934</c:v>
                </c:pt>
                <c:pt idx="137">
                  <c:v>71.219159084732439</c:v>
                </c:pt>
                <c:pt idx="138">
                  <c:v>70.819285292772406</c:v>
                </c:pt>
                <c:pt idx="139">
                  <c:v>70.419400346007379</c:v>
                </c:pt>
                <c:pt idx="140">
                  <c:v>70.019505220277992</c:v>
                </c:pt>
                <c:pt idx="141">
                  <c:v>69.619600805158512</c:v>
                </c:pt>
                <c:pt idx="142">
                  <c:v>69.219687911484016</c:v>
                </c:pt>
                <c:pt idx="143">
                  <c:v>68.819767278213959</c:v>
                </c:pt>
                <c:pt idx="144">
                  <c:v>68.419839578688098</c:v>
                </c:pt>
                <c:pt idx="145">
                  <c:v>68.019905426329345</c:v>
                </c:pt>
                <c:pt idx="146">
                  <c:v>67.619965379838973</c:v>
                </c:pt>
                <c:pt idx="147">
                  <c:v>67.220019947930197</c:v>
                </c:pt>
                <c:pt idx="148">
                  <c:v>66.820069593638621</c:v>
                </c:pt>
                <c:pt idx="149">
                  <c:v>66.420114738246468</c:v>
                </c:pt>
                <c:pt idx="150">
                  <c:v>66.020155764853001</c:v>
                </c:pt>
                <c:pt idx="151">
                  <c:v>65.620193021622612</c:v>
                </c:pt>
                <c:pt idx="152">
                  <c:v>65.220226824736088</c:v>
                </c:pt>
                <c:pt idx="153">
                  <c:v>64.820257461071648</c:v>
                </c:pt>
                <c:pt idx="154">
                  <c:v>64.420285190637856</c:v>
                </c:pt>
                <c:pt idx="155">
                  <c:v>64.020310248778429</c:v>
                </c:pt>
                <c:pt idx="156">
                  <c:v>63.620332848168196</c:v>
                </c:pt>
                <c:pt idx="157">
                  <c:v>63.220353180617224</c:v>
                </c:pt>
                <c:pt idx="158">
                  <c:v>62.820371418697675</c:v>
                </c:pt>
                <c:pt idx="159">
                  <c:v>62.420387717207831</c:v>
                </c:pt>
                <c:pt idx="160">
                  <c:v>62.020402214485209</c:v>
                </c:pt>
                <c:pt idx="161">
                  <c:v>61.620415033580208</c:v>
                </c:pt>
                <c:pt idx="162">
                  <c:v>61.220426283300071</c:v>
                </c:pt>
                <c:pt idx="163">
                  <c:v>60.820436059132284</c:v>
                </c:pt>
                <c:pt idx="164">
                  <c:v>60.420444444054617</c:v>
                </c:pt>
                <c:pt idx="165">
                  <c:v>60.020451509238953</c:v>
                </c:pt>
                <c:pt idx="166">
                  <c:v>59.620457314655752</c:v>
                </c:pt>
                <c:pt idx="167">
                  <c:v>59.220461909582255</c:v>
                </c:pt>
                <c:pt idx="168">
                  <c:v>58.820465333021346</c:v>
                </c:pt>
                <c:pt idx="169">
                  <c:v>58.420467614031772</c:v>
                </c:pt>
                <c:pt idx="170">
                  <c:v>58.020468771975501</c:v>
                </c:pt>
                <c:pt idx="171">
                  <c:v>57.620468816681374</c:v>
                </c:pt>
                <c:pt idx="172">
                  <c:v>57.220467748528911</c:v>
                </c:pt>
                <c:pt idx="173">
                  <c:v>56.820465558451204</c:v>
                </c:pt>
                <c:pt idx="174">
                  <c:v>56.420462227858543</c:v>
                </c:pt>
                <c:pt idx="175">
                  <c:v>56.020457728479997</c:v>
                </c:pt>
                <c:pt idx="176">
                  <c:v>55.6204520221238</c:v>
                </c:pt>
                <c:pt idx="177">
                  <c:v>55.220445060353455</c:v>
                </c:pt>
                <c:pt idx="178">
                  <c:v>54.820436784076378</c:v>
                </c:pt>
                <c:pt idx="179">
                  <c:v>54.420427123042742</c:v>
                </c:pt>
                <c:pt idx="180">
                  <c:v>54.02041599524923</c:v>
                </c:pt>
                <c:pt idx="181">
                  <c:v>53.620403306243247</c:v>
                </c:pt>
                <c:pt idx="182">
                  <c:v>53.220388948321599</c:v>
                </c:pt>
                <c:pt idx="183">
                  <c:v>52.820372799616564</c:v>
                </c:pt>
                <c:pt idx="184">
                  <c:v>52.420354723061998</c:v>
                </c:pt>
                <c:pt idx="185">
                  <c:v>52.02033456523052</c:v>
                </c:pt>
                <c:pt idx="186">
                  <c:v>51.620312155031833</c:v>
                </c:pt>
                <c:pt idx="187">
                  <c:v>51.220287302261411</c:v>
                </c:pt>
                <c:pt idx="188">
                  <c:v>50.820259795987091</c:v>
                </c:pt>
                <c:pt idx="189">
                  <c:v>50.420229402759858</c:v>
                </c:pt>
                <c:pt idx="190">
                  <c:v>50.020195864634111</c:v>
                </c:pt>
                <c:pt idx="191">
                  <c:v>49.620158896979817</c:v>
                </c:pt>
                <c:pt idx="192">
                  <c:v>49.220118186069101</c:v>
                </c:pt>
                <c:pt idx="193">
                  <c:v>48.820073386416055</c:v>
                </c:pt>
                <c:pt idx="194">
                  <c:v>48.420024117847618</c:v>
                </c:pt>
                <c:pt idx="195">
                  <c:v>48.019969962280825</c:v>
                </c:pt>
                <c:pt idx="196">
                  <c:v>47.619910460179113</c:v>
                </c:pt>
                <c:pt idx="197">
                  <c:v>47.219845106657814</c:v>
                </c:pt>
                <c:pt idx="198">
                  <c:v>46.819773347206144</c:v>
                </c:pt>
                <c:pt idx="199">
                  <c:v>46.419694572988959</c:v>
                </c:pt>
                <c:pt idx="200">
                  <c:v>46.019608115690318</c:v>
                </c:pt>
                <c:pt idx="201">
                  <c:v>45.619513241853298</c:v>
                </c:pt>
                <c:pt idx="202">
                  <c:v>45.219409146670202</c:v>
                </c:pt>
                <c:pt idx="203">
                  <c:v>44.819294947170036</c:v>
                </c:pt>
                <c:pt idx="204">
                  <c:v>44.419169674747032</c:v>
                </c:pt>
                <c:pt idx="205">
                  <c:v>44.0190322669662</c:v>
                </c:pt>
                <c:pt idx="206">
                  <c:v>43.618881558578778</c:v>
                </c:pt>
                <c:pt idx="207">
                  <c:v>43.218716271671376</c:v>
                </c:pt>
                <c:pt idx="208">
                  <c:v>42.818535004867286</c:v>
                </c:pt>
                <c:pt idx="209">
                  <c:v>42.418336221489497</c:v>
                </c:pt>
                <c:pt idx="210">
                  <c:v>42.01811823658737</c:v>
                </c:pt>
                <c:pt idx="211">
                  <c:v>41.617879202718953</c:v>
                </c:pt>
                <c:pt idx="212">
                  <c:v>41.21761709437105</c:v>
                </c:pt>
                <c:pt idx="213">
                  <c:v>40.817329690888769</c:v>
                </c:pt>
                <c:pt idx="214">
                  <c:v>40.41701455777347</c:v>
                </c:pt>
                <c:pt idx="215">
                  <c:v>40.016669026195267</c:v>
                </c:pt>
                <c:pt idx="216">
                  <c:v>39.616290170552922</c:v>
                </c:pt>
                <c:pt idx="217">
                  <c:v>39.215874783896837</c:v>
                </c:pt>
                <c:pt idx="218">
                  <c:v>38.815419351016246</c:v>
                </c:pt>
                <c:pt idx="219">
                  <c:v>38.41492001897241</c:v>
                </c:pt>
                <c:pt idx="220">
                  <c:v>38.014372564839562</c:v>
                </c:pt>
                <c:pt idx="221">
                  <c:v>37.613772360396197</c:v>
                </c:pt>
                <c:pt idx="222">
                  <c:v>37.213114333483716</c:v>
                </c:pt>
                <c:pt idx="223">
                  <c:v>36.812392925727892</c:v>
                </c:pt>
                <c:pt idx="224">
                  <c:v>36.411602046288394</c:v>
                </c:pt>
                <c:pt idx="225">
                  <c:v>36.010735021277057</c:v>
                </c:pt>
                <c:pt idx="226">
                  <c:v>35.609784538452224</c:v>
                </c:pt>
                <c:pt idx="227">
                  <c:v>35.208742586765254</c:v>
                </c:pt>
                <c:pt idx="228">
                  <c:v>34.807600390299562</c:v>
                </c:pt>
                <c:pt idx="229">
                  <c:v>34.406348336107726</c:v>
                </c:pt>
                <c:pt idx="230">
                  <c:v>34.004975895410475</c:v>
                </c:pt>
                <c:pt idx="231">
                  <c:v>33.603471537583047</c:v>
                </c:pt>
                <c:pt idx="232">
                  <c:v>33.201822636309942</c:v>
                </c:pt>
                <c:pt idx="233">
                  <c:v>32.800015367245869</c:v>
                </c:pt>
                <c:pt idx="234">
                  <c:v>32.398034596473401</c:v>
                </c:pt>
                <c:pt idx="235">
                  <c:v>31.99586375900298</c:v>
                </c:pt>
                <c:pt idx="236">
                  <c:v>31.59348472651272</c:v>
                </c:pt>
                <c:pt idx="237">
                  <c:v>31.190877663478474</c:v>
                </c:pt>
                <c:pt idx="238">
                  <c:v>30.788020870801184</c:v>
                </c:pt>
                <c:pt idx="239">
                  <c:v>30.384890615992752</c:v>
                </c:pt>
                <c:pt idx="240">
                  <c:v>29.981460948946125</c:v>
                </c:pt>
                <c:pt idx="241">
                  <c:v>29.577703502278951</c:v>
                </c:pt>
                <c:pt idx="242">
                  <c:v>29.173587275218136</c:v>
                </c:pt>
                <c:pt idx="243">
                  <c:v>28.769078399975129</c:v>
                </c:pt>
                <c:pt idx="244">
                  <c:v>28.364139889564477</c:v>
                </c:pt>
                <c:pt idx="245">
                  <c:v>27.95873136603204</c:v>
                </c:pt>
                <c:pt idx="246">
                  <c:v>27.552808768102174</c:v>
                </c:pt>
                <c:pt idx="247">
                  <c:v>27.146324037317115</c:v>
                </c:pt>
                <c:pt idx="248">
                  <c:v>26.739224781845003</c:v>
                </c:pt>
                <c:pt idx="249">
                  <c:v>26.331453917274377</c:v>
                </c:pt>
                <c:pt idx="250">
                  <c:v>25.922949283903215</c:v>
                </c:pt>
                <c:pt idx="251">
                  <c:v>25.51364324028232</c:v>
                </c:pt>
                <c:pt idx="252">
                  <c:v>25.103462233088727</c:v>
                </c:pt>
                <c:pt idx="253">
                  <c:v>24.692326343806958</c:v>
                </c:pt>
                <c:pt idx="254">
                  <c:v>24.280148813185743</c:v>
                </c:pt>
                <c:pt idx="255">
                  <c:v>23.866835545035997</c:v>
                </c:pt>
                <c:pt idx="256">
                  <c:v>23.452284591654553</c:v>
                </c:pt>
                <c:pt idx="257">
                  <c:v>23.036385624009064</c:v>
                </c:pt>
                <c:pt idx="258">
                  <c:v>22.619019390817179</c:v>
                </c:pt>
                <c:pt idx="259">
                  <c:v>22.200057171810144</c:v>
                </c:pt>
                <c:pt idx="260">
                  <c:v>21.779360231794954</c:v>
                </c:pt>
                <c:pt idx="261">
                  <c:v>21.356779283624686</c:v>
                </c:pt>
                <c:pt idx="262">
                  <c:v>20.932153969854845</c:v>
                </c:pt>
                <c:pt idx="263">
                  <c:v>20.505312374691027</c:v>
                </c:pt>
                <c:pt idx="264">
                  <c:v>20.076070579807631</c:v>
                </c:pt>
                <c:pt idx="265">
                  <c:v>19.644232279691938</c:v>
                </c:pt>
                <c:pt idx="266">
                  <c:v>19.209588474310728</c:v>
                </c:pt>
                <c:pt idx="267">
                  <c:v>18.771917259019986</c:v>
                </c:pt>
                <c:pt idx="268">
                  <c:v>18.330983733659547</c:v>
                </c:pt>
                <c:pt idx="269">
                  <c:v>17.886540054577949</c:v>
                </c:pt>
                <c:pt idx="270">
                  <c:v>17.438325654765709</c:v>
                </c:pt>
                <c:pt idx="271">
                  <c:v>16.986067658177912</c:v>
                </c:pt>
                <c:pt idx="272">
                  <c:v>16.529481514502478</c:v>
                </c:pt>
                <c:pt idx="273">
                  <c:v>16.068271879875326</c:v>
                </c:pt>
                <c:pt idx="274">
                  <c:v>15.602133767135445</c:v>
                </c:pt>
                <c:pt idx="275">
                  <c:v>15.130753985954268</c:v>
                </c:pt>
                <c:pt idx="276">
                  <c:v>14.653812888375192</c:v>
                </c:pt>
                <c:pt idx="277">
                  <c:v>14.170986428832899</c:v>
                </c:pt>
                <c:pt idx="278">
                  <c:v>13.681948539529118</c:v>
                </c:pt>
                <c:pt idx="279">
                  <c:v>13.186373812167</c:v>
                </c:pt>
                <c:pt idx="280">
                  <c:v>12.683940465665783</c:v>
                </c:pt>
                <c:pt idx="281">
                  <c:v>12.174333566903508</c:v>
                </c:pt>
                <c:pt idx="282">
                  <c:v>11.657248458265572</c:v>
                </c:pt>
                <c:pt idx="283">
                  <c:v>11.132394332428252</c:v>
                </c:pt>
                <c:pt idx="284">
                  <c:v>10.599497882172699</c:v>
                </c:pt>
                <c:pt idx="285">
                  <c:v>10.058306941960167</c:v>
                </c:pt>
                <c:pt idx="286">
                  <c:v>9.5085940294191893</c:v>
                </c:pt>
                <c:pt idx="287">
                  <c:v>8.9501596896573297</c:v>
                </c:pt>
                <c:pt idx="288">
                  <c:v>8.382835544148854</c:v>
                </c:pt>
                <c:pt idx="289">
                  <c:v>7.806486949379341</c:v>
                </c:pt>
                <c:pt idx="290">
                  <c:v>7.2210151786668355</c:v>
                </c:pt>
                <c:pt idx="291">
                  <c:v>6.6263590535000887</c:v>
                </c:pt>
                <c:pt idx="292">
                  <c:v>6.022495967822735</c:v>
                </c:pt>
                <c:pt idx="293">
                  <c:v>5.4094422691079735</c:v>
                </c:pt>
                <c:pt idx="294">
                  <c:v>4.7872529826462866</c:v>
                </c:pt>
                <c:pt idx="295">
                  <c:v>4.156020888875819</c:v>
                </c:pt>
                <c:pt idx="296">
                  <c:v>3.515874986393186</c:v>
                </c:pt>
                <c:pt idx="297">
                  <c:v>2.8669783941259936</c:v>
                </c:pt>
                <c:pt idx="298">
                  <c:v>2.2095257638431391</c:v>
                </c:pt>
                <c:pt idx="299">
                  <c:v>1.5437402878093671</c:v>
                </c:pt>
                <c:pt idx="300">
                  <c:v>0.86987039540501243</c:v>
                </c:pt>
                <c:pt idx="301">
                  <c:v>0.18818623672522605</c:v>
                </c:pt>
                <c:pt idx="302">
                  <c:v>-0.50102394927261074</c:v>
                </c:pt>
                <c:pt idx="303">
                  <c:v>-1.1974574891369336</c:v>
                </c:pt>
                <c:pt idx="304">
                  <c:v>-1.9008008669641114</c:v>
                </c:pt>
                <c:pt idx="305">
                  <c:v>-2.6107331799985758</c:v>
                </c:pt>
                <c:pt idx="306">
                  <c:v>-3.3269293961209243</c:v>
                </c:pt>
                <c:pt idx="307">
                  <c:v>-4.0490633648365133</c:v>
                </c:pt>
                <c:pt idx="308">
                  <c:v>-4.7768105467134028</c:v>
                </c:pt>
                <c:pt idx="309">
                  <c:v>-5.509850438935203</c:v>
                </c:pt>
                <c:pt idx="310">
                  <c:v>-6.2478686862372097</c:v>
                </c:pt>
                <c:pt idx="311">
                  <c:v>-6.9905588766229947</c:v>
                </c:pt>
                <c:pt idx="312">
                  <c:v>-7.7376240297302719</c:v>
                </c:pt>
                <c:pt idx="313">
                  <c:v>-8.4887777924579453</c:v>
                </c:pt>
                <c:pt idx="314">
                  <c:v>-9.2437453615213609</c:v>
                </c:pt>
                <c:pt idx="315">
                  <c:v>-10.002264156104424</c:v>
                </c:pt>
                <c:pt idx="316">
                  <c:v>-10.764084265885241</c:v>
                </c:pt>
                <c:pt idx="317">
                  <c:v>-11.528968700636783</c:v>
                </c:pt>
                <c:pt idx="318">
                  <c:v>-12.296693467567616</c:v>
                </c:pt>
                <c:pt idx="319">
                  <c:v>-13.06704750176792</c:v>
                </c:pt>
                <c:pt idx="320">
                  <c:v>-13.839832473762252</c:v>
                </c:pt>
                <c:pt idx="321">
                  <c:v>-14.614862496422242</c:v>
                </c:pt>
                <c:pt idx="322">
                  <c:v>-15.391963751494174</c:v>
                </c:pt>
                <c:pt idx="323">
                  <c:v>-16.170974053881505</c:v>
                </c:pt>
                <c:pt idx="324">
                  <c:v>-16.951742369681632</c:v>
                </c:pt>
                <c:pt idx="325">
                  <c:v>-17.734128301881761</c:v>
                </c:pt>
                <c:pt idx="326">
                  <c:v>-18.518001555630239</c:v>
                </c:pt>
                <c:pt idx="327">
                  <c:v>-19.303241393142059</c:v>
                </c:pt>
                <c:pt idx="328">
                  <c:v>-20.089736086607921</c:v>
                </c:pt>
                <c:pt idx="329">
                  <c:v>-20.877382375947882</c:v>
                </c:pt>
                <c:pt idx="330">
                  <c:v>-21.666084936901644</c:v>
                </c:pt>
                <c:pt idx="331">
                  <c:v>-22.455755863764761</c:v>
                </c:pt>
                <c:pt idx="332">
                  <c:v>-23.246314170055509</c:v>
                </c:pt>
                <c:pt idx="333">
                  <c:v>-24.037685309524434</c:v>
                </c:pt>
                <c:pt idx="334">
                  <c:v>-24.829800719179847</c:v>
                </c:pt>
                <c:pt idx="335">
                  <c:v>-25.622597385386232</c:v>
                </c:pt>
                <c:pt idx="336">
                  <c:v>-26.416017433584045</c:v>
                </c:pt>
                <c:pt idx="337">
                  <c:v>-27.210007741767186</c:v>
                </c:pt>
                <c:pt idx="338">
                  <c:v>-28.004519577522441</c:v>
                </c:pt>
                <c:pt idx="339">
                  <c:v>-28.799508258176019</c:v>
                </c:pt>
                <c:pt idx="340">
                  <c:v>-29.594932833392654</c:v>
                </c:pt>
                <c:pt idx="341">
                  <c:v>-30.390755789421469</c:v>
                </c:pt>
                <c:pt idx="342">
                  <c:v>-31.186942774078627</c:v>
                </c:pt>
                <c:pt idx="343">
                  <c:v>-31.983462341481474</c:v>
                </c:pt>
                <c:pt idx="344">
                  <c:v>-32.780285715509208</c:v>
                </c:pt>
                <c:pt idx="345">
                  <c:v>-33.577386570939723</c:v>
                </c:pt>
                <c:pt idx="346">
                  <c:v>-34.374740831215114</c:v>
                </c:pt>
                <c:pt idx="347">
                  <c:v>-35.172326481797846</c:v>
                </c:pt>
                <c:pt idx="348">
                  <c:v>-35.970123398102892</c:v>
                </c:pt>
                <c:pt idx="349">
                  <c:v>-36.768113187025875</c:v>
                </c:pt>
                <c:pt idx="350">
                  <c:v>-37.566279041121838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6C-4401-8161-9D108B92D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Stray'!$L$3:$L$353</c:f>
            </c:numRef>
          </c:yVal>
          <c:smooth val="0"/>
          <c:extLst>
            <c:ext xmlns:c16="http://schemas.microsoft.com/office/drawing/2014/chart" uri="{C3380CC4-5D6E-409C-BE32-E72D297353CC}">
              <c16:uniqueId val="{00000001-7B75-401B-A114-E81AD384CEA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Stray'!$Q$3:$Q$353</c:f>
            </c:numRef>
          </c:yVal>
          <c:smooth val="0"/>
          <c:extLst>
            <c:ext xmlns:c16="http://schemas.microsoft.com/office/drawing/2014/chart" uri="{C3380CC4-5D6E-409C-BE32-E72D297353CC}">
              <c16:uniqueId val="{00000002-52C0-465D-BBDE-FF0913C5975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Stray'!$S$3:$S$353</c:f>
              <c:numCache>
                <c:formatCode>General</c:formatCode>
                <c:ptCount val="351"/>
                <c:pt idx="0">
                  <c:v>174.28932046250037</c:v>
                </c:pt>
                <c:pt idx="1">
                  <c:v>174.02208986399469</c:v>
                </c:pt>
                <c:pt idx="2">
                  <c:v>173.74254474653316</c:v>
                </c:pt>
                <c:pt idx="3">
                  <c:v>173.450145506453</c:v>
                </c:pt>
                <c:pt idx="4">
                  <c:v>173.14433297699952</c:v>
                </c:pt>
                <c:pt idx="5">
                  <c:v>172.82452833233469</c:v>
                </c:pt>
                <c:pt idx="6">
                  <c:v>172.49013309856454</c:v>
                </c:pt>
                <c:pt idx="7">
                  <c:v>172.14052929069373</c:v>
                </c:pt>
                <c:pt idx="8">
                  <c:v>171.77507969672399</c:v>
                </c:pt>
                <c:pt idx="9">
                  <c:v>171.39312833259407</c:v>
                </c:pt>
                <c:pt idx="10">
                  <c:v>170.99400109429669</c:v>
                </c:pt>
                <c:pt idx="11">
                  <c:v>170.57700663628674</c:v>
                </c:pt>
                <c:pt idx="12">
                  <c:v>170.14143750816811</c:v>
                </c:pt>
                <c:pt idx="13">
                  <c:v>169.68657158456952</c:v>
                </c:pt>
                <c:pt idx="14">
                  <c:v>169.21167382602582</c:v>
                </c:pt>
                <c:pt idx="15">
                  <c:v>168.71599841146815</c:v>
                </c:pt>
                <c:pt idx="16">
                  <c:v>168.19879128548644</c:v>
                </c:pt>
                <c:pt idx="17">
                  <c:v>167.65929316570075</c:v>
                </c:pt>
                <c:pt idx="18">
                  <c:v>167.096743057189</c:v>
                </c:pt>
                <c:pt idx="19">
                  <c:v>166.51038232173548</c:v>
                </c:pt>
                <c:pt idx="20">
                  <c:v>165.89945934942307</c:v>
                </c:pt>
                <c:pt idx="21">
                  <c:v>165.26323487848865</c:v>
                </c:pt>
                <c:pt idx="22">
                  <c:v>164.60098800603296</c:v>
                </c:pt>
                <c:pt idx="23">
                  <c:v>163.91202292674524</c:v>
                </c:pt>
                <c:pt idx="24">
                  <c:v>163.19567642883277</c:v>
                </c:pt>
                <c:pt idx="25">
                  <c:v>162.45132616541784</c:v>
                </c:pt>
                <c:pt idx="26">
                  <c:v>161.67839970532708</c:v>
                </c:pt>
                <c:pt idx="27">
                  <c:v>160.87638434907359</c:v>
                </c:pt>
                <c:pt idx="28">
                  <c:v>160.04483767357982</c:v>
                </c:pt>
                <c:pt idx="29">
                  <c:v>159.18339874262591</c:v>
                </c:pt>
                <c:pt idx="30">
                  <c:v>158.29179988909556</c:v>
                </c:pt>
                <c:pt idx="31">
                  <c:v>157.36987894007683</c:v>
                </c:pt>
                <c:pt idx="32">
                  <c:v>156.41759171728472</c:v>
                </c:pt>
                <c:pt idx="33">
                  <c:v>155.43502460404463</c:v>
                </c:pt>
                <c:pt idx="34">
                  <c:v>154.42240692758071</c:v>
                </c:pt>
                <c:pt idx="35">
                  <c:v>153.38012286343729</c:v>
                </c:pt>
                <c:pt idx="36">
                  <c:v>152.30872252987388</c:v>
                </c:pt>
                <c:pt idx="37">
                  <c:v>151.20893190679305</c:v>
                </c:pt>
                <c:pt idx="38">
                  <c:v>150.08166118932743</c:v>
                </c:pt>
                <c:pt idx="39">
                  <c:v>148.92801117394097</c:v>
                </c:pt>
                <c:pt idx="40">
                  <c:v>147.74927727806096</c:v>
                </c:pt>
                <c:pt idx="41">
                  <c:v>146.54695081576665</c:v>
                </c:pt>
                <c:pt idx="42">
                  <c:v>145.32271719412594</c:v>
                </c:pt>
                <c:pt idx="43">
                  <c:v>144.07845075855531</c:v>
                </c:pt>
                <c:pt idx="44">
                  <c:v>142.81620610083155</c:v>
                </c:pt>
                <c:pt idx="45">
                  <c:v>141.5382057481952</c:v>
                </c:pt>
                <c:pt idx="46">
                  <c:v>140.24682427267095</c:v>
                </c:pt>
                <c:pt idx="47">
                  <c:v>138.94456899082812</c:v>
                </c:pt>
                <c:pt idx="48">
                  <c:v>137.63405755880325</c:v>
                </c:pt>
                <c:pt idx="49">
                  <c:v>136.31799289748739</c:v>
                </c:pt>
                <c:pt idx="50">
                  <c:v>134.99913600000008</c:v>
                </c:pt>
                <c:pt idx="51">
                  <c:v>133.68027726985289</c:v>
                </c:pt>
                <c:pt idx="52">
                  <c:v>132.36420710667005</c:v>
                </c:pt>
                <c:pt idx="53">
                  <c:v>131.05368649190109</c:v>
                </c:pt>
                <c:pt idx="54">
                  <c:v>129.75141832695954</c:v>
                </c:pt>
                <c:pt idx="55">
                  <c:v>128.46002024065422</c:v>
                </c:pt>
                <c:pt idx="56">
                  <c:v>127.18199951432163</c:v>
                </c:pt>
                <c:pt idx="57">
                  <c:v>125.91973067677057</c:v>
                </c:pt>
                <c:pt idx="58">
                  <c:v>124.67543620395332</c:v>
                </c:pt>
                <c:pt idx="59">
                  <c:v>123.45117062817586</c:v>
                </c:pt>
                <c:pt idx="60">
                  <c:v>122.24880822707536</c:v>
                </c:pt>
                <c:pt idx="61">
                  <c:v>121.070034331489</c:v>
                </c:pt>
                <c:pt idx="62">
                  <c:v>119.91634017065086</c:v>
                </c:pt>
                <c:pt idx="63">
                  <c:v>118.78902106835058</c:v>
                </c:pt>
                <c:pt idx="64">
                  <c:v>117.6891777184205</c:v>
                </c:pt>
                <c:pt idx="65">
                  <c:v>116.6177202041533</c:v>
                </c:pt>
                <c:pt idx="66">
                  <c:v>115.57537438416297</c:v>
                </c:pt>
                <c:pt idx="67">
                  <c:v>114.56269024571701</c:v>
                </c:pt>
                <c:pt idx="68">
                  <c:v>113.58005182338499</c:v>
                </c:pt>
                <c:pt idx="69">
                  <c:v>112.62768829313463</c:v>
                </c:pt>
                <c:pt idx="70">
                  <c:v>111.70568587643318</c:v>
                </c:pt>
                <c:pt idx="71">
                  <c:v>110.81400022219189</c:v>
                </c:pt>
                <c:pt idx="72">
                  <c:v>109.95246897338245</c:v>
                </c:pt>
                <c:pt idx="73">
                  <c:v>109.12082426707053</c:v>
                </c:pt>
                <c:pt idx="74">
                  <c:v>108.31870495909924</c:v>
                </c:pt>
                <c:pt idx="75">
                  <c:v>107.54566840589601</c:v>
                </c:pt>
                <c:pt idx="76">
                  <c:v>106.80120167445124</c:v>
                </c:pt>
                <c:pt idx="77">
                  <c:v>106.08473208654763</c:v>
                </c:pt>
                <c:pt idx="78">
                  <c:v>105.39563703421692</c:v>
                </c:pt>
                <c:pt idx="79">
                  <c:v>104.73325302997621</c:v>
                </c:pt>
                <c:pt idx="80">
                  <c:v>104.09688397763969</c:v>
                </c:pt>
                <c:pt idx="81">
                  <c:v>103.48580866763187</c:v>
                </c:pt>
                <c:pt idx="82">
                  <c:v>102.89928751506058</c:v>
                </c:pt>
                <c:pt idx="83">
                  <c:v>102.33656856974285</c:v>
                </c:pt>
                <c:pt idx="84">
                  <c:v>101.79689283533726</c:v>
                </c:pt>
                <c:pt idx="85">
                  <c:v>101.27949894017749</c:v>
                </c:pt>
                <c:pt idx="86">
                  <c:v>100.78362720572109</c:v>
                </c:pt>
                <c:pt idx="87">
                  <c:v>100.308523160137</c:v>
                </c:pt>
                <c:pt idx="88">
                  <c:v>99.85344054479414</c:v>
                </c:pt>
                <c:pt idx="89">
                  <c:v>99.417643860595064</c:v>
                </c:pt>
                <c:pt idx="90">
                  <c:v>99.000410499491636</c:v>
                </c:pt>
                <c:pt idx="91">
                  <c:v>98.601032504342143</c:v>
                </c:pt>
                <c:pt idx="92">
                  <c:v>98.218817997712719</c:v>
                </c:pt>
                <c:pt idx="93">
                  <c:v>97.853092317435696</c:v>
                </c:pt>
                <c:pt idx="94">
                  <c:v>97.503198893833599</c:v>
                </c:pt>
                <c:pt idx="95">
                  <c:v>97.168499900594497</c:v>
                </c:pt>
                <c:pt idx="96">
                  <c:v>96.848376708408665</c:v>
                </c:pt>
                <c:pt idx="97">
                  <c:v>96.542230167700126</c:v>
                </c:pt>
                <c:pt idx="98">
                  <c:v>96.249480744148315</c:v>
                </c:pt>
                <c:pt idx="99">
                  <c:v>95.969568528212548</c:v>
                </c:pt>
                <c:pt idx="100">
                  <c:v>95.701953137565113</c:v>
                </c:pt>
                <c:pt idx="101">
                  <c:v>95.446113529206784</c:v>
                </c:pt>
                <c:pt idx="102">
                  <c:v>95.201547736090404</c:v>
                </c:pt>
                <c:pt idx="103">
                  <c:v>94.967772541301642</c:v>
                </c:pt>
                <c:pt idx="104">
                  <c:v>94.744323101238848</c:v>
                </c:pt>
                <c:pt idx="105">
                  <c:v>94.530752527788636</c:v>
                </c:pt>
                <c:pt idx="106">
                  <c:v>94.32663143819471</c:v>
                </c:pt>
                <c:pt idx="107">
                  <c:v>94.131547480159924</c:v>
                </c:pt>
                <c:pt idx="108">
                  <c:v>93.945104838690355</c:v>
                </c:pt>
                <c:pt idx="109">
                  <c:v>93.766923730275849</c:v>
                </c:pt>
                <c:pt idx="110">
                  <c:v>93.596639889193781</c:v>
                </c:pt>
                <c:pt idx="111">
                  <c:v>93.433904050010469</c:v>
                </c:pt>
                <c:pt idx="112">
                  <c:v>93.278381429728256</c:v>
                </c:pt>
                <c:pt idx="113">
                  <c:v>93.129751212478794</c:v>
                </c:pt>
                <c:pt idx="114">
                  <c:v>92.987706039182072</c:v>
                </c:pt>
                <c:pt idx="115">
                  <c:v>92.851951504173883</c:v>
                </c:pt>
                <c:pt idx="116">
                  <c:v>92.722205660440352</c:v>
                </c:pt>
                <c:pt idx="117">
                  <c:v>92.598198534783052</c:v>
                </c:pt>
                <c:pt idx="118">
                  <c:v>92.479671653965397</c:v>
                </c:pt>
                <c:pt idx="119">
                  <c:v>92.366377582656753</c:v>
                </c:pt>
                <c:pt idx="120">
                  <c:v>92.258079473787603</c:v>
                </c:pt>
                <c:pt idx="121">
                  <c:v>92.15455063175753</c:v>
                </c:pt>
                <c:pt idx="122">
                  <c:v>92.055574088788575</c:v>
                </c:pt>
                <c:pt idx="123">
                  <c:v>91.960942194592349</c:v>
                </c:pt>
                <c:pt idx="124">
                  <c:v>91.870456219412574</c:v>
                </c:pt>
                <c:pt idx="125">
                  <c:v>91.783925970415083</c:v>
                </c:pt>
                <c:pt idx="126">
                  <c:v>91.701169421323328</c:v>
                </c:pt>
                <c:pt idx="127">
                  <c:v>91.622012355134643</c:v>
                </c:pt>
                <c:pt idx="128">
                  <c:v>91.546288019701919</c:v>
                </c:pt>
                <c:pt idx="129">
                  <c:v>91.473836795923447</c:v>
                </c:pt>
                <c:pt idx="130">
                  <c:v>91.404505878249992</c:v>
                </c:pt>
                <c:pt idx="131">
                  <c:v>91.33814896719214</c:v>
                </c:pt>
                <c:pt idx="132">
                  <c:v>91.274625973490089</c:v>
                </c:pt>
                <c:pt idx="133">
                  <c:v>91.213802733592303</c:v>
                </c:pt>
                <c:pt idx="134">
                  <c:v>91.155550736079263</c:v>
                </c:pt>
                <c:pt idx="135">
                  <c:v>91.099746858660225</c:v>
                </c:pt>
                <c:pt idx="136">
                  <c:v>91.046273115367271</c:v>
                </c:pt>
                <c:pt idx="137">
                  <c:v>90.99501641356882</c:v>
                </c:pt>
                <c:pt idx="138">
                  <c:v>90.945868320425518</c:v>
                </c:pt>
                <c:pt idx="139">
                  <c:v>90.898724838413827</c:v>
                </c:pt>
                <c:pt idx="140">
                  <c:v>90.853486189545805</c:v>
                </c:pt>
                <c:pt idx="141">
                  <c:v>90.810056607919492</c:v>
                </c:pt>
                <c:pt idx="142">
                  <c:v>90.768344140239194</c:v>
                </c:pt>
                <c:pt idx="143">
                  <c:v>90.728260453952331</c:v>
                </c:pt>
                <c:pt idx="144">
                  <c:v>90.689720652656575</c:v>
                </c:pt>
                <c:pt idx="145">
                  <c:v>90.652643098438332</c:v>
                </c:pt>
                <c:pt idx="146">
                  <c:v>90.616949240811891</c:v>
                </c:pt>
                <c:pt idx="147">
                  <c:v>90.582563451936522</c:v>
                </c:pt>
                <c:pt idx="148">
                  <c:v>90.549412867796875</c:v>
                </c:pt>
                <c:pt idx="149">
                  <c:v>90.517427235040415</c:v>
                </c:pt>
                <c:pt idx="150">
                  <c:v>90.486538763173357</c:v>
                </c:pt>
                <c:pt idx="151">
                  <c:v>90.456681981824843</c:v>
                </c:pt>
                <c:pt idx="152">
                  <c:v>90.427793602796925</c:v>
                </c:pt>
                <c:pt idx="153">
                  <c:v>90.399812386624916</c:v>
                </c:pt>
                <c:pt idx="154">
                  <c:v>90.372679013380917</c:v>
                </c:pt>
                <c:pt idx="155">
                  <c:v>90.346335957459402</c:v>
                </c:pt>
                <c:pt idx="156">
                  <c:v>90.320727366091134</c:v>
                </c:pt>
                <c:pt idx="157">
                  <c:v>90.295798941338063</c:v>
                </c:pt>
                <c:pt idx="158">
                  <c:v>90.271497825327458</c:v>
                </c:pt>
                <c:pt idx="159">
                  <c:v>90.247772488489844</c:v>
                </c:pt>
                <c:pt idx="160">
                  <c:v>90.224572620570527</c:v>
                </c:pt>
                <c:pt idx="161">
                  <c:v>90.201849024189329</c:v>
                </c:pt>
                <c:pt idx="162">
                  <c:v>90.179553510728127</c:v>
                </c:pt>
                <c:pt idx="163">
                  <c:v>90.15763879832997</c:v>
                </c:pt>
                <c:pt idx="164">
                  <c:v>90.13605841179745</c:v>
                </c:pt>
                <c:pt idx="165">
                  <c:v>90.114766584181694</c:v>
                </c:pt>
                <c:pt idx="166">
                  <c:v>90.09371815985628</c:v>
                </c:pt>
                <c:pt idx="167">
                  <c:v>90.072868498873774</c:v>
                </c:pt>
                <c:pt idx="168">
                  <c:v>90.052173382404092</c:v>
                </c:pt>
                <c:pt idx="169">
                  <c:v>90.031588919057043</c:v>
                </c:pt>
                <c:pt idx="170">
                  <c:v>90.011071451892306</c:v>
                </c:pt>
                <c:pt idx="171">
                  <c:v>89.990577465921604</c:v>
                </c:pt>
                <c:pt idx="172">
                  <c:v>89.970063495909116</c:v>
                </c:pt>
                <c:pt idx="173">
                  <c:v>89.949486034276447</c:v>
                </c:pt>
                <c:pt idx="174">
                  <c:v>89.928801438918441</c:v>
                </c:pt>
                <c:pt idx="175">
                  <c:v>89.907965840736722</c:v>
                </c:pt>
                <c:pt idx="176">
                  <c:v>89.886935050696351</c:v>
                </c:pt>
                <c:pt idx="177">
                  <c:v>89.865664466210902</c:v>
                </c:pt>
                <c:pt idx="178">
                  <c:v>89.844108976659399</c:v>
                </c:pt>
                <c:pt idx="179">
                  <c:v>89.822222867837041</c:v>
                </c:pt>
                <c:pt idx="180">
                  <c:v>89.799959725139914</c:v>
                </c:pt>
                <c:pt idx="181">
                  <c:v>89.777272335280955</c:v>
                </c:pt>
                <c:pt idx="182">
                  <c:v>89.754112586332027</c:v>
                </c:pt>
                <c:pt idx="183">
                  <c:v>89.730431365883589</c:v>
                </c:pt>
                <c:pt idx="184">
                  <c:v>89.706178457109999</c:v>
                </c:pt>
                <c:pt idx="185">
                  <c:v>89.681302432524703</c:v>
                </c:pt>
                <c:pt idx="186">
                  <c:v>89.655750545204953</c:v>
                </c:pt>
                <c:pt idx="187">
                  <c:v>89.62946861726131</c:v>
                </c:pt>
                <c:pt idx="188">
                  <c:v>89.602400925322087</c:v>
                </c:pt>
                <c:pt idx="189">
                  <c:v>89.574490082797652</c:v>
                </c:pt>
                <c:pt idx="190">
                  <c:v>89.545676918683455</c:v>
                </c:pt>
                <c:pt idx="191">
                  <c:v>89.515900352654825</c:v>
                </c:pt>
                <c:pt idx="192">
                  <c:v>89.48509726620037</c:v>
                </c:pt>
                <c:pt idx="193">
                  <c:v>89.453202369533557</c:v>
                </c:pt>
                <c:pt idx="194">
                  <c:v>89.42014806401545</c:v>
                </c:pt>
                <c:pt idx="195">
                  <c:v>89.385864299814401</c:v>
                </c:pt>
                <c:pt idx="196">
                  <c:v>89.350278428520184</c:v>
                </c:pt>
                <c:pt idx="197">
                  <c:v>89.313315050423569</c:v>
                </c:pt>
                <c:pt idx="198">
                  <c:v>89.274895856162829</c:v>
                </c:pt>
                <c:pt idx="199">
                  <c:v>89.234939462432251</c:v>
                </c:pt>
                <c:pt idx="200">
                  <c:v>89.193361241438055</c:v>
                </c:pt>
                <c:pt idx="201">
                  <c:v>89.150073143780062</c:v>
                </c:pt>
                <c:pt idx="202">
                  <c:v>89.104983514428753</c:v>
                </c:pt>
                <c:pt idx="203">
                  <c:v>89.057996901459688</c:v>
                </c:pt>
                <c:pt idx="204">
                  <c:v>89.009013857199633</c:v>
                </c:pt>
                <c:pt idx="205">
                  <c:v>88.957930731431077</c:v>
                </c:pt>
                <c:pt idx="206">
                  <c:v>88.904639456295868</c:v>
                </c:pt>
                <c:pt idx="207">
                  <c:v>88.84902732253191</c:v>
                </c:pt>
                <c:pt idx="208">
                  <c:v>88.790976746672285</c:v>
                </c:pt>
                <c:pt idx="209">
                  <c:v>88.730365028832367</c:v>
                </c:pt>
                <c:pt idx="210">
                  <c:v>88.667064100707748</c:v>
                </c:pt>
                <c:pt idx="211">
                  <c:v>88.600940263405235</c:v>
                </c:pt>
                <c:pt idx="212">
                  <c:v>88.531853914730959</c:v>
                </c:pt>
                <c:pt idx="213">
                  <c:v>88.459659265563104</c:v>
                </c:pt>
                <c:pt idx="214">
                  <c:v>88.384204044944738</c:v>
                </c:pt>
                <c:pt idx="215">
                  <c:v>88.30532919354188</c:v>
                </c:pt>
                <c:pt idx="216">
                  <c:v>88.22286854512825</c:v>
                </c:pt>
                <c:pt idx="217">
                  <c:v>88.136648495776868</c:v>
                </c:pt>
                <c:pt idx="218">
                  <c:v>88.046487660466141</c:v>
                </c:pt>
                <c:pt idx="219">
                  <c:v>87.952196516839592</c:v>
                </c:pt>
                <c:pt idx="220">
                  <c:v>87.853577035900457</c:v>
                </c:pt>
                <c:pt idx="221">
                  <c:v>87.750422299472007</c:v>
                </c:pt>
                <c:pt idx="222">
                  <c:v>87.642516104315831</c:v>
                </c:pt>
                <c:pt idx="223">
                  <c:v>87.52963255287392</c:v>
                </c:pt>
                <c:pt idx="224">
                  <c:v>87.411535630688476</c:v>
                </c:pt>
                <c:pt idx="225">
                  <c:v>87.287978770658185</c:v>
                </c:pt>
                <c:pt idx="226">
                  <c:v>87.158704404413243</c:v>
                </c:pt>
                <c:pt idx="227">
                  <c:v>87.023443501237551</c:v>
                </c:pt>
                <c:pt idx="228">
                  <c:v>86.881915095136975</c:v>
                </c:pt>
                <c:pt idx="229">
                  <c:v>86.733825800852259</c:v>
                </c:pt>
                <c:pt idx="230">
                  <c:v>86.578869319847357</c:v>
                </c:pt>
                <c:pt idx="231">
                  <c:v>86.416725937573148</c:v>
                </c:pt>
                <c:pt idx="232">
                  <c:v>86.247062013618304</c:v>
                </c:pt>
                <c:pt idx="233">
                  <c:v>86.069529466718237</c:v>
                </c:pt>
                <c:pt idx="234">
                  <c:v>85.883765257006772</c:v>
                </c:pt>
                <c:pt idx="235">
                  <c:v>85.689390868369131</c:v>
                </c:pt>
                <c:pt idx="236">
                  <c:v>85.486011794298093</c:v>
                </c:pt>
                <c:pt idx="237">
                  <c:v>85.273217031273816</c:v>
                </c:pt>
                <c:pt idx="238">
                  <c:v>85.05057858439389</c:v>
                </c:pt>
                <c:pt idx="239">
                  <c:v>84.817650990778574</c:v>
                </c:pt>
                <c:pt idx="240">
                  <c:v>84.573970867182979</c:v>
                </c:pt>
                <c:pt idx="241">
                  <c:v>84.319056489268448</c:v>
                </c:pt>
                <c:pt idx="242">
                  <c:v>84.05240741113218</c:v>
                </c:pt>
                <c:pt idx="243">
                  <c:v>83.773504134982517</c:v>
                </c:pt>
                <c:pt idx="244">
                  <c:v>83.481807842278769</c:v>
                </c:pt>
                <c:pt idx="245">
                  <c:v>83.176760199250793</c:v>
                </c:pt>
                <c:pt idx="246">
                  <c:v>82.857783251472654</c:v>
                </c:pt>
                <c:pt idx="247">
                  <c:v>82.5242794241029</c:v>
                </c:pt>
                <c:pt idx="248">
                  <c:v>82.175631646517374</c:v>
                </c:pt>
                <c:pt idx="249">
                  <c:v>81.8112036223567</c:v>
                </c:pt>
                <c:pt idx="250">
                  <c:v>81.430340268476186</c:v>
                </c:pt>
                <c:pt idx="251">
                  <c:v>81.032368348915654</c:v>
                </c:pt>
                <c:pt idx="252">
                  <c:v>80.616597332770851</c:v>
                </c:pt>
                <c:pt idx="253">
                  <c:v>80.182320507717833</c:v>
                </c:pt>
                <c:pt idx="254">
                  <c:v>79.72881638386437</c:v>
                </c:pt>
                <c:pt idx="255">
                  <c:v>79.255350425509761</c:v>
                </c:pt>
                <c:pt idx="256">
                  <c:v>78.76117715119814</c:v>
                </c:pt>
                <c:pt idx="257">
                  <c:v>78.245542645031861</c:v>
                </c:pt>
                <c:pt idx="258">
                  <c:v>77.707687524423235</c:v>
                </c:pt>
                <c:pt idx="259">
                  <c:v>77.146850411127531</c:v>
                </c:pt>
                <c:pt idx="260">
                  <c:v>76.562271953287407</c:v>
                </c:pt>
                <c:pt idx="261">
                  <c:v>75.953199446077662</c:v>
                </c:pt>
                <c:pt idx="262">
                  <c:v>75.318892097054913</c:v>
                </c:pt>
                <c:pt idx="263">
                  <c:v>74.658626979141061</c:v>
                </c:pt>
                <c:pt idx="264">
                  <c:v>73.971705708927544</c:v>
                </c:pt>
                <c:pt idx="265">
                  <c:v>73.257461880229584</c:v>
                </c:pt>
                <c:pt idx="266">
                  <c:v>72.515269272154669</c:v>
                </c:pt>
                <c:pt idx="267">
                  <c:v>71.744550836896281</c:v>
                </c:pt>
                <c:pt idx="268">
                  <c:v>70.944788454658038</c:v>
                </c:pt>
                <c:pt idx="269">
                  <c:v>70.115533421205413</c:v>
                </c:pt>
                <c:pt idx="270">
                  <c:v>69.256417607324522</c:v>
                </c:pt>
                <c:pt idx="271">
                  <c:v>68.367165198905511</c:v>
                </c:pt>
                <c:pt idx="272">
                  <c:v>67.44760489166282</c:v>
                </c:pt>
                <c:pt idx="273">
                  <c:v>66.49768237617711</c:v>
                </c:pt>
                <c:pt idx="274">
                  <c:v>65.517472907881299</c:v>
                </c:pt>
                <c:pt idx="275">
                  <c:v>64.507193714157921</c:v>
                </c:pt>
                <c:pt idx="276">
                  <c:v>63.467215948674593</c:v>
                </c:pt>
                <c:pt idx="277">
                  <c:v>62.39807586376125</c:v>
                </c:pt>
                <c:pt idx="278">
                  <c:v>61.300484837782335</c:v>
                </c:pt>
                <c:pt idx="279">
                  <c:v>60.175337869187658</c:v>
                </c:pt>
                <c:pt idx="280">
                  <c:v>59.023720135558676</c:v>
                </c:pt>
                <c:pt idx="281">
                  <c:v>57.846911217764685</c:v>
                </c:pt>
                <c:pt idx="282">
                  <c:v>56.64638660929046</c:v>
                </c:pt>
                <c:pt idx="283">
                  <c:v>55.4238161711435</c:v>
                </c:pt>
                <c:pt idx="284">
                  <c:v>54.181059254780607</c:v>
                </c:pt>
                <c:pt idx="285">
                  <c:v>52.920156299060508</c:v>
                </c:pt>
                <c:pt idx="286">
                  <c:v>51.643316810585219</c:v>
                </c:pt>
                <c:pt idx="287">
                  <c:v>50.352903756375667</c:v>
                </c:pt>
                <c:pt idx="288">
                  <c:v>49.051414528333481</c:v>
                </c:pt>
                <c:pt idx="289">
                  <c:v>47.741458773531718</c:v>
                </c:pt>
                <c:pt idx="290">
                  <c:v>46.425733515144486</c:v>
                </c:pt>
                <c:pt idx="291">
                  <c:v>45.106996107375096</c:v>
                </c:pt>
                <c:pt idx="292">
                  <c:v>43.788035665989412</c:v>
                </c:pt>
                <c:pt idx="293">
                  <c:v>42.47164368697716</c:v>
                </c:pt>
                <c:pt idx="294">
                  <c:v>41.160584604210584</c:v>
                </c:pt>
                <c:pt idx="295">
                  <c:v>39.857567039869508</c:v>
                </c:pt>
                <c:pt idx="296">
                  <c:v>38.565216468628478</c:v>
                </c:pt>
                <c:pt idx="297">
                  <c:v>37.286049950629035</c:v>
                </c:pt>
                <c:pt idx="298">
                  <c:v>36.022453493976002</c:v>
                </c:pt>
                <c:pt idx="299">
                  <c:v>34.776662491681492</c:v>
                </c:pt>
                <c:pt idx="300">
                  <c:v>33.550745548618522</c:v>
                </c:pt>
                <c:pt idx="301">
                  <c:v>32.346591879505951</c:v>
                </c:pt>
                <c:pt idx="302">
                  <c:v>31.165902327297943</c:v>
                </c:pt>
                <c:pt idx="303">
                  <c:v>30.010183929598554</c:v>
                </c:pt>
                <c:pt idx="304">
                  <c:v>28.880747854475345</c:v>
                </c:pt>
                <c:pt idx="305">
                  <c:v>27.778710440127441</c:v>
                </c:pt>
                <c:pt idx="306">
                  <c:v>26.704997007319946</c:v>
                </c:pt>
                <c:pt idx="307">
                  <c:v>25.660348069710494</c:v>
                </c:pt>
                <c:pt idx="308">
                  <c:v>24.645327544101178</c:v>
                </c:pt>
                <c:pt idx="309">
                  <c:v>23.660332558114419</c:v>
                </c:pt>
                <c:pt idx="310">
                  <c:v>22.705604463934719</c:v>
                </c:pt>
                <c:pt idx="311">
                  <c:v>21.781240690341377</c:v>
                </c:pt>
                <c:pt idx="312">
                  <c:v>20.887207097943303</c:v>
                </c:pt>
                <c:pt idx="313">
                  <c:v>20.0233505411652</c:v>
                </c:pt>
                <c:pt idx="314">
                  <c:v>19.189411382308833</c:v>
                </c:pt>
                <c:pt idx="315">
                  <c:v>18.385035745533685</c:v>
                </c:pt>
                <c:pt idx="316">
                  <c:v>17.609787339990106</c:v>
                </c:pt>
                <c:pt idx="317">
                  <c:v>16.863158720180564</c:v>
                </c:pt>
                <c:pt idx="318">
                  <c:v>16.144581886952437</c:v>
                </c:pt>
                <c:pt idx="319">
                  <c:v>15.453438163776212</c:v>
                </c:pt>
                <c:pt idx="320">
                  <c:v>14.789067309886178</c:v>
                </c:pt>
                <c:pt idx="321">
                  <c:v>14.150775854445186</c:v>
                </c:pt>
                <c:pt idx="322">
                  <c:v>13.537844654349726</c:v>
                </c:pt>
                <c:pt idx="323">
                  <c:v>12.949535692912718</c:v>
                </c:pt>
                <c:pt idx="324">
                  <c:v>12.385098147852858</c:v>
                </c:pt>
                <c:pt idx="325">
                  <c:v>11.843773765208056</c:v>
                </c:pt>
                <c:pt idx="326">
                  <c:v>11.324801581410497</c:v>
                </c:pt>
                <c:pt idx="327">
                  <c:v>10.827422039244681</c:v>
                </c:pt>
                <c:pt idx="328">
                  <c:v>10.350880545136079</c:v>
                </c:pt>
                <c:pt idx="329">
                  <c:v>9.8944305155599466</c:v>
                </c:pt>
                <c:pt idx="330">
                  <c:v>9.4573359596142268</c:v>
                </c:pt>
                <c:pt idx="331">
                  <c:v>9.0388736432475412</c:v>
                </c:pt>
                <c:pt idx="332">
                  <c:v>8.638334878496579</c:v>
                </c:pt>
                <c:pt idx="333">
                  <c:v>8.255026978553019</c:v>
                </c:pt>
                <c:pt idx="334">
                  <c:v>7.8882744167052863</c:v>
                </c:pt>
                <c:pt idx="335">
                  <c:v>7.5374197243016852</c:v>
                </c:pt>
                <c:pt idx="336">
                  <c:v>7.20182415995734</c:v>
                </c:pt>
                <c:pt idx="337">
                  <c:v>6.8808681793451001</c:v>
                </c:pt>
                <c:pt idx="338">
                  <c:v>6.5739517321267158</c:v>
                </c:pt>
                <c:pt idx="339">
                  <c:v>6.2804944099275986</c:v>
                </c:pt>
                <c:pt idx="340">
                  <c:v>5.9999354667656348</c:v>
                </c:pt>
                <c:pt idx="341">
                  <c:v>5.7317337310207108</c:v>
                </c:pt>
                <c:pt idx="342">
                  <c:v>5.4753674258882086</c:v>
                </c:pt>
                <c:pt idx="343">
                  <c:v>5.2303339132951692</c:v>
                </c:pt>
                <c:pt idx="344">
                  <c:v>4.9961493744680183</c:v>
                </c:pt>
                <c:pt idx="345">
                  <c:v>4.7723484387219628</c:v>
                </c:pt>
                <c:pt idx="346">
                  <c:v>4.5584837705821997</c:v>
                </c:pt>
                <c:pt idx="347">
                  <c:v>4.354125624038744</c:v>
                </c:pt>
                <c:pt idx="348">
                  <c:v>4.158861371566843</c:v>
                </c:pt>
                <c:pt idx="349">
                  <c:v>3.9722950145054199</c:v>
                </c:pt>
                <c:pt idx="350">
                  <c:v>3.794046680461804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A2-4DD7-8F3C-460FCE511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73704"/>
        <c:axId val="540376328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0796782114987912"/>
              <c:y val="0.876000913588057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</c:valAx>
      <c:valAx>
        <c:axId val="540376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Margin (degrees)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73704"/>
        <c:crosses val="max"/>
        <c:crossBetween val="midCat"/>
      </c:valAx>
      <c:valAx>
        <c:axId val="54037370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037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Stray'!$M$3:$M$353</c:f>
              <c:numCache>
                <c:formatCode>General</c:formatCode>
                <c:ptCount val="35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</c:numCache>
            </c:numRef>
          </c:xVal>
          <c:yVal>
            <c:numRef>
              <c:f>'Opamp and C Stray'!$N$3:$N$353</c:f>
              <c:numCache>
                <c:formatCode>General</c:formatCode>
                <c:ptCount val="351"/>
                <c:pt idx="0">
                  <c:v>7.5398223686155202E-6</c:v>
                </c:pt>
                <c:pt idx="1">
                  <c:v>7.8951632494100396E-6</c:v>
                </c:pt>
                <c:pt idx="2">
                  <c:v>8.2672508299795596E-6</c:v>
                </c:pt>
                <c:pt idx="3">
                  <c:v>8.6568743579690804E-6</c:v>
                </c:pt>
                <c:pt idx="4">
                  <c:v>9.0648602771192402E-6</c:v>
                </c:pt>
                <c:pt idx="5">
                  <c:v>9.4920739802641601E-6</c:v>
                </c:pt>
                <c:pt idx="6">
                  <c:v>9.9394216449457201E-6</c:v>
                </c:pt>
                <c:pt idx="7">
                  <c:v>1.04078521555377E-5</c:v>
                </c:pt>
                <c:pt idx="8">
                  <c:v>1.08983591159566E-5</c:v>
                </c:pt>
                <c:pt idx="9">
                  <c:v>1.1411982957228901E-5</c:v>
                </c:pt>
                <c:pt idx="10">
                  <c:v>1.19498131443848E-5</c:v>
                </c:pt>
                <c:pt idx="11">
                  <c:v>1.25129904873592E-5</c:v>
                </c:pt>
                <c:pt idx="12">
                  <c:v>1.31027095608031E-5</c:v>
                </c:pt>
                <c:pt idx="13">
                  <c:v>1.37202212379364E-5</c:v>
                </c:pt>
                <c:pt idx="14">
                  <c:v>1.4366835343817401E-5</c:v>
                </c:pt>
                <c:pt idx="15">
                  <c:v>1.5043923433657901E-5</c:v>
                </c:pt>
                <c:pt idx="16">
                  <c:v>1.5752921702075198E-5</c:v>
                </c:pt>
                <c:pt idx="17">
                  <c:v>1.64953340294534E-5</c:v>
                </c:pt>
                <c:pt idx="18">
                  <c:v>1.7272735171876199E-5</c:v>
                </c:pt>
                <c:pt idx="19">
                  <c:v>1.8086774101394401E-5</c:v>
                </c:pt>
                <c:pt idx="20">
                  <c:v>1.8939177503717799E-5</c:v>
                </c:pt>
                <c:pt idx="21">
                  <c:v>1.9831753440746201E-5</c:v>
                </c:pt>
                <c:pt idx="22">
                  <c:v>2.0766395185711999E-5</c:v>
                </c:pt>
                <c:pt idx="23">
                  <c:v>2.1745085239065802E-5</c:v>
                </c:pt>
                <c:pt idx="24">
                  <c:v>2.2769899533626001E-5</c:v>
                </c:pt>
                <c:pt idx="25">
                  <c:v>2.3843011837910601E-5</c:v>
                </c:pt>
                <c:pt idx="26">
                  <c:v>2.4966698366991801E-5</c:v>
                </c:pt>
                <c:pt idx="27">
                  <c:v>2.61433426106528E-5</c:v>
                </c:pt>
                <c:pt idx="28">
                  <c:v>2.73754403890902E-5</c:v>
                </c:pt>
                <c:pt idx="29">
                  <c:v>2.8665605146882E-5</c:v>
                </c:pt>
                <c:pt idx="30">
                  <c:v>3.0016573496454799E-5</c:v>
                </c:pt>
                <c:pt idx="31">
                  <c:v>3.1431211022805998E-5</c:v>
                </c:pt>
                <c:pt idx="32">
                  <c:v>3.2912518361792203E-5</c:v>
                </c:pt>
                <c:pt idx="33">
                  <c:v>3.4463637564881998E-5</c:v>
                </c:pt>
                <c:pt idx="34">
                  <c:v>3.6087858763867297E-5</c:v>
                </c:pt>
                <c:pt idx="35">
                  <c:v>3.77886271496743E-5</c:v>
                </c:pt>
                <c:pt idx="36">
                  <c:v>3.9569550280075298E-5</c:v>
                </c:pt>
                <c:pt idx="37">
                  <c:v>4.14344057318024E-5</c:v>
                </c:pt>
                <c:pt idx="38">
                  <c:v>4.3387149113294002E-5</c:v>
                </c:pt>
                <c:pt idx="39">
                  <c:v>4.5431922455071603E-5</c:v>
                </c:pt>
                <c:pt idx="40">
                  <c:v>4.7573062995539998E-5</c:v>
                </c:pt>
                <c:pt idx="41">
                  <c:v>4.9815112380853602E-5</c:v>
                </c:pt>
                <c:pt idx="42">
                  <c:v>5.2162826298355998E-5</c:v>
                </c:pt>
                <c:pt idx="43">
                  <c:v>5.4621184564028798E-5</c:v>
                </c:pt>
                <c:pt idx="44">
                  <c:v>5.7195401685351597E-5</c:v>
                </c:pt>
                <c:pt idx="45">
                  <c:v>5.989093792197E-5</c:v>
                </c:pt>
                <c:pt idx="46">
                  <c:v>6.2713510867639201E-5</c:v>
                </c:pt>
                <c:pt idx="47">
                  <c:v>6.5669107578005204E-5</c:v>
                </c:pt>
                <c:pt idx="48">
                  <c:v>6.87639972699548E-5</c:v>
                </c:pt>
                <c:pt idx="49">
                  <c:v>7.2004744619463999E-5</c:v>
                </c:pt>
                <c:pt idx="50">
                  <c:v>7.5398223686155196E-5</c:v>
                </c:pt>
                <c:pt idx="51">
                  <c:v>7.8951632494100806E-5</c:v>
                </c:pt>
                <c:pt idx="52">
                  <c:v>8.2672508299795996E-5</c:v>
                </c:pt>
                <c:pt idx="53">
                  <c:v>8.6568743579691203E-5</c:v>
                </c:pt>
                <c:pt idx="54">
                  <c:v>9.0648602771192406E-5</c:v>
                </c:pt>
                <c:pt idx="55">
                  <c:v>9.4920739802641598E-5</c:v>
                </c:pt>
                <c:pt idx="56">
                  <c:v>9.9394216449457198E-5</c:v>
                </c:pt>
                <c:pt idx="57">
                  <c:v>1.04078521555377E-4</c:v>
                </c:pt>
                <c:pt idx="58">
                  <c:v>1.08983591159566E-4</c:v>
                </c:pt>
                <c:pt idx="59">
                  <c:v>1.1411982957229E-4</c:v>
                </c:pt>
                <c:pt idx="60">
                  <c:v>1.1949813144384799E-4</c:v>
                </c:pt>
                <c:pt idx="61">
                  <c:v>1.2512990487359199E-4</c:v>
                </c:pt>
                <c:pt idx="62">
                  <c:v>1.3102709560803099E-4</c:v>
                </c:pt>
                <c:pt idx="63">
                  <c:v>1.3720221237936399E-4</c:v>
                </c:pt>
                <c:pt idx="64">
                  <c:v>1.43668353438175E-4</c:v>
                </c:pt>
                <c:pt idx="65">
                  <c:v>1.5043923433657899E-4</c:v>
                </c:pt>
                <c:pt idx="66">
                  <c:v>1.5752921702075201E-4</c:v>
                </c:pt>
                <c:pt idx="67">
                  <c:v>1.64953340294534E-4</c:v>
                </c:pt>
                <c:pt idx="68">
                  <c:v>1.7272735171876201E-4</c:v>
                </c:pt>
                <c:pt idx="69">
                  <c:v>1.80867741013944E-4</c:v>
                </c:pt>
                <c:pt idx="70">
                  <c:v>1.8939177503717801E-4</c:v>
                </c:pt>
                <c:pt idx="71">
                  <c:v>1.9831753440746199E-4</c:v>
                </c:pt>
                <c:pt idx="72">
                  <c:v>2.0766395185712E-4</c:v>
                </c:pt>
                <c:pt idx="73">
                  <c:v>2.17450852390658E-4</c:v>
                </c:pt>
                <c:pt idx="74">
                  <c:v>2.2769899533626E-4</c:v>
                </c:pt>
                <c:pt idx="75">
                  <c:v>2.38430118379106E-4</c:v>
                </c:pt>
                <c:pt idx="76">
                  <c:v>2.4966698366991799E-4</c:v>
                </c:pt>
                <c:pt idx="77">
                  <c:v>2.6143342610652999E-4</c:v>
                </c:pt>
                <c:pt idx="78">
                  <c:v>2.7375440389090197E-4</c:v>
                </c:pt>
                <c:pt idx="79">
                  <c:v>2.8665605146882002E-4</c:v>
                </c:pt>
                <c:pt idx="80">
                  <c:v>3.0016573496455002E-4</c:v>
                </c:pt>
                <c:pt idx="81">
                  <c:v>3.1431211022805999E-4</c:v>
                </c:pt>
                <c:pt idx="82">
                  <c:v>3.2912518361792299E-4</c:v>
                </c:pt>
                <c:pt idx="83">
                  <c:v>3.4463637564882102E-4</c:v>
                </c:pt>
                <c:pt idx="84">
                  <c:v>3.6087858763867402E-4</c:v>
                </c:pt>
                <c:pt idx="85">
                  <c:v>3.77886271496744E-4</c:v>
                </c:pt>
                <c:pt idx="86">
                  <c:v>3.9569550280075302E-4</c:v>
                </c:pt>
                <c:pt idx="87">
                  <c:v>4.14344057318024E-4</c:v>
                </c:pt>
                <c:pt idx="88">
                  <c:v>4.3387149113293999E-4</c:v>
                </c:pt>
                <c:pt idx="89">
                  <c:v>4.5431922455071598E-4</c:v>
                </c:pt>
                <c:pt idx="90">
                  <c:v>4.7573062995540002E-4</c:v>
                </c:pt>
                <c:pt idx="91">
                  <c:v>4.9815112380853998E-4</c:v>
                </c:pt>
                <c:pt idx="92">
                  <c:v>5.2162826298355995E-4</c:v>
                </c:pt>
                <c:pt idx="93">
                  <c:v>5.4621184564028805E-4</c:v>
                </c:pt>
                <c:pt idx="94">
                  <c:v>5.7195401685351604E-4</c:v>
                </c:pt>
                <c:pt idx="95">
                  <c:v>5.9890937921970404E-4</c:v>
                </c:pt>
                <c:pt idx="96">
                  <c:v>6.2713510867639201E-4</c:v>
                </c:pt>
                <c:pt idx="97">
                  <c:v>6.56691075780056E-4</c:v>
                </c:pt>
                <c:pt idx="98">
                  <c:v>6.8763997269955196E-4</c:v>
                </c:pt>
                <c:pt idx="99">
                  <c:v>7.2004744619463996E-4</c:v>
                </c:pt>
                <c:pt idx="100">
                  <c:v>7.5398223686155201E-4</c:v>
                </c:pt>
                <c:pt idx="101">
                  <c:v>7.89516324941008E-4</c:v>
                </c:pt>
                <c:pt idx="102">
                  <c:v>8.2672508299796001E-4</c:v>
                </c:pt>
                <c:pt idx="103">
                  <c:v>8.6568743579691198E-4</c:v>
                </c:pt>
                <c:pt idx="104">
                  <c:v>9.0648602771192799E-4</c:v>
                </c:pt>
                <c:pt idx="105">
                  <c:v>9.4920739802641595E-4</c:v>
                </c:pt>
                <c:pt idx="106">
                  <c:v>9.9394216449457599E-4</c:v>
                </c:pt>
                <c:pt idx="107">
                  <c:v>1.0407852155537699E-3</c:v>
                </c:pt>
                <c:pt idx="108">
                  <c:v>1.08983591159566E-3</c:v>
                </c:pt>
                <c:pt idx="109">
                  <c:v>1.1411982957228999E-3</c:v>
                </c:pt>
                <c:pt idx="110">
                  <c:v>1.1949813144384799E-3</c:v>
                </c:pt>
                <c:pt idx="111">
                  <c:v>1.25129904873592E-3</c:v>
                </c:pt>
                <c:pt idx="112">
                  <c:v>1.3102709560803101E-3</c:v>
                </c:pt>
                <c:pt idx="113">
                  <c:v>1.3720221237936499E-3</c:v>
                </c:pt>
                <c:pt idx="114">
                  <c:v>1.43668353438175E-3</c:v>
                </c:pt>
                <c:pt idx="115">
                  <c:v>1.50439234336579E-3</c:v>
                </c:pt>
                <c:pt idx="116">
                  <c:v>1.57529217020752E-3</c:v>
                </c:pt>
                <c:pt idx="117">
                  <c:v>1.64953340294534E-3</c:v>
                </c:pt>
                <c:pt idx="118">
                  <c:v>1.7272735171876201E-3</c:v>
                </c:pt>
                <c:pt idx="119">
                  <c:v>1.8086774101394401E-3</c:v>
                </c:pt>
                <c:pt idx="120">
                  <c:v>1.8939177503717801E-3</c:v>
                </c:pt>
                <c:pt idx="121">
                  <c:v>1.9831753440746301E-3</c:v>
                </c:pt>
                <c:pt idx="122">
                  <c:v>2.0766395185711998E-3</c:v>
                </c:pt>
                <c:pt idx="123">
                  <c:v>2.1745085239065799E-3</c:v>
                </c:pt>
                <c:pt idx="124">
                  <c:v>2.2769899533625999E-3</c:v>
                </c:pt>
                <c:pt idx="125">
                  <c:v>2.3843011837910801E-3</c:v>
                </c:pt>
                <c:pt idx="126">
                  <c:v>2.49666983669918E-3</c:v>
                </c:pt>
                <c:pt idx="127">
                  <c:v>2.6143342610652999E-3</c:v>
                </c:pt>
                <c:pt idx="128">
                  <c:v>2.7375440389090298E-3</c:v>
                </c:pt>
                <c:pt idx="129">
                  <c:v>2.8665605146882098E-3</c:v>
                </c:pt>
                <c:pt idx="130">
                  <c:v>3.0016573496455001E-3</c:v>
                </c:pt>
                <c:pt idx="131">
                  <c:v>3.1431211022805998E-3</c:v>
                </c:pt>
                <c:pt idx="132">
                  <c:v>3.2912518361792298E-3</c:v>
                </c:pt>
                <c:pt idx="133">
                  <c:v>3.4463637564882102E-3</c:v>
                </c:pt>
                <c:pt idx="134">
                  <c:v>3.6087858763867399E-3</c:v>
                </c:pt>
                <c:pt idx="135">
                  <c:v>3.7788627149674399E-3</c:v>
                </c:pt>
                <c:pt idx="136">
                  <c:v>3.9569550280075397E-3</c:v>
                </c:pt>
                <c:pt idx="137">
                  <c:v>4.1434405731802402E-3</c:v>
                </c:pt>
                <c:pt idx="138">
                  <c:v>4.3387149113294004E-3</c:v>
                </c:pt>
                <c:pt idx="139">
                  <c:v>4.5431922455071603E-3</c:v>
                </c:pt>
                <c:pt idx="140">
                  <c:v>4.7573062995540398E-3</c:v>
                </c:pt>
                <c:pt idx="141">
                  <c:v>4.9815112380853996E-3</c:v>
                </c:pt>
                <c:pt idx="142">
                  <c:v>5.2162826298356004E-3</c:v>
                </c:pt>
                <c:pt idx="143">
                  <c:v>5.4621184564028801E-3</c:v>
                </c:pt>
                <c:pt idx="144">
                  <c:v>5.7195401685351602E-3</c:v>
                </c:pt>
                <c:pt idx="145">
                  <c:v>5.9890937921970398E-3</c:v>
                </c:pt>
                <c:pt idx="146">
                  <c:v>6.2713510867639204E-3</c:v>
                </c:pt>
                <c:pt idx="147">
                  <c:v>6.5669107578005597E-3</c:v>
                </c:pt>
                <c:pt idx="148">
                  <c:v>6.8763997269955203E-3</c:v>
                </c:pt>
                <c:pt idx="149">
                  <c:v>7.2004744619463996E-3</c:v>
                </c:pt>
                <c:pt idx="150">
                  <c:v>7.5398223686155598E-3</c:v>
                </c:pt>
                <c:pt idx="151">
                  <c:v>7.8951632494100796E-3</c:v>
                </c:pt>
                <c:pt idx="152">
                  <c:v>8.2672508299795992E-3</c:v>
                </c:pt>
                <c:pt idx="153">
                  <c:v>8.6568743579691198E-3</c:v>
                </c:pt>
                <c:pt idx="154">
                  <c:v>9.0648602771192799E-3</c:v>
                </c:pt>
                <c:pt idx="155">
                  <c:v>9.4920739802641999E-3</c:v>
                </c:pt>
                <c:pt idx="156">
                  <c:v>9.9394216449457604E-3</c:v>
                </c:pt>
                <c:pt idx="157">
                  <c:v>1.0407852155537699E-2</c:v>
                </c:pt>
                <c:pt idx="158">
                  <c:v>1.0898359115956701E-2</c:v>
                </c:pt>
                <c:pt idx="159">
                  <c:v>1.1411982957229E-2</c:v>
                </c:pt>
                <c:pt idx="160">
                  <c:v>1.1949813144384799E-2</c:v>
                </c:pt>
                <c:pt idx="161">
                  <c:v>1.25129904873592E-2</c:v>
                </c:pt>
                <c:pt idx="162">
                  <c:v>1.3102709560803101E-2</c:v>
                </c:pt>
                <c:pt idx="163">
                  <c:v>1.37202212379365E-2</c:v>
                </c:pt>
                <c:pt idx="164">
                  <c:v>1.43668353438175E-2</c:v>
                </c:pt>
                <c:pt idx="165">
                  <c:v>1.5043923433658001E-2</c:v>
                </c:pt>
                <c:pt idx="166">
                  <c:v>1.57529217020752E-2</c:v>
                </c:pt>
                <c:pt idx="167">
                  <c:v>1.64953340294536E-2</c:v>
                </c:pt>
                <c:pt idx="168">
                  <c:v>1.7272735171876202E-2</c:v>
                </c:pt>
                <c:pt idx="169">
                  <c:v>1.80867741013945E-2</c:v>
                </c:pt>
                <c:pt idx="170">
                  <c:v>1.8939177503717802E-2</c:v>
                </c:pt>
                <c:pt idx="171">
                  <c:v>1.9831753440746301E-2</c:v>
                </c:pt>
                <c:pt idx="172">
                  <c:v>2.0766395185712001E-2</c:v>
                </c:pt>
                <c:pt idx="173">
                  <c:v>2.1745085239066E-2</c:v>
                </c:pt>
                <c:pt idx="174">
                  <c:v>2.2769899533626198E-2</c:v>
                </c:pt>
                <c:pt idx="175">
                  <c:v>2.3843011837910801E-2</c:v>
                </c:pt>
                <c:pt idx="176">
                  <c:v>2.4966698366992002E-2</c:v>
                </c:pt>
                <c:pt idx="177">
                  <c:v>2.6143342610653E-2</c:v>
                </c:pt>
                <c:pt idx="178">
                  <c:v>2.7375440389090299E-2</c:v>
                </c:pt>
                <c:pt idx="179">
                  <c:v>2.86656051468821E-2</c:v>
                </c:pt>
                <c:pt idx="180">
                  <c:v>3.0016573496455101E-2</c:v>
                </c:pt>
                <c:pt idx="181">
                  <c:v>3.1431211022806098E-2</c:v>
                </c:pt>
                <c:pt idx="182">
                  <c:v>3.2912518361792403E-2</c:v>
                </c:pt>
                <c:pt idx="183">
                  <c:v>3.4463637564882202E-2</c:v>
                </c:pt>
                <c:pt idx="184">
                  <c:v>3.6087858763867602E-2</c:v>
                </c:pt>
                <c:pt idx="185">
                  <c:v>3.7788627149674597E-2</c:v>
                </c:pt>
                <c:pt idx="186">
                  <c:v>3.9569550280075597E-2</c:v>
                </c:pt>
                <c:pt idx="187">
                  <c:v>4.1434405731802397E-2</c:v>
                </c:pt>
                <c:pt idx="188">
                  <c:v>4.3387149113294401E-2</c:v>
                </c:pt>
                <c:pt idx="189">
                  <c:v>4.5431922455071598E-2</c:v>
                </c:pt>
                <c:pt idx="190">
                  <c:v>4.7573062995540399E-2</c:v>
                </c:pt>
                <c:pt idx="191">
                  <c:v>4.9815112380854003E-2</c:v>
                </c:pt>
                <c:pt idx="192">
                  <c:v>5.2162826298356002E-2</c:v>
                </c:pt>
                <c:pt idx="193">
                  <c:v>5.4621184564028799E-2</c:v>
                </c:pt>
                <c:pt idx="194">
                  <c:v>5.7195401685351997E-2</c:v>
                </c:pt>
                <c:pt idx="195">
                  <c:v>5.9890937921970401E-2</c:v>
                </c:pt>
                <c:pt idx="196">
                  <c:v>6.2713510867639599E-2</c:v>
                </c:pt>
                <c:pt idx="197">
                  <c:v>6.5669107578005606E-2</c:v>
                </c:pt>
                <c:pt idx="198">
                  <c:v>6.8763997269955204E-2</c:v>
                </c:pt>
                <c:pt idx="199">
                  <c:v>7.2004744619464406E-2</c:v>
                </c:pt>
                <c:pt idx="200">
                  <c:v>7.5398223686155605E-2</c:v>
                </c:pt>
                <c:pt idx="201">
                  <c:v>7.8951632494100796E-2</c:v>
                </c:pt>
                <c:pt idx="202">
                  <c:v>8.2672508299795999E-2</c:v>
                </c:pt>
                <c:pt idx="203">
                  <c:v>8.6568743579691604E-2</c:v>
                </c:pt>
                <c:pt idx="204">
                  <c:v>9.0648602771192799E-2</c:v>
                </c:pt>
                <c:pt idx="205">
                  <c:v>9.4920739802641999E-2</c:v>
                </c:pt>
                <c:pt idx="206">
                  <c:v>9.9394216449458006E-2</c:v>
                </c:pt>
                <c:pt idx="207">
                  <c:v>0.104078521555378</c:v>
                </c:pt>
                <c:pt idx="208">
                  <c:v>0.108983591159567</c:v>
                </c:pt>
                <c:pt idx="209">
                  <c:v>0.11411982957229</c:v>
                </c:pt>
                <c:pt idx="210">
                  <c:v>0.11949813144384799</c:v>
                </c:pt>
                <c:pt idx="211">
                  <c:v>0.12512990487359299</c:v>
                </c:pt>
                <c:pt idx="212">
                  <c:v>0.131027095608032</c:v>
                </c:pt>
                <c:pt idx="213">
                  <c:v>0.137202212379365</c:v>
                </c:pt>
                <c:pt idx="214">
                  <c:v>0.14366835343817499</c:v>
                </c:pt>
                <c:pt idx="215">
                  <c:v>0.15043923433657999</c:v>
                </c:pt>
                <c:pt idx="216">
                  <c:v>0.15752921702075301</c:v>
                </c:pt>
                <c:pt idx="217">
                  <c:v>0.16495334029453601</c:v>
                </c:pt>
                <c:pt idx="218">
                  <c:v>0.17272735171876299</c:v>
                </c:pt>
                <c:pt idx="219">
                  <c:v>0.18086774101394501</c:v>
                </c:pt>
                <c:pt idx="220">
                  <c:v>0.18939177503717899</c:v>
                </c:pt>
                <c:pt idx="221">
                  <c:v>0.198317534407463</c:v>
                </c:pt>
                <c:pt idx="222">
                  <c:v>0.207663951857122</c:v>
                </c:pt>
                <c:pt idx="223">
                  <c:v>0.21745085239066</c:v>
                </c:pt>
                <c:pt idx="224">
                  <c:v>0.22769899533626201</c:v>
                </c:pt>
                <c:pt idx="225">
                  <c:v>0.23843011837910799</c:v>
                </c:pt>
                <c:pt idx="226">
                  <c:v>0.24966698366991999</c:v>
                </c:pt>
                <c:pt idx="227">
                  <c:v>0.26143342610653098</c:v>
                </c:pt>
                <c:pt idx="228">
                  <c:v>0.273754403890904</c:v>
                </c:pt>
                <c:pt idx="229">
                  <c:v>0.286656051468822</c:v>
                </c:pt>
                <c:pt idx="230">
                  <c:v>0.30016573496455101</c:v>
                </c:pt>
                <c:pt idx="231">
                  <c:v>0.31431211022806099</c:v>
                </c:pt>
                <c:pt idx="232">
                  <c:v>0.32912518361792398</c:v>
                </c:pt>
                <c:pt idx="233">
                  <c:v>0.34463637564882199</c:v>
                </c:pt>
                <c:pt idx="234">
                  <c:v>0.36087858763867597</c:v>
                </c:pt>
                <c:pt idx="235">
                  <c:v>0.37788627149674697</c:v>
                </c:pt>
                <c:pt idx="236">
                  <c:v>0.39569550280075599</c:v>
                </c:pt>
                <c:pt idx="237">
                  <c:v>0.41434405731802798</c:v>
                </c:pt>
                <c:pt idx="238">
                  <c:v>0.43387149113294399</c:v>
                </c:pt>
                <c:pt idx="239">
                  <c:v>0.45431922455071599</c:v>
                </c:pt>
                <c:pt idx="240">
                  <c:v>0.47573062995540399</c:v>
                </c:pt>
                <c:pt idx="241">
                  <c:v>0.49815112380853999</c:v>
                </c:pt>
                <c:pt idx="242">
                  <c:v>0.52162826298356402</c:v>
                </c:pt>
                <c:pt idx="243">
                  <c:v>0.54621184564029202</c:v>
                </c:pt>
                <c:pt idx="244">
                  <c:v>0.57195401685351999</c:v>
                </c:pt>
                <c:pt idx="245">
                  <c:v>0.598909379219704</c:v>
                </c:pt>
                <c:pt idx="246">
                  <c:v>0.62713510867639599</c:v>
                </c:pt>
                <c:pt idx="247">
                  <c:v>0.65669107578005603</c:v>
                </c:pt>
                <c:pt idx="248">
                  <c:v>0.68763997269955601</c:v>
                </c:pt>
                <c:pt idx="249">
                  <c:v>0.720047446194644</c:v>
                </c:pt>
                <c:pt idx="250">
                  <c:v>0.75398223686155597</c:v>
                </c:pt>
                <c:pt idx="251">
                  <c:v>0.78951632494101198</c:v>
                </c:pt>
                <c:pt idx="252">
                  <c:v>0.82672508299796399</c:v>
                </c:pt>
                <c:pt idx="253">
                  <c:v>0.86568743579691598</c:v>
                </c:pt>
                <c:pt idx="254">
                  <c:v>0.90648602771192799</c:v>
                </c:pt>
                <c:pt idx="255">
                  <c:v>0.94920739802641596</c:v>
                </c:pt>
                <c:pt idx="256">
                  <c:v>0.99394216449457595</c:v>
                </c:pt>
                <c:pt idx="257">
                  <c:v>1.04078521555377</c:v>
                </c:pt>
                <c:pt idx="258">
                  <c:v>1.08983591159566</c:v>
                </c:pt>
                <c:pt idx="259">
                  <c:v>1.1411982957228901</c:v>
                </c:pt>
                <c:pt idx="260">
                  <c:v>1.19498131443847</c:v>
                </c:pt>
                <c:pt idx="261">
                  <c:v>1.2512990487359199</c:v>
                </c:pt>
                <c:pt idx="262">
                  <c:v>1.3102709560803001</c:v>
                </c:pt>
                <c:pt idx="263">
                  <c:v>1.3720221237936401</c:v>
                </c:pt>
                <c:pt idx="264">
                  <c:v>1.4366835343817399</c:v>
                </c:pt>
                <c:pt idx="265">
                  <c:v>1.50439234336578</c:v>
                </c:pt>
                <c:pt idx="266">
                  <c:v>1.5752921702075</c:v>
                </c:pt>
                <c:pt idx="267">
                  <c:v>1.6495334029453299</c:v>
                </c:pt>
                <c:pt idx="268">
                  <c:v>1.7272735171875999</c:v>
                </c:pt>
                <c:pt idx="269">
                  <c:v>1.8086774101394201</c:v>
                </c:pt>
                <c:pt idx="270">
                  <c:v>1.8939177503717499</c:v>
                </c:pt>
                <c:pt idx="271">
                  <c:v>1.9831753440745901</c:v>
                </c:pt>
                <c:pt idx="272">
                  <c:v>2.0766395185711701</c:v>
                </c:pt>
                <c:pt idx="273">
                  <c:v>2.17450852390655</c:v>
                </c:pt>
                <c:pt idx="274">
                  <c:v>2.2769899533625702</c:v>
                </c:pt>
                <c:pt idx="275">
                  <c:v>2.3843011837910302</c:v>
                </c:pt>
                <c:pt idx="276">
                  <c:v>2.49666983669914</c:v>
                </c:pt>
                <c:pt idx="277">
                  <c:v>2.6143342610652498</c:v>
                </c:pt>
                <c:pt idx="278">
                  <c:v>2.7375440389089598</c:v>
                </c:pt>
                <c:pt idx="279">
                  <c:v>2.8665605146881399</c:v>
                </c:pt>
                <c:pt idx="280">
                  <c:v>3.00165734964542</c:v>
                </c:pt>
                <c:pt idx="281">
                  <c:v>3.1431211022805199</c:v>
                </c:pt>
                <c:pt idx="282">
                  <c:v>3.2912518361791401</c:v>
                </c:pt>
                <c:pt idx="283">
                  <c:v>3.44636375648812</c:v>
                </c:pt>
                <c:pt idx="284">
                  <c:v>3.60878587638665</c:v>
                </c:pt>
                <c:pt idx="285">
                  <c:v>3.7788627149673402</c:v>
                </c:pt>
                <c:pt idx="286">
                  <c:v>3.9569550280074202</c:v>
                </c:pt>
                <c:pt idx="287">
                  <c:v>4.1434405731801203</c:v>
                </c:pt>
                <c:pt idx="288">
                  <c:v>4.33871491132928</c:v>
                </c:pt>
                <c:pt idx="289">
                  <c:v>4.543192245507</c:v>
                </c:pt>
                <c:pt idx="290">
                  <c:v>4.7573062995538402</c:v>
                </c:pt>
                <c:pt idx="291">
                  <c:v>4.9815112380851998</c:v>
                </c:pt>
                <c:pt idx="292">
                  <c:v>5.2162826298354004</c:v>
                </c:pt>
                <c:pt idx="293">
                  <c:v>5.4621184564026803</c:v>
                </c:pt>
                <c:pt idx="294">
                  <c:v>5.7195401685349596</c:v>
                </c:pt>
                <c:pt idx="295">
                  <c:v>5.9890937921968002</c:v>
                </c:pt>
                <c:pt idx="296">
                  <c:v>6.2713510867636799</c:v>
                </c:pt>
                <c:pt idx="297">
                  <c:v>6.5669107578002803</c:v>
                </c:pt>
                <c:pt idx="298">
                  <c:v>6.8763997269952002</c:v>
                </c:pt>
                <c:pt idx="299">
                  <c:v>7.2004744619461203</c:v>
                </c:pt>
                <c:pt idx="300">
                  <c:v>7.5398223686151997</c:v>
                </c:pt>
                <c:pt idx="301">
                  <c:v>7.8951632494097197</c:v>
                </c:pt>
                <c:pt idx="302">
                  <c:v>8.2672508299792398</c:v>
                </c:pt>
                <c:pt idx="303">
                  <c:v>8.6568743579687197</c:v>
                </c:pt>
                <c:pt idx="304">
                  <c:v>9.0648602771188393</c:v>
                </c:pt>
                <c:pt idx="305">
                  <c:v>9.4920739802637204</c:v>
                </c:pt>
                <c:pt idx="306">
                  <c:v>9.9394216449452806</c:v>
                </c:pt>
                <c:pt idx="307">
                  <c:v>10.407852155537199</c:v>
                </c:pt>
                <c:pt idx="308">
                  <c:v>10.898359115956101</c:v>
                </c:pt>
                <c:pt idx="309">
                  <c:v>11.4119829572284</c:v>
                </c:pt>
                <c:pt idx="310">
                  <c:v>11.9498131443842</c:v>
                </c:pt>
                <c:pt idx="311">
                  <c:v>12.5129904873586</c:v>
                </c:pt>
                <c:pt idx="312">
                  <c:v>13.102709560802399</c:v>
                </c:pt>
                <c:pt idx="313">
                  <c:v>13.720221237935601</c:v>
                </c:pt>
                <c:pt idx="314">
                  <c:v>14.3668353438167</c:v>
                </c:pt>
                <c:pt idx="315">
                  <c:v>15.043923433657101</c:v>
                </c:pt>
                <c:pt idx="316">
                  <c:v>15.7529217020742</c:v>
                </c:pt>
                <c:pt idx="317">
                  <c:v>16.495334029452501</c:v>
                </c:pt>
                <c:pt idx="318">
                  <c:v>17.272735171875102</c:v>
                </c:pt>
                <c:pt idx="319">
                  <c:v>18.086774101393299</c:v>
                </c:pt>
                <c:pt idx="320">
                  <c:v>18.9391775037166</c:v>
                </c:pt>
                <c:pt idx="321">
                  <c:v>19.831753440745</c:v>
                </c:pt>
                <c:pt idx="322">
                  <c:v>20.766395185710699</c:v>
                </c:pt>
                <c:pt idx="323">
                  <c:v>21.745085239064402</c:v>
                </c:pt>
                <c:pt idx="324">
                  <c:v>22.769899533624599</c:v>
                </c:pt>
                <c:pt idx="325">
                  <c:v>23.843011837909099</c:v>
                </c:pt>
                <c:pt idx="326">
                  <c:v>24.966698366990201</c:v>
                </c:pt>
                <c:pt idx="327">
                  <c:v>26.143342610651199</c:v>
                </c:pt>
                <c:pt idx="328">
                  <c:v>27.3754403890883</c:v>
                </c:pt>
                <c:pt idx="329">
                  <c:v>28.665605146880001</c:v>
                </c:pt>
                <c:pt idx="330">
                  <c:v>30.0165734964528</c:v>
                </c:pt>
                <c:pt idx="331">
                  <c:v>31.431211022803701</c:v>
                </c:pt>
                <c:pt idx="332">
                  <c:v>32.9125183617898</c:v>
                </c:pt>
                <c:pt idx="333">
                  <c:v>34.463637564879498</c:v>
                </c:pt>
                <c:pt idx="334">
                  <c:v>36.087858763864702</c:v>
                </c:pt>
                <c:pt idx="335">
                  <c:v>37.788627149671598</c:v>
                </c:pt>
                <c:pt idx="336">
                  <c:v>39.569550280072299</c:v>
                </c:pt>
                <c:pt idx="337">
                  <c:v>41.434405731799202</c:v>
                </c:pt>
                <c:pt idx="338">
                  <c:v>43.387149113290803</c:v>
                </c:pt>
                <c:pt idx="339">
                  <c:v>45.431922455067998</c:v>
                </c:pt>
                <c:pt idx="340">
                  <c:v>47.573062995536397</c:v>
                </c:pt>
                <c:pt idx="341">
                  <c:v>49.815112380849598</c:v>
                </c:pt>
                <c:pt idx="342">
                  <c:v>52.162826298351597</c:v>
                </c:pt>
                <c:pt idx="343">
                  <c:v>54.621184564023999</c:v>
                </c:pt>
                <c:pt idx="344">
                  <c:v>57.195401685346802</c:v>
                </c:pt>
                <c:pt idx="345">
                  <c:v>59.890937921965197</c:v>
                </c:pt>
                <c:pt idx="346">
                  <c:v>62.713510867633602</c:v>
                </c:pt>
                <c:pt idx="347">
                  <c:v>65.669107577999597</c:v>
                </c:pt>
                <c:pt idx="348">
                  <c:v>68.763997269948803</c:v>
                </c:pt>
                <c:pt idx="349">
                  <c:v>72.004744619457597</c:v>
                </c:pt>
                <c:pt idx="350">
                  <c:v>75.398223686148398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91-4EC3-8DEF-0A7B42085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At val="-2000000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Stray'!$K$3:$K$353</c:f>
            </c:numRef>
          </c:yVal>
          <c:smooth val="0"/>
          <c:extLst>
            <c:ext xmlns:c16="http://schemas.microsoft.com/office/drawing/2014/chart" uri="{C3380CC4-5D6E-409C-BE32-E72D297353CC}">
              <c16:uniqueId val="{00000000-E33A-4D91-9217-1B4C3BCD0F6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Stray'!$P$3:$P$353</c:f>
            </c:numRef>
          </c:yVal>
          <c:smooth val="0"/>
          <c:extLst>
            <c:ext xmlns:c16="http://schemas.microsoft.com/office/drawing/2014/chart" uri="{C3380CC4-5D6E-409C-BE32-E72D297353CC}">
              <c16:uniqueId val="{00000001-E33A-4D91-9217-1B4C3BCD0F6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 Using B'!$H$3:$H$353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 Using B'!$R$3:$R$353</c:f>
              <c:numCache>
                <c:formatCode>General</c:formatCode>
                <c:ptCount val="351"/>
                <c:pt idx="0">
                  <c:v>105.97738617545319</c:v>
                </c:pt>
                <c:pt idx="1">
                  <c:v>105.97323964585843</c:v>
                </c:pt>
                <c:pt idx="2">
                  <c:v>105.96869761230737</c:v>
                </c:pt>
                <c:pt idx="3">
                  <c:v>105.9637228252823</c:v>
                </c:pt>
                <c:pt idx="4">
                  <c:v>105.95827462155881</c:v>
                </c:pt>
                <c:pt idx="5">
                  <c:v>105.95230863015509</c:v>
                </c:pt>
                <c:pt idx="6">
                  <c:v>105.94577645670344</c:v>
                </c:pt>
                <c:pt idx="7">
                  <c:v>105.93862534542966</c:v>
                </c:pt>
                <c:pt idx="8">
                  <c:v>105.93079781807131</c:v>
                </c:pt>
                <c:pt idx="9">
                  <c:v>105.92223128926153</c:v>
                </c:pt>
                <c:pt idx="10">
                  <c:v>105.91285765816005</c:v>
                </c:pt>
                <c:pt idx="11">
                  <c:v>105.90260287643744</c:v>
                </c:pt>
                <c:pt idx="12">
                  <c:v>105.89138649312503</c:v>
                </c:pt>
                <c:pt idx="13">
                  <c:v>105.87912117734271</c:v>
                </c:pt>
                <c:pt idx="14">
                  <c:v>105.86571222052379</c:v>
                </c:pt>
                <c:pt idx="15">
                  <c:v>105.85105702048429</c:v>
                </c:pt>
                <c:pt idx="16">
                  <c:v>105.83504455054711</c:v>
                </c:pt>
                <c:pt idx="17">
                  <c:v>105.8175548179407</c:v>
                </c:pt>
                <c:pt idx="18">
                  <c:v>105.79845831686379</c:v>
                </c:pt>
                <c:pt idx="19">
                  <c:v>105.77761548294241</c:v>
                </c:pt>
                <c:pt idx="20">
                  <c:v>105.75487615731856</c:v>
                </c:pt>
                <c:pt idx="21">
                  <c:v>105.73007907028855</c:v>
                </c:pt>
                <c:pt idx="22">
                  <c:v>105.70305135625038</c:v>
                </c:pt>
                <c:pt idx="23">
                  <c:v>105.67360811370318</c:v>
                </c:pt>
                <c:pt idx="24">
                  <c:v>105.64155202612503</c:v>
                </c:pt>
                <c:pt idx="25">
                  <c:v>105.60667306169734</c:v>
                </c:pt>
                <c:pt idx="26">
                  <c:v>105.56874827196464</c:v>
                </c:pt>
                <c:pt idx="27">
                  <c:v>105.52754171152736</c:v>
                </c:pt>
                <c:pt idx="28">
                  <c:v>105.48280450264284</c:v>
                </c:pt>
                <c:pt idx="29">
                  <c:v>105.43427507000756</c:v>
                </c:pt>
                <c:pt idx="30">
                  <c:v>105.38167957184582</c:v>
                </c:pt>
                <c:pt idx="31">
                  <c:v>105.3247325535376</c:v>
                </c:pt>
                <c:pt idx="32">
                  <c:v>105.26313784917792</c:v>
                </c:pt>
                <c:pt idx="33">
                  <c:v>105.1965897544525</c:v>
                </c:pt>
                <c:pt idx="34">
                  <c:v>105.12477449083606</c:v>
                </c:pt>
                <c:pt idx="35">
                  <c:v>105.04737197619262</c:v>
                </c:pt>
                <c:pt idx="36">
                  <c:v>104.96405791025222</c:v>
                </c:pt>
                <c:pt idx="37">
                  <c:v>104.87450617510677</c:v>
                </c:pt>
                <c:pt idx="38">
                  <c:v>104.77839154086496</c:v>
                </c:pt>
                <c:pt idx="39">
                  <c:v>104.67539265511373</c:v>
                </c:pt>
                <c:pt idx="40">
                  <c:v>104.56519528218664</c:v>
                </c:pt>
                <c:pt idx="41">
                  <c:v>104.44749574493444</c:v>
                </c:pt>
                <c:pt idx="42">
                  <c:v>104.32200450837561</c:v>
                </c:pt>
                <c:pt idx="43">
                  <c:v>104.18844983205933</c:v>
                </c:pt>
                <c:pt idx="44">
                  <c:v>104.0465814070798</c:v>
                </c:pt>
                <c:pt idx="45">
                  <c:v>103.89617388533611</c:v>
                </c:pt>
                <c:pt idx="46">
                  <c:v>103.73703020369709</c:v>
                </c:pt>
                <c:pt idx="47">
                  <c:v>103.56898460492438</c:v>
                </c:pt>
                <c:pt idx="48">
                  <c:v>103.39190526101798</c:v>
                </c:pt>
                <c:pt idx="49">
                  <c:v>103.2056964132766</c:v>
                </c:pt>
                <c:pt idx="50">
                  <c:v>103.01029995663964</c:v>
                </c:pt>
                <c:pt idx="51">
                  <c:v>102.80569641327655</c:v>
                </c:pt>
                <c:pt idx="52">
                  <c:v>102.5919052610179</c:v>
                </c:pt>
                <c:pt idx="53">
                  <c:v>102.36898460492424</c:v>
                </c:pt>
                <c:pt idx="54">
                  <c:v>102.13703020369699</c:v>
                </c:pt>
                <c:pt idx="55">
                  <c:v>101.89617388533593</c:v>
                </c:pt>
                <c:pt idx="56">
                  <c:v>101.64658140707961</c:v>
                </c:pt>
                <c:pt idx="57">
                  <c:v>101.38844983205908</c:v>
                </c:pt>
                <c:pt idx="58">
                  <c:v>101.12200450837533</c:v>
                </c:pt>
                <c:pt idx="59">
                  <c:v>100.84749574493409</c:v>
                </c:pt>
                <c:pt idx="60">
                  <c:v>100.56519528218624</c:v>
                </c:pt>
                <c:pt idx="61">
                  <c:v>100.27539265511334</c:v>
                </c:pt>
                <c:pt idx="62">
                  <c:v>99.978391540864493</c:v>
                </c:pt>
                <c:pt idx="63">
                  <c:v>99.674506175106217</c:v>
                </c:pt>
                <c:pt idx="64">
                  <c:v>99.364057910251603</c:v>
                </c:pt>
                <c:pt idx="65">
                  <c:v>99.047371976191982</c:v>
                </c:pt>
                <c:pt idx="66">
                  <c:v>98.724774490835316</c:v>
                </c:pt>
                <c:pt idx="67">
                  <c:v>98.396589754451682</c:v>
                </c:pt>
                <c:pt idx="68">
                  <c:v>98.063137849177053</c:v>
                </c:pt>
                <c:pt idx="69">
                  <c:v>97.724732553536583</c:v>
                </c:pt>
                <c:pt idx="70">
                  <c:v>97.3816795718447</c:v>
                </c:pt>
                <c:pt idx="71">
                  <c:v>97.034275070006345</c:v>
                </c:pt>
                <c:pt idx="72">
                  <c:v>96.682804502641503</c:v>
                </c:pt>
                <c:pt idx="73">
                  <c:v>96.327541711525939</c:v>
                </c:pt>
                <c:pt idx="74">
                  <c:v>95.968748271963037</c:v>
                </c:pt>
                <c:pt idx="75">
                  <c:v>95.606673061695588</c:v>
                </c:pt>
                <c:pt idx="76">
                  <c:v>95.241552026123117</c:v>
                </c:pt>
                <c:pt idx="77">
                  <c:v>94.873608113701067</c:v>
                </c:pt>
                <c:pt idx="78">
                  <c:v>94.503051356248079</c:v>
                </c:pt>
                <c:pt idx="79">
                  <c:v>94.13007907028603</c:v>
                </c:pt>
                <c:pt idx="80">
                  <c:v>93.754876157315778</c:v>
                </c:pt>
                <c:pt idx="81">
                  <c:v>93.377615482939333</c:v>
                </c:pt>
                <c:pt idx="82">
                  <c:v>92.998458316860422</c:v>
                </c:pt>
                <c:pt idx="83">
                  <c:v>92.617554817936991</c:v>
                </c:pt>
                <c:pt idx="84">
                  <c:v>92.235044550543051</c:v>
                </c:pt>
                <c:pt idx="85">
                  <c:v>91.851057020479857</c:v>
                </c:pt>
                <c:pt idx="86">
                  <c:v>91.46571222051891</c:v>
                </c:pt>
                <c:pt idx="87">
                  <c:v>91.079121177337356</c:v>
                </c:pt>
                <c:pt idx="88">
                  <c:v>90.691386493119154</c:v>
                </c:pt>
                <c:pt idx="89">
                  <c:v>90.30260287643101</c:v>
                </c:pt>
                <c:pt idx="90">
                  <c:v>89.912857658153044</c:v>
                </c:pt>
                <c:pt idx="91">
                  <c:v>89.522231289253824</c:v>
                </c:pt>
                <c:pt idx="92">
                  <c:v>89.130797818062916</c:v>
                </c:pt>
                <c:pt idx="93">
                  <c:v>88.738625345420473</c:v>
                </c:pt>
                <c:pt idx="94">
                  <c:v>88.345776456693301</c:v>
                </c:pt>
                <c:pt idx="95">
                  <c:v>87.952308630143975</c:v>
                </c:pt>
                <c:pt idx="96">
                  <c:v>87.558274621546673</c:v>
                </c:pt>
                <c:pt idx="97">
                  <c:v>87.163722825268991</c:v>
                </c:pt>
                <c:pt idx="98">
                  <c:v>86.768697612292755</c:v>
                </c:pt>
                <c:pt idx="99">
                  <c:v>86.373239645842446</c:v>
                </c:pt>
                <c:pt idx="100">
                  <c:v>85.977386175435612</c:v>
                </c:pt>
                <c:pt idx="101">
                  <c:v>85.581171310275096</c:v>
                </c:pt>
                <c:pt idx="102">
                  <c:v>85.184626272969027</c:v>
                </c:pt>
                <c:pt idx="103">
                  <c:v>84.787779634610217</c:v>
                </c:pt>
                <c:pt idx="104">
                  <c:v>84.390657532262367</c:v>
                </c:pt>
                <c:pt idx="105">
                  <c:v>83.993283869902399</c:v>
                </c:pt>
                <c:pt idx="106">
                  <c:v>83.595680503854638</c:v>
                </c:pt>
                <c:pt idx="107">
                  <c:v>83.197867413729028</c:v>
                </c:pt>
                <c:pt idx="108">
                  <c:v>82.799862859841241</c:v>
                </c:pt>
                <c:pt idx="109">
                  <c:v>82.401683528055329</c:v>
                </c:pt>
                <c:pt idx="110">
                  <c:v>82.003344662947555</c:v>
                </c:pt>
                <c:pt idx="111">
                  <c:v>81.60486019014327</c:v>
                </c:pt>
                <c:pt idx="112">
                  <c:v>81.206242828632696</c:v>
                </c:pt>
                <c:pt idx="113">
                  <c:v>80.807504193825878</c:v>
                </c:pt>
                <c:pt idx="114">
                  <c:v>80.408654892057626</c:v>
                </c:pt>
                <c:pt idx="115">
                  <c:v>80.009704607210111</c:v>
                </c:pt>
                <c:pt idx="116">
                  <c:v>79.610662180073774</c:v>
                </c:pt>
                <c:pt idx="117">
                  <c:v>79.211535681027456</c:v>
                </c:pt>
                <c:pt idx="118">
                  <c:v>78.812332476573317</c:v>
                </c:pt>
                <c:pt idx="119">
                  <c:v>78.41305929022721</c:v>
                </c:pt>
                <c:pt idx="120">
                  <c:v>78.013722258225641</c:v>
                </c:pt>
                <c:pt idx="121">
                  <c:v>77.614326980476349</c:v>
                </c:pt>
                <c:pt idx="122">
                  <c:v>77.214878567147025</c:v>
                </c:pt>
                <c:pt idx="123">
                  <c:v>76.815381681255261</c:v>
                </c:pt>
                <c:pt idx="124">
                  <c:v>76.415840577595603</c:v>
                </c:pt>
                <c:pt idx="125">
                  <c:v>76.016259138310829</c:v>
                </c:pt>
                <c:pt idx="126">
                  <c:v>75.616640905392089</c:v>
                </c:pt>
                <c:pt idx="127">
                  <c:v>75.21698911036745</c:v>
                </c:pt>
                <c:pt idx="128">
                  <c:v>74.817306701419199</c:v>
                </c:pt>
                <c:pt idx="129">
                  <c:v>74.417596368147926</c:v>
                </c:pt>
                <c:pt idx="130">
                  <c:v>74.017860564186378</c:v>
                </c:pt>
                <c:pt idx="131">
                  <c:v>73.618101527846363</c:v>
                </c:pt>
                <c:pt idx="132">
                  <c:v>73.218321300968555</c:v>
                </c:pt>
                <c:pt idx="133">
                  <c:v>72.818521746130031</c:v>
                </c:pt>
                <c:pt idx="134">
                  <c:v>72.418704562350513</c:v>
                </c:pt>
                <c:pt idx="135">
                  <c:v>72.018871299428682</c:v>
                </c:pt>
                <c:pt idx="136">
                  <c:v>71.61902337102569</c:v>
                </c:pt>
                <c:pt idx="137">
                  <c:v>71.219162066605605</c:v>
                </c:pt>
                <c:pt idx="138">
                  <c:v>70.819288562331195</c:v>
                </c:pt>
                <c:pt idx="139">
                  <c:v>70.419403931007167</c:v>
                </c:pt>
                <c:pt idx="140">
                  <c:v>70.019509151151951</c:v>
                </c:pt>
                <c:pt idx="141">
                  <c:v>69.619605115275931</c:v>
                </c:pt>
                <c:pt idx="142">
                  <c:v>69.219692637433553</c:v>
                </c:pt>
                <c:pt idx="143">
                  <c:v>68.819772460114308</c:v>
                </c:pt>
                <c:pt idx="144">
                  <c:v>68.419845260528547</c:v>
                </c:pt>
                <c:pt idx="145">
                  <c:v>68.019911656343098</c:v>
                </c:pt>
                <c:pt idx="146">
                  <c:v>67.619972210912721</c:v>
                </c:pt>
                <c:pt idx="147">
                  <c:v>67.22002743805308</c:v>
                </c:pt>
                <c:pt idx="148">
                  <c:v>66.820077806394337</c:v>
                </c:pt>
                <c:pt idx="149">
                  <c:v>66.420123743353216</c:v>
                </c:pt>
                <c:pt idx="150">
                  <c:v>66.02016563875523</c:v>
                </c:pt>
                <c:pt idx="151">
                  <c:v>65.620203848139951</c:v>
                </c:pt>
                <c:pt idx="152">
                  <c:v>65.220238695774853</c:v>
                </c:pt>
                <c:pt idx="153">
                  <c:v>64.820270477405103</c:v>
                </c:pt>
                <c:pt idx="154">
                  <c:v>64.420299462761633</c:v>
                </c:pt>
                <c:pt idx="155">
                  <c:v>64.020325897848466</c:v>
                </c:pt>
                <c:pt idx="156">
                  <c:v>63.620350007029302</c:v>
                </c:pt>
                <c:pt idx="157">
                  <c:v>63.220371994930687</c:v>
                </c:pt>
                <c:pt idx="158">
                  <c:v>62.820392048177879</c:v>
                </c:pt>
                <c:pt idx="159">
                  <c:v>62.420410336977852</c:v>
                </c:pt>
                <c:pt idx="160">
                  <c:v>62.020427016563595</c:v>
                </c:pt>
                <c:pt idx="161">
                  <c:v>61.620442228510925</c:v>
                </c:pt>
                <c:pt idx="162">
                  <c:v>61.220456101939604</c:v>
                </c:pt>
                <c:pt idx="163">
                  <c:v>60.820468754609578</c:v>
                </c:pt>
                <c:pt idx="164">
                  <c:v>60.420480293919539</c:v>
                </c:pt>
                <c:pt idx="165">
                  <c:v>60.020490817818505</c:v>
                </c:pt>
                <c:pt idx="166">
                  <c:v>59.620500415637323</c:v>
                </c:pt>
                <c:pt idx="167">
                  <c:v>59.220509168846149</c:v>
                </c:pt>
                <c:pt idx="168">
                  <c:v>58.820517151746579</c:v>
                </c:pt>
                <c:pt idx="169">
                  <c:v>58.420524432101395</c:v>
                </c:pt>
                <c:pt idx="170">
                  <c:v>58.020531071710693</c:v>
                </c:pt>
                <c:pt idx="171">
                  <c:v>57.620537126935325</c:v>
                </c:pt>
                <c:pt idx="172">
                  <c:v>57.220542649176082</c:v>
                </c:pt>
                <c:pt idx="173">
                  <c:v>56.820547685309371</c:v>
                </c:pt>
                <c:pt idx="174">
                  <c:v>56.42055227808568</c:v>
                </c:pt>
                <c:pt idx="175">
                  <c:v>56.020556466491811</c:v>
                </c:pt>
                <c:pt idx="176">
                  <c:v>55.62056028608211</c:v>
                </c:pt>
                <c:pt idx="177">
                  <c:v>55.220563769280375</c:v>
                </c:pt>
                <c:pt idx="178">
                  <c:v>54.82056694565474</c:v>
                </c:pt>
                <c:pt idx="179">
                  <c:v>54.420569842168973</c:v>
                </c:pt>
                <c:pt idx="180">
                  <c:v>54.020572483411136</c:v>
                </c:pt>
                <c:pt idx="181">
                  <c:v>53.620574891802413</c:v>
                </c:pt>
                <c:pt idx="182">
                  <c:v>53.220577087787305</c:v>
                </c:pt>
                <c:pt idx="183">
                  <c:v>52.820579090007314</c:v>
                </c:pt>
                <c:pt idx="184">
                  <c:v>52.42058091545902</c:v>
                </c:pt>
                <c:pt idx="185">
                  <c:v>52.020582579638692</c:v>
                </c:pt>
                <c:pt idx="186">
                  <c:v>51.620584096673326</c:v>
                </c:pt>
                <c:pt idx="187">
                  <c:v>51.220585479440956</c:v>
                </c:pt>
                <c:pt idx="188">
                  <c:v>50.820586739679833</c:v>
                </c:pt>
                <c:pt idx="189">
                  <c:v>50.420587888088065</c:v>
                </c:pt>
                <c:pt idx="190">
                  <c:v>50.020588934414455</c:v>
                </c:pt>
                <c:pt idx="191">
                  <c:v>49.6205898875412</c:v>
                </c:pt>
                <c:pt idx="192">
                  <c:v>49.220590755559414</c:v>
                </c:pt>
                <c:pt idx="193">
                  <c:v>48.820591545837594</c:v>
                </c:pt>
                <c:pt idx="194">
                  <c:v>48.42059226508453</c:v>
                </c:pt>
                <c:pt idx="195">
                  <c:v>48.020592919405772</c:v>
                </c:pt>
                <c:pt idx="196">
                  <c:v>47.620593514355939</c:v>
                </c:pt>
                <c:pt idx="197">
                  <c:v>47.220594054985526</c:v>
                </c:pt>
                <c:pt idx="198">
                  <c:v>46.820594545883992</c:v>
                </c:pt>
                <c:pt idx="199">
                  <c:v>46.420594991218479</c:v>
                </c:pt>
                <c:pt idx="200">
                  <c:v>46.02059539476943</c:v>
                </c:pt>
                <c:pt idx="201">
                  <c:v>45.620595759962718</c:v>
                </c:pt>
                <c:pt idx="202">
                  <c:v>45.220596089898429</c:v>
                </c:pt>
                <c:pt idx="203">
                  <c:v>44.820596387377314</c:v>
                </c:pt>
                <c:pt idx="204">
                  <c:v>44.420596654924708</c:v>
                </c:pt>
                <c:pt idx="205">
                  <c:v>44.020596894811817</c:v>
                </c:pt>
                <c:pt idx="206">
                  <c:v>43.620597109075121</c:v>
                </c:pt>
                <c:pt idx="207">
                  <c:v>43.220597299533402</c:v>
                </c:pt>
                <c:pt idx="208">
                  <c:v>42.820597467803573</c:v>
                </c:pt>
                <c:pt idx="209">
                  <c:v>42.420597615314037</c:v>
                </c:pt>
                <c:pt idx="210">
                  <c:v>42.020597743316905</c:v>
                </c:pt>
                <c:pt idx="211">
                  <c:v>41.620597852898982</c:v>
                </c:pt>
                <c:pt idx="212">
                  <c:v>41.220597944990402</c:v>
                </c:pt>
                <c:pt idx="213">
                  <c:v>40.820598020372969</c:v>
                </c:pt>
                <c:pt idx="214">
                  <c:v>40.420598079686556</c:v>
                </c:pt>
                <c:pt idx="215">
                  <c:v>40.020598123434695</c:v>
                </c:pt>
                <c:pt idx="216">
                  <c:v>39.62059815198883</c:v>
                </c:pt>
                <c:pt idx="217">
                  <c:v>39.220598165591284</c:v>
                </c:pt>
                <c:pt idx="218">
                  <c:v>38.820598164357563</c:v>
                </c:pt>
                <c:pt idx="219">
                  <c:v>38.420598148277222</c:v>
                </c:pt>
                <c:pt idx="220">
                  <c:v>38.020598117213638</c:v>
                </c:pt>
                <c:pt idx="221">
                  <c:v>37.620598070903313</c:v>
                </c:pt>
                <c:pt idx="222">
                  <c:v>37.220598008952841</c:v>
                </c:pt>
                <c:pt idx="223">
                  <c:v>36.820597930836541</c:v>
                </c:pt>
                <c:pt idx="224">
                  <c:v>36.420597835891272</c:v>
                </c:pt>
                <c:pt idx="225">
                  <c:v>36.020597723310942</c:v>
                </c:pt>
                <c:pt idx="226">
                  <c:v>35.620597592139873</c:v>
                </c:pt>
                <c:pt idx="227">
                  <c:v>35.220597441264665</c:v>
                </c:pt>
                <c:pt idx="228">
                  <c:v>34.820597269404367</c:v>
                </c:pt>
                <c:pt idx="229">
                  <c:v>34.420597075100133</c:v>
                </c:pt>
                <c:pt idx="230">
                  <c:v>34.020596856702575</c:v>
                </c:pt>
                <c:pt idx="231">
                  <c:v>33.620596612357652</c:v>
                </c:pt>
                <c:pt idx="232">
                  <c:v>33.220596339991047</c:v>
                </c:pt>
                <c:pt idx="233">
                  <c:v>32.820596037290741</c:v>
                </c:pt>
                <c:pt idx="234">
                  <c:v>32.420595701687077</c:v>
                </c:pt>
                <c:pt idx="235">
                  <c:v>32.020595330331062</c:v>
                </c:pt>
                <c:pt idx="236">
                  <c:v>31.620594920070346</c:v>
                </c:pt>
                <c:pt idx="237">
                  <c:v>31.220594467422103</c:v>
                </c:pt>
                <c:pt idx="238">
                  <c:v>30.820593968543932</c:v>
                </c:pt>
                <c:pt idx="239">
                  <c:v>30.420593419200735</c:v>
                </c:pt>
                <c:pt idx="240">
                  <c:v>30.020592814729248</c:v>
                </c:pt>
                <c:pt idx="241">
                  <c:v>29.620592149997961</c:v>
                </c:pt>
                <c:pt idx="242">
                  <c:v>29.220591419364151</c:v>
                </c:pt>
                <c:pt idx="243">
                  <c:v>28.82059061662537</c:v>
                </c:pt>
                <c:pt idx="244">
                  <c:v>28.420589734967237</c:v>
                </c:pt>
                <c:pt idx="245">
                  <c:v>28.020588766905341</c:v>
                </c:pt>
                <c:pt idx="246">
                  <c:v>27.620587704221826</c:v>
                </c:pt>
                <c:pt idx="247">
                  <c:v>27.22058653789567</c:v>
                </c:pt>
                <c:pt idx="248">
                  <c:v>26.820585258025897</c:v>
                </c:pt>
                <c:pt idx="249">
                  <c:v>26.420583853747818</c:v>
                </c:pt>
                <c:pt idx="250">
                  <c:v>26.020582313140441</c:v>
                </c:pt>
                <c:pt idx="251">
                  <c:v>25.620580623125864</c:v>
                </c:pt>
                <c:pt idx="252">
                  <c:v>25.220578769357566</c:v>
                </c:pt>
                <c:pt idx="253">
                  <c:v>24.820576736099053</c:v>
                </c:pt>
                <c:pt idx="254">
                  <c:v>24.420574506090212</c:v>
                </c:pt>
                <c:pt idx="255">
                  <c:v>24.020572060400781</c:v>
                </c:pt>
                <c:pt idx="256">
                  <c:v>23.620569378269483</c:v>
                </c:pt>
                <c:pt idx="257">
                  <c:v>23.220566436928166</c:v>
                </c:pt>
                <c:pt idx="258">
                  <c:v>22.820563211408199</c:v>
                </c:pt>
                <c:pt idx="259">
                  <c:v>22.420559674328679</c:v>
                </c:pt>
                <c:pt idx="260">
                  <c:v>22.020555795664109</c:v>
                </c:pt>
                <c:pt idx="261">
                  <c:v>21.620551542489174</c:v>
                </c:pt>
                <c:pt idx="262">
                  <c:v>21.220546878699814</c:v>
                </c:pt>
                <c:pt idx="263">
                  <c:v>20.820541764706213</c:v>
                </c:pt>
                <c:pt idx="264">
                  <c:v>20.420536157097295</c:v>
                </c:pt>
                <c:pt idx="265">
                  <c:v>20.020530008271862</c:v>
                </c:pt>
                <c:pt idx="266">
                  <c:v>19.620523266034596</c:v>
                </c:pt>
                <c:pt idx="267">
                  <c:v>19.220515873153506</c:v>
                </c:pt>
                <c:pt idx="268">
                  <c:v>18.820507766873565</c:v>
                </c:pt>
                <c:pt idx="269">
                  <c:v>18.420498878384436</c:v>
                </c:pt>
                <c:pt idx="270">
                  <c:v>18.02048913223647</c:v>
                </c:pt>
                <c:pt idx="271">
                  <c:v>17.620478445700428</c:v>
                </c:pt>
                <c:pt idx="272">
                  <c:v>17.220466728065183</c:v>
                </c:pt>
                <c:pt idx="273">
                  <c:v>16.820453879868033</c:v>
                </c:pt>
                <c:pt idx="274">
                  <c:v>16.420439792050768</c:v>
                </c:pt>
                <c:pt idx="275">
                  <c:v>16.020424345034115</c:v>
                </c:pt>
                <c:pt idx="276">
                  <c:v>15.62040740770296</c:v>
                </c:pt>
                <c:pt idx="277">
                  <c:v>15.220388836294113</c:v>
                </c:pt>
                <c:pt idx="278">
                  <c:v>14.820368473176329</c:v>
                </c:pt>
                <c:pt idx="279">
                  <c:v>14.420346145512651</c:v>
                </c:pt>
                <c:pt idx="280">
                  <c:v>14.020321663794807</c:v>
                </c:pt>
                <c:pt idx="281">
                  <c:v>13.620294820234749</c:v>
                </c:pt>
                <c:pt idx="282">
                  <c:v>13.220265387002744</c:v>
                </c:pt>
                <c:pt idx="283">
                  <c:v>12.820233114294311</c:v>
                </c:pt>
                <c:pt idx="284">
                  <c:v>12.420197728211804</c:v>
                </c:pt>
                <c:pt idx="285">
                  <c:v>12.020158928441539</c:v>
                </c:pt>
                <c:pt idx="286">
                  <c:v>11.620116385707121</c:v>
                </c:pt>
                <c:pt idx="287">
                  <c:v>11.220069738977301</c:v>
                </c:pt>
                <c:pt idx="288">
                  <c:v>10.820018592405356</c:v>
                </c:pt>
                <c:pt idx="289">
                  <c:v>10.419962511973472</c:v>
                </c:pt>
                <c:pt idx="290">
                  <c:v>10.019901021813647</c:v>
                </c:pt>
                <c:pt idx="291">
                  <c:v>9.6198336001754559</c:v>
                </c:pt>
                <c:pt idx="292">
                  <c:v>9.2197596750044877</c:v>
                </c:pt>
                <c:pt idx="293">
                  <c:v>8.8196786190964591</c:v>
                </c:pt>
                <c:pt idx="294">
                  <c:v>8.4195897447846892</c:v>
                </c:pt>
                <c:pt idx="295">
                  <c:v>8.0194922981165533</c:v>
                </c:pt>
                <c:pt idx="296">
                  <c:v>7.6193854524705067</c:v>
                </c:pt>
                <c:pt idx="297">
                  <c:v>7.2192683015592234</c:v>
                </c:pt>
                <c:pt idx="298">
                  <c:v>6.8191398517612392</c:v>
                </c:pt>
                <c:pt idx="299">
                  <c:v>6.4189990137155952</c:v>
                </c:pt>
                <c:pt idx="300">
                  <c:v>6.0188445931103107</c:v>
                </c:pt>
                <c:pt idx="301">
                  <c:v>5.6186752805862739</c:v>
                </c:pt>
                <c:pt idx="302">
                  <c:v>5.2184896406748287</c:v>
                </c:pt>
                <c:pt idx="303">
                  <c:v>4.8182860996732373</c:v>
                </c:pt>
                <c:pt idx="304">
                  <c:v>4.4180629323607725</c:v>
                </c:pt>
                <c:pt idx="305">
                  <c:v>4.0178182474431665</c:v>
                </c:pt>
                <c:pt idx="306">
                  <c:v>3.617549971605218</c:v>
                </c:pt>
                <c:pt idx="307">
                  <c:v>3.2172558320402231</c:v>
                </c:pt>
                <c:pt idx="308">
                  <c:v>2.8169333373120669</c:v>
                </c:pt>
                <c:pt idx="309">
                  <c:v>2.4165797563931086</c:v>
                </c:pt>
                <c:pt idx="310">
                  <c:v>2.0161920957052875</c:v>
                </c:pt>
                <c:pt idx="311">
                  <c:v>1.6157670739789367</c:v>
                </c:pt>
                <c:pt idx="312">
                  <c:v>1.2153010947231309</c:v>
                </c:pt>
                <c:pt idx="313">
                  <c:v>0.81479021608592639</c:v>
                </c:pt>
                <c:pt idx="314">
                  <c:v>0.41423011786178421</c:v>
                </c:pt>
                <c:pt idx="315">
                  <c:v>1.3616065382061393E-2</c:v>
                </c:pt>
                <c:pt idx="316">
                  <c:v>-0.38705713000024744</c:v>
                </c:pt>
                <c:pt idx="317">
                  <c:v>-0.78779515414184864</c:v>
                </c:pt>
                <c:pt idx="318">
                  <c:v>-1.1886042373981525</c:v>
                </c:pt>
                <c:pt idx="319">
                  <c:v>-1.5894912063376836</c:v>
                </c:pt>
                <c:pt idx="320">
                  <c:v>-1.9904635402812811</c:v>
                </c:pt>
                <c:pt idx="321">
                  <c:v>-2.391529433099274</c:v>
                </c:pt>
                <c:pt idx="322">
                  <c:v>-2.7926978607343358</c:v>
                </c:pt>
                <c:pt idx="323">
                  <c:v>-3.1939786549546163</c:v>
                </c:pt>
                <c:pt idx="324">
                  <c:v>-3.5953825838831044</c:v>
                </c:pt>
                <c:pt idx="325">
                  <c:v>-3.9969214398878492</c:v>
                </c:pt>
                <c:pt idx="326">
                  <c:v>-4.3986081354633448</c:v>
                </c:pt>
                <c:pt idx="327">
                  <c:v>-4.800456807776138</c:v>
                </c:pt>
                <c:pt idx="328">
                  <c:v>-5.202482932595446</c:v>
                </c:pt>
                <c:pt idx="329">
                  <c:v>-5.6047034483755684</c:v>
                </c:pt>
                <c:pt idx="330">
                  <c:v>-6.0071368913031993</c:v>
                </c:pt>
                <c:pt idx="331">
                  <c:v>-6.4098035421711952</c:v>
                </c:pt>
                <c:pt idx="332">
                  <c:v>-6.8127255859829567</c:v>
                </c:pt>
                <c:pt idx="333">
                  <c:v>-7.2159272852347867</c:v>
                </c:pt>
                <c:pt idx="334">
                  <c:v>-7.6194351678614103</c:v>
                </c:pt>
                <c:pt idx="335">
                  <c:v>-8.0232782308605444</c:v>
                </c:pt>
                <c:pt idx="336">
                  <c:v>-8.4274881606348053</c:v>
                </c:pt>
                <c:pt idx="337">
                  <c:v>-8.8320995711024821</c:v>
                </c:pt>
                <c:pt idx="338">
                  <c:v>-9.237150260622176</c:v>
                </c:pt>
                <c:pt idx="339">
                  <c:v>-9.6426814887570504</c:v>
                </c:pt>
                <c:pt idx="340">
                  <c:v>-10.048738273856879</c:v>
                </c:pt>
                <c:pt idx="341">
                  <c:v>-10.455369712361206</c:v>
                </c:pt>
                <c:pt idx="342">
                  <c:v>-10.862629320617934</c:v>
                </c:pt>
                <c:pt idx="343">
                  <c:v>-11.27057539985636</c:v>
                </c:pt>
                <c:pt idx="344">
                  <c:v>-11.679271424750983</c:v>
                </c:pt>
                <c:pt idx="345">
                  <c:v>-12.088786455744511</c:v>
                </c:pt>
                <c:pt idx="346">
                  <c:v>-12.49919557496319</c:v>
                </c:pt>
                <c:pt idx="347">
                  <c:v>-12.910580345135276</c:v>
                </c:pt>
                <c:pt idx="348">
                  <c:v>-13.323029290407232</c:v>
                </c:pt>
                <c:pt idx="349">
                  <c:v>-13.736638397326052</c:v>
                </c:pt>
                <c:pt idx="350">
                  <c:v>-14.151511633506162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3A-4D91-9217-1B4C3BCD0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Stray'!$L$3:$L$353</c:f>
            </c:numRef>
          </c:yVal>
          <c:smooth val="0"/>
          <c:extLst>
            <c:ext xmlns:c16="http://schemas.microsoft.com/office/drawing/2014/chart" uri="{C3380CC4-5D6E-409C-BE32-E72D297353CC}">
              <c16:uniqueId val="{00000003-E33A-4D91-9217-1B4C3BCD0F6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Stray'!$Q$3:$Q$353</c:f>
            </c:numRef>
          </c:yVal>
          <c:smooth val="0"/>
          <c:extLst>
            <c:ext xmlns:c16="http://schemas.microsoft.com/office/drawing/2014/chart" uri="{C3380CC4-5D6E-409C-BE32-E72D297353CC}">
              <c16:uniqueId val="{00000004-E33A-4D91-9217-1B4C3BCD0F6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 Using B'!$H$3:$H$353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 Using B'!$S$3:$S$353</c:f>
              <c:numCache>
                <c:formatCode>General</c:formatCode>
                <c:ptCount val="351"/>
                <c:pt idx="0">
                  <c:v>174.28940571050035</c:v>
                </c:pt>
                <c:pt idx="1">
                  <c:v>174.02217912960916</c:v>
                </c:pt>
                <c:pt idx="2">
                  <c:v>173.74263821910642</c:v>
                </c:pt>
                <c:pt idx="3">
                  <c:v>173.4502433842529</c:v>
                </c:pt>
                <c:pt idx="4">
                  <c:v>173.14443546763803</c:v>
                </c:pt>
                <c:pt idx="5">
                  <c:v>172.82463565320822</c:v>
                </c:pt>
                <c:pt idx="6">
                  <c:v>172.49024547731497</c:v>
                </c:pt>
                <c:pt idx="7">
                  <c:v>172.1406469656915</c:v>
                </c:pt>
                <c:pt idx="8">
                  <c:v>171.77520291757355</c:v>
                </c:pt>
                <c:pt idx="9">
                  <c:v>171.39325736066337</c:v>
                </c:pt>
                <c:pt idx="10">
                  <c:v>170.99413620327155</c:v>
                </c:pt>
                <c:pt idx="11">
                  <c:v>170.57714811275142</c:v>
                </c:pt>
                <c:pt idx="12">
                  <c:v>170.14158565221314</c:v>
                </c:pt>
                <c:pt idx="13">
                  <c:v>169.6867267104283</c:v>
                </c:pt>
                <c:pt idx="14">
                  <c:v>169.21183626274112</c:v>
                </c:pt>
                <c:pt idx="15">
                  <c:v>168.71616850358998</c:v>
                </c:pt>
                <c:pt idx="16">
                  <c:v>168.198969393803</c:v>
                </c:pt>
                <c:pt idx="17">
                  <c:v>167.65947966800366</c:v>
                </c:pt>
                <c:pt idx="18">
                  <c:v>167.09693834907466</c:v>
                </c:pt>
                <c:pt idx="19">
                  <c:v>166.51058681744416</c:v>
                </c:pt>
                <c:pt idx="20">
                  <c:v>165.89967348271756</c:v>
                </c:pt>
                <c:pt idx="21">
                  <c:v>165.26345910357443</c:v>
                </c:pt>
                <c:pt idx="22">
                  <c:v>164.60122279852146</c:v>
                </c:pt>
                <c:pt idx="23">
                  <c:v>163.91226878466284</c:v>
                </c:pt>
                <c:pt idx="24">
                  <c:v>163.19593387367701</c:v>
                </c:pt>
                <c:pt idx="25">
                  <c:v>162.45159574326379</c:v>
                </c:pt>
                <c:pt idx="26">
                  <c:v>161.67868198798553</c:v>
                </c:pt>
                <c:pt idx="27">
                  <c:v>160.87667993530388</c:v>
                </c:pt>
                <c:pt idx="28">
                  <c:v>160.04514719035996</c:v>
                </c:pt>
                <c:pt idx="29">
                  <c:v>159.18372284648248</c:v>
                </c:pt>
                <c:pt idx="30">
                  <c:v>158.29213926749631</c:v>
                </c:pt>
                <c:pt idx="31">
                  <c:v>157.37023431288884</c:v>
                </c:pt>
                <c:pt idx="32">
                  <c:v>156.41796383830138</c:v>
                </c:pt>
                <c:pt idx="33">
                  <c:v>155.43541426258452</c:v>
                </c:pt>
                <c:pt idx="34">
                  <c:v>154.42281495016181</c:v>
                </c:pt>
                <c:pt idx="35">
                  <c:v>153.38055011553021</c:v>
                </c:pt>
                <c:pt idx="36">
                  <c:v>152.30916991773756</c:v>
                </c:pt>
                <c:pt idx="37">
                  <c:v>151.20940037939718</c:v>
                </c:pt>
                <c:pt idx="38">
                  <c:v>150.08215174036522</c:v>
                </c:pt>
                <c:pt idx="39">
                  <c:v>148.92852484393691</c:v>
                </c:pt>
                <c:pt idx="40">
                  <c:v>147.74981515657794</c:v>
                </c:pt>
                <c:pt idx="41">
                  <c:v>146.5475140437172</c:v>
                </c:pt>
                <c:pt idx="42">
                  <c:v>145.32330696619201</c:v>
                </c:pt>
                <c:pt idx="43">
                  <c:v>144.07906832572252</c:v>
                </c:pt>
                <c:pt idx="44">
                  <c:v>142.81685277304268</c:v>
                </c:pt>
                <c:pt idx="45">
                  <c:v>141.5388828971287</c:v>
                </c:pt>
                <c:pt idx="46">
                  <c:v>140.24753333465048</c:v>
                </c:pt>
                <c:pt idx="47">
                  <c:v>138.94531146986924</c:v>
                </c:pt>
                <c:pt idx="48">
                  <c:v>137.63483502980353</c:v>
                </c:pt>
                <c:pt idx="49">
                  <c:v>136.31880700956705</c:v>
                </c:pt>
                <c:pt idx="50">
                  <c:v>134.99998848000001</c:v>
                </c:pt>
                <c:pt idx="51">
                  <c:v>133.68116992599747</c:v>
                </c:pt>
                <c:pt idx="52">
                  <c:v>132.36514183240263</c:v>
                </c:pt>
                <c:pt idx="53">
                  <c:v>131.05466526990023</c:v>
                </c:pt>
                <c:pt idx="54">
                  <c:v>129.75244323334462</c:v>
                </c:pt>
                <c:pt idx="55">
                  <c:v>128.46109344938912</c:v>
                </c:pt>
                <c:pt idx="56">
                  <c:v>127.18312330182596</c:v>
                </c:pt>
                <c:pt idx="57">
                  <c:v>125.9209074267483</c:v>
                </c:pt>
                <c:pt idx="58">
                  <c:v>124.67666841244889</c:v>
                </c:pt>
                <c:pt idx="59">
                  <c:v>123.45246090886869</c:v>
                </c:pt>
                <c:pt idx="60">
                  <c:v>122.25015931682381</c:v>
                </c:pt>
                <c:pt idx="61">
                  <c:v>121.07144909613555</c:v>
                </c:pt>
                <c:pt idx="62">
                  <c:v>119.917821611101</c:v>
                </c:pt>
                <c:pt idx="63">
                  <c:v>118.79057232693813</c:v>
                </c:pt>
                <c:pt idx="64">
                  <c:v>117.69080208557288</c:v>
                </c:pt>
                <c:pt idx="65">
                  <c:v>116.61942112537103</c:v>
                </c:pt>
                <c:pt idx="66">
                  <c:v>115.577155467328</c:v>
                </c:pt>
                <c:pt idx="67">
                  <c:v>114.56455526874551</c:v>
                </c:pt>
                <c:pt idx="68">
                  <c:v>113.58200474224084</c:v>
                </c:pt>
                <c:pt idx="69">
                  <c:v>112.62973325022053</c:v>
                </c:pt>
                <c:pt idx="70">
                  <c:v>111.70782720937729</c:v>
                </c:pt>
                <c:pt idx="71">
                  <c:v>110.81624247304843</c:v>
                </c:pt>
                <c:pt idx="72">
                  <c:v>109.9548168982661</c:v>
                </c:pt>
                <c:pt idx="73">
                  <c:v>109.12328284624473</c:v>
                </c:pt>
                <c:pt idx="74">
                  <c:v>108.32127940754003</c:v>
                </c:pt>
                <c:pt idx="75">
                  <c:v>107.54836418435367</c:v>
                </c:pt>
                <c:pt idx="76">
                  <c:v>106.80402450103327</c:v>
                </c:pt>
                <c:pt idx="77">
                  <c:v>106.08768794884764</c:v>
                </c:pt>
                <c:pt idx="78">
                  <c:v>105.39873220201508</c:v>
                </c:pt>
                <c:pt idx="79">
                  <c:v>104.73649406853838</c:v>
                </c:pt>
                <c:pt idx="80">
                  <c:v>104.1002777616431</c:v>
                </c:pt>
                <c:pt idx="81">
                  <c:v>103.48936239574734</c:v>
                </c:pt>
                <c:pt idx="82">
                  <c:v>102.90300872522181</c:v>
                </c:pt>
                <c:pt idx="83">
                  <c:v>102.34046515513542</c:v>
                </c:pt>
                <c:pt idx="84">
                  <c:v>101.80097306114111</c:v>
                </c:pt>
                <c:pt idx="85">
                  <c:v>101.28377146109848</c:v>
                </c:pt>
                <c:pt idx="86">
                  <c:v>100.78810108434877</c:v>
                </c:pt>
                <c:pt idx="87">
                  <c:v>100.31320788616759</c:v>
                </c:pt>
                <c:pt idx="88">
                  <c:v>99.858346055159473</c:v>
                </c:pt>
                <c:pt idx="89">
                  <c:v>99.422780560540104</c:v>
                </c:pt>
                <c:pt idx="90">
                  <c:v>99.005789284645402</c:v>
                </c:pt>
                <c:pt idx="91">
                  <c:v>98.606664783828833</c:v>
                </c:pt>
                <c:pt idx="92">
                  <c:v>98.224715718351931</c:v>
                </c:pt>
                <c:pt idx="93">
                  <c:v>97.859267989083236</c:v>
                </c:pt>
                <c:pt idx="94">
                  <c:v>97.509665615916617</c:v>
                </c:pt>
                <c:pt idx="95">
                  <c:v>97.175271389897063</c:v>
                </c:pt>
                <c:pt idx="96">
                  <c:v>96.855467328166881</c:v>
                </c:pt>
                <c:pt idx="97">
                  <c:v>96.549654958068501</c:v>
                </c:pt>
                <c:pt idx="98">
                  <c:v>96.25725545410198</c:v>
                </c:pt>
                <c:pt idx="99">
                  <c:v>95.977709648952825</c:v>
                </c:pt>
                <c:pt idx="100">
                  <c:v>95.710477937499633</c:v>
                </c:pt>
                <c:pt idx="101">
                  <c:v>95.455040090578009</c:v>
                </c:pt>
                <c:pt idx="102">
                  <c:v>95.210894993330555</c:v>
                </c:pt>
                <c:pt idx="103">
                  <c:v>94.977560321195057</c:v>
                </c:pt>
                <c:pt idx="104">
                  <c:v>94.754572164977262</c:v>
                </c:pt>
                <c:pt idx="105">
                  <c:v>94.541484615008429</c:v>
                </c:pt>
                <c:pt idx="106">
                  <c:v>94.337869313089527</c:v>
                </c:pt>
                <c:pt idx="107">
                  <c:v>94.143314979766558</c:v>
                </c:pt>
                <c:pt idx="108">
                  <c:v>93.957426923450242</c:v>
                </c:pt>
                <c:pt idx="109">
                  <c:v>93.779826536979442</c:v>
                </c:pt>
                <c:pt idx="110">
                  <c:v>93.610150786420149</c:v>
                </c:pt>
                <c:pt idx="111">
                  <c:v>93.448051696179647</c:v>
                </c:pt>
                <c:pt idx="112">
                  <c:v>93.293195833889484</c:v>
                </c:pt>
                <c:pt idx="113">
                  <c:v>93.145263797963651</c:v>
                </c:pt>
                <c:pt idx="114">
                  <c:v>93.003949710257487</c:v>
                </c:pt>
                <c:pt idx="115">
                  <c:v>92.868960715836323</c:v>
                </c:pt>
                <c:pt idx="116">
                  <c:v>92.740016491499389</c:v>
                </c:pt>
                <c:pt idx="117">
                  <c:v>92.616848764389132</c:v>
                </c:pt>
                <c:pt idx="118">
                  <c:v>92.499200841744354</c:v>
                </c:pt>
                <c:pt idx="119">
                  <c:v>92.386827152620796</c:v>
                </c:pt>
                <c:pt idx="120">
                  <c:v>92.279492802200991</c:v>
                </c:pt>
                <c:pt idx="121">
                  <c:v>92.176973139143115</c:v>
                </c:pt>
                <c:pt idx="122">
                  <c:v>92.079053336270519</c:v>
                </c:pt>
                <c:pt idx="123">
                  <c:v>91.98552798477921</c:v>
                </c:pt>
                <c:pt idx="124">
                  <c:v>91.896200702034918</c:v>
                </c:pt>
                <c:pt idx="125">
                  <c:v>91.810883752941521</c:v>
                </c:pt>
                <c:pt idx="126">
                  <c:v>91.729397684789689</c:v>
                </c:pt>
                <c:pt idx="127">
                  <c:v>91.651570975431952</c:v>
                </c:pt>
                <c:pt idx="128">
                  <c:v>91.577239694580413</c:v>
                </c:pt>
                <c:pt idx="129">
                  <c:v>91.506247177982047</c:v>
                </c:pt>
                <c:pt idx="130">
                  <c:v>91.438443714193198</c:v>
                </c:pt>
                <c:pt idx="131">
                  <c:v>91.373686243649914</c:v>
                </c:pt>
                <c:pt idx="132">
                  <c:v>91.311838069709694</c:v>
                </c:pt>
                <c:pt idx="133">
                  <c:v>91.252768581326364</c:v>
                </c:pt>
                <c:pt idx="134">
                  <c:v>91.196352987008765</c:v>
                </c:pt>
                <c:pt idx="135">
                  <c:v>91.142472059707799</c:v>
                </c:pt>
                <c:pt idx="136">
                  <c:v>91.091011892272491</c:v>
                </c:pt>
                <c:pt idx="137">
                  <c:v>91.041863663114839</c:v>
                </c:pt>
                <c:pt idx="138">
                  <c:v>90.994923411724812</c:v>
                </c:pt>
                <c:pt idx="139">
                  <c:v>90.950091823679898</c:v>
                </c:pt>
                <c:pt idx="140">
                  <c:v>90.907274024797772</c:v>
                </c:pt>
                <c:pt idx="141">
                  <c:v>90.866379384087793</c:v>
                </c:pt>
                <c:pt idx="142">
                  <c:v>90.827321325162401</c:v>
                </c:pt>
                <c:pt idx="143">
                  <c:v>90.790017145778293</c:v>
                </c:pt>
                <c:pt idx="144">
                  <c:v>90.754387845185363</c:v>
                </c:pt>
                <c:pt idx="145">
                  <c:v>90.720357958969487</c:v>
                </c:pt>
                <c:pt idx="146">
                  <c:v>90.687855401085443</c:v>
                </c:pt>
                <c:pt idx="147">
                  <c:v>90.656811312784455</c:v>
                </c:pt>
                <c:pt idx="148">
                  <c:v>90.62715991815125</c:v>
                </c:pt>
                <c:pt idx="149">
                  <c:v>90.598838385974418</c:v>
                </c:pt>
                <c:pt idx="150">
                  <c:v>90.571786697683635</c:v>
                </c:pt>
                <c:pt idx="151">
                  <c:v>90.545947521096849</c:v>
                </c:pt>
                <c:pt idx="152">
                  <c:v>90.521266089729508</c:v>
                </c:pt>
                <c:pt idx="153">
                  <c:v>90.497690087427642</c:v>
                </c:pt>
                <c:pt idx="154">
                  <c:v>90.475169538095187</c:v>
                </c:pt>
                <c:pt idx="155">
                  <c:v>90.453656700294985</c:v>
                </c:pt>
                <c:pt idx="156">
                  <c:v>90.433105966511476</c:v>
                </c:pt>
                <c:pt idx="157">
                  <c:v>90.413473766871647</c:v>
                </c:pt>
                <c:pt idx="158">
                  <c:v>90.394718477128521</c:v>
                </c:pt>
                <c:pt idx="159">
                  <c:v>90.376800330719973</c:v>
                </c:pt>
                <c:pt idx="160">
                  <c:v>90.359681334722751</c:v>
                </c:pt>
                <c:pt idx="161">
                  <c:v>90.343325189529537</c:v>
                </c:pt>
                <c:pt idx="162">
                  <c:v>90.327697212083407</c:v>
                </c:pt>
                <c:pt idx="163">
                  <c:v>90.31276426251145</c:v>
                </c:pt>
                <c:pt idx="164">
                  <c:v>90.298494674005894</c:v>
                </c:pt>
                <c:pt idx="165">
                  <c:v>90.284858185806996</c:v>
                </c:pt>
                <c:pt idx="166">
                  <c:v>90.271825879148793</c:v>
                </c:pt>
                <c:pt idx="167">
                  <c:v>90.25937011603429</c:v>
                </c:pt>
                <c:pt idx="168">
                  <c:v>90.247464480712281</c:v>
                </c:pt>
                <c:pt idx="169">
                  <c:v>90.236083723733799</c:v>
                </c:pt>
                <c:pt idx="170">
                  <c:v>90.225203708471156</c:v>
                </c:pt>
                <c:pt idx="171">
                  <c:v>90.214801359987447</c:v>
                </c:pt>
                <c:pt idx="172">
                  <c:v>90.204854616149547</c:v>
                </c:pt>
                <c:pt idx="173">
                  <c:v>90.195342380881883</c:v>
                </c:pt>
                <c:pt idx="174">
                  <c:v>90.1862444794628</c:v>
                </c:pt>
                <c:pt idx="175">
                  <c:v>90.177541615769627</c:v>
                </c:pt>
                <c:pt idx="176">
                  <c:v>90.169215331382404</c:v>
                </c:pt>
                <c:pt idx="177">
                  <c:v>90.161247966460124</c:v>
                </c:pt>
                <c:pt idx="178">
                  <c:v>90.153622622307182</c:v>
                </c:pt>
                <c:pt idx="179">
                  <c:v>90.146323125551049</c:v>
                </c:pt>
                <c:pt idx="180">
                  <c:v>90.139333993855544</c:v>
                </c:pt>
                <c:pt idx="181">
                  <c:v>90.132640403097469</c:v>
                </c:pt>
                <c:pt idx="182">
                  <c:v>90.126228155937255</c:v>
                </c:pt>
                <c:pt idx="183">
                  <c:v>90.120083651717209</c:v>
                </c:pt>
                <c:pt idx="184">
                  <c:v>90.114193857623633</c:v>
                </c:pt>
                <c:pt idx="185">
                  <c:v>90.108546281052213</c:v>
                </c:pt>
                <c:pt idx="186">
                  <c:v>90.103128943117923</c:v>
                </c:pt>
                <c:pt idx="187">
                  <c:v>90.097930353253432</c:v>
                </c:pt>
                <c:pt idx="188">
                  <c:v>90.092939484842475</c:v>
                </c:pt>
                <c:pt idx="189">
                  <c:v>90.08814575183645</c:v>
                </c:pt>
                <c:pt idx="190">
                  <c:v>90.083538986304859</c:v>
                </c:pt>
                <c:pt idx="191">
                  <c:v>90.079109416871887</c:v>
                </c:pt>
                <c:pt idx="192">
                  <c:v>90.074847647993749</c:v>
                </c:pt>
                <c:pt idx="193">
                  <c:v>90.070744640032615</c:v>
                </c:pt>
                <c:pt idx="194">
                  <c:v>90.066791690085068</c:v>
                </c:pt>
                <c:pt idx="195">
                  <c:v>90.06298041352467</c:v>
                </c:pt>
                <c:pt idx="196">
                  <c:v>90.059302726218945</c:v>
                </c:pt>
                <c:pt idx="197">
                  <c:v>90.055750827383832</c:v>
                </c:pt>
                <c:pt idx="198">
                  <c:v>90.052317183038667</c:v>
                </c:pt>
                <c:pt idx="199">
                  <c:v>90.048994510027114</c:v>
                </c:pt>
                <c:pt idx="200">
                  <c:v>90.045775760569725</c:v>
                </c:pt>
                <c:pt idx="201">
                  <c:v>90.042654107315826</c:v>
                </c:pt>
                <c:pt idx="202">
                  <c:v>90.039622928862599</c:v>
                </c:pt>
                <c:pt idx="203">
                  <c:v>90.036675795711048</c:v>
                </c:pt>
                <c:pt idx="204">
                  <c:v>90.033806456628952</c:v>
                </c:pt>
                <c:pt idx="205">
                  <c:v>90.03100882539168</c:v>
                </c:pt>
                <c:pt idx="206">
                  <c:v>90.02827696787304</c:v>
                </c:pt>
                <c:pt idx="207">
                  <c:v>90.025605089458793</c:v>
                </c:pt>
                <c:pt idx="208">
                  <c:v>90.02298752275577</c:v>
                </c:pt>
                <c:pt idx="209">
                  <c:v>90.020418715570955</c:v>
                </c:pt>
                <c:pt idx="210">
                  <c:v>90.01789321913499</c:v>
                </c:pt>
                <c:pt idx="211">
                  <c:v>90.015405676544773</c:v>
                </c:pt>
                <c:pt idx="212">
                  <c:v>90.012950811401026</c:v>
                </c:pt>
                <c:pt idx="213">
                  <c:v>90.010523416616593</c:v>
                </c:pt>
                <c:pt idx="214">
                  <c:v>90.008118343371734</c:v>
                </c:pt>
                <c:pt idx="215">
                  <c:v>90.005730490192931</c:v>
                </c:pt>
                <c:pt idx="216">
                  <c:v>90.003354792132242</c:v>
                </c:pt>
                <c:pt idx="217">
                  <c:v>90.00098621002391</c:v>
                </c:pt>
                <c:pt idx="218">
                  <c:v>89.998619719795897</c:v>
                </c:pt>
                <c:pt idx="219">
                  <c:v>89.996250301813248</c:v>
                </c:pt>
                <c:pt idx="220">
                  <c:v>89.993872930230893</c:v>
                </c:pt>
                <c:pt idx="221">
                  <c:v>89.991482562333431</c:v>
                </c:pt>
                <c:pt idx="222">
                  <c:v>89.98907412783889</c:v>
                </c:pt>
                <c:pt idx="223">
                  <c:v>89.986642518144251</c:v>
                </c:pt>
                <c:pt idx="224">
                  <c:v>89.984182575489456</c:v>
                </c:pt>
                <c:pt idx="225">
                  <c:v>89.981689082017496</c:v>
                </c:pt>
                <c:pt idx="226">
                  <c:v>89.979156748706671</c:v>
                </c:pt>
                <c:pt idx="227">
                  <c:v>89.976580204152199</c:v>
                </c:pt>
                <c:pt idx="228">
                  <c:v>89.973953983173004</c:v>
                </c:pt>
                <c:pt idx="229">
                  <c:v>89.971272515219553</c:v>
                </c:pt>
                <c:pt idx="230">
                  <c:v>89.968530112558398</c:v>
                </c:pt>
                <c:pt idx="231">
                  <c:v>89.965720958208067</c:v>
                </c:pt>
                <c:pt idx="232">
                  <c:v>89.962839093600891</c:v>
                </c:pt>
                <c:pt idx="233">
                  <c:v>89.959878405944536</c:v>
                </c:pt>
                <c:pt idx="234">
                  <c:v>89.956832615256559</c:v>
                </c:pt>
                <c:pt idx="235">
                  <c:v>89.953695261044331</c:v>
                </c:pt>
                <c:pt idx="236">
                  <c:v>89.950459688602166</c:v>
                </c:pt>
                <c:pt idx="237">
                  <c:v>89.94711903489663</c:v>
                </c:pt>
                <c:pt idx="238">
                  <c:v>89.943666214010179</c:v>
                </c:pt>
                <c:pt idx="239">
                  <c:v>89.940093902111855</c:v>
                </c:pt>
                <c:pt idx="240">
                  <c:v>89.936394521923887</c:v>
                </c:pt>
                <c:pt idx="241">
                  <c:v>89.932560226650622</c:v>
                </c:pt>
                <c:pt idx="242">
                  <c:v>89.928582883336105</c:v>
                </c:pt>
                <c:pt idx="243">
                  <c:v>89.924454055614731</c:v>
                </c:pt>
                <c:pt idx="244">
                  <c:v>89.920164985818914</c:v>
                </c:pt>
                <c:pt idx="245">
                  <c:v>89.915706576405313</c:v>
                </c:pt>
                <c:pt idx="246">
                  <c:v>89.911069370660542</c:v>
                </c:pt>
                <c:pt idx="247">
                  <c:v>89.906243532645433</c:v>
                </c:pt>
                <c:pt idx="248">
                  <c:v>89.901218826335622</c:v>
                </c:pt>
                <c:pt idx="249">
                  <c:v>89.895984593913624</c:v>
                </c:pt>
                <c:pt idx="250">
                  <c:v>89.890529733167298</c:v>
                </c:pt>
                <c:pt idx="251">
                  <c:v>89.88484267394611</c:v>
                </c:pt>
                <c:pt idx="252">
                  <c:v>89.878911353625924</c:v>
                </c:pt>
                <c:pt idx="253">
                  <c:v>89.872723191529957</c:v>
                </c:pt>
                <c:pt idx="254">
                  <c:v>89.86626506225204</c:v>
                </c:pt>
                <c:pt idx="255">
                  <c:v>89.859523267825779</c:v>
                </c:pt>
                <c:pt idx="256">
                  <c:v>89.852483508680592</c:v>
                </c:pt>
                <c:pt idx="257">
                  <c:v>89.845130853323425</c:v>
                </c:pt>
                <c:pt idx="258">
                  <c:v>89.837449706681952</c:v>
                </c:pt>
                <c:pt idx="259">
                  <c:v>89.82942377704245</c:v>
                </c:pt>
                <c:pt idx="260">
                  <c:v>89.821036041512542</c:v>
                </c:pt>
                <c:pt idx="261">
                  <c:v>89.812268709935921</c:v>
                </c:pt>
                <c:pt idx="262">
                  <c:v>89.803103187182984</c:v>
                </c:pt>
                <c:pt idx="263">
                  <c:v>89.793520033737749</c:v>
                </c:pt>
                <c:pt idx="264">
                  <c:v>89.783498924498289</c:v>
                </c:pt>
                <c:pt idx="265">
                  <c:v>89.773018605703584</c:v>
                </c:pt>
                <c:pt idx="266">
                  <c:v>89.76205684989651</c:v>
                </c:pt>
                <c:pt idx="267">
                  <c:v>89.750590408828103</c:v>
                </c:pt>
                <c:pt idx="268">
                  <c:v>89.738594964204268</c:v>
                </c:pt>
                <c:pt idx="269">
                  <c:v>89.726045076171559</c:v>
                </c:pt>
                <c:pt idx="270">
                  <c:v>89.712914129434054</c:v>
                </c:pt>
                <c:pt idx="271">
                  <c:v>89.699174276888584</c:v>
                </c:pt>
                <c:pt idx="272">
                  <c:v>89.684796380660416</c:v>
                </c:pt>
                <c:pt idx="273">
                  <c:v>89.669749950416346</c:v>
                </c:pt>
                <c:pt idx="274">
                  <c:v>89.654003078826506</c:v>
                </c:pt>
                <c:pt idx="275">
                  <c:v>89.637522374040799</c:v>
                </c:pt>
                <c:pt idx="276">
                  <c:v>89.620272889039441</c:v>
                </c:pt>
                <c:pt idx="277">
                  <c:v>89.60221804771146</c:v>
                </c:pt>
                <c:pt idx="278">
                  <c:v>89.583319567508028</c:v>
                </c:pt>
                <c:pt idx="279">
                  <c:v>89.563537378511271</c:v>
                </c:pt>
                <c:pt idx="280">
                  <c:v>89.542829538751988</c:v>
                </c:pt>
                <c:pt idx="281">
                  <c:v>89.521152145602628</c:v>
                </c:pt>
                <c:pt idx="282">
                  <c:v>89.498459243064346</c:v>
                </c:pt>
                <c:pt idx="283">
                  <c:v>89.474702724759396</c:v>
                </c:pt>
                <c:pt idx="284">
                  <c:v>89.449832232432044</c:v>
                </c:pt>
                <c:pt idx="285">
                  <c:v>89.423795049753181</c:v>
                </c:pt>
                <c:pt idx="286">
                  <c:v>89.396535991214918</c:v>
                </c:pt>
                <c:pt idx="287">
                  <c:v>89.36799728589348</c:v>
                </c:pt>
                <c:pt idx="288">
                  <c:v>89.338118455849269</c:v>
                </c:pt>
                <c:pt idx="289">
                  <c:v>89.306836188924009</c:v>
                </c:pt>
                <c:pt idx="290">
                  <c:v>89.274084205686151</c:v>
                </c:pt>
                <c:pt idx="291">
                  <c:v>89.239793120265375</c:v>
                </c:pt>
                <c:pt idx="292">
                  <c:v>89.203890294808744</c:v>
                </c:pt>
                <c:pt idx="293">
                  <c:v>89.166299687280372</c:v>
                </c:pt>
                <c:pt idx="294">
                  <c:v>89.126941692317871</c:v>
                </c:pt>
                <c:pt idx="295">
                  <c:v>89.085732974849009</c:v>
                </c:pt>
                <c:pt idx="296">
                  <c:v>89.042586296162582</c:v>
                </c:pt>
                <c:pt idx="297">
                  <c:v>88.997410332118605</c:v>
                </c:pt>
                <c:pt idx="298">
                  <c:v>88.950109483174501</c:v>
                </c:pt>
                <c:pt idx="299">
                  <c:v>88.900583675895106</c:v>
                </c:pt>
                <c:pt idx="300">
                  <c:v>88.848728155607404</c:v>
                </c:pt>
                <c:pt idx="301">
                  <c:v>88.794433269853627</c:v>
                </c:pt>
                <c:pt idx="302">
                  <c:v>88.737584242291192</c:v>
                </c:pt>
                <c:pt idx="303">
                  <c:v>88.678060936682783</c:v>
                </c:pt>
                <c:pt idx="304">
                  <c:v>88.615737610617643</c:v>
                </c:pt>
                <c:pt idx="305">
                  <c:v>88.550482658604196</c:v>
                </c:pt>
                <c:pt idx="306">
                  <c:v>88.482158344174422</c:v>
                </c:pt>
                <c:pt idx="307">
                  <c:v>88.410620520646063</c:v>
                </c:pt>
                <c:pt idx="308">
                  <c:v>88.335718340194177</c:v>
                </c:pt>
                <c:pt idx="309">
                  <c:v>88.257293950896468</c:v>
                </c:pt>
                <c:pt idx="310">
                  <c:v>88.175182181430571</c:v>
                </c:pt>
                <c:pt idx="311">
                  <c:v>88.089210213123806</c:v>
                </c:pt>
                <c:pt idx="312">
                  <c:v>87.999197239081994</c:v>
                </c:pt>
                <c:pt idx="313">
                  <c:v>87.904954110158855</c:v>
                </c:pt>
                <c:pt idx="314">
                  <c:v>87.806282967569203</c:v>
                </c:pt>
                <c:pt idx="315">
                  <c:v>87.702976862002657</c:v>
                </c:pt>
                <c:pt idx="316">
                  <c:v>87.594819359156901</c:v>
                </c:pt>
                <c:pt idx="317">
                  <c:v>87.481584131687072</c:v>
                </c:pt>
                <c:pt idx="318">
                  <c:v>87.363034537658805</c:v>
                </c:pt>
                <c:pt idx="319">
                  <c:v>87.23892318570141</c:v>
                </c:pt>
                <c:pt idx="320">
                  <c:v>87.108991487186316</c:v>
                </c:pt>
                <c:pt idx="321">
                  <c:v>86.972969195906941</c:v>
                </c:pt>
                <c:pt idx="322">
                  <c:v>86.830573935913336</c:v>
                </c:pt>
                <c:pt idx="323">
                  <c:v>86.681510718362205</c:v>
                </c:pt>
                <c:pt idx="324">
                  <c:v>86.525471448482705</c:v>
                </c:pt>
                <c:pt idx="325">
                  <c:v>86.362134424038217</c:v>
                </c:pt>
                <c:pt idx="326">
                  <c:v>86.191163826985957</c:v>
                </c:pt>
                <c:pt idx="327">
                  <c:v>86.012209210409395</c:v>
                </c:pt>
                <c:pt idx="328">
                  <c:v>85.824904983224059</c:v>
                </c:pt>
                <c:pt idx="329">
                  <c:v>85.628869895649686</c:v>
                </c:pt>
                <c:pt idx="330">
                  <c:v>85.423706529000938</c:v>
                </c:pt>
                <c:pt idx="331">
                  <c:v>85.209000793988054</c:v>
                </c:pt>
                <c:pt idx="332">
                  <c:v>84.984321442447737</c:v>
                </c:pt>
                <c:pt idx="333">
                  <c:v>84.749219598247151</c:v>
                </c:pt>
                <c:pt idx="334">
                  <c:v>84.503228314038708</c:v>
                </c:pt>
                <c:pt idx="335">
                  <c:v>84.245862161592143</c:v>
                </c:pt>
                <c:pt idx="336">
                  <c:v>83.976616864613774</c:v>
                </c:pt>
                <c:pt idx="337">
                  <c:v>83.694968984281644</c:v>
                </c:pt>
                <c:pt idx="338">
                  <c:v>83.400375669200102</c:v>
                </c:pt>
                <c:pt idx="339">
                  <c:v>83.092274483109179</c:v>
                </c:pt>
                <c:pt idx="340">
                  <c:v>82.770083325490702</c:v>
                </c:pt>
                <c:pt idx="341">
                  <c:v>82.433200462190896</c:v>
                </c:pt>
                <c:pt idx="342">
                  <c:v>82.081004685338726</c:v>
                </c:pt>
                <c:pt idx="343">
                  <c:v>81.712855624179994</c:v>
                </c:pt>
                <c:pt idx="344">
                  <c:v>81.328094230951123</c:v>
                </c:pt>
                <c:pt idx="345">
                  <c:v>80.926043468584382</c:v>
                </c:pt>
                <c:pt idx="346">
                  <c:v>80.506009229829999</c:v>
                </c:pt>
                <c:pt idx="347">
                  <c:v>80.06728152026777</c:v>
                </c:pt>
                <c:pt idx="348">
                  <c:v>79.60913594060662</c:v>
                </c:pt>
                <c:pt idx="349">
                  <c:v>79.130835506562335</c:v>
                </c:pt>
                <c:pt idx="350">
                  <c:v>78.631632847364216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3A-4D91-9217-1B4C3BCD0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73704"/>
        <c:axId val="540376328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0796782114987912"/>
              <c:y val="0.876000913588057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</c:valAx>
      <c:valAx>
        <c:axId val="540376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Margin (degrees)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73704"/>
        <c:crosses val="max"/>
        <c:crossBetween val="midCat"/>
        <c:minorUnit val="1"/>
      </c:valAx>
      <c:valAx>
        <c:axId val="54037370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037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 Using B'!$M$3:$M$353</c:f>
              <c:numCache>
                <c:formatCode>General</c:formatCode>
                <c:ptCount val="35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0.19999999999999901</c:v>
                </c:pt>
                <c:pt idx="21">
                  <c:v>0.19999999999999901</c:v>
                </c:pt>
                <c:pt idx="22">
                  <c:v>0.19999999999999901</c:v>
                </c:pt>
                <c:pt idx="23">
                  <c:v>0.19999999999999901</c:v>
                </c:pt>
                <c:pt idx="24">
                  <c:v>0.19999999999999901</c:v>
                </c:pt>
                <c:pt idx="25">
                  <c:v>0.19999999999999901</c:v>
                </c:pt>
                <c:pt idx="26">
                  <c:v>0.19999999999999901</c:v>
                </c:pt>
                <c:pt idx="27">
                  <c:v>0.19999999999999901</c:v>
                </c:pt>
                <c:pt idx="28">
                  <c:v>0.19999999999999901</c:v>
                </c:pt>
                <c:pt idx="29">
                  <c:v>0.19999999999999901</c:v>
                </c:pt>
                <c:pt idx="30">
                  <c:v>0.19999999999999901</c:v>
                </c:pt>
                <c:pt idx="31">
                  <c:v>0.19999999999999901</c:v>
                </c:pt>
                <c:pt idx="32">
                  <c:v>0.19999999999999801</c:v>
                </c:pt>
                <c:pt idx="33">
                  <c:v>0.19999999999999801</c:v>
                </c:pt>
                <c:pt idx="34">
                  <c:v>0.19999999999999801</c:v>
                </c:pt>
                <c:pt idx="35">
                  <c:v>0.19999999999999801</c:v>
                </c:pt>
                <c:pt idx="36">
                  <c:v>0.19999999999999801</c:v>
                </c:pt>
                <c:pt idx="37">
                  <c:v>0.19999999999999801</c:v>
                </c:pt>
                <c:pt idx="38">
                  <c:v>0.19999999999999701</c:v>
                </c:pt>
                <c:pt idx="39">
                  <c:v>0.19999999999999701</c:v>
                </c:pt>
                <c:pt idx="40">
                  <c:v>0.19999999999999701</c:v>
                </c:pt>
                <c:pt idx="41">
                  <c:v>0.19999999999999599</c:v>
                </c:pt>
                <c:pt idx="42">
                  <c:v>0.19999999999999599</c:v>
                </c:pt>
                <c:pt idx="43">
                  <c:v>0.19999999999999599</c:v>
                </c:pt>
                <c:pt idx="44">
                  <c:v>0.19999999999999499</c:v>
                </c:pt>
                <c:pt idx="45">
                  <c:v>0.19999999999999499</c:v>
                </c:pt>
                <c:pt idx="46">
                  <c:v>0.19999999999999399</c:v>
                </c:pt>
                <c:pt idx="47">
                  <c:v>0.19999999999999399</c:v>
                </c:pt>
                <c:pt idx="48">
                  <c:v>0.19999999999999299</c:v>
                </c:pt>
                <c:pt idx="49">
                  <c:v>0.19999999999999299</c:v>
                </c:pt>
                <c:pt idx="50">
                  <c:v>0.19999999999999199</c:v>
                </c:pt>
                <c:pt idx="51">
                  <c:v>0.19999999999999099</c:v>
                </c:pt>
                <c:pt idx="52">
                  <c:v>0.19999999999998999</c:v>
                </c:pt>
                <c:pt idx="53">
                  <c:v>0.19999999999998899</c:v>
                </c:pt>
                <c:pt idx="54">
                  <c:v>0.19999999999998799</c:v>
                </c:pt>
                <c:pt idx="55">
                  <c:v>0.19999999999998699</c:v>
                </c:pt>
                <c:pt idx="56">
                  <c:v>0.19999999999998599</c:v>
                </c:pt>
                <c:pt idx="57">
                  <c:v>0.199999999999985</c:v>
                </c:pt>
                <c:pt idx="58">
                  <c:v>0.199999999999983</c:v>
                </c:pt>
                <c:pt idx="59">
                  <c:v>0.199999999999981</c:v>
                </c:pt>
                <c:pt idx="60">
                  <c:v>0.19999999999998</c:v>
                </c:pt>
                <c:pt idx="61">
                  <c:v>0.199999999999978</c:v>
                </c:pt>
                <c:pt idx="62">
                  <c:v>0.199999999999976</c:v>
                </c:pt>
                <c:pt idx="63">
                  <c:v>0.199999999999973</c:v>
                </c:pt>
                <c:pt idx="64">
                  <c:v>0.19999999999997101</c:v>
                </c:pt>
                <c:pt idx="65">
                  <c:v>0.19999999999996801</c:v>
                </c:pt>
                <c:pt idx="66">
                  <c:v>0.19999999999996501</c:v>
                </c:pt>
                <c:pt idx="67">
                  <c:v>0.19999999999996099</c:v>
                </c:pt>
                <c:pt idx="68">
                  <c:v>0.19999999999995799</c:v>
                </c:pt>
                <c:pt idx="69">
                  <c:v>0.19999999999995299</c:v>
                </c:pt>
                <c:pt idx="70">
                  <c:v>0.199999999999949</c:v>
                </c:pt>
                <c:pt idx="71">
                  <c:v>0.199999999999944</c:v>
                </c:pt>
                <c:pt idx="72">
                  <c:v>0.199999999999939</c:v>
                </c:pt>
                <c:pt idx="73">
                  <c:v>0.19999999999993301</c:v>
                </c:pt>
                <c:pt idx="74">
                  <c:v>0.19999999999992599</c:v>
                </c:pt>
                <c:pt idx="75">
                  <c:v>0.19999999999991899</c:v>
                </c:pt>
                <c:pt idx="76">
                  <c:v>0.199999999999911</c:v>
                </c:pt>
                <c:pt idx="77">
                  <c:v>0.19999999999990301</c:v>
                </c:pt>
                <c:pt idx="78">
                  <c:v>0.19999999999989301</c:v>
                </c:pt>
                <c:pt idx="79">
                  <c:v>0.19999999999988299</c:v>
                </c:pt>
                <c:pt idx="80">
                  <c:v>0.199999999999872</c:v>
                </c:pt>
                <c:pt idx="81">
                  <c:v>0.19999999999986001</c:v>
                </c:pt>
                <c:pt idx="82">
                  <c:v>0.199999999999846</c:v>
                </c:pt>
                <c:pt idx="83">
                  <c:v>0.19999999999983101</c:v>
                </c:pt>
                <c:pt idx="84">
                  <c:v>0.19999999999981499</c:v>
                </c:pt>
                <c:pt idx="85">
                  <c:v>0.19999999999979701</c:v>
                </c:pt>
                <c:pt idx="86">
                  <c:v>0.199999999999777</c:v>
                </c:pt>
                <c:pt idx="87">
                  <c:v>0.19999999999975601</c:v>
                </c:pt>
                <c:pt idx="88">
                  <c:v>0.199999999999732</c:v>
                </c:pt>
                <c:pt idx="89">
                  <c:v>0.199999999999706</c:v>
                </c:pt>
                <c:pt idx="90">
                  <c:v>0.19999999999967799</c:v>
                </c:pt>
                <c:pt idx="91">
                  <c:v>0.19999999999964699</c:v>
                </c:pt>
                <c:pt idx="92">
                  <c:v>0.19999999999961299</c:v>
                </c:pt>
                <c:pt idx="93">
                  <c:v>0.19999999999957599</c:v>
                </c:pt>
                <c:pt idx="94">
                  <c:v>0.19999999999953499</c:v>
                </c:pt>
                <c:pt idx="95">
                  <c:v>0.19999999999949</c:v>
                </c:pt>
                <c:pt idx="96">
                  <c:v>0.19999999999944101</c:v>
                </c:pt>
                <c:pt idx="97">
                  <c:v>0.199999999999387</c:v>
                </c:pt>
                <c:pt idx="98">
                  <c:v>0.19999999999932799</c:v>
                </c:pt>
                <c:pt idx="99">
                  <c:v>0.19999999999926299</c:v>
                </c:pt>
                <c:pt idx="100">
                  <c:v>0.19999999999919099</c:v>
                </c:pt>
                <c:pt idx="101">
                  <c:v>0.199999999999113</c:v>
                </c:pt>
                <c:pt idx="102">
                  <c:v>0.19999999999902801</c:v>
                </c:pt>
                <c:pt idx="103">
                  <c:v>0.199999999998934</c:v>
                </c:pt>
                <c:pt idx="104">
                  <c:v>0.199999999998831</c:v>
                </c:pt>
                <c:pt idx="105">
                  <c:v>0.19999999999871901</c:v>
                </c:pt>
                <c:pt idx="106">
                  <c:v>0.199999999998595</c:v>
                </c:pt>
                <c:pt idx="107">
                  <c:v>0.19999999999845899</c:v>
                </c:pt>
                <c:pt idx="108">
                  <c:v>0.199999999998311</c:v>
                </c:pt>
                <c:pt idx="109">
                  <c:v>0.19999999999814799</c:v>
                </c:pt>
                <c:pt idx="110">
                  <c:v>0.199999999997969</c:v>
                </c:pt>
                <c:pt idx="111">
                  <c:v>0.19999999999777299</c:v>
                </c:pt>
                <c:pt idx="112">
                  <c:v>0.19999999999755799</c:v>
                </c:pt>
                <c:pt idx="113">
                  <c:v>0.19999999999732301</c:v>
                </c:pt>
                <c:pt idx="114">
                  <c:v>0.199999999997064</c:v>
                </c:pt>
                <c:pt idx="115">
                  <c:v>0.199999999996781</c:v>
                </c:pt>
                <c:pt idx="116">
                  <c:v>0.199999999996471</c:v>
                </c:pt>
                <c:pt idx="117">
                  <c:v>0.19999999999613</c:v>
                </c:pt>
                <c:pt idx="118">
                  <c:v>0.19999999999575699</c:v>
                </c:pt>
                <c:pt idx="119">
                  <c:v>0.19999999999534701</c:v>
                </c:pt>
                <c:pt idx="120">
                  <c:v>0.19999999999489901</c:v>
                </c:pt>
                <c:pt idx="121">
                  <c:v>0.19999999999440601</c:v>
                </c:pt>
                <c:pt idx="122">
                  <c:v>0.199999999993867</c:v>
                </c:pt>
                <c:pt idx="123">
                  <c:v>0.199999999993275</c:v>
                </c:pt>
                <c:pt idx="124">
                  <c:v>0.19999999999262599</c:v>
                </c:pt>
                <c:pt idx="125">
                  <c:v>0.19999999999191501</c:v>
                </c:pt>
                <c:pt idx="126">
                  <c:v>0.19999999999113499</c:v>
                </c:pt>
                <c:pt idx="127">
                  <c:v>0.19999999999027901</c:v>
                </c:pt>
                <c:pt idx="128">
                  <c:v>0.19999999998934201</c:v>
                </c:pt>
                <c:pt idx="129">
                  <c:v>0.199999999988313</c:v>
                </c:pt>
                <c:pt idx="130">
                  <c:v>0.19999999998718601</c:v>
                </c:pt>
                <c:pt idx="131">
                  <c:v>0.19999999998595</c:v>
                </c:pt>
                <c:pt idx="132">
                  <c:v>0.199999999984594</c:v>
                </c:pt>
                <c:pt idx="133">
                  <c:v>0.199999999983108</c:v>
                </c:pt>
                <c:pt idx="134">
                  <c:v>0.19999999998147799</c:v>
                </c:pt>
                <c:pt idx="135">
                  <c:v>0.19999999997969101</c:v>
                </c:pt>
                <c:pt idx="136">
                  <c:v>0.19999999997773199</c:v>
                </c:pt>
                <c:pt idx="137">
                  <c:v>0.19999999997558299</c:v>
                </c:pt>
                <c:pt idx="138">
                  <c:v>0.19999999997322701</c:v>
                </c:pt>
                <c:pt idx="139">
                  <c:v>0.19999999997064399</c:v>
                </c:pt>
                <c:pt idx="140">
                  <c:v>0.19999999996781201</c:v>
                </c:pt>
                <c:pt idx="141">
                  <c:v>0.19999999996470699</c:v>
                </c:pt>
                <c:pt idx="142">
                  <c:v>0.19999999996130199</c:v>
                </c:pt>
                <c:pt idx="143">
                  <c:v>0.19999999995756801</c:v>
                </c:pt>
                <c:pt idx="144">
                  <c:v>0.19999999995347501</c:v>
                </c:pt>
                <c:pt idx="145">
                  <c:v>0.19999999994898601</c:v>
                </c:pt>
                <c:pt idx="146">
                  <c:v>0.19999999994406401</c:v>
                </c:pt>
                <c:pt idx="147">
                  <c:v>0.19999999993866799</c:v>
                </c:pt>
                <c:pt idx="148">
                  <c:v>0.19999999993275</c:v>
                </c:pt>
                <c:pt idx="149">
                  <c:v>0.199999999926262</c:v>
                </c:pt>
                <c:pt idx="150">
                  <c:v>0.19999999991914799</c:v>
                </c:pt>
                <c:pt idx="151">
                  <c:v>0.19999999991134801</c:v>
                </c:pt>
                <c:pt idx="152">
                  <c:v>0.19999999990279499</c:v>
                </c:pt>
                <c:pt idx="153">
                  <c:v>0.19999999989341699</c:v>
                </c:pt>
                <c:pt idx="154">
                  <c:v>0.19999999988313399</c:v>
                </c:pt>
                <c:pt idx="155">
                  <c:v>0.19999999987185901</c:v>
                </c:pt>
                <c:pt idx="156">
                  <c:v>0.19999999985949601</c:v>
                </c:pt>
                <c:pt idx="157">
                  <c:v>0.19999999984594</c:v>
                </c:pt>
                <c:pt idx="158">
                  <c:v>0.199999999831077</c:v>
                </c:pt>
                <c:pt idx="159">
                  <c:v>0.19999999981477901</c:v>
                </c:pt>
                <c:pt idx="160">
                  <c:v>0.19999999979690899</c:v>
                </c:pt>
                <c:pt idx="161">
                  <c:v>0.199999999777316</c:v>
                </c:pt>
                <c:pt idx="162">
                  <c:v>0.19999999975583099</c:v>
                </c:pt>
                <c:pt idx="163">
                  <c:v>0.199999999732275</c:v>
                </c:pt>
                <c:pt idx="164">
                  <c:v>0.199999999706445</c:v>
                </c:pt>
                <c:pt idx="165">
                  <c:v>0.19999999967812301</c:v>
                </c:pt>
                <c:pt idx="166">
                  <c:v>0.19999999964706899</c:v>
                </c:pt>
                <c:pt idx="167">
                  <c:v>0.19999999961301901</c:v>
                </c:pt>
                <c:pt idx="168">
                  <c:v>0.19999999957568401</c:v>
                </c:pt>
                <c:pt idx="169">
                  <c:v>0.19999999953474601</c:v>
                </c:pt>
                <c:pt idx="170">
                  <c:v>0.19999999948986</c:v>
                </c:pt>
                <c:pt idx="171">
                  <c:v>0.19999999944064201</c:v>
                </c:pt>
                <c:pt idx="172">
                  <c:v>0.19999999938667601</c:v>
                </c:pt>
                <c:pt idx="173">
                  <c:v>0.19999999932750401</c:v>
                </c:pt>
                <c:pt idx="174">
                  <c:v>0.19999999926262299</c:v>
                </c:pt>
                <c:pt idx="175">
                  <c:v>0.19999999919148201</c:v>
                </c:pt>
                <c:pt idx="176">
                  <c:v>0.19999999911347799</c:v>
                </c:pt>
                <c:pt idx="177">
                  <c:v>0.19999999902794799</c:v>
                </c:pt>
                <c:pt idx="178">
                  <c:v>0.19999999893416601</c:v>
                </c:pt>
                <c:pt idx="179">
                  <c:v>0.19999999883133601</c:v>
                </c:pt>
                <c:pt idx="180">
                  <c:v>0.19999999871858501</c:v>
                </c:pt>
                <c:pt idx="181">
                  <c:v>0.19999999859495701</c:v>
                </c:pt>
                <c:pt idx="182">
                  <c:v>0.199999998459401</c:v>
                </c:pt>
                <c:pt idx="183">
                  <c:v>0.19999999831076701</c:v>
                </c:pt>
                <c:pt idx="184">
                  <c:v>0.19999999814779201</c:v>
                </c:pt>
                <c:pt idx="185">
                  <c:v>0.19999999796909501</c:v>
                </c:pt>
                <c:pt idx="186">
                  <c:v>0.199999997773157</c:v>
                </c:pt>
                <c:pt idx="187">
                  <c:v>0.19999999755831499</c:v>
                </c:pt>
                <c:pt idx="188">
                  <c:v>0.19999999732274501</c:v>
                </c:pt>
                <c:pt idx="189">
                  <c:v>0.19999999706444899</c:v>
                </c:pt>
                <c:pt idx="190">
                  <c:v>0.19999999678123201</c:v>
                </c:pt>
                <c:pt idx="191">
                  <c:v>0.199999996470691</c:v>
                </c:pt>
                <c:pt idx="192">
                  <c:v>0.19999999613019001</c:v>
                </c:pt>
                <c:pt idx="193">
                  <c:v>0.199999995756837</c:v>
                </c:pt>
                <c:pt idx="194">
                  <c:v>0.19999999534746499</c:v>
                </c:pt>
                <c:pt idx="195">
                  <c:v>0.19999999489859599</c:v>
                </c:pt>
                <c:pt idx="196">
                  <c:v>0.19999999440642199</c:v>
                </c:pt>
                <c:pt idx="197">
                  <c:v>0.19999999386676401</c:v>
                </c:pt>
                <c:pt idx="198">
                  <c:v>0.19999999327504001</c:v>
                </c:pt>
                <c:pt idx="199">
                  <c:v>0.199999992626229</c:v>
                </c:pt>
                <c:pt idx="200">
                  <c:v>0.19999999191482001</c:v>
                </c:pt>
                <c:pt idx="201">
                  <c:v>0.19999999113477701</c:v>
                </c:pt>
                <c:pt idx="202">
                  <c:v>0.19999999027947599</c:v>
                </c:pt>
                <c:pt idx="203">
                  <c:v>0.199999989341658</c:v>
                </c:pt>
                <c:pt idx="204">
                  <c:v>0.19999998831335999</c:v>
                </c:pt>
                <c:pt idx="205">
                  <c:v>0.19999998718585399</c:v>
                </c:pt>
                <c:pt idx="206">
                  <c:v>0.199999985949569</c:v>
                </c:pt>
                <c:pt idx="207">
                  <c:v>0.199999984594008</c:v>
                </c:pt>
                <c:pt idx="208">
                  <c:v>0.19999998310766601</c:v>
                </c:pt>
                <c:pt idx="209">
                  <c:v>0.199999981477925</c:v>
                </c:pt>
                <c:pt idx="210">
                  <c:v>0.19999997969094799</c:v>
                </c:pt>
                <c:pt idx="211">
                  <c:v>0.199999977731568</c:v>
                </c:pt>
                <c:pt idx="212">
                  <c:v>0.19999997558315</c:v>
                </c:pt>
                <c:pt idx="213">
                  <c:v>0.199999973227457</c:v>
                </c:pt>
                <c:pt idx="214">
                  <c:v>0.19999997064448999</c:v>
                </c:pt>
                <c:pt idx="215">
                  <c:v>0.19999996781232399</c:v>
                </c:pt>
                <c:pt idx="216">
                  <c:v>0.199999964706916</c:v>
                </c:pt>
                <c:pt idx="217">
                  <c:v>0.19999996130190301</c:v>
                </c:pt>
                <c:pt idx="218">
                  <c:v>0.19999995756838199</c:v>
                </c:pt>
                <c:pt idx="219">
                  <c:v>0.19999995347465699</c:v>
                </c:pt>
                <c:pt idx="220">
                  <c:v>0.19999994898597601</c:v>
                </c:pt>
                <c:pt idx="221">
                  <c:v>0.19999994406423699</c:v>
                </c:pt>
                <c:pt idx="222">
                  <c:v>0.199999938667657</c:v>
                </c:pt>
                <c:pt idx="223">
                  <c:v>0.19999993275042499</c:v>
                </c:pt>
                <c:pt idx="224">
                  <c:v>0.19999992626231</c:v>
                </c:pt>
                <c:pt idx="225">
                  <c:v>0.19999991914823301</c:v>
                </c:pt>
                <c:pt idx="226">
                  <c:v>0.19999991134780401</c:v>
                </c:pt>
                <c:pt idx="227">
                  <c:v>0.19999990279480501</c:v>
                </c:pt>
                <c:pt idx="228">
                  <c:v>0.19999989341662799</c:v>
                </c:pt>
                <c:pt idx="229">
                  <c:v>0.19999988313366199</c:v>
                </c:pt>
                <c:pt idx="230">
                  <c:v>0.19999987185861601</c:v>
                </c:pt>
                <c:pt idx="231">
                  <c:v>0.19999985949577501</c:v>
                </c:pt>
                <c:pt idx="232">
                  <c:v>0.19999984594019099</c:v>
                </c:pt>
                <c:pt idx="233">
                  <c:v>0.19999983107679101</c:v>
                </c:pt>
                <c:pt idx="234">
                  <c:v>0.19999981477939999</c:v>
                </c:pt>
                <c:pt idx="235">
                  <c:v>0.19999979690966899</c:v>
                </c:pt>
                <c:pt idx="236">
                  <c:v>0.19999977731590199</c:v>
                </c:pt>
                <c:pt idx="237">
                  <c:v>0.19999975583176799</c:v>
                </c:pt>
                <c:pt idx="238">
                  <c:v>0.19999973227488901</c:v>
                </c:pt>
                <c:pt idx="239">
                  <c:v>0.199999706445291</c:v>
                </c:pt>
                <c:pt idx="240">
                  <c:v>0.199999678123708</c:v>
                </c:pt>
                <c:pt idx="241">
                  <c:v>0.19999964706971801</c:v>
                </c:pt>
                <c:pt idx="242">
                  <c:v>0.19999961301970701</c:v>
                </c:pt>
                <c:pt idx="243">
                  <c:v>0.19999957568462601</c:v>
                </c:pt>
                <c:pt idx="244">
                  <c:v>0.19999953474753901</c:v>
                </c:pt>
                <c:pt idx="245">
                  <c:v>0.19999948986093599</c:v>
                </c:pt>
                <c:pt idx="246">
                  <c:v>0.199999440643777</c:v>
                </c:pt>
                <c:pt idx="247">
                  <c:v>0.199999386678263</c:v>
                </c:pt>
                <c:pt idx="248">
                  <c:v>0.19999932750628699</c:v>
                </c:pt>
                <c:pt idx="249">
                  <c:v>0.19999926262554599</c:v>
                </c:pt>
                <c:pt idx="250">
                  <c:v>0.19999919148527601</c:v>
                </c:pt>
                <c:pt idx="251">
                  <c:v>0.19999911348158</c:v>
                </c:pt>
                <c:pt idx="252">
                  <c:v>0.19999902795229699</c:v>
                </c:pt>
                <c:pt idx="253">
                  <c:v>0.199998934171388</c:v>
                </c:pt>
                <c:pt idx="254">
                  <c:v>0.199998831342767</c:v>
                </c:pt>
                <c:pt idx="255">
                  <c:v>0.19999871859354801</c:v>
                </c:pt>
                <c:pt idx="256">
                  <c:v>0.199998594966633</c:v>
                </c:pt>
                <c:pt idx="257">
                  <c:v>0.199998459412593</c:v>
                </c:pt>
                <c:pt idx="258">
                  <c:v>0.199998310780754</c:v>
                </c:pt>
                <c:pt idx="259">
                  <c:v>0.199998147809437</c:v>
                </c:pt>
                <c:pt idx="260">
                  <c:v>0.199997969115248</c:v>
                </c:pt>
                <c:pt idx="261">
                  <c:v>0.19999777318133199</c:v>
                </c:pt>
                <c:pt idx="262">
                  <c:v>0.199997558344506</c:v>
                </c:pt>
                <c:pt idx="263">
                  <c:v>0.19999732278114199</c:v>
                </c:pt>
                <c:pt idx="264">
                  <c:v>0.199997064491687</c:v>
                </c:pt>
                <c:pt idx="265">
                  <c:v>0.19999678128369799</c:v>
                </c:pt>
                <c:pt idx="266">
                  <c:v>0.19999647075323501</c:v>
                </c:pt>
                <c:pt idx="267">
                  <c:v>0.199996130264462</c:v>
                </c:pt>
                <c:pt idx="268">
                  <c:v>0.199995756927278</c:v>
                </c:pt>
                <c:pt idx="269">
                  <c:v>0.19999534757279799</c:v>
                </c:pt>
                <c:pt idx="270">
                  <c:v>0.19999489872646301</c:v>
                </c:pt>
                <c:pt idx="271">
                  <c:v>0.19999440657855799</c:v>
                </c:pt>
                <c:pt idx="272">
                  <c:v>0.199993866951896</c:v>
                </c:pt>
                <c:pt idx="273">
                  <c:v>0.19999327526637301</c:v>
                </c:pt>
                <c:pt idx="274">
                  <c:v>0.19999262650012201</c:v>
                </c:pt>
                <c:pt idx="275">
                  <c:v>0.199991915146912</c:v>
                </c:pt>
                <c:pt idx="276">
                  <c:v>0.199991135169443</c:v>
                </c:pt>
                <c:pt idx="277">
                  <c:v>0.199990279948148</c:v>
                </c:pt>
                <c:pt idx="278">
                  <c:v>0.19998934222505199</c:v>
                </c:pt>
                <c:pt idx="279">
                  <c:v>0.19998831404223</c:v>
                </c:pt>
                <c:pt idx="280">
                  <c:v>0.19998718667433599</c:v>
                </c:pt>
                <c:pt idx="281">
                  <c:v>0.19998595055462901</c:v>
                </c:pt>
                <c:pt idx="282">
                  <c:v>0.19998459519388601</c:v>
                </c:pt>
                <c:pt idx="283">
                  <c:v>0.199983109091499</c:v>
                </c:pt>
                <c:pt idx="284">
                  <c:v>0.19998147963801999</c:v>
                </c:pt>
                <c:pt idx="285">
                  <c:v>0.19997969300832799</c:v>
                </c:pt>
                <c:pt idx="286">
                  <c:v>0.19997773404451799</c:v>
                </c:pt>
                <c:pt idx="287">
                  <c:v>0.199975586127524</c:v>
                </c:pt>
                <c:pt idx="288">
                  <c:v>0.19997323103640599</c:v>
                </c:pt>
                <c:pt idx="289">
                  <c:v>0.19997064879410101</c:v>
                </c:pt>
                <c:pt idx="290">
                  <c:v>0.19996781749836501</c:v>
                </c:pt>
                <c:pt idx="291">
                  <c:v>0.19996471313647299</c:v>
                </c:pt>
                <c:pt idx="292">
                  <c:v>0.199961309382127</c:v>
                </c:pt>
                <c:pt idx="293">
                  <c:v>0.199957577372883</c:v>
                </c:pt>
                <c:pt idx="294">
                  <c:v>0.19995348546623001</c:v>
                </c:pt>
                <c:pt idx="295">
                  <c:v>0.19994899897228799</c:v>
                </c:pt>
                <c:pt idx="296">
                  <c:v>0.19994407986090401</c:v>
                </c:pt>
                <c:pt idx="297">
                  <c:v>0.199938686440712</c:v>
                </c:pt>
                <c:pt idx="298">
                  <c:v>0.19993277300749299</c:v>
                </c:pt>
                <c:pt idx="299">
                  <c:v>0.19992628945893401</c:v>
                </c:pt>
                <c:pt idx="300">
                  <c:v>0.19991918087260599</c:v>
                </c:pt>
                <c:pt idx="301">
                  <c:v>0.199911387043682</c:v>
                </c:pt>
                <c:pt idx="302">
                  <c:v>0.19990284197862801</c:v>
                </c:pt>
                <c:pt idx="303">
                  <c:v>0.19989347334069299</c:v>
                </c:pt>
                <c:pt idx="304">
                  <c:v>0.19988320184272701</c:v>
                </c:pt>
                <c:pt idx="305">
                  <c:v>0.19987194058237201</c:v>
                </c:pt>
                <c:pt idx="306">
                  <c:v>0.19985959431428099</c:v>
                </c:pt>
                <c:pt idx="307">
                  <c:v>0.19984605865350899</c:v>
                </c:pt>
                <c:pt idx="308">
                  <c:v>0.19983121920373501</c:v>
                </c:pt>
                <c:pt idx="309">
                  <c:v>0.199814950603382</c:v>
                </c:pt>
                <c:pt idx="310">
                  <c:v>0.19979711548212001</c:v>
                </c:pt>
                <c:pt idx="311">
                  <c:v>0.19977756331961299</c:v>
                </c:pt>
                <c:pt idx="312">
                  <c:v>0.19975612919762301</c:v>
                </c:pt>
                <c:pt idx="313">
                  <c:v>0.19973263243592601</c:v>
                </c:pt>
                <c:pt idx="314">
                  <c:v>0.19970687510162599</c:v>
                </c:pt>
                <c:pt idx="315">
                  <c:v>0.19967864038069599</c:v>
                </c:pt>
                <c:pt idx="316">
                  <c:v>0.19964769079962999</c:v>
                </c:pt>
                <c:pt idx="317">
                  <c:v>0.19961376628421501</c:v>
                </c:pt>
                <c:pt idx="318">
                  <c:v>0.19957658204142301</c:v>
                </c:pt>
                <c:pt idx="319">
                  <c:v>0.19953582624944799</c:v>
                </c:pt>
                <c:pt idx="320">
                  <c:v>0.19949115753985699</c:v>
                </c:pt>
                <c:pt idx="321">
                  <c:v>0.19944220225478199</c:v>
                </c:pt>
                <c:pt idx="322">
                  <c:v>0.19938855146100501</c:v>
                </c:pt>
                <c:pt idx="323">
                  <c:v>0.19932975770176001</c:v>
                </c:pt>
                <c:pt idx="324">
                  <c:v>0.19926533146602499</c:v>
                </c:pt>
                <c:pt idx="325">
                  <c:v>0.199194737354152</c:v>
                </c:pt>
                <c:pt idx="326">
                  <c:v>0.199117389917815</c:v>
                </c:pt>
                <c:pt idx="327">
                  <c:v>0.19903264915152499</c:v>
                </c:pt>
                <c:pt idx="328">
                  <c:v>0.19893981561247401</c:v>
                </c:pt>
                <c:pt idx="329">
                  <c:v>0.198838125145159</c:v>
                </c:pt>
                <c:pt idx="330">
                  <c:v>0.198726743187389</c:v>
                </c:pt>
                <c:pt idx="331">
                  <c:v>0.19860475863473501</c:v>
                </c:pt>
                <c:pt idx="332">
                  <c:v>0.198471177241616</c:v>
                </c:pt>
                <c:pt idx="333">
                  <c:v>0.19832491453896001</c:v>
                </c:pt>
                <c:pt idx="334">
                  <c:v>0.19816478825102399</c:v>
                </c:pt>
                <c:pt idx="335">
                  <c:v>0.19798951019764499</c:v>
                </c:pt>
                <c:pt idx="336">
                  <c:v>0.197797677673165</c:v>
                </c:pt>
                <c:pt idx="337">
                  <c:v>0.19758776429973901</c:v>
                </c:pt>
                <c:pt idx="338">
                  <c:v>0.19735811036113399</c:v>
                </c:pt>
                <c:pt idx="339">
                  <c:v>0.197106912633571</c:v>
                </c:pt>
                <c:pt idx="340">
                  <c:v>0.19683221374330301</c:v>
                </c:pt>
                <c:pt idx="341">
                  <c:v>0.196531891096655</c:v>
                </c:pt>
                <c:pt idx="342">
                  <c:v>0.19620364544778399</c:v>
                </c:pt>
                <c:pt idx="343">
                  <c:v>0.19584498919295501</c:v>
                </c:pt>
                <c:pt idx="344">
                  <c:v>0.19545323450809099</c:v>
                </c:pt>
                <c:pt idx="345">
                  <c:v>0.195025481479465</c:v>
                </c:pt>
                <c:pt idx="346">
                  <c:v>0.19455860641605499</c:v>
                </c:pt>
                <c:pt idx="347">
                  <c:v>0.19404925057688099</c:v>
                </c:pt>
                <c:pt idx="348">
                  <c:v>0.19349380959795801</c:v>
                </c:pt>
                <c:pt idx="349">
                  <c:v>0.19288842396165801</c:v>
                </c:pt>
                <c:pt idx="350">
                  <c:v>0.19222897091636201</c:v>
                </c:pt>
              </c:numCache>
            </c:numRef>
          </c:xVal>
          <c:yVal>
            <c:numRef>
              <c:f>'Opamp and C Stray Using B'!$N$3:$N$353</c:f>
              <c:numCache>
                <c:formatCode>General</c:formatCode>
                <c:ptCount val="351"/>
                <c:pt idx="0">
                  <c:v>-4.0212385965949598E-9</c:v>
                </c:pt>
                <c:pt idx="1">
                  <c:v>-4.2107537330186799E-9</c:v>
                </c:pt>
                <c:pt idx="2">
                  <c:v>-4.4092004426557597E-9</c:v>
                </c:pt>
                <c:pt idx="3">
                  <c:v>-4.6169996575835199E-9</c:v>
                </c:pt>
                <c:pt idx="4">
                  <c:v>-4.8345921477969201E-9</c:v>
                </c:pt>
                <c:pt idx="5">
                  <c:v>-5.0624394561408801E-9</c:v>
                </c:pt>
                <c:pt idx="6">
                  <c:v>-5.3010248773044001E-9</c:v>
                </c:pt>
                <c:pt idx="7">
                  <c:v>-5.5508544829534399E-9</c:v>
                </c:pt>
                <c:pt idx="8">
                  <c:v>-5.8124581951768702E-9</c:v>
                </c:pt>
                <c:pt idx="9">
                  <c:v>-6.0863909105220703E-9</c:v>
                </c:pt>
                <c:pt idx="10">
                  <c:v>-6.3732336770051899E-9</c:v>
                </c:pt>
                <c:pt idx="11">
                  <c:v>-6.6735949265915503E-9</c:v>
                </c:pt>
                <c:pt idx="12">
                  <c:v>-6.9881117657616696E-9</c:v>
                </c:pt>
                <c:pt idx="13">
                  <c:v>-7.3174513268993901E-9</c:v>
                </c:pt>
                <c:pt idx="14">
                  <c:v>-7.6623121833692704E-9</c:v>
                </c:pt>
                <c:pt idx="15">
                  <c:v>-8.0234258312842307E-9</c:v>
                </c:pt>
                <c:pt idx="16">
                  <c:v>-8.40155824110675E-9</c:v>
                </c:pt>
                <c:pt idx="17">
                  <c:v>-8.7975114823751405E-9</c:v>
                </c:pt>
                <c:pt idx="18">
                  <c:v>-9.2121254250006195E-9</c:v>
                </c:pt>
                <c:pt idx="19">
                  <c:v>-9.6462795207436604E-9</c:v>
                </c:pt>
                <c:pt idx="20">
                  <c:v>-1.0100894668649499E-8</c:v>
                </c:pt>
                <c:pt idx="21">
                  <c:v>-1.0576935168397901E-8</c:v>
                </c:pt>
                <c:pt idx="22">
                  <c:v>-1.1075410765713E-8</c:v>
                </c:pt>
                <c:pt idx="23">
                  <c:v>-1.1597378794168399E-8</c:v>
                </c:pt>
                <c:pt idx="24">
                  <c:v>-1.2143946417933801E-8</c:v>
                </c:pt>
                <c:pt idx="25">
                  <c:v>-1.2716272980219E-8</c:v>
                </c:pt>
                <c:pt idx="26">
                  <c:v>-1.3315572462395599E-8</c:v>
                </c:pt>
                <c:pt idx="27">
                  <c:v>-1.3943116059014801E-8</c:v>
                </c:pt>
                <c:pt idx="28">
                  <c:v>-1.4600234874181401E-8</c:v>
                </c:pt>
                <c:pt idx="29">
                  <c:v>-1.5288322745003601E-8</c:v>
                </c:pt>
                <c:pt idx="30">
                  <c:v>-1.60088391981092E-8</c:v>
                </c:pt>
                <c:pt idx="31">
                  <c:v>-1.6763312545496401E-8</c:v>
                </c:pt>
                <c:pt idx="32">
                  <c:v>-1.7553343126289001E-8</c:v>
                </c:pt>
                <c:pt idx="33">
                  <c:v>-1.8380606701270202E-8</c:v>
                </c:pt>
                <c:pt idx="34">
                  <c:v>-1.9246858007395701E-8</c:v>
                </c:pt>
                <c:pt idx="35">
                  <c:v>-2.0153934479826002E-8</c:v>
                </c:pt>
                <c:pt idx="36">
                  <c:v>-2.1103760149373199E-8</c:v>
                </c:pt>
                <c:pt idx="37">
                  <c:v>-2.2098349723627601E-8</c:v>
                </c:pt>
                <c:pt idx="38">
                  <c:v>-2.3139812860423198E-8</c:v>
                </c:pt>
                <c:pt idx="39">
                  <c:v>-2.4230358642704401E-8</c:v>
                </c:pt>
                <c:pt idx="40">
                  <c:v>-2.5372300264287601E-8</c:v>
                </c:pt>
                <c:pt idx="41">
                  <c:v>-2.6568059936454899E-8</c:v>
                </c:pt>
                <c:pt idx="42">
                  <c:v>-2.7820174025789201E-8</c:v>
                </c:pt>
                <c:pt idx="43">
                  <c:v>-2.9131298434148001E-8</c:v>
                </c:pt>
                <c:pt idx="44">
                  <c:v>-3.0504214232186801E-8</c:v>
                </c:pt>
                <c:pt idx="45">
                  <c:v>-3.1941833558383202E-8</c:v>
                </c:pt>
                <c:pt idx="46">
                  <c:v>-3.3447205796073299E-8</c:v>
                </c:pt>
                <c:pt idx="47">
                  <c:v>-3.5023524041601802E-8</c:v>
                </c:pt>
                <c:pt idx="48">
                  <c:v>-3.6674131877308003E-8</c:v>
                </c:pt>
                <c:pt idx="49">
                  <c:v>-3.8402530463712699E-8</c:v>
                </c:pt>
                <c:pt idx="50">
                  <c:v>-4.0212385965947999E-8</c:v>
                </c:pt>
                <c:pt idx="51">
                  <c:v>-4.2107537330185298E-8</c:v>
                </c:pt>
                <c:pt idx="52">
                  <c:v>-4.4092004426555499E-8</c:v>
                </c:pt>
                <c:pt idx="53">
                  <c:v>-4.6169996575832699E-8</c:v>
                </c:pt>
                <c:pt idx="54">
                  <c:v>-4.8345921477966398E-8</c:v>
                </c:pt>
                <c:pt idx="55">
                  <c:v>-5.0624394561405599E-8</c:v>
                </c:pt>
                <c:pt idx="56">
                  <c:v>-5.3010248773040301E-8</c:v>
                </c:pt>
                <c:pt idx="57">
                  <c:v>-5.5508544829530101E-8</c:v>
                </c:pt>
                <c:pt idx="58">
                  <c:v>-5.8124581951763901E-8</c:v>
                </c:pt>
                <c:pt idx="59">
                  <c:v>-6.0863909105215596E-8</c:v>
                </c:pt>
                <c:pt idx="60">
                  <c:v>-6.3732336770045506E-8</c:v>
                </c:pt>
                <c:pt idx="61">
                  <c:v>-6.6735949265908203E-8</c:v>
                </c:pt>
                <c:pt idx="62">
                  <c:v>-6.9881117657608299E-8</c:v>
                </c:pt>
                <c:pt idx="63">
                  <c:v>-7.3174513268984205E-8</c:v>
                </c:pt>
                <c:pt idx="64">
                  <c:v>-7.6623121833682397E-8</c:v>
                </c:pt>
                <c:pt idx="65">
                  <c:v>-8.0234258312829502E-8</c:v>
                </c:pt>
                <c:pt idx="66">
                  <c:v>-8.4015582411052803E-8</c:v>
                </c:pt>
                <c:pt idx="67">
                  <c:v>-8.79751148237346E-8</c:v>
                </c:pt>
                <c:pt idx="68">
                  <c:v>-9.2121254249986901E-8</c:v>
                </c:pt>
                <c:pt idx="69">
                  <c:v>-9.6462795207414406E-8</c:v>
                </c:pt>
                <c:pt idx="70">
                  <c:v>-1.01008946686469E-7</c:v>
                </c:pt>
                <c:pt idx="71">
                  <c:v>-1.0576935168395E-7</c:v>
                </c:pt>
                <c:pt idx="72">
                  <c:v>-1.10754107657097E-7</c:v>
                </c:pt>
                <c:pt idx="73">
                  <c:v>-1.15973787941645E-7</c:v>
                </c:pt>
                <c:pt idx="74">
                  <c:v>-1.21439464179294E-7</c:v>
                </c:pt>
                <c:pt idx="75">
                  <c:v>-1.2716272980213899E-7</c:v>
                </c:pt>
                <c:pt idx="76">
                  <c:v>-1.33155724623897E-7</c:v>
                </c:pt>
                <c:pt idx="77">
                  <c:v>-1.39431160590081E-7</c:v>
                </c:pt>
                <c:pt idx="78">
                  <c:v>-1.4600234874173699E-7</c:v>
                </c:pt>
                <c:pt idx="79">
                  <c:v>-1.5288322744994799E-7</c:v>
                </c:pt>
                <c:pt idx="80">
                  <c:v>-1.6008839198099E-7</c:v>
                </c:pt>
                <c:pt idx="81">
                  <c:v>-1.6763312545484701E-7</c:v>
                </c:pt>
                <c:pt idx="82">
                  <c:v>-1.75533431262758E-7</c:v>
                </c:pt>
                <c:pt idx="83">
                  <c:v>-1.8380606701254901E-7</c:v>
                </c:pt>
                <c:pt idx="84">
                  <c:v>-1.9246858007378201E-7</c:v>
                </c:pt>
                <c:pt idx="85">
                  <c:v>-2.01539344798059E-7</c:v>
                </c:pt>
                <c:pt idx="86">
                  <c:v>-2.1103760149349899E-7</c:v>
                </c:pt>
                <c:pt idx="87">
                  <c:v>-2.2098349723601E-7</c:v>
                </c:pt>
                <c:pt idx="88">
                  <c:v>-2.3139812860392499E-7</c:v>
                </c:pt>
                <c:pt idx="89">
                  <c:v>-2.4230358642669198E-7</c:v>
                </c:pt>
                <c:pt idx="90">
                  <c:v>-2.5372300264247201E-7</c:v>
                </c:pt>
                <c:pt idx="91">
                  <c:v>-2.6568059936408503E-7</c:v>
                </c:pt>
                <c:pt idx="92">
                  <c:v>-2.78201740257359E-7</c:v>
                </c:pt>
                <c:pt idx="93">
                  <c:v>-2.9131298434086798E-7</c:v>
                </c:pt>
                <c:pt idx="94">
                  <c:v>-3.0504214232116601E-7</c:v>
                </c:pt>
                <c:pt idx="95">
                  <c:v>-3.19418335583027E-7</c:v>
                </c:pt>
                <c:pt idx="96">
                  <c:v>-3.3447205795980702E-7</c:v>
                </c:pt>
                <c:pt idx="97">
                  <c:v>-3.5023524041495502E-7</c:v>
                </c:pt>
                <c:pt idx="98">
                  <c:v>-3.6674131877186097E-7</c:v>
                </c:pt>
                <c:pt idx="99">
                  <c:v>-3.8402530463572601E-7</c:v>
                </c:pt>
                <c:pt idx="100">
                  <c:v>-4.0212385965786998E-7</c:v>
                </c:pt>
                <c:pt idx="101">
                  <c:v>-4.2107537330000499E-7</c:v>
                </c:pt>
                <c:pt idx="102">
                  <c:v>-4.4092004426343302E-7</c:v>
                </c:pt>
                <c:pt idx="103">
                  <c:v>-4.6169996575589198E-7</c:v>
                </c:pt>
                <c:pt idx="104">
                  <c:v>-4.8345921477687096E-7</c:v>
                </c:pt>
                <c:pt idx="105">
                  <c:v>-5.0624394561084403E-7</c:v>
                </c:pt>
                <c:pt idx="106">
                  <c:v>-5.3010248772671598E-7</c:v>
                </c:pt>
                <c:pt idx="107">
                  <c:v>-5.5508544829106798E-7</c:v>
                </c:pt>
                <c:pt idx="108">
                  <c:v>-5.8124581951277905E-7</c:v>
                </c:pt>
                <c:pt idx="109">
                  <c:v>-6.0863909104657497E-7</c:v>
                </c:pt>
                <c:pt idx="110">
                  <c:v>-6.3732336769404797E-7</c:v>
                </c:pt>
                <c:pt idx="111">
                  <c:v>-6.6735949265172502E-7</c:v>
                </c:pt>
                <c:pt idx="112">
                  <c:v>-6.9881117656763699E-7</c:v>
                </c:pt>
                <c:pt idx="113">
                  <c:v>-7.3174513268014898E-7</c:v>
                </c:pt>
                <c:pt idx="114">
                  <c:v>-7.6623121832568896E-7</c:v>
                </c:pt>
                <c:pt idx="115">
                  <c:v>-8.0234258311551096E-7</c:v>
                </c:pt>
                <c:pt idx="116">
                  <c:v>-8.4015582409585E-7</c:v>
                </c:pt>
                <c:pt idx="117">
                  <c:v>-8.7975114822049396E-7</c:v>
                </c:pt>
                <c:pt idx="118">
                  <c:v>-9.2121254248052003E-7</c:v>
                </c:pt>
                <c:pt idx="119">
                  <c:v>-9.64627952051928E-7</c:v>
                </c:pt>
                <c:pt idx="120">
                  <c:v>-1.0100894668391801E-6</c:v>
                </c:pt>
                <c:pt idx="121">
                  <c:v>-1.0576935168102201E-6</c:v>
                </c:pt>
                <c:pt idx="122">
                  <c:v>-1.10754107653734E-6</c:v>
                </c:pt>
                <c:pt idx="123">
                  <c:v>-1.1597378793778499E-6</c:v>
                </c:pt>
                <c:pt idx="124">
                  <c:v>-1.21439464174861E-6</c:v>
                </c:pt>
                <c:pt idx="125">
                  <c:v>-1.2716272979704999E-6</c:v>
                </c:pt>
                <c:pt idx="126">
                  <c:v>-1.33155724618054E-6</c:v>
                </c:pt>
                <c:pt idx="127">
                  <c:v>-1.3943116058337199E-6</c:v>
                </c:pt>
                <c:pt idx="128">
                  <c:v>-1.4600234873403399E-6</c:v>
                </c:pt>
                <c:pt idx="129">
                  <c:v>-1.5288322744110399E-6</c:v>
                </c:pt>
                <c:pt idx="130">
                  <c:v>-1.6008839197083601E-6</c:v>
                </c:pt>
                <c:pt idx="131">
                  <c:v>-1.6763312544318801E-6</c:v>
                </c:pt>
                <c:pt idx="132">
                  <c:v>-1.75533431249371E-6</c:v>
                </c:pt>
                <c:pt idx="133">
                  <c:v>-1.8380606699717901E-6</c:v>
                </c:pt>
                <c:pt idx="134">
                  <c:v>-1.92468580056135E-6</c:v>
                </c:pt>
                <c:pt idx="135">
                  <c:v>-2.0153934477779899E-6</c:v>
                </c:pt>
                <c:pt idx="136">
                  <c:v>-2.11037601470239E-6</c:v>
                </c:pt>
                <c:pt idx="137">
                  <c:v>-2.20983497209301E-6</c:v>
                </c:pt>
                <c:pt idx="138">
                  <c:v>-2.3139812857326E-6</c:v>
                </c:pt>
                <c:pt idx="139">
                  <c:v>-2.42303586391483E-6</c:v>
                </c:pt>
                <c:pt idx="140">
                  <c:v>-2.5372300260204799E-6</c:v>
                </c:pt>
                <c:pt idx="141">
                  <c:v>-2.65680599317672E-6</c:v>
                </c:pt>
                <c:pt idx="142">
                  <c:v>-2.7820174020407E-6</c:v>
                </c:pt>
                <c:pt idx="143">
                  <c:v>-2.9131298427968201E-6</c:v>
                </c:pt>
                <c:pt idx="144">
                  <c:v>-3.0504214225091401E-6</c:v>
                </c:pt>
                <c:pt idx="145">
                  <c:v>-3.1941833550236802E-6</c:v>
                </c:pt>
                <c:pt idx="146">
                  <c:v>-3.3447205786719799E-6</c:v>
                </c:pt>
                <c:pt idx="147">
                  <c:v>-3.5023524030862499E-6</c:v>
                </c:pt>
                <c:pt idx="148">
                  <c:v>-3.6674131864977801E-6</c:v>
                </c:pt>
                <c:pt idx="149">
                  <c:v>-3.8402530449555699E-6</c:v>
                </c:pt>
                <c:pt idx="150">
                  <c:v>-4.02123859496934E-6</c:v>
                </c:pt>
                <c:pt idx="151">
                  <c:v>-4.2107537311522596E-6</c:v>
                </c:pt>
                <c:pt idx="152">
                  <c:v>-4.4092004405128098E-6</c:v>
                </c:pt>
                <c:pt idx="153">
                  <c:v>-4.6169996551230401E-6</c:v>
                </c:pt>
                <c:pt idx="154">
                  <c:v>-4.8345921449719497E-6</c:v>
                </c:pt>
                <c:pt idx="155">
                  <c:v>-5.0624394528973403E-6</c:v>
                </c:pt>
                <c:pt idx="156">
                  <c:v>-5.3010248735803197E-6</c:v>
                </c:pt>
                <c:pt idx="157">
                  <c:v>-5.5508544786776203E-6</c:v>
                </c:pt>
                <c:pt idx="158">
                  <c:v>-5.8124581902675802E-6</c:v>
                </c:pt>
                <c:pt idx="159">
                  <c:v>-6.0863909048854898E-6</c:v>
                </c:pt>
                <c:pt idx="160">
                  <c:v>-6.3732336705334798E-6</c:v>
                </c:pt>
                <c:pt idx="161">
                  <c:v>-6.6735949191610301E-6</c:v>
                </c:pt>
                <c:pt idx="162">
                  <c:v>-6.9881117572303E-6</c:v>
                </c:pt>
                <c:pt idx="163">
                  <c:v>-7.3174513171040996E-6</c:v>
                </c:pt>
                <c:pt idx="164">
                  <c:v>-7.6623121721227994E-6</c:v>
                </c:pt>
                <c:pt idx="165">
                  <c:v>-8.0234258183715107E-6</c:v>
                </c:pt>
                <c:pt idx="166">
                  <c:v>-8.4015582262809092E-6</c:v>
                </c:pt>
                <c:pt idx="167">
                  <c:v>-8.7975114653528896E-6</c:v>
                </c:pt>
                <c:pt idx="168">
                  <c:v>-9.2121254054563703E-6</c:v>
                </c:pt>
                <c:pt idx="169">
                  <c:v>-9.6462794983039301E-6</c:v>
                </c:pt>
                <c:pt idx="170">
                  <c:v>-1.01008946428851E-5</c:v>
                </c:pt>
                <c:pt idx="171">
                  <c:v>-1.05769351388165E-5</c:v>
                </c:pt>
                <c:pt idx="172">
                  <c:v>-1.1075410731749E-5</c:v>
                </c:pt>
                <c:pt idx="173">
                  <c:v>-1.15973787551726E-5</c:v>
                </c:pt>
                <c:pt idx="174">
                  <c:v>-1.21439463731606E-5</c:v>
                </c:pt>
                <c:pt idx="175">
                  <c:v>-1.27162729288124E-5</c:v>
                </c:pt>
                <c:pt idx="176">
                  <c:v>-1.3315572403373E-5</c:v>
                </c:pt>
                <c:pt idx="177">
                  <c:v>-1.3943115991247699E-5</c:v>
                </c:pt>
                <c:pt idx="178">
                  <c:v>-1.46002347963744E-5</c:v>
                </c:pt>
                <c:pt idx="179">
                  <c:v>-1.5288322655669201E-5</c:v>
                </c:pt>
                <c:pt idx="180">
                  <c:v>-1.6008839095539599E-5</c:v>
                </c:pt>
                <c:pt idx="181">
                  <c:v>-1.6763312427730698E-5</c:v>
                </c:pt>
                <c:pt idx="182">
                  <c:v>-1.7553342991075899E-5</c:v>
                </c:pt>
                <c:pt idx="183">
                  <c:v>-1.83806065460249E-5</c:v>
                </c:pt>
                <c:pt idx="184">
                  <c:v>-1.9246857829150099E-5</c:v>
                </c:pt>
                <c:pt idx="185">
                  <c:v>-2.01539342751727E-5</c:v>
                </c:pt>
                <c:pt idx="186">
                  <c:v>-2.1103759914399701E-5</c:v>
                </c:pt>
                <c:pt idx="187">
                  <c:v>-2.2098349453841899E-5</c:v>
                </c:pt>
                <c:pt idx="188">
                  <c:v>-2.3139812550667799E-5</c:v>
                </c:pt>
                <c:pt idx="189">
                  <c:v>-2.42303582870577E-5</c:v>
                </c:pt>
                <c:pt idx="190">
                  <c:v>-2.53722998559504E-5</c:v>
                </c:pt>
                <c:pt idx="191">
                  <c:v>-2.6568059467621102E-5</c:v>
                </c:pt>
                <c:pt idx="192">
                  <c:v>-2.7820173487495899E-5</c:v>
                </c:pt>
                <c:pt idx="193">
                  <c:v>-2.9131297816104602E-5</c:v>
                </c:pt>
                <c:pt idx="194">
                  <c:v>-3.0504213522578001E-5</c:v>
                </c:pt>
                <c:pt idx="195">
                  <c:v>-3.1941832743643402E-5</c:v>
                </c:pt>
                <c:pt idx="196">
                  <c:v>-3.3447204860626699E-5</c:v>
                </c:pt>
                <c:pt idx="197">
                  <c:v>-3.5023522967565398E-5</c:v>
                </c:pt>
                <c:pt idx="198">
                  <c:v>-3.66741306441492E-5</c:v>
                </c:pt>
                <c:pt idx="199">
                  <c:v>-3.8402529047856999E-5</c:v>
                </c:pt>
                <c:pt idx="200">
                  <c:v>-4.02123843403278E-5</c:v>
                </c:pt>
                <c:pt idx="201">
                  <c:v>-4.2107535463723602E-5</c:v>
                </c:pt>
                <c:pt idx="202">
                  <c:v>-4.4092002283571102E-5</c:v>
                </c:pt>
                <c:pt idx="203">
                  <c:v>-4.6169994115357401E-5</c:v>
                </c:pt>
                <c:pt idx="204">
                  <c:v>-4.83459186529627E-5</c:v>
                </c:pt>
                <c:pt idx="205">
                  <c:v>-5.0624391317867299E-5</c:v>
                </c:pt>
                <c:pt idx="206">
                  <c:v>-5.3010245048959703E-5</c:v>
                </c:pt>
                <c:pt idx="207">
                  <c:v>-5.5508540553713903E-5</c:v>
                </c:pt>
                <c:pt idx="208">
                  <c:v>-5.8124577042469601E-5</c:v>
                </c:pt>
                <c:pt idx="209">
                  <c:v>-6.0863903468592003E-5</c:v>
                </c:pt>
                <c:pt idx="210">
                  <c:v>-6.3732330298335794E-5</c:v>
                </c:pt>
                <c:pt idx="211">
                  <c:v>-6.6735941835391202E-5</c:v>
                </c:pt>
                <c:pt idx="212">
                  <c:v>-6.9881109126233295E-5</c:v>
                </c:pt>
                <c:pt idx="213">
                  <c:v>-7.3174503473655305E-5</c:v>
                </c:pt>
                <c:pt idx="214">
                  <c:v>-7.6623110587139599E-5</c:v>
                </c:pt>
                <c:pt idx="215">
                  <c:v>-8.0234245400071294E-5</c:v>
                </c:pt>
                <c:pt idx="216">
                  <c:v>-8.4015567585222895E-5</c:v>
                </c:pt>
                <c:pt idx="217">
                  <c:v>-8.7975097801404898E-5</c:v>
                </c:pt>
                <c:pt idx="218">
                  <c:v>-9.2121234705737695E-5</c:v>
                </c:pt>
                <c:pt idx="219">
                  <c:v>-9.6462772767614194E-5</c:v>
                </c:pt>
                <c:pt idx="220">
                  <c:v>-1.01008920922131E-4</c:v>
                </c:pt>
                <c:pt idx="221">
                  <c:v>-1.05769322102533E-4</c:v>
                </c:pt>
                <c:pt idx="222">
                  <c:v>-1.10754073693087E-4</c:v>
                </c:pt>
                <c:pt idx="223">
                  <c:v>-1.1597374894574601E-4</c:v>
                </c:pt>
                <c:pt idx="224">
                  <c:v>-1.21439419406012E-4</c:v>
                </c:pt>
                <c:pt idx="225">
                  <c:v>-1.27162678395534E-4</c:v>
                </c:pt>
                <c:pt idx="226">
                  <c:v>-1.3315566560122001E-4</c:v>
                </c:pt>
                <c:pt idx="227">
                  <c:v>-1.39431092822983E-4</c:v>
                </c:pt>
                <c:pt idx="228">
                  <c:v>-1.46002270934702E-4</c:v>
                </c:pt>
                <c:pt idx="229">
                  <c:v>-1.5288313811552399E-4</c:v>
                </c:pt>
                <c:pt idx="230">
                  <c:v>-1.60088289411354E-4</c:v>
                </c:pt>
                <c:pt idx="231">
                  <c:v>-1.6763300768915399E-4</c:v>
                </c:pt>
                <c:pt idx="232">
                  <c:v>-1.7553329604965901E-4</c:v>
                </c:pt>
                <c:pt idx="233">
                  <c:v>-1.8380591176715301E-4</c:v>
                </c:pt>
                <c:pt idx="234">
                  <c:v>-1.9246840182823101E-4</c:v>
                </c:pt>
                <c:pt idx="235">
                  <c:v>-2.01539140144804E-4</c:v>
                </c:pt>
                <c:pt idx="236">
                  <c:v>-2.1103736652014601E-4</c:v>
                </c:pt>
                <c:pt idx="237">
                  <c:v>-2.20983227450532E-4</c:v>
                </c:pt>
                <c:pt idx="238">
                  <c:v>-2.31397818848788E-4</c:v>
                </c:pt>
                <c:pt idx="239">
                  <c:v>-2.4230323078025499E-4</c:v>
                </c:pt>
                <c:pt idx="240">
                  <c:v>-2.5372259430578499E-4</c:v>
                </c:pt>
                <c:pt idx="241">
                  <c:v>-2.6568013053091102E-4</c:v>
                </c:pt>
                <c:pt idx="242">
                  <c:v>-2.7820120196494699E-4</c:v>
                </c:pt>
                <c:pt idx="243">
                  <c:v>-2.9131236629859801E-4</c:v>
                </c:pt>
                <c:pt idx="244">
                  <c:v>-3.0504143271384E-4</c:v>
                </c:pt>
                <c:pt idx="245">
                  <c:v>-3.19417520844989E-4</c:v>
                </c:pt>
                <c:pt idx="246">
                  <c:v>-3.3447112251560799E-4</c:v>
                </c:pt>
                <c:pt idx="247">
                  <c:v>-3.5023416638160001E-4</c:v>
                </c:pt>
                <c:pt idx="248">
                  <c:v>-3.6674008561694003E-4</c:v>
                </c:pt>
                <c:pt idx="249">
                  <c:v>-3.8402388878489702E-4</c:v>
                </c:pt>
                <c:pt idx="250">
                  <c:v>-4.0212223404418901E-4</c:v>
                </c:pt>
                <c:pt idx="251">
                  <c:v>-4.2107350684649798E-4</c:v>
                </c:pt>
                <c:pt idx="252">
                  <c:v>-4.4091790128899898E-4</c:v>
                </c:pt>
                <c:pt idx="253">
                  <c:v>-4.61697505293188E-4</c:v>
                </c:pt>
                <c:pt idx="254">
                  <c:v>-4.83456389789155E-4</c:v>
                </c:pt>
                <c:pt idx="255">
                  <c:v>-5.0624070209279604E-4</c:v>
                </c:pt>
                <c:pt idx="256">
                  <c:v>-5.3009876367202395E-4</c:v>
                </c:pt>
                <c:pt idx="257">
                  <c:v>-5.55081172507086E-4</c:v>
                </c:pt>
                <c:pt idx="258">
                  <c:v>-5.8124091025956305E-4</c:v>
                </c:pt>
                <c:pt idx="259">
                  <c:v>-6.0863345447430598E-4</c:v>
                </c:pt>
                <c:pt idx="260">
                  <c:v>-6.3731689604897099E-4</c:v>
                </c:pt>
                <c:pt idx="261">
                  <c:v>-6.6735206221627203E-4</c:v>
                </c:pt>
                <c:pt idx="262">
                  <c:v>-6.9880264529541801E-4</c:v>
                </c:pt>
                <c:pt idx="263">
                  <c:v>-7.3173533748059703E-4</c:v>
                </c:pt>
                <c:pt idx="264">
                  <c:v>-7.6621997194637197E-4</c:v>
                </c:pt>
                <c:pt idx="265">
                  <c:v>-8.0232967056265603E-4</c:v>
                </c:pt>
                <c:pt idx="266">
                  <c:v>-8.40140998524546E-4</c:v>
                </c:pt>
                <c:pt idx="267">
                  <c:v>-8.7973412621609505E-4</c:v>
                </c:pt>
                <c:pt idx="268">
                  <c:v>-9.2119299864100001E-4</c:v>
                </c:pt>
                <c:pt idx="269">
                  <c:v>-9.6460551276773701E-4</c:v>
                </c:pt>
                <c:pt idx="270">
                  <c:v>-1.0100637031515999E-3</c:v>
                </c:pt>
                <c:pt idx="271">
                  <c:v>-1.05766393621181E-3</c:v>
                </c:pt>
                <c:pt idx="272">
                  <c:v>-1.1075071135577901E-3</c:v>
                </c:pt>
                <c:pt idx="273">
                  <c:v>-1.1596988847752401E-3</c:v>
                </c:pt>
                <c:pt idx="274">
                  <c:v>-1.2143498700996601E-3</c:v>
                </c:pt>
                <c:pt idx="275">
                  <c:v>-1.27157589342244E-3</c:v>
                </c:pt>
                <c:pt idx="276">
                  <c:v>-1.33149822609272E-3</c:v>
                </c:pt>
                <c:pt idx="277">
                  <c:v>-1.3942438419959301E-3</c:v>
                </c:pt>
                <c:pt idx="278">
                  <c:v>-1.4599456844093699E-3</c:v>
                </c:pt>
                <c:pt idx="279">
                  <c:v>-1.5287429451533599E-3</c:v>
                </c:pt>
                <c:pt idx="280">
                  <c:v>-1.60078135657582E-3</c:v>
                </c:pt>
                <c:pt idx="281">
                  <c:v>-1.6762134969276899E-3</c:v>
                </c:pt>
                <c:pt idx="282">
                  <c:v>-1.75519910970513E-3</c:v>
                </c:pt>
                <c:pt idx="283">
                  <c:v>-1.8379054375539999E-3</c:v>
                </c:pt>
                <c:pt idx="284">
                  <c:v>-1.9245075713509199E-3</c:v>
                </c:pt>
                <c:pt idx="285">
                  <c:v>-2.01518881509276E-3</c:v>
                </c:pt>
                <c:pt idx="286">
                  <c:v>-2.1101410672452999E-3</c:v>
                </c:pt>
                <c:pt idx="287">
                  <c:v>-2.2095652192166801E-3</c:v>
                </c:pt>
                <c:pt idx="288">
                  <c:v>-2.3136715716382699E-3</c:v>
                </c:pt>
                <c:pt idx="289">
                  <c:v>-2.4226802691476399E-3</c:v>
                </c:pt>
                <c:pt idx="290">
                  <c:v>-2.5368217543813602E-3</c:v>
                </c:pt>
                <c:pt idx="291">
                  <c:v>-2.6563372418928598E-3</c:v>
                </c:pt>
                <c:pt idx="292">
                  <c:v>-2.7814792127176802E-3</c:v>
                </c:pt>
                <c:pt idx="293">
                  <c:v>-2.9125119303093101E-3</c:v>
                </c:pt>
                <c:pt idx="294">
                  <c:v>-3.0497119785671198E-3</c:v>
                </c:pt>
                <c:pt idx="295">
                  <c:v>-3.1933688226690499E-3</c:v>
                </c:pt>
                <c:pt idx="296">
                  <c:v>-3.3437853934070601E-3</c:v>
                </c:pt>
                <c:pt idx="297">
                  <c:v>-3.5012786957012501E-3</c:v>
                </c:pt>
                <c:pt idx="298">
                  <c:v>-3.6661804419363302E-3</c:v>
                </c:pt>
                <c:pt idx="299">
                  <c:v>-3.8388377107218801E-3</c:v>
                </c:pt>
                <c:pt idx="300">
                  <c:v>-4.01961363162265E-3</c:v>
                </c:pt>
                <c:pt idx="301">
                  <c:v>-4.2088880963354804E-3</c:v>
                </c:pt>
                <c:pt idx="302">
                  <c:v>-4.4070584967013902E-3</c:v>
                </c:pt>
                <c:pt idx="303">
                  <c:v>-4.6145404898355899E-3</c:v>
                </c:pt>
                <c:pt idx="304">
                  <c:v>-4.8317687905265697E-3</c:v>
                </c:pt>
                <c:pt idx="305">
                  <c:v>-5.05919799089799E-3</c:v>
                </c:pt>
                <c:pt idx="306">
                  <c:v>-5.29730340713959E-3</c:v>
                </c:pt>
                <c:pt idx="307">
                  <c:v>-5.5465819528867496E-3</c:v>
                </c:pt>
                <c:pt idx="308">
                  <c:v>-5.80755303856438E-3</c:v>
                </c:pt>
                <c:pt idx="309">
                  <c:v>-6.0807594956939198E-3</c:v>
                </c:pt>
                <c:pt idx="310">
                  <c:v>-6.3667685247954103E-3</c:v>
                </c:pt>
                <c:pt idx="311">
                  <c:v>-6.6661726650826397E-3</c:v>
                </c:pt>
                <c:pt idx="312">
                  <c:v>-6.9795907836441998E-3</c:v>
                </c:pt>
                <c:pt idx="313">
                  <c:v>-7.3076690812164703E-3</c:v>
                </c:pt>
                <c:pt idx="314">
                  <c:v>-7.6510821109685703E-3</c:v>
                </c:pt>
                <c:pt idx="315">
                  <c:v>-8.0105338059304702E-3</c:v>
                </c:pt>
                <c:pt idx="316">
                  <c:v>-8.38675850977731E-3</c:v>
                </c:pt>
                <c:pt idx="317">
                  <c:v>-8.7805220046271604E-3</c:v>
                </c:pt>
                <c:pt idx="318">
                  <c:v>-9.1926225282920604E-3</c:v>
                </c:pt>
                <c:pt idx="319">
                  <c:v>-9.6238917720230608E-3</c:v>
                </c:pt>
                <c:pt idx="320">
                  <c:v>-1.00751958481847E-2</c:v>
                </c:pt>
                <c:pt idx="321">
                  <c:v>-1.0547436215456099E-2</c:v>
                </c:pt>
                <c:pt idx="322">
                  <c:v>-1.10415505470551E-2</c:v>
                </c:pt>
                <c:pt idx="323">
                  <c:v>-1.15585135250849E-2</c:v>
                </c:pt>
                <c:pt idx="324">
                  <c:v>-1.20993375413755E-2</c:v>
                </c:pt>
                <c:pt idx="325">
                  <c:v>-1.2665073282091301E-2</c:v>
                </c:pt>
                <c:pt idx="326">
                  <c:v>-1.32568101698679E-2</c:v>
                </c:pt>
                <c:pt idx="327">
                  <c:v>-1.38756766332636E-2</c:v>
                </c:pt>
                <c:pt idx="328">
                  <c:v>-1.4522840168841301E-2</c:v>
                </c:pt>
                <c:pt idx="329">
                  <c:v>-1.5199507156152099E-2</c:v>
                </c:pt>
                <c:pt idx="330">
                  <c:v>-1.5906922380253201E-2</c:v>
                </c:pt>
                <c:pt idx="331">
                  <c:v>-1.6646368210083601E-2</c:v>
                </c:pt>
                <c:pt idx="332">
                  <c:v>-1.74191633740019E-2</c:v>
                </c:pt>
                <c:pt idx="333">
                  <c:v>-1.8226661266017199E-2</c:v>
                </c:pt>
                <c:pt idx="334">
                  <c:v>-1.9070247707664301E-2</c:v>
                </c:pt>
                <c:pt idx="335">
                  <c:v>-1.9951338081079802E-2</c:v>
                </c:pt>
                <c:pt idx="336">
                  <c:v>-2.0871373738586201E-2</c:v>
                </c:pt>
                <c:pt idx="337">
                  <c:v>-2.1831817583025399E-2</c:v>
                </c:pt>
                <c:pt idx="338">
                  <c:v>-2.2834148701215501E-2</c:v>
                </c:pt>
                <c:pt idx="339">
                  <c:v>-2.3879855920336601E-2</c:v>
                </c:pt>
                <c:pt idx="340">
                  <c:v>-2.4970430143896199E-2</c:v>
                </c:pt>
                <c:pt idx="341">
                  <c:v>-2.6107355310402001E-2</c:v>
                </c:pt>
                <c:pt idx="342">
                  <c:v>-2.7292097804256302E-2</c:v>
                </c:pt>
                <c:pt idx="343">
                  <c:v>-2.85260941350606E-2</c:v>
                </c:pt>
                <c:pt idx="344">
                  <c:v>-2.9810736689041498E-2</c:v>
                </c:pt>
                <c:pt idx="345">
                  <c:v>-3.1147357345301298E-2</c:v>
                </c:pt>
                <c:pt idx="346">
                  <c:v>-3.2537208740973197E-2</c:v>
                </c:pt>
                <c:pt idx="347">
                  <c:v>-3.3981442964169099E-2</c:v>
                </c:pt>
                <c:pt idx="348">
                  <c:v>-3.5481087453189203E-2</c:v>
                </c:pt>
                <c:pt idx="349">
                  <c:v>-3.70370178864236E-2</c:v>
                </c:pt>
                <c:pt idx="350">
                  <c:v>-3.8649927861626299E-2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4-4DFF-833C-ED636E58F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At val="-2000000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Stray'!$K$3:$K$353</c:f>
            </c:numRef>
          </c:yVal>
          <c:smooth val="0"/>
          <c:extLst>
            <c:ext xmlns:c16="http://schemas.microsoft.com/office/drawing/2014/chart" uri="{C3380CC4-5D6E-409C-BE32-E72D297353CC}">
              <c16:uniqueId val="{00000000-72FA-47E5-97FF-37E6FC68D70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Stray'!$P$3:$P$353</c:f>
            </c:numRef>
          </c:yVal>
          <c:smooth val="0"/>
          <c:extLst>
            <c:ext xmlns:c16="http://schemas.microsoft.com/office/drawing/2014/chart" uri="{C3380CC4-5D6E-409C-BE32-E72D297353CC}">
              <c16:uniqueId val="{00000001-72FA-47E5-97FF-37E6FC68D70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 Using B (2)'!$H$3:$H$353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 Using B (2)'!$R$3:$R$353</c:f>
              <c:numCache>
                <c:formatCode>General</c:formatCode>
                <c:ptCount val="351"/>
                <c:pt idx="0">
                  <c:v>105.97738617543561</c:v>
                </c:pt>
                <c:pt idx="1">
                  <c:v>105.97323964583916</c:v>
                </c:pt>
                <c:pt idx="2">
                  <c:v>105.96869761228626</c:v>
                </c:pt>
                <c:pt idx="3">
                  <c:v>105.96372282525915</c:v>
                </c:pt>
                <c:pt idx="4">
                  <c:v>105.95827462153342</c:v>
                </c:pt>
                <c:pt idx="5">
                  <c:v>105.95230863012728</c:v>
                </c:pt>
                <c:pt idx="6">
                  <c:v>105.94577645667293</c:v>
                </c:pt>
                <c:pt idx="7">
                  <c:v>105.93862534539619</c:v>
                </c:pt>
                <c:pt idx="8">
                  <c:v>105.93079781803463</c:v>
                </c:pt>
                <c:pt idx="9">
                  <c:v>105.92223128922132</c:v>
                </c:pt>
                <c:pt idx="10">
                  <c:v>105.91285765811594</c:v>
                </c:pt>
                <c:pt idx="11">
                  <c:v>105.90260287638908</c:v>
                </c:pt>
                <c:pt idx="12">
                  <c:v>105.89138649307199</c:v>
                </c:pt>
                <c:pt idx="13">
                  <c:v>105.87912117728459</c:v>
                </c:pt>
                <c:pt idx="14">
                  <c:v>105.86571222046001</c:v>
                </c:pt>
                <c:pt idx="15">
                  <c:v>105.85105702041439</c:v>
                </c:pt>
                <c:pt idx="16">
                  <c:v>105.83504455047047</c:v>
                </c:pt>
                <c:pt idx="17">
                  <c:v>105.81755481785666</c:v>
                </c:pt>
                <c:pt idx="18">
                  <c:v>105.79845831677164</c:v>
                </c:pt>
                <c:pt idx="19">
                  <c:v>105.77761548284134</c:v>
                </c:pt>
                <c:pt idx="20">
                  <c:v>105.75487615720783</c:v>
                </c:pt>
                <c:pt idx="21">
                  <c:v>105.73007907016709</c:v>
                </c:pt>
                <c:pt idx="22">
                  <c:v>105.70305135611724</c:v>
                </c:pt>
                <c:pt idx="23">
                  <c:v>105.67360811355718</c:v>
                </c:pt>
                <c:pt idx="24">
                  <c:v>105.64155202596493</c:v>
                </c:pt>
                <c:pt idx="25">
                  <c:v>105.6066730615218</c:v>
                </c:pt>
                <c:pt idx="26">
                  <c:v>105.56874827177217</c:v>
                </c:pt>
                <c:pt idx="27">
                  <c:v>105.52754171131629</c:v>
                </c:pt>
                <c:pt idx="28">
                  <c:v>105.48280450241143</c:v>
                </c:pt>
                <c:pt idx="29">
                  <c:v>105.43427506975378</c:v>
                </c:pt>
                <c:pt idx="30">
                  <c:v>105.38167957156759</c:v>
                </c:pt>
                <c:pt idx="31">
                  <c:v>105.32473255323254</c:v>
                </c:pt>
                <c:pt idx="32">
                  <c:v>105.26313784884344</c:v>
                </c:pt>
                <c:pt idx="33">
                  <c:v>105.19658975408576</c:v>
                </c:pt>
                <c:pt idx="34">
                  <c:v>105.12477449043391</c:v>
                </c:pt>
                <c:pt idx="35">
                  <c:v>105.04737197575166</c:v>
                </c:pt>
                <c:pt idx="36">
                  <c:v>104.96405790976873</c:v>
                </c:pt>
                <c:pt idx="37">
                  <c:v>104.8745061745766</c:v>
                </c:pt>
                <c:pt idx="38">
                  <c:v>104.77839154028365</c:v>
                </c:pt>
                <c:pt idx="39">
                  <c:v>104.67539265447633</c:v>
                </c:pt>
                <c:pt idx="40">
                  <c:v>104.56519528148773</c:v>
                </c:pt>
                <c:pt idx="41">
                  <c:v>104.44749574416817</c:v>
                </c:pt>
                <c:pt idx="42">
                  <c:v>104.32200450753538</c:v>
                </c:pt>
                <c:pt idx="43">
                  <c:v>104.18844983113802</c:v>
                </c:pt>
                <c:pt idx="44">
                  <c:v>104.04658140606966</c:v>
                </c:pt>
                <c:pt idx="45">
                  <c:v>103.89617388422847</c:v>
                </c:pt>
                <c:pt idx="46">
                  <c:v>103.73703020248259</c:v>
                </c:pt>
                <c:pt idx="47">
                  <c:v>103.56898460359271</c:v>
                </c:pt>
                <c:pt idx="48">
                  <c:v>103.39190525955782</c:v>
                </c:pt>
                <c:pt idx="49">
                  <c:v>103.20569641167553</c:v>
                </c:pt>
                <c:pt idx="50">
                  <c:v>103.01029995488413</c:v>
                </c:pt>
                <c:pt idx="51">
                  <c:v>102.8056964113517</c:v>
                </c:pt>
                <c:pt idx="52">
                  <c:v>102.59190525890735</c:v>
                </c:pt>
                <c:pt idx="53">
                  <c:v>102.36898460261006</c:v>
                </c:pt>
                <c:pt idx="54">
                  <c:v>102.13703020115956</c:v>
                </c:pt>
                <c:pt idx="55">
                  <c:v>101.89617388255367</c:v>
                </c:pt>
                <c:pt idx="56">
                  <c:v>101.64658140402891</c:v>
                </c:pt>
                <c:pt idx="57">
                  <c:v>101.38844982871402</c:v>
                </c:pt>
                <c:pt idx="58">
                  <c:v>101.12200450470759</c:v>
                </c:pt>
                <c:pt idx="59">
                  <c:v>100.84749574091249</c:v>
                </c:pt>
                <c:pt idx="60">
                  <c:v>100.56519527777658</c:v>
                </c:pt>
                <c:pt idx="61">
                  <c:v>100.27539265027829</c:v>
                </c:pt>
                <c:pt idx="62">
                  <c:v>99.978391535562935</c:v>
                </c:pt>
                <c:pt idx="63">
                  <c:v>99.674506169293252</c:v>
                </c:pt>
                <c:pt idx="64">
                  <c:v>99.364057903877764</c:v>
                </c:pt>
                <c:pt idx="65">
                  <c:v>99.047371969203198</c:v>
                </c:pt>
                <c:pt idx="66">
                  <c:v>98.724774483172268</c:v>
                </c:pt>
                <c:pt idx="67">
                  <c:v>98.396589746049344</c:v>
                </c:pt>
                <c:pt idx="68">
                  <c:v>98.063137839964057</c:v>
                </c:pt>
                <c:pt idx="69">
                  <c:v>97.724732543434754</c:v>
                </c:pt>
                <c:pt idx="70">
                  <c:v>97.381679560768262</c:v>
                </c:pt>
                <c:pt idx="71">
                  <c:v>97.034275057861251</c:v>
                </c:pt>
                <c:pt idx="72">
                  <c:v>96.682804489324653</c:v>
                </c:pt>
                <c:pt idx="73">
                  <c:v>96.327541696924328</c:v>
                </c:pt>
                <c:pt idx="74">
                  <c:v>95.968748255952718</c:v>
                </c:pt>
                <c:pt idx="75">
                  <c:v>95.606673044140607</c:v>
                </c:pt>
                <c:pt idx="76">
                  <c:v>95.241552006874471</c:v>
                </c:pt>
                <c:pt idx="77">
                  <c:v>94.873608092595333</c:v>
                </c:pt>
                <c:pt idx="78">
                  <c:v>94.503051333106129</c:v>
                </c:pt>
                <c:pt idx="79">
                  <c:v>94.130079044911355</c:v>
                </c:pt>
                <c:pt idx="80">
                  <c:v>93.754876129492985</c:v>
                </c:pt>
                <c:pt idx="81">
                  <c:v>93.377615452432238</c:v>
                </c:pt>
                <c:pt idx="82">
                  <c:v>92.998458283410088</c:v>
                </c:pt>
                <c:pt idx="83">
                  <c:v>92.617554781259457</c:v>
                </c:pt>
                <c:pt idx="84">
                  <c:v>92.235044510326873</c:v>
                </c:pt>
                <c:pt idx="85">
                  <c:v>91.851056976383731</c:v>
                </c:pt>
                <c:pt idx="86">
                  <c:v>91.46571217216848</c:v>
                </c:pt>
                <c:pt idx="87">
                  <c:v>91.079121124322143</c:v>
                </c:pt>
                <c:pt idx="88">
                  <c:v>90.691386434989113</c:v>
                </c:pt>
                <c:pt idx="89">
                  <c:v>90.302602812692726</c:v>
                </c:pt>
                <c:pt idx="90">
                  <c:v>89.912857588265382</c:v>
                </c:pt>
                <c:pt idx="91">
                  <c:v>89.522231212623524</c:v>
                </c:pt>
                <c:pt idx="92">
                  <c:v>89.130797734039476</c:v>
                </c:pt>
                <c:pt idx="93">
                  <c:v>88.738625253290536</c:v>
                </c:pt>
                <c:pt idx="94">
                  <c:v>88.345776355674886</c:v>
                </c:pt>
                <c:pt idx="95">
                  <c:v>87.952308519379457</c:v>
                </c:pt>
                <c:pt idx="96">
                  <c:v>87.558274500095791</c:v>
                </c:pt>
                <c:pt idx="97">
                  <c:v>87.163722692100762</c:v>
                </c:pt>
                <c:pt idx="98">
                  <c:v>86.768697466276677</c:v>
                </c:pt>
                <c:pt idx="99">
                  <c:v>86.373239485739049</c:v>
                </c:pt>
                <c:pt idx="100">
                  <c:v>85.977385999885726</c:v>
                </c:pt>
                <c:pt idx="101">
                  <c:v>85.5811711177885</c:v>
                </c:pt>
                <c:pt idx="102">
                  <c:v>85.184626061911615</c:v>
                </c:pt>
                <c:pt idx="103">
                  <c:v>84.787779403190413</c:v>
                </c:pt>
                <c:pt idx="104">
                  <c:v>84.39065727851559</c:v>
                </c:pt>
                <c:pt idx="105">
                  <c:v>83.993283591674555</c:v>
                </c:pt>
                <c:pt idx="106">
                  <c:v>83.59568019878391</c:v>
                </c:pt>
                <c:pt idx="107">
                  <c:v>83.197867079225603</c:v>
                </c:pt>
                <c:pt idx="108">
                  <c:v>82.799862493065518</c:v>
                </c:pt>
                <c:pt idx="109">
                  <c:v>82.401683125893783</c:v>
                </c:pt>
                <c:pt idx="110">
                  <c:v>82.003344221986168</c:v>
                </c:pt>
                <c:pt idx="111">
                  <c:v>81.604859706638749</c:v>
                </c:pt>
                <c:pt idx="112">
                  <c:v>81.206242298480532</c:v>
                </c:pt>
                <c:pt idx="113">
                  <c:v>80.807503612525579</c:v>
                </c:pt>
                <c:pt idx="114">
                  <c:v>80.408654254674531</c:v>
                </c:pt>
                <c:pt idx="115">
                  <c:v>80.009703908333449</c:v>
                </c:pt>
                <c:pt idx="116">
                  <c:v>79.610661413770757</c:v>
                </c:pt>
                <c:pt idx="117">
                  <c:v>79.211534840792908</c:v>
                </c:pt>
                <c:pt idx="118">
                  <c:v>78.812331555274483</c:v>
                </c:pt>
                <c:pt idx="119">
                  <c:v>78.413058280043174</c:v>
                </c:pt>
                <c:pt idx="120">
                  <c:v>78.013721150580793</c:v>
                </c:pt>
                <c:pt idx="121">
                  <c:v>77.614325765968005</c:v>
                </c:pt>
                <c:pt idx="122">
                  <c:v>77.214877235465082</c:v>
                </c:pt>
                <c:pt idx="123">
                  <c:v>76.815380221095069</c:v>
                </c:pt>
                <c:pt idx="124">
                  <c:v>76.415838976561844</c:v>
                </c:pt>
                <c:pt idx="125">
                  <c:v>76.016257382812213</c:v>
                </c:pt>
                <c:pt idx="126">
                  <c:v>75.616638980526176</c:v>
                </c:pt>
                <c:pt idx="127">
                  <c:v>75.216986999794059</c:v>
                </c:pt>
                <c:pt idx="128">
                  <c:v>74.817304387221512</c:v>
                </c:pt>
                <c:pt idx="129">
                  <c:v>74.417593830680687</c:v>
                </c:pt>
                <c:pt idx="130">
                  <c:v>74.017857781908944</c:v>
                </c:pt>
                <c:pt idx="131">
                  <c:v>73.618098477139895</c:v>
                </c:pt>
                <c:pt idx="132">
                  <c:v>73.218317955935547</c:v>
                </c:pt>
                <c:pt idx="133">
                  <c:v>72.818518078374396</c:v>
                </c:pt>
                <c:pt idx="134">
                  <c:v>72.418700540736623</c:v>
                </c:pt>
                <c:pt idx="135">
                  <c:v>72.018866889816948</c:v>
                </c:pt>
                <c:pt idx="136">
                  <c:v>71.619018535982789</c:v>
                </c:pt>
                <c:pt idx="137">
                  <c:v>71.21915676508678</c:v>
                </c:pt>
                <c:pt idx="138">
                  <c:v>70.819282749331762</c:v>
                </c:pt>
                <c:pt idx="139">
                  <c:v>70.419397557180446</c:v>
                </c:pt>
                <c:pt idx="140">
                  <c:v>70.019502162390424</c:v>
                </c:pt>
                <c:pt idx="141">
                  <c:v>69.619597452251838</c:v>
                </c:pt>
                <c:pt idx="142">
                  <c:v>69.219684235095443</c:v>
                </c:pt>
                <c:pt idx="143">
                  <c:v>68.819763247134659</c:v>
                </c:pt>
                <c:pt idx="144">
                  <c:v>68.419835158698234</c:v>
                </c:pt>
                <c:pt idx="145">
                  <c:v>68.019900579907699</c:v>
                </c:pt>
                <c:pt idx="146">
                  <c:v>67.619960065844339</c:v>
                </c:pt>
                <c:pt idx="147">
                  <c:v>67.220014121252163</c:v>
                </c:pt>
                <c:pt idx="148">
                  <c:v>66.820063204814673</c:v>
                </c:pt>
                <c:pt idx="149">
                  <c:v>66.420107733042087</c:v>
                </c:pt>
                <c:pt idx="150">
                  <c:v>66.02014808380126</c:v>
                </c:pt>
                <c:pt idx="151">
                  <c:v>65.620184599519447</c:v>
                </c:pt>
                <c:pt idx="152">
                  <c:v>65.220217590086662</c:v>
                </c:pt>
                <c:pt idx="153">
                  <c:v>64.820247335483614</c:v>
                </c:pt>
                <c:pt idx="154">
                  <c:v>64.420274088155821</c:v>
                </c:pt>
                <c:pt idx="155">
                  <c:v>64.020298075154315</c:v>
                </c:pt>
                <c:pt idx="156">
                  <c:v>63.620319500061214</c:v>
                </c:pt>
                <c:pt idx="157">
                  <c:v>63.220338544716739</c:v>
                </c:pt>
                <c:pt idx="158">
                  <c:v>62.82035537076122</c:v>
                </c:pt>
                <c:pt idx="159">
                  <c:v>62.420370121006584</c:v>
                </c:pt>
                <c:pt idx="160">
                  <c:v>62.020382920647712</c:v>
                </c:pt>
                <c:pt idx="161">
                  <c:v>61.620393878324265</c:v>
                </c:pt>
                <c:pt idx="162">
                  <c:v>61.220403087042634</c:v>
                </c:pt>
                <c:pt idx="163">
                  <c:v>60.820410624965191</c:v>
                </c:pt>
                <c:pt idx="164">
                  <c:v>60.4204165560731</c:v>
                </c:pt>
                <c:pt idx="165">
                  <c:v>60.020420930709115</c:v>
                </c:pt>
                <c:pt idx="166">
                  <c:v>59.620423786005176</c:v>
                </c:pt>
                <c:pt idx="167">
                  <c:v>59.220425146196874</c:v>
                </c:pt>
                <c:pt idx="168">
                  <c:v>58.820425022829625</c:v>
                </c:pt>
                <c:pt idx="169">
                  <c:v>58.420423414856138</c:v>
                </c:pt>
                <c:pt idx="170">
                  <c:v>58.020420308628118</c:v>
                </c:pt>
                <c:pt idx="171">
                  <c:v>57.620415677779796</c:v>
                </c:pt>
                <c:pt idx="172">
                  <c:v>57.220409483004815</c:v>
                </c:pt>
                <c:pt idx="173">
                  <c:v>56.820401671722095</c:v>
                </c:pt>
                <c:pt idx="174">
                  <c:v>56.420392177630575</c:v>
                </c:pt>
                <c:pt idx="175">
                  <c:v>56.020380920145854</c:v>
                </c:pt>
                <c:pt idx="176">
                  <c:v>55.620367803716718</c:v>
                </c:pt>
                <c:pt idx="177">
                  <c:v>55.220352717014897</c:v>
                </c:pt>
                <c:pt idx="178">
                  <c:v>54.820335531990004</c:v>
                </c:pt>
                <c:pt idx="179">
                  <c:v>54.420316102783637</c:v>
                </c:pt>
                <c:pt idx="180">
                  <c:v>54.02029426449193</c:v>
                </c:pt>
                <c:pt idx="181">
                  <c:v>53.620269831766599</c:v>
                </c:pt>
                <c:pt idx="182">
                  <c:v>53.220242597243114</c:v>
                </c:pt>
                <c:pt idx="183">
                  <c:v>52.820212329781654</c:v>
                </c:pt>
                <c:pt idx="184">
                  <c:v>52.420178772506944</c:v>
                </c:pt>
                <c:pt idx="185">
                  <c:v>52.020141640629888</c:v>
                </c:pt>
                <c:pt idx="186">
                  <c:v>51.620100619032684</c:v>
                </c:pt>
                <c:pt idx="187">
                  <c:v>51.220055359596962</c:v>
                </c:pt>
                <c:pt idx="188">
                  <c:v>50.82000547825276</c:v>
                </c:pt>
                <c:pt idx="189">
                  <c:v>50.419950551722486</c:v>
                </c:pt>
                <c:pt idx="190">
                  <c:v>50.019890113933798</c:v>
                </c:pt>
                <c:pt idx="191">
                  <c:v>49.619823652069634</c:v>
                </c:pt>
                <c:pt idx="192">
                  <c:v>49.219750602223208</c:v>
                </c:pt>
                <c:pt idx="193">
                  <c:v>48.819670344620825</c:v>
                </c:pt>
                <c:pt idx="194">
                  <c:v>48.419582198372559</c:v>
                </c:pt>
                <c:pt idx="195">
                  <c:v>48.019485415706342</c:v>
                </c:pt>
                <c:pt idx="196">
                  <c:v>47.619379175637235</c:v>
                </c:pt>
                <c:pt idx="197">
                  <c:v>47.219262577018839</c:v>
                </c:pt>
                <c:pt idx="198">
                  <c:v>46.819134630918086</c:v>
                </c:pt>
                <c:pt idx="199">
                  <c:v>46.418994252249746</c:v>
                </c:pt>
                <c:pt idx="200">
                  <c:v>46.018840250601514</c:v>
                </c:pt>
                <c:pt idx="201">
                  <c:v>45.618671320170989</c:v>
                </c:pt>
                <c:pt idx="202">
                  <c:v>45.218486028733018</c:v>
                </c:pt>
                <c:pt idx="203">
                  <c:v>44.818282805542935</c:v>
                </c:pt>
                <c:pt idx="204">
                  <c:v>44.418059928078101</c:v>
                </c:pt>
                <c:pt idx="205">
                  <c:v>44.017815507504643</c:v>
                </c:pt>
                <c:pt idx="206">
                  <c:v>43.617547472751482</c:v>
                </c:pt>
                <c:pt idx="207">
                  <c:v>43.217253553058399</c:v>
                </c:pt>
                <c:pt idx="208">
                  <c:v>42.816931258855867</c:v>
                </c:pt>
                <c:pt idx="209">
                  <c:v>42.416577860818407</c:v>
                </c:pt>
                <c:pt idx="210">
                  <c:v>42.01619036692049</c:v>
                </c:pt>
                <c:pt idx="211">
                  <c:v>41.615765497308445</c:v>
                </c:pt>
                <c:pt idx="212">
                  <c:v>41.215299656782427</c:v>
                </c:pt>
                <c:pt idx="213">
                  <c:v>40.814788904668347</c:v>
                </c:pt>
                <c:pt idx="214">
                  <c:v>40.414228921834741</c:v>
                </c:pt>
                <c:pt idx="215">
                  <c:v>40.013614974592301</c:v>
                </c:pt>
                <c:pt idx="216">
                  <c:v>39.612941875187587</c:v>
                </c:pt>
                <c:pt idx="217">
                  <c:v>39.212203938578654</c:v>
                </c:pt>
                <c:pt idx="218">
                  <c:v>38.811394935153004</c:v>
                </c:pt>
                <c:pt idx="219">
                  <c:v>38.410508039019987</c:v>
                </c:pt>
                <c:pt idx="220">
                  <c:v>38.009535771476664</c:v>
                </c:pt>
                <c:pt idx="221">
                  <c:v>37.608469939216484</c:v>
                </c:pt>
                <c:pt idx="222">
                  <c:v>37.20730156681072</c:v>
                </c:pt>
                <c:pt idx="223">
                  <c:v>36.806020822960186</c:v>
                </c:pt>
                <c:pt idx="224">
                  <c:v>36.404616939969515</c:v>
                </c:pt>
                <c:pt idx="225">
                  <c:v>36.003078125860497</c:v>
                </c:pt>
                <c:pt idx="226">
                  <c:v>35.601391468494313</c:v>
                </c:pt>
                <c:pt idx="227">
                  <c:v>35.199542831028936</c:v>
                </c:pt>
                <c:pt idx="228">
                  <c:v>34.797516737990776</c:v>
                </c:pt>
                <c:pt idx="229">
                  <c:v>34.395296251195447</c:v>
                </c:pt>
                <c:pt idx="230">
                  <c:v>33.992862834702223</c:v>
                </c:pt>
                <c:pt idx="231">
                  <c:v>33.590196207942753</c:v>
                </c:pt>
                <c:pt idx="232">
                  <c:v>33.187274186118167</c:v>
                </c:pt>
                <c:pt idx="233">
                  <c:v>32.784072506918925</c:v>
                </c:pt>
                <c:pt idx="234">
                  <c:v>32.380564642580424</c:v>
                </c:pt>
                <c:pt idx="235">
                  <c:v>31.976721596260305</c:v>
                </c:pt>
                <c:pt idx="236">
                  <c:v>31.572511681697478</c:v>
                </c:pt>
                <c:pt idx="237">
                  <c:v>31.167900285102732</c:v>
                </c:pt>
                <c:pt idx="238">
                  <c:v>30.762849608235399</c:v>
                </c:pt>
                <c:pt idx="239">
                  <c:v>30.357318391639495</c:v>
                </c:pt>
                <c:pt idx="240">
                  <c:v>29.951261617063459</c:v>
                </c:pt>
                <c:pt idx="241">
                  <c:v>29.544630188156837</c:v>
                </c:pt>
                <c:pt idx="242">
                  <c:v>29.13737058865339</c:v>
                </c:pt>
                <c:pt idx="243">
                  <c:v>28.729424517397955</c:v>
                </c:pt>
                <c:pt idx="244">
                  <c:v>28.320728499783986</c:v>
                </c:pt>
                <c:pt idx="245">
                  <c:v>27.911213475430468</c:v>
                </c:pt>
                <c:pt idx="246">
                  <c:v>27.500804362267544</c:v>
                </c:pt>
                <c:pt idx="247">
                  <c:v>27.089419597618427</c:v>
                </c:pt>
                <c:pt idx="248">
                  <c:v>26.676970657383443</c:v>
                </c:pt>
                <c:pt idx="249">
                  <c:v>26.263361555058484</c:v>
                </c:pt>
                <c:pt idx="250">
                  <c:v>25.848488323067823</c:v>
                </c:pt>
                <c:pt idx="251">
                  <c:v>25.432238479781102</c:v>
                </c:pt>
                <c:pt idx="252">
                  <c:v>25.014490486615848</c:v>
                </c:pt>
                <c:pt idx="253">
                  <c:v>24.595113200828763</c:v>
                </c:pt>
                <c:pt idx="254">
                  <c:v>24.173965330962247</c:v>
                </c:pt>
                <c:pt idx="255">
                  <c:v>23.750894903451762</c:v>
                </c:pt>
                <c:pt idx="256">
                  <c:v>23.325738750609197</c:v>
                </c:pt>
                <c:pt idx="257">
                  <c:v>22.898322032062815</c:v>
                </c:pt>
                <c:pt idx="258">
                  <c:v>22.468457803737031</c:v>
                </c:pt>
                <c:pt idx="259">
                  <c:v>22.035946650552912</c:v>
                </c:pt>
                <c:pt idx="260">
                  <c:v>21.600576401174749</c:v>
                </c:pt>
                <c:pt idx="261">
                  <c:v>21.162121945236166</c:v>
                </c:pt>
                <c:pt idx="262">
                  <c:v>20.720345175459521</c:v>
                </c:pt>
                <c:pt idx="263">
                  <c:v>20.274995078806036</c:v>
                </c:pt>
                <c:pt idx="264">
                  <c:v>19.82580800211645</c:v>
                </c:pt>
                <c:pt idx="265">
                  <c:v>19.372508118439775</c:v>
                </c:pt>
                <c:pt idx="266">
                  <c:v>18.914808120216975</c:v>
                </c:pt>
                <c:pt idx="267">
                  <c:v>18.452410164463128</c:v>
                </c:pt>
                <c:pt idx="268">
                  <c:v>17.985007092870639</c:v>
                </c:pt>
                <c:pt idx="269">
                  <c:v>17.512283946131948</c:v>
                </c:pt>
                <c:pt idx="270">
                  <c:v>17.033919786579922</c:v>
                </c:pt>
                <c:pt idx="271">
                  <c:v>16.549589836352894</c:v>
                </c:pt>
                <c:pt idx="272">
                  <c:v>16.058967929674026</c:v>
                </c:pt>
                <c:pt idx="273">
                  <c:v>15.561729267568946</c:v>
                </c:pt>
                <c:pt idx="274">
                  <c:v>15.057553451631108</c:v>
                </c:pt>
                <c:pt idx="275">
                  <c:v>14.546127760650695</c:v>
                </c:pt>
                <c:pt idx="276">
                  <c:v>14.027150620565941</c:v>
                </c:pt>
                <c:pt idx="277">
                  <c:v>13.500335204949765</c:v>
                </c:pt>
                <c:pt idx="278">
                  <c:v>12.965413090911767</c:v>
                </c:pt>
                <c:pt idx="279">
                  <c:v>12.422137884763119</c:v>
                </c:pt>
                <c:pt idx="280">
                  <c:v>11.870288723960432</c:v>
                </c:pt>
                <c:pt idx="281">
                  <c:v>11.309673557548965</c:v>
                </c:pt>
                <c:pt idx="282">
                  <c:v>10.740132107264987</c:v>
                </c:pt>
                <c:pt idx="283">
                  <c:v>10.161538416062012</c:v>
                </c:pt>
                <c:pt idx="284">
                  <c:v>9.5738029002519518</c:v>
                </c:pt>
                <c:pt idx="285">
                  <c:v>8.9768738354583562</c:v>
                </c:pt>
                <c:pt idx="286">
                  <c:v>8.3707382245846702</c:v>
                </c:pt>
                <c:pt idx="287">
                  <c:v>7.7554220170649799</c:v>
                </c:pt>
                <c:pt idx="288">
                  <c:v>7.1309896715776695</c:v>
                </c:pt>
                <c:pt idx="289">
                  <c:v>6.4975430777950898</c:v>
                </c:pt>
                <c:pt idx="290">
                  <c:v>5.8552198751838382</c:v>
                </c:pt>
                <c:pt idx="291">
                  <c:v>5.2041912270436157</c:v>
                </c:pt>
                <c:pt idx="292">
                  <c:v>4.5446591247280885</c:v>
                </c:pt>
                <c:pt idx="293">
                  <c:v>3.8768533095273021</c:v>
                </c:pt>
                <c:pt idx="294">
                  <c:v>3.2010279075123194</c:v>
                </c:pt>
                <c:pt idx="295">
                  <c:v>2.5174578756663486</c:v>
                </c:pt>
                <c:pt idx="296">
                  <c:v>1.8264353560909257</c:v>
                </c:pt>
                <c:pt idx="297">
                  <c:v>1.1282660295169649</c:v>
                </c:pt>
                <c:pt idx="298">
                  <c:v>0.42326555052294879</c:v>
                </c:pt>
                <c:pt idx="299">
                  <c:v>-0.28824386437309713</c:v>
                </c:pt>
                <c:pt idx="300">
                  <c:v>-1.0059366373102634</c:v>
                </c:pt>
                <c:pt idx="301">
                  <c:v>-1.7294867733017405</c:v>
                </c:pt>
                <c:pt idx="302">
                  <c:v>-2.4585705162371667</c:v>
                </c:pt>
                <c:pt idx="303">
                  <c:v>-3.1928686973256184</c:v>
                </c:pt>
                <c:pt idx="304">
                  <c:v>-3.9320687678916428</c:v>
                </c:pt>
                <c:pt idx="305">
                  <c:v>-4.6758665181739758</c:v>
                </c:pt>
                <c:pt idx="306">
                  <c:v>-5.4239674918221219</c:v>
                </c:pt>
                <c:pt idx="307">
                  <c:v>-6.1760881121015991</c:v>
                </c:pt>
                <c:pt idx="308">
                  <c:v>-6.9319565404826662</c:v>
                </c:pt>
                <c:pt idx="309">
                  <c:v>-7.6913132914187692</c:v>
                </c:pt>
                <c:pt idx="310">
                  <c:v>-8.4539116289239313</c:v>
                </c:pt>
                <c:pt idx="311">
                  <c:v>-9.2195177712234795</c:v>
                </c:pt>
                <c:pt idx="312">
                  <c:v>-9.9879109295066701</c:v>
                </c:pt>
                <c:pt idx="313">
                  <c:v>-10.758883205856943</c:v>
                </c:pt>
                <c:pt idx="314">
                  <c:v>-11.53223937395761</c:v>
                </c:pt>
                <c:pt idx="315">
                  <c:v>-12.307796564351456</c:v>
                </c:pt>
                <c:pt idx="316">
                  <c:v>-13.085383873994601</c:v>
                </c:pt>
                <c:pt idx="317">
                  <c:v>-13.864841917713461</c:v>
                </c:pt>
                <c:pt idx="318">
                  <c:v>-14.646022337041492</c:v>
                </c:pt>
                <c:pt idx="319">
                  <c:v>-15.428787279837952</c:v>
                </c:pt>
                <c:pt idx="320">
                  <c:v>-16.213008862131986</c:v>
                </c:pt>
                <c:pt idx="321">
                  <c:v>-16.998568621819665</c:v>
                </c:pt>
                <c:pt idx="322">
                  <c:v>-17.785356972187611</c:v>
                </c:pt>
                <c:pt idx="323">
                  <c:v>-18.573272661757233</c:v>
                </c:pt>
                <c:pt idx="324">
                  <c:v>-19.362222245633589</c:v>
                </c:pt>
                <c:pt idx="325">
                  <c:v>-20.152119572399286</c:v>
                </c:pt>
                <c:pt idx="326">
                  <c:v>-20.942885289612018</c:v>
                </c:pt>
                <c:pt idx="327">
                  <c:v>-21.734446370120089</c:v>
                </c:pt>
                <c:pt idx="328">
                  <c:v>-22.526735660709193</c:v>
                </c:pt>
                <c:pt idx="329">
                  <c:v>-23.319691454000093</c:v>
                </c:pt>
                <c:pt idx="330">
                  <c:v>-24.113257084036174</c:v>
                </c:pt>
                <c:pt idx="331">
                  <c:v>-24.907380545608888</c:v>
                </c:pt>
                <c:pt idx="332">
                  <c:v>-25.702014137054174</c:v>
                </c:pt>
                <c:pt idx="333">
                  <c:v>-26.497114126010889</c:v>
                </c:pt>
                <c:pt idx="334">
                  <c:v>-27.292640437444401</c:v>
                </c:pt>
                <c:pt idx="335">
                  <c:v>-28.088556363101748</c:v>
                </c:pt>
                <c:pt idx="336">
                  <c:v>-28.884828291464999</c:v>
                </c:pt>
                <c:pt idx="337">
                  <c:v>-29.681425457206629</c:v>
                </c:pt>
                <c:pt idx="338">
                  <c:v>-30.478319709112231</c:v>
                </c:pt>
                <c:pt idx="339">
                  <c:v>-31.275485295421305</c:v>
                </c:pt>
                <c:pt idx="340">
                  <c:v>-32.072898665538794</c:v>
                </c:pt>
                <c:pt idx="341">
                  <c:v>-32.870538287082752</c:v>
                </c:pt>
                <c:pt idx="342">
                  <c:v>-33.668384477264844</c:v>
                </c:pt>
                <c:pt idx="343">
                  <c:v>-34.466419247627393</c:v>
                </c:pt>
                <c:pt idx="344">
                  <c:v>-35.264626161207119</c:v>
                </c:pt>
                <c:pt idx="345">
                  <c:v>-36.062990201231457</c:v>
                </c:pt>
                <c:pt idx="346">
                  <c:v>-36.861497650504546</c:v>
                </c:pt>
                <c:pt idx="347">
                  <c:v>-37.660135980685283</c:v>
                </c:pt>
                <c:pt idx="348">
                  <c:v>-38.458893750703417</c:v>
                </c:pt>
                <c:pt idx="349">
                  <c:v>-39.257760513612588</c:v>
                </c:pt>
                <c:pt idx="350">
                  <c:v>-40.056726731218092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FA-47E5-97FF-37E6FC68D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Stray'!$L$3:$L$353</c:f>
            </c:numRef>
          </c:yVal>
          <c:smooth val="0"/>
          <c:extLst>
            <c:ext xmlns:c16="http://schemas.microsoft.com/office/drawing/2014/chart" uri="{C3380CC4-5D6E-409C-BE32-E72D297353CC}">
              <c16:uniqueId val="{00000003-72FA-47E5-97FF-37E6FC68D70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Stray'!$Q$3:$Q$353</c:f>
            </c:numRef>
          </c:yVal>
          <c:smooth val="0"/>
          <c:extLst>
            <c:ext xmlns:c16="http://schemas.microsoft.com/office/drawing/2014/chart" uri="{C3380CC4-5D6E-409C-BE32-E72D297353CC}">
              <c16:uniqueId val="{00000004-72FA-47E5-97FF-37E6FC68D70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 Using B (2)'!$H$3:$H$353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 Using B (2)'!$S$3:$S$353</c:f>
              <c:numCache>
                <c:formatCode>General</c:formatCode>
                <c:ptCount val="351"/>
                <c:pt idx="0">
                  <c:v>174.28929166250035</c:v>
                </c:pt>
                <c:pt idx="1">
                  <c:v>174.02205970669252</c:v>
                </c:pt>
                <c:pt idx="2">
                  <c:v>173.74251316796111</c:v>
                </c:pt>
                <c:pt idx="3">
                  <c:v>173.4501124396287</c:v>
                </c:pt>
                <c:pt idx="4">
                  <c:v>173.14429835178379</c:v>
                </c:pt>
                <c:pt idx="5">
                  <c:v>172.82449207528285</c:v>
                </c:pt>
                <c:pt idx="6">
                  <c:v>172.49009513277045</c:v>
                </c:pt>
                <c:pt idx="7">
                  <c:v>172.1404895356269</c:v>
                </c:pt>
                <c:pt idx="8">
                  <c:v>171.77503806805859</c:v>
                </c:pt>
                <c:pt idx="9">
                  <c:v>171.39308474203011</c:v>
                </c:pt>
                <c:pt idx="10">
                  <c:v>170.99395544937275</c:v>
                </c:pt>
                <c:pt idx="11">
                  <c:v>170.57695884018381</c:v>
                </c:pt>
                <c:pt idx="12">
                  <c:v>170.14138745950424</c:v>
                </c:pt>
                <c:pt idx="13">
                  <c:v>169.68651917718478</c:v>
                </c:pt>
                <c:pt idx="14">
                  <c:v>169.21161894875715</c:v>
                </c:pt>
                <c:pt idx="15">
                  <c:v>168.71594094791348</c:v>
                </c:pt>
                <c:pt idx="16">
                  <c:v>168.19873111375787</c:v>
                </c:pt>
                <c:pt idx="17">
                  <c:v>167.65923015816597</c:v>
                </c:pt>
                <c:pt idx="18">
                  <c:v>167.09667708020061</c:v>
                </c:pt>
                <c:pt idx="19">
                  <c:v>166.51031323534741</c:v>
                </c:pt>
                <c:pt idx="20">
                  <c:v>165.89938700709382</c:v>
                </c:pt>
                <c:pt idx="21">
                  <c:v>165.26315912677049</c:v>
                </c:pt>
                <c:pt idx="22">
                  <c:v>164.60090868424629</c:v>
                </c:pt>
                <c:pt idx="23">
                  <c:v>163.91193986663797</c:v>
                </c:pt>
                <c:pt idx="24">
                  <c:v>163.19558945422321</c:v>
                </c:pt>
                <c:pt idx="25">
                  <c:v>162.45123509182122</c:v>
                </c:pt>
                <c:pt idx="26">
                  <c:v>161.67830433956411</c:v>
                </c:pt>
                <c:pt idx="27">
                  <c:v>160.87628448886068</c:v>
                </c:pt>
                <c:pt idx="28">
                  <c:v>160.04473310710006</c:v>
                </c:pt>
                <c:pt idx="29">
                  <c:v>159.18328924807977</c:v>
                </c:pt>
                <c:pt idx="30">
                  <c:v>158.29168523423044</c:v>
                </c:pt>
                <c:pt idx="31">
                  <c:v>157.36975888169439</c:v>
                </c:pt>
                <c:pt idx="32">
                  <c:v>156.41746600072503</c:v>
                </c:pt>
                <c:pt idx="33">
                  <c:v>155.43489296264602</c:v>
                </c:pt>
                <c:pt idx="34">
                  <c:v>154.42226908211413</c:v>
                </c:pt>
                <c:pt idx="35">
                  <c:v>153.37997852151403</c:v>
                </c:pt>
                <c:pt idx="36">
                  <c:v>152.30857138532531</c:v>
                </c:pt>
                <c:pt idx="37">
                  <c:v>151.20877363902139</c:v>
                </c:pt>
                <c:pt idx="38">
                  <c:v>150.0814954626255</c:v>
                </c:pt>
                <c:pt idx="39">
                  <c:v>148.92783763678023</c:v>
                </c:pt>
                <c:pt idx="40">
                  <c:v>147.74909556234576</c:v>
                </c:pt>
                <c:pt idx="41">
                  <c:v>146.54676053605365</c:v>
                </c:pt>
                <c:pt idx="42">
                  <c:v>145.32251794680633</c:v>
                </c:pt>
                <c:pt idx="43">
                  <c:v>144.07824212099885</c:v>
                </c:pt>
                <c:pt idx="44">
                  <c:v>142.81598763048999</c:v>
                </c:pt>
                <c:pt idx="45">
                  <c:v>141.53797698166366</c:v>
                </c:pt>
                <c:pt idx="46">
                  <c:v>140.24658472470492</c:v>
                </c:pt>
                <c:pt idx="47">
                  <c:v>138.94431815331427</c:v>
                </c:pt>
                <c:pt idx="48">
                  <c:v>137.63379489968156</c:v>
                </c:pt>
                <c:pt idx="49">
                  <c:v>136.31771785962269</c:v>
                </c:pt>
                <c:pt idx="50">
                  <c:v>134.99884800000015</c:v>
                </c:pt>
                <c:pt idx="51">
                  <c:v>133.67997569683115</c:v>
                </c:pt>
                <c:pt idx="52">
                  <c:v>132.36389132094968</c:v>
                </c:pt>
                <c:pt idx="53">
                  <c:v>131.05335582365822</c:v>
                </c:pt>
                <c:pt idx="54">
                  <c:v>129.75107207480249</c:v>
                </c:pt>
                <c:pt idx="55">
                  <c:v>128.45965767013581</c:v>
                </c:pt>
                <c:pt idx="56">
                  <c:v>127.18161985638113</c:v>
                </c:pt>
                <c:pt idx="57">
                  <c:v>125.9193331261026</c:v>
                </c:pt>
                <c:pt idx="58">
                  <c:v>124.67501991729964</c:v>
                </c:pt>
                <c:pt idx="59">
                  <c:v>123.45073472253662</c:v>
                </c:pt>
                <c:pt idx="60">
                  <c:v>122.24835177783629</c:v>
                </c:pt>
                <c:pt idx="61">
                  <c:v>121.06955637046008</c:v>
                </c:pt>
                <c:pt idx="62">
                  <c:v>119.91583968401264</c:v>
                </c:pt>
                <c:pt idx="63">
                  <c:v>118.78849699450384</c:v>
                </c:pt>
                <c:pt idx="64">
                  <c:v>117.68862894573434</c:v>
                </c:pt>
                <c:pt idx="65">
                  <c:v>116.6171455686073</c:v>
                </c:pt>
                <c:pt idx="66">
                  <c:v>115.5747726668781</c:v>
                </c:pt>
                <c:pt idx="67">
                  <c:v>114.56206017037024</c:v>
                </c:pt>
                <c:pt idx="68">
                  <c:v>113.57939205350208</c:v>
                </c:pt>
                <c:pt idx="69">
                  <c:v>112.62699742925518</c:v>
                </c:pt>
                <c:pt idx="70">
                  <c:v>111.70496245314233</c:v>
                </c:pt>
                <c:pt idx="71">
                  <c:v>110.81324270501186</c:v>
                </c:pt>
                <c:pt idx="72">
                  <c:v>109.95167575551775</c:v>
                </c:pt>
                <c:pt idx="73">
                  <c:v>109.11999366599979</c:v>
                </c:pt>
                <c:pt idx="74">
                  <c:v>108.31783521300623</c:v>
                </c:pt>
                <c:pt idx="75">
                  <c:v>107.54475766993272</c:v>
                </c:pt>
                <c:pt idx="76">
                  <c:v>106.80024801682463</c:v>
                </c:pt>
                <c:pt idx="77">
                  <c:v>106.08373348442208</c:v>
                </c:pt>
                <c:pt idx="78">
                  <c:v>105.39459136942347</c:v>
                </c:pt>
                <c:pt idx="79">
                  <c:v>104.73215808451974</c:v>
                </c:pt>
                <c:pt idx="80">
                  <c:v>104.09573742899417</c:v>
                </c:pt>
                <c:pt idx="81">
                  <c:v>103.48460808381398</c:v>
                </c:pt>
                <c:pt idx="82">
                  <c:v>102.89803034947118</c:v>
                </c:pt>
                <c:pt idx="83">
                  <c:v>102.33525215576533</c:v>
                </c:pt>
                <c:pt idx="84">
                  <c:v>101.79551438068121</c:v>
                </c:pt>
                <c:pt idx="85">
                  <c:v>101.27805552095595</c:v>
                </c:pt>
                <c:pt idx="86">
                  <c:v>100.78211576024854</c:v>
                </c:pt>
                <c:pt idx="87">
                  <c:v>100.30694048243518</c:v>
                </c:pt>
                <c:pt idx="88">
                  <c:v>99.851783277791711</c:v>
                </c:pt>
                <c:pt idx="89">
                  <c:v>99.41590848900681</c:v>
                </c:pt>
                <c:pt idx="90">
                  <c:v>98.998593342362071</c:v>
                </c:pt>
                <c:pt idx="91">
                  <c:v>98.599129707237765</c:v>
                </c:pt>
                <c:pt idx="92">
                  <c:v>98.216825524546195</c:v>
                </c:pt>
                <c:pt idx="93">
                  <c:v>97.851005941904802</c:v>
                </c:pt>
                <c:pt idx="94">
                  <c:v>97.501014190456686</c:v>
                </c:pt>
                <c:pt idx="95">
                  <c:v>97.166212235323471</c:v>
                </c:pt>
                <c:pt idx="96">
                  <c:v>96.845981228799531</c:v>
                </c:pt>
                <c:pt idx="97">
                  <c:v>96.539721792620341</c:v>
                </c:pt>
                <c:pt idx="98">
                  <c:v>96.246854152999049</c:v>
                </c:pt>
                <c:pt idx="99">
                  <c:v>95.966818149642975</c:v>
                </c:pt>
                <c:pt idx="100">
                  <c:v>95.699073137654864</c:v>
                </c:pt>
                <c:pt idx="101">
                  <c:v>95.443097799091433</c:v>
                </c:pt>
                <c:pt idx="102">
                  <c:v>95.198389879003827</c:v>
                </c:pt>
                <c:pt idx="103">
                  <c:v>94.964465859007561</c:v>
                </c:pt>
                <c:pt idx="104">
                  <c:v>94.740860579823106</c:v>
                </c:pt>
                <c:pt idx="105">
                  <c:v>94.527126822781739</c:v>
                </c:pt>
                <c:pt idx="106">
                  <c:v>94.322834858993261</c:v>
                </c:pt>
                <c:pt idx="107">
                  <c:v>94.127571973713913</c:v>
                </c:pt>
                <c:pt idx="108">
                  <c:v>93.940941972421641</c:v>
                </c:pt>
                <c:pt idx="109">
                  <c:v>93.762564674191538</c:v>
                </c:pt>
                <c:pt idx="110">
                  <c:v>93.592075397156776</c:v>
                </c:pt>
                <c:pt idx="111">
                  <c:v>93.429124440127268</c:v>
                </c:pt>
                <c:pt idx="112">
                  <c:v>93.273376563812462</c:v>
                </c:pt>
                <c:pt idx="113">
                  <c:v>93.124510474546767</c:v>
                </c:pt>
                <c:pt idx="114">
                  <c:v>92.982218312935231</c:v>
                </c:pt>
                <c:pt idx="115">
                  <c:v>92.846205149419646</c:v>
                </c:pt>
                <c:pt idx="116">
                  <c:v>92.716188488401983</c:v>
                </c:pt>
                <c:pt idx="117">
                  <c:v>92.591897782245823</c:v>
                </c:pt>
                <c:pt idx="118">
                  <c:v>92.473073956204402</c:v>
                </c:pt>
                <c:pt idx="119">
                  <c:v>92.359468945088807</c:v>
                </c:pt>
                <c:pt idx="120">
                  <c:v>92.250845242287212</c:v>
                </c:pt>
                <c:pt idx="121">
                  <c:v>92.146975461573973</c:v>
                </c:pt>
                <c:pt idx="122">
                  <c:v>92.047641911997999</c:v>
                </c:pt>
                <c:pt idx="123">
                  <c:v>91.952636186016193</c:v>
                </c:pt>
                <c:pt idx="124">
                  <c:v>91.861758760929618</c:v>
                </c:pt>
                <c:pt idx="125">
                  <c:v>91.774818613591805</c:v>
                </c:pt>
                <c:pt idx="126">
                  <c:v>91.691632848283092</c:v>
                </c:pt>
                <c:pt idx="127">
                  <c:v>91.612026337582819</c:v>
                </c:pt>
                <c:pt idx="128">
                  <c:v>91.535831376020028</c:v>
                </c:pt>
                <c:pt idx="129">
                  <c:v>91.462887346241288</c:v>
                </c:pt>
                <c:pt idx="130">
                  <c:v>91.393040397400597</c:v>
                </c:pt>
                <c:pt idx="131">
                  <c:v>91.326143135449684</c:v>
                </c:pt>
                <c:pt idx="132">
                  <c:v>91.262054324986281</c:v>
                </c:pt>
                <c:pt idx="133">
                  <c:v>91.200638602302021</c:v>
                </c:pt>
                <c:pt idx="134">
                  <c:v>91.141766199260758</c:v>
                </c:pt>
                <c:pt idx="135">
                  <c:v>91.085312677630043</c:v>
                </c:pt>
                <c:pt idx="136">
                  <c:v>91.031158673484242</c:v>
                </c:pt>
                <c:pt idx="137">
                  <c:v>90.979189651295741</c:v>
                </c:pt>
                <c:pt idx="138">
                  <c:v>90.929295667330848</c:v>
                </c:pt>
                <c:pt idx="139">
                  <c:v>90.881371141969041</c:v>
                </c:pt>
                <c:pt idx="140">
                  <c:v>90.835314640567802</c:v>
                </c:pt>
                <c:pt idx="141">
                  <c:v>90.791028662499713</c:v>
                </c:pt>
                <c:pt idx="142">
                  <c:v>90.748419437994215</c:v>
                </c:pt>
                <c:pt idx="143">
                  <c:v>90.707396732422396</c:v>
                </c:pt>
                <c:pt idx="144">
                  <c:v>90.667873657670995</c:v>
                </c:pt>
                <c:pt idx="145">
                  <c:v>90.629766490257481</c:v>
                </c:pt>
                <c:pt idx="146">
                  <c:v>90.592994495847165</c:v>
                </c:pt>
                <c:pt idx="147">
                  <c:v>90.557479759839907</c:v>
                </c:pt>
                <c:pt idx="148">
                  <c:v>90.523147023702165</c:v>
                </c:pt>
                <c:pt idx="149">
                  <c:v>90.489923526727836</c:v>
                </c:pt>
                <c:pt idx="150">
                  <c:v>90.457738852918567</c:v>
                </c:pt>
                <c:pt idx="151">
                  <c:v>90.426524782682236</c:v>
                </c:pt>
                <c:pt idx="152">
                  <c:v>90.396215149055152</c:v>
                </c:pt>
                <c:pt idx="153">
                  <c:v>90.366745698160543</c:v>
                </c:pt>
                <c:pt idx="154">
                  <c:v>90.338053953623017</c:v>
                </c:pt>
                <c:pt idx="155">
                  <c:v>90.310079084664636</c:v>
                </c:pt>
                <c:pt idx="156">
                  <c:v>90.282761777614624</c:v>
                </c:pt>
                <c:pt idx="157">
                  <c:v>90.25604411057077</c:v>
                </c:pt>
                <c:pt idx="158">
                  <c:v>90.229869430955233</c:v>
                </c:pt>
                <c:pt idx="159">
                  <c:v>90.204182235713304</c:v>
                </c:pt>
                <c:pt idx="160">
                  <c:v>90.178928053908038</c:v>
                </c:pt>
                <c:pt idx="161">
                  <c:v>90.15405333146758</c:v>
                </c:pt>
                <c:pt idx="162">
                  <c:v>90.129505317846665</c:v>
                </c:pt>
                <c:pt idx="163">
                  <c:v>90.10523195436636</c:v>
                </c:pt>
                <c:pt idx="164">
                  <c:v>90.081181764000036</c:v>
                </c:pt>
                <c:pt idx="165">
                  <c:v>90.057303742375325</c:v>
                </c:pt>
                <c:pt idx="166">
                  <c:v>90.033547249764908</c:v>
                </c:pt>
                <c:pt idx="167">
                  <c:v>90.00986190384036</c:v>
                </c:pt>
                <c:pt idx="168">
                  <c:v>89.986197472964463</c:v>
                </c:pt>
                <c:pt idx="169">
                  <c:v>89.962503769799198</c:v>
                </c:pt>
                <c:pt idx="170">
                  <c:v>89.938730545006393</c:v>
                </c:pt>
                <c:pt idx="171">
                  <c:v>89.914827380818437</c:v>
                </c:pt>
                <c:pt idx="172">
                  <c:v>89.890743584256668</c:v>
                </c:pt>
                <c:pt idx="173">
                  <c:v>89.866428079773627</c:v>
                </c:pt>
                <c:pt idx="174">
                  <c:v>89.841829301094975</c:v>
                </c:pt>
                <c:pt idx="175">
                  <c:v>89.816895082034861</c:v>
                </c:pt>
                <c:pt idx="176">
                  <c:v>89.791572546057097</c:v>
                </c:pt>
                <c:pt idx="177">
                  <c:v>89.765807994351661</c:v>
                </c:pt>
                <c:pt idx="178">
                  <c:v>89.739546792193977</c:v>
                </c:pt>
                <c:pt idx="179">
                  <c:v>89.712733253350507</c:v>
                </c:pt>
                <c:pt idx="180">
                  <c:v>89.685310522291388</c:v>
                </c:pt>
                <c:pt idx="181">
                  <c:v>89.657220453966517</c:v>
                </c:pt>
                <c:pt idx="182">
                  <c:v>89.628403490897057</c:v>
                </c:pt>
                <c:pt idx="183">
                  <c:v>89.598798537329984</c:v>
                </c:pt>
                <c:pt idx="184">
                  <c:v>89.568342830197864</c:v>
                </c:pt>
                <c:pt idx="185">
                  <c:v>89.536971806620684</c:v>
                </c:pt>
                <c:pt idx="186">
                  <c:v>89.504618967680926</c:v>
                </c:pt>
                <c:pt idx="187">
                  <c:v>89.471215738196364</c:v>
                </c:pt>
                <c:pt idx="188">
                  <c:v>89.436691322209143</c:v>
                </c:pt>
                <c:pt idx="189">
                  <c:v>89.400972553902818</c:v>
                </c:pt>
                <c:pt idx="190">
                  <c:v>89.363983743651403</c:v>
                </c:pt>
                <c:pt idx="191">
                  <c:v>89.325646518897884</c:v>
                </c:pt>
                <c:pt idx="192">
                  <c:v>89.28587965955208</c:v>
                </c:pt>
                <c:pt idx="193">
                  <c:v>89.244598927589351</c:v>
                </c:pt>
                <c:pt idx="194">
                  <c:v>89.201716890525176</c:v>
                </c:pt>
                <c:pt idx="195">
                  <c:v>89.15714273843173</c:v>
                </c:pt>
                <c:pt idx="196">
                  <c:v>89.110782094155667</c:v>
                </c:pt>
                <c:pt idx="197">
                  <c:v>89.062536816388715</c:v>
                </c:pt>
                <c:pt idx="198">
                  <c:v>89.012304795235096</c:v>
                </c:pt>
                <c:pt idx="199">
                  <c:v>88.959979739913848</c:v>
                </c:pt>
                <c:pt idx="200">
                  <c:v>88.905450958226723</c:v>
                </c:pt>
                <c:pt idx="201">
                  <c:v>88.848603127418272</c:v>
                </c:pt>
                <c:pt idx="202">
                  <c:v>88.789316056049032</c:v>
                </c:pt>
                <c:pt idx="203">
                  <c:v>88.727464436500313</c:v>
                </c:pt>
                <c:pt idx="204">
                  <c:v>88.662917587727208</c:v>
                </c:pt>
                <c:pt idx="205">
                  <c:v>88.595539187875957</c:v>
                </c:pt>
                <c:pt idx="206">
                  <c:v>88.525186996385145</c:v>
                </c:pt>
                <c:pt idx="207">
                  <c:v>88.451712565194285</c:v>
                </c:pt>
                <c:pt idx="208">
                  <c:v>88.374960938692354</c:v>
                </c:pt>
                <c:pt idx="209">
                  <c:v>88.29477034204983</c:v>
                </c:pt>
                <c:pt idx="210">
                  <c:v>88.210971857595709</c:v>
                </c:pt>
                <c:pt idx="211">
                  <c:v>88.123389088920717</c:v>
                </c:pt>
                <c:pt idx="212">
                  <c:v>88.031837812417692</c:v>
                </c:pt>
                <c:pt idx="213">
                  <c:v>87.936125616003707</c:v>
                </c:pt>
                <c:pt idx="214">
                  <c:v>87.836051524812476</c:v>
                </c:pt>
                <c:pt idx="215">
                  <c:v>87.731405613698485</c:v>
                </c:pt>
                <c:pt idx="216">
                  <c:v>87.621968606458282</c:v>
                </c:pt>
                <c:pt idx="217">
                  <c:v>87.507511461751903</c:v>
                </c:pt>
                <c:pt idx="218">
                  <c:v>87.3877949457993</c:v>
                </c:pt>
                <c:pt idx="219">
                  <c:v>87.262569192035926</c:v>
                </c:pt>
                <c:pt idx="220">
                  <c:v>87.131573248041065</c:v>
                </c:pt>
                <c:pt idx="221">
                  <c:v>86.994534610203772</c:v>
                </c:pt>
                <c:pt idx="222">
                  <c:v>86.851168746769432</c:v>
                </c:pt>
                <c:pt idx="223">
                  <c:v>86.701178610117083</c:v>
                </c:pt>
                <c:pt idx="224">
                  <c:v>86.544254139358145</c:v>
                </c:pt>
                <c:pt idx="225">
                  <c:v>86.380071754628034</c:v>
                </c:pt>
                <c:pt idx="226">
                  <c:v>86.208293844762991</c:v>
                </c:pt>
                <c:pt idx="227">
                  <c:v>86.028568250429032</c:v>
                </c:pt>
                <c:pt idx="228">
                  <c:v>85.840527745195715</c:v>
                </c:pt>
                <c:pt idx="229">
                  <c:v>85.643789517539318</c:v>
                </c:pt>
                <c:pt idx="230">
                  <c:v>85.437954657320873</c:v>
                </c:pt>
                <c:pt idx="231">
                  <c:v>85.222607650923706</c:v>
                </c:pt>
                <c:pt idx="232">
                  <c:v>84.997315889962437</c:v>
                </c:pt>
                <c:pt idx="233">
                  <c:v>84.761629199302433</c:v>
                </c:pt>
                <c:pt idx="234">
                  <c:v>84.515079391058748</c:v>
                </c:pt>
                <c:pt idx="235">
                  <c:v>84.257179852297199</c:v>
                </c:pt>
                <c:pt idx="236">
                  <c:v>83.987425175340732</c:v>
                </c:pt>
                <c:pt idx="237">
                  <c:v>83.705290840904354</c:v>
                </c:pt>
                <c:pt idx="238">
                  <c:v>83.410232965758354</c:v>
                </c:pt>
                <c:pt idx="239">
                  <c:v>83.101688128248867</c:v>
                </c:pt>
                <c:pt idx="240">
                  <c:v>82.779073286813897</c:v>
                </c:pt>
                <c:pt idx="241">
                  <c:v>82.441785808609396</c:v>
                </c:pt>
                <c:pt idx="242">
                  <c:v>82.089203627522323</c:v>
                </c:pt>
                <c:pt idx="243">
                  <c:v>81.720685553183387</c:v>
                </c:pt>
                <c:pt idx="244">
                  <c:v>81.335571755102578</c:v>
                </c:pt>
                <c:pt idx="245">
                  <c:v>80.933184448714385</c:v>
                </c:pt>
                <c:pt idx="246">
                  <c:v>80.512828812914222</c:v>
                </c:pt>
                <c:pt idx="247">
                  <c:v>80.073794171555662</c:v>
                </c:pt>
                <c:pt idx="248">
                  <c:v>79.615355474304181</c:v>
                </c:pt>
                <c:pt idx="249">
                  <c:v>79.136775115134085</c:v>
                </c:pt>
                <c:pt idx="250">
                  <c:v>78.637305129515767</c:v>
                </c:pt>
                <c:pt idx="251">
                  <c:v>78.116189813846745</c:v>
                </c:pt>
                <c:pt idx="252">
                  <c:v>77.572668812773998</c:v>
                </c:pt>
                <c:pt idx="253">
                  <c:v>77.005980721549292</c:v>
                </c:pt>
                <c:pt idx="254">
                  <c:v>76.415367251220943</c:v>
                </c:pt>
                <c:pt idx="255">
                  <c:v>75.800078004019412</c:v>
                </c:pt>
                <c:pt idx="256">
                  <c:v>75.159375904429439</c:v>
                </c:pt>
                <c:pt idx="257">
                  <c:v>74.492543327791481</c:v>
                </c:pt>
                <c:pt idx="258">
                  <c:v>73.798888962449482</c:v>
                </c:pt>
                <c:pt idx="259">
                  <c:v>73.077755433034682</c:v>
                </c:pt>
                <c:pt idx="260">
                  <c:v>72.328527701002088</c:v>
                </c:pt>
                <c:pt idx="261">
                  <c:v>71.550642243603917</c:v>
                </c:pt>
                <c:pt idx="262">
                  <c:v>70.743596993681351</c:v>
                </c:pt>
                <c:pt idx="263">
                  <c:v>69.906961999705516</c:v>
                </c:pt>
                <c:pt idx="264">
                  <c:v>69.040390738201438</c:v>
                </c:pt>
                <c:pt idx="265">
                  <c:v>68.143631979069212</c:v>
                </c:pt>
                <c:pt idx="266">
                  <c:v>67.216542068664268</c:v>
                </c:pt>
                <c:pt idx="267">
                  <c:v>66.259097456386954</c:v>
                </c:pt>
                <c:pt idx="268">
                  <c:v>65.271407248992062</c:v>
                </c:pt>
                <c:pt idx="269">
                  <c:v>64.253725534280221</c:v>
                </c:pt>
                <c:pt idx="270">
                  <c:v>63.206463174239033</c:v>
                </c:pt>
                <c:pt idx="271">
                  <c:v>62.130198729452857</c:v>
                </c:pt>
                <c:pt idx="272">
                  <c:v>61.025688144568917</c:v>
                </c:pt>
                <c:pt idx="273">
                  <c:v>59.893872801968854</c:v>
                </c:pt>
                <c:pt idx="274">
                  <c:v>58.735885540872914</c:v>
                </c:pt>
                <c:pt idx="275">
                  <c:v>57.553054245125978</c:v>
                </c:pt>
                <c:pt idx="276">
                  <c:v>56.346902627724106</c:v>
                </c:pt>
                <c:pt idx="277">
                  <c:v>55.119147885773856</c:v>
                </c:pt>
                <c:pt idx="278">
                  <c:v>53.871694966990859</c:v>
                </c:pt>
                <c:pt idx="279">
                  <c:v>52.606627277536745</c:v>
                </c:pt>
                <c:pt idx="280">
                  <c:v>51.326193768753285</c:v>
                </c:pt>
                <c:pt idx="281">
                  <c:v>50.032792463189907</c:v>
                </c:pt>
                <c:pt idx="282">
                  <c:v>48.728950612525523</c:v>
                </c:pt>
                <c:pt idx="283">
                  <c:v>47.417301814394023</c:v>
                </c:pt>
                <c:pt idx="284">
                  <c:v>46.100560543658531</c:v>
                </c:pt>
                <c:pt idx="285">
                  <c:v>44.781494667937409</c:v>
                </c:pt>
                <c:pt idx="286">
                  <c:v>43.462896609277237</c:v>
                </c:pt>
                <c:pt idx="287">
                  <c:v>42.147553877151694</c:v>
                </c:pt>
                <c:pt idx="288">
                  <c:v>40.838219727717615</c:v>
                </c:pt>
                <c:pt idx="289">
                  <c:v>39.537584698275452</c:v>
                </c:pt>
                <c:pt idx="290">
                  <c:v>38.248249724567415</c:v>
                </c:pt>
                <c:pt idx="291">
                  <c:v>36.972701475058898</c:v>
                </c:pt>
                <c:pt idx="292">
                  <c:v>35.71329043604473</c:v>
                </c:pt>
                <c:pt idx="293">
                  <c:v>34.472212161501204</c:v>
                </c:pt>
                <c:pt idx="294">
                  <c:v>33.251491970177142</c:v>
                </c:pt>
                <c:pt idx="295">
                  <c:v>32.052973237879371</c:v>
                </c:pt>
                <c:pt idx="296">
                  <c:v>30.878309303093829</c:v>
                </c:pt>
                <c:pt idx="297">
                  <c:v>29.728958885707527</c:v>
                </c:pt>
                <c:pt idx="298">
                  <c:v>28.606184816835508</c:v>
                </c:pt>
                <c:pt idx="299">
                  <c:v>27.511055795993457</c:v>
                </c:pt>
                <c:pt idx="300">
                  <c:v>26.444450831712288</c:v>
                </c:pt>
                <c:pt idx="301">
                  <c:v>25.40706598316018</c:v>
                </c:pt>
                <c:pt idx="302">
                  <c:v>24.399423002063259</c:v>
                </c:pt>
                <c:pt idx="303">
                  <c:v>23.421879473835645</c:v>
                </c:pt>
                <c:pt idx="304">
                  <c:v>22.47464007136</c:v>
                </c:pt>
                <c:pt idx="305">
                  <c:v>21.557768560994873</c:v>
                </c:pt>
                <c:pt idx="306">
                  <c:v>20.671200234820418</c:v>
                </c:pt>
                <c:pt idx="307">
                  <c:v>19.814754482800879</c:v>
                </c:pt>
                <c:pt idx="308">
                  <c:v>18.988147260691733</c:v>
                </c:pt>
                <c:pt idx="309">
                  <c:v>18.191003251932671</c:v>
                </c:pt>
                <c:pt idx="310">
                  <c:v>17.42286756262655</c:v>
                </c:pt>
                <c:pt idx="311">
                  <c:v>16.68321682675932</c:v>
                </c:pt>
                <c:pt idx="312">
                  <c:v>15.971469633176639</c:v>
                </c:pt>
                <c:pt idx="313">
                  <c:v>15.286996216024022</c:v>
                </c:pt>
                <c:pt idx="314">
                  <c:v>14.629127376203542</c:v>
                </c:pt>
                <c:pt idx="315">
                  <c:v>13.997162622940209</c:v>
                </c:pt>
                <c:pt idx="316">
                  <c:v>13.390377542024908</c:v>
                </c:pt>
                <c:pt idx="317">
                  <c:v>12.808030411040704</c:v>
                </c:pt>
                <c:pt idx="318">
                  <c:v>12.249368092281514</c:v>
                </c:pt>
                <c:pt idx="319">
                  <c:v>11.713631241594328</c:v>
                </c:pt>
                <c:pt idx="320">
                  <c:v>11.200058876423896</c:v>
                </c:pt>
                <c:pt idx="321">
                  <c:v>10.707892349355689</c:v>
                </c:pt>
                <c:pt idx="322">
                  <c:v>10.236378774806894</c:v>
                </c:pt>
                <c:pt idx="323">
                  <c:v>9.7847739565598602</c:v>
                </c:pt>
                <c:pt idx="324">
                  <c:v>9.3523448628629922</c:v>
                </c:pt>
                <c:pt idx="325">
                  <c:v>8.9383716941114812</c:v>
                </c:pt>
                <c:pt idx="326">
                  <c:v>8.5421495858635694</c:v>
                </c:pt>
                <c:pt idx="327">
                  <c:v>8.162989987347828</c:v>
                </c:pt>
                <c:pt idx="328">
                  <c:v>7.8002217527950393</c:v>
                </c:pt>
                <c:pt idx="329">
                  <c:v>7.4531919800211313</c:v>
                </c:pt>
                <c:pt idx="330">
                  <c:v>7.1212666277641858</c:v>
                </c:pt>
                <c:pt idx="331">
                  <c:v>6.8038309404174129</c:v>
                </c:pt>
                <c:pt idx="332">
                  <c:v>6.5002897060470275</c:v>
                </c:pt>
                <c:pt idx="333">
                  <c:v>6.2100673709651915</c:v>
                </c:pt>
                <c:pt idx="334">
                  <c:v>5.9326080316814682</c:v>
                </c:pt>
                <c:pt idx="335">
                  <c:v>5.6673753227697716</c:v>
                </c:pt>
                <c:pt idx="336">
                  <c:v>5.4138522170954388</c:v>
                </c:pt>
                <c:pt idx="337">
                  <c:v>5.1715407529211461</c:v>
                </c:pt>
                <c:pt idx="338">
                  <c:v>4.9399617006664585</c:v>
                </c:pt>
                <c:pt idx="339">
                  <c:v>4.718654180514875</c:v>
                </c:pt>
                <c:pt idx="340">
                  <c:v>4.5071752406432211</c:v>
                </c:pt>
                <c:pt idx="341">
                  <c:v>4.3050994045727862</c:v>
                </c:pt>
                <c:pt idx="342">
                  <c:v>4.1120181950059873</c:v>
                </c:pt>
                <c:pt idx="343">
                  <c:v>3.9275396405027436</c:v>
                </c:pt>
                <c:pt idx="344">
                  <c:v>3.7512877704543826</c:v>
                </c:pt>
                <c:pt idx="345">
                  <c:v>3.5829021030204729</c:v>
                </c:pt>
                <c:pt idx="346">
                  <c:v>3.4220371300004899</c:v>
                </c:pt>
                <c:pt idx="347">
                  <c:v>3.2683618019963774</c:v>
                </c:pt>
                <c:pt idx="348">
                  <c:v>3.1215590166876552</c:v>
                </c:pt>
                <c:pt idx="349">
                  <c:v>2.9813251125723355</c:v>
                </c:pt>
                <c:pt idx="350">
                  <c:v>2.8473693701174057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FA-47E5-97FF-37E6FC68D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73704"/>
        <c:axId val="540376328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0796782114987912"/>
              <c:y val="0.876000913588057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</c:valAx>
      <c:valAx>
        <c:axId val="540376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Margin (degrees)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73704"/>
        <c:crosses val="max"/>
        <c:crossBetween val="midCat"/>
        <c:minorUnit val="1"/>
      </c:valAx>
      <c:valAx>
        <c:axId val="54037370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037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 Using B (2)'!$M$3:$M$353</c:f>
              <c:numCache>
                <c:formatCode>General</c:formatCode>
                <c:ptCount val="351"/>
                <c:pt idx="0">
                  <c:v>0.19999999999919099</c:v>
                </c:pt>
                <c:pt idx="1">
                  <c:v>0.199999999999113</c:v>
                </c:pt>
                <c:pt idx="2">
                  <c:v>0.19999999999902801</c:v>
                </c:pt>
                <c:pt idx="3">
                  <c:v>0.199999999998934</c:v>
                </c:pt>
                <c:pt idx="4">
                  <c:v>0.199999999998831</c:v>
                </c:pt>
                <c:pt idx="5">
                  <c:v>0.19999999999871901</c:v>
                </c:pt>
                <c:pt idx="6">
                  <c:v>0.199999999998595</c:v>
                </c:pt>
                <c:pt idx="7">
                  <c:v>0.19999999999845899</c:v>
                </c:pt>
                <c:pt idx="8">
                  <c:v>0.199999999998311</c:v>
                </c:pt>
                <c:pt idx="9">
                  <c:v>0.19999999999814799</c:v>
                </c:pt>
                <c:pt idx="10">
                  <c:v>0.199999999997969</c:v>
                </c:pt>
                <c:pt idx="11">
                  <c:v>0.19999999999777299</c:v>
                </c:pt>
                <c:pt idx="12">
                  <c:v>0.19999999999755799</c:v>
                </c:pt>
                <c:pt idx="13">
                  <c:v>0.19999999999732301</c:v>
                </c:pt>
                <c:pt idx="14">
                  <c:v>0.199999999997064</c:v>
                </c:pt>
                <c:pt idx="15">
                  <c:v>0.199999999996781</c:v>
                </c:pt>
                <c:pt idx="16">
                  <c:v>0.199999999996471</c:v>
                </c:pt>
                <c:pt idx="17">
                  <c:v>0.19999999999613</c:v>
                </c:pt>
                <c:pt idx="18">
                  <c:v>0.19999999999575699</c:v>
                </c:pt>
                <c:pt idx="19">
                  <c:v>0.19999999999534701</c:v>
                </c:pt>
                <c:pt idx="20">
                  <c:v>0.19999999999489901</c:v>
                </c:pt>
                <c:pt idx="21">
                  <c:v>0.19999999999440601</c:v>
                </c:pt>
                <c:pt idx="22">
                  <c:v>0.199999999993867</c:v>
                </c:pt>
                <c:pt idx="23">
                  <c:v>0.199999999993275</c:v>
                </c:pt>
                <c:pt idx="24">
                  <c:v>0.19999999999262599</c:v>
                </c:pt>
                <c:pt idx="25">
                  <c:v>0.19999999999191501</c:v>
                </c:pt>
                <c:pt idx="26">
                  <c:v>0.19999999999113499</c:v>
                </c:pt>
                <c:pt idx="27">
                  <c:v>0.19999999999027901</c:v>
                </c:pt>
                <c:pt idx="28">
                  <c:v>0.19999999998934201</c:v>
                </c:pt>
                <c:pt idx="29">
                  <c:v>0.199999999988313</c:v>
                </c:pt>
                <c:pt idx="30">
                  <c:v>0.19999999998718601</c:v>
                </c:pt>
                <c:pt idx="31">
                  <c:v>0.19999999998595</c:v>
                </c:pt>
                <c:pt idx="32">
                  <c:v>0.199999999984594</c:v>
                </c:pt>
                <c:pt idx="33">
                  <c:v>0.199999999983108</c:v>
                </c:pt>
                <c:pt idx="34">
                  <c:v>0.19999999998147799</c:v>
                </c:pt>
                <c:pt idx="35">
                  <c:v>0.19999999997969101</c:v>
                </c:pt>
                <c:pt idx="36">
                  <c:v>0.19999999997773199</c:v>
                </c:pt>
                <c:pt idx="37">
                  <c:v>0.19999999997558299</c:v>
                </c:pt>
                <c:pt idx="38">
                  <c:v>0.19999999997322701</c:v>
                </c:pt>
                <c:pt idx="39">
                  <c:v>0.19999999997064399</c:v>
                </c:pt>
                <c:pt idx="40">
                  <c:v>0.19999999996781201</c:v>
                </c:pt>
                <c:pt idx="41">
                  <c:v>0.19999999996470699</c:v>
                </c:pt>
                <c:pt idx="42">
                  <c:v>0.19999999996130199</c:v>
                </c:pt>
                <c:pt idx="43">
                  <c:v>0.19999999995756801</c:v>
                </c:pt>
                <c:pt idx="44">
                  <c:v>0.19999999995347501</c:v>
                </c:pt>
                <c:pt idx="45">
                  <c:v>0.19999999994898601</c:v>
                </c:pt>
                <c:pt idx="46">
                  <c:v>0.19999999994406401</c:v>
                </c:pt>
                <c:pt idx="47">
                  <c:v>0.19999999993866799</c:v>
                </c:pt>
                <c:pt idx="48">
                  <c:v>0.19999999993275</c:v>
                </c:pt>
                <c:pt idx="49">
                  <c:v>0.199999999926262</c:v>
                </c:pt>
                <c:pt idx="50">
                  <c:v>0.19999999991914799</c:v>
                </c:pt>
                <c:pt idx="51">
                  <c:v>0.19999999991134801</c:v>
                </c:pt>
                <c:pt idx="52">
                  <c:v>0.19999999990279499</c:v>
                </c:pt>
                <c:pt idx="53">
                  <c:v>0.19999999989341699</c:v>
                </c:pt>
                <c:pt idx="54">
                  <c:v>0.19999999988313399</c:v>
                </c:pt>
                <c:pt idx="55">
                  <c:v>0.19999999987185901</c:v>
                </c:pt>
                <c:pt idx="56">
                  <c:v>0.19999999985949601</c:v>
                </c:pt>
                <c:pt idx="57">
                  <c:v>0.19999999984594</c:v>
                </c:pt>
                <c:pt idx="58">
                  <c:v>0.199999999831077</c:v>
                </c:pt>
                <c:pt idx="59">
                  <c:v>0.19999999981477901</c:v>
                </c:pt>
                <c:pt idx="60">
                  <c:v>0.19999999979690899</c:v>
                </c:pt>
                <c:pt idx="61">
                  <c:v>0.199999999777316</c:v>
                </c:pt>
                <c:pt idx="62">
                  <c:v>0.19999999975583099</c:v>
                </c:pt>
                <c:pt idx="63">
                  <c:v>0.199999999732275</c:v>
                </c:pt>
                <c:pt idx="64">
                  <c:v>0.199999999706445</c:v>
                </c:pt>
                <c:pt idx="65">
                  <c:v>0.19999999967812301</c:v>
                </c:pt>
                <c:pt idx="66">
                  <c:v>0.19999999964706899</c:v>
                </c:pt>
                <c:pt idx="67">
                  <c:v>0.19999999961301901</c:v>
                </c:pt>
                <c:pt idx="68">
                  <c:v>0.19999999957568401</c:v>
                </c:pt>
                <c:pt idx="69">
                  <c:v>0.19999999953474601</c:v>
                </c:pt>
                <c:pt idx="70">
                  <c:v>0.19999999948986</c:v>
                </c:pt>
                <c:pt idx="71">
                  <c:v>0.19999999944064201</c:v>
                </c:pt>
                <c:pt idx="72">
                  <c:v>0.19999999938667601</c:v>
                </c:pt>
                <c:pt idx="73">
                  <c:v>0.19999999932750401</c:v>
                </c:pt>
                <c:pt idx="74">
                  <c:v>0.19999999926262299</c:v>
                </c:pt>
                <c:pt idx="75">
                  <c:v>0.19999999919148201</c:v>
                </c:pt>
                <c:pt idx="76">
                  <c:v>0.19999999911347799</c:v>
                </c:pt>
                <c:pt idx="77">
                  <c:v>0.19999999902794799</c:v>
                </c:pt>
                <c:pt idx="78">
                  <c:v>0.19999999893416601</c:v>
                </c:pt>
                <c:pt idx="79">
                  <c:v>0.19999999883133601</c:v>
                </c:pt>
                <c:pt idx="80">
                  <c:v>0.19999999871858501</c:v>
                </c:pt>
                <c:pt idx="81">
                  <c:v>0.19999999859495701</c:v>
                </c:pt>
                <c:pt idx="82">
                  <c:v>0.199999998459401</c:v>
                </c:pt>
                <c:pt idx="83">
                  <c:v>0.19999999831076701</c:v>
                </c:pt>
                <c:pt idx="84">
                  <c:v>0.19999999814779201</c:v>
                </c:pt>
                <c:pt idx="85">
                  <c:v>0.19999999796909501</c:v>
                </c:pt>
                <c:pt idx="86">
                  <c:v>0.199999997773157</c:v>
                </c:pt>
                <c:pt idx="87">
                  <c:v>0.19999999755831499</c:v>
                </c:pt>
                <c:pt idx="88">
                  <c:v>0.19999999732274501</c:v>
                </c:pt>
                <c:pt idx="89">
                  <c:v>0.19999999706444899</c:v>
                </c:pt>
                <c:pt idx="90">
                  <c:v>0.19999999678123201</c:v>
                </c:pt>
                <c:pt idx="91">
                  <c:v>0.199999996470691</c:v>
                </c:pt>
                <c:pt idx="92">
                  <c:v>0.19999999613019001</c:v>
                </c:pt>
                <c:pt idx="93">
                  <c:v>0.199999995756837</c:v>
                </c:pt>
                <c:pt idx="94">
                  <c:v>0.19999999534746499</c:v>
                </c:pt>
                <c:pt idx="95">
                  <c:v>0.19999999489859599</c:v>
                </c:pt>
                <c:pt idx="96">
                  <c:v>0.19999999440642199</c:v>
                </c:pt>
                <c:pt idx="97">
                  <c:v>0.19999999386676401</c:v>
                </c:pt>
                <c:pt idx="98">
                  <c:v>0.19999999327504001</c:v>
                </c:pt>
                <c:pt idx="99">
                  <c:v>0.199999992626229</c:v>
                </c:pt>
                <c:pt idx="100">
                  <c:v>0.19999999191482001</c:v>
                </c:pt>
                <c:pt idx="101">
                  <c:v>0.19999999113477701</c:v>
                </c:pt>
                <c:pt idx="102">
                  <c:v>0.19999999027947599</c:v>
                </c:pt>
                <c:pt idx="103">
                  <c:v>0.199999989341658</c:v>
                </c:pt>
                <c:pt idx="104">
                  <c:v>0.19999998831335999</c:v>
                </c:pt>
                <c:pt idx="105">
                  <c:v>0.19999998718585399</c:v>
                </c:pt>
                <c:pt idx="106">
                  <c:v>0.199999985949569</c:v>
                </c:pt>
                <c:pt idx="107">
                  <c:v>0.199999984594008</c:v>
                </c:pt>
                <c:pt idx="108">
                  <c:v>0.19999998310766601</c:v>
                </c:pt>
                <c:pt idx="109">
                  <c:v>0.199999981477925</c:v>
                </c:pt>
                <c:pt idx="110">
                  <c:v>0.19999997969094799</c:v>
                </c:pt>
                <c:pt idx="111">
                  <c:v>0.199999977731568</c:v>
                </c:pt>
                <c:pt idx="112">
                  <c:v>0.19999997558315</c:v>
                </c:pt>
                <c:pt idx="113">
                  <c:v>0.199999973227457</c:v>
                </c:pt>
                <c:pt idx="114">
                  <c:v>0.19999997064448999</c:v>
                </c:pt>
                <c:pt idx="115">
                  <c:v>0.19999996781232399</c:v>
                </c:pt>
                <c:pt idx="116">
                  <c:v>0.199999964706916</c:v>
                </c:pt>
                <c:pt idx="117">
                  <c:v>0.19999996130190301</c:v>
                </c:pt>
                <c:pt idx="118">
                  <c:v>0.19999995756838199</c:v>
                </c:pt>
                <c:pt idx="119">
                  <c:v>0.19999995347465699</c:v>
                </c:pt>
                <c:pt idx="120">
                  <c:v>0.19999994898597601</c:v>
                </c:pt>
                <c:pt idx="121">
                  <c:v>0.19999994406423699</c:v>
                </c:pt>
                <c:pt idx="122">
                  <c:v>0.199999938667657</c:v>
                </c:pt>
                <c:pt idx="123">
                  <c:v>0.19999993275042499</c:v>
                </c:pt>
                <c:pt idx="124">
                  <c:v>0.19999992626231</c:v>
                </c:pt>
                <c:pt idx="125">
                  <c:v>0.19999991914823301</c:v>
                </c:pt>
                <c:pt idx="126">
                  <c:v>0.19999991134780401</c:v>
                </c:pt>
                <c:pt idx="127">
                  <c:v>0.19999990279480501</c:v>
                </c:pt>
                <c:pt idx="128">
                  <c:v>0.19999989341662799</c:v>
                </c:pt>
                <c:pt idx="129">
                  <c:v>0.19999988313366199</c:v>
                </c:pt>
                <c:pt idx="130">
                  <c:v>0.19999987185861601</c:v>
                </c:pt>
                <c:pt idx="131">
                  <c:v>0.19999985949577501</c:v>
                </c:pt>
                <c:pt idx="132">
                  <c:v>0.19999984594019099</c:v>
                </c:pt>
                <c:pt idx="133">
                  <c:v>0.19999983107679101</c:v>
                </c:pt>
                <c:pt idx="134">
                  <c:v>0.19999981477939999</c:v>
                </c:pt>
                <c:pt idx="135">
                  <c:v>0.19999979690966899</c:v>
                </c:pt>
                <c:pt idx="136">
                  <c:v>0.19999977731590199</c:v>
                </c:pt>
                <c:pt idx="137">
                  <c:v>0.19999975583176799</c:v>
                </c:pt>
                <c:pt idx="138">
                  <c:v>0.19999973227488901</c:v>
                </c:pt>
                <c:pt idx="139">
                  <c:v>0.199999706445291</c:v>
                </c:pt>
                <c:pt idx="140">
                  <c:v>0.199999678123708</c:v>
                </c:pt>
                <c:pt idx="141">
                  <c:v>0.19999964706971801</c:v>
                </c:pt>
                <c:pt idx="142">
                  <c:v>0.19999961301970701</c:v>
                </c:pt>
                <c:pt idx="143">
                  <c:v>0.19999957568462601</c:v>
                </c:pt>
                <c:pt idx="144">
                  <c:v>0.19999953474753901</c:v>
                </c:pt>
                <c:pt idx="145">
                  <c:v>0.19999948986093599</c:v>
                </c:pt>
                <c:pt idx="146">
                  <c:v>0.199999440643777</c:v>
                </c:pt>
                <c:pt idx="147">
                  <c:v>0.199999386678263</c:v>
                </c:pt>
                <c:pt idx="148">
                  <c:v>0.19999932750628699</c:v>
                </c:pt>
                <c:pt idx="149">
                  <c:v>0.19999926262554599</c:v>
                </c:pt>
                <c:pt idx="150">
                  <c:v>0.19999919148527601</c:v>
                </c:pt>
                <c:pt idx="151">
                  <c:v>0.19999911348158</c:v>
                </c:pt>
                <c:pt idx="152">
                  <c:v>0.19999902795229699</c:v>
                </c:pt>
                <c:pt idx="153">
                  <c:v>0.199998934171388</c:v>
                </c:pt>
                <c:pt idx="154">
                  <c:v>0.199998831342767</c:v>
                </c:pt>
                <c:pt idx="155">
                  <c:v>0.19999871859354801</c:v>
                </c:pt>
                <c:pt idx="156">
                  <c:v>0.199998594966633</c:v>
                </c:pt>
                <c:pt idx="157">
                  <c:v>0.199998459412593</c:v>
                </c:pt>
                <c:pt idx="158">
                  <c:v>0.199998310780754</c:v>
                </c:pt>
                <c:pt idx="159">
                  <c:v>0.199998147809437</c:v>
                </c:pt>
                <c:pt idx="160">
                  <c:v>0.199997969115248</c:v>
                </c:pt>
                <c:pt idx="161">
                  <c:v>0.19999777318133199</c:v>
                </c:pt>
                <c:pt idx="162">
                  <c:v>0.199997558344506</c:v>
                </c:pt>
                <c:pt idx="163">
                  <c:v>0.19999732278114199</c:v>
                </c:pt>
                <c:pt idx="164">
                  <c:v>0.199997064491687</c:v>
                </c:pt>
                <c:pt idx="165">
                  <c:v>0.19999678128369799</c:v>
                </c:pt>
                <c:pt idx="166">
                  <c:v>0.19999647075323501</c:v>
                </c:pt>
                <c:pt idx="167">
                  <c:v>0.199996130264462</c:v>
                </c:pt>
                <c:pt idx="168">
                  <c:v>0.199995756927278</c:v>
                </c:pt>
                <c:pt idx="169">
                  <c:v>0.19999534757279799</c:v>
                </c:pt>
                <c:pt idx="170">
                  <c:v>0.19999489872646301</c:v>
                </c:pt>
                <c:pt idx="171">
                  <c:v>0.19999440657855799</c:v>
                </c:pt>
                <c:pt idx="172">
                  <c:v>0.199993866951896</c:v>
                </c:pt>
                <c:pt idx="173">
                  <c:v>0.19999327526637301</c:v>
                </c:pt>
                <c:pt idx="174">
                  <c:v>0.19999262650012201</c:v>
                </c:pt>
                <c:pt idx="175">
                  <c:v>0.199991915146912</c:v>
                </c:pt>
                <c:pt idx="176">
                  <c:v>0.199991135169443</c:v>
                </c:pt>
                <c:pt idx="177">
                  <c:v>0.199990279948148</c:v>
                </c:pt>
                <c:pt idx="178">
                  <c:v>0.19998934222505199</c:v>
                </c:pt>
                <c:pt idx="179">
                  <c:v>0.19998831404223</c:v>
                </c:pt>
                <c:pt idx="180">
                  <c:v>0.19998718667433599</c:v>
                </c:pt>
                <c:pt idx="181">
                  <c:v>0.19998595055462901</c:v>
                </c:pt>
                <c:pt idx="182">
                  <c:v>0.19998459519388601</c:v>
                </c:pt>
                <c:pt idx="183">
                  <c:v>0.199983109091499</c:v>
                </c:pt>
                <c:pt idx="184">
                  <c:v>0.19998147963801999</c:v>
                </c:pt>
                <c:pt idx="185">
                  <c:v>0.19997969300832799</c:v>
                </c:pt>
                <c:pt idx="186">
                  <c:v>0.19997773404451799</c:v>
                </c:pt>
                <c:pt idx="187">
                  <c:v>0.199975586127524</c:v>
                </c:pt>
                <c:pt idx="188">
                  <c:v>0.19997323103640599</c:v>
                </c:pt>
                <c:pt idx="189">
                  <c:v>0.19997064879410101</c:v>
                </c:pt>
                <c:pt idx="190">
                  <c:v>0.19996781749836501</c:v>
                </c:pt>
                <c:pt idx="191">
                  <c:v>0.19996471313647299</c:v>
                </c:pt>
                <c:pt idx="192">
                  <c:v>0.199961309382127</c:v>
                </c:pt>
                <c:pt idx="193">
                  <c:v>0.199957577372883</c:v>
                </c:pt>
                <c:pt idx="194">
                  <c:v>0.19995348546623001</c:v>
                </c:pt>
                <c:pt idx="195">
                  <c:v>0.19994899897228799</c:v>
                </c:pt>
                <c:pt idx="196">
                  <c:v>0.19994407986090401</c:v>
                </c:pt>
                <c:pt idx="197">
                  <c:v>0.199938686440712</c:v>
                </c:pt>
                <c:pt idx="198">
                  <c:v>0.19993277300749299</c:v>
                </c:pt>
                <c:pt idx="199">
                  <c:v>0.19992628945893401</c:v>
                </c:pt>
                <c:pt idx="200">
                  <c:v>0.19991918087260599</c:v>
                </c:pt>
                <c:pt idx="201">
                  <c:v>0.199911387043682</c:v>
                </c:pt>
                <c:pt idx="202">
                  <c:v>0.19990284197862801</c:v>
                </c:pt>
                <c:pt idx="203">
                  <c:v>0.19989347334069299</c:v>
                </c:pt>
                <c:pt idx="204">
                  <c:v>0.19988320184272701</c:v>
                </c:pt>
                <c:pt idx="205">
                  <c:v>0.19987194058237201</c:v>
                </c:pt>
                <c:pt idx="206">
                  <c:v>0.19985959431428099</c:v>
                </c:pt>
                <c:pt idx="207">
                  <c:v>0.19984605865350899</c:v>
                </c:pt>
                <c:pt idx="208">
                  <c:v>0.19983121920373501</c:v>
                </c:pt>
                <c:pt idx="209">
                  <c:v>0.199814950603382</c:v>
                </c:pt>
                <c:pt idx="210">
                  <c:v>0.19979711548212001</c:v>
                </c:pt>
                <c:pt idx="211">
                  <c:v>0.19977756331961299</c:v>
                </c:pt>
                <c:pt idx="212">
                  <c:v>0.19975612919762301</c:v>
                </c:pt>
                <c:pt idx="213">
                  <c:v>0.19973263243592601</c:v>
                </c:pt>
                <c:pt idx="214">
                  <c:v>0.19970687510162599</c:v>
                </c:pt>
                <c:pt idx="215">
                  <c:v>0.19967864038069599</c:v>
                </c:pt>
                <c:pt idx="216">
                  <c:v>0.19964769079962999</c:v>
                </c:pt>
                <c:pt idx="217">
                  <c:v>0.19961376628421501</c:v>
                </c:pt>
                <c:pt idx="218">
                  <c:v>0.19957658204142301</c:v>
                </c:pt>
                <c:pt idx="219">
                  <c:v>0.19953582624944799</c:v>
                </c:pt>
                <c:pt idx="220">
                  <c:v>0.19949115753985699</c:v>
                </c:pt>
                <c:pt idx="221">
                  <c:v>0.19944220225478199</c:v>
                </c:pt>
                <c:pt idx="222">
                  <c:v>0.19938855146100501</c:v>
                </c:pt>
                <c:pt idx="223">
                  <c:v>0.19932975770176001</c:v>
                </c:pt>
                <c:pt idx="224">
                  <c:v>0.19926533146602499</c:v>
                </c:pt>
                <c:pt idx="225">
                  <c:v>0.199194737354152</c:v>
                </c:pt>
                <c:pt idx="226">
                  <c:v>0.199117389917814</c:v>
                </c:pt>
                <c:pt idx="227">
                  <c:v>0.19903264915152499</c:v>
                </c:pt>
                <c:pt idx="228">
                  <c:v>0.19893981561247401</c:v>
                </c:pt>
                <c:pt idx="229">
                  <c:v>0.198838125145159</c:v>
                </c:pt>
                <c:pt idx="230">
                  <c:v>0.19872674318738801</c:v>
                </c:pt>
                <c:pt idx="231">
                  <c:v>0.19860475863473501</c:v>
                </c:pt>
                <c:pt idx="232">
                  <c:v>0.198471177241616</c:v>
                </c:pt>
                <c:pt idx="233">
                  <c:v>0.19832491453896001</c:v>
                </c:pt>
                <c:pt idx="234">
                  <c:v>0.19816478825102299</c:v>
                </c:pt>
                <c:pt idx="235">
                  <c:v>0.19798951019764499</c:v>
                </c:pt>
                <c:pt idx="236">
                  <c:v>0.197797677673165</c:v>
                </c:pt>
                <c:pt idx="237">
                  <c:v>0.19758776429973901</c:v>
                </c:pt>
                <c:pt idx="238">
                  <c:v>0.19735811036113399</c:v>
                </c:pt>
                <c:pt idx="239">
                  <c:v>0.19710691263357</c:v>
                </c:pt>
                <c:pt idx="240">
                  <c:v>0.19683221374330301</c:v>
                </c:pt>
                <c:pt idx="241">
                  <c:v>0.196531891096654</c:v>
                </c:pt>
                <c:pt idx="242">
                  <c:v>0.19620364544778299</c:v>
                </c:pt>
                <c:pt idx="243">
                  <c:v>0.19584498919295401</c:v>
                </c:pt>
                <c:pt idx="244">
                  <c:v>0.19545323450808999</c:v>
                </c:pt>
                <c:pt idx="245">
                  <c:v>0.195025481479464</c:v>
                </c:pt>
                <c:pt idx="246">
                  <c:v>0.19455860641605399</c:v>
                </c:pt>
                <c:pt idx="247">
                  <c:v>0.19404925057687999</c:v>
                </c:pt>
                <c:pt idx="248">
                  <c:v>0.19349380959795601</c:v>
                </c:pt>
                <c:pt idx="249">
                  <c:v>0.19288842396165701</c:v>
                </c:pt>
                <c:pt idx="250">
                  <c:v>0.19222897091635999</c:v>
                </c:pt>
                <c:pt idx="251">
                  <c:v>0.19151105832602799</c:v>
                </c:pt>
                <c:pt idx="252">
                  <c:v>0.19073002100723099</c:v>
                </c:pt>
                <c:pt idx="253">
                  <c:v>0.18988092019392899</c:v>
                </c:pt>
                <c:pt idx="254">
                  <c:v>0.18895854685617899</c:v>
                </c:pt>
                <c:pt idx="255">
                  <c:v>0.187957429685148</c:v>
                </c:pt>
                <c:pt idx="256">
                  <c:v>0.186871848639585</c:v>
                </c:pt>
                <c:pt idx="257">
                  <c:v>0.18569585502324701</c:v>
                </c:pt>
                <c:pt idx="258">
                  <c:v>0.18442329912230501</c:v>
                </c:pt>
                <c:pt idx="259">
                  <c:v>0.18304786646846299</c:v>
                </c:pt>
                <c:pt idx="260">
                  <c:v>0.181563123798059</c:v>
                </c:pt>
                <c:pt idx="261">
                  <c:v>0.17996257573867999</c:v>
                </c:pt>
                <c:pt idx="262">
                  <c:v>0.178239733160659</c:v>
                </c:pt>
                <c:pt idx="263">
                  <c:v>0.176388193968292</c:v>
                </c:pt>
                <c:pt idx="264">
                  <c:v>0.17440173686166699</c:v>
                </c:pt>
                <c:pt idx="265">
                  <c:v>0.172274428262885</c:v>
                </c:pt>
                <c:pt idx="266">
                  <c:v>0.17000074216080699</c:v>
                </c:pt>
                <c:pt idx="267">
                  <c:v>0.16757569208144199</c:v>
                </c:pt>
                <c:pt idx="268">
                  <c:v>0.164994973738356</c:v>
                </c:pt>
                <c:pt idx="269">
                  <c:v>0.162255116169296</c:v>
                </c:pt>
                <c:pt idx="270">
                  <c:v>0.15935363834310001</c:v>
                </c:pt>
                <c:pt idx="271">
                  <c:v>0.156289207358764</c:v>
                </c:pt>
                <c:pt idx="272">
                  <c:v>0.15306179350406099</c:v>
                </c:pt>
                <c:pt idx="273">
                  <c:v>0.14967281665532201</c:v>
                </c:pt>
                <c:pt idx="274">
                  <c:v>0.146125277855087</c:v>
                </c:pt>
                <c:pt idx="275">
                  <c:v>0.14242386947951899</c:v>
                </c:pt>
                <c:pt idx="276">
                  <c:v>0.13857505728271899</c:v>
                </c:pt>
                <c:pt idx="277">
                  <c:v>0.13458712785228599</c:v>
                </c:pt>
                <c:pt idx="278">
                  <c:v>0.13047019568408799</c:v>
                </c:pt>
                <c:pt idx="279">
                  <c:v>0.1262361652108</c:v>
                </c:pt>
                <c:pt idx="280">
                  <c:v>0.12189864468789301</c:v>
                </c:pt>
                <c:pt idx="281">
                  <c:v>0.117472810798979</c:v>
                </c:pt>
                <c:pt idx="282">
                  <c:v>0.11297522509131599</c:v>
                </c:pt>
                <c:pt idx="283">
                  <c:v>0.108423605752418</c:v>
                </c:pt>
                <c:pt idx="284">
                  <c:v>0.103836560619777</c:v>
                </c:pt>
                <c:pt idx="285">
                  <c:v>9.92332894918206E-2</c:v>
                </c:pt>
                <c:pt idx="286">
                  <c:v>9.4633265597854996E-2</c:v>
                </c:pt>
                <c:pt idx="287">
                  <c:v>9.0055907331250504E-2</c:v>
                </c:pt>
                <c:pt idx="288">
                  <c:v>8.5520251940844602E-2</c:v>
                </c:pt>
                <c:pt idx="289">
                  <c:v>8.1044642756352606E-2</c:v>
                </c:pt>
                <c:pt idx="290">
                  <c:v>7.6646440705287797E-2</c:v>
                </c:pt>
                <c:pt idx="291">
                  <c:v>7.2341769436588294E-2</c:v>
                </c:pt>
                <c:pt idx="292">
                  <c:v>6.8145301428712002E-2</c:v>
                </c:pt>
                <c:pt idx="293">
                  <c:v>6.4070090194835894E-2</c:v>
                </c:pt>
                <c:pt idx="294">
                  <c:v>6.01274512901184E-2</c:v>
                </c:pt>
                <c:pt idx="295">
                  <c:v>5.6326892458541902E-2</c:v>
                </c:pt>
                <c:pt idx="296">
                  <c:v>5.2676091091148201E-2</c:v>
                </c:pt>
                <c:pt idx="297">
                  <c:v>4.9180915330069797E-2</c:v>
                </c:pt>
                <c:pt idx="298">
                  <c:v>4.5845483727272603E-2</c:v>
                </c:pt>
                <c:pt idx="299">
                  <c:v>4.2672257392009902E-2</c:v>
                </c:pt>
                <c:pt idx="300">
                  <c:v>3.9662158033859501E-2</c:v>
                </c:pt>
                <c:pt idx="301">
                  <c:v>3.6814705191993299E-2</c:v>
                </c:pt>
                <c:pt idx="302">
                  <c:v>3.4128166174603299E-2</c:v>
                </c:pt>
                <c:pt idx="303">
                  <c:v>3.1599712739464401E-2</c:v>
                </c:pt>
                <c:pt idx="304">
                  <c:v>2.9225579247013699E-2</c:v>
                </c:pt>
                <c:pt idx="305">
                  <c:v>2.7001217833517499E-2</c:v>
                </c:pt>
                <c:pt idx="306">
                  <c:v>2.4921447015069698E-2</c:v>
                </c:pt>
                <c:pt idx="307">
                  <c:v>2.2980590986648401E-2</c:v>
                </c:pt>
                <c:pt idx="308">
                  <c:v>2.1172607681080698E-2</c:v>
                </c:pt>
                <c:pt idx="309">
                  <c:v>1.9491204370955501E-2</c:v>
                </c:pt>
                <c:pt idx="310">
                  <c:v>1.7929940214729101E-2</c:v>
                </c:pt>
                <c:pt idx="311">
                  <c:v>1.6482315659352001E-2</c:v>
                </c:pt>
                <c:pt idx="312">
                  <c:v>1.51418490164447E-2</c:v>
                </c:pt>
                <c:pt idx="313">
                  <c:v>1.39021408339487E-2</c:v>
                </c:pt>
                <c:pt idx="314">
                  <c:v>1.27569269006185E-2</c:v>
                </c:pt>
                <c:pt idx="315">
                  <c:v>1.1700120859026501E-2</c:v>
                </c:pt>
                <c:pt idx="316">
                  <c:v>1.0725847477041899E-2</c:v>
                </c:pt>
                <c:pt idx="317">
                  <c:v>9.8284676507697302E-3</c:v>
                </c:pt>
                <c:pt idx="318">
                  <c:v>9.0025961955479093E-3</c:v>
                </c:pt>
                <c:pt idx="319">
                  <c:v>8.2431134363031792E-3</c:v>
                </c:pt>
                <c:pt idx="320">
                  <c:v>7.5451715433102404E-3</c:v>
                </c:pt>
                <c:pt idx="321">
                  <c:v>6.9041964816089598E-3</c:v>
                </c:pt>
                <c:pt idx="322">
                  <c:v>6.3158863579220598E-3</c:v>
                </c:pt>
                <c:pt idx="323">
                  <c:v>5.7762068624596097E-3</c:v>
                </c:pt>
                <c:pt idx="324">
                  <c:v>5.2813844179020897E-3</c:v>
                </c:pt>
                <c:pt idx="325">
                  <c:v>4.8278975665344203E-3</c:v>
                </c:pt>
                <c:pt idx="326">
                  <c:v>4.4124670505604601E-3</c:v>
                </c:pt>
                <c:pt idx="327">
                  <c:v>4.0320449710383203E-3</c:v>
                </c:pt>
                <c:pt idx="328">
                  <c:v>3.68380334809472E-3</c:v>
                </c:pt>
                <c:pt idx="329">
                  <c:v>3.3651223492201401E-3</c:v>
                </c:pt>
                <c:pt idx="330">
                  <c:v>3.0735784033380301E-3</c:v>
                </c:pt>
                <c:pt idx="331">
                  <c:v>2.8069323756421101E-3</c:v>
                </c:pt>
                <c:pt idx="332">
                  <c:v>2.5631179414482902E-3</c:v>
                </c:pt>
                <c:pt idx="333">
                  <c:v>2.3402302659806498E-3</c:v>
                </c:pt>
                <c:pt idx="334">
                  <c:v>2.1365150705646399E-3</c:v>
                </c:pt>
                <c:pt idx="335">
                  <c:v>1.9503581435752601E-3</c:v>
                </c:pt>
                <c:pt idx="336">
                  <c:v>1.78027533616591E-3</c:v>
                </c:pt>
                <c:pt idx="337">
                  <c:v>1.6249030677785001E-3</c:v>
                </c:pt>
                <c:pt idx="338">
                  <c:v>1.48298935425646E-3</c:v>
                </c:pt>
                <c:pt idx="339">
                  <c:v>1.3533853616320901E-3</c:v>
                </c:pt>
                <c:pt idx="340">
                  <c:v>1.2350374809701999E-3</c:v>
                </c:pt>
                <c:pt idx="341">
                  <c:v>1.12697991369203E-3</c:v>
                </c:pt>
                <c:pt idx="342">
                  <c:v>1.0283277522920801E-3</c:v>
                </c:pt>
                <c:pt idx="343">
                  <c:v>9.3827053804783995E-4</c:v>
                </c:pt>
                <c:pt idx="344">
                  <c:v>8.5606627499225504E-4</c:v>
                </c:pt>
                <c:pt idx="345">
                  <c:v>7.8103587789183802E-4</c:v>
                </c:pt>
                <c:pt idx="346">
                  <c:v>7.1255803109134105E-4</c:v>
                </c:pt>
                <c:pt idx="347">
                  <c:v>6.5006443471981397E-4</c:v>
                </c:pt>
                <c:pt idx="348">
                  <c:v>5.9303541479272198E-4</c:v>
                </c:pt>
                <c:pt idx="349">
                  <c:v>5.4099587409849601E-4</c:v>
                </c:pt>
                <c:pt idx="350">
                  <c:v>4.9351156135093001E-4</c:v>
                </c:pt>
              </c:numCache>
            </c:numRef>
          </c:xVal>
          <c:yVal>
            <c:numRef>
              <c:f>'Opamp and C Stray Using B (2)'!$N$3:$N$353</c:f>
              <c:numCache>
                <c:formatCode>General</c:formatCode>
                <c:ptCount val="351"/>
                <c:pt idx="0">
                  <c:v>-4.0212385965786998E-7</c:v>
                </c:pt>
                <c:pt idx="1">
                  <c:v>-4.2107537330000198E-7</c:v>
                </c:pt>
                <c:pt idx="2">
                  <c:v>-4.4092004426343302E-7</c:v>
                </c:pt>
                <c:pt idx="3">
                  <c:v>-4.6169996575589198E-7</c:v>
                </c:pt>
                <c:pt idx="4">
                  <c:v>-4.8345921477686704E-7</c:v>
                </c:pt>
                <c:pt idx="5">
                  <c:v>-5.0624394561084499E-7</c:v>
                </c:pt>
                <c:pt idx="6">
                  <c:v>-5.3010248772671598E-7</c:v>
                </c:pt>
                <c:pt idx="7">
                  <c:v>-5.5508544829106798E-7</c:v>
                </c:pt>
                <c:pt idx="8">
                  <c:v>-5.8124581951277905E-7</c:v>
                </c:pt>
                <c:pt idx="9">
                  <c:v>-6.0863909104657105E-7</c:v>
                </c:pt>
                <c:pt idx="10">
                  <c:v>-6.3732336769404797E-7</c:v>
                </c:pt>
                <c:pt idx="11">
                  <c:v>-6.6735949265172597E-7</c:v>
                </c:pt>
                <c:pt idx="12">
                  <c:v>-6.9881117656763699E-7</c:v>
                </c:pt>
                <c:pt idx="13">
                  <c:v>-7.3174513268014495E-7</c:v>
                </c:pt>
                <c:pt idx="14">
                  <c:v>-7.6623121832568102E-7</c:v>
                </c:pt>
                <c:pt idx="15">
                  <c:v>-8.0234258311551096E-7</c:v>
                </c:pt>
                <c:pt idx="16">
                  <c:v>-8.4015582409585E-7</c:v>
                </c:pt>
                <c:pt idx="17">
                  <c:v>-8.7975114822049396E-7</c:v>
                </c:pt>
                <c:pt idx="18">
                  <c:v>-9.2121254248052003E-7</c:v>
                </c:pt>
                <c:pt idx="19">
                  <c:v>-9.64627952051928E-7</c:v>
                </c:pt>
                <c:pt idx="20">
                  <c:v>-1.0100894668391801E-6</c:v>
                </c:pt>
                <c:pt idx="21">
                  <c:v>-1.0576935168102099E-6</c:v>
                </c:pt>
                <c:pt idx="22">
                  <c:v>-1.10754107653734E-6</c:v>
                </c:pt>
                <c:pt idx="23">
                  <c:v>-1.1597378793778499E-6</c:v>
                </c:pt>
                <c:pt idx="24">
                  <c:v>-1.21439464174861E-6</c:v>
                </c:pt>
                <c:pt idx="25">
                  <c:v>-1.27162729797049E-6</c:v>
                </c:pt>
                <c:pt idx="26">
                  <c:v>-1.33155724618054E-6</c:v>
                </c:pt>
                <c:pt idx="27">
                  <c:v>-1.3943116058337199E-6</c:v>
                </c:pt>
                <c:pt idx="28">
                  <c:v>-1.4600234873403399E-6</c:v>
                </c:pt>
                <c:pt idx="29">
                  <c:v>-1.5288322744110399E-6</c:v>
                </c:pt>
                <c:pt idx="30">
                  <c:v>-1.6008839197083601E-6</c:v>
                </c:pt>
                <c:pt idx="31">
                  <c:v>-1.6763312544318801E-6</c:v>
                </c:pt>
                <c:pt idx="32">
                  <c:v>-1.7553343124937E-6</c:v>
                </c:pt>
                <c:pt idx="33">
                  <c:v>-1.8380606699717901E-6</c:v>
                </c:pt>
                <c:pt idx="34">
                  <c:v>-1.9246858005613399E-6</c:v>
                </c:pt>
                <c:pt idx="35">
                  <c:v>-2.01539344777797E-6</c:v>
                </c:pt>
                <c:pt idx="36">
                  <c:v>-2.1103760147023701E-6</c:v>
                </c:pt>
                <c:pt idx="37">
                  <c:v>-2.2098349720929998E-6</c:v>
                </c:pt>
                <c:pt idx="38">
                  <c:v>-2.3139812857326E-6</c:v>
                </c:pt>
                <c:pt idx="39">
                  <c:v>-2.42303586391483E-6</c:v>
                </c:pt>
                <c:pt idx="40">
                  <c:v>-2.53723002602046E-6</c:v>
                </c:pt>
                <c:pt idx="41">
                  <c:v>-2.6568059931767001E-6</c:v>
                </c:pt>
                <c:pt idx="42">
                  <c:v>-2.7820174020406801E-6</c:v>
                </c:pt>
                <c:pt idx="43">
                  <c:v>-2.9131298427968201E-6</c:v>
                </c:pt>
                <c:pt idx="44">
                  <c:v>-3.0504214225091401E-6</c:v>
                </c:pt>
                <c:pt idx="45">
                  <c:v>-3.1941833550236599E-6</c:v>
                </c:pt>
                <c:pt idx="46">
                  <c:v>-3.3447205786719799E-6</c:v>
                </c:pt>
                <c:pt idx="47">
                  <c:v>-3.5023524030862499E-6</c:v>
                </c:pt>
                <c:pt idx="48">
                  <c:v>-3.6674131864977699E-6</c:v>
                </c:pt>
                <c:pt idx="49">
                  <c:v>-3.8402530449555504E-6</c:v>
                </c:pt>
                <c:pt idx="50">
                  <c:v>-4.02123859496934E-6</c:v>
                </c:pt>
                <c:pt idx="51">
                  <c:v>-4.2107537311522596E-6</c:v>
                </c:pt>
                <c:pt idx="52">
                  <c:v>-4.40920044051277E-6</c:v>
                </c:pt>
                <c:pt idx="53">
                  <c:v>-4.6169996551230401E-6</c:v>
                </c:pt>
                <c:pt idx="54">
                  <c:v>-4.8345921449719099E-6</c:v>
                </c:pt>
                <c:pt idx="55">
                  <c:v>-5.0624394528973403E-6</c:v>
                </c:pt>
                <c:pt idx="56">
                  <c:v>-5.3010248735803104E-6</c:v>
                </c:pt>
                <c:pt idx="57">
                  <c:v>-5.5508544786776203E-6</c:v>
                </c:pt>
                <c:pt idx="58">
                  <c:v>-5.8124581902675802E-6</c:v>
                </c:pt>
                <c:pt idx="59">
                  <c:v>-6.0863909048854898E-6</c:v>
                </c:pt>
                <c:pt idx="60">
                  <c:v>-6.3732336705334798E-6</c:v>
                </c:pt>
                <c:pt idx="61">
                  <c:v>-6.6735949191610301E-6</c:v>
                </c:pt>
                <c:pt idx="62">
                  <c:v>-6.9881117572302899E-6</c:v>
                </c:pt>
                <c:pt idx="63">
                  <c:v>-7.3174513171040598E-6</c:v>
                </c:pt>
                <c:pt idx="64">
                  <c:v>-7.6623121721227994E-6</c:v>
                </c:pt>
                <c:pt idx="65">
                  <c:v>-8.0234258183714599E-6</c:v>
                </c:pt>
                <c:pt idx="66">
                  <c:v>-8.4015582262809092E-6</c:v>
                </c:pt>
                <c:pt idx="67">
                  <c:v>-8.79751146535281E-6</c:v>
                </c:pt>
                <c:pt idx="68">
                  <c:v>-9.2121254054563703E-6</c:v>
                </c:pt>
                <c:pt idx="69">
                  <c:v>-9.6462794983038504E-6</c:v>
                </c:pt>
                <c:pt idx="70">
                  <c:v>-1.01008946428851E-5</c:v>
                </c:pt>
                <c:pt idx="71">
                  <c:v>-1.05769351388165E-5</c:v>
                </c:pt>
                <c:pt idx="72">
                  <c:v>-1.1075410731749E-5</c:v>
                </c:pt>
                <c:pt idx="73">
                  <c:v>-1.15973787551725E-5</c:v>
                </c:pt>
                <c:pt idx="74">
                  <c:v>-1.21439463731605E-5</c:v>
                </c:pt>
                <c:pt idx="75">
                  <c:v>-1.27162729288123E-5</c:v>
                </c:pt>
                <c:pt idx="76">
                  <c:v>-1.33155724033729E-5</c:v>
                </c:pt>
                <c:pt idx="77">
                  <c:v>-1.3943115991247699E-5</c:v>
                </c:pt>
                <c:pt idx="78">
                  <c:v>-1.46002347963743E-5</c:v>
                </c:pt>
                <c:pt idx="79">
                  <c:v>-1.5288322655669201E-5</c:v>
                </c:pt>
                <c:pt idx="80">
                  <c:v>-1.6008839095539501E-5</c:v>
                </c:pt>
                <c:pt idx="81">
                  <c:v>-1.67633124277306E-5</c:v>
                </c:pt>
                <c:pt idx="82">
                  <c:v>-1.7553342991075899E-5</c:v>
                </c:pt>
                <c:pt idx="83">
                  <c:v>-1.83806065460247E-5</c:v>
                </c:pt>
                <c:pt idx="84">
                  <c:v>-1.9246857829150099E-5</c:v>
                </c:pt>
                <c:pt idx="85">
                  <c:v>-2.01539342751727E-5</c:v>
                </c:pt>
                <c:pt idx="86">
                  <c:v>-2.1103759914399599E-5</c:v>
                </c:pt>
                <c:pt idx="87">
                  <c:v>-2.2098349453841899E-5</c:v>
                </c:pt>
                <c:pt idx="88">
                  <c:v>-2.3139812550667701E-5</c:v>
                </c:pt>
                <c:pt idx="89">
                  <c:v>-2.42303582870575E-5</c:v>
                </c:pt>
                <c:pt idx="90">
                  <c:v>-2.5372299855950302E-5</c:v>
                </c:pt>
                <c:pt idx="91">
                  <c:v>-2.6568059467620902E-5</c:v>
                </c:pt>
                <c:pt idx="92">
                  <c:v>-2.7820173487495801E-5</c:v>
                </c:pt>
                <c:pt idx="93">
                  <c:v>-2.91312978161045E-5</c:v>
                </c:pt>
                <c:pt idx="94">
                  <c:v>-3.0504213522577899E-5</c:v>
                </c:pt>
                <c:pt idx="95">
                  <c:v>-3.1941832743643198E-5</c:v>
                </c:pt>
                <c:pt idx="96">
                  <c:v>-3.3447204860626503E-5</c:v>
                </c:pt>
                <c:pt idx="97">
                  <c:v>-3.5023522967565202E-5</c:v>
                </c:pt>
                <c:pt idx="98">
                  <c:v>-3.66741306441492E-5</c:v>
                </c:pt>
                <c:pt idx="99">
                  <c:v>-3.8402529047856802E-5</c:v>
                </c:pt>
                <c:pt idx="100">
                  <c:v>-4.02123843403278E-5</c:v>
                </c:pt>
                <c:pt idx="101">
                  <c:v>-4.2107535463723602E-5</c:v>
                </c:pt>
                <c:pt idx="102">
                  <c:v>-4.4092002283570703E-5</c:v>
                </c:pt>
                <c:pt idx="103">
                  <c:v>-4.6169994115357001E-5</c:v>
                </c:pt>
                <c:pt idx="104">
                  <c:v>-4.83459186529627E-5</c:v>
                </c:pt>
                <c:pt idx="105">
                  <c:v>-5.0624391317866899E-5</c:v>
                </c:pt>
                <c:pt idx="106">
                  <c:v>-5.3010245048959703E-5</c:v>
                </c:pt>
                <c:pt idx="107">
                  <c:v>-5.5508540553713503E-5</c:v>
                </c:pt>
                <c:pt idx="108">
                  <c:v>-5.8124577042469601E-5</c:v>
                </c:pt>
                <c:pt idx="109">
                  <c:v>-6.0863903468591603E-5</c:v>
                </c:pt>
                <c:pt idx="110">
                  <c:v>-6.3732330298335401E-5</c:v>
                </c:pt>
                <c:pt idx="111">
                  <c:v>-6.6735941835390796E-5</c:v>
                </c:pt>
                <c:pt idx="112">
                  <c:v>-6.9881109126232902E-5</c:v>
                </c:pt>
                <c:pt idx="113">
                  <c:v>-7.3174503473655197E-5</c:v>
                </c:pt>
                <c:pt idx="114">
                  <c:v>-7.6623110587139599E-5</c:v>
                </c:pt>
                <c:pt idx="115">
                  <c:v>-8.0234245400070901E-5</c:v>
                </c:pt>
                <c:pt idx="116">
                  <c:v>-8.4015567585222502E-5</c:v>
                </c:pt>
                <c:pt idx="117">
                  <c:v>-8.7975097801404098E-5</c:v>
                </c:pt>
                <c:pt idx="118">
                  <c:v>-9.2121234705736896E-5</c:v>
                </c:pt>
                <c:pt idx="119">
                  <c:v>-9.6462772767613394E-5</c:v>
                </c:pt>
                <c:pt idx="120">
                  <c:v>-1.01008920922131E-4</c:v>
                </c:pt>
                <c:pt idx="121">
                  <c:v>-1.05769322102533E-4</c:v>
                </c:pt>
                <c:pt idx="122">
                  <c:v>-1.1075407369308599E-4</c:v>
                </c:pt>
                <c:pt idx="123">
                  <c:v>-1.15973748945745E-4</c:v>
                </c:pt>
                <c:pt idx="124">
                  <c:v>-1.2143941940601101E-4</c:v>
                </c:pt>
                <c:pt idx="125">
                  <c:v>-1.27162678395534E-4</c:v>
                </c:pt>
                <c:pt idx="126">
                  <c:v>-1.3315566560122001E-4</c:v>
                </c:pt>
                <c:pt idx="127">
                  <c:v>-1.39431092822983E-4</c:v>
                </c:pt>
                <c:pt idx="128">
                  <c:v>-1.46002270934702E-4</c:v>
                </c:pt>
                <c:pt idx="129">
                  <c:v>-1.5288313811552301E-4</c:v>
                </c:pt>
                <c:pt idx="130">
                  <c:v>-1.60088289411352E-4</c:v>
                </c:pt>
                <c:pt idx="131">
                  <c:v>-1.6763300768915301E-4</c:v>
                </c:pt>
                <c:pt idx="132">
                  <c:v>-1.7553329604965901E-4</c:v>
                </c:pt>
                <c:pt idx="133">
                  <c:v>-1.83805911767151E-4</c:v>
                </c:pt>
                <c:pt idx="134">
                  <c:v>-1.9246840182823001E-4</c:v>
                </c:pt>
                <c:pt idx="135">
                  <c:v>-2.01539140144803E-4</c:v>
                </c:pt>
                <c:pt idx="136">
                  <c:v>-2.1103736652014601E-4</c:v>
                </c:pt>
                <c:pt idx="137">
                  <c:v>-2.2098322745053099E-4</c:v>
                </c:pt>
                <c:pt idx="138">
                  <c:v>-2.31397818848787E-4</c:v>
                </c:pt>
                <c:pt idx="139">
                  <c:v>-2.4230323078025401E-4</c:v>
                </c:pt>
                <c:pt idx="140">
                  <c:v>-2.5372259430578499E-4</c:v>
                </c:pt>
                <c:pt idx="141">
                  <c:v>-2.6568013053091102E-4</c:v>
                </c:pt>
                <c:pt idx="142">
                  <c:v>-2.7820120196494499E-4</c:v>
                </c:pt>
                <c:pt idx="143">
                  <c:v>-2.9131236629859698E-4</c:v>
                </c:pt>
                <c:pt idx="144">
                  <c:v>-3.0504143271383903E-4</c:v>
                </c:pt>
                <c:pt idx="145">
                  <c:v>-3.1941752084498699E-4</c:v>
                </c:pt>
                <c:pt idx="146">
                  <c:v>-3.3447112251560701E-4</c:v>
                </c:pt>
                <c:pt idx="147">
                  <c:v>-3.50234166381598E-4</c:v>
                </c:pt>
                <c:pt idx="148">
                  <c:v>-3.6674008561693802E-4</c:v>
                </c:pt>
                <c:pt idx="149">
                  <c:v>-3.8402388878489501E-4</c:v>
                </c:pt>
                <c:pt idx="150">
                  <c:v>-4.0212223404418901E-4</c:v>
                </c:pt>
                <c:pt idx="151">
                  <c:v>-4.2107350684649798E-4</c:v>
                </c:pt>
                <c:pt idx="152">
                  <c:v>-4.4091790128899898E-4</c:v>
                </c:pt>
                <c:pt idx="153">
                  <c:v>-4.6169750529318398E-4</c:v>
                </c:pt>
                <c:pt idx="154">
                  <c:v>-4.83456389789155E-4</c:v>
                </c:pt>
                <c:pt idx="155">
                  <c:v>-5.0624070209279604E-4</c:v>
                </c:pt>
                <c:pt idx="156">
                  <c:v>-5.3009876367202504E-4</c:v>
                </c:pt>
                <c:pt idx="157">
                  <c:v>-5.55081172507086E-4</c:v>
                </c:pt>
                <c:pt idx="158">
                  <c:v>-5.8124091025956305E-4</c:v>
                </c:pt>
                <c:pt idx="159">
                  <c:v>-6.0863345447430999E-4</c:v>
                </c:pt>
                <c:pt idx="160">
                  <c:v>-6.3731689604897099E-4</c:v>
                </c:pt>
                <c:pt idx="161">
                  <c:v>-6.6735206221627203E-4</c:v>
                </c:pt>
                <c:pt idx="162">
                  <c:v>-6.9880264529542603E-4</c:v>
                </c:pt>
                <c:pt idx="163">
                  <c:v>-7.3173533748060104E-4</c:v>
                </c:pt>
                <c:pt idx="164">
                  <c:v>-7.6621997194637999E-4</c:v>
                </c:pt>
                <c:pt idx="165">
                  <c:v>-8.0232967056266796E-4</c:v>
                </c:pt>
                <c:pt idx="166">
                  <c:v>-8.4014099852455499E-4</c:v>
                </c:pt>
                <c:pt idx="167">
                  <c:v>-8.7973412621610697E-4</c:v>
                </c:pt>
                <c:pt idx="168">
                  <c:v>-9.2119299864101205E-4</c:v>
                </c:pt>
                <c:pt idx="169">
                  <c:v>-9.6460551276775696E-4</c:v>
                </c:pt>
                <c:pt idx="170">
                  <c:v>-1.0100637031516099E-3</c:v>
                </c:pt>
                <c:pt idx="171">
                  <c:v>-1.05766393621182E-3</c:v>
                </c:pt>
                <c:pt idx="172">
                  <c:v>-1.1075071135578101E-3</c:v>
                </c:pt>
                <c:pt idx="173">
                  <c:v>-1.15969888477527E-3</c:v>
                </c:pt>
                <c:pt idx="174">
                  <c:v>-1.21434987009968E-3</c:v>
                </c:pt>
                <c:pt idx="175">
                  <c:v>-1.27157589342247E-3</c:v>
                </c:pt>
                <c:pt idx="176">
                  <c:v>-1.33149822609275E-3</c:v>
                </c:pt>
                <c:pt idx="177">
                  <c:v>-1.39424384199596E-3</c:v>
                </c:pt>
                <c:pt idx="178">
                  <c:v>-1.45994568440941E-3</c:v>
                </c:pt>
                <c:pt idx="179">
                  <c:v>-1.52874294515339E-3</c:v>
                </c:pt>
                <c:pt idx="180">
                  <c:v>-1.6007813565758701E-3</c:v>
                </c:pt>
                <c:pt idx="181">
                  <c:v>-1.67621349692774E-3</c:v>
                </c:pt>
                <c:pt idx="182">
                  <c:v>-1.7551991097051699E-3</c:v>
                </c:pt>
                <c:pt idx="183">
                  <c:v>-1.83790543755406E-3</c:v>
                </c:pt>
                <c:pt idx="184">
                  <c:v>-1.92450757135096E-3</c:v>
                </c:pt>
                <c:pt idx="185">
                  <c:v>-2.0151888150928199E-3</c:v>
                </c:pt>
                <c:pt idx="186">
                  <c:v>-2.1101410672453602E-3</c:v>
                </c:pt>
                <c:pt idx="187">
                  <c:v>-2.2095652192167599E-3</c:v>
                </c:pt>
                <c:pt idx="188">
                  <c:v>-2.3136715716383502E-3</c:v>
                </c:pt>
                <c:pt idx="189">
                  <c:v>-2.4226802691477301E-3</c:v>
                </c:pt>
                <c:pt idx="190">
                  <c:v>-2.53682175438145E-3</c:v>
                </c:pt>
                <c:pt idx="191">
                  <c:v>-2.65633724189297E-3</c:v>
                </c:pt>
                <c:pt idx="192">
                  <c:v>-2.7814792127177899E-3</c:v>
                </c:pt>
                <c:pt idx="193">
                  <c:v>-2.9125119303094198E-3</c:v>
                </c:pt>
                <c:pt idx="194">
                  <c:v>-3.0497119785672499E-3</c:v>
                </c:pt>
                <c:pt idx="195">
                  <c:v>-3.19336882266919E-3</c:v>
                </c:pt>
                <c:pt idx="196">
                  <c:v>-3.3437853934072002E-3</c:v>
                </c:pt>
                <c:pt idx="197">
                  <c:v>-3.5012786957014101E-3</c:v>
                </c:pt>
                <c:pt idx="198">
                  <c:v>-3.6661804419364898E-3</c:v>
                </c:pt>
                <c:pt idx="199">
                  <c:v>-3.8388377107220501E-3</c:v>
                </c:pt>
                <c:pt idx="200">
                  <c:v>-4.0196136316228504E-3</c:v>
                </c:pt>
                <c:pt idx="201">
                  <c:v>-4.2088880963356799E-3</c:v>
                </c:pt>
                <c:pt idx="202">
                  <c:v>-4.4070584967015897E-3</c:v>
                </c:pt>
                <c:pt idx="203">
                  <c:v>-4.6145404898358302E-3</c:v>
                </c:pt>
                <c:pt idx="204">
                  <c:v>-4.83176879052681E-3</c:v>
                </c:pt>
                <c:pt idx="205">
                  <c:v>-5.0591979908982702E-3</c:v>
                </c:pt>
                <c:pt idx="206">
                  <c:v>-5.2973034071398303E-3</c:v>
                </c:pt>
                <c:pt idx="207">
                  <c:v>-5.5465819528870697E-3</c:v>
                </c:pt>
                <c:pt idx="208">
                  <c:v>-5.8075530385646897E-3</c:v>
                </c:pt>
                <c:pt idx="209">
                  <c:v>-6.0807594956942797E-3</c:v>
                </c:pt>
                <c:pt idx="210">
                  <c:v>-6.3667685247957703E-3</c:v>
                </c:pt>
                <c:pt idx="211">
                  <c:v>-6.6661726650829901E-3</c:v>
                </c:pt>
                <c:pt idx="212">
                  <c:v>-6.9795907836446404E-3</c:v>
                </c:pt>
                <c:pt idx="213">
                  <c:v>-7.3076690812169101E-3</c:v>
                </c:pt>
                <c:pt idx="214">
                  <c:v>-7.6510821109690499E-3</c:v>
                </c:pt>
                <c:pt idx="215">
                  <c:v>-8.0105338059309906E-3</c:v>
                </c:pt>
                <c:pt idx="216">
                  <c:v>-8.3867585097778703E-3</c:v>
                </c:pt>
                <c:pt idx="217">
                  <c:v>-8.7805220046277607E-3</c:v>
                </c:pt>
                <c:pt idx="218">
                  <c:v>-9.1926225282926901E-3</c:v>
                </c:pt>
                <c:pt idx="219">
                  <c:v>-9.6238917720236905E-3</c:v>
                </c:pt>
                <c:pt idx="220">
                  <c:v>-1.00751958481853E-2</c:v>
                </c:pt>
                <c:pt idx="221">
                  <c:v>-1.05474362154567E-2</c:v>
                </c:pt>
                <c:pt idx="222">
                  <c:v>-1.1041550547055801E-2</c:v>
                </c:pt>
                <c:pt idx="223">
                  <c:v>-1.15585135250857E-2</c:v>
                </c:pt>
                <c:pt idx="224">
                  <c:v>-1.20993375413763E-2</c:v>
                </c:pt>
                <c:pt idx="225">
                  <c:v>-1.2665073282092199E-2</c:v>
                </c:pt>
                <c:pt idx="226">
                  <c:v>-1.32568101698688E-2</c:v>
                </c:pt>
                <c:pt idx="227">
                  <c:v>-1.38756766332646E-2</c:v>
                </c:pt>
                <c:pt idx="228">
                  <c:v>-1.4522840168842401E-2</c:v>
                </c:pt>
                <c:pt idx="229">
                  <c:v>-1.5199507156153201E-2</c:v>
                </c:pt>
                <c:pt idx="230">
                  <c:v>-1.5906922380254498E-2</c:v>
                </c:pt>
                <c:pt idx="231">
                  <c:v>-1.6646368210084899E-2</c:v>
                </c:pt>
                <c:pt idx="232">
                  <c:v>-1.7419163374003298E-2</c:v>
                </c:pt>
                <c:pt idx="233">
                  <c:v>-1.8226661266018601E-2</c:v>
                </c:pt>
                <c:pt idx="234">
                  <c:v>-1.9070247707665699E-2</c:v>
                </c:pt>
                <c:pt idx="235">
                  <c:v>-1.9951338081081502E-2</c:v>
                </c:pt>
                <c:pt idx="236">
                  <c:v>-2.0871373738587901E-2</c:v>
                </c:pt>
                <c:pt idx="237">
                  <c:v>-2.1831817583027199E-2</c:v>
                </c:pt>
                <c:pt idx="238">
                  <c:v>-2.2834148701217399E-2</c:v>
                </c:pt>
                <c:pt idx="239">
                  <c:v>-2.3879855920338599E-2</c:v>
                </c:pt>
                <c:pt idx="240">
                  <c:v>-2.49704301438981E-2</c:v>
                </c:pt>
                <c:pt idx="241">
                  <c:v>-2.6107355310404302E-2</c:v>
                </c:pt>
                <c:pt idx="242">
                  <c:v>-2.7292097804258699E-2</c:v>
                </c:pt>
                <c:pt idx="243">
                  <c:v>-2.8526094135063001E-2</c:v>
                </c:pt>
                <c:pt idx="244">
                  <c:v>-2.9810736689044E-2</c:v>
                </c:pt>
                <c:pt idx="245">
                  <c:v>-3.1147357345304001E-2</c:v>
                </c:pt>
                <c:pt idx="246">
                  <c:v>-3.2537208740976001E-2</c:v>
                </c:pt>
                <c:pt idx="247">
                  <c:v>-3.3981442964172E-2</c:v>
                </c:pt>
                <c:pt idx="248">
                  <c:v>-3.5481087453192402E-2</c:v>
                </c:pt>
                <c:pt idx="249">
                  <c:v>-3.7037017886426903E-2</c:v>
                </c:pt>
                <c:pt idx="250">
                  <c:v>-3.86499278616299E-2</c:v>
                </c:pt>
                <c:pt idx="251">
                  <c:v>-4.0320295188034497E-2</c:v>
                </c:pt>
                <c:pt idx="252">
                  <c:v>-4.2048344652641699E-2</c:v>
                </c:pt>
                <c:pt idx="253">
                  <c:v>-4.3834007175851099E-2</c:v>
                </c:pt>
                <c:pt idx="254">
                  <c:v>-4.5676875344500302E-2</c:v>
                </c:pt>
                <c:pt idx="255">
                  <c:v>-4.7576155405645998E-2</c:v>
                </c:pt>
                <c:pt idx="256">
                  <c:v>-4.9530615925315102E-2</c:v>
                </c:pt>
                <c:pt idx="257">
                  <c:v>-5.1538533466083197E-2</c:v>
                </c:pt>
                <c:pt idx="258">
                  <c:v>-5.359763581825E-2</c:v>
                </c:pt>
                <c:pt idx="259">
                  <c:v>-5.57050435332056E-2</c:v>
                </c:pt>
                <c:pt idx="260">
                  <c:v>-5.7857210754602699E-2</c:v>
                </c:pt>
                <c:pt idx="261">
                  <c:v>-6.0049866621300102E-2</c:v>
                </c:pt>
                <c:pt idx="262">
                  <c:v>-6.22779588213105E-2</c:v>
                </c:pt>
                <c:pt idx="263">
                  <c:v>-6.4535601200133297E-2</c:v>
                </c:pt>
                <c:pt idx="264">
                  <c:v>-6.6816027657795596E-2</c:v>
                </c:pt>
                <c:pt idx="265">
                  <c:v>-6.91115548897073E-2</c:v>
                </c:pt>
                <c:pt idx="266">
                  <c:v>-7.1413556814768894E-2</c:v>
                </c:pt>
                <c:pt idx="267">
                  <c:v>-7.3712453762672298E-2</c:v>
                </c:pt>
                <c:pt idx="268">
                  <c:v>-7.59977196286203E-2</c:v>
                </c:pt>
                <c:pt idx="269">
                  <c:v>-7.8257910211987303E-2</c:v>
                </c:pt>
                <c:pt idx="270">
                  <c:v>-8.0480715798484898E-2</c:v>
                </c:pt>
                <c:pt idx="271">
                  <c:v>-8.2653040687696799E-2</c:v>
                </c:pt>
                <c:pt idx="272">
                  <c:v>-8.47611117797097E-2</c:v>
                </c:pt>
                <c:pt idx="273">
                  <c:v>-8.67906174970932E-2</c:v>
                </c:pt>
                <c:pt idx="274">
                  <c:v>-8.8726877228892595E-2</c:v>
                </c:pt>
                <c:pt idx="275">
                  <c:v>-9.0555040160030603E-2</c:v>
                </c:pt>
                <c:pt idx="276">
                  <c:v>-9.2260310836431603E-2</c:v>
                </c:pt>
                <c:pt idx="277">
                  <c:v>-9.3828197184693096E-2</c:v>
                </c:pt>
                <c:pt idx="278">
                  <c:v>-9.5244775053403105E-2</c:v>
                </c:pt>
                <c:pt idx="279">
                  <c:v>-9.6496961791714395E-2</c:v>
                </c:pt>
                <c:pt idx="280">
                  <c:v>-9.7572790063795004E-2</c:v>
                </c:pt>
                <c:pt idx="281">
                  <c:v>-9.8461672151061302E-2</c:v>
                </c:pt>
                <c:pt idx="282">
                  <c:v>-9.9154644539878697E-2</c:v>
                </c:pt>
                <c:pt idx="283">
                  <c:v>-9.9644582723436806E-2</c:v>
                </c:pt>
                <c:pt idx="284">
                  <c:v>-9.99263769112579E-2</c:v>
                </c:pt>
                <c:pt idx="285">
                  <c:v>-9.9997060731786797E-2</c:v>
                </c:pt>
                <c:pt idx="286">
                  <c:v>-9.9855886966452007E-2</c:v>
                </c:pt>
                <c:pt idx="287">
                  <c:v>-9.9504346744226799E-2</c:v>
                </c:pt>
                <c:pt idx="288">
                  <c:v>-9.8946131284367994E-2</c:v>
                </c:pt>
                <c:pt idx="289">
                  <c:v>-9.8187038002812296E-2</c:v>
                </c:pt>
                <c:pt idx="290">
                  <c:v>-9.7234825388172297E-2</c:v>
                </c:pt>
                <c:pt idx="291">
                  <c:v>-9.6099023315022097E-2</c:v>
                </c:pt>
                <c:pt idx="292">
                  <c:v>-9.4790707239330099E-2</c:v>
                </c:pt>
                <c:pt idx="293">
                  <c:v>-9.3322245908426193E-2</c:v>
                </c:pt>
                <c:pt idx="294">
                  <c:v>-9.1707032769456201E-2</c:v>
                </c:pt>
                <c:pt idx="295">
                  <c:v>-8.9959211188583896E-2</c:v>
                </c:pt>
                <c:pt idx="296">
                  <c:v>-8.8093402962915998E-2</c:v>
                </c:pt>
                <c:pt idx="297">
                  <c:v>-8.6124448522533106E-2</c:v>
                </c:pt>
                <c:pt idx="298">
                  <c:v>-8.4067165809648306E-2</c:v>
                </c:pt>
                <c:pt idx="299">
                  <c:v>-8.1936133222602306E-2</c:v>
                </c:pt>
                <c:pt idx="300">
                  <c:v>-7.97455003549985E-2</c:v>
                </c:pt>
                <c:pt idx="301">
                  <c:v>-7.7508828658581094E-2</c:v>
                </c:pt>
                <c:pt idx="302">
                  <c:v>-7.5238962702042403E-2</c:v>
                </c:pt>
                <c:pt idx="303">
                  <c:v>-7.2947931448919201E-2</c:v>
                </c:pt>
                <c:pt idx="304">
                  <c:v>-7.0646877971211594E-2</c:v>
                </c:pt>
                <c:pt idx="305">
                  <c:v>-6.8346015262123597E-2</c:v>
                </c:pt>
                <c:pt idx="306">
                  <c:v>-6.6054605302651101E-2</c:v>
                </c:pt>
                <c:pt idx="307">
                  <c:v>-6.3780958249575206E-2</c:v>
                </c:pt>
                <c:pt idx="308">
                  <c:v>-6.1532448514578002E-2</c:v>
                </c:pt>
                <c:pt idx="309">
                  <c:v>-5.93155445592531E-2</c:v>
                </c:pt>
                <c:pt idx="310">
                  <c:v>-5.7135849401597702E-2</c:v>
                </c:pt>
                <c:pt idx="311">
                  <c:v>-5.4998149081363502E-2</c:v>
                </c:pt>
                <c:pt idx="312">
                  <c:v>-5.2906466633599103E-2</c:v>
                </c:pt>
                <c:pt idx="313">
                  <c:v>-5.0864119446057503E-2</c:v>
                </c:pt>
                <c:pt idx="314">
                  <c:v>-4.88737782064778E-2</c:v>
                </c:pt>
                <c:pt idx="315">
                  <c:v>-4.69375259647275E-2</c:v>
                </c:pt>
                <c:pt idx="316">
                  <c:v>-4.5056916131795098E-2</c:v>
                </c:pt>
                <c:pt idx="317">
                  <c:v>-4.3233028505897199E-2</c:v>
                </c:pt>
                <c:pt idx="318">
                  <c:v>-4.1466522652007898E-2</c:v>
                </c:pt>
                <c:pt idx="319">
                  <c:v>-3.9757688163886903E-2</c:v>
                </c:pt>
                <c:pt idx="320">
                  <c:v>-3.8106491507931703E-2</c:v>
                </c:pt>
                <c:pt idx="321">
                  <c:v>-3.65126192879274E-2</c:v>
                </c:pt>
                <c:pt idx="322">
                  <c:v>-3.4975517881773097E-2</c:v>
                </c:pt>
                <c:pt idx="323">
                  <c:v>-3.3494429488707497E-2</c:v>
                </c:pt>
                <c:pt idx="324">
                  <c:v>-3.2068424691754999E-2</c:v>
                </c:pt>
                <c:pt idx="325">
                  <c:v>-3.0696431688291299E-2</c:v>
                </c:pt>
                <c:pt idx="326">
                  <c:v>-2.9377262374833499E-2</c:v>
                </c:pt>
                <c:pt idx="327">
                  <c:v>-2.8109635493175401E-2</c:v>
                </c:pt>
                <c:pt idx="328">
                  <c:v>-2.68921970562375E-2</c:v>
                </c:pt>
                <c:pt idx="329">
                  <c:v>-2.57235382756495E-2</c:v>
                </c:pt>
                <c:pt idx="330">
                  <c:v>-2.4602211210908199E-2</c:v>
                </c:pt>
                <c:pt idx="331">
                  <c:v>-2.3526742353479301E-2</c:v>
                </c:pt>
                <c:pt idx="332">
                  <c:v>-2.24956443496932E-2</c:v>
                </c:pt>
                <c:pt idx="333">
                  <c:v>-2.1507426054698402E-2</c:v>
                </c:pt>
                <c:pt idx="334">
                  <c:v>-2.0560601096908101E-2</c:v>
                </c:pt>
                <c:pt idx="335">
                  <c:v>-1.9653695118904298E-2</c:v>
                </c:pt>
                <c:pt idx="336">
                  <c:v>-1.87852518471439E-2</c:v>
                </c:pt>
                <c:pt idx="337">
                  <c:v>-1.7953838129381301E-2</c:v>
                </c:pt>
                <c:pt idx="338">
                  <c:v>-1.7158048065746102E-2</c:v>
                </c:pt>
                <c:pt idx="339">
                  <c:v>-1.6396506347064899E-2</c:v>
                </c:pt>
                <c:pt idx="340">
                  <c:v>-1.5667870902411701E-2</c:v>
                </c:pt>
                <c:pt idx="341">
                  <c:v>-1.49708349470743E-2</c:v>
                </c:pt>
                <c:pt idx="342">
                  <c:v>-1.43041285121562E-2</c:v>
                </c:pt>
                <c:pt idx="343">
                  <c:v>-1.3666519527919301E-2</c:v>
                </c:pt>
                <c:pt idx="344">
                  <c:v>-1.30568145246562E-2</c:v>
                </c:pt>
                <c:pt idx="345">
                  <c:v>-1.24738590073727E-2</c:v>
                </c:pt>
                <c:pt idx="346">
                  <c:v>-1.1916537553777799E-2</c:v>
                </c:pt>
                <c:pt idx="347">
                  <c:v>-1.13837736789992E-2</c:v>
                </c:pt>
                <c:pt idx="348">
                  <c:v>-1.08745295050106E-2</c:v>
                </c:pt>
                <c:pt idx="349">
                  <c:v>-1.03878052679046E-2</c:v>
                </c:pt>
                <c:pt idx="350">
                  <c:v>-9.9226386918500106E-3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F-4A9F-9462-ABC14665D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At val="-2000000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Stray'!$K$3:$K$353</c:f>
            </c:numRef>
          </c:yVal>
          <c:smooth val="0"/>
          <c:extLst>
            <c:ext xmlns:c16="http://schemas.microsoft.com/office/drawing/2014/chart" uri="{C3380CC4-5D6E-409C-BE32-E72D297353CC}">
              <c16:uniqueId val="{00000000-A0BE-4476-831E-27428FC9F06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Stray'!$P$3:$P$353</c:f>
            </c:numRef>
          </c:yVal>
          <c:smooth val="0"/>
          <c:extLst>
            <c:ext xmlns:c16="http://schemas.microsoft.com/office/drawing/2014/chart" uri="{C3380CC4-5D6E-409C-BE32-E72D297353CC}">
              <c16:uniqueId val="{00000001-A0BE-4476-831E-27428FC9F06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'Phase Margin Example'!$H$3:$H$353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'Phase Margin Example'!$R$3:$R$353</c:f>
              <c:numCache>
                <c:formatCode>General</c:formatCode>
                <c:ptCount val="351"/>
                <c:pt idx="0">
                  <c:v>105.97738599988573</c:v>
                </c:pt>
                <c:pt idx="1">
                  <c:v>105.97323945335256</c:v>
                </c:pt>
                <c:pt idx="2">
                  <c:v>105.96869740122887</c:v>
                </c:pt>
                <c:pt idx="3">
                  <c:v>105.96372259383935</c:v>
                </c:pt>
                <c:pt idx="4">
                  <c:v>105.95827436778664</c:v>
                </c:pt>
                <c:pt idx="5">
                  <c:v>105.95230835189943</c:v>
                </c:pt>
                <c:pt idx="6">
                  <c:v>105.9457761516022</c:v>
                </c:pt>
                <c:pt idx="7">
                  <c:v>105.93862501089276</c:v>
                </c:pt>
                <c:pt idx="8">
                  <c:v>105.93079745125891</c:v>
                </c:pt>
                <c:pt idx="9">
                  <c:v>105.92223088705977</c:v>
                </c:pt>
                <c:pt idx="10">
                  <c:v>105.91285721715457</c:v>
                </c:pt>
                <c:pt idx="11">
                  <c:v>105.90260239288456</c:v>
                </c:pt>
                <c:pt idx="12">
                  <c:v>105.89138596291983</c:v>
                </c:pt>
                <c:pt idx="13">
                  <c:v>105.87912059598429</c:v>
                </c:pt>
                <c:pt idx="14">
                  <c:v>105.86571158307692</c:v>
                </c:pt>
                <c:pt idx="15">
                  <c:v>105.85105632153773</c:v>
                </c:pt>
                <c:pt idx="16">
                  <c:v>105.83504378416745</c:v>
                </c:pt>
                <c:pt idx="17">
                  <c:v>105.81755397762211</c:v>
                </c:pt>
                <c:pt idx="18">
                  <c:v>105.79845739547281</c:v>
                </c:pt>
                <c:pt idx="19">
                  <c:v>105.77761447265729</c:v>
                </c:pt>
                <c:pt idx="20">
                  <c:v>105.75487504956298</c:v>
                </c:pt>
                <c:pt idx="21">
                  <c:v>105.73007785565875</c:v>
                </c:pt>
                <c:pt idx="22">
                  <c:v>105.7030500244353</c:v>
                </c:pt>
                <c:pt idx="23">
                  <c:v>105.67360665339699</c:v>
                </c:pt>
                <c:pt idx="24">
                  <c:v>105.64155042493117</c:v>
                </c:pt>
                <c:pt idx="25">
                  <c:v>105.60667130602319</c:v>
                </c:pt>
                <c:pt idx="26">
                  <c:v>105.56874634690625</c:v>
                </c:pt>
                <c:pt idx="27">
                  <c:v>105.5275396007429</c:v>
                </c:pt>
                <c:pt idx="28">
                  <c:v>105.48280218821373</c:v>
                </c:pt>
                <c:pt idx="29">
                  <c:v>105.43427253228654</c:v>
                </c:pt>
                <c:pt idx="30">
                  <c:v>105.38167678929015</c:v>
                </c:pt>
                <c:pt idx="31">
                  <c:v>105.32472950252607</c:v>
                </c:pt>
                <c:pt idx="32">
                  <c:v>105.26313450381043</c:v>
                </c:pt>
                <c:pt idx="33">
                  <c:v>105.19658608633013</c:v>
                </c:pt>
                <c:pt idx="34">
                  <c:v>105.12477046882002</c:v>
                </c:pt>
                <c:pt idx="35">
                  <c:v>105.04736756613993</c:v>
                </c:pt>
                <c:pt idx="36">
                  <c:v>104.96405307472583</c:v>
                </c:pt>
                <c:pt idx="37">
                  <c:v>104.87450087305777</c:v>
                </c:pt>
                <c:pt idx="38">
                  <c:v>104.77838572728422</c:v>
                </c:pt>
                <c:pt idx="39">
                  <c:v>104.6753862806496</c:v>
                </c:pt>
                <c:pt idx="40">
                  <c:v>104.56518829272621</c:v>
                </c:pt>
                <c:pt idx="41">
                  <c:v>104.44748808114407</c:v>
                </c:pt>
                <c:pt idx="42">
                  <c:v>104.32199610519727</c:v>
                </c:pt>
                <c:pt idx="43">
                  <c:v>104.18844061815837</c:v>
                </c:pt>
                <c:pt idx="44">
                  <c:v>104.04657130423935</c:v>
                </c:pt>
                <c:pt idx="45">
                  <c:v>103.89616280779308</c:v>
                </c:pt>
                <c:pt idx="46">
                  <c:v>103.73701805741419</c:v>
                </c:pt>
                <c:pt idx="47">
                  <c:v>103.56897128679179</c:v>
                </c:pt>
                <c:pt idx="48">
                  <c:v>103.39189065797815</c:v>
                </c:pt>
                <c:pt idx="49">
                  <c:v>103.2056804013644</c:v>
                </c:pt>
                <c:pt idx="50">
                  <c:v>103.01028239993016</c:v>
                </c:pt>
                <c:pt idx="51">
                  <c:v>102.8056771627312</c:v>
                </c:pt>
                <c:pt idx="52">
                  <c:v>102.59188415321915</c:v>
                </c:pt>
                <c:pt idx="53">
                  <c:v>102.36896146068857</c:v>
                </c:pt>
                <c:pt idx="54">
                  <c:v>102.13700482655375</c:v>
                </c:pt>
                <c:pt idx="55">
                  <c:v>101.89614605985952</c:v>
                </c:pt>
                <c:pt idx="56">
                  <c:v>101.64655089706082</c:v>
                </c:pt>
                <c:pt idx="57">
                  <c:v>101.38841637850007</c:v>
                </c:pt>
                <c:pt idx="58">
                  <c:v>101.12196782729093</c:v>
                </c:pt>
                <c:pt idx="59">
                  <c:v>100.84745552494122</c:v>
                </c:pt>
                <c:pt idx="60">
                  <c:v>100.5651511818607</c:v>
                </c:pt>
                <c:pt idx="61">
                  <c:v>100.27534430009163</c:v>
                </c:pt>
                <c:pt idx="62">
                  <c:v>99.978338520665972</c:v>
                </c:pt>
                <c:pt idx="63">
                  <c:v>99.674448039648865</c:v>
                </c:pt>
                <c:pt idx="64">
                  <c:v>99.363994166031318</c:v>
                </c:pt>
                <c:pt idx="65">
                  <c:v>99.047302082093807</c:v>
                </c:pt>
                <c:pt idx="66">
                  <c:v>98.724697853540121</c:v>
                </c:pt>
                <c:pt idx="67">
                  <c:v>98.396505723400068</c:v>
                </c:pt>
                <c:pt idx="68">
                  <c:v>98.06304571104711</c:v>
                </c:pt>
                <c:pt idx="69">
                  <c:v>97.724631526189484</c:v>
                </c:pt>
                <c:pt idx="70">
                  <c:v>97.381568797685688</c:v>
                </c:pt>
                <c:pt idx="71">
                  <c:v>97.034153608705736</c:v>
                </c:pt>
                <c:pt idx="72">
                  <c:v>96.682671323153386</c:v>
                </c:pt>
                <c:pt idx="73">
                  <c:v>96.327395683337045</c:v>
                </c:pt>
                <c:pt idx="74">
                  <c:v>95.968588155497613</c:v>
                </c:pt>
                <c:pt idx="75">
                  <c:v>95.606497497794649</c:v>
                </c:pt>
                <c:pt idx="76">
                  <c:v>95.241359524509079</c:v>
                </c:pt>
                <c:pt idx="77">
                  <c:v>94.873397040329849</c:v>
                </c:pt>
                <c:pt idx="78">
                  <c:v>94.502819919441379</c:v>
                </c:pt>
                <c:pt idx="79">
                  <c:v>94.129825305526026</c:v>
                </c:pt>
                <c:pt idx="80">
                  <c:v>93.754597910573779</c:v>
                </c:pt>
                <c:pt idx="81">
                  <c:v>93.377310392396424</c:v>
                </c:pt>
                <c:pt idx="82">
                  <c:v>92.998123792865897</c:v>
                </c:pt>
                <c:pt idx="83">
                  <c:v>92.617188021033797</c:v>
                </c:pt>
                <c:pt idx="84">
                  <c:v>92.234642367374789</c:v>
                </c:pt>
                <c:pt idx="85">
                  <c:v>91.85061603737492</c:v>
                </c:pt>
                <c:pt idx="86">
                  <c:v>91.465228694527838</c:v>
                </c:pt>
                <c:pt idx="87">
                  <c:v>91.078591004478142</c:v>
                </c:pt>
                <c:pt idx="88">
                  <c:v>90.690805173562055</c:v>
                </c:pt>
                <c:pt idx="89">
                  <c:v>90.301965476327155</c:v>
                </c:pt>
                <c:pt idx="90">
                  <c:v>89.912158767784717</c:v>
                </c:pt>
                <c:pt idx="91">
                  <c:v>89.521464977151965</c:v>
                </c:pt>
                <c:pt idx="92">
                  <c:v>89.129957580703277</c:v>
                </c:pt>
                <c:pt idx="93">
                  <c:v>88.737704052073767</c:v>
                </c:pt>
                <c:pt idx="94">
                  <c:v>88.344766288962916</c:v>
                </c:pt>
                <c:pt idx="95">
                  <c:v>87.951201015680013</c:v>
                </c:pt>
                <c:pt idx="96">
                  <c:v>87.557060161377095</c:v>
                </c:pt>
                <c:pt idx="97">
                  <c:v>87.162391214134075</c:v>
                </c:pt>
                <c:pt idx="98">
                  <c:v>86.767237551310771</c:v>
                </c:pt>
                <c:pt idx="99">
                  <c:v>86.371638746770316</c:v>
                </c:pt>
                <c:pt idx="100">
                  <c:v>85.97563085571781</c:v>
                </c:pt>
                <c:pt idx="101">
                  <c:v>85.579246677996764</c:v>
                </c:pt>
                <c:pt idx="102">
                  <c:v>85.182516000746205</c:v>
                </c:pt>
                <c:pt idx="103">
                  <c:v>84.785465821356027</c:v>
                </c:pt>
                <c:pt idx="104">
                  <c:v>84.388120551668976</c:v>
                </c:pt>
                <c:pt idx="105">
                  <c:v>83.990502204367374</c:v>
                </c:pt>
                <c:pt idx="106">
                  <c:v>83.592630562460272</c:v>
                </c:pt>
                <c:pt idx="107">
                  <c:v>83.194523332750606</c:v>
                </c:pt>
                <c:pt idx="108">
                  <c:v>82.796196284117812</c:v>
                </c:pt>
                <c:pt idx="109">
                  <c:v>82.397663371398153</c:v>
                </c:pt>
                <c:pt idx="110">
                  <c:v>81.998936845589753</c:v>
                </c:pt>
                <c:pt idx="111">
                  <c:v>81.600027351048212</c:v>
                </c:pt>
                <c:pt idx="112">
                  <c:v>81.200944010272565</c:v>
                </c:pt>
                <c:pt idx="113">
                  <c:v>80.801694496820957</c:v>
                </c:pt>
                <c:pt idx="114">
                  <c:v>80.402285096822723</c:v>
                </c:pt>
                <c:pt idx="115">
                  <c:v>80.002720759491055</c:v>
                </c:pt>
                <c:pt idx="116">
                  <c:v>79.603005136969514</c:v>
                </c:pt>
                <c:pt idx="117">
                  <c:v>79.203140613780278</c:v>
                </c:pt>
                <c:pt idx="118">
                  <c:v>78.80312832606991</c:v>
                </c:pt>
                <c:pt idx="119">
                  <c:v>78.402968170785925</c:v>
                </c:pt>
                <c:pt idx="120">
                  <c:v>78.002658804843819</c:v>
                </c:pt>
                <c:pt idx="121">
                  <c:v>77.602197634281183</c:v>
                </c:pt>
                <c:pt idx="122">
                  <c:v>77.201580793322961</c:v>
                </c:pt>
                <c:pt idx="123">
                  <c:v>76.800803113218706</c:v>
                </c:pt>
                <c:pt idx="124">
                  <c:v>76.399858080640087</c:v>
                </c:pt>
                <c:pt idx="125">
                  <c:v>75.998737785361769</c:v>
                </c:pt>
                <c:pt idx="126">
                  <c:v>75.59743285688063</c:v>
                </c:pt>
                <c:pt idx="127">
                  <c:v>75.195932389558337</c:v>
                </c:pt>
                <c:pt idx="128">
                  <c:v>74.794223855807928</c:v>
                </c:pt>
                <c:pt idx="129">
                  <c:v>74.392293006776001</c:v>
                </c:pt>
                <c:pt idx="130">
                  <c:v>73.990123759908627</c:v>
                </c:pt>
                <c:pt idx="131">
                  <c:v>73.58769807272499</c:v>
                </c:pt>
                <c:pt idx="132">
                  <c:v>73.184995802062673</c:v>
                </c:pt>
                <c:pt idx="133">
                  <c:v>72.781994548002572</c:v>
                </c:pt>
                <c:pt idx="134">
                  <c:v>72.37866948162997</c:v>
                </c:pt>
                <c:pt idx="135">
                  <c:v>71.974993155746191</c:v>
                </c:pt>
                <c:pt idx="136">
                  <c:v>71.570935297609935</c:v>
                </c:pt>
                <c:pt idx="137">
                  <c:v>71.166462582767423</c:v>
                </c:pt>
                <c:pt idx="138">
                  <c:v>70.761538389023229</c:v>
                </c:pt>
                <c:pt idx="139">
                  <c:v>70.356122529619199</c:v>
                </c:pt>
                <c:pt idx="140">
                  <c:v>69.950170964724634</c:v>
                </c:pt>
                <c:pt idx="141">
                  <c:v>69.543635490410708</c:v>
                </c:pt>
                <c:pt idx="142">
                  <c:v>69.136463404384671</c:v>
                </c:pt>
                <c:pt idx="143">
                  <c:v>68.728597147907237</c:v>
                </c:pt>
                <c:pt idx="144">
                  <c:v>68.319973923514979</c:v>
                </c:pt>
                <c:pt idx="145">
                  <c:v>67.910525288432822</c:v>
                </c:pt>
                <c:pt idx="146">
                  <c:v>67.50017672389005</c:v>
                </c:pt>
                <c:pt idx="147">
                  <c:v>67.088847180974923</c:v>
                </c:pt>
                <c:pt idx="148">
                  <c:v>66.676448604172222</c:v>
                </c:pt>
                <c:pt idx="149">
                  <c:v>66.262885434352754</c:v>
                </c:pt>
                <c:pt idx="150">
                  <c:v>65.848054093728649</c:v>
                </c:pt>
                <c:pt idx="151">
                  <c:v>65.431842456174678</c:v>
                </c:pt>
                <c:pt idx="152">
                  <c:v>65.01412930734493</c:v>
                </c:pt>
                <c:pt idx="153">
                  <c:v>64.594783800213321</c:v>
                </c:pt>
                <c:pt idx="154">
                  <c:v>64.173664913027849</c:v>
                </c:pt>
                <c:pt idx="155">
                  <c:v>63.7506209182053</c:v>
                </c:pt>
                <c:pt idx="156">
                  <c:v>63.325488872400932</c:v>
                </c:pt>
                <c:pt idx="157">
                  <c:v>62.898094139851388</c:v>
                </c:pt>
                <c:pt idx="158">
                  <c:v>62.468249963090052</c:v>
                </c:pt>
                <c:pt idx="159">
                  <c:v>62.035757097230821</c:v>
                </c:pt>
                <c:pt idx="160">
                  <c:v>61.600403526158352</c:v>
                </c:pt>
                <c:pt idx="161">
                  <c:v>61.161964281071256</c:v>
                </c:pt>
                <c:pt idx="162">
                  <c:v>60.720201383802348</c:v>
                </c:pt>
                <c:pt idx="163">
                  <c:v>60.274863939065014</c:v>
                </c:pt>
                <c:pt idx="164">
                  <c:v>59.825688401092222</c:v>
                </c:pt>
                <c:pt idx="165">
                  <c:v>59.372399040877042</c:v>
                </c:pt>
                <c:pt idx="166">
                  <c:v>58.914708640187527</c:v>
                </c:pt>
                <c:pt idx="167">
                  <c:v>58.452319437506503</c:v>
                </c:pt>
                <c:pt idx="168">
                  <c:v>57.984924348826709</c:v>
                </c:pt>
                <c:pt idx="169">
                  <c:v>57.512208482603626</c:v>
                </c:pt>
                <c:pt idx="170">
                  <c:v>57.033850962971542</c:v>
                </c:pt>
                <c:pt idx="171">
                  <c:v>56.549527068432226</c:v>
                </c:pt>
                <c:pt idx="172">
                  <c:v>56.058910684613593</c:v>
                </c:pt>
                <c:pt idx="173">
                  <c:v>55.561677059422948</c:v>
                </c:pt>
                <c:pt idx="174">
                  <c:v>55.057505837210904</c:v>
                </c:pt>
                <c:pt idx="175">
                  <c:v>54.546084335762373</c:v>
                </c:pt>
                <c:pt idx="176">
                  <c:v>54.027111016579639</c:v>
                </c:pt>
                <c:pt idx="177">
                  <c:v>53.500299085670477</c:v>
                </c:pt>
                <c:pt idx="178">
                  <c:v>52.965380149725377</c:v>
                </c:pt>
                <c:pt idx="179">
                  <c:v>52.422107842034045</c:v>
                </c:pt>
                <c:pt idx="180">
                  <c:v>51.870261324657449</c:v>
                </c:pt>
                <c:pt idx="181">
                  <c:v>51.309648569080707</c:v>
                </c:pt>
                <c:pt idx="182">
                  <c:v>50.74010931750523</c:v>
                </c:pt>
                <c:pt idx="183">
                  <c:v>50.161517631549195</c:v>
                </c:pt>
                <c:pt idx="184">
                  <c:v>49.57378394454696</c:v>
                </c:pt>
                <c:pt idx="185">
                  <c:v>48.976856547646562</c:v>
                </c:pt>
                <c:pt idx="186">
                  <c:v>48.370722457910091</c:v>
                </c:pt>
                <c:pt idx="187">
                  <c:v>47.755407637684471</c:v>
                </c:pt>
                <c:pt idx="188">
                  <c:v>47.130976557424901</c:v>
                </c:pt>
                <c:pt idx="189">
                  <c:v>46.4975311175439</c:v>
                </c:pt>
                <c:pt idx="190">
                  <c:v>45.855208967303788</c:v>
                </c:pt>
                <c:pt idx="191">
                  <c:v>45.204181278937561</c:v>
                </c:pt>
                <c:pt idx="192">
                  <c:v>44.544650051946576</c:v>
                </c:pt>
                <c:pt idx="193">
                  <c:v>43.876845035051439</c:v>
                </c:pt>
                <c:pt idx="194">
                  <c:v>43.201020361099943</c:v>
                </c:pt>
                <c:pt idx="195">
                  <c:v>42.517450993255849</c:v>
                </c:pt>
                <c:pt idx="196">
                  <c:v>41.82642907925738</c:v>
                </c:pt>
                <c:pt idx="197">
                  <c:v>41.12826030497628</c:v>
                </c:pt>
                <c:pt idx="198">
                  <c:v>40.423260329679501</c:v>
                </c:pt>
                <c:pt idx="199">
                  <c:v>39.711751374160741</c:v>
                </c:pt>
                <c:pt idx="200">
                  <c:v>38.994059020180593</c:v>
                </c:pt>
                <c:pt idx="201">
                  <c:v>38.270509266282644</c:v>
                </c:pt>
                <c:pt idx="202">
                  <c:v>37.541425871820692</c:v>
                </c:pt>
                <c:pt idx="203">
                  <c:v>36.8071280085437</c:v>
                </c:pt>
                <c:pt idx="204">
                  <c:v>36.06792822782532</c:v>
                </c:pt>
                <c:pt idx="205">
                  <c:v>35.324130741887089</c:v>
                </c:pt>
                <c:pt idx="206">
                  <c:v>34.576030009323787</c:v>
                </c:pt>
                <c:pt idx="207">
                  <c:v>33.823909608916146</c:v>
                </c:pt>
                <c:pt idx="208">
                  <c:v>33.068041381060709</c:v>
                </c:pt>
                <c:pt idx="209">
                  <c:v>32.308684813006067</c:v>
                </c:pt>
                <c:pt idx="210">
                  <c:v>31.546086642290831</c:v>
                </c:pt>
                <c:pt idx="211">
                  <c:v>30.780480652105588</c:v>
                </c:pt>
                <c:pt idx="212">
                  <c:v>30.012087632552127</c:v>
                </c:pt>
                <c:pt idx="213">
                  <c:v>29.241115482724979</c:v>
                </c:pt>
                <c:pt idx="214">
                  <c:v>28.467759430014834</c:v>
                </c:pt>
                <c:pt idx="215">
                  <c:v>27.692202344858252</c:v>
                </c:pt>
                <c:pt idx="216">
                  <c:v>26.914615131192683</c:v>
                </c:pt>
                <c:pt idx="217">
                  <c:v>26.135157175006462</c:v>
                </c:pt>
                <c:pt idx="218">
                  <c:v>25.353976835509087</c:v>
                </c:pt>
                <c:pt idx="219">
                  <c:v>24.571211965519165</c:v>
                </c:pt>
                <c:pt idx="220">
                  <c:v>23.786990449625389</c:v>
                </c:pt>
                <c:pt idx="221">
                  <c:v>23.001430750495572</c:v>
                </c:pt>
                <c:pt idx="222">
                  <c:v>22.214642455356859</c:v>
                </c:pt>
                <c:pt idx="223">
                  <c:v>21.426726816156958</c:v>
                </c:pt>
                <c:pt idx="224">
                  <c:v>20.637777278218437</c:v>
                </c:pt>
                <c:pt idx="225">
                  <c:v>19.847879993348446</c:v>
                </c:pt>
                <c:pt idx="226">
                  <c:v>19.057114314345078</c:v>
                </c:pt>
                <c:pt idx="227">
                  <c:v>18.265553268684393</c:v>
                </c:pt>
                <c:pt idx="228">
                  <c:v>17.47326400987637</c:v>
                </c:pt>
                <c:pt idx="229">
                  <c:v>16.680308245570259</c:v>
                </c:pt>
                <c:pt idx="230">
                  <c:v>15.886742641968603</c:v>
                </c:pt>
                <c:pt idx="231">
                  <c:v>15.092619204504388</c:v>
                </c:pt>
                <c:pt idx="232">
                  <c:v>14.297985635046238</c:v>
                </c:pt>
                <c:pt idx="233">
                  <c:v>13.50288566614212</c:v>
                </c:pt>
                <c:pt idx="234">
                  <c:v>12.707359372996827</c:v>
                </c:pt>
                <c:pt idx="235">
                  <c:v>11.911443464018333</c:v>
                </c:pt>
                <c:pt idx="236">
                  <c:v>11.115171550866528</c:v>
                </c:pt>
                <c:pt idx="237">
                  <c:v>10.318574398997796</c:v>
                </c:pt>
                <c:pt idx="238">
                  <c:v>9.5216801597446263</c:v>
                </c:pt>
                <c:pt idx="239">
                  <c:v>8.7245145849745285</c:v>
                </c:pt>
                <c:pt idx="240">
                  <c:v>7.9271012253808095</c:v>
                </c:pt>
                <c:pt idx="241">
                  <c:v>7.1294616134345006</c:v>
                </c:pt>
                <c:pt idx="242">
                  <c:v>6.3316154320057194</c:v>
                </c:pt>
                <c:pt idx="243">
                  <c:v>5.5335806696261898</c:v>
                </c:pt>
                <c:pt idx="244">
                  <c:v>4.7353737633270754</c:v>
                </c:pt>
                <c:pt idx="245">
                  <c:v>3.9370097299427727</c:v>
                </c:pt>
                <c:pt idx="246">
                  <c:v>3.138502286725398</c:v>
                </c:pt>
                <c:pt idx="247">
                  <c:v>2.3398639620676747</c:v>
                </c:pt>
                <c:pt idx="248">
                  <c:v>1.5411061970865134</c:v>
                </c:pt>
                <c:pt idx="249">
                  <c:v>0.74223943877120746</c:v>
                </c:pt>
                <c:pt idx="250">
                  <c:v>-5.6726774644900502E-2</c:v>
                </c:pt>
                <c:pt idx="251">
                  <c:v>-0.85578373547379982</c:v>
                </c:pt>
                <c:pt idx="252">
                  <c:v>-1.6549234949527403</c:v>
                </c:pt>
                <c:pt idx="253">
                  <c:v>-2.4541387976818783</c:v>
                </c:pt>
                <c:pt idx="254">
                  <c:v>-3.2534230216275475</c:v>
                </c:pt>
                <c:pt idx="255">
                  <c:v>-4.0527701232360727</c:v>
                </c:pt>
                <c:pt idx="256">
                  <c:v>-4.85217458723573</c:v>
                </c:pt>
                <c:pt idx="257">
                  <c:v>-5.6516313807375766</c:v>
                </c:pt>
                <c:pt idx="258">
                  <c:v>-6.4511359112780085</c:v>
                </c:pt>
                <c:pt idx="259">
                  <c:v>-7.2506839884708896</c:v>
                </c:pt>
                <c:pt idx="260">
                  <c:v>-8.0502717889666755</c:v>
                </c:pt>
                <c:pt idx="261">
                  <c:v>-8.8498958244373895</c:v>
                </c:pt>
                <c:pt idx="262">
                  <c:v>-9.6495529123319841</c:v>
                </c:pt>
                <c:pt idx="263">
                  <c:v>-10.449240149166542</c:v>
                </c:pt>
                <c:pt idx="264">
                  <c:v>-11.248954886129752</c:v>
                </c:pt>
                <c:pt idx="265">
                  <c:v>-12.048694706810402</c:v>
                </c:pt>
                <c:pt idx="266">
                  <c:v>-12.848457406860398</c:v>
                </c:pt>
                <c:pt idx="267">
                  <c:v>-13.648240975428237</c:v>
                </c:pt>
                <c:pt idx="268">
                  <c:v>-14.448043578211568</c:v>
                </c:pt>
                <c:pt idx="269">
                  <c:v>-15.247863541987392</c:v>
                </c:pt>
                <c:pt idx="270">
                  <c:v>-16.047699340492134</c:v>
                </c:pt>
                <c:pt idx="271">
                  <c:v>-16.847549581535432</c:v>
                </c:pt>
                <c:pt idx="272">
                  <c:v>-17.647412995240963</c:v>
                </c:pt>
                <c:pt idx="273">
                  <c:v>-18.447288423314518</c:v>
                </c:pt>
                <c:pt idx="274">
                  <c:v>-19.247174809251824</c:v>
                </c:pt>
                <c:pt idx="275">
                  <c:v>-20.047071189403695</c:v>
                </c:pt>
                <c:pt idx="276">
                  <c:v>-20.846976684823439</c:v>
                </c:pt>
                <c:pt idx="277">
                  <c:v>-21.646890493828828</c:v>
                </c:pt>
                <c:pt idx="278">
                  <c:v>-22.446811885215929</c:v>
                </c:pt>
                <c:pt idx="279">
                  <c:v>-23.246740192068497</c:v>
                </c:pt>
                <c:pt idx="280">
                  <c:v>-24.046674806108971</c:v>
                </c:pt>
                <c:pt idx="281">
                  <c:v>-24.846615172546873</c:v>
                </c:pt>
                <c:pt idx="282">
                  <c:v>-25.646560785377844</c:v>
                </c:pt>
                <c:pt idx="283">
                  <c:v>-26.446511183096288</c:v>
                </c:pt>
                <c:pt idx="284">
                  <c:v>-27.246465944784038</c:v>
                </c:pt>
                <c:pt idx="285">
                  <c:v>-28.046424686541947</c:v>
                </c:pt>
                <c:pt idx="286">
                  <c:v>-28.84638705823625</c:v>
                </c:pt>
                <c:pt idx="287">
                  <c:v>-29.646352740529238</c:v>
                </c:pt>
                <c:pt idx="288">
                  <c:v>-30.44632144217222</c:v>
                </c:pt>
                <c:pt idx="289">
                  <c:v>-31.246292897534548</c:v>
                </c:pt>
                <c:pt idx="290">
                  <c:v>-32.046266864352049</c:v>
                </c:pt>
                <c:pt idx="291">
                  <c:v>-32.846243121671293</c:v>
                </c:pt>
                <c:pt idx="292">
                  <c:v>-33.646221467975998</c:v>
                </c:pt>
                <c:pt idx="293">
                  <c:v>-34.446201719477116</c:v>
                </c:pt>
                <c:pt idx="294">
                  <c:v>-35.246183708553673</c:v>
                </c:pt>
                <c:pt idx="295">
                  <c:v>-36.046167282331169</c:v>
                </c:pt>
                <c:pt idx="296">
                  <c:v>-36.846152301383952</c:v>
                </c:pt>
                <c:pt idx="297">
                  <c:v>-37.646138638552735</c:v>
                </c:pt>
                <c:pt idx="298">
                  <c:v>-38.446126177865104</c:v>
                </c:pt>
                <c:pt idx="299">
                  <c:v>-39.246114813551756</c:v>
                </c:pt>
                <c:pt idx="300">
                  <c:v>-40.046104449148721</c:v>
                </c:pt>
                <c:pt idx="301">
                  <c:v>-40.846094996679412</c:v>
                </c:pt>
                <c:pt idx="302">
                  <c:v>-41.646086375906961</c:v>
                </c:pt>
                <c:pt idx="303">
                  <c:v>-42.446078513654044</c:v>
                </c:pt>
                <c:pt idx="304">
                  <c:v>-43.246071343181825</c:v>
                </c:pt>
                <c:pt idx="305">
                  <c:v>-44.046064803623082</c:v>
                </c:pt>
                <c:pt idx="306">
                  <c:v>-44.84605883946611</c:v>
                </c:pt>
                <c:pt idx="307">
                  <c:v>-45.646053400083034</c:v>
                </c:pt>
                <c:pt idx="308">
                  <c:v>-46.446048439300839</c:v>
                </c:pt>
                <c:pt idx="309">
                  <c:v>-47.246043915008755</c:v>
                </c:pt>
                <c:pt idx="310">
                  <c:v>-48.046039788801224</c:v>
                </c:pt>
                <c:pt idx="311">
                  <c:v>-48.846036025651912</c:v>
                </c:pt>
                <c:pt idx="312">
                  <c:v>-49.646032593615899</c:v>
                </c:pt>
                <c:pt idx="313">
                  <c:v>-50.446029463559583</c:v>
                </c:pt>
                <c:pt idx="314">
                  <c:v>-51.246026608912395</c:v>
                </c:pt>
                <c:pt idx="315">
                  <c:v>-52.046024005441488</c:v>
                </c:pt>
                <c:pt idx="316">
                  <c:v>-52.846021631046476</c:v>
                </c:pt>
                <c:pt idx="317">
                  <c:v>-53.646019465571364</c:v>
                </c:pt>
                <c:pt idx="318">
                  <c:v>-54.44601749063365</c:v>
                </c:pt>
                <c:pt idx="319">
                  <c:v>-55.246015689468265</c:v>
                </c:pt>
                <c:pt idx="320">
                  <c:v>-56.046014046785245</c:v>
                </c:pt>
                <c:pt idx="321">
                  <c:v>-56.846012548639955</c:v>
                </c:pt>
                <c:pt idx="322">
                  <c:v>-57.646011182314837</c:v>
                </c:pt>
                <c:pt idx="323">
                  <c:v>-58.446009936211027</c:v>
                </c:pt>
                <c:pt idx="324">
                  <c:v>-59.246008799750641</c:v>
                </c:pt>
                <c:pt idx="325">
                  <c:v>-60.046007763286099</c:v>
                </c:pt>
                <c:pt idx="326">
                  <c:v>-60.846006818019049</c:v>
                </c:pt>
                <c:pt idx="327">
                  <c:v>-61.646005955925084</c:v>
                </c:pt>
                <c:pt idx="328">
                  <c:v>-62.446005169685812</c:v>
                </c:pt>
                <c:pt idx="329">
                  <c:v>-63.246004452627076</c:v>
                </c:pt>
                <c:pt idx="330">
                  <c:v>-64.046003798661545</c:v>
                </c:pt>
                <c:pt idx="331">
                  <c:v>-64.84600320223781</c:v>
                </c:pt>
                <c:pt idx="332">
                  <c:v>-65.646002658292744</c:v>
                </c:pt>
                <c:pt idx="333">
                  <c:v>-66.446002162209027</c:v>
                </c:pt>
                <c:pt idx="334">
                  <c:v>-67.246001709775229</c:v>
                </c:pt>
                <c:pt idx="335">
                  <c:v>-68.046001297150596</c:v>
                </c:pt>
                <c:pt idx="336">
                  <c:v>-68.846000920832424</c:v>
                </c:pt>
                <c:pt idx="337">
                  <c:v>-69.646000577626211</c:v>
                </c:pt>
                <c:pt idx="338">
                  <c:v>-70.446000264618363</c:v>
                </c:pt>
                <c:pt idx="339">
                  <c:v>-71.245999979151776</c:v>
                </c:pt>
                <c:pt idx="340">
                  <c:v>-72.045999718803159</c:v>
                </c:pt>
                <c:pt idx="341">
                  <c:v>-72.845999481362341</c:v>
                </c:pt>
                <c:pt idx="342">
                  <c:v>-73.645999264813824</c:v>
                </c:pt>
                <c:pt idx="343">
                  <c:v>-74.445999067319093</c:v>
                </c:pt>
                <c:pt idx="344">
                  <c:v>-75.245998887201836</c:v>
                </c:pt>
                <c:pt idx="345">
                  <c:v>-76.045998722932865</c:v>
                </c:pt>
                <c:pt idx="346">
                  <c:v>-76.845998573117811</c:v>
                </c:pt>
                <c:pt idx="347">
                  <c:v>-77.645998436484902</c:v>
                </c:pt>
                <c:pt idx="348">
                  <c:v>-78.445998311874192</c:v>
                </c:pt>
                <c:pt idx="349">
                  <c:v>-79.245998198227824</c:v>
                </c:pt>
                <c:pt idx="350">
                  <c:v>-80.045998094581051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BE-4476-831E-27428FC9F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Stray'!$L$3:$L$353</c:f>
            </c:numRef>
          </c:yVal>
          <c:smooth val="0"/>
          <c:extLst>
            <c:ext xmlns:c16="http://schemas.microsoft.com/office/drawing/2014/chart" uri="{C3380CC4-5D6E-409C-BE32-E72D297353CC}">
              <c16:uniqueId val="{00000003-A0BE-4476-831E-27428FC9F06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Stray'!$Q$3:$Q$353</c:f>
            </c:numRef>
          </c:yVal>
          <c:smooth val="0"/>
          <c:extLst>
            <c:ext xmlns:c16="http://schemas.microsoft.com/office/drawing/2014/chart" uri="{C3380CC4-5D6E-409C-BE32-E72D297353CC}">
              <c16:uniqueId val="{00000004-A0BE-4476-831E-27428FC9F06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'Phase Margin Example'!$H$3:$H$353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'Phase Margin Example'!$S$3:$S$353</c:f>
              <c:numCache>
                <c:formatCode>General</c:formatCode>
                <c:ptCount val="351"/>
                <c:pt idx="0">
                  <c:v>174.27788686265558</c:v>
                </c:pt>
                <c:pt idx="1">
                  <c:v>174.01011741520594</c:v>
                </c:pt>
                <c:pt idx="2">
                  <c:v>173.73000805363438</c:v>
                </c:pt>
                <c:pt idx="3">
                  <c:v>173.4370179774412</c:v>
                </c:pt>
                <c:pt idx="4">
                  <c:v>173.13058676662965</c:v>
                </c:pt>
                <c:pt idx="5">
                  <c:v>172.81013428305616</c:v>
                </c:pt>
                <c:pt idx="6">
                  <c:v>172.4750606786742</c:v>
                </c:pt>
                <c:pt idx="7">
                  <c:v>172.12474652957428</c:v>
                </c:pt>
                <c:pt idx="8">
                  <c:v>171.75855311703</c:v>
                </c:pt>
                <c:pt idx="9">
                  <c:v>171.37582287924221</c:v>
                </c:pt>
                <c:pt idx="10">
                  <c:v>170.97588006010938</c:v>
                </c:pt>
                <c:pt idx="11">
                  <c:v>170.55803158413144</c:v>
                </c:pt>
                <c:pt idx="12">
                  <c:v>170.12156818942719</c:v>
                </c:pt>
                <c:pt idx="13">
                  <c:v>169.66576585376788</c:v>
                </c:pt>
                <c:pt idx="14">
                  <c:v>169.18988755143488</c:v>
                </c:pt>
                <c:pt idx="15">
                  <c:v>168.69318538149679</c:v>
                </c:pt>
                <c:pt idx="16">
                  <c:v>168.17490311066047</c:v>
                </c:pt>
                <c:pt idx="17">
                  <c:v>167.63427917602266</c:v>
                </c:pt>
                <c:pt idx="18">
                  <c:v>167.07055019466065</c:v>
                </c:pt>
                <c:pt idx="19">
                  <c:v>166.48295502781542</c:v>
                </c:pt>
                <c:pt idx="20">
                  <c:v>165.87073944718006</c:v>
                </c:pt>
                <c:pt idx="21">
                  <c:v>165.23316144920133</c:v>
                </c:pt>
                <c:pt idx="22">
                  <c:v>164.56949725997379</c:v>
                </c:pt>
                <c:pt idx="23">
                  <c:v>163.87904806787495</c:v>
                </c:pt>
                <c:pt idx="24">
                  <c:v>163.1611475131179</c:v>
                </c:pt>
                <c:pt idx="25">
                  <c:v>162.4151699524715</c:v>
                </c:pt>
                <c:pt idx="26">
                  <c:v>161.64053950305751</c:v>
                </c:pt>
                <c:pt idx="27">
                  <c:v>160.83673985101154</c:v>
                </c:pt>
                <c:pt idx="28">
                  <c:v>160.00332478853966</c:v>
                </c:pt>
                <c:pt idx="29">
                  <c:v>159.13992941633902</c:v>
                </c:pt>
                <c:pt idx="30">
                  <c:v>158.24628191743784</c:v>
                </c:pt>
                <c:pt idx="31">
                  <c:v>157.32221577349418</c:v>
                </c:pt>
                <c:pt idx="32">
                  <c:v>156.36768225600161</c:v>
                </c:pt>
                <c:pt idx="33">
                  <c:v>155.38276298362169</c:v>
                </c:pt>
                <c:pt idx="34">
                  <c:v>154.36768229436612</c:v>
                </c:pt>
                <c:pt idx="35">
                  <c:v>153.32281913943626</c:v>
                </c:pt>
                <c:pt idx="36">
                  <c:v>152.24871816653706</c:v>
                </c:pt>
                <c:pt idx="37">
                  <c:v>151.14609962720229</c:v>
                </c:pt>
                <c:pt idx="38">
                  <c:v>150.01586771823153</c:v>
                </c:pt>
                <c:pt idx="39">
                  <c:v>148.85911695506937</c:v>
                </c:pt>
                <c:pt idx="40">
                  <c:v>147.6771361781158</c:v>
                </c:pt>
                <c:pt idx="41">
                  <c:v>146.4714098144656</c:v>
                </c:pt>
                <c:pt idx="42">
                  <c:v>145.24361605963816</c:v>
                </c:pt>
                <c:pt idx="43">
                  <c:v>143.99562170764295</c:v>
                </c:pt>
                <c:pt idx="44">
                  <c:v>142.72947344297563</c:v>
                </c:pt>
                <c:pt idx="45">
                  <c:v>141.44738551295166</c:v>
                </c:pt>
                <c:pt idx="46">
                  <c:v>140.15172381946664</c:v>
                </c:pt>
                <c:pt idx="47">
                  <c:v>138.84498660036971</c:v>
                </c:pt>
                <c:pt idx="48">
                  <c:v>137.52978200523251</c:v>
                </c:pt>
                <c:pt idx="49">
                  <c:v>136.20880300037612</c:v>
                </c:pt>
                <c:pt idx="50">
                  <c:v>134.88480015523507</c:v>
                </c:pt>
                <c:pt idx="51">
                  <c:v>133.56055295841657</c:v>
                </c:pt>
                <c:pt idx="52">
                  <c:v>132.23884038027535</c:v>
                </c:pt>
                <c:pt idx="53">
                  <c:v>130.92241143439114</c:v>
                </c:pt>
                <c:pt idx="54">
                  <c:v>129.61395649033034</c:v>
                </c:pt>
                <c:pt idx="55">
                  <c:v>128.31608005450545</c:v>
                </c:pt>
                <c:pt idx="56">
                  <c:v>127.03127566748427</c:v>
                </c:pt>
                <c:pt idx="57">
                  <c:v>125.76190346980172</c:v>
                </c:pt>
                <c:pt idx="58">
                  <c:v>124.51017087112632</c:v>
                </c:pt>
                <c:pt idx="59">
                  <c:v>123.27811662752995</c:v>
                </c:pt>
                <c:pt idx="60">
                  <c:v>122.06759849702158</c:v>
                </c:pt>
                <c:pt idx="61">
                  <c:v>120.88028451239811</c:v>
                </c:pt>
                <c:pt idx="62">
                  <c:v>119.7176477897759</c:v>
                </c:pt>
                <c:pt idx="63">
                  <c:v>118.58096468635875</c:v>
                </c:pt>
                <c:pt idx="64">
                  <c:v>117.47131603572848</c:v>
                </c:pt>
                <c:pt idx="65">
                  <c:v>116.38959112517563</c:v>
                </c:pt>
                <c:pt idx="66">
                  <c:v>115.33649403749422</c:v>
                </c:pt>
                <c:pt idx="67">
                  <c:v>114.31255195817631</c:v>
                </c:pt>
                <c:pt idx="68">
                  <c:v>113.31812504575426</c:v>
                </c:pt>
                <c:pt idx="69">
                  <c:v>112.35341747532058</c:v>
                </c:pt>
                <c:pt idx="70">
                  <c:v>111.41848928967757</c:v>
                </c:pt>
                <c:pt idx="71">
                  <c:v>110.51326872584285</c:v>
                </c:pt>
                <c:pt idx="72">
                  <c:v>109.63756472362488</c:v>
                </c:pt>
                <c:pt idx="73">
                  <c:v>108.79107936489153</c:v>
                </c:pt>
                <c:pt idx="74">
                  <c:v>107.97342003463841</c:v>
                </c:pt>
                <c:pt idx="75">
                  <c:v>107.18411113619796</c:v>
                </c:pt>
                <c:pt idx="76">
                  <c:v>106.42260523149932</c:v>
                </c:pt>
                <c:pt idx="77">
                  <c:v>105.68829351231362</c:v>
                </c:pt>
                <c:pt idx="78">
                  <c:v>104.98051553931026</c:v>
                </c:pt>
                <c:pt idx="79">
                  <c:v>104.2985682123192</c:v>
                </c:pt>
                <c:pt idx="80">
                  <c:v>103.64171395743003</c:v>
                </c:pt>
                <c:pt idx="81">
                  <c:v>103.00918813468304</c:v>
                </c:pt>
                <c:pt idx="82">
                  <c:v>102.40020568443099</c:v>
                </c:pt>
                <c:pt idx="83">
                  <c:v>101.81396704137812</c:v>
                </c:pt>
                <c:pt idx="84">
                  <c:v>101.24966335325544</c:v>
                </c:pt>
                <c:pt idx="85">
                  <c:v>100.70648104652442</c:v>
                </c:pt>
                <c:pt idx="86">
                  <c:v>100.18360578481155</c:v>
                </c:pt>
                <c:pt idx="87">
                  <c:v>99.680225867378113</c:v>
                </c:pt>
                <c:pt idx="88">
                  <c:v>99.195535115158393</c:v>
                </c:pt>
                <c:pt idx="89">
                  <c:v>98.728735291073193</c:v>
                </c:pt>
                <c:pt idx="90">
                  <c:v>98.279038099708615</c:v>
                </c:pt>
                <c:pt idx="91">
                  <c:v>97.845666809263761</c:v>
                </c:pt>
                <c:pt idx="92">
                  <c:v>97.427857536104526</c:v>
                </c:pt>
                <c:pt idx="93">
                  <c:v>97.024860229461552</c:v>
                </c:pt>
                <c:pt idx="94">
                  <c:v>96.635939390896809</c:v>
                </c:pt>
                <c:pt idx="95">
                  <c:v>96.260374560230545</c:v>
                </c:pt>
                <c:pt idx="96">
                  <c:v>95.897460596736266</c:v>
                </c:pt>
                <c:pt idx="97">
                  <c:v>95.546507781625223</c:v>
                </c:pt>
                <c:pt idx="98">
                  <c:v>95.206841765195477</c:v>
                </c:pt>
                <c:pt idx="99">
                  <c:v>94.877803379529709</c:v>
                </c:pt>
                <c:pt idx="100">
                  <c:v>94.558748335311861</c:v>
                </c:pt>
                <c:pt idx="101">
                  <c:v>94.249046819193879</c:v>
                </c:pt>
                <c:pt idx="102">
                  <c:v>93.948083006190259</c:v>
                </c:pt>
                <c:pt idx="103">
                  <c:v>93.65525449979684</c:v>
                </c:pt>
                <c:pt idx="104">
                  <c:v>93.369971710921362</c:v>
                </c:pt>
                <c:pt idx="105">
                  <c:v>93.09165718526603</c:v>
                </c:pt>
                <c:pt idx="106">
                  <c:v>92.819744887505365</c:v>
                </c:pt>
                <c:pt idx="107">
                  <c:v>92.553679449449419</c:v>
                </c:pt>
                <c:pt idx="108">
                  <c:v>92.292915388358225</c:v>
                </c:pt>
                <c:pt idx="109">
                  <c:v>92.036916300670427</c:v>
                </c:pt>
                <c:pt idx="110">
                  <c:v>91.785154035617509</c:v>
                </c:pt>
                <c:pt idx="111">
                  <c:v>91.537107852503226</c:v>
                </c:pt>
                <c:pt idx="112">
                  <c:v>91.292263564829128</c:v>
                </c:pt>
                <c:pt idx="113">
                  <c:v>91.050112673933882</c:v>
                </c:pt>
                <c:pt idx="114">
                  <c:v>90.810151494375972</c:v>
                </c:pt>
                <c:pt idx="115">
                  <c:v>90.571880272925199</c:v>
                </c:pt>
                <c:pt idx="116">
                  <c:v>90.334802302728036</c:v>
                </c:pt>
                <c:pt idx="117">
                  <c:v>90.098423033973845</c:v>
                </c:pt>
                <c:pt idx="118">
                  <c:v>89.862249182207819</c:v>
                </c:pt>
                <c:pt idx="119">
                  <c:v>89.625787835311513</c:v>
                </c:pt>
                <c:pt idx="120">
                  <c:v>89.388545560097384</c:v>
                </c:pt>
                <c:pt idx="121">
                  <c:v>89.150027509444314</c:v>
                </c:pt>
                <c:pt idx="122">
                  <c:v>88.909736530928541</c:v>
                </c:pt>
                <c:pt idx="123">
                  <c:v>88.667172277989053</c:v>
                </c:pt>
                <c:pt idx="124">
                  <c:v>88.421830324798336</c:v>
                </c:pt>
                <c:pt idx="125">
                  <c:v>88.173201286202342</c:v>
                </c:pt>
                <c:pt idx="126">
                  <c:v>87.92076994433944</c:v>
                </c:pt>
                <c:pt idx="127">
                  <c:v>87.664014383859652</c:v>
                </c:pt>
                <c:pt idx="128">
                  <c:v>87.402405138042738</c:v>
                </c:pt>
                <c:pt idx="129">
                  <c:v>87.135404348561053</c:v>
                </c:pt>
                <c:pt idx="130">
                  <c:v>86.862464942163157</c:v>
                </c:pt>
                <c:pt idx="131">
                  <c:v>86.58302982816538</c:v>
                </c:pt>
                <c:pt idx="132">
                  <c:v>86.296531121347826</c:v>
                </c:pt>
                <c:pt idx="133">
                  <c:v>86.002389395659947</c:v>
                </c:pt>
                <c:pt idx="134">
                  <c:v>85.700012975062947</c:v>
                </c:pt>
                <c:pt idx="135">
                  <c:v>85.388797268882968</c:v>
                </c:pt>
                <c:pt idx="136">
                  <c:v>85.068124160222808</c:v>
                </c:pt>
                <c:pt idx="137">
                  <c:v>84.737361457303493</c:v>
                </c:pt>
                <c:pt idx="138">
                  <c:v>84.395862419079094</c:v>
                </c:pt>
                <c:pt idx="139">
                  <c:v>84.042965368106081</c:v>
                </c:pt>
                <c:pt idx="140">
                  <c:v>83.677993405457812</c:v>
                </c:pt>
                <c:pt idx="141">
                  <c:v>83.300254244458486</c:v>
                </c:pt>
                <c:pt idx="142">
                  <c:v>82.909040182180462</c:v>
                </c:pt>
                <c:pt idx="143">
                  <c:v>82.503628229991108</c:v>
                </c:pt>
                <c:pt idx="144">
                  <c:v>82.083280426954687</c:v>
                </c:pt>
                <c:pt idx="145">
                  <c:v>81.64724436256661</c:v>
                </c:pt>
                <c:pt idx="146">
                  <c:v>81.194753938100902</c:v>
                </c:pt>
                <c:pt idx="147">
                  <c:v>80.72503039875015</c:v>
                </c:pt>
                <c:pt idx="148">
                  <c:v>80.237283671670752</c:v>
                </c:pt>
                <c:pt idx="149">
                  <c:v>79.730714047948325</c:v>
                </c:pt>
                <c:pt idx="150">
                  <c:v>79.204514249267035</c:v>
                </c:pt>
                <c:pt idx="151">
                  <c:v>78.657871922582871</c:v>
                </c:pt>
                <c:pt idx="152">
                  <c:v>78.089972608203226</c:v>
                </c:pt>
                <c:pt idx="153">
                  <c:v>77.500003228179992</c:v>
                </c:pt>
                <c:pt idx="154">
                  <c:v>76.88715614259192</c:v>
                </c:pt>
                <c:pt idx="155">
                  <c:v>76.250633820858269</c:v>
                </c:pt>
                <c:pt idx="156">
                  <c:v>75.589654173363471</c:v>
                </c:pt>
                <c:pt idx="157">
                  <c:v>74.903456585038811</c:v>
                </c:pt>
                <c:pt idx="158">
                  <c:v>74.191308686722763</c:v>
                </c:pt>
                <c:pt idx="159">
                  <c:v>73.452513891705451</c:v>
                </c:pt>
                <c:pt idx="160">
                  <c:v>72.686419713397584</c:v>
                </c:pt>
                <c:pt idx="161">
                  <c:v>71.892426865135576</c:v>
                </c:pt>
                <c:pt idx="162">
                  <c:v>71.069999124344861</c:v>
                </c:pt>
                <c:pt idx="163">
                  <c:v>70.218673920334069</c:v>
                </c:pt>
                <c:pt idx="164">
                  <c:v>69.338073577702929</c:v>
                </c:pt>
                <c:pt idx="165">
                  <c:v>68.427917115740769</c:v>
                </c:pt>
                <c:pt idx="166">
                  <c:v>67.48803246853241</c:v>
                </c:pt>
                <c:pt idx="167">
                  <c:v>66.518368951399012</c:v>
                </c:pt>
                <c:pt idx="168">
                  <c:v>65.519009757752087</c:v>
                </c:pt>
                <c:pt idx="169">
                  <c:v>64.490184227907449</c:v>
                </c:pt>
                <c:pt idx="170">
                  <c:v>63.432279589811074</c:v>
                </c:pt>
                <c:pt idx="171">
                  <c:v>62.345851833382397</c:v>
                </c:pt>
                <c:pt idx="172">
                  <c:v>61.231635348164616</c:v>
                </c:pt>
                <c:pt idx="173">
                  <c:v>60.09055093132551</c:v>
                </c:pt>
                <c:pt idx="174">
                  <c:v>58.923711763140929</c:v>
                </c:pt>
                <c:pt idx="175">
                  <c:v>57.732426953119429</c:v>
                </c:pt>
                <c:pt idx="176">
                  <c:v>56.518202284741136</c:v>
                </c:pt>
                <c:pt idx="177">
                  <c:v>55.282737832413488</c:v>
                </c:pt>
                <c:pt idx="178">
                  <c:v>54.027922191676168</c:v>
                </c:pt>
                <c:pt idx="179">
                  <c:v>52.75582315237537</c:v>
                </c:pt>
                <c:pt idx="180">
                  <c:v>51.468674752291861</c:v>
                </c:pt>
                <c:pt idx="181">
                  <c:v>50.168860771552943</c:v>
                </c:pt>
                <c:pt idx="182">
                  <c:v>48.858894860357395</c:v>
                </c:pt>
                <c:pt idx="183">
                  <c:v>47.541397626963516</c:v>
                </c:pt>
                <c:pt idx="184">
                  <c:v>46.219071141423512</c:v>
                </c:pt>
                <c:pt idx="185">
                  <c:v>44.894671424804073</c:v>
                </c:pt>
                <c:pt idx="186">
                  <c:v>43.570979585742407</c:v>
                </c:pt>
                <c:pt idx="187">
                  <c:v>42.250772329453554</c:v>
                </c:pt>
                <c:pt idx="188">
                  <c:v>40.936792594076508</c:v>
                </c:pt>
                <c:pt idx="189">
                  <c:v>39.631721063253167</c:v>
                </c:pt>
                <c:pt idx="190">
                  <c:v>38.33814926253163</c:v>
                </c:pt>
                <c:pt idx="191">
                  <c:v>37.058554873690298</c:v>
                </c:pt>
                <c:pt idx="192">
                  <c:v>35.795279800787</c:v>
                </c:pt>
                <c:pt idx="193">
                  <c:v>34.550511401809217</c:v>
                </c:pt>
                <c:pt idx="194">
                  <c:v>33.326267168383367</c:v>
                </c:pt>
                <c:pt idx="195">
                  <c:v>32.124383001460984</c:v>
                </c:pt>
                <c:pt idx="196">
                  <c:v>30.946505101085876</c:v>
                </c:pt>
                <c:pt idx="197">
                  <c:v>29.794085369976557</c:v>
                </c:pt>
                <c:pt idx="198">
                  <c:v>28.668380128895109</c:v>
                </c:pt>
                <c:pt idx="199">
                  <c:v>27.570451860011133</c:v>
                </c:pt>
                <c:pt idx="200">
                  <c:v>26.50117363433057</c:v>
                </c:pt>
                <c:pt idx="201">
                  <c:v>25.461235840723873</c:v>
                </c:pt>
                <c:pt idx="202">
                  <c:v>24.451154815820189</c:v>
                </c:pt>
                <c:pt idx="203">
                  <c:v>23.471282973652137</c:v>
                </c:pt>
                <c:pt idx="204">
                  <c:v>22.521820048468612</c:v>
                </c:pt>
                <c:pt idx="205">
                  <c:v>21.602825090265583</c:v>
                </c:pt>
                <c:pt idx="206">
                  <c:v>20.714228887030345</c:v>
                </c:pt>
                <c:pt idx="207">
                  <c:v>19.855846527348177</c:v>
                </c:pt>
                <c:pt idx="208">
                  <c:v>19.0273898591891</c:v>
                </c:pt>
                <c:pt idx="209">
                  <c:v>18.228479643085109</c:v>
                </c:pt>
                <c:pt idx="210">
                  <c:v>17.458657238790806</c:v>
                </c:pt>
                <c:pt idx="211">
                  <c:v>16.717395702555507</c:v>
                </c:pt>
                <c:pt idx="212">
                  <c:v>16.004110206511569</c:v>
                </c:pt>
                <c:pt idx="213">
                  <c:v>15.318167721868178</c:v>
                </c:pt>
                <c:pt idx="214">
                  <c:v>14.658895933446075</c:v>
                </c:pt>
                <c:pt idx="215">
                  <c:v>14.025591374635326</c:v>
                </c:pt>
                <c:pt idx="216">
                  <c:v>13.417526789325677</c:v>
                </c:pt>
                <c:pt idx="217">
                  <c:v>12.833957741104882</c:v>
                </c:pt>
                <c:pt idx="218">
                  <c:v>12.274128500421341</c:v>
                </c:pt>
                <c:pt idx="219">
                  <c:v>11.737277247928262</c:v>
                </c:pt>
                <c:pt idx="220">
                  <c:v>11.222640637278118</c:v>
                </c:pt>
                <c:pt idx="221">
                  <c:v>10.729457763651993</c:v>
                </c:pt>
                <c:pt idx="222">
                  <c:v>10.256973585662536</c:v>
                </c:pt>
                <c:pt idx="223">
                  <c:v>9.8044418483142977</c:v>
                </c:pt>
                <c:pt idx="224">
                  <c:v>9.3711275537380629</c:v>
                </c:pt>
                <c:pt idx="225">
                  <c:v>8.9563090247009143</c:v>
                </c:pt>
                <c:pt idx="226">
                  <c:v>8.5592796036402774</c:v>
                </c:pt>
                <c:pt idx="227">
                  <c:v>8.1793490273671523</c:v>
                </c:pt>
                <c:pt idx="228">
                  <c:v>7.8158445147664111</c:v>
                </c:pt>
                <c:pt idx="229">
                  <c:v>7.4681116019104934</c:v>
                </c:pt>
                <c:pt idx="230">
                  <c:v>7.1355147560839214</c:v>
                </c:pt>
                <c:pt idx="231">
                  <c:v>6.8174377973529658</c:v>
                </c:pt>
                <c:pt idx="232">
                  <c:v>6.5132841535616137</c:v>
                </c:pt>
                <c:pt idx="233">
                  <c:v>6.2224769720204449</c:v>
                </c:pt>
                <c:pt idx="234">
                  <c:v>5.9444591087014942</c:v>
                </c:pt>
                <c:pt idx="235">
                  <c:v>5.6786930134748559</c:v>
                </c:pt>
                <c:pt idx="236">
                  <c:v>5.424660527822482</c:v>
                </c:pt>
                <c:pt idx="237">
                  <c:v>5.1818626095439981</c:v>
                </c:pt>
                <c:pt idx="238">
                  <c:v>4.9498189972248952</c:v>
                </c:pt>
                <c:pt idx="239">
                  <c:v>4.7280678256547617</c:v>
                </c:pt>
                <c:pt idx="240">
                  <c:v>4.5161652019666008</c:v>
                </c:pt>
                <c:pt idx="241">
                  <c:v>4.3136847509915697</c:v>
                </c:pt>
                <c:pt idx="242">
                  <c:v>4.1202171371899112</c:v>
                </c:pt>
                <c:pt idx="243">
                  <c:v>3.9353695695065483</c:v>
                </c:pt>
                <c:pt idx="244">
                  <c:v>3.7587652946062633</c:v>
                </c:pt>
                <c:pt idx="245">
                  <c:v>3.590043083150988</c:v>
                </c:pt>
                <c:pt idx="246">
                  <c:v>3.4288567130852527</c:v>
                </c:pt>
                <c:pt idx="247">
                  <c:v>3.2748744532848377</c:v>
                </c:pt>
                <c:pt idx="248">
                  <c:v>3.1277785503859263</c:v>
                </c:pt>
                <c:pt idx="249">
                  <c:v>2.9872647211447543</c:v>
                </c:pt>
                <c:pt idx="250">
                  <c:v>2.853041652269809</c:v>
                </c:pt>
                <c:pt idx="251">
                  <c:v>2.7248305093125396</c:v>
                </c:pt>
                <c:pt idx="252">
                  <c:v>2.6023644558978845</c:v>
                </c:pt>
                <c:pt idx="253">
                  <c:v>2.4853881843070269</c:v>
                </c:pt>
                <c:pt idx="254">
                  <c:v>2.373657458199574</c:v>
                </c:pt>
                <c:pt idx="255">
                  <c:v>2.2669386680629202</c:v>
                </c:pt>
                <c:pt idx="256">
                  <c:v>2.1650083998108016</c:v>
                </c:pt>
                <c:pt idx="257">
                  <c:v>2.0676530168083218</c:v>
                </c:pt>
                <c:pt idx="258">
                  <c:v>1.9746682554798554</c:v>
                </c:pt>
                <c:pt idx="259">
                  <c:v>1.8858588345536305</c:v>
                </c:pt>
                <c:pt idx="260">
                  <c:v>1.8010380779098796</c:v>
                </c:pt>
                <c:pt idx="261">
                  <c:v>1.7200275509289042</c:v>
                </c:pt>
                <c:pt idx="262">
                  <c:v>1.6426567101739238</c:v>
                </c:pt>
                <c:pt idx="263">
                  <c:v>1.5687625661966251</c:v>
                </c:pt>
                <c:pt idx="264">
                  <c:v>1.4981893592126312</c:v>
                </c:pt>
                <c:pt idx="265">
                  <c:v>1.4307882473625568</c:v>
                </c:pt>
                <c:pt idx="266">
                  <c:v>1.3664170072503055</c:v>
                </c:pt>
                <c:pt idx="267">
                  <c:v>1.3049397464299375</c:v>
                </c:pt>
                <c:pt idx="268">
                  <c:v>1.2462266275003344</c:v>
                </c:pt>
                <c:pt idx="269">
                  <c:v>1.1901536034553999</c:v>
                </c:pt>
                <c:pt idx="270">
                  <c:v>1.1366021639329631</c:v>
                </c:pt>
                <c:pt idx="271">
                  <c:v>1.0854590920014289</c:v>
                </c:pt>
                <c:pt idx="272">
                  <c:v>1.0366162311236735</c:v>
                </c:pt>
                <c:pt idx="273">
                  <c:v>0.9899702619388222</c:v>
                </c:pt>
                <c:pt idx="274">
                  <c:v>0.94542248850638089</c:v>
                </c:pt>
                <c:pt idx="275">
                  <c:v>0.90287863366162924</c:v>
                </c:pt>
                <c:pt idx="276">
                  <c:v>0.86224864313811622</c:v>
                </c:pt>
                <c:pt idx="277">
                  <c:v>0.82344649811952308</c:v>
                </c:pt>
                <c:pt idx="278">
                  <c:v>0.78639003589151457</c:v>
                </c:pt>
                <c:pt idx="279">
                  <c:v>0.75100077827175937</c:v>
                </c:pt>
                <c:pt idx="280">
                  <c:v>0.71720376750656101</c:v>
                </c:pt>
                <c:pt idx="281">
                  <c:v>0.68492740933061214</c:v>
                </c:pt>
                <c:pt idx="282">
                  <c:v>0.65410332289619078</c:v>
                </c:pt>
                <c:pt idx="283">
                  <c:v>0.62466619728735395</c:v>
                </c:pt>
                <c:pt idx="284">
                  <c:v>0.59655365434542773</c:v>
                </c:pt>
                <c:pt idx="285">
                  <c:v>0.56970611753939693</c:v>
                </c:pt>
                <c:pt idx="286">
                  <c:v>0.54406668662687707</c:v>
                </c:pt>
                <c:pt idx="287">
                  <c:v>0.51958101785874078</c:v>
                </c:pt>
                <c:pt idx="288">
                  <c:v>0.49619720949050361</c:v>
                </c:pt>
                <c:pt idx="289">
                  <c:v>0.47386569237303888</c:v>
                </c:pt>
                <c:pt idx="290">
                  <c:v>0.45253912540277952</c:v>
                </c:pt>
                <c:pt idx="291">
                  <c:v>0.43217229562168313</c:v>
                </c:pt>
                <c:pt idx="292">
                  <c:v>0.41272202276454095</c:v>
                </c:pt>
                <c:pt idx="293">
                  <c:v>0.39414706805990818</c:v>
                </c:pt>
                <c:pt idx="294">
                  <c:v>0.37640804709835152</c:v>
                </c:pt>
                <c:pt idx="295">
                  <c:v>0.35946734659046342</c:v>
                </c:pt>
                <c:pt idx="296">
                  <c:v>0.34328904484289069</c:v>
                </c:pt>
                <c:pt idx="297">
                  <c:v>0.32783883578929363</c:v>
                </c:pt>
                <c:pt idx="298">
                  <c:v>0.31308395641906372</c:v>
                </c:pt>
                <c:pt idx="299">
                  <c:v>0.29899311745373325</c:v>
                </c:pt>
                <c:pt idx="300">
                  <c:v>0.285536437127206</c:v>
                </c:pt>
                <c:pt idx="301">
                  <c:v>0.27268537793253245</c:v>
                </c:pt>
                <c:pt idx="302">
                  <c:v>0.26041268620292612</c:v>
                </c:pt>
                <c:pt idx="303">
                  <c:v>0.24869233440176686</c:v>
                </c:pt>
                <c:pt idx="304">
                  <c:v>0.23749946600031535</c:v>
                </c:pt>
                <c:pt idx="305">
                  <c:v>0.22681034282854284</c:v>
                </c:pt>
                <c:pt idx="306">
                  <c:v>0.2166022947882027</c:v>
                </c:pt>
                <c:pt idx="307">
                  <c:v>0.20685367182340997</c:v>
                </c:pt>
                <c:pt idx="308">
                  <c:v>0.19754379804714972</c:v>
                </c:pt>
                <c:pt idx="309">
                  <c:v>0.18865292792807509</c:v>
                </c:pt>
                <c:pt idx="310">
                  <c:v>0.18016220444491182</c:v>
                </c:pt>
                <c:pt idx="311">
                  <c:v>0.17205361912098738</c:v>
                </c:pt>
                <c:pt idx="312">
                  <c:v>0.16430997385398882</c:v>
                </c:pt>
                <c:pt idx="313">
                  <c:v>0.15691484446151094</c:v>
                </c:pt>
                <c:pt idx="314">
                  <c:v>0.14985254586451902</c:v>
                </c:pt>
                <c:pt idx="315">
                  <c:v>0.14310809883596676</c:v>
                </c:pt>
                <c:pt idx="316">
                  <c:v>0.13666719824436768</c:v>
                </c:pt>
                <c:pt idx="317">
                  <c:v>0.13051618272470478</c:v>
                </c:pt>
                <c:pt idx="318">
                  <c:v>0.12464200571344008</c:v>
                </c:pt>
                <c:pt idx="319">
                  <c:v>0.1190322077856365</c:v>
                </c:pt>
                <c:pt idx="320">
                  <c:v>0.11367489023641042</c:v>
                </c:pt>
                <c:pt idx="321">
                  <c:v>0.10855868985032657</c:v>
                </c:pt>
                <c:pt idx="322">
                  <c:v>0.1036727548055012</c:v>
                </c:pt>
                <c:pt idx="323">
                  <c:v>9.9006721661851316E-2</c:v>
                </c:pt>
                <c:pt idx="324">
                  <c:v>9.4550693384121587E-2</c:v>
                </c:pt>
                <c:pt idx="325">
                  <c:v>9.0295218353674045E-2</c:v>
                </c:pt>
                <c:pt idx="326">
                  <c:v>8.6231270324617526E-2</c:v>
                </c:pt>
                <c:pt idx="327">
                  <c:v>8.2350229281246357E-2</c:v>
                </c:pt>
                <c:pt idx="328">
                  <c:v>7.8643863157026317E-2</c:v>
                </c:pt>
                <c:pt idx="329">
                  <c:v>7.5104310376218564E-2</c:v>
                </c:pt>
                <c:pt idx="330">
                  <c:v>7.1724063180397479E-2</c:v>
                </c:pt>
                <c:pt idx="331">
                  <c:v>6.8495951705870084E-2</c:v>
                </c:pt>
                <c:pt idx="332">
                  <c:v>6.541312877703831E-2</c:v>
                </c:pt>
                <c:pt idx="333">
                  <c:v>6.2469055384326566E-2</c:v>
                </c:pt>
                <c:pt idx="334">
                  <c:v>5.9657486815268612E-2</c:v>
                </c:pt>
                <c:pt idx="335">
                  <c:v>5.6972459409962539E-2</c:v>
                </c:pt>
                <c:pt idx="336">
                  <c:v>5.4408277912244785E-2</c:v>
                </c:pt>
                <c:pt idx="337">
                  <c:v>5.1959503390349937E-2</c:v>
                </c:pt>
                <c:pt idx="338">
                  <c:v>4.9620941700879939E-2</c:v>
                </c:pt>
                <c:pt idx="339">
                  <c:v>4.7387632471924235E-2</c:v>
                </c:pt>
                <c:pt idx="340">
                  <c:v>4.5254838582252432E-2</c:v>
                </c:pt>
                <c:pt idx="341">
                  <c:v>4.3218036113700009E-2</c:v>
                </c:pt>
                <c:pt idx="342">
                  <c:v>4.1272904755601303E-2</c:v>
                </c:pt>
                <c:pt idx="343">
                  <c:v>3.941531864143144E-2</c:v>
                </c:pt>
                <c:pt idx="344">
                  <c:v>3.7641337597563052E-2</c:v>
                </c:pt>
                <c:pt idx="345">
                  <c:v>3.5947198785919454E-2</c:v>
                </c:pt>
                <c:pt idx="346">
                  <c:v>3.4329308722732321E-2</c:v>
                </c:pt>
                <c:pt idx="347">
                  <c:v>3.2784235656578176E-2</c:v>
                </c:pt>
                <c:pt idx="348">
                  <c:v>3.1308702289237544E-2</c:v>
                </c:pt>
                <c:pt idx="349">
                  <c:v>2.9899578824483797E-2</c:v>
                </c:pt>
                <c:pt idx="350">
                  <c:v>2.8553876329226568E-2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0BE-4476-831E-27428FC9F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73704"/>
        <c:axId val="540376328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0796782114987912"/>
              <c:y val="0.876000913588057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</c:valAx>
      <c:valAx>
        <c:axId val="540376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Margin (degrees)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73704"/>
        <c:crosses val="max"/>
        <c:crossBetween val="midCat"/>
        <c:minorUnit val="1"/>
      </c:valAx>
      <c:valAx>
        <c:axId val="54037370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037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'Phase Margin Example'!$M$3:$M$353</c:f>
              <c:numCache>
                <c:formatCode>General</c:formatCode>
                <c:ptCount val="351"/>
                <c:pt idx="0">
                  <c:v>0.19999999191482001</c:v>
                </c:pt>
                <c:pt idx="1">
                  <c:v>0.19999999113477701</c:v>
                </c:pt>
                <c:pt idx="2">
                  <c:v>0.19999999027947599</c:v>
                </c:pt>
                <c:pt idx="3">
                  <c:v>0.199999989341658</c:v>
                </c:pt>
                <c:pt idx="4">
                  <c:v>0.19999998831335999</c:v>
                </c:pt>
                <c:pt idx="5">
                  <c:v>0.19999998718585399</c:v>
                </c:pt>
                <c:pt idx="6">
                  <c:v>0.199999985949569</c:v>
                </c:pt>
                <c:pt idx="7">
                  <c:v>0.199999984594008</c:v>
                </c:pt>
                <c:pt idx="8">
                  <c:v>0.19999998310766601</c:v>
                </c:pt>
                <c:pt idx="9">
                  <c:v>0.199999981477925</c:v>
                </c:pt>
                <c:pt idx="10">
                  <c:v>0.19999997969094799</c:v>
                </c:pt>
                <c:pt idx="11">
                  <c:v>0.199999977731568</c:v>
                </c:pt>
                <c:pt idx="12">
                  <c:v>0.19999997558315</c:v>
                </c:pt>
                <c:pt idx="13">
                  <c:v>0.199999973227457</c:v>
                </c:pt>
                <c:pt idx="14">
                  <c:v>0.19999997064448999</c:v>
                </c:pt>
                <c:pt idx="15">
                  <c:v>0.19999996781232399</c:v>
                </c:pt>
                <c:pt idx="16">
                  <c:v>0.199999964706916</c:v>
                </c:pt>
                <c:pt idx="17">
                  <c:v>0.19999996130190301</c:v>
                </c:pt>
                <c:pt idx="18">
                  <c:v>0.19999995756838199</c:v>
                </c:pt>
                <c:pt idx="19">
                  <c:v>0.19999995347465699</c:v>
                </c:pt>
                <c:pt idx="20">
                  <c:v>0.19999994898597601</c:v>
                </c:pt>
                <c:pt idx="21">
                  <c:v>0.19999994406423699</c:v>
                </c:pt>
                <c:pt idx="22">
                  <c:v>0.199999938667657</c:v>
                </c:pt>
                <c:pt idx="23">
                  <c:v>0.19999993275042499</c:v>
                </c:pt>
                <c:pt idx="24">
                  <c:v>0.19999992626231</c:v>
                </c:pt>
                <c:pt idx="25">
                  <c:v>0.19999991914823301</c:v>
                </c:pt>
                <c:pt idx="26">
                  <c:v>0.19999991134780401</c:v>
                </c:pt>
                <c:pt idx="27">
                  <c:v>0.19999990279480501</c:v>
                </c:pt>
                <c:pt idx="28">
                  <c:v>0.19999989341662799</c:v>
                </c:pt>
                <c:pt idx="29">
                  <c:v>0.19999988313366199</c:v>
                </c:pt>
                <c:pt idx="30">
                  <c:v>0.19999987185861601</c:v>
                </c:pt>
                <c:pt idx="31">
                  <c:v>0.19999985949577501</c:v>
                </c:pt>
                <c:pt idx="32">
                  <c:v>0.19999984594019099</c:v>
                </c:pt>
                <c:pt idx="33">
                  <c:v>0.19999983107679101</c:v>
                </c:pt>
                <c:pt idx="34">
                  <c:v>0.19999981477939999</c:v>
                </c:pt>
                <c:pt idx="35">
                  <c:v>0.19999979690966899</c:v>
                </c:pt>
                <c:pt idx="36">
                  <c:v>0.19999977731590199</c:v>
                </c:pt>
                <c:pt idx="37">
                  <c:v>0.19999975583176799</c:v>
                </c:pt>
                <c:pt idx="38">
                  <c:v>0.19999973227488901</c:v>
                </c:pt>
                <c:pt idx="39">
                  <c:v>0.199999706445291</c:v>
                </c:pt>
                <c:pt idx="40">
                  <c:v>0.199999678123708</c:v>
                </c:pt>
                <c:pt idx="41">
                  <c:v>0.19999964706971801</c:v>
                </c:pt>
                <c:pt idx="42">
                  <c:v>0.19999961301970701</c:v>
                </c:pt>
                <c:pt idx="43">
                  <c:v>0.19999957568462601</c:v>
                </c:pt>
                <c:pt idx="44">
                  <c:v>0.19999953474753901</c:v>
                </c:pt>
                <c:pt idx="45">
                  <c:v>0.19999948986093599</c:v>
                </c:pt>
                <c:pt idx="46">
                  <c:v>0.199999440643777</c:v>
                </c:pt>
                <c:pt idx="47">
                  <c:v>0.199999386678263</c:v>
                </c:pt>
                <c:pt idx="48">
                  <c:v>0.19999932750628699</c:v>
                </c:pt>
                <c:pt idx="49">
                  <c:v>0.19999926262554599</c:v>
                </c:pt>
                <c:pt idx="50">
                  <c:v>0.19999919148527601</c:v>
                </c:pt>
                <c:pt idx="51">
                  <c:v>0.19999911348158</c:v>
                </c:pt>
                <c:pt idx="52">
                  <c:v>0.19999902795229699</c:v>
                </c:pt>
                <c:pt idx="53">
                  <c:v>0.199998934171388</c:v>
                </c:pt>
                <c:pt idx="54">
                  <c:v>0.199998831342767</c:v>
                </c:pt>
                <c:pt idx="55">
                  <c:v>0.19999871859354801</c:v>
                </c:pt>
                <c:pt idx="56">
                  <c:v>0.199998594966633</c:v>
                </c:pt>
                <c:pt idx="57">
                  <c:v>0.199998459412593</c:v>
                </c:pt>
                <c:pt idx="58">
                  <c:v>0.199998310780754</c:v>
                </c:pt>
                <c:pt idx="59">
                  <c:v>0.199998147809437</c:v>
                </c:pt>
                <c:pt idx="60">
                  <c:v>0.199997969115248</c:v>
                </c:pt>
                <c:pt idx="61">
                  <c:v>0.19999777318133199</c:v>
                </c:pt>
                <c:pt idx="62">
                  <c:v>0.199997558344506</c:v>
                </c:pt>
                <c:pt idx="63">
                  <c:v>0.19999732278114199</c:v>
                </c:pt>
                <c:pt idx="64">
                  <c:v>0.199997064491687</c:v>
                </c:pt>
                <c:pt idx="65">
                  <c:v>0.19999678128369799</c:v>
                </c:pt>
                <c:pt idx="66">
                  <c:v>0.19999647075323501</c:v>
                </c:pt>
                <c:pt idx="67">
                  <c:v>0.199996130264462</c:v>
                </c:pt>
                <c:pt idx="68">
                  <c:v>0.199995756927278</c:v>
                </c:pt>
                <c:pt idx="69">
                  <c:v>0.19999534757279799</c:v>
                </c:pt>
                <c:pt idx="70">
                  <c:v>0.19999489872646301</c:v>
                </c:pt>
                <c:pt idx="71">
                  <c:v>0.19999440657855799</c:v>
                </c:pt>
                <c:pt idx="72">
                  <c:v>0.199993866951896</c:v>
                </c:pt>
                <c:pt idx="73">
                  <c:v>0.19999327526637301</c:v>
                </c:pt>
                <c:pt idx="74">
                  <c:v>0.19999262650012201</c:v>
                </c:pt>
                <c:pt idx="75">
                  <c:v>0.199991915146912</c:v>
                </c:pt>
                <c:pt idx="76">
                  <c:v>0.199991135169443</c:v>
                </c:pt>
                <c:pt idx="77">
                  <c:v>0.199990279948148</c:v>
                </c:pt>
                <c:pt idx="78">
                  <c:v>0.19998934222505199</c:v>
                </c:pt>
                <c:pt idx="79">
                  <c:v>0.19998831404223</c:v>
                </c:pt>
                <c:pt idx="80">
                  <c:v>0.19998718667433599</c:v>
                </c:pt>
                <c:pt idx="81">
                  <c:v>0.19998595055462901</c:v>
                </c:pt>
                <c:pt idx="82">
                  <c:v>0.19998459519388601</c:v>
                </c:pt>
                <c:pt idx="83">
                  <c:v>0.199983109091499</c:v>
                </c:pt>
                <c:pt idx="84">
                  <c:v>0.19998147963801999</c:v>
                </c:pt>
                <c:pt idx="85">
                  <c:v>0.19997969300832799</c:v>
                </c:pt>
                <c:pt idx="86">
                  <c:v>0.19997773404451799</c:v>
                </c:pt>
                <c:pt idx="87">
                  <c:v>0.199975586127524</c:v>
                </c:pt>
                <c:pt idx="88">
                  <c:v>0.19997323103640599</c:v>
                </c:pt>
                <c:pt idx="89">
                  <c:v>0.19997064879410101</c:v>
                </c:pt>
                <c:pt idx="90">
                  <c:v>0.19996781749836501</c:v>
                </c:pt>
                <c:pt idx="91">
                  <c:v>0.19996471313647299</c:v>
                </c:pt>
                <c:pt idx="92">
                  <c:v>0.199961309382127</c:v>
                </c:pt>
                <c:pt idx="93">
                  <c:v>0.199957577372883</c:v>
                </c:pt>
                <c:pt idx="94">
                  <c:v>0.19995348546623001</c:v>
                </c:pt>
                <c:pt idx="95">
                  <c:v>0.19994899897228799</c:v>
                </c:pt>
                <c:pt idx="96">
                  <c:v>0.19994407986090401</c:v>
                </c:pt>
                <c:pt idx="97">
                  <c:v>0.199938686440712</c:v>
                </c:pt>
                <c:pt idx="98">
                  <c:v>0.19993277300749299</c:v>
                </c:pt>
                <c:pt idx="99">
                  <c:v>0.19992628945893401</c:v>
                </c:pt>
                <c:pt idx="100">
                  <c:v>0.19991918087260599</c:v>
                </c:pt>
                <c:pt idx="101">
                  <c:v>0.199911387043682</c:v>
                </c:pt>
                <c:pt idx="102">
                  <c:v>0.19990284197862801</c:v>
                </c:pt>
                <c:pt idx="103">
                  <c:v>0.19989347334069299</c:v>
                </c:pt>
                <c:pt idx="104">
                  <c:v>0.19988320184272701</c:v>
                </c:pt>
                <c:pt idx="105">
                  <c:v>0.19987194058237201</c:v>
                </c:pt>
                <c:pt idx="106">
                  <c:v>0.19985959431428099</c:v>
                </c:pt>
                <c:pt idx="107">
                  <c:v>0.19984605865350899</c:v>
                </c:pt>
                <c:pt idx="108">
                  <c:v>0.19983121920373501</c:v>
                </c:pt>
                <c:pt idx="109">
                  <c:v>0.199814950603382</c:v>
                </c:pt>
                <c:pt idx="110">
                  <c:v>0.19979711548212001</c:v>
                </c:pt>
                <c:pt idx="111">
                  <c:v>0.19977756331961299</c:v>
                </c:pt>
                <c:pt idx="112">
                  <c:v>0.19975612919762301</c:v>
                </c:pt>
                <c:pt idx="113">
                  <c:v>0.19973263243592601</c:v>
                </c:pt>
                <c:pt idx="114">
                  <c:v>0.19970687510162599</c:v>
                </c:pt>
                <c:pt idx="115">
                  <c:v>0.19967864038069599</c:v>
                </c:pt>
                <c:pt idx="116">
                  <c:v>0.19964769079962999</c:v>
                </c:pt>
                <c:pt idx="117">
                  <c:v>0.19961376628421501</c:v>
                </c:pt>
                <c:pt idx="118">
                  <c:v>0.19957658204142301</c:v>
                </c:pt>
                <c:pt idx="119">
                  <c:v>0.19953582624944799</c:v>
                </c:pt>
                <c:pt idx="120">
                  <c:v>0.19949115753985699</c:v>
                </c:pt>
                <c:pt idx="121">
                  <c:v>0.19944220225478199</c:v>
                </c:pt>
                <c:pt idx="122">
                  <c:v>0.19938855146100501</c:v>
                </c:pt>
                <c:pt idx="123">
                  <c:v>0.19932975770176001</c:v>
                </c:pt>
                <c:pt idx="124">
                  <c:v>0.19926533146602499</c:v>
                </c:pt>
                <c:pt idx="125">
                  <c:v>0.199194737354152</c:v>
                </c:pt>
                <c:pt idx="126">
                  <c:v>0.199117389917814</c:v>
                </c:pt>
                <c:pt idx="127">
                  <c:v>0.19903264915152499</c:v>
                </c:pt>
                <c:pt idx="128">
                  <c:v>0.19893981561247401</c:v>
                </c:pt>
                <c:pt idx="129">
                  <c:v>0.198838125145159</c:v>
                </c:pt>
                <c:pt idx="130">
                  <c:v>0.198726743187389</c:v>
                </c:pt>
                <c:pt idx="131">
                  <c:v>0.19860475863473501</c:v>
                </c:pt>
                <c:pt idx="132">
                  <c:v>0.198471177241616</c:v>
                </c:pt>
                <c:pt idx="133">
                  <c:v>0.19832491453896001</c:v>
                </c:pt>
                <c:pt idx="134">
                  <c:v>0.19816478825102299</c:v>
                </c:pt>
                <c:pt idx="135">
                  <c:v>0.19798951019764499</c:v>
                </c:pt>
                <c:pt idx="136">
                  <c:v>0.197797677673165</c:v>
                </c:pt>
                <c:pt idx="137">
                  <c:v>0.19758776429973901</c:v>
                </c:pt>
                <c:pt idx="138">
                  <c:v>0.19735811036113399</c:v>
                </c:pt>
                <c:pt idx="139">
                  <c:v>0.19710691263357</c:v>
                </c:pt>
                <c:pt idx="140">
                  <c:v>0.19683221374330301</c:v>
                </c:pt>
                <c:pt idx="141">
                  <c:v>0.196531891096654</c:v>
                </c:pt>
                <c:pt idx="142">
                  <c:v>0.19620364544778299</c:v>
                </c:pt>
                <c:pt idx="143">
                  <c:v>0.19584498919295401</c:v>
                </c:pt>
                <c:pt idx="144">
                  <c:v>0.19545323450808999</c:v>
                </c:pt>
                <c:pt idx="145">
                  <c:v>0.195025481479464</c:v>
                </c:pt>
                <c:pt idx="146">
                  <c:v>0.19455860641605399</c:v>
                </c:pt>
                <c:pt idx="147">
                  <c:v>0.19404925057687999</c:v>
                </c:pt>
                <c:pt idx="148">
                  <c:v>0.19349380959795601</c:v>
                </c:pt>
                <c:pt idx="149">
                  <c:v>0.19288842396165701</c:v>
                </c:pt>
                <c:pt idx="150">
                  <c:v>0.19222897091635999</c:v>
                </c:pt>
                <c:pt idx="151">
                  <c:v>0.19151105832602799</c:v>
                </c:pt>
                <c:pt idx="152">
                  <c:v>0.19073002100723099</c:v>
                </c:pt>
                <c:pt idx="153">
                  <c:v>0.18988092019392899</c:v>
                </c:pt>
                <c:pt idx="154">
                  <c:v>0.18895854685617899</c:v>
                </c:pt>
                <c:pt idx="155">
                  <c:v>0.187957429685148</c:v>
                </c:pt>
                <c:pt idx="156">
                  <c:v>0.186871848639585</c:v>
                </c:pt>
                <c:pt idx="157">
                  <c:v>0.18569585502324701</c:v>
                </c:pt>
                <c:pt idx="158">
                  <c:v>0.18442329912230501</c:v>
                </c:pt>
                <c:pt idx="159">
                  <c:v>0.18304786646846299</c:v>
                </c:pt>
                <c:pt idx="160">
                  <c:v>0.181563123798059</c:v>
                </c:pt>
                <c:pt idx="161">
                  <c:v>0.17996257573867999</c:v>
                </c:pt>
                <c:pt idx="162">
                  <c:v>0.178239733160659</c:v>
                </c:pt>
                <c:pt idx="163">
                  <c:v>0.176388193968292</c:v>
                </c:pt>
                <c:pt idx="164">
                  <c:v>0.17440173686166599</c:v>
                </c:pt>
                <c:pt idx="165">
                  <c:v>0.172274428262885</c:v>
                </c:pt>
                <c:pt idx="166">
                  <c:v>0.17000074216080599</c:v>
                </c:pt>
                <c:pt idx="167">
                  <c:v>0.16757569208144199</c:v>
                </c:pt>
                <c:pt idx="168">
                  <c:v>0.164994973738356</c:v>
                </c:pt>
                <c:pt idx="169">
                  <c:v>0.162255116169295</c:v>
                </c:pt>
                <c:pt idx="170">
                  <c:v>0.15935363834309901</c:v>
                </c:pt>
                <c:pt idx="171">
                  <c:v>0.156289207358763</c:v>
                </c:pt>
                <c:pt idx="172">
                  <c:v>0.15306179350405899</c:v>
                </c:pt>
                <c:pt idx="173">
                  <c:v>0.14967281665532001</c:v>
                </c:pt>
                <c:pt idx="174">
                  <c:v>0.146125277855086</c:v>
                </c:pt>
                <c:pt idx="175">
                  <c:v>0.14242386947951699</c:v>
                </c:pt>
                <c:pt idx="176">
                  <c:v>0.13857505728271699</c:v>
                </c:pt>
                <c:pt idx="177">
                  <c:v>0.13458712785228399</c:v>
                </c:pt>
                <c:pt idx="178">
                  <c:v>0.13047019568408599</c:v>
                </c:pt>
                <c:pt idx="179">
                  <c:v>0.126236165210798</c:v>
                </c:pt>
                <c:pt idx="180">
                  <c:v>0.12189864468789</c:v>
                </c:pt>
                <c:pt idx="181">
                  <c:v>0.11747281079897599</c:v>
                </c:pt>
                <c:pt idx="182">
                  <c:v>0.112975225091313</c:v>
                </c:pt>
                <c:pt idx="183">
                  <c:v>0.108423605752414</c:v>
                </c:pt>
                <c:pt idx="184">
                  <c:v>0.103836560619774</c:v>
                </c:pt>
                <c:pt idx="185">
                  <c:v>9.9233289491817506E-2</c:v>
                </c:pt>
                <c:pt idx="186">
                  <c:v>9.4633265597851998E-2</c:v>
                </c:pt>
                <c:pt idx="187">
                  <c:v>9.0055907331246896E-2</c:v>
                </c:pt>
                <c:pt idx="188">
                  <c:v>8.5520251940841202E-2</c:v>
                </c:pt>
                <c:pt idx="189">
                  <c:v>8.1044642756348706E-2</c:v>
                </c:pt>
                <c:pt idx="190">
                  <c:v>7.6646440705284202E-2</c:v>
                </c:pt>
                <c:pt idx="191">
                  <c:v>7.2341769436584394E-2</c:v>
                </c:pt>
                <c:pt idx="192">
                  <c:v>6.8145301428708394E-2</c:v>
                </c:pt>
                <c:pt idx="193">
                  <c:v>6.4070090194832605E-2</c:v>
                </c:pt>
                <c:pt idx="194">
                  <c:v>6.0127451290114903E-2</c:v>
                </c:pt>
                <c:pt idx="195">
                  <c:v>5.6326892458538301E-2</c:v>
                </c:pt>
                <c:pt idx="196">
                  <c:v>5.2676091091144898E-2</c:v>
                </c:pt>
                <c:pt idx="197">
                  <c:v>4.9180915330066403E-2</c:v>
                </c:pt>
                <c:pt idx="198">
                  <c:v>4.5845483727269501E-2</c:v>
                </c:pt>
                <c:pt idx="199">
                  <c:v>4.26722573920068E-2</c:v>
                </c:pt>
                <c:pt idx="200">
                  <c:v>3.96621580338564E-2</c:v>
                </c:pt>
                <c:pt idx="201">
                  <c:v>3.6814705191990503E-2</c:v>
                </c:pt>
                <c:pt idx="202">
                  <c:v>3.4128166174600703E-2</c:v>
                </c:pt>
                <c:pt idx="203">
                  <c:v>3.1599712739461598E-2</c:v>
                </c:pt>
                <c:pt idx="204">
                  <c:v>2.9225579247011201E-2</c:v>
                </c:pt>
                <c:pt idx="205">
                  <c:v>2.70012178335149E-2</c:v>
                </c:pt>
                <c:pt idx="206">
                  <c:v>2.49214470150677E-2</c:v>
                </c:pt>
                <c:pt idx="207">
                  <c:v>2.29805909866461E-2</c:v>
                </c:pt>
                <c:pt idx="208">
                  <c:v>2.11726076810787E-2</c:v>
                </c:pt>
                <c:pt idx="209">
                  <c:v>1.9491204370953401E-2</c:v>
                </c:pt>
                <c:pt idx="210">
                  <c:v>1.79299402147272E-2</c:v>
                </c:pt>
                <c:pt idx="211">
                  <c:v>1.6482315659350402E-2</c:v>
                </c:pt>
                <c:pt idx="212">
                  <c:v>1.5141849016443E-2</c:v>
                </c:pt>
                <c:pt idx="213">
                  <c:v>1.39021408339472E-2</c:v>
                </c:pt>
                <c:pt idx="214">
                  <c:v>1.2756926900616999E-2</c:v>
                </c:pt>
                <c:pt idx="215">
                  <c:v>1.1700120859025101E-2</c:v>
                </c:pt>
                <c:pt idx="216">
                  <c:v>1.07258474770406E-2</c:v>
                </c:pt>
                <c:pt idx="217">
                  <c:v>9.82846765076845E-3</c:v>
                </c:pt>
                <c:pt idx="218">
                  <c:v>9.0025961955467193E-3</c:v>
                </c:pt>
                <c:pt idx="219">
                  <c:v>8.2431134363021401E-3</c:v>
                </c:pt>
                <c:pt idx="220">
                  <c:v>7.5451715433092698E-3</c:v>
                </c:pt>
                <c:pt idx="221">
                  <c:v>6.9041964816081098E-3</c:v>
                </c:pt>
                <c:pt idx="222">
                  <c:v>6.3158863579212202E-3</c:v>
                </c:pt>
                <c:pt idx="223">
                  <c:v>5.7762068624588004E-3</c:v>
                </c:pt>
                <c:pt idx="224">
                  <c:v>5.2813844179013802E-3</c:v>
                </c:pt>
                <c:pt idx="225">
                  <c:v>4.8278975665337403E-3</c:v>
                </c:pt>
                <c:pt idx="226">
                  <c:v>4.4124670505598399E-3</c:v>
                </c:pt>
                <c:pt idx="227">
                  <c:v>4.0320449710377496E-3</c:v>
                </c:pt>
                <c:pt idx="228">
                  <c:v>3.6838033480941501E-3</c:v>
                </c:pt>
                <c:pt idx="229">
                  <c:v>3.3651223492196301E-3</c:v>
                </c:pt>
                <c:pt idx="230">
                  <c:v>3.07357840333754E-3</c:v>
                </c:pt>
                <c:pt idx="231">
                  <c:v>2.8069323756416899E-3</c:v>
                </c:pt>
                <c:pt idx="232">
                  <c:v>2.5631179414478799E-3</c:v>
                </c:pt>
                <c:pt idx="233">
                  <c:v>2.3402302659802899E-3</c:v>
                </c:pt>
                <c:pt idx="234">
                  <c:v>2.1365150705643199E-3</c:v>
                </c:pt>
                <c:pt idx="235">
                  <c:v>1.9503581435749301E-3</c:v>
                </c:pt>
                <c:pt idx="236">
                  <c:v>1.7802753361656201E-3</c:v>
                </c:pt>
                <c:pt idx="237">
                  <c:v>1.6249030677782301E-3</c:v>
                </c:pt>
                <c:pt idx="238">
                  <c:v>1.4829893542562199E-3</c:v>
                </c:pt>
                <c:pt idx="239">
                  <c:v>1.35338536163186E-3</c:v>
                </c:pt>
                <c:pt idx="240">
                  <c:v>1.23503748096999E-3</c:v>
                </c:pt>
                <c:pt idx="241">
                  <c:v>1.1269799136918201E-3</c:v>
                </c:pt>
                <c:pt idx="242">
                  <c:v>1.0283277522918899E-3</c:v>
                </c:pt>
                <c:pt idx="243">
                  <c:v>9.3827053804767602E-4</c:v>
                </c:pt>
                <c:pt idx="244">
                  <c:v>8.5606627499210304E-4</c:v>
                </c:pt>
                <c:pt idx="245">
                  <c:v>7.8103587789169805E-4</c:v>
                </c:pt>
                <c:pt idx="246">
                  <c:v>7.1255803109121203E-4</c:v>
                </c:pt>
                <c:pt idx="247">
                  <c:v>6.5006443471969601E-4</c:v>
                </c:pt>
                <c:pt idx="248">
                  <c:v>5.9303541479260803E-4</c:v>
                </c:pt>
                <c:pt idx="249">
                  <c:v>5.4099587409839301E-4</c:v>
                </c:pt>
                <c:pt idx="250">
                  <c:v>4.93511561350832E-4</c:v>
                </c:pt>
                <c:pt idx="251">
                  <c:v>4.5018563685769898E-4</c:v>
                </c:pt>
                <c:pt idx="252">
                  <c:v>4.1065551385131399E-4</c:v>
                </c:pt>
                <c:pt idx="253">
                  <c:v>3.7458995560622597E-4</c:v>
                </c:pt>
                <c:pt idx="254">
                  <c:v>3.4168640950062401E-4</c:v>
                </c:pt>
                <c:pt idx="255">
                  <c:v>3.1166856023457398E-4</c:v>
                </c:pt>
                <c:pt idx="256">
                  <c:v>2.8428408547952698E-4</c:v>
                </c:pt>
                <c:pt idx="257">
                  <c:v>2.5930259828345098E-4</c:v>
                </c:pt>
                <c:pt idx="258">
                  <c:v>2.3651376158232199E-4</c:v>
                </c:pt>
                <c:pt idx="259">
                  <c:v>2.1572556116282199E-4</c:v>
                </c:pt>
                <c:pt idx="260">
                  <c:v>1.9676272437576899E-4</c:v>
                </c:pt>
                <c:pt idx="261">
                  <c:v>1.7946527281154399E-4</c:v>
                </c:pt>
                <c:pt idx="262">
                  <c:v>1.6368719801376799E-4</c:v>
                </c:pt>
                <c:pt idx="263">
                  <c:v>1.4929525012521999E-4</c:v>
                </c:pt>
                <c:pt idx="264">
                  <c:v>1.3616783012928901E-4</c:v>
                </c:pt>
                <c:pt idx="265">
                  <c:v>1.2419397707167699E-4</c:v>
                </c:pt>
                <c:pt idx="266">
                  <c:v>1.13272442321907E-4</c:v>
                </c:pt>
                <c:pt idx="267">
                  <c:v>1.03310843563161E-4</c:v>
                </c:pt>
                <c:pt idx="268">
                  <c:v>9.42248917843749E-5</c:v>
                </c:pt>
                <c:pt idx="269">
                  <c:v>8.5937685092025306E-5</c:v>
                </c:pt>
                <c:pt idx="270">
                  <c:v>7.83790636627553E-5</c:v>
                </c:pt>
                <c:pt idx="271">
                  <c:v>7.1485020624091801E-5</c:v>
                </c:pt>
                <c:pt idx="272">
                  <c:v>6.5197164081234798E-5</c:v>
                </c:pt>
                <c:pt idx="273">
                  <c:v>5.9462225905382997E-5</c:v>
                </c:pt>
                <c:pt idx="274">
                  <c:v>5.4231613265442202E-5</c:v>
                </c:pt>
                <c:pt idx="275">
                  <c:v>4.9460999222370303E-5</c:v>
                </c:pt>
                <c:pt idx="276">
                  <c:v>4.5109949015840398E-5</c:v>
                </c:pt>
                <c:pt idx="277">
                  <c:v>4.1141578958248203E-5</c:v>
                </c:pt>
                <c:pt idx="278">
                  <c:v>3.7522245113215197E-5</c:v>
                </c:pt>
                <c:pt idx="279">
                  <c:v>3.4221259176358702E-5</c:v>
                </c:pt>
                <c:pt idx="280">
                  <c:v>3.1210629196854701E-5</c:v>
                </c:pt>
                <c:pt idx="281">
                  <c:v>2.8464822980716301E-5</c:v>
                </c:pt>
                <c:pt idx="282">
                  <c:v>2.5960552202221299E-5</c:v>
                </c:pt>
                <c:pt idx="283">
                  <c:v>2.3676575419846301E-5</c:v>
                </c:pt>
                <c:pt idx="284">
                  <c:v>2.1593518348667501E-5</c:v>
                </c:pt>
                <c:pt idx="285">
                  <c:v>1.9693709883622001E-5</c:v>
                </c:pt>
                <c:pt idx="286">
                  <c:v>1.7961032498343199E-5</c:v>
                </c:pt>
                <c:pt idx="287">
                  <c:v>1.6380785763530599E-5</c:v>
                </c:pt>
                <c:pt idx="288">
                  <c:v>1.4939561837818799E-5</c:v>
                </c:pt>
                <c:pt idx="289">
                  <c:v>1.3625131883827001E-5</c:v>
                </c:pt>
                <c:pt idx="290">
                  <c:v>1.2426342453172E-5</c:v>
                </c:pt>
                <c:pt idx="291">
                  <c:v>1.1333020967528899E-5</c:v>
                </c:pt>
                <c:pt idx="292">
                  <c:v>1.03358894989007E-5</c:v>
                </c:pt>
                <c:pt idx="293">
                  <c:v>9.42648612179418E-6</c:v>
                </c:pt>
                <c:pt idx="294">
                  <c:v>8.5970931734892496E-6</c:v>
                </c:pt>
                <c:pt idx="295">
                  <c:v>7.8406718165955806E-6</c:v>
                </c:pt>
                <c:pt idx="296">
                  <c:v>7.1508023510504704E-6</c:v>
                </c:pt>
                <c:pt idx="297">
                  <c:v>6.5216297710719403E-6</c:v>
                </c:pt>
                <c:pt idx="298">
                  <c:v>5.9478141067358397E-6</c:v>
                </c:pt>
                <c:pt idx="299">
                  <c:v>5.4244851301532998E-6</c:v>
                </c:pt>
                <c:pt idx="300">
                  <c:v>4.9472010430185402E-6</c:v>
                </c:pt>
                <c:pt idx="301">
                  <c:v>4.5119107958811102E-6</c:v>
                </c:pt>
                <c:pt idx="302">
                  <c:v>4.1149197201505903E-6</c:v>
                </c:pt>
                <c:pt idx="303">
                  <c:v>3.7528581818122702E-6</c:v>
                </c:pt>
                <c:pt idx="304">
                  <c:v>3.4226529913639299E-6</c:v>
                </c:pt>
                <c:pt idx="305">
                  <c:v>3.1215013277777998E-6</c:v>
                </c:pt>
                <c:pt idx="306">
                  <c:v>2.8468469555476599E-6</c:v>
                </c:pt>
                <c:pt idx="307">
                  <c:v>2.5963585332778502E-6</c:v>
                </c:pt>
                <c:pt idx="308">
                  <c:v>2.3679098299653001E-6</c:v>
                </c:pt>
                <c:pt idx="309">
                  <c:v>2.1595616812734301E-6</c:v>
                </c:pt>
                <c:pt idx="310">
                  <c:v>1.96954553282475E-6</c:v>
                </c:pt>
                <c:pt idx="311">
                  <c:v>1.7962484309783899E-6</c:v>
                </c:pt>
                <c:pt idx="312">
                  <c:v>1.6381993338185901E-6</c:v>
                </c:pt>
                <c:pt idx="313">
                  <c:v>1.49405662626308E-6</c:v>
                </c:pt>
                <c:pt idx="314">
                  <c:v>1.3625967334036499E-6</c:v>
                </c:pt>
                <c:pt idx="315">
                  <c:v>1.2427037354971E-6</c:v>
                </c:pt>
                <c:pt idx="316">
                  <c:v>1.13335989651456E-6</c:v>
                </c:pt>
                <c:pt idx="317">
                  <c:v>1.0336370259014901E-6</c:v>
                </c:pt>
                <c:pt idx="318">
                  <c:v>9.4268860026400295E-7</c:v>
                </c:pt>
                <c:pt idx="319">
                  <c:v>8.5974257814068696E-7</c:v>
                </c:pt>
                <c:pt idx="320">
                  <c:v>7.8409484689624999E-7</c:v>
                </c:pt>
                <c:pt idx="321">
                  <c:v>7.15103246133965E-7</c:v>
                </c:pt>
                <c:pt idx="322">
                  <c:v>6.5218211691361599E-7</c:v>
                </c:pt>
                <c:pt idx="323">
                  <c:v>5.9479733052140199E-7</c:v>
                </c:pt>
                <c:pt idx="324">
                  <c:v>5.4246175460610296E-7</c:v>
                </c:pt>
                <c:pt idx="325">
                  <c:v>4.9473111820624502E-7</c:v>
                </c:pt>
                <c:pt idx="326">
                  <c:v>4.5120024057669702E-7</c:v>
                </c:pt>
                <c:pt idx="327">
                  <c:v>4.1149959181011401E-7</c:v>
                </c:pt>
                <c:pt idx="328">
                  <c:v>3.7529215606332001E-7</c:v>
                </c:pt>
                <c:pt idx="329">
                  <c:v>3.42270570766676E-7</c:v>
                </c:pt>
                <c:pt idx="330">
                  <c:v>3.12154517536128E-7</c:v>
                </c:pt>
                <c:pt idx="331">
                  <c:v>2.8468834264341698E-7</c:v>
                </c:pt>
                <c:pt idx="332">
                  <c:v>2.5963888684817601E-7</c:v>
                </c:pt>
                <c:pt idx="333">
                  <c:v>2.3679350617205701E-7</c:v>
                </c:pt>
                <c:pt idx="334">
                  <c:v>2.1595826681574201E-7</c:v>
                </c:pt>
                <c:pt idx="335">
                  <c:v>1.96956298897279E-7</c:v>
                </c:pt>
                <c:pt idx="336">
                  <c:v>1.7962629503837801E-7</c:v>
                </c:pt>
                <c:pt idx="337">
                  <c:v>1.6382114105444501E-7</c:v>
                </c:pt>
                <c:pt idx="338">
                  <c:v>1.4940666712540801E-7</c:v>
                </c:pt>
                <c:pt idx="339">
                  <c:v>1.3626050884693E-7</c:v>
                </c:pt>
                <c:pt idx="340">
                  <c:v>1.2427106849425899E-7</c:v>
                </c:pt>
                <c:pt idx="341">
                  <c:v>1.13336567681504E-7</c:v>
                </c:pt>
                <c:pt idx="342">
                  <c:v>1.0336418337486501E-7</c:v>
                </c:pt>
                <c:pt idx="343">
                  <c:v>9.4269259925909603E-8</c:v>
                </c:pt>
                <c:pt idx="344">
                  <c:v>8.5974590436145095E-8</c:v>
                </c:pt>
                <c:pt idx="345">
                  <c:v>7.8409761352732503E-8</c:v>
                </c:pt>
                <c:pt idx="346">
                  <c:v>7.1510554731833906E-8</c:v>
                </c:pt>
                <c:pt idx="347">
                  <c:v>6.5218403095607601E-8</c:v>
                </c:pt>
                <c:pt idx="348">
                  <c:v>5.9479892255308098E-8</c:v>
                </c:pt>
                <c:pt idx="349">
                  <c:v>5.4246307880076202E-8</c:v>
                </c:pt>
                <c:pt idx="350">
                  <c:v>4.9473221962368001E-8</c:v>
                </c:pt>
              </c:numCache>
            </c:numRef>
          </c:xVal>
          <c:yVal>
            <c:numRef>
              <c:f>'Phase Margin Example'!$N$3:$N$353</c:f>
              <c:numCache>
                <c:formatCode>General</c:formatCode>
                <c:ptCount val="351"/>
                <c:pt idx="0">
                  <c:v>-4.02123843403278E-5</c:v>
                </c:pt>
                <c:pt idx="1">
                  <c:v>-4.2107535463723202E-5</c:v>
                </c:pt>
                <c:pt idx="2">
                  <c:v>-4.4092002283570703E-5</c:v>
                </c:pt>
                <c:pt idx="3">
                  <c:v>-4.6169994115357001E-5</c:v>
                </c:pt>
                <c:pt idx="4">
                  <c:v>-4.83459186529623E-5</c:v>
                </c:pt>
                <c:pt idx="5">
                  <c:v>-5.0624391317866899E-5</c:v>
                </c:pt>
                <c:pt idx="6">
                  <c:v>-5.3010245048959703E-5</c:v>
                </c:pt>
                <c:pt idx="7">
                  <c:v>-5.5508540553713503E-5</c:v>
                </c:pt>
                <c:pt idx="8">
                  <c:v>-5.8124577042469601E-5</c:v>
                </c:pt>
                <c:pt idx="9">
                  <c:v>-6.0863903468591203E-5</c:v>
                </c:pt>
                <c:pt idx="10">
                  <c:v>-6.3732330298335401E-5</c:v>
                </c:pt>
                <c:pt idx="11">
                  <c:v>-6.6735941835390796E-5</c:v>
                </c:pt>
                <c:pt idx="12">
                  <c:v>-6.9881109126232902E-5</c:v>
                </c:pt>
                <c:pt idx="13">
                  <c:v>-7.3174503473654899E-5</c:v>
                </c:pt>
                <c:pt idx="14">
                  <c:v>-7.6623110587138799E-5</c:v>
                </c:pt>
                <c:pt idx="15">
                  <c:v>-8.0234245400070901E-5</c:v>
                </c:pt>
                <c:pt idx="16">
                  <c:v>-8.4015567585222502E-5</c:v>
                </c:pt>
                <c:pt idx="17">
                  <c:v>-8.7975097801404098E-5</c:v>
                </c:pt>
                <c:pt idx="18">
                  <c:v>-9.2121234705736896E-5</c:v>
                </c:pt>
                <c:pt idx="19">
                  <c:v>-9.6462772767613394E-5</c:v>
                </c:pt>
                <c:pt idx="20">
                  <c:v>-1.01008920922131E-4</c:v>
                </c:pt>
                <c:pt idx="21">
                  <c:v>-1.05769322102533E-4</c:v>
                </c:pt>
                <c:pt idx="22">
                  <c:v>-1.1075407369308599E-4</c:v>
                </c:pt>
                <c:pt idx="23">
                  <c:v>-1.15973748945745E-4</c:v>
                </c:pt>
                <c:pt idx="24">
                  <c:v>-1.2143941940601101E-4</c:v>
                </c:pt>
                <c:pt idx="25">
                  <c:v>-1.27162678395533E-4</c:v>
                </c:pt>
                <c:pt idx="26">
                  <c:v>-1.3315566560122001E-4</c:v>
                </c:pt>
                <c:pt idx="27">
                  <c:v>-1.3943109282298199E-4</c:v>
                </c:pt>
                <c:pt idx="28">
                  <c:v>-1.46002270934701E-4</c:v>
                </c:pt>
                <c:pt idx="29">
                  <c:v>-1.5288313811552301E-4</c:v>
                </c:pt>
                <c:pt idx="30">
                  <c:v>-1.60088289411352E-4</c:v>
                </c:pt>
                <c:pt idx="31">
                  <c:v>-1.6763300768915301E-4</c:v>
                </c:pt>
                <c:pt idx="32">
                  <c:v>-1.75533296049657E-4</c:v>
                </c:pt>
                <c:pt idx="33">
                  <c:v>-1.83805911767151E-4</c:v>
                </c:pt>
                <c:pt idx="34">
                  <c:v>-1.92468401828229E-4</c:v>
                </c:pt>
                <c:pt idx="35">
                  <c:v>-2.0153914014480099E-4</c:v>
                </c:pt>
                <c:pt idx="36">
                  <c:v>-2.1103736652014401E-4</c:v>
                </c:pt>
                <c:pt idx="37">
                  <c:v>-2.2098322745052899E-4</c:v>
                </c:pt>
                <c:pt idx="38">
                  <c:v>-2.31397818848787E-4</c:v>
                </c:pt>
                <c:pt idx="39">
                  <c:v>-2.4230323078025401E-4</c:v>
                </c:pt>
                <c:pt idx="40">
                  <c:v>-2.5372259430578298E-4</c:v>
                </c:pt>
                <c:pt idx="41">
                  <c:v>-2.6568013053090999E-4</c:v>
                </c:pt>
                <c:pt idx="42">
                  <c:v>-2.7820120196494298E-4</c:v>
                </c:pt>
                <c:pt idx="43">
                  <c:v>-2.9131236629859698E-4</c:v>
                </c:pt>
                <c:pt idx="44">
                  <c:v>-3.0504143271383903E-4</c:v>
                </c:pt>
                <c:pt idx="45">
                  <c:v>-3.1941752084498602E-4</c:v>
                </c:pt>
                <c:pt idx="46">
                  <c:v>-3.3447112251560701E-4</c:v>
                </c:pt>
                <c:pt idx="47">
                  <c:v>-3.50234166381598E-4</c:v>
                </c:pt>
                <c:pt idx="48">
                  <c:v>-3.6674008561693601E-4</c:v>
                </c:pt>
                <c:pt idx="49">
                  <c:v>-3.8402388878489301E-4</c:v>
                </c:pt>
                <c:pt idx="50">
                  <c:v>-4.0212223404418901E-4</c:v>
                </c:pt>
                <c:pt idx="51">
                  <c:v>-4.2107350684649798E-4</c:v>
                </c:pt>
                <c:pt idx="52">
                  <c:v>-4.4091790128899502E-4</c:v>
                </c:pt>
                <c:pt idx="53">
                  <c:v>-4.6169750529318398E-4</c:v>
                </c:pt>
                <c:pt idx="54">
                  <c:v>-4.8345638978915099E-4</c:v>
                </c:pt>
                <c:pt idx="55">
                  <c:v>-5.0624070209279604E-4</c:v>
                </c:pt>
                <c:pt idx="56">
                  <c:v>-5.3009876367202504E-4</c:v>
                </c:pt>
                <c:pt idx="57">
                  <c:v>-5.55081172507086E-4</c:v>
                </c:pt>
                <c:pt idx="58">
                  <c:v>-5.8124091025956305E-4</c:v>
                </c:pt>
                <c:pt idx="59">
                  <c:v>-6.0863345447430999E-4</c:v>
                </c:pt>
                <c:pt idx="60">
                  <c:v>-6.3731689604897099E-4</c:v>
                </c:pt>
                <c:pt idx="61">
                  <c:v>-6.6735206221627203E-4</c:v>
                </c:pt>
                <c:pt idx="62">
                  <c:v>-6.9880264529542603E-4</c:v>
                </c:pt>
                <c:pt idx="63">
                  <c:v>-7.3173533748059703E-4</c:v>
                </c:pt>
                <c:pt idx="64">
                  <c:v>-7.6621997194637999E-4</c:v>
                </c:pt>
                <c:pt idx="65">
                  <c:v>-8.0232967056266405E-4</c:v>
                </c:pt>
                <c:pt idx="66">
                  <c:v>-8.4014099852455499E-4</c:v>
                </c:pt>
                <c:pt idx="67">
                  <c:v>-8.7973412621609895E-4</c:v>
                </c:pt>
                <c:pt idx="68">
                  <c:v>-9.2119299864101205E-4</c:v>
                </c:pt>
                <c:pt idx="69">
                  <c:v>-9.6460551276774905E-4</c:v>
                </c:pt>
                <c:pt idx="70">
                  <c:v>-1.0100637031516099E-3</c:v>
                </c:pt>
                <c:pt idx="71">
                  <c:v>-1.05766393621182E-3</c:v>
                </c:pt>
                <c:pt idx="72">
                  <c:v>-1.1075071135578101E-3</c:v>
                </c:pt>
                <c:pt idx="73">
                  <c:v>-1.15969888477526E-3</c:v>
                </c:pt>
                <c:pt idx="74">
                  <c:v>-1.21434987009968E-3</c:v>
                </c:pt>
                <c:pt idx="75">
                  <c:v>-1.27157589342246E-3</c:v>
                </c:pt>
                <c:pt idx="76">
                  <c:v>-1.33149822609274E-3</c:v>
                </c:pt>
                <c:pt idx="77">
                  <c:v>-1.39424384199596E-3</c:v>
                </c:pt>
                <c:pt idx="78">
                  <c:v>-1.45994568440941E-3</c:v>
                </c:pt>
                <c:pt idx="79">
                  <c:v>-1.52874294515339E-3</c:v>
                </c:pt>
                <c:pt idx="80">
                  <c:v>-1.6007813565758499E-3</c:v>
                </c:pt>
                <c:pt idx="81">
                  <c:v>-1.67621349692773E-3</c:v>
                </c:pt>
                <c:pt idx="82">
                  <c:v>-1.7551991097051699E-3</c:v>
                </c:pt>
                <c:pt idx="83">
                  <c:v>-1.83790543755405E-3</c:v>
                </c:pt>
                <c:pt idx="84">
                  <c:v>-1.92450757135096E-3</c:v>
                </c:pt>
                <c:pt idx="85">
                  <c:v>-2.0151888150928199E-3</c:v>
                </c:pt>
                <c:pt idx="86">
                  <c:v>-2.1101410672453502E-3</c:v>
                </c:pt>
                <c:pt idx="87">
                  <c:v>-2.2095652192167599E-3</c:v>
                </c:pt>
                <c:pt idx="88">
                  <c:v>-2.3136715716383302E-3</c:v>
                </c:pt>
                <c:pt idx="89">
                  <c:v>-2.4226802691477201E-3</c:v>
                </c:pt>
                <c:pt idx="90">
                  <c:v>-2.53682175438144E-3</c:v>
                </c:pt>
                <c:pt idx="91">
                  <c:v>-2.65633724189296E-3</c:v>
                </c:pt>
                <c:pt idx="92">
                  <c:v>-2.7814792127177699E-3</c:v>
                </c:pt>
                <c:pt idx="93">
                  <c:v>-2.9125119303093998E-3</c:v>
                </c:pt>
                <c:pt idx="94">
                  <c:v>-3.0497119785672299E-3</c:v>
                </c:pt>
                <c:pt idx="95">
                  <c:v>-3.19336882266917E-3</c:v>
                </c:pt>
                <c:pt idx="96">
                  <c:v>-3.3437853934071898E-3</c:v>
                </c:pt>
                <c:pt idx="97">
                  <c:v>-3.5012786957013902E-3</c:v>
                </c:pt>
                <c:pt idx="98">
                  <c:v>-3.6661804419364898E-3</c:v>
                </c:pt>
                <c:pt idx="99">
                  <c:v>-3.8388377107220401E-3</c:v>
                </c:pt>
                <c:pt idx="100">
                  <c:v>-4.0196136316228504E-3</c:v>
                </c:pt>
                <c:pt idx="101">
                  <c:v>-4.2088880963356799E-3</c:v>
                </c:pt>
                <c:pt idx="102">
                  <c:v>-4.4070584967015498E-3</c:v>
                </c:pt>
                <c:pt idx="103">
                  <c:v>-4.6145404898357903E-3</c:v>
                </c:pt>
                <c:pt idx="104">
                  <c:v>-4.83176879052681E-3</c:v>
                </c:pt>
                <c:pt idx="105">
                  <c:v>-5.0591979908982303E-3</c:v>
                </c:pt>
                <c:pt idx="106">
                  <c:v>-5.2973034071398303E-3</c:v>
                </c:pt>
                <c:pt idx="107">
                  <c:v>-5.5465819528870298E-3</c:v>
                </c:pt>
                <c:pt idx="108">
                  <c:v>-5.8075530385646897E-3</c:v>
                </c:pt>
                <c:pt idx="109">
                  <c:v>-6.0807594956942398E-3</c:v>
                </c:pt>
                <c:pt idx="110">
                  <c:v>-6.3667685247957304E-3</c:v>
                </c:pt>
                <c:pt idx="111">
                  <c:v>-6.6661726650829502E-3</c:v>
                </c:pt>
                <c:pt idx="112">
                  <c:v>-6.9795907836445997E-3</c:v>
                </c:pt>
                <c:pt idx="113">
                  <c:v>-7.3076690812169101E-3</c:v>
                </c:pt>
                <c:pt idx="114">
                  <c:v>-7.6510821109690499E-3</c:v>
                </c:pt>
                <c:pt idx="115">
                  <c:v>-8.0105338059309507E-3</c:v>
                </c:pt>
                <c:pt idx="116">
                  <c:v>-8.3867585097778304E-3</c:v>
                </c:pt>
                <c:pt idx="117">
                  <c:v>-8.7805220046276809E-3</c:v>
                </c:pt>
                <c:pt idx="118">
                  <c:v>-9.1926225282926103E-3</c:v>
                </c:pt>
                <c:pt idx="119">
                  <c:v>-9.6238917720236107E-3</c:v>
                </c:pt>
                <c:pt idx="120">
                  <c:v>-1.00751958481853E-2</c:v>
                </c:pt>
                <c:pt idx="121">
                  <c:v>-1.05474362154567E-2</c:v>
                </c:pt>
                <c:pt idx="122">
                  <c:v>-1.1041550547055801E-2</c:v>
                </c:pt>
                <c:pt idx="123">
                  <c:v>-1.1558513525085599E-2</c:v>
                </c:pt>
                <c:pt idx="124">
                  <c:v>-1.2099337541376201E-2</c:v>
                </c:pt>
                <c:pt idx="125">
                  <c:v>-1.2665073282092199E-2</c:v>
                </c:pt>
                <c:pt idx="126">
                  <c:v>-1.32568101698687E-2</c:v>
                </c:pt>
                <c:pt idx="127">
                  <c:v>-1.38756766332646E-2</c:v>
                </c:pt>
                <c:pt idx="128">
                  <c:v>-1.4522840168842401E-2</c:v>
                </c:pt>
                <c:pt idx="129">
                  <c:v>-1.5199507156153201E-2</c:v>
                </c:pt>
                <c:pt idx="130">
                  <c:v>-1.5906922380254301E-2</c:v>
                </c:pt>
                <c:pt idx="131">
                  <c:v>-1.6646368210084701E-2</c:v>
                </c:pt>
                <c:pt idx="132">
                  <c:v>-1.7419163374003298E-2</c:v>
                </c:pt>
                <c:pt idx="133">
                  <c:v>-1.8226661266018501E-2</c:v>
                </c:pt>
                <c:pt idx="134">
                  <c:v>-1.9070247707665699E-2</c:v>
                </c:pt>
                <c:pt idx="135">
                  <c:v>-1.99513380810813E-2</c:v>
                </c:pt>
                <c:pt idx="136">
                  <c:v>-2.0871373738587901E-2</c:v>
                </c:pt>
                <c:pt idx="137">
                  <c:v>-2.1831817583027099E-2</c:v>
                </c:pt>
                <c:pt idx="138">
                  <c:v>-2.2834148701217201E-2</c:v>
                </c:pt>
                <c:pt idx="139">
                  <c:v>-2.3879855920338498E-2</c:v>
                </c:pt>
                <c:pt idx="140">
                  <c:v>-2.49704301438981E-2</c:v>
                </c:pt>
                <c:pt idx="141">
                  <c:v>-2.6107355310404302E-2</c:v>
                </c:pt>
                <c:pt idx="142">
                  <c:v>-2.7292097804258598E-2</c:v>
                </c:pt>
                <c:pt idx="143">
                  <c:v>-2.85260941350628E-2</c:v>
                </c:pt>
                <c:pt idx="144">
                  <c:v>-2.9810736689043899E-2</c:v>
                </c:pt>
                <c:pt idx="145">
                  <c:v>-3.11473573453038E-2</c:v>
                </c:pt>
                <c:pt idx="146">
                  <c:v>-3.25372087409758E-2</c:v>
                </c:pt>
                <c:pt idx="147">
                  <c:v>-3.3981442964171903E-2</c:v>
                </c:pt>
                <c:pt idx="148">
                  <c:v>-3.5481087453192298E-2</c:v>
                </c:pt>
                <c:pt idx="149">
                  <c:v>-3.7037017886426798E-2</c:v>
                </c:pt>
                <c:pt idx="150">
                  <c:v>-3.86499278616299E-2</c:v>
                </c:pt>
                <c:pt idx="151">
                  <c:v>-4.0320295188034497E-2</c:v>
                </c:pt>
                <c:pt idx="152">
                  <c:v>-4.2048344652641699E-2</c:v>
                </c:pt>
                <c:pt idx="153">
                  <c:v>-4.3834007175850703E-2</c:v>
                </c:pt>
                <c:pt idx="154">
                  <c:v>-4.5676875344500302E-2</c:v>
                </c:pt>
                <c:pt idx="155">
                  <c:v>-4.7576155405645998E-2</c:v>
                </c:pt>
                <c:pt idx="156">
                  <c:v>-4.9530615925315102E-2</c:v>
                </c:pt>
                <c:pt idx="157">
                  <c:v>-5.1538533466083197E-2</c:v>
                </c:pt>
                <c:pt idx="158">
                  <c:v>-5.359763581825E-2</c:v>
                </c:pt>
                <c:pt idx="159">
                  <c:v>-5.5705043533205899E-2</c:v>
                </c:pt>
                <c:pt idx="160">
                  <c:v>-5.7857210754602699E-2</c:v>
                </c:pt>
                <c:pt idx="161">
                  <c:v>-6.0049866621300102E-2</c:v>
                </c:pt>
                <c:pt idx="162">
                  <c:v>-6.2277958821311097E-2</c:v>
                </c:pt>
                <c:pt idx="163">
                  <c:v>-6.4535601200133505E-2</c:v>
                </c:pt>
                <c:pt idx="164">
                  <c:v>-6.6816027657796095E-2</c:v>
                </c:pt>
                <c:pt idx="165">
                  <c:v>-6.9111554889707993E-2</c:v>
                </c:pt>
                <c:pt idx="166">
                  <c:v>-7.1413556814769394E-2</c:v>
                </c:pt>
                <c:pt idx="167">
                  <c:v>-7.3712453762673005E-2</c:v>
                </c:pt>
                <c:pt idx="168">
                  <c:v>-7.5997719628620897E-2</c:v>
                </c:pt>
                <c:pt idx="169">
                  <c:v>-7.8257910211988302E-2</c:v>
                </c:pt>
                <c:pt idx="170">
                  <c:v>-8.0480715798485397E-2</c:v>
                </c:pt>
                <c:pt idx="171">
                  <c:v>-8.2653040687697396E-2</c:v>
                </c:pt>
                <c:pt idx="172">
                  <c:v>-8.4761111779710505E-2</c:v>
                </c:pt>
                <c:pt idx="173">
                  <c:v>-8.6790617497094297E-2</c:v>
                </c:pt>
                <c:pt idx="174">
                  <c:v>-8.8726877228893594E-2</c:v>
                </c:pt>
                <c:pt idx="175">
                  <c:v>-9.0555040160031505E-2</c:v>
                </c:pt>
                <c:pt idx="176">
                  <c:v>-9.2260310836432505E-2</c:v>
                </c:pt>
                <c:pt idx="177">
                  <c:v>-9.3828197184693707E-2</c:v>
                </c:pt>
                <c:pt idx="178">
                  <c:v>-9.5244775053403896E-2</c:v>
                </c:pt>
                <c:pt idx="179">
                  <c:v>-9.6496961791715005E-2</c:v>
                </c:pt>
                <c:pt idx="180">
                  <c:v>-9.75727900637956E-2</c:v>
                </c:pt>
                <c:pt idx="181">
                  <c:v>-9.8461672151061802E-2</c:v>
                </c:pt>
                <c:pt idx="182">
                  <c:v>-9.9154644539879003E-2</c:v>
                </c:pt>
                <c:pt idx="183">
                  <c:v>-9.9644582723437097E-2</c:v>
                </c:pt>
                <c:pt idx="184">
                  <c:v>-9.9926376911257997E-2</c:v>
                </c:pt>
                <c:pt idx="185">
                  <c:v>-9.9997060731786699E-2</c:v>
                </c:pt>
                <c:pt idx="186">
                  <c:v>-9.9855886966451798E-2</c:v>
                </c:pt>
                <c:pt idx="187">
                  <c:v>-9.9504346744226493E-2</c:v>
                </c:pt>
                <c:pt idx="188">
                  <c:v>-9.8946131284367494E-2</c:v>
                </c:pt>
                <c:pt idx="189">
                  <c:v>-9.8187038002811505E-2</c:v>
                </c:pt>
                <c:pt idx="190">
                  <c:v>-9.7234825388171506E-2</c:v>
                </c:pt>
                <c:pt idx="191">
                  <c:v>-9.6099023315020904E-2</c:v>
                </c:pt>
                <c:pt idx="192">
                  <c:v>-9.4790707239328906E-2</c:v>
                </c:pt>
                <c:pt idx="193">
                  <c:v>-9.3322245908424903E-2</c:v>
                </c:pt>
                <c:pt idx="194">
                  <c:v>-9.1707032769454702E-2</c:v>
                </c:pt>
                <c:pt idx="195">
                  <c:v>-8.9959211188582106E-2</c:v>
                </c:pt>
                <c:pt idx="196">
                  <c:v>-8.8093402962914194E-2</c:v>
                </c:pt>
                <c:pt idx="197">
                  <c:v>-8.6124448522531094E-2</c:v>
                </c:pt>
                <c:pt idx="198">
                  <c:v>-8.4067165809646294E-2</c:v>
                </c:pt>
                <c:pt idx="199">
                  <c:v>-8.1936133222600196E-2</c:v>
                </c:pt>
                <c:pt idx="200">
                  <c:v>-7.9745500354996099E-2</c:v>
                </c:pt>
                <c:pt idx="201">
                  <c:v>-7.7508828658578804E-2</c:v>
                </c:pt>
                <c:pt idx="202">
                  <c:v>-7.5238962702040099E-2</c:v>
                </c:pt>
                <c:pt idx="203">
                  <c:v>-7.2947931448916606E-2</c:v>
                </c:pt>
                <c:pt idx="204">
                  <c:v>-7.0646877971209096E-2</c:v>
                </c:pt>
                <c:pt idx="205">
                  <c:v>-6.8346015262120904E-2</c:v>
                </c:pt>
                <c:pt idx="206">
                  <c:v>-6.6054605302648797E-2</c:v>
                </c:pt>
                <c:pt idx="207">
                  <c:v>-6.3780958249572403E-2</c:v>
                </c:pt>
                <c:pt idx="208">
                  <c:v>-6.1532448514575303E-2</c:v>
                </c:pt>
                <c:pt idx="209">
                  <c:v>-5.9315544559250297E-2</c:v>
                </c:pt>
                <c:pt idx="210">
                  <c:v>-5.71358494015951E-2</c:v>
                </c:pt>
                <c:pt idx="211">
                  <c:v>-5.4998149081360997E-2</c:v>
                </c:pt>
                <c:pt idx="212">
                  <c:v>-5.29064666335963E-2</c:v>
                </c:pt>
                <c:pt idx="213">
                  <c:v>-5.0864119446054797E-2</c:v>
                </c:pt>
                <c:pt idx="214">
                  <c:v>-4.8873778206475101E-2</c:v>
                </c:pt>
                <c:pt idx="215">
                  <c:v>-4.6937525964724801E-2</c:v>
                </c:pt>
                <c:pt idx="216">
                  <c:v>-4.5056916131792399E-2</c:v>
                </c:pt>
                <c:pt idx="217">
                  <c:v>-4.32330285058945E-2</c:v>
                </c:pt>
                <c:pt idx="218">
                  <c:v>-4.1466522652005303E-2</c:v>
                </c:pt>
                <c:pt idx="219">
                  <c:v>-3.9757688163884503E-2</c:v>
                </c:pt>
                <c:pt idx="220">
                  <c:v>-3.8106491507929302E-2</c:v>
                </c:pt>
                <c:pt idx="221">
                  <c:v>-3.6512619287925298E-2</c:v>
                </c:pt>
                <c:pt idx="222">
                  <c:v>-3.49755178817708E-2</c:v>
                </c:pt>
                <c:pt idx="223">
                  <c:v>-3.34944294887052E-2</c:v>
                </c:pt>
                <c:pt idx="224">
                  <c:v>-3.2068424691752903E-2</c:v>
                </c:pt>
                <c:pt idx="225">
                  <c:v>-3.06964316882892E-2</c:v>
                </c:pt>
                <c:pt idx="226">
                  <c:v>-2.93772623748315E-2</c:v>
                </c:pt>
                <c:pt idx="227">
                  <c:v>-2.8109635493173499E-2</c:v>
                </c:pt>
                <c:pt idx="228">
                  <c:v>-2.6892197056235499E-2</c:v>
                </c:pt>
                <c:pt idx="229">
                  <c:v>-2.5723538275647599E-2</c:v>
                </c:pt>
                <c:pt idx="230">
                  <c:v>-2.4602211210906302E-2</c:v>
                </c:pt>
                <c:pt idx="231">
                  <c:v>-2.3526742353477501E-2</c:v>
                </c:pt>
                <c:pt idx="232">
                  <c:v>-2.24956443496914E-2</c:v>
                </c:pt>
                <c:pt idx="233">
                  <c:v>-2.1507426054696702E-2</c:v>
                </c:pt>
                <c:pt idx="234">
                  <c:v>-2.0560601096906599E-2</c:v>
                </c:pt>
                <c:pt idx="235">
                  <c:v>-1.9653695118902598E-2</c:v>
                </c:pt>
                <c:pt idx="236">
                  <c:v>-1.87852518471423E-2</c:v>
                </c:pt>
                <c:pt idx="237">
                  <c:v>-1.7953838129379701E-2</c:v>
                </c:pt>
                <c:pt idx="238">
                  <c:v>-1.71580480657447E-2</c:v>
                </c:pt>
                <c:pt idx="239">
                  <c:v>-1.6396506347063501E-2</c:v>
                </c:pt>
                <c:pt idx="240">
                  <c:v>-1.56678709024104E-2</c:v>
                </c:pt>
                <c:pt idx="241">
                  <c:v>-1.49708349470729E-2</c:v>
                </c:pt>
                <c:pt idx="242">
                  <c:v>-1.4304128512154899E-2</c:v>
                </c:pt>
                <c:pt idx="243">
                  <c:v>-1.36665195279181E-2</c:v>
                </c:pt>
                <c:pt idx="244">
                  <c:v>-1.3056814524655E-2</c:v>
                </c:pt>
                <c:pt idx="245">
                  <c:v>-1.24738590073716E-2</c:v>
                </c:pt>
                <c:pt idx="246">
                  <c:v>-1.1916537553776699E-2</c:v>
                </c:pt>
                <c:pt idx="247">
                  <c:v>-1.1383773678998199E-2</c:v>
                </c:pt>
                <c:pt idx="248">
                  <c:v>-1.0874529505009599E-2</c:v>
                </c:pt>
                <c:pt idx="249">
                  <c:v>-1.0387805267903699E-2</c:v>
                </c:pt>
                <c:pt idx="250">
                  <c:v>-9.9226386918490304E-3</c:v>
                </c:pt>
                <c:pt idx="251">
                  <c:v>-9.47810425474983E-3</c:v>
                </c:pt>
                <c:pt idx="252">
                  <c:v>-9.0533123672613004E-3</c:v>
                </c:pt>
                <c:pt idx="253">
                  <c:v>-8.6474084838409297E-3</c:v>
                </c:pt>
                <c:pt idx="254">
                  <c:v>-8.2595721619032596E-3</c:v>
                </c:pt>
                <c:pt idx="255">
                  <c:v>-7.8890160828506504E-3</c:v>
                </c:pt>
                <c:pt idx="256">
                  <c:v>-7.5349850467435302E-3</c:v>
                </c:pt>
                <c:pt idx="257">
                  <c:v>-7.19675495061584E-3</c:v>
                </c:pt>
                <c:pt idx="258">
                  <c:v>-6.8736317589063898E-3</c:v>
                </c:pt>
                <c:pt idx="259">
                  <c:v>-6.5649504731433699E-3</c:v>
                </c:pt>
                <c:pt idx="260">
                  <c:v>-6.2700741068547304E-3</c:v>
                </c:pt>
                <c:pt idx="261">
                  <c:v>-5.9883926706724398E-3</c:v>
                </c:pt>
                <c:pt idx="262">
                  <c:v>-5.7193221717227903E-3</c:v>
                </c:pt>
                <c:pt idx="263">
                  <c:v>-5.4623036306428504E-3</c:v>
                </c:pt>
                <c:pt idx="264">
                  <c:v>-5.21680211891305E-3</c:v>
                </c:pt>
                <c:pt idx="265">
                  <c:v>-4.9823058186340297E-3</c:v>
                </c:pt>
                <c:pt idx="266">
                  <c:v>-4.7583251063995097E-3</c:v>
                </c:pt>
                <c:pt idx="267">
                  <c:v>-4.5443916625038496E-3</c:v>
                </c:pt>
                <c:pt idx="268">
                  <c:v>-4.3400576063738197E-3</c:v>
                </c:pt>
                <c:pt idx="269">
                  <c:v>-4.1448946588165704E-3</c:v>
                </c:pt>
                <c:pt idx="270">
                  <c:v>-3.9584933314242704E-3</c:v>
                </c:pt>
                <c:pt idx="271">
                  <c:v>-3.78046214326301E-3</c:v>
                </c:pt>
                <c:pt idx="272">
                  <c:v>-3.6104268647962801E-3</c:v>
                </c:pt>
                <c:pt idx="273">
                  <c:v>-3.4480297888456499E-3</c:v>
                </c:pt>
                <c:pt idx="274">
                  <c:v>-3.2929290282681599E-3</c:v>
                </c:pt>
                <c:pt idx="275">
                  <c:v>-3.1447978399302499E-3</c:v>
                </c:pt>
                <c:pt idx="276">
                  <c:v>-3.0033239744769202E-3</c:v>
                </c:pt>
                <c:pt idx="277">
                  <c:v>-2.8682090513298501E-3</c:v>
                </c:pt>
                <c:pt idx="278">
                  <c:v>-2.7391679582976902E-3</c:v>
                </c:pt>
                <c:pt idx="279">
                  <c:v>-2.6159282751428998E-3</c:v>
                </c:pt>
                <c:pt idx="280">
                  <c:v>-2.4982297204212598E-3</c:v>
                </c:pt>
                <c:pt idx="281">
                  <c:v>-2.38582362088985E-3</c:v>
                </c:pt>
                <c:pt idx="282">
                  <c:v>-2.2784724027676102E-3</c:v>
                </c:pt>
                <c:pt idx="283">
                  <c:v>-2.1759491041257501E-3</c:v>
                </c:pt>
                <c:pt idx="284">
                  <c:v>-2.0780369076844698E-3</c:v>
                </c:pt>
                <c:pt idx="285">
                  <c:v>-1.98452869329607E-3</c:v>
                </c:pt>
                <c:pt idx="286">
                  <c:v>-1.8952266094006301E-3</c:v>
                </c:pt>
                <c:pt idx="287">
                  <c:v>-1.80994166275156E-3</c:v>
                </c:pt>
                <c:pt idx="288">
                  <c:v>-1.7284933257192101E-3</c:v>
                </c:pt>
                <c:pt idx="289">
                  <c:v>-1.6507091604963399E-3</c:v>
                </c:pt>
                <c:pt idx="290">
                  <c:v>-1.5764244595437001E-3</c:v>
                </c:pt>
                <c:pt idx="291">
                  <c:v>-1.5054819016320101E-3</c:v>
                </c:pt>
                <c:pt idx="292">
                  <c:v>-1.4377312228537099E-3</c:v>
                </c:pt>
                <c:pt idx="293">
                  <c:v>-1.3730289019966901E-3</c:v>
                </c:pt>
                <c:pt idx="294">
                  <c:v>-1.3112378596909201E-3</c:v>
                </c:pt>
                <c:pt idx="295">
                  <c:v>-1.252227170758E-3</c:v>
                </c:pt>
                <c:pt idx="296">
                  <c:v>-1.19587178921314E-3</c:v>
                </c:pt>
                <c:pt idx="297">
                  <c:v>-1.1420522853878099E-3</c:v>
                </c:pt>
                <c:pt idx="298">
                  <c:v>-1.0906545946607099E-3</c:v>
                </c:pt>
                <c:pt idx="299">
                  <c:v>-1.04156977730334E-3</c:v>
                </c:pt>
                <c:pt idx="300">
                  <c:v>-9.9469378896499994E-4</c:v>
                </c:pt>
                <c:pt idx="301">
                  <c:v>-9.4992726134014705E-4</c:v>
                </c:pt>
                <c:pt idx="302">
                  <c:v>-9.0717529257901101E-4</c:v>
                </c:pt>
                <c:pt idx="303">
                  <c:v>-8.6634724701930101E-4</c:v>
                </c:pt>
                <c:pt idx="304">
                  <c:v>-8.2735656383404999E-4</c:v>
                </c:pt>
                <c:pt idx="305">
                  <c:v>-7.9012057420688696E-4</c:v>
                </c:pt>
                <c:pt idx="306">
                  <c:v>-7.5456032666178805E-4</c:v>
                </c:pt>
                <c:pt idx="307">
                  <c:v>-7.2060042018995396E-4</c:v>
                </c:pt>
                <c:pt idx="308">
                  <c:v>-6.8816884483104601E-4</c:v>
                </c:pt>
                <c:pt idx="309">
                  <c:v>-6.5719682938068899E-4</c:v>
                </c:pt>
                <c:pt idx="310">
                  <c:v>-6.2761869590966196E-4</c:v>
                </c:pt>
                <c:pt idx="311">
                  <c:v>-5.9937172079374199E-4</c:v>
                </c:pt>
                <c:pt idx="312">
                  <c:v>-5.7239600196600003E-4</c:v>
                </c:pt>
                <c:pt idx="313">
                  <c:v>-5.4663433211554898E-4</c:v>
                </c:pt>
                <c:pt idx="314">
                  <c:v>-5.2203207756887197E-4</c:v>
                </c:pt>
                <c:pt idx="315">
                  <c:v>-4.9853706260101201E-4</c:v>
                </c:pt>
                <c:pt idx="316">
                  <c:v>-4.7609945893505902E-4</c:v>
                </c:pt>
                <c:pt idx="317">
                  <c:v>-4.5467168019879602E-4</c:v>
                </c:pt>
                <c:pt idx="318">
                  <c:v>-4.3420828111748801E-4</c:v>
                </c:pt>
                <c:pt idx="319">
                  <c:v>-4.1466586123147003E-4</c:v>
                </c:pt>
                <c:pt idx="320">
                  <c:v>-3.96002972936468E-4</c:v>
                </c:pt>
                <c:pt idx="321">
                  <c:v>-3.78180033653471E-4</c:v>
                </c:pt>
                <c:pt idx="322">
                  <c:v>-3.6115924194350798E-4</c:v>
                </c:pt>
                <c:pt idx="323">
                  <c:v>-3.4490449739082302E-4</c:v>
                </c:pt>
                <c:pt idx="324">
                  <c:v>-3.2938132408572501E-4</c:v>
                </c:pt>
                <c:pt idx="325">
                  <c:v>-3.1455679754595898E-4</c:v>
                </c:pt>
                <c:pt idx="326">
                  <c:v>-3.0039947492244802E-4</c:v>
                </c:pt>
                <c:pt idx="327">
                  <c:v>-2.86879328342264E-4</c:v>
                </c:pt>
                <c:pt idx="328">
                  <c:v>-2.73967681248102E-4</c:v>
                </c:pt>
                <c:pt idx="329">
                  <c:v>-2.6163714759986099E-4</c:v>
                </c:pt>
                <c:pt idx="330">
                  <c:v>-2.4986157380994502E-4</c:v>
                </c:pt>
                <c:pt idx="331">
                  <c:v>-2.3861598328953301E-4</c:v>
                </c:pt>
                <c:pt idx="332">
                  <c:v>-2.2787652348867299E-4</c:v>
                </c:pt>
                <c:pt idx="333">
                  <c:v>-2.17620415318157E-4</c:v>
                </c:pt>
                <c:pt idx="334">
                  <c:v>-2.0782590484628099E-4</c:v>
                </c:pt>
                <c:pt idx="335">
                  <c:v>-1.98472217168228E-4</c:v>
                </c:pt>
                <c:pt idx="336">
                  <c:v>-1.8953951235051199E-4</c:v>
                </c:pt>
                <c:pt idx="337">
                  <c:v>-1.81008843357231E-4</c:v>
                </c:pt>
                <c:pt idx="338">
                  <c:v>-1.7286211586906299E-4</c:v>
                </c:pt>
                <c:pt idx="339">
                  <c:v>-1.65082049909915E-4</c:v>
                </c:pt>
                <c:pt idx="340">
                  <c:v>-1.576521432E-4</c:v>
                </c:pt>
                <c:pt idx="341">
                  <c:v>-1.50556636157704E-4</c:v>
                </c:pt>
                <c:pt idx="342">
                  <c:v>-1.43780478476108E-4</c:v>
                </c:pt>
                <c:pt idx="343">
                  <c:v>-1.37309297203389E-4</c:v>
                </c:pt>
                <c:pt idx="344">
                  <c:v>-1.3112936625942601E-4</c:v>
                </c:pt>
                <c:pt idx="345">
                  <c:v>-1.2522757732407001E-4</c:v>
                </c:pt>
                <c:pt idx="346">
                  <c:v>-1.19591412035344E-4</c:v>
                </c:pt>
                <c:pt idx="347">
                  <c:v>-1.14208915438688E-4</c:v>
                </c:pt>
                <c:pt idx="348">
                  <c:v>-1.0906867063095599E-4</c:v>
                </c:pt>
                <c:pt idx="349">
                  <c:v>-1.04159774545423E-4</c:v>
                </c:pt>
                <c:pt idx="350">
                  <c:v>-9.9471814826481905E-5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29-4E7F-8944-D89B783A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At val="-2000000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 (2)'!$H$3:$H$353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 (2)'!$K$3:$K$353</c:f>
              <c:numCache>
                <c:formatCode>General</c:formatCode>
                <c:ptCount val="351"/>
                <c:pt idx="0">
                  <c:v>13.979356657396117</c:v>
                </c:pt>
                <c:pt idx="1">
                  <c:v>13.979356657397584</c:v>
                </c:pt>
                <c:pt idx="2">
                  <c:v>13.979356657399213</c:v>
                </c:pt>
                <c:pt idx="3">
                  <c:v>13.979356657400995</c:v>
                </c:pt>
                <c:pt idx="4">
                  <c:v>13.979356657402914</c:v>
                </c:pt>
                <c:pt idx="5">
                  <c:v>13.979356657405074</c:v>
                </c:pt>
                <c:pt idx="6">
                  <c:v>13.979356657407397</c:v>
                </c:pt>
                <c:pt idx="7">
                  <c:v>13.979356657409998</c:v>
                </c:pt>
                <c:pt idx="8">
                  <c:v>13.979356657412808</c:v>
                </c:pt>
                <c:pt idx="9">
                  <c:v>13.979356657415902</c:v>
                </c:pt>
                <c:pt idx="10">
                  <c:v>13.979356657419306</c:v>
                </c:pt>
                <c:pt idx="11">
                  <c:v>13.979356657422983</c:v>
                </c:pt>
                <c:pt idx="12">
                  <c:v>13.979356657427056</c:v>
                </c:pt>
                <c:pt idx="13">
                  <c:v>13.979356657431556</c:v>
                </c:pt>
                <c:pt idx="14">
                  <c:v>13.979356657436439</c:v>
                </c:pt>
                <c:pt idx="15">
                  <c:v>13.979356657441809</c:v>
                </c:pt>
                <c:pt idx="16">
                  <c:v>13.979356657447703</c:v>
                </c:pt>
                <c:pt idx="17">
                  <c:v>13.979356657454185</c:v>
                </c:pt>
                <c:pt idx="18">
                  <c:v>13.97935665746126</c:v>
                </c:pt>
                <c:pt idx="19">
                  <c:v>13.979356657469019</c:v>
                </c:pt>
                <c:pt idx="20">
                  <c:v>13.979356657477515</c:v>
                </c:pt>
                <c:pt idx="21">
                  <c:v>13.979356657486854</c:v>
                </c:pt>
                <c:pt idx="22">
                  <c:v>13.97935665749711</c:v>
                </c:pt>
                <c:pt idx="23">
                  <c:v>13.979356657508351</c:v>
                </c:pt>
                <c:pt idx="24">
                  <c:v>13.979356657520663</c:v>
                </c:pt>
                <c:pt idx="25">
                  <c:v>13.979356657534153</c:v>
                </c:pt>
                <c:pt idx="26">
                  <c:v>13.979356657548953</c:v>
                </c:pt>
                <c:pt idx="27">
                  <c:v>13.979356657565177</c:v>
                </c:pt>
                <c:pt idx="28">
                  <c:v>13.979356657582958</c:v>
                </c:pt>
                <c:pt idx="29">
                  <c:v>13.979356657602482</c:v>
                </c:pt>
                <c:pt idx="30">
                  <c:v>13.979356657623871</c:v>
                </c:pt>
                <c:pt idx="31">
                  <c:v>13.979356657647347</c:v>
                </c:pt>
                <c:pt idx="32">
                  <c:v>13.979356657673039</c:v>
                </c:pt>
                <c:pt idx="33">
                  <c:v>13.97935665770123</c:v>
                </c:pt>
                <c:pt idx="34">
                  <c:v>13.979356657732168</c:v>
                </c:pt>
                <c:pt idx="35">
                  <c:v>13.979356657766068</c:v>
                </c:pt>
                <c:pt idx="36">
                  <c:v>13.979356657803219</c:v>
                </c:pt>
                <c:pt idx="37">
                  <c:v>13.979356657844006</c:v>
                </c:pt>
                <c:pt idx="38">
                  <c:v>13.979356657888689</c:v>
                </c:pt>
                <c:pt idx="39">
                  <c:v>13.979356657937698</c:v>
                </c:pt>
                <c:pt idx="40">
                  <c:v>13.979356657991426</c:v>
                </c:pt>
                <c:pt idx="41">
                  <c:v>13.979356658050312</c:v>
                </c:pt>
                <c:pt idx="42">
                  <c:v>13.979356658114927</c:v>
                </c:pt>
                <c:pt idx="43">
                  <c:v>13.979356658185768</c:v>
                </c:pt>
                <c:pt idx="44">
                  <c:v>13.979356658263402</c:v>
                </c:pt>
                <c:pt idx="45">
                  <c:v>13.979356658348598</c:v>
                </c:pt>
                <c:pt idx="46">
                  <c:v>13.979356658441958</c:v>
                </c:pt>
                <c:pt idx="47">
                  <c:v>13.979356658544317</c:v>
                </c:pt>
                <c:pt idx="48">
                  <c:v>13.97935665865659</c:v>
                </c:pt>
                <c:pt idx="49">
                  <c:v>13.979356658779709</c:v>
                </c:pt>
                <c:pt idx="50">
                  <c:v>13.979356658914634</c:v>
                </c:pt>
                <c:pt idx="51">
                  <c:v>13.979356659062635</c:v>
                </c:pt>
                <c:pt idx="52">
                  <c:v>13.9793566592249</c:v>
                </c:pt>
                <c:pt idx="53">
                  <c:v>13.979356659402811</c:v>
                </c:pt>
                <c:pt idx="54">
                  <c:v>13.979356659597883</c:v>
                </c:pt>
                <c:pt idx="55">
                  <c:v>13.979356659811819</c:v>
                </c:pt>
                <c:pt idx="56">
                  <c:v>13.979356660046371</c:v>
                </c:pt>
                <c:pt idx="57">
                  <c:v>13.979356660303534</c:v>
                </c:pt>
                <c:pt idx="58">
                  <c:v>13.979356660585488</c:v>
                </c:pt>
                <c:pt idx="59">
                  <c:v>13.979356660894702</c:v>
                </c:pt>
                <c:pt idx="60">
                  <c:v>13.979356661233691</c:v>
                </c:pt>
                <c:pt idx="61">
                  <c:v>13.97935666160544</c:v>
                </c:pt>
                <c:pt idx="62">
                  <c:v>13.979356662013039</c:v>
                </c:pt>
                <c:pt idx="63">
                  <c:v>13.979356662459955</c:v>
                </c:pt>
                <c:pt idx="64">
                  <c:v>13.979356662949984</c:v>
                </c:pt>
                <c:pt idx="65">
                  <c:v>13.979356663487284</c:v>
                </c:pt>
                <c:pt idx="66">
                  <c:v>13.97935666407639</c:v>
                </c:pt>
                <c:pt idx="67">
                  <c:v>13.979356664722411</c:v>
                </c:pt>
                <c:pt idx="68">
                  <c:v>13.979356665430727</c:v>
                </c:pt>
                <c:pt idx="69">
                  <c:v>13.979356666207361</c:v>
                </c:pt>
                <c:pt idx="70">
                  <c:v>13.979356667058948</c:v>
                </c:pt>
                <c:pt idx="71">
                  <c:v>13.979356667992679</c:v>
                </c:pt>
                <c:pt idx="72">
                  <c:v>13.979356669016511</c:v>
                </c:pt>
                <c:pt idx="73">
                  <c:v>13.979356670139095</c:v>
                </c:pt>
                <c:pt idx="74">
                  <c:v>13.979356671370004</c:v>
                </c:pt>
                <c:pt idx="75">
                  <c:v>13.979356672719618</c:v>
                </c:pt>
                <c:pt idx="76">
                  <c:v>13.979356674199526</c:v>
                </c:pt>
                <c:pt idx="77">
                  <c:v>13.979356675822183</c:v>
                </c:pt>
                <c:pt idx="78">
                  <c:v>13.979356677601363</c:v>
                </c:pt>
                <c:pt idx="79">
                  <c:v>13.979356679552218</c:v>
                </c:pt>
                <c:pt idx="80">
                  <c:v>13.979356681691257</c:v>
                </c:pt>
                <c:pt idx="81">
                  <c:v>13.979356684036699</c:v>
                </c:pt>
                <c:pt idx="82">
                  <c:v>13.979356686608407</c:v>
                </c:pt>
                <c:pt idx="83">
                  <c:v>13.979356689428243</c:v>
                </c:pt>
                <c:pt idx="84">
                  <c:v>13.979356692520126</c:v>
                </c:pt>
                <c:pt idx="85">
                  <c:v>13.979356695910287</c:v>
                </c:pt>
                <c:pt idx="86">
                  <c:v>13.97935669962758</c:v>
                </c:pt>
                <c:pt idx="87">
                  <c:v>13.979356703703459</c:v>
                </c:pt>
                <c:pt idx="88">
                  <c:v>13.97935670817259</c:v>
                </c:pt>
                <c:pt idx="89">
                  <c:v>13.979356713072903</c:v>
                </c:pt>
                <c:pt idx="90">
                  <c:v>13.979356718445953</c:v>
                </c:pt>
                <c:pt idx="91">
                  <c:v>13.979356724337409</c:v>
                </c:pt>
                <c:pt idx="92">
                  <c:v>13.979356730797306</c:v>
                </c:pt>
                <c:pt idx="93">
                  <c:v>13.979356737880371</c:v>
                </c:pt>
                <c:pt idx="94">
                  <c:v>13.979356745646822</c:v>
                </c:pt>
                <c:pt idx="95">
                  <c:v>13.979356754162563</c:v>
                </c:pt>
                <c:pt idx="96">
                  <c:v>13.979356763499933</c:v>
                </c:pt>
                <c:pt idx="97">
                  <c:v>13.979356773738086</c:v>
                </c:pt>
                <c:pt idx="98">
                  <c:v>13.979356784964059</c:v>
                </c:pt>
                <c:pt idx="99">
                  <c:v>13.979356797273033</c:v>
                </c:pt>
                <c:pt idx="100">
                  <c:v>13.979356810769625</c:v>
                </c:pt>
                <c:pt idx="101">
                  <c:v>13.979356825568285</c:v>
                </c:pt>
                <c:pt idx="102">
                  <c:v>13.979356841794717</c:v>
                </c:pt>
                <c:pt idx="103">
                  <c:v>13.979356859586654</c:v>
                </c:pt>
                <c:pt idx="104">
                  <c:v>13.979356879095095</c:v>
                </c:pt>
                <c:pt idx="105">
                  <c:v>13.979356900485691</c:v>
                </c:pt>
                <c:pt idx="106">
                  <c:v>13.979356923940031</c:v>
                </c:pt>
                <c:pt idx="107">
                  <c:v>13.979356949657193</c:v>
                </c:pt>
                <c:pt idx="108">
                  <c:v>13.979356977855478</c:v>
                </c:pt>
                <c:pt idx="109">
                  <c:v>13.979357008774304</c:v>
                </c:pt>
                <c:pt idx="110">
                  <c:v>13.979357042676108</c:v>
                </c:pt>
                <c:pt idx="111">
                  <c:v>13.979357079848731</c:v>
                </c:pt>
                <c:pt idx="112">
                  <c:v>13.979357120607665</c:v>
                </c:pt>
                <c:pt idx="113">
                  <c:v>13.979357165298932</c:v>
                </c:pt>
                <c:pt idx="114">
                  <c:v>13.97935721430197</c:v>
                </c:pt>
                <c:pt idx="115">
                  <c:v>13.979357268032757</c:v>
                </c:pt>
                <c:pt idx="116">
                  <c:v>13.979357326947333</c:v>
                </c:pt>
                <c:pt idx="117">
                  <c:v>13.979357391545918</c:v>
                </c:pt>
                <c:pt idx="118">
                  <c:v>13.97935746237682</c:v>
                </c:pt>
                <c:pt idx="119">
                  <c:v>13.979357540041404</c:v>
                </c:pt>
                <c:pt idx="120">
                  <c:v>13.979357625198894</c:v>
                </c:pt>
                <c:pt idx="121">
                  <c:v>13.979357718572247</c:v>
                </c:pt>
                <c:pt idx="122">
                  <c:v>13.979357820954082</c:v>
                </c:pt>
                <c:pt idx="123">
                  <c:v>13.979357933213532</c:v>
                </c:pt>
                <c:pt idx="124">
                  <c:v>13.979358056303576</c:v>
                </c:pt>
                <c:pt idx="125">
                  <c:v>13.97935819126914</c:v>
                </c:pt>
                <c:pt idx="126">
                  <c:v>13.979358339255914</c:v>
                </c:pt>
                <c:pt idx="127">
                  <c:v>13.979358501520181</c:v>
                </c:pt>
                <c:pt idx="128">
                  <c:v>13.979358679439411</c:v>
                </c:pt>
                <c:pt idx="129">
                  <c:v>13.979358874523964</c:v>
                </c:pt>
                <c:pt idx="130">
                  <c:v>13.979359088429909</c:v>
                </c:pt>
                <c:pt idx="131">
                  <c:v>13.979359322973121</c:v>
                </c:pt>
                <c:pt idx="132">
                  <c:v>13.979359580144608</c:v>
                </c:pt>
                <c:pt idx="133">
                  <c:v>13.979359862127577</c:v>
                </c:pt>
                <c:pt idx="134">
                  <c:v>13.979360171315731</c:v>
                </c:pt>
                <c:pt idx="135">
                  <c:v>13.979360510333761</c:v>
                </c:pt>
                <c:pt idx="136">
                  <c:v>13.979360882059646</c:v>
                </c:pt>
                <c:pt idx="137">
                  <c:v>13.979361289648985</c:v>
                </c:pt>
                <c:pt idx="138">
                  <c:v>13.979361736561753</c:v>
                </c:pt>
                <c:pt idx="139">
                  <c:v>13.979362226591871</c:v>
                </c:pt>
                <c:pt idx="140">
                  <c:v>13.979362763899157</c:v>
                </c:pt>
                <c:pt idx="141">
                  <c:v>13.97936335304488</c:v>
                </c:pt>
                <c:pt idx="142">
                  <c:v>13.979363999030266</c:v>
                </c:pt>
                <c:pt idx="143">
                  <c:v>13.979364707339093</c:v>
                </c:pt>
                <c:pt idx="144">
                  <c:v>13.979365483984285</c:v>
                </c:pt>
                <c:pt idx="145">
                  <c:v>13.979366335558701</c:v>
                </c:pt>
                <c:pt idx="146">
                  <c:v>13.979367269291377</c:v>
                </c:pt>
                <c:pt idx="147">
                  <c:v>13.979368293108887</c:v>
                </c:pt>
                <c:pt idx="148">
                  <c:v>13.979369415702326</c:v>
                </c:pt>
                <c:pt idx="149">
                  <c:v>13.979370646601396</c:v>
                </c:pt>
                <c:pt idx="150">
                  <c:v>13.979371996255313</c:v>
                </c:pt>
                <c:pt idx="151">
                  <c:v>13.979373476121186</c:v>
                </c:pt>
                <c:pt idx="152">
                  <c:v>13.979375098761572</c:v>
                </c:pt>
                <c:pt idx="153">
                  <c:v>13.979376877951177</c:v>
                </c:pt>
                <c:pt idx="154">
                  <c:v>13.97937882879344</c:v>
                </c:pt>
                <c:pt idx="155">
                  <c:v>13.979380967849089</c:v>
                </c:pt>
                <c:pt idx="156">
                  <c:v>13.979383313276488</c:v>
                </c:pt>
                <c:pt idx="157">
                  <c:v>13.979385884985945</c:v>
                </c:pt>
                <c:pt idx="158">
                  <c:v>13.979388704808624</c:v>
                </c:pt>
                <c:pt idx="159">
                  <c:v>13.979391796681943</c:v>
                </c:pt>
                <c:pt idx="160">
                  <c:v>13.979395186852599</c:v>
                </c:pt>
                <c:pt idx="161">
                  <c:v>13.979398904099739</c:v>
                </c:pt>
                <c:pt idx="162">
                  <c:v>13.979402979978719</c:v>
                </c:pt>
                <c:pt idx="163">
                  <c:v>13.979407449089507</c:v>
                </c:pt>
                <c:pt idx="164">
                  <c:v>13.979412349370062</c:v>
                </c:pt>
                <c:pt idx="165">
                  <c:v>13.979417722418415</c:v>
                </c:pt>
                <c:pt idx="166">
                  <c:v>13.979423613845901</c:v>
                </c:pt>
                <c:pt idx="167">
                  <c:v>13.979430073664144</c:v>
                </c:pt>
                <c:pt idx="168">
                  <c:v>13.97943715670988</c:v>
                </c:pt>
                <c:pt idx="169">
                  <c:v>13.979444923110071</c:v>
                </c:pt>
                <c:pt idx="170">
                  <c:v>13.979453438792488</c:v>
                </c:pt>
                <c:pt idx="171">
                  <c:v>13.979462776045263</c:v>
                </c:pt>
                <c:pt idx="172">
                  <c:v>13.979473014130676</c:v>
                </c:pt>
                <c:pt idx="173">
                  <c:v>13.979484239957504</c:v>
                </c:pt>
                <c:pt idx="174">
                  <c:v>13.979496548819291</c:v>
                </c:pt>
                <c:pt idx="175">
                  <c:v>13.979510045202677</c:v>
                </c:pt>
                <c:pt idx="176">
                  <c:v>13.979524843674497</c:v>
                </c:pt>
                <c:pt idx="177">
                  <c:v>13.979541069854216</c:v>
                </c:pt>
                <c:pt idx="178">
                  <c:v>13.979558861480095</c:v>
                </c:pt>
                <c:pt idx="179">
                  <c:v>13.97957836957826</c:v>
                </c:pt>
                <c:pt idx="180">
                  <c:v>13.979599759744341</c:v>
                </c:pt>
                <c:pt idx="181">
                  <c:v>13.9796232135492</c:v>
                </c:pt>
                <c:pt idx="182">
                  <c:v>13.979648930079726</c:v>
                </c:pt>
                <c:pt idx="183">
                  <c:v>13.979677127628412</c:v>
                </c:pt>
                <c:pt idx="184">
                  <c:v>13.979708045546012</c:v>
                </c:pt>
                <c:pt idx="185">
                  <c:v>13.979741946272718</c:v>
                </c:pt>
                <c:pt idx="186">
                  <c:v>13.979779117565217</c:v>
                </c:pt>
                <c:pt idx="187">
                  <c:v>13.979819874938382</c:v>
                </c:pt>
                <c:pt idx="188">
                  <c:v>13.97986456434287</c:v>
                </c:pt>
                <c:pt idx="189">
                  <c:v>13.97991356510035</c:v>
                </c:pt>
                <c:pt idx="190">
                  <c:v>13.979967293121762</c:v>
                </c:pt>
                <c:pt idx="191">
                  <c:v>13.980026204436438</c:v>
                </c:pt>
                <c:pt idx="192">
                  <c:v>13.980090799060555</c:v>
                </c:pt>
                <c:pt idx="193">
                  <c:v>13.980161625239251</c:v>
                </c:pt>
                <c:pt idx="194">
                  <c:v>13.980239284097063</c:v>
                </c:pt>
                <c:pt idx="195">
                  <c:v>13.980324434736843</c:v>
                </c:pt>
                <c:pt idx="196">
                  <c:v>13.980417799830011</c:v>
                </c:pt>
                <c:pt idx="197">
                  <c:v>13.980520171745173</c:v>
                </c:pt>
                <c:pt idx="198">
                  <c:v>13.980632419267568</c:v>
                </c:pt>
                <c:pt idx="199">
                  <c:v>13.980755494965569</c:v>
                </c:pt>
                <c:pt idx="200">
                  <c:v>13.98089044326662</c:v>
                </c:pt>
                <c:pt idx="201">
                  <c:v>13.981038409311077</c:v>
                </c:pt>
                <c:pt idx="202">
                  <c:v>13.981200648658209</c:v>
                </c:pt>
                <c:pt idx="203">
                  <c:v>13.981378537926844</c:v>
                </c:pt>
                <c:pt idx="204">
                  <c:v>13.981573586459762</c:v>
                </c:pt>
                <c:pt idx="205">
                  <c:v>13.981787449110639</c:v>
                </c:pt>
                <c:pt idx="206">
                  <c:v>13.982021940260674</c:v>
                </c:pt>
                <c:pt idx="207">
                  <c:v>13.982279049183649</c:v>
                </c:pt>
                <c:pt idx="208">
                  <c:v>13.982560956887555</c:v>
                </c:pt>
                <c:pt idx="209">
                  <c:v>13.982870054574848</c:v>
                </c:pt>
                <c:pt idx="210">
                  <c:v>13.98320896387637</c:v>
                </c:pt>
                <c:pt idx="211">
                  <c:v>13.983580559027772</c:v>
                </c:pt>
                <c:pt idx="212">
                  <c:v>13.983987991174951</c:v>
                </c:pt>
                <c:pt idx="213">
                  <c:v>13.984434715010606</c:v>
                </c:pt>
                <c:pt idx="214">
                  <c:v>13.984924517965061</c:v>
                </c:pt>
                <c:pt idx="215">
                  <c:v>13.985461552194456</c:v>
                </c:pt>
                <c:pt idx="216">
                  <c:v>13.986050369631261</c:v>
                </c:pt>
                <c:pt idx="217">
                  <c:v>13.986695960389968</c:v>
                </c:pt>
                <c:pt idx="218">
                  <c:v>13.987403794843733</c:v>
                </c:pt>
                <c:pt idx="219">
                  <c:v>13.988179869721547</c:v>
                </c:pt>
                <c:pt idx="220">
                  <c:v>13.989030758604457</c:v>
                </c:pt>
                <c:pt idx="221">
                  <c:v>13.989963667235967</c:v>
                </c:pt>
                <c:pt idx="222">
                  <c:v>13.99098649410044</c:v>
                </c:pt>
                <c:pt idx="223">
                  <c:v>13.992107896762002</c:v>
                </c:pt>
                <c:pt idx="224">
                  <c:v>13.993337364505189</c:v>
                </c:pt>
                <c:pt idx="225">
                  <c:v>13.994685297864145</c:v>
                </c:pt>
                <c:pt idx="226">
                  <c:v>13.99616309568097</c:v>
                </c:pt>
                <c:pt idx="227">
                  <c:v>13.997783250392175</c:v>
                </c:pt>
                <c:pt idx="228">
                  <c:v>13.999559452301447</c:v>
                </c:pt>
                <c:pt idx="229">
                  <c:v>14.001506703665253</c:v>
                </c:pt>
                <c:pt idx="230">
                  <c:v>14.003641443488817</c:v>
                </c:pt>
                <c:pt idx="231">
                  <c:v>14.005981684006461</c:v>
                </c:pt>
                <c:pt idx="232">
                  <c:v>14.008547159903685</c:v>
                </c:pt>
                <c:pt idx="233">
                  <c:v>14.011359491424995</c:v>
                </c:pt>
                <c:pt idx="234">
                  <c:v>14.014442362607561</c:v>
                </c:pt>
                <c:pt idx="235">
                  <c:v>14.017821715977819</c:v>
                </c:pt>
                <c:pt idx="236">
                  <c:v>14.021525965157116</c:v>
                </c:pt>
                <c:pt idx="237">
                  <c:v>14.02558622693136</c:v>
                </c:pt>
                <c:pt idx="238">
                  <c:v>14.030036574457647</c:v>
                </c:pt>
                <c:pt idx="239">
                  <c:v>14.034914313403892</c:v>
                </c:pt>
                <c:pt idx="240">
                  <c:v>14.040260282942214</c:v>
                </c:pt>
                <c:pt idx="241">
                  <c:v>14.046119183649338</c:v>
                </c:pt>
                <c:pt idx="242">
                  <c:v>14.05253993449813</c:v>
                </c:pt>
                <c:pt idx="243">
                  <c:v>14.059576061260781</c:v>
                </c:pt>
                <c:pt idx="244">
                  <c:v>14.067286118775089</c:v>
                </c:pt>
                <c:pt idx="245">
                  <c:v>14.075734149658665</c:v>
                </c:pt>
                <c:pt idx="246">
                  <c:v>14.08499018217813</c:v>
                </c:pt>
                <c:pt idx="247">
                  <c:v>14.095130770099349</c:v>
                </c:pt>
                <c:pt idx="248">
                  <c:v>14.106239577445974</c:v>
                </c:pt>
                <c:pt idx="249">
                  <c:v>14.118408011181494</c:v>
                </c:pt>
                <c:pt idx="250">
                  <c:v>14.13173590489369</c:v>
                </c:pt>
                <c:pt idx="251">
                  <c:v>14.146332256595851</c:v>
                </c:pt>
                <c:pt idx="252">
                  <c:v>14.162316023762367</c:v>
                </c:pt>
                <c:pt idx="253">
                  <c:v>14.179816978675072</c:v>
                </c:pt>
                <c:pt idx="254">
                  <c:v>14.198976627069115</c:v>
                </c:pt>
                <c:pt idx="255">
                  <c:v>14.219949192924656</c:v>
                </c:pt>
                <c:pt idx="256">
                  <c:v>14.242902672041019</c:v>
                </c:pt>
                <c:pt idx="257">
                  <c:v>14.268019956757836</c:v>
                </c:pt>
                <c:pt idx="258">
                  <c:v>14.295500033836593</c:v>
                </c:pt>
                <c:pt idx="259">
                  <c:v>14.325559257093188</c:v>
                </c:pt>
                <c:pt idx="260">
                  <c:v>14.358432695873834</c:v>
                </c:pt>
                <c:pt idx="261">
                  <c:v>14.394375559904493</c:v>
                </c:pt>
                <c:pt idx="262">
                  <c:v>14.433664700425359</c:v>
                </c:pt>
                <c:pt idx="263">
                  <c:v>14.476600186878553</c:v>
                </c:pt>
                <c:pt idx="264">
                  <c:v>14.52350695777282</c:v>
                </c:pt>
                <c:pt idx="265">
                  <c:v>14.574736543758952</c:v>
                </c:pt>
                <c:pt idx="266">
                  <c:v>14.630668860465741</c:v>
                </c:pt>
                <c:pt idx="267">
                  <c:v>14.69171406835593</c:v>
                </c:pt>
                <c:pt idx="268">
                  <c:v>14.758314496837961</c:v>
                </c:pt>
                <c:pt idx="269">
                  <c:v>14.830946630233313</c:v>
                </c:pt>
                <c:pt idx="270">
                  <c:v>14.910123154033091</c:v>
                </c:pt>
                <c:pt idx="271">
                  <c:v>14.996395061290348</c:v>
                </c:pt>
                <c:pt idx="272">
                  <c:v>15.090353821027598</c:v>
                </c:pt>
                <c:pt idx="273">
                  <c:v>15.192633613185984</c:v>
                </c:pt>
                <c:pt idx="274">
                  <c:v>15.303913637739193</c:v>
                </c:pt>
                <c:pt idx="275">
                  <c:v>15.424920508780327</c:v>
                </c:pt>
                <c:pt idx="276">
                  <c:v>15.556430746917405</c:v>
                </c:pt>
                <c:pt idx="277">
                  <c:v>15.699273383902732</c:v>
                </c:pt>
                <c:pt idx="278">
                  <c:v>15.854332689910224</c:v>
                </c:pt>
                <c:pt idx="279">
                  <c:v>16.022551022789987</c:v>
                </c:pt>
                <c:pt idx="280">
                  <c:v>16.204931774466964</c:v>
                </c:pt>
                <c:pt idx="281">
                  <c:v>16.402542343801574</c:v>
                </c:pt>
                <c:pt idx="282">
                  <c:v>16.616516984275822</c:v>
                </c:pt>
                <c:pt idx="283">
                  <c:v>16.848059237907258</c:v>
                </c:pt>
                <c:pt idx="284">
                  <c:v>17.098443441183441</c:v>
                </c:pt>
                <c:pt idx="285">
                  <c:v>17.369014423333482</c:v>
                </c:pt>
                <c:pt idx="286">
                  <c:v>17.661183931218353</c:v>
                </c:pt>
                <c:pt idx="287">
                  <c:v>17.976421380864839</c:v>
                </c:pt>
                <c:pt idx="288">
                  <c:v>18.316235051002302</c:v>
                </c:pt>
                <c:pt idx="289">
                  <c:v>18.682137479492727</c:v>
                </c:pt>
                <c:pt idx="290">
                  <c:v>19.075585099858021</c:v>
                </c:pt>
                <c:pt idx="291">
                  <c:v>19.497876298671457</c:v>
                </c:pt>
                <c:pt idx="292">
                  <c:v>19.949982971217764</c:v>
                </c:pt>
                <c:pt idx="293">
                  <c:v>20.432276830786265</c:v>
                </c:pt>
                <c:pt idx="294">
                  <c:v>20.944091691539256</c:v>
                </c:pt>
                <c:pt idx="295">
                  <c:v>21.483036572674227</c:v>
                </c:pt>
                <c:pt idx="296">
                  <c:v>22.043947201266864</c:v>
                </c:pt>
                <c:pt idx="297">
                  <c:v>22.617356824446805</c:v>
                </c:pt>
                <c:pt idx="298">
                  <c:v>23.187440197025193</c:v>
                </c:pt>
                <c:pt idx="299">
                  <c:v>23.729662560521735</c:v>
                </c:pt>
                <c:pt idx="300">
                  <c:v>24.20902768186259</c:v>
                </c:pt>
                <c:pt idx="301">
                  <c:v>24.580882066456873</c:v>
                </c:pt>
                <c:pt idx="302">
                  <c:v>24.796930290062576</c:v>
                </c:pt>
                <c:pt idx="303">
                  <c:v>24.817442073778007</c:v>
                </c:pt>
                <c:pt idx="304">
                  <c:v>24.625356611339932</c:v>
                </c:pt>
                <c:pt idx="305">
                  <c:v>24.233324795404997</c:v>
                </c:pt>
                <c:pt idx="306">
                  <c:v>23.678207151627696</c:v>
                </c:pt>
                <c:pt idx="307">
                  <c:v>23.007364314929863</c:v>
                </c:pt>
                <c:pt idx="308">
                  <c:v>22.26581795818214</c:v>
                </c:pt>
                <c:pt idx="309">
                  <c:v>21.489399535055604</c:v>
                </c:pt>
                <c:pt idx="310">
                  <c:v>20.70341424018153</c:v>
                </c:pt>
                <c:pt idx="311">
                  <c:v>19.924197681429231</c:v>
                </c:pt>
                <c:pt idx="312">
                  <c:v>19.161463409732875</c:v>
                </c:pt>
                <c:pt idx="313">
                  <c:v>18.420424682122601</c:v>
                </c:pt>
                <c:pt idx="314">
                  <c:v>17.703396884205361</c:v>
                </c:pt>
                <c:pt idx="315">
                  <c:v>17.010905361969154</c:v>
                </c:pt>
                <c:pt idx="316">
                  <c:v>16.34241457647779</c:v>
                </c:pt>
                <c:pt idx="317">
                  <c:v>15.696793831521596</c:v>
                </c:pt>
                <c:pt idx="318">
                  <c:v>15.072608526307704</c:v>
                </c:pt>
                <c:pt idx="319">
                  <c:v>14.468298901966232</c:v>
                </c:pt>
                <c:pt idx="320">
                  <c:v>13.882287346933282</c:v>
                </c:pt>
                <c:pt idx="321">
                  <c:v>13.313040780004036</c:v>
                </c:pt>
                <c:pt idx="322">
                  <c:v>12.759105009647826</c:v>
                </c:pt>
                <c:pt idx="323">
                  <c:v>12.219121766561951</c:v>
                </c:pt>
                <c:pt idx="324">
                  <c:v>11.691835158390393</c:v>
                </c:pt>
                <c:pt idx="325">
                  <c:v>11.1760917956334</c:v>
                </c:pt>
                <c:pt idx="326">
                  <c:v>10.670837257134909</c:v>
                </c:pt>
                <c:pt idx="327">
                  <c:v>10.175110563625086</c:v>
                </c:pt>
                <c:pt idx="328">
                  <c:v>9.6880376944828548</c:v>
                </c:pt>
                <c:pt idx="329">
                  <c:v>9.2088247814074382</c:v>
                </c:pt>
                <c:pt idx="330">
                  <c:v>8.7367513582106877</c:v>
                </c:pt>
                <c:pt idx="331">
                  <c:v>8.271163884986489</c:v>
                </c:pt>
                <c:pt idx="332">
                  <c:v>7.8114696636173884</c:v>
                </c:pt>
                <c:pt idx="333">
                  <c:v>7.3571311984204533</c:v>
                </c:pt>
                <c:pt idx="334">
                  <c:v>6.90766101699068</c:v>
                </c:pt>
                <c:pt idx="335">
                  <c:v>6.4626169431501133</c:v>
                </c:pt>
                <c:pt idx="336">
                  <c:v>6.0215978007116755</c:v>
                </c:pt>
                <c:pt idx="337">
                  <c:v>5.5842395198494632</c:v>
                </c:pt>
                <c:pt idx="338">
                  <c:v>5.1502116148910986</c:v>
                </c:pt>
                <c:pt idx="339">
                  <c:v>4.7192140017785453</c:v>
                </c:pt>
                <c:pt idx="340">
                  <c:v>4.2909741243101358</c:v>
                </c:pt>
                <c:pt idx="341">
                  <c:v>3.8652443599481661</c:v>
                </c:pt>
                <c:pt idx="342">
                  <c:v>3.4417996780518041</c:v>
                </c:pt>
                <c:pt idx="343">
                  <c:v>3.0204355256338671</c:v>
                </c:pt>
                <c:pt idx="344">
                  <c:v>2.6009659179761151</c:v>
                </c:pt>
                <c:pt idx="345">
                  <c:v>2.1832217135988525</c:v>
                </c:pt>
                <c:pt idx="346">
                  <c:v>1.7670490551009974</c:v>
                </c:pt>
                <c:pt idx="347">
                  <c:v>1.352307959255727</c:v>
                </c:pt>
                <c:pt idx="348">
                  <c:v>0.93887104144871281</c:v>
                </c:pt>
                <c:pt idx="349">
                  <c:v>0.52662236108827276</c:v>
                </c:pt>
                <c:pt idx="350">
                  <c:v>0.11545637600359374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F3-44B9-9B1D-FC6D8D8C7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101904"/>
        <c:axId val="6741005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 (2)'!$H$3:$H$353</c:f>
              <c:numCache>
                <c:formatCode>General</c:formatCode>
                <c:ptCount val="351"/>
                <c:pt idx="0">
                  <c:v>1</c:v>
                </c:pt>
                <c:pt idx="1">
                  <c:v>1.0471285480508996</c:v>
                </c:pt>
                <c:pt idx="2">
                  <c:v>1.0964781961431849</c:v>
                </c:pt>
                <c:pt idx="3">
                  <c:v>1.148153621496883</c:v>
                </c:pt>
                <c:pt idx="4">
                  <c:v>1.2022644346174129</c:v>
                </c:pt>
                <c:pt idx="5">
                  <c:v>1.2589254117941673</c:v>
                </c:pt>
                <c:pt idx="6">
                  <c:v>1.318256738556407</c:v>
                </c:pt>
                <c:pt idx="7">
                  <c:v>1.380384264602885</c:v>
                </c:pt>
                <c:pt idx="8">
                  <c:v>1.4454397707459279</c:v>
                </c:pt>
                <c:pt idx="9">
                  <c:v>1.5135612484362084</c:v>
                </c:pt>
                <c:pt idx="10">
                  <c:v>1.584893192461114</c:v>
                </c:pt>
                <c:pt idx="11">
                  <c:v>1.6595869074375613</c:v>
                </c:pt>
                <c:pt idx="12">
                  <c:v>1.7378008287493762</c:v>
                </c:pt>
                <c:pt idx="13">
                  <c:v>1.8197008586099841</c:v>
                </c:pt>
                <c:pt idx="14">
                  <c:v>1.9054607179632479</c:v>
                </c:pt>
                <c:pt idx="15">
                  <c:v>1.9952623149688806</c:v>
                </c:pt>
                <c:pt idx="16">
                  <c:v>2.0892961308540405</c:v>
                </c:pt>
                <c:pt idx="17">
                  <c:v>2.1877616239495539</c:v>
                </c:pt>
                <c:pt idx="18">
                  <c:v>2.2908676527677745</c:v>
                </c:pt>
                <c:pt idx="19">
                  <c:v>2.3988329190194917</c:v>
                </c:pt>
                <c:pt idx="20">
                  <c:v>2.5118864315095819</c:v>
                </c:pt>
                <c:pt idx="21">
                  <c:v>2.6302679918953835</c:v>
                </c:pt>
                <c:pt idx="22">
                  <c:v>2.7542287033381685</c:v>
                </c:pt>
                <c:pt idx="23">
                  <c:v>2.8840315031266077</c:v>
                </c:pt>
                <c:pt idx="24">
                  <c:v>3.0199517204020192</c:v>
                </c:pt>
                <c:pt idx="25">
                  <c:v>3.1622776601683826</c:v>
                </c:pt>
                <c:pt idx="26">
                  <c:v>3.3113112148259143</c:v>
                </c:pt>
                <c:pt idx="27">
                  <c:v>3.4673685045253198</c:v>
                </c:pt>
                <c:pt idx="28">
                  <c:v>3.6307805477010175</c:v>
                </c:pt>
                <c:pt idx="29">
                  <c:v>3.8018939632056159</c:v>
                </c:pt>
                <c:pt idx="30">
                  <c:v>3.9810717055349776</c:v>
                </c:pt>
                <c:pt idx="31">
                  <c:v>4.1686938347033582</c:v>
                </c:pt>
                <c:pt idx="32">
                  <c:v>4.3651583224016655</c:v>
                </c:pt>
                <c:pt idx="33">
                  <c:v>4.5708818961487561</c:v>
                </c:pt>
                <c:pt idx="34">
                  <c:v>4.7863009232263893</c:v>
                </c:pt>
                <c:pt idx="35">
                  <c:v>5.0118723362727291</c:v>
                </c:pt>
                <c:pt idx="36">
                  <c:v>5.2480746024977343</c:v>
                </c:pt>
                <c:pt idx="37">
                  <c:v>5.4954087385762538</c:v>
                </c:pt>
                <c:pt idx="38">
                  <c:v>5.7543993733715784</c:v>
                </c:pt>
                <c:pt idx="39">
                  <c:v>6.0255958607435867</c:v>
                </c:pt>
                <c:pt idx="40">
                  <c:v>6.3095734448019414</c:v>
                </c:pt>
                <c:pt idx="41">
                  <c:v>6.60693448007597</c:v>
                </c:pt>
                <c:pt idx="42">
                  <c:v>6.9183097091893755</c:v>
                </c:pt>
                <c:pt idx="43">
                  <c:v>7.2443596007499096</c:v>
                </c:pt>
                <c:pt idx="44">
                  <c:v>7.585775750291849</c:v>
                </c:pt>
                <c:pt idx="45">
                  <c:v>7.9432823472428264</c:v>
                </c:pt>
                <c:pt idx="46">
                  <c:v>8.3176377110267214</c:v>
                </c:pt>
                <c:pt idx="47">
                  <c:v>8.7096358995608192</c:v>
                </c:pt>
                <c:pt idx="48">
                  <c:v>9.1201083935591107</c:v>
                </c:pt>
                <c:pt idx="49">
                  <c:v>9.5499258602143726</c:v>
                </c:pt>
                <c:pt idx="50">
                  <c:v>10.000000000000014</c:v>
                </c:pt>
                <c:pt idx="51">
                  <c:v>10.47128548050901</c:v>
                </c:pt>
                <c:pt idx="52">
                  <c:v>10.964781961431866</c:v>
                </c:pt>
                <c:pt idx="53">
                  <c:v>11.481536214968845</c:v>
                </c:pt>
                <c:pt idx="54">
                  <c:v>12.022644346174147</c:v>
                </c:pt>
                <c:pt idx="55">
                  <c:v>12.589254117941691</c:v>
                </c:pt>
                <c:pt idx="56">
                  <c:v>13.18256738556409</c:v>
                </c:pt>
                <c:pt idx="57">
                  <c:v>13.803842646028869</c:v>
                </c:pt>
                <c:pt idx="58">
                  <c:v>14.454397707459297</c:v>
                </c:pt>
                <c:pt idx="59">
                  <c:v>15.135612484362104</c:v>
                </c:pt>
                <c:pt idx="60">
                  <c:v>15.848931924611158</c:v>
                </c:pt>
                <c:pt idx="61">
                  <c:v>16.595869074375628</c:v>
                </c:pt>
                <c:pt idx="62">
                  <c:v>17.378008287493778</c:v>
                </c:pt>
                <c:pt idx="63">
                  <c:v>18.197008586099862</c:v>
                </c:pt>
                <c:pt idx="64">
                  <c:v>19.054607179632498</c:v>
                </c:pt>
                <c:pt idx="65">
                  <c:v>19.952623149688826</c:v>
                </c:pt>
                <c:pt idx="66">
                  <c:v>20.892961308540428</c:v>
                </c:pt>
                <c:pt idx="67">
                  <c:v>21.877616239495559</c:v>
                </c:pt>
                <c:pt idx="68">
                  <c:v>22.908676527677766</c:v>
                </c:pt>
                <c:pt idx="69">
                  <c:v>23.988329190194943</c:v>
                </c:pt>
                <c:pt idx="70">
                  <c:v>25.118864315095841</c:v>
                </c:pt>
                <c:pt idx="71">
                  <c:v>26.302679918953867</c:v>
                </c:pt>
                <c:pt idx="72">
                  <c:v>27.542287033381715</c:v>
                </c:pt>
                <c:pt idx="73">
                  <c:v>28.840315031266112</c:v>
                </c:pt>
                <c:pt idx="74">
                  <c:v>30.199517204020218</c:v>
                </c:pt>
                <c:pt idx="75">
                  <c:v>31.622776601683853</c:v>
                </c:pt>
                <c:pt idx="76">
                  <c:v>33.113112148259177</c:v>
                </c:pt>
                <c:pt idx="77">
                  <c:v>34.673685045253237</c:v>
                </c:pt>
                <c:pt idx="78">
                  <c:v>36.307805477010206</c:v>
                </c:pt>
                <c:pt idx="79">
                  <c:v>38.018939632056195</c:v>
                </c:pt>
                <c:pt idx="80">
                  <c:v>39.810717055349805</c:v>
                </c:pt>
                <c:pt idx="81">
                  <c:v>41.686938347033625</c:v>
                </c:pt>
                <c:pt idx="82">
                  <c:v>43.651583224016697</c:v>
                </c:pt>
                <c:pt idx="83">
                  <c:v>45.708818961487616</c:v>
                </c:pt>
                <c:pt idx="84">
                  <c:v>47.863009232263948</c:v>
                </c:pt>
                <c:pt idx="85">
                  <c:v>50.118723362727351</c:v>
                </c:pt>
                <c:pt idx="86">
                  <c:v>52.480746024977385</c:v>
                </c:pt>
                <c:pt idx="87">
                  <c:v>54.954087385762591</c:v>
                </c:pt>
                <c:pt idx="88">
                  <c:v>57.543993733715837</c:v>
                </c:pt>
                <c:pt idx="89">
                  <c:v>60.255958607435929</c:v>
                </c:pt>
                <c:pt idx="90">
                  <c:v>63.095734448019485</c:v>
                </c:pt>
                <c:pt idx="91">
                  <c:v>66.069344800759765</c:v>
                </c:pt>
                <c:pt idx="92">
                  <c:v>69.183097091893842</c:v>
                </c:pt>
                <c:pt idx="93">
                  <c:v>72.443596007499195</c:v>
                </c:pt>
                <c:pt idx="94">
                  <c:v>75.857757502918574</c:v>
                </c:pt>
                <c:pt idx="95">
                  <c:v>79.432823472428396</c:v>
                </c:pt>
                <c:pt idx="96">
                  <c:v>83.176377110267339</c:v>
                </c:pt>
                <c:pt idx="97">
                  <c:v>87.096358995608341</c:v>
                </c:pt>
                <c:pt idx="98">
                  <c:v>91.201083935591228</c:v>
                </c:pt>
                <c:pt idx="99">
                  <c:v>95.499258602143883</c:v>
                </c:pt>
                <c:pt idx="100">
                  <c:v>100.00000000000028</c:v>
                </c:pt>
                <c:pt idx="101">
                  <c:v>104.71285480509023</c:v>
                </c:pt>
                <c:pt idx="102">
                  <c:v>109.64781961431882</c:v>
                </c:pt>
                <c:pt idx="103">
                  <c:v>114.81536214968858</c:v>
                </c:pt>
                <c:pt idx="104">
                  <c:v>120.22644346174164</c:v>
                </c:pt>
                <c:pt idx="105">
                  <c:v>125.89254117941708</c:v>
                </c:pt>
                <c:pt idx="106">
                  <c:v>131.8256738556411</c:v>
                </c:pt>
                <c:pt idx="107">
                  <c:v>138.03842646028889</c:v>
                </c:pt>
                <c:pt idx="108">
                  <c:v>144.54397707459319</c:v>
                </c:pt>
                <c:pt idx="109">
                  <c:v>151.35612484362133</c:v>
                </c:pt>
                <c:pt idx="110">
                  <c:v>158.48931924611185</c:v>
                </c:pt>
                <c:pt idx="111">
                  <c:v>165.95869074375662</c:v>
                </c:pt>
                <c:pt idx="112">
                  <c:v>173.7800828749381</c:v>
                </c:pt>
                <c:pt idx="113">
                  <c:v>181.97008586099898</c:v>
                </c:pt>
                <c:pt idx="114">
                  <c:v>190.54607179632535</c:v>
                </c:pt>
                <c:pt idx="115">
                  <c:v>199.52623149688867</c:v>
                </c:pt>
                <c:pt idx="116">
                  <c:v>208.92961308540464</c:v>
                </c:pt>
                <c:pt idx="117">
                  <c:v>218.77616239495606</c:v>
                </c:pt>
                <c:pt idx="118">
                  <c:v>229.0867652767781</c:v>
                </c:pt>
                <c:pt idx="119">
                  <c:v>239.88329190194992</c:v>
                </c:pt>
                <c:pt idx="120">
                  <c:v>251.18864315095888</c:v>
                </c:pt>
                <c:pt idx="121">
                  <c:v>263.02679918953919</c:v>
                </c:pt>
                <c:pt idx="122">
                  <c:v>275.42287033381763</c:v>
                </c:pt>
                <c:pt idx="123">
                  <c:v>288.40315031266169</c:v>
                </c:pt>
                <c:pt idx="124">
                  <c:v>301.99517204020287</c:v>
                </c:pt>
                <c:pt idx="125">
                  <c:v>316.22776601683915</c:v>
                </c:pt>
                <c:pt idx="126">
                  <c:v>331.13112148259245</c:v>
                </c:pt>
                <c:pt idx="127">
                  <c:v>346.73685045253302</c:v>
                </c:pt>
                <c:pt idx="128">
                  <c:v>363.07805477010282</c:v>
                </c:pt>
                <c:pt idx="129">
                  <c:v>380.18939632056276</c:v>
                </c:pt>
                <c:pt idx="130">
                  <c:v>398.10717055349897</c:v>
                </c:pt>
                <c:pt idx="131">
                  <c:v>416.86938347033708</c:v>
                </c:pt>
                <c:pt idx="132">
                  <c:v>436.51583224016781</c:v>
                </c:pt>
                <c:pt idx="133">
                  <c:v>457.08818961487691</c:v>
                </c:pt>
                <c:pt idx="134">
                  <c:v>478.63009232264039</c:v>
                </c:pt>
                <c:pt idx="135">
                  <c:v>501.1872336272744</c:v>
                </c:pt>
                <c:pt idx="136">
                  <c:v>524.80746024977498</c:v>
                </c:pt>
                <c:pt idx="137">
                  <c:v>549.54087385762716</c:v>
                </c:pt>
                <c:pt idx="138">
                  <c:v>575.43993733715956</c:v>
                </c:pt>
                <c:pt idx="139">
                  <c:v>602.55958607436037</c:v>
                </c:pt>
                <c:pt idx="140">
                  <c:v>630.95734448019641</c:v>
                </c:pt>
                <c:pt idx="141">
                  <c:v>660.69344800759927</c:v>
                </c:pt>
                <c:pt idx="142">
                  <c:v>691.83097091893967</c:v>
                </c:pt>
                <c:pt idx="143">
                  <c:v>724.4359600749932</c:v>
                </c:pt>
                <c:pt idx="144">
                  <c:v>758.57757502918776</c:v>
                </c:pt>
                <c:pt idx="145">
                  <c:v>794.32823472428538</c:v>
                </c:pt>
                <c:pt idx="146">
                  <c:v>831.76377110267492</c:v>
                </c:pt>
                <c:pt idx="147">
                  <c:v>870.96358995608455</c:v>
                </c:pt>
                <c:pt idx="148">
                  <c:v>912.01083935591453</c:v>
                </c:pt>
                <c:pt idx="149">
                  <c:v>954.99258602144084</c:v>
                </c:pt>
                <c:pt idx="150">
                  <c:v>1000.0000000000048</c:v>
                </c:pt>
                <c:pt idx="151">
                  <c:v>1047.1285480509046</c:v>
                </c:pt>
                <c:pt idx="152">
                  <c:v>1096.47819614319</c:v>
                </c:pt>
                <c:pt idx="153">
                  <c:v>1148.1536214968876</c:v>
                </c:pt>
                <c:pt idx="154">
                  <c:v>1202.2644346174188</c:v>
                </c:pt>
                <c:pt idx="155">
                  <c:v>1258.9254117941732</c:v>
                </c:pt>
                <c:pt idx="156">
                  <c:v>1318.2567385564132</c:v>
                </c:pt>
                <c:pt idx="157">
                  <c:v>1380.3842646028909</c:v>
                </c:pt>
                <c:pt idx="158">
                  <c:v>1445.439770745935</c:v>
                </c:pt>
                <c:pt idx="159">
                  <c:v>1513.5612484362155</c:v>
                </c:pt>
                <c:pt idx="160">
                  <c:v>1584.8931924611211</c:v>
                </c:pt>
                <c:pt idx="161">
                  <c:v>1659.5869074375696</c:v>
                </c:pt>
                <c:pt idx="162">
                  <c:v>1737.8008287493847</c:v>
                </c:pt>
                <c:pt idx="163">
                  <c:v>1819.7008586099926</c:v>
                </c:pt>
                <c:pt idx="164">
                  <c:v>1905.4607179632562</c:v>
                </c:pt>
                <c:pt idx="165">
                  <c:v>1995.2623149688907</c:v>
                </c:pt>
                <c:pt idx="166">
                  <c:v>2089.2961308540507</c:v>
                </c:pt>
                <c:pt idx="167">
                  <c:v>2187.7616239495642</c:v>
                </c:pt>
                <c:pt idx="168">
                  <c:v>2290.8676527677844</c:v>
                </c:pt>
                <c:pt idx="169">
                  <c:v>2398.8329190195041</c:v>
                </c:pt>
                <c:pt idx="170">
                  <c:v>2511.8864315095939</c:v>
                </c:pt>
                <c:pt idx="171">
                  <c:v>2630.2679918953959</c:v>
                </c:pt>
                <c:pt idx="172">
                  <c:v>2754.2287033381804</c:v>
                </c:pt>
                <c:pt idx="173">
                  <c:v>2884.0315031266227</c:v>
                </c:pt>
                <c:pt idx="174">
                  <c:v>3019.9517204020331</c:v>
                </c:pt>
                <c:pt idx="175">
                  <c:v>3162.2776601683968</c:v>
                </c:pt>
                <c:pt idx="176">
                  <c:v>3311.3112148259315</c:v>
                </c:pt>
                <c:pt idx="177">
                  <c:v>3467.3685045253369</c:v>
                </c:pt>
                <c:pt idx="178">
                  <c:v>3630.7805477010343</c:v>
                </c:pt>
                <c:pt idx="179">
                  <c:v>3801.8939632056336</c:v>
                </c:pt>
                <c:pt idx="180">
                  <c:v>3981.0717055349969</c:v>
                </c:pt>
                <c:pt idx="181">
                  <c:v>4168.6938347033793</c:v>
                </c:pt>
                <c:pt idx="182">
                  <c:v>4365.1583224016858</c:v>
                </c:pt>
                <c:pt idx="183">
                  <c:v>4570.8818961487768</c:v>
                </c:pt>
                <c:pt idx="184">
                  <c:v>4786.3009232264139</c:v>
                </c:pt>
                <c:pt idx="185">
                  <c:v>5011.8723362727533</c:v>
                </c:pt>
                <c:pt idx="186">
                  <c:v>5248.074602497758</c:v>
                </c:pt>
                <c:pt idx="187">
                  <c:v>5495.4087385762778</c:v>
                </c:pt>
                <c:pt idx="188">
                  <c:v>5754.399373371607</c:v>
                </c:pt>
                <c:pt idx="189">
                  <c:v>6025.595860743615</c:v>
                </c:pt>
                <c:pt idx="190">
                  <c:v>6309.5734448019712</c:v>
                </c:pt>
                <c:pt idx="191">
                  <c:v>6606.9344800760055</c:v>
                </c:pt>
                <c:pt idx="192">
                  <c:v>6918.3097091894106</c:v>
                </c:pt>
                <c:pt idx="193">
                  <c:v>7244.3596007499473</c:v>
                </c:pt>
                <c:pt idx="194">
                  <c:v>7585.7757502918857</c:v>
                </c:pt>
                <c:pt idx="195">
                  <c:v>7943.2823472428699</c:v>
                </c:pt>
                <c:pt idx="196">
                  <c:v>8317.6377110267658</c:v>
                </c:pt>
                <c:pt idx="197">
                  <c:v>8709.6358995608643</c:v>
                </c:pt>
                <c:pt idx="198">
                  <c:v>9120.108393559156</c:v>
                </c:pt>
                <c:pt idx="199">
                  <c:v>9549.9258602144273</c:v>
                </c:pt>
                <c:pt idx="200">
                  <c:v>10000.000000000069</c:v>
                </c:pt>
                <c:pt idx="201">
                  <c:v>10471.285480509066</c:v>
                </c:pt>
                <c:pt idx="202">
                  <c:v>10964.781961431923</c:v>
                </c:pt>
                <c:pt idx="203">
                  <c:v>11481.53621496891</c:v>
                </c:pt>
                <c:pt idx="204">
                  <c:v>12022.644346174213</c:v>
                </c:pt>
                <c:pt idx="205">
                  <c:v>12589.254117941757</c:v>
                </c:pt>
                <c:pt idx="206">
                  <c:v>13182.567385564171</c:v>
                </c:pt>
                <c:pt idx="207">
                  <c:v>13803.84264602895</c:v>
                </c:pt>
                <c:pt idx="208">
                  <c:v>14454.397707459377</c:v>
                </c:pt>
                <c:pt idx="209">
                  <c:v>15135.612484362187</c:v>
                </c:pt>
                <c:pt idx="210">
                  <c:v>15848.931924611257</c:v>
                </c:pt>
                <c:pt idx="211">
                  <c:v>16595.869074375729</c:v>
                </c:pt>
                <c:pt idx="212">
                  <c:v>17378.008287493882</c:v>
                </c:pt>
                <c:pt idx="213">
                  <c:v>18197.008586099961</c:v>
                </c:pt>
                <c:pt idx="214">
                  <c:v>19054.607179632618</c:v>
                </c:pt>
                <c:pt idx="215">
                  <c:v>19952.623149688949</c:v>
                </c:pt>
                <c:pt idx="216">
                  <c:v>20892.961308540547</c:v>
                </c:pt>
                <c:pt idx="217">
                  <c:v>21877.616239495685</c:v>
                </c:pt>
                <c:pt idx="218">
                  <c:v>22908.676527677912</c:v>
                </c:pt>
                <c:pt idx="219">
                  <c:v>23988.329190195091</c:v>
                </c:pt>
                <c:pt idx="220">
                  <c:v>25118.864315095991</c:v>
                </c:pt>
                <c:pt idx="221">
                  <c:v>26302.679918954014</c:v>
                </c:pt>
                <c:pt idx="222">
                  <c:v>27542.287033381886</c:v>
                </c:pt>
                <c:pt idx="223">
                  <c:v>28840.315031266287</c:v>
                </c:pt>
                <c:pt idx="224">
                  <c:v>30199.517204020391</c:v>
                </c:pt>
                <c:pt idx="225">
                  <c:v>31622.776601684025</c:v>
                </c:pt>
                <c:pt idx="226">
                  <c:v>33113.112148259344</c:v>
                </c:pt>
                <c:pt idx="227">
                  <c:v>34673.685045253471</c:v>
                </c:pt>
                <c:pt idx="228">
                  <c:v>36307.80547701045</c:v>
                </c:pt>
                <c:pt idx="229">
                  <c:v>38018.939632056441</c:v>
                </c:pt>
                <c:pt idx="230">
                  <c:v>39810.717055350047</c:v>
                </c:pt>
                <c:pt idx="231">
                  <c:v>41686.938347033873</c:v>
                </c:pt>
                <c:pt idx="232">
                  <c:v>43651.58322401694</c:v>
                </c:pt>
                <c:pt idx="233">
                  <c:v>45708.81896148785</c:v>
                </c:pt>
                <c:pt idx="234">
                  <c:v>47863.009232264194</c:v>
                </c:pt>
                <c:pt idx="235">
                  <c:v>50118.72336272768</c:v>
                </c:pt>
                <c:pt idx="236">
                  <c:v>52480.746024977721</c:v>
                </c:pt>
                <c:pt idx="237">
                  <c:v>54954.087385762934</c:v>
                </c:pt>
                <c:pt idx="238">
                  <c:v>57543.993733716183</c:v>
                </c:pt>
                <c:pt idx="239">
                  <c:v>60255.958607436274</c:v>
                </c:pt>
                <c:pt idx="240">
                  <c:v>63095.734448019837</c:v>
                </c:pt>
                <c:pt idx="241">
                  <c:v>66069.344800760126</c:v>
                </c:pt>
                <c:pt idx="242">
                  <c:v>69183.097091894306</c:v>
                </c:pt>
                <c:pt idx="243">
                  <c:v>72443.596007499684</c:v>
                </c:pt>
                <c:pt idx="244">
                  <c:v>75857.757502919063</c:v>
                </c:pt>
                <c:pt idx="245">
                  <c:v>79432.823472428863</c:v>
                </c:pt>
                <c:pt idx="246">
                  <c:v>83176.377110267815</c:v>
                </c:pt>
                <c:pt idx="247">
                  <c:v>87096.358995608811</c:v>
                </c:pt>
                <c:pt idx="248">
                  <c:v>91201.083935591741</c:v>
                </c:pt>
                <c:pt idx="249">
                  <c:v>95499.258602144386</c:v>
                </c:pt>
                <c:pt idx="250">
                  <c:v>100000.00000000099</c:v>
                </c:pt>
                <c:pt idx="251">
                  <c:v>104712.85480509077</c:v>
                </c:pt>
                <c:pt idx="252">
                  <c:v>109647.81961431933</c:v>
                </c:pt>
                <c:pt idx="253">
                  <c:v>114815.36214968891</c:v>
                </c:pt>
                <c:pt idx="254">
                  <c:v>120226.44346174195</c:v>
                </c:pt>
                <c:pt idx="255">
                  <c:v>125892.54117941715</c:v>
                </c:pt>
                <c:pt idx="256">
                  <c:v>131825.67385564116</c:v>
                </c:pt>
                <c:pt idx="257">
                  <c:v>138038.4264602889</c:v>
                </c:pt>
                <c:pt idx="258">
                  <c:v>144543.9770745929</c:v>
                </c:pt>
                <c:pt idx="259">
                  <c:v>151356.12484362096</c:v>
                </c:pt>
                <c:pt idx="260">
                  <c:v>158489.3192461112</c:v>
                </c:pt>
                <c:pt idx="261">
                  <c:v>165958.69074375587</c:v>
                </c:pt>
                <c:pt idx="262">
                  <c:v>173780.08287493698</c:v>
                </c:pt>
                <c:pt idx="263">
                  <c:v>181970.08586099773</c:v>
                </c:pt>
                <c:pt idx="264">
                  <c:v>190546.0717963237</c:v>
                </c:pt>
                <c:pt idx="265">
                  <c:v>199526.23149688687</c:v>
                </c:pt>
                <c:pt idx="266">
                  <c:v>208929.61308540276</c:v>
                </c:pt>
                <c:pt idx="267">
                  <c:v>218776.16239495357</c:v>
                </c:pt>
                <c:pt idx="268">
                  <c:v>229086.76527677546</c:v>
                </c:pt>
                <c:pt idx="269">
                  <c:v>239883.29190194668</c:v>
                </c:pt>
                <c:pt idx="270">
                  <c:v>251188.64315095547</c:v>
                </c:pt>
                <c:pt idx="271">
                  <c:v>263026.79918953503</c:v>
                </c:pt>
                <c:pt idx="272">
                  <c:v>275422.87033381331</c:v>
                </c:pt>
                <c:pt idx="273">
                  <c:v>288403.15031265654</c:v>
                </c:pt>
                <c:pt idx="274">
                  <c:v>301995.1720401973</c:v>
                </c:pt>
                <c:pt idx="275">
                  <c:v>316227.76601683337</c:v>
                </c:pt>
                <c:pt idx="276">
                  <c:v>331131.12148258556</c:v>
                </c:pt>
                <c:pt idx="277">
                  <c:v>346736.85045252583</c:v>
                </c:pt>
                <c:pt idx="278">
                  <c:v>363078.05477009452</c:v>
                </c:pt>
                <c:pt idx="279">
                  <c:v>380189.39632055402</c:v>
                </c:pt>
                <c:pt idx="280">
                  <c:v>398107.17055348901</c:v>
                </c:pt>
                <c:pt idx="281">
                  <c:v>416869.38347032666</c:v>
                </c:pt>
                <c:pt idx="282">
                  <c:v>436515.83224015596</c:v>
                </c:pt>
                <c:pt idx="283">
                  <c:v>457088.18961486447</c:v>
                </c:pt>
                <c:pt idx="284">
                  <c:v>478630.0923226272</c:v>
                </c:pt>
                <c:pt idx="285">
                  <c:v>501187.23362725956</c:v>
                </c:pt>
                <c:pt idx="286">
                  <c:v>524807.46024975914</c:v>
                </c:pt>
                <c:pt idx="287">
                  <c:v>549540.87385760946</c:v>
                </c:pt>
                <c:pt idx="288">
                  <c:v>575439.93733714102</c:v>
                </c:pt>
                <c:pt idx="289">
                  <c:v>602559.58607433992</c:v>
                </c:pt>
                <c:pt idx="290">
                  <c:v>630957.34448017448</c:v>
                </c:pt>
                <c:pt idx="291">
                  <c:v>660693.44800757489</c:v>
                </c:pt>
                <c:pt idx="292">
                  <c:v>691830.97091891442</c:v>
                </c:pt>
                <c:pt idx="293">
                  <c:v>724435.96007496677</c:v>
                </c:pt>
                <c:pt idx="294">
                  <c:v>758577.57502915792</c:v>
                </c:pt>
                <c:pt idx="295">
                  <c:v>794328.23472425411</c:v>
                </c:pt>
                <c:pt idx="296">
                  <c:v>831763.77110264078</c:v>
                </c:pt>
                <c:pt idx="297">
                  <c:v>870963.58995604888</c:v>
                </c:pt>
                <c:pt idx="298">
                  <c:v>912010.83935587457</c:v>
                </c:pt>
                <c:pt idx="299">
                  <c:v>954992.58602139901</c:v>
                </c:pt>
                <c:pt idx="300">
                  <c:v>999999.99999995937</c:v>
                </c:pt>
                <c:pt idx="301">
                  <c:v>1047128.5480508568</c:v>
                </c:pt>
                <c:pt idx="302">
                  <c:v>1096478.1961431401</c:v>
                </c:pt>
                <c:pt idx="303">
                  <c:v>1148153.6214968334</c:v>
                </c:pt>
                <c:pt idx="304">
                  <c:v>1202264.4346173611</c:v>
                </c:pt>
                <c:pt idx="305">
                  <c:v>1258925.4117941104</c:v>
                </c:pt>
                <c:pt idx="306">
                  <c:v>1318256.7385563473</c:v>
                </c:pt>
                <c:pt idx="307">
                  <c:v>1380384.2646028195</c:v>
                </c:pt>
                <c:pt idx="308">
                  <c:v>1445439.7707458588</c:v>
                </c:pt>
                <c:pt idx="309">
                  <c:v>1513561.2484361334</c:v>
                </c:pt>
                <c:pt idx="310">
                  <c:v>1584893.1924610347</c:v>
                </c:pt>
                <c:pt idx="311">
                  <c:v>1659586.9074374777</c:v>
                </c:pt>
                <c:pt idx="312">
                  <c:v>1737800.8287492855</c:v>
                </c:pt>
                <c:pt idx="313">
                  <c:v>1819700.8586098887</c:v>
                </c:pt>
                <c:pt idx="314">
                  <c:v>1905460.7179631444</c:v>
                </c:pt>
                <c:pt idx="315">
                  <c:v>1995262.3149687715</c:v>
                </c:pt>
                <c:pt idx="316">
                  <c:v>2089296.1308539221</c:v>
                </c:pt>
                <c:pt idx="317">
                  <c:v>2187761.623949429</c:v>
                </c:pt>
                <c:pt idx="318">
                  <c:v>2290867.6527676433</c:v>
                </c:pt>
                <c:pt idx="319">
                  <c:v>2398832.9190193499</c:v>
                </c:pt>
                <c:pt idx="320">
                  <c:v>2511886.4315094328</c:v>
                </c:pt>
                <c:pt idx="321">
                  <c:v>2630267.9918952221</c:v>
                </c:pt>
                <c:pt idx="322">
                  <c:v>2754228.7033379986</c:v>
                </c:pt>
                <c:pt idx="323">
                  <c:v>2884031.5031264247</c:v>
                </c:pt>
                <c:pt idx="324">
                  <c:v>3019951.7204018258</c:v>
                </c:pt>
                <c:pt idx="325">
                  <c:v>3162277.6601681737</c:v>
                </c:pt>
                <c:pt idx="326">
                  <c:v>3311311.2148256949</c:v>
                </c:pt>
                <c:pt idx="327">
                  <c:v>3467368.5045250896</c:v>
                </c:pt>
                <c:pt idx="328">
                  <c:v>3630780.5477007688</c:v>
                </c:pt>
                <c:pt idx="329">
                  <c:v>3801893.9632053552</c:v>
                </c:pt>
                <c:pt idx="330">
                  <c:v>3981071.7055346956</c:v>
                </c:pt>
                <c:pt idx="331">
                  <c:v>4168693.8347030636</c:v>
                </c:pt>
                <c:pt idx="332">
                  <c:v>4365158.3224013466</c:v>
                </c:pt>
                <c:pt idx="333">
                  <c:v>4570881.8961484218</c:v>
                </c:pt>
                <c:pt idx="334">
                  <c:v>4786300.9232260305</c:v>
                </c:pt>
                <c:pt idx="335">
                  <c:v>5011872.3362723524</c:v>
                </c:pt>
                <c:pt idx="336">
                  <c:v>5248074.6024973365</c:v>
                </c:pt>
                <c:pt idx="337">
                  <c:v>5495408.7385758273</c:v>
                </c:pt>
                <c:pt idx="338">
                  <c:v>5754399.3733711299</c:v>
                </c:pt>
                <c:pt idx="339">
                  <c:v>6025595.8607431054</c:v>
                </c:pt>
                <c:pt idx="340">
                  <c:v>6309573.4448014377</c:v>
                </c:pt>
                <c:pt idx="341">
                  <c:v>6606934.4800754283</c:v>
                </c:pt>
                <c:pt idx="342">
                  <c:v>6918309.7091888068</c:v>
                </c:pt>
                <c:pt idx="343">
                  <c:v>7244359.6007493027</c:v>
                </c:pt>
                <c:pt idx="344">
                  <c:v>7585775.7502912087</c:v>
                </c:pt>
                <c:pt idx="345">
                  <c:v>7943282.347242156</c:v>
                </c:pt>
                <c:pt idx="346">
                  <c:v>8317637.7110260036</c:v>
                </c:pt>
                <c:pt idx="347">
                  <c:v>8709635.8995600641</c:v>
                </c:pt>
                <c:pt idx="348">
                  <c:v>9120108.3935583029</c:v>
                </c:pt>
                <c:pt idx="349">
                  <c:v>9549925.8602135256</c:v>
                </c:pt>
                <c:pt idx="350">
                  <c:v>9999999.9999991078</c:v>
                </c:pt>
              </c:numCache>
            </c:numRef>
          </c:xVal>
          <c:yVal>
            <c:numRef>
              <c:f>'Opamp and C Stray (2)'!$L$3:$L$353</c:f>
              <c:numCache>
                <c:formatCode>General</c:formatCode>
                <c:ptCount val="351"/>
                <c:pt idx="0">
                  <c:v>5.7751821484266628E-5</c:v>
                </c:pt>
                <c:pt idx="1">
                  <c:v>6.0473580978106405E-5</c:v>
                </c:pt>
                <c:pt idx="2">
                  <c:v>6.3323613045032995E-5</c:v>
                </c:pt>
                <c:pt idx="3">
                  <c:v>6.6307962985171463E-5</c:v>
                </c:pt>
                <c:pt idx="4">
                  <c:v>6.943296100486238E-5</c:v>
                </c:pt>
                <c:pt idx="5">
                  <c:v>7.2705235643881526E-5</c:v>
                </c:pt>
                <c:pt idx="6">
                  <c:v>7.6131727835459105E-5</c:v>
                </c:pt>
                <c:pt idx="7">
                  <c:v>7.9719705628930897E-5</c:v>
                </c:pt>
                <c:pt idx="8">
                  <c:v>8.3476779606244278E-5</c:v>
                </c:pt>
                <c:pt idx="9">
                  <c:v>8.7410919025026224E-5</c:v>
                </c:pt>
                <c:pt idx="10">
                  <c:v>9.1530468722441475E-5</c:v>
                </c:pt>
                <c:pt idx="11">
                  <c:v>9.5844166815713572E-5</c:v>
                </c:pt>
                <c:pt idx="12">
                  <c:v>1.0036116323684716E-4</c:v>
                </c:pt>
                <c:pt idx="13">
                  <c:v>1.0509103914085404E-4</c:v>
                </c:pt>
                <c:pt idx="14">
                  <c:v>1.1004382722867125E-4</c:v>
                </c:pt>
                <c:pt idx="15">
                  <c:v>1.1523003302786356E-4</c:v>
                </c:pt>
                <c:pt idx="16">
                  <c:v>1.2066065717625673E-4</c:v>
                </c:pt>
                <c:pt idx="17">
                  <c:v>1.2634721875576295E-4</c:v>
                </c:pt>
                <c:pt idx="18">
                  <c:v>1.3230177972590231E-4</c:v>
                </c:pt>
                <c:pt idx="19">
                  <c:v>1.3853697050883039E-4</c:v>
                </c:pt>
                <c:pt idx="20">
                  <c:v>1.4506601678016331E-4</c:v>
                </c:pt>
                <c:pt idx="21">
                  <c:v>1.5190276752240423E-4</c:v>
                </c:pt>
                <c:pt idx="22">
                  <c:v>1.5906172440049367E-4</c:v>
                </c:pt>
                <c:pt idx="23">
                  <c:v>1.6655807252178163E-4</c:v>
                </c:pt>
                <c:pt idx="24">
                  <c:v>1.744077126456845E-4</c:v>
                </c:pt>
                <c:pt idx="25">
                  <c:v>1.8262729491131784E-4</c:v>
                </c:pt>
                <c:pt idx="26">
                  <c:v>1.9123425415468236E-4</c:v>
                </c:pt>
                <c:pt idx="27">
                  <c:v>2.0024684689027647E-4</c:v>
                </c:pt>
                <c:pt idx="28">
                  <c:v>2.0968419003562899E-4</c:v>
                </c:pt>
                <c:pt idx="29">
                  <c:v>2.1956630146082937E-4</c:v>
                </c:pt>
                <c:pt idx="30">
                  <c:v>2.2991414244911349E-4</c:v>
                </c:pt>
                <c:pt idx="31">
                  <c:v>2.4074966215857104E-4</c:v>
                </c:pt>
                <c:pt idx="32">
                  <c:v>2.520958441792252E-4</c:v>
                </c:pt>
                <c:pt idx="33">
                  <c:v>2.6397675528434925E-4</c:v>
                </c:pt>
                <c:pt idx="34">
                  <c:v>2.7641759647927119E-4</c:v>
                </c:pt>
                <c:pt idx="35">
                  <c:v>2.8944475645611783E-4</c:v>
                </c:pt>
                <c:pt idx="36">
                  <c:v>3.0308586756776446E-4</c:v>
                </c:pt>
                <c:pt idx="37">
                  <c:v>3.1736986443974696E-4</c:v>
                </c:pt>
                <c:pt idx="38">
                  <c:v>3.3232704534447551E-4</c:v>
                </c:pt>
                <c:pt idx="39">
                  <c:v>3.4798913646798268E-4</c:v>
                </c:pt>
                <c:pt idx="40">
                  <c:v>3.6438935920532993E-4</c:v>
                </c:pt>
                <c:pt idx="41">
                  <c:v>3.8156250062772212E-4</c:v>
                </c:pt>
                <c:pt idx="42">
                  <c:v>3.9954498727051474E-4</c:v>
                </c:pt>
                <c:pt idx="43">
                  <c:v>4.1837496239875455E-4</c:v>
                </c:pt>
                <c:pt idx="44">
                  <c:v>4.3809236691420448E-4</c:v>
                </c:pt>
                <c:pt idx="45">
                  <c:v>4.587390240753191E-4</c:v>
                </c:pt>
                <c:pt idx="46">
                  <c:v>4.8035872820998576E-4</c:v>
                </c:pt>
                <c:pt idx="47">
                  <c:v>5.0299733760917123E-4</c:v>
                </c:pt>
                <c:pt idx="48">
                  <c:v>5.2670287179850566E-4</c:v>
                </c:pt>
                <c:pt idx="49">
                  <c:v>5.5152561339411792E-4</c:v>
                </c:pt>
                <c:pt idx="50">
                  <c:v>5.7751821475881041E-4</c:v>
                </c:pt>
                <c:pt idx="51">
                  <c:v>6.0473580968478679E-4</c:v>
                </c:pt>
                <c:pt idx="52">
                  <c:v>6.3323613033979247E-4</c:v>
                </c:pt>
                <c:pt idx="53">
                  <c:v>6.6307962972478882E-4</c:v>
                </c:pt>
                <c:pt idx="54">
                  <c:v>6.9432960990289689E-4</c:v>
                </c:pt>
                <c:pt idx="55">
                  <c:v>7.2705235627150129E-4</c:v>
                </c:pt>
                <c:pt idx="56">
                  <c:v>7.6131727816248433E-4</c:v>
                </c:pt>
                <c:pt idx="57">
                  <c:v>7.9719705606874853E-4</c:v>
                </c:pt>
                <c:pt idx="58">
                  <c:v>8.347677958092085E-4</c:v>
                </c:pt>
                <c:pt idx="59">
                  <c:v>8.7410918995950958E-4</c:v>
                </c:pt>
                <c:pt idx="60">
                  <c:v>9.1530468689056941E-4</c:v>
                </c:pt>
                <c:pt idx="61">
                  <c:v>9.5844166777384499E-4</c:v>
                </c:pt>
                <c:pt idx="62">
                  <c:v>1.0036116319283974E-3</c:v>
                </c:pt>
                <c:pt idx="63">
                  <c:v>1.0509103909032628E-3</c:v>
                </c:pt>
                <c:pt idx="64">
                  <c:v>1.1004382717065817E-3</c:v>
                </c:pt>
                <c:pt idx="65">
                  <c:v>1.1523003296125499E-3</c:v>
                </c:pt>
                <c:pt idx="66">
                  <c:v>1.2066065709977923E-3</c:v>
                </c:pt>
                <c:pt idx="67">
                  <c:v>1.2634721866795471E-3</c:v>
                </c:pt>
                <c:pt idx="68">
                  <c:v>1.323017796250849E-3</c:v>
                </c:pt>
                <c:pt idx="69">
                  <c:v>1.3853697039307683E-3</c:v>
                </c:pt>
                <c:pt idx="70">
                  <c:v>1.4506601664726216E-3</c:v>
                </c:pt>
                <c:pt idx="71">
                  <c:v>1.5190276736981266E-3</c:v>
                </c:pt>
                <c:pt idx="72">
                  <c:v>1.5906172422529496E-3</c:v>
                </c:pt>
                <c:pt idx="73">
                  <c:v>1.6655807232062573E-3</c:v>
                </c:pt>
                <c:pt idx="74">
                  <c:v>1.7440771241472727E-3</c:v>
                </c:pt>
                <c:pt idx="75">
                  <c:v>1.8262729464614319E-3</c:v>
                </c:pt>
                <c:pt idx="76">
                  <c:v>1.9123425385022055E-3</c:v>
                </c:pt>
                <c:pt idx="77">
                  <c:v>2.0024684654071073E-3</c:v>
                </c:pt>
                <c:pt idx="78">
                  <c:v>2.0968418963427282E-3</c:v>
                </c:pt>
                <c:pt idx="79">
                  <c:v>2.1956630100000958E-3</c:v>
                </c:pt>
                <c:pt idx="80">
                  <c:v>2.299141419200229E-3</c:v>
                </c:pt>
                <c:pt idx="81">
                  <c:v>2.4074966155108886E-3</c:v>
                </c:pt>
                <c:pt idx="82">
                  <c:v>2.5209584348174652E-3</c:v>
                </c:pt>
                <c:pt idx="83">
                  <c:v>2.6397675448353326E-3</c:v>
                </c:pt>
                <c:pt idx="84">
                  <c:v>2.7641759555981104E-3</c:v>
                </c:pt>
                <c:pt idx="85">
                  <c:v>2.8944475540043919E-3</c:v>
                </c:pt>
                <c:pt idx="86">
                  <c:v>3.0308586635568258E-3</c:v>
                </c:pt>
                <c:pt idx="87">
                  <c:v>3.1736986304808606E-3</c:v>
                </c:pt>
                <c:pt idx="88">
                  <c:v>3.3232704374664018E-3</c:v>
                </c:pt>
                <c:pt idx="89">
                  <c:v>3.4798913463341794E-3</c:v>
                </c:pt>
                <c:pt idx="90">
                  <c:v>3.6438935709897113E-3</c:v>
                </c:pt>
                <c:pt idx="91">
                  <c:v>3.8156249820930294E-3</c:v>
                </c:pt>
                <c:pt idx="92">
                  <c:v>3.995449844937919E-3</c:v>
                </c:pt>
                <c:pt idx="93">
                  <c:v>4.1837495921065136E-3</c:v>
                </c:pt>
                <c:pt idx="94">
                  <c:v>4.3809236325376847E-3</c:v>
                </c:pt>
                <c:pt idx="95">
                  <c:v>4.5873901987258251E-3</c:v>
                </c:pt>
                <c:pt idx="96">
                  <c:v>4.803587233845958E-3</c:v>
                </c:pt>
                <c:pt idx="97">
                  <c:v>5.0299733206888896E-3</c:v>
                </c:pt>
                <c:pt idx="98">
                  <c:v>5.2670286543740914E-3</c:v>
                </c:pt>
                <c:pt idx="99">
                  <c:v>5.515256060905937E-3</c:v>
                </c:pt>
                <c:pt idx="100">
                  <c:v>5.7751820637324865E-3</c:v>
                </c:pt>
                <c:pt idx="101">
                  <c:v>6.047358000568724E-3</c:v>
                </c:pt>
                <c:pt idx="102">
                  <c:v>6.3323611928546653E-3</c:v>
                </c:pt>
                <c:pt idx="103">
                  <c:v>6.63079617032729E-3</c:v>
                </c:pt>
                <c:pt idx="104">
                  <c:v>6.9432959533045962E-3</c:v>
                </c:pt>
                <c:pt idx="105">
                  <c:v>7.270523395400969E-3</c:v>
                </c:pt>
                <c:pt idx="106">
                  <c:v>7.6131725895227194E-3</c:v>
                </c:pt>
                <c:pt idx="107">
                  <c:v>7.9719703401246698E-3</c:v>
                </c:pt>
                <c:pt idx="108">
                  <c:v>8.3476777048520998E-3</c:v>
                </c:pt>
                <c:pt idx="109">
                  <c:v>8.7410916088366541E-3</c:v>
                </c:pt>
                <c:pt idx="110">
                  <c:v>9.1530465350704252E-3</c:v>
                </c:pt>
                <c:pt idx="111">
                  <c:v>9.5844162944442434E-3</c:v>
                </c:pt>
                <c:pt idx="112">
                  <c:v>1.0036115879203278E-2</c:v>
                </c:pt>
                <c:pt idx="113">
                  <c:v>1.0509103403752466E-2</c:v>
                </c:pt>
                <c:pt idx="114">
                  <c:v>1.1004382136926529E-2</c:v>
                </c:pt>
                <c:pt idx="115">
                  <c:v>1.1523002630036455E-2</c:v>
                </c:pt>
                <c:pt idx="116">
                  <c:v>1.2066064945205348E-2</c:v>
                </c:pt>
                <c:pt idx="117">
                  <c:v>1.2634720988719107E-2</c:v>
                </c:pt>
                <c:pt idx="118">
                  <c:v>1.3230176954341989E-2</c:v>
                </c:pt>
                <c:pt idx="119">
                  <c:v>1.3853695881777631E-2</c:v>
                </c:pt>
                <c:pt idx="120">
                  <c:v>1.4506600335703865E-2</c:v>
                </c:pt>
                <c:pt idx="121">
                  <c:v>1.5190275211059482E-2</c:v>
                </c:pt>
                <c:pt idx="122">
                  <c:v>1.5906170670536797E-2</c:v>
                </c:pt>
                <c:pt idx="123">
                  <c:v>1.6655805220506005E-2</c:v>
                </c:pt>
                <c:pt idx="124">
                  <c:v>1.7440768931896711E-2</c:v>
                </c:pt>
                <c:pt idx="125">
                  <c:v>1.8262726812866351E-2</c:v>
                </c:pt>
                <c:pt idx="126">
                  <c:v>1.9123422340407911E-2</c:v>
                </c:pt>
                <c:pt idx="127">
                  <c:v>2.0024681158386175E-2</c:v>
                </c:pt>
                <c:pt idx="128">
                  <c:v>2.0968414949844416E-2</c:v>
                </c:pt>
                <c:pt idx="129">
                  <c:v>2.1956625491791049E-2</c:v>
                </c:pt>
                <c:pt idx="130">
                  <c:v>2.2991408901069366E-2</c:v>
                </c:pt>
                <c:pt idx="131">
                  <c:v>2.407496008030555E-2</c:v>
                </c:pt>
                <c:pt idx="132">
                  <c:v>2.5209577373367206E-2</c:v>
                </c:pt>
                <c:pt idx="133">
                  <c:v>2.6397667440202877E-2</c:v>
                </c:pt>
                <c:pt idx="134">
                  <c:v>2.764175036139457E-2</c:v>
                </c:pt>
                <c:pt idx="135">
                  <c:v>2.894446498324631E-2</c:v>
                </c:pt>
                <c:pt idx="136">
                  <c:v>3.0308574514743097E-2</c:v>
                </c:pt>
                <c:pt idx="137">
                  <c:v>3.1736972388239568E-2</c:v>
                </c:pt>
                <c:pt idx="138">
                  <c:v>3.3232688396305547E-2</c:v>
                </c:pt>
                <c:pt idx="139">
                  <c:v>3.4798895117732112E-2</c:v>
                </c:pt>
                <c:pt idx="140">
                  <c:v>3.6438914646319522E-2</c:v>
                </c:pt>
                <c:pt idx="141">
                  <c:v>3.8156225636708632E-2</c:v>
                </c:pt>
                <c:pt idx="142">
                  <c:v>3.9954470682178139E-2</c:v>
                </c:pt>
                <c:pt idx="143">
                  <c:v>4.1837464040053937E-2</c:v>
                </c:pt>
                <c:pt idx="144">
                  <c:v>4.3809199721080438E-2</c:v>
                </c:pt>
                <c:pt idx="145">
                  <c:v>4.5873859959904298E-2</c:v>
                </c:pt>
                <c:pt idx="146">
                  <c:v>4.8035824084603669E-2</c:v>
                </c:pt>
                <c:pt idx="147">
                  <c:v>5.0299677804052804E-2</c:v>
                </c:pt>
                <c:pt idx="148">
                  <c:v>5.2670222932778885E-2</c:v>
                </c:pt>
                <c:pt idx="149">
                  <c:v>5.5152487573908553E-2</c:v>
                </c:pt>
                <c:pt idx="150">
                  <c:v>5.7751736781758968E-2</c:v>
                </c:pt>
                <c:pt idx="151">
                  <c:v>6.0473483726623575E-2</c:v>
                </c:pt>
                <c:pt idx="152">
                  <c:v>6.3323501385402325E-2</c:v>
                </c:pt>
                <c:pt idx="153">
                  <c:v>6.6307834782775313E-2</c:v>
                </c:pt>
                <c:pt idx="154">
                  <c:v>6.9432813808834426E-2</c:v>
                </c:pt>
                <c:pt idx="155">
                  <c:v>7.2705066640251156E-2</c:v>
                </c:pt>
                <c:pt idx="156">
                  <c:v>7.6131533793355854E-2</c:v>
                </c:pt>
                <c:pt idx="157">
                  <c:v>7.9719482838821284E-2</c:v>
                </c:pt>
                <c:pt idx="158">
                  <c:v>8.3476523809017406E-2</c:v>
                </c:pt>
                <c:pt idx="159">
                  <c:v>8.7410625330568023E-2</c:v>
                </c:pt>
                <c:pt idx="160">
                  <c:v>9.1530131516153315E-2</c:v>
                </c:pt>
                <c:pt idx="161">
                  <c:v>9.58437796511801E-2</c:v>
                </c:pt>
                <c:pt idx="162">
                  <c:v>0.10036071871259486</c:v>
                </c:pt>
                <c:pt idx="163">
                  <c:v>0.10509052875886161</c:v>
                </c:pt>
                <c:pt idx="164">
                  <c:v>0.1100432412319105</c:v>
                </c:pt>
                <c:pt idx="165">
                  <c:v>0.11522936021377758</c:v>
                </c:pt>
                <c:pt idx="166">
                  <c:v>0.12065988468259961</c:v>
                </c:pt>
                <c:pt idx="167">
                  <c:v>0.12634633181471824</c:v>
                </c:pt>
                <c:pt idx="168">
                  <c:v>0.13230076138176214</c:v>
                </c:pt>
                <c:pt idx="169">
                  <c:v>0.13853580129386639</c:v>
                </c:pt>
                <c:pt idx="170">
                  <c:v>0.14506467434245368</c:v>
                </c:pt>
                <c:pt idx="171">
                  <c:v>0.15190122619855181</c:v>
                </c:pt>
                <c:pt idx="172">
                  <c:v>0.15905995472501919</c:v>
                </c:pt>
                <c:pt idx="173">
                  <c:v>0.16655604066384969</c:v>
                </c:pt>
                <c:pt idx="174">
                  <c:v>0.17440537976236697</c:v>
                </c:pt>
                <c:pt idx="175">
                  <c:v>0.18262461640506217</c:v>
                </c:pt>
                <c:pt idx="176">
                  <c:v>0.19123117882075918</c:v>
                </c:pt>
                <c:pt idx="177">
                  <c:v>0.20024331593793929</c:v>
                </c:pt>
                <c:pt idx="178">
                  <c:v>0.20968013596425419</c:v>
                </c:pt>
                <c:pt idx="179">
                  <c:v>0.21956164676955686</c:v>
                </c:pt>
                <c:pt idx="180">
                  <c:v>0.22990879815534396</c:v>
                </c:pt>
                <c:pt idx="181">
                  <c:v>0.24074352609697219</c:v>
                </c:pt>
                <c:pt idx="182">
                  <c:v>0.25208879904877607</c:v>
                </c:pt>
                <c:pt idx="183">
                  <c:v>0.26396866640602046</c:v>
                </c:pt>
                <c:pt idx="184">
                  <c:v>0.27640830922158283</c:v>
                </c:pt>
                <c:pt idx="185">
                  <c:v>0.2894340932793027</c:v>
                </c:pt>
                <c:pt idx="186">
                  <c:v>0.30307362463004583</c:v>
                </c:pt>
                <c:pt idx="187">
                  <c:v>0.31735580770090238</c:v>
                </c:pt>
                <c:pt idx="188">
                  <c:v>0.33231090609223746</c:v>
                </c:pt>
                <c:pt idx="189">
                  <c:v>0.3479706061816526</c:v>
                </c:pt>
                <c:pt idx="190">
                  <c:v>0.36436808365869372</c:v>
                </c:pt>
                <c:pt idx="191">
                  <c:v>0.38153807311831084</c:v>
                </c:pt>
                <c:pt idx="192">
                  <c:v>0.39951694084601946</c:v>
                </c:pt>
                <c:pt idx="193">
                  <c:v>0.41834276093200723</c:v>
                </c:pt>
                <c:pt idx="194">
                  <c:v>0.43805539485613898</c:v>
                </c:pt>
                <c:pt idx="195">
                  <c:v>0.45869657469024117</c:v>
                </c:pt>
                <c:pt idx="196">
                  <c:v>0.48030999006831654</c:v>
                </c:pt>
                <c:pt idx="197">
                  <c:v>0.5029413790796684</c:v>
                </c:pt>
                <c:pt idx="198">
                  <c:v>0.52663862324370803</c:v>
                </c:pt>
                <c:pt idx="199">
                  <c:v>0.55145184672899361</c:v>
                </c:pt>
                <c:pt idx="200">
                  <c:v>0.57743351998211445</c:v>
                </c:pt>
                <c:pt idx="201">
                  <c:v>0.60463856793507353</c:v>
                </c:pt>
                <c:pt idx="202">
                  <c:v>0.63312448296146728</c:v>
                </c:pt>
                <c:pt idx="203">
                  <c:v>0.66295144275366991</c:v>
                </c:pt>
                <c:pt idx="204">
                  <c:v>0.69418243329319784</c:v>
                </c:pt>
                <c:pt idx="205">
                  <c:v>0.72688337708615791</c:v>
                </c:pt>
                <c:pt idx="206">
                  <c:v>0.76112326683320952</c:v>
                </c:pt>
                <c:pt idx="207">
                  <c:v>0.79697430470052755</c:v>
                </c:pt>
                <c:pt idx="208">
                  <c:v>0.834512047352159</c:v>
                </c:pt>
                <c:pt idx="209">
                  <c:v>0.87381555689694401</c:v>
                </c:pt>
                <c:pt idx="210">
                  <c:v>0.91496755789277484</c:v>
                </c:pt>
                <c:pt idx="211">
                  <c:v>0.95805460053758429</c:v>
                </c:pt>
                <c:pt idx="212">
                  <c:v>1.0031672301597525</c:v>
                </c:pt>
                <c:pt idx="213">
                  <c:v>1.0504001630993636</c:v>
                </c:pt>
                <c:pt idx="214">
                  <c:v>1.0998524690461686</c:v>
                </c:pt>
                <c:pt idx="215">
                  <c:v>1.1516277598681475</c:v>
                </c:pt>
                <c:pt idx="216">
                  <c:v>1.2058343849268947</c:v>
                </c:pt>
                <c:pt idx="217">
                  <c:v>1.2625856328303295</c:v>
                </c:pt>
                <c:pt idx="218">
                  <c:v>1.3219999395184305</c:v>
                </c:pt>
                <c:pt idx="219">
                  <c:v>1.3842011025136851</c:v>
                </c:pt>
                <c:pt idx="220">
                  <c:v>1.449318501091222</c:v>
                </c:pt>
                <c:pt idx="221">
                  <c:v>1.5174873220339162</c:v>
                </c:pt>
                <c:pt idx="222">
                  <c:v>1.5888487905327469</c:v>
                </c:pt>
                <c:pt idx="223">
                  <c:v>1.663550405668734</c:v>
                </c:pt>
                <c:pt idx="224">
                  <c:v>1.7417461797699283</c:v>
                </c:pt>
                <c:pt idx="225">
                  <c:v>1.8235968807688125</c:v>
                </c:pt>
                <c:pt idx="226">
                  <c:v>1.9092702764913905</c:v>
                </c:pt>
                <c:pt idx="227">
                  <c:v>1.9989413795838069</c:v>
                </c:pt>
                <c:pt idx="228">
                  <c:v>2.0927926915211876</c:v>
                </c:pt>
                <c:pt idx="229">
                  <c:v>2.1910144438423043</c:v>
                </c:pt>
                <c:pt idx="230">
                  <c:v>2.2938048344053001</c:v>
                </c:pt>
                <c:pt idx="231">
                  <c:v>2.4013702560593986</c:v>
                </c:pt>
                <c:pt idx="232">
                  <c:v>2.5139255146667616</c:v>
                </c:pt>
                <c:pt idx="233">
                  <c:v>2.6316940328787659</c:v>
                </c:pt>
                <c:pt idx="234">
                  <c:v>2.7549080354638158</c:v>
                </c:pt>
                <c:pt idx="235">
                  <c:v>2.8838087112887592</c:v>
                </c:pt>
                <c:pt idx="236">
                  <c:v>3.0186463462590298</c:v>
                </c:pt>
                <c:pt idx="237">
                  <c:v>3.1596804206150542</c:v>
                </c:pt>
                <c:pt idx="238">
                  <c:v>3.3071796629438044</c:v>
                </c:pt>
                <c:pt idx="239">
                  <c:v>3.4614220520856622</c:v>
                </c:pt>
                <c:pt idx="240">
                  <c:v>3.622694756771117</c:v>
                </c:pt>
                <c:pt idx="241">
                  <c:v>3.7912940012985179</c:v>
                </c:pt>
                <c:pt idx="242">
                  <c:v>3.9675248438362227</c:v>
                </c:pt>
                <c:pt idx="243">
                  <c:v>4.1517008519736951</c:v>
                </c:pt>
                <c:pt idx="244">
                  <c:v>4.344143657941915</c:v>
                </c:pt>
                <c:pt idx="245">
                  <c:v>4.545182373430074</c:v>
                </c:pt>
                <c:pt idx="246">
                  <c:v>4.7551528411287283</c:v>
                </c:pt>
                <c:pt idx="247">
                  <c:v>4.9743966969875988</c:v>
                </c:pt>
                <c:pt idx="248">
                  <c:v>5.2032602136601156</c:v>
                </c:pt>
                <c:pt idx="249">
                  <c:v>5.4420928916807929</c:v>
                </c:pt>
                <c:pt idx="250">
                  <c:v>5.6912457605525963</c:v>
                </c:pt>
                <c:pt idx="251">
                  <c:v>5.9510693470665057</c:v>
                </c:pt>
                <c:pt idx="252">
                  <c:v>6.2219112628072502</c:v>
                </c:pt>
                <c:pt idx="253">
                  <c:v>6.5041133568714438</c:v>
                </c:pt>
                <c:pt idx="254">
                  <c:v>6.7980083733069883</c:v>
                </c:pt>
                <c:pt idx="255">
                  <c:v>7.103916045637253</c:v>
                </c:pt>
                <c:pt idx="256">
                  <c:v>7.4221385530200354</c:v>
                </c:pt>
                <c:pt idx="257">
                  <c:v>7.7529552540795885</c:v>
                </c:pt>
                <c:pt idx="258">
                  <c:v>8.096616605190615</c:v>
                </c:pt>
                <c:pt idx="259">
                  <c:v>8.4533371599338718</c:v>
                </c:pt>
                <c:pt idx="260">
                  <c:v>8.8232875355295111</c:v>
                </c:pt>
                <c:pt idx="261">
                  <c:v>9.2065852201803438</c:v>
                </c:pt>
                <c:pt idx="262">
                  <c:v>9.603284082292717</c:v>
                </c:pt>
                <c:pt idx="263">
                  <c:v>10.013362428293947</c:v>
                </c:pt>
                <c:pt idx="264">
                  <c:v>10.436709439913528</c:v>
                </c:pt>
                <c:pt idx="265">
                  <c:v>10.87310980391541</c:v>
                </c:pt>
                <c:pt idx="266">
                  <c:v>11.322226326680205</c:v>
                </c:pt>
                <c:pt idx="267">
                  <c:v>11.783580301802896</c:v>
                </c:pt>
                <c:pt idx="268">
                  <c:v>12.256529369609682</c:v>
                </c:pt>
                <c:pt idx="269">
                  <c:v>12.740242571292423</c:v>
                </c:pt>
                <c:pt idx="270">
                  <c:v>13.233672254492648</c:v>
                </c:pt>
                <c:pt idx="271">
                  <c:v>13.735522427944357</c:v>
                </c:pt>
                <c:pt idx="272">
                  <c:v>14.24421308511686</c:v>
                </c:pt>
                <c:pt idx="273">
                  <c:v>14.757839913838065</c:v>
                </c:pt>
                <c:pt idx="274">
                  <c:v>15.274128671454609</c:v>
                </c:pt>
                <c:pt idx="275">
                  <c:v>15.790383320971122</c:v>
                </c:pt>
                <c:pt idx="276">
                  <c:v>16.303426776701837</c:v>
                </c:pt>
                <c:pt idx="277">
                  <c:v>16.809532777032544</c:v>
                </c:pt>
                <c:pt idx="278">
                  <c:v>17.304346959166438</c:v>
                </c:pt>
                <c:pt idx="279">
                  <c:v>17.782794619960381</c:v>
                </c:pt>
                <c:pt idx="280">
                  <c:v>18.238971860977202</c:v>
                </c:pt>
                <c:pt idx="281">
                  <c:v>18.666015773610088</c:v>
                </c:pt>
                <c:pt idx="282">
                  <c:v>19.055947942992177</c:v>
                </c:pt>
                <c:pt idx="283">
                  <c:v>19.399483737598128</c:v>
                </c:pt>
                <c:pt idx="284">
                  <c:v>19.685797481201128</c:v>
                </c:pt>
                <c:pt idx="285">
                  <c:v>19.902230528384159</c:v>
                </c:pt>
                <c:pt idx="286">
                  <c:v>20.033925325597707</c:v>
                </c:pt>
                <c:pt idx="287">
                  <c:v>20.063363602258825</c:v>
                </c:pt>
                <c:pt idx="288">
                  <c:v>19.969780880487502</c:v>
                </c:pt>
                <c:pt idx="289">
                  <c:v>19.728422820612334</c:v>
                </c:pt>
                <c:pt idx="290">
                  <c:v>19.309602614769226</c:v>
                </c:pt>
                <c:pt idx="291">
                  <c:v>18.677515529664433</c:v>
                </c:pt>
                <c:pt idx="292">
                  <c:v>17.78877333471581</c:v>
                </c:pt>
                <c:pt idx="293">
                  <c:v>16.590651938339104</c:v>
                </c:pt>
                <c:pt idx="294">
                  <c:v>15.01912932443464</c:v>
                </c:pt>
                <c:pt idx="295">
                  <c:v>12.996984635140404</c:v>
                </c:pt>
                <c:pt idx="296">
                  <c:v>10.432634289756406</c:v>
                </c:pt>
                <c:pt idx="297">
                  <c:v>7.2211504969556843</c:v>
                </c:pt>
                <c:pt idx="298">
                  <c:v>3.2501857042314994</c:v>
                </c:pt>
                <c:pt idx="299">
                  <c:v>-1.5848431534955225</c:v>
                </c:pt>
                <c:pt idx="300">
                  <c:v>-7.351228724665277</c:v>
                </c:pt>
                <c:pt idx="301">
                  <c:v>-14.033717400560729</c:v>
                </c:pt>
                <c:pt idx="302">
                  <c:v>-21.485147409139053</c:v>
                </c:pt>
                <c:pt idx="303">
                  <c:v>-29.4046147668254</c:v>
                </c:pt>
                <c:pt idx="304">
                  <c:v>-37.379315221862463</c:v>
                </c:pt>
                <c:pt idx="305">
                  <c:v>-44.988398338824425</c:v>
                </c:pt>
                <c:pt idx="306">
                  <c:v>-51.911608303939495</c:v>
                </c:pt>
                <c:pt idx="307">
                  <c:v>-57.980722403275443</c:v>
                </c:pt>
                <c:pt idx="308">
                  <c:v>-63.164403606713726</c:v>
                </c:pt>
                <c:pt idx="309">
                  <c:v>-67.520276835721319</c:v>
                </c:pt>
                <c:pt idx="310">
                  <c:v>-71.148079001136395</c:v>
                </c:pt>
                <c:pt idx="311">
                  <c:v>-74.157993778272825</c:v>
                </c:pt>
                <c:pt idx="312">
                  <c:v>-76.653882389884828</c:v>
                </c:pt>
                <c:pt idx="313">
                  <c:v>-78.726455044767917</c:v>
                </c:pt>
                <c:pt idx="314">
                  <c:v>-80.451831918402206</c:v>
                </c:pt>
                <c:pt idx="315">
                  <c:v>-81.892563134670993</c:v>
                </c:pt>
                <c:pt idx="316">
                  <c:v>-83.099523717878384</c:v>
                </c:pt>
                <c:pt idx="317">
                  <c:v>-84.11392982369054</c:v>
                </c:pt>
                <c:pt idx="318">
                  <c:v>-84.969165996971924</c:v>
                </c:pt>
                <c:pt idx="319">
                  <c:v>-85.692327928472821</c:v>
                </c:pt>
                <c:pt idx="320">
                  <c:v>-86.305479498029783</c:v>
                </c:pt>
                <c:pt idx="321">
                  <c:v>-86.826658471508111</c:v>
                </c:pt>
                <c:pt idx="322">
                  <c:v>-87.270674084638287</c:v>
                </c:pt>
                <c:pt idx="323">
                  <c:v>-87.649737563467227</c:v>
                </c:pt>
                <c:pt idx="324">
                  <c:v>-87.973960672286751</c:v>
                </c:pt>
                <c:pt idx="325">
                  <c:v>-88.251750812636544</c:v>
                </c:pt>
                <c:pt idx="326">
                  <c:v>-88.490125255566966</c:v>
                </c:pt>
                <c:pt idx="327">
                  <c:v>-88.694962139201976</c:v>
                </c:pt>
                <c:pt idx="328">
                  <c:v>-88.871201906567649</c:v>
                </c:pt>
                <c:pt idx="329">
                  <c:v>-89.023009764866586</c:v>
                </c:pt>
                <c:pt idx="330">
                  <c:v>-89.153907357019946</c:v>
                </c:pt>
                <c:pt idx="331">
                  <c:v>-89.266879999996618</c:v>
                </c:pt>
                <c:pt idx="332">
                  <c:v>-89.364464436508484</c:v>
                </c:pt>
                <c:pt idx="333">
                  <c:v>-89.448820966592251</c:v>
                </c:pt>
                <c:pt idx="334">
                  <c:v>-89.521792995289061</c:v>
                </c:pt>
                <c:pt idx="335">
                  <c:v>-89.584956392271707</c:v>
                </c:pt>
                <c:pt idx="336">
                  <c:v>-89.639660563452438</c:v>
                </c:pt>
                <c:pt idx="337">
                  <c:v>-89.687062749016519</c:v>
                </c:pt>
                <c:pt idx="338">
                  <c:v>-89.728156761048666</c:v>
                </c:pt>
                <c:pt idx="339">
                  <c:v>-89.763797137371853</c:v>
                </c:pt>
                <c:pt idx="340">
                  <c:v>-89.794719501573624</c:v>
                </c:pt>
                <c:pt idx="341">
                  <c:v>-89.821557771194847</c:v>
                </c:pt>
                <c:pt idx="342">
                  <c:v>-89.844858738122895</c:v>
                </c:pt>
                <c:pt idx="343">
                  <c:v>-89.865094450800882</c:v>
                </c:pt>
                <c:pt idx="344">
                  <c:v>-89.882672751895583</c:v>
                </c:pt>
                <c:pt idx="345">
                  <c:v>-89.897946263667919</c:v>
                </c:pt>
                <c:pt idx="346">
                  <c:v>-89.911220063444944</c:v>
                </c:pt>
                <c:pt idx="347">
                  <c:v>-89.922758250953862</c:v>
                </c:pt>
                <c:pt idx="348">
                  <c:v>-89.932789576006797</c:v>
                </c:pt>
                <c:pt idx="349">
                  <c:v>-89.94151226767859</c:v>
                </c:pt>
                <c:pt idx="350">
                  <c:v>-89.949098183555776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F3-44B9-9B1D-FC6D8D8C7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373704"/>
        <c:axId val="540376328"/>
      </c:scatterChart>
      <c:valAx>
        <c:axId val="67410190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0796782114987912"/>
              <c:y val="0.876000913588057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0592"/>
        <c:crossesAt val="-300"/>
        <c:crossBetween val="midCat"/>
      </c:valAx>
      <c:valAx>
        <c:axId val="67410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101904"/>
        <c:crossesAt val="1.0000000000000004E-5"/>
        <c:crossBetween val="midCat"/>
        <c:majorUnit val="10"/>
      </c:valAx>
      <c:valAx>
        <c:axId val="5403763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(degrees)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373704"/>
        <c:crosses val="max"/>
        <c:crossBetween val="midCat"/>
      </c:valAx>
      <c:valAx>
        <c:axId val="540373704"/>
        <c:scaling>
          <c:logBase val="10"/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037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Nyquist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'Opamp and C Stray (2)'!$M$3:$M$353</c:f>
              <c:numCache>
                <c:formatCode>General</c:formatCode>
                <c:ptCount val="351"/>
                <c:pt idx="0">
                  <c:v>4.9999750001313004</c:v>
                </c:pt>
                <c:pt idx="1">
                  <c:v>4.9999750001318999</c:v>
                </c:pt>
                <c:pt idx="2">
                  <c:v>4.9999750001325696</c:v>
                </c:pt>
                <c:pt idx="3">
                  <c:v>4.9999750001332997</c:v>
                </c:pt>
                <c:pt idx="4">
                  <c:v>4.9999750001340804</c:v>
                </c:pt>
                <c:pt idx="5">
                  <c:v>4.9999750001349703</c:v>
                </c:pt>
                <c:pt idx="6">
                  <c:v>4.9999750001359198</c:v>
                </c:pt>
                <c:pt idx="7">
                  <c:v>4.99997500013699</c:v>
                </c:pt>
                <c:pt idx="8">
                  <c:v>4.9999750001381402</c:v>
                </c:pt>
                <c:pt idx="9">
                  <c:v>4.9999750001394103</c:v>
                </c:pt>
                <c:pt idx="10">
                  <c:v>4.9999750001408101</c:v>
                </c:pt>
                <c:pt idx="11">
                  <c:v>4.9999750001423102</c:v>
                </c:pt>
                <c:pt idx="12">
                  <c:v>4.99997500014398</c:v>
                </c:pt>
                <c:pt idx="13">
                  <c:v>4.9999750001458301</c:v>
                </c:pt>
                <c:pt idx="14">
                  <c:v>4.9999750001478303</c:v>
                </c:pt>
                <c:pt idx="15">
                  <c:v>4.9999750001500303</c:v>
                </c:pt>
                <c:pt idx="16">
                  <c:v>4.9999750001524497</c:v>
                </c:pt>
                <c:pt idx="17">
                  <c:v>4.9999750001551098</c:v>
                </c:pt>
                <c:pt idx="18">
                  <c:v>4.9999750001580097</c:v>
                </c:pt>
                <c:pt idx="19">
                  <c:v>4.9999750001611902</c:v>
                </c:pt>
                <c:pt idx="20">
                  <c:v>4.9999750001646701</c:v>
                </c:pt>
                <c:pt idx="21">
                  <c:v>4.9999750001684999</c:v>
                </c:pt>
                <c:pt idx="22">
                  <c:v>4.9999750001727099</c:v>
                </c:pt>
                <c:pt idx="23">
                  <c:v>4.9999750001773204</c:v>
                </c:pt>
                <c:pt idx="24">
                  <c:v>4.9999750001823697</c:v>
                </c:pt>
                <c:pt idx="25">
                  <c:v>4.9999750001879004</c:v>
                </c:pt>
                <c:pt idx="26">
                  <c:v>4.9999750001939702</c:v>
                </c:pt>
                <c:pt idx="27">
                  <c:v>4.99997500020062</c:v>
                </c:pt>
                <c:pt idx="28">
                  <c:v>4.9999750002079102</c:v>
                </c:pt>
                <c:pt idx="29">
                  <c:v>4.9999750002159198</c:v>
                </c:pt>
                <c:pt idx="30">
                  <c:v>4.9999750002246897</c:v>
                </c:pt>
                <c:pt idx="31">
                  <c:v>4.9999750002343202</c:v>
                </c:pt>
                <c:pt idx="32">
                  <c:v>4.9999750002448504</c:v>
                </c:pt>
                <c:pt idx="33">
                  <c:v>4.9999750002564101</c:v>
                </c:pt>
                <c:pt idx="34">
                  <c:v>4.9999750002691004</c:v>
                </c:pt>
                <c:pt idx="35">
                  <c:v>4.9999750002830003</c:v>
                </c:pt>
                <c:pt idx="36">
                  <c:v>4.9999750002982299</c:v>
                </c:pt>
                <c:pt idx="37">
                  <c:v>4.9999750003149597</c:v>
                </c:pt>
                <c:pt idx="38">
                  <c:v>4.9999750003332801</c:v>
                </c:pt>
                <c:pt idx="39">
                  <c:v>4.9999750003533796</c:v>
                </c:pt>
                <c:pt idx="40">
                  <c:v>4.99997500037541</c:v>
                </c:pt>
                <c:pt idx="41">
                  <c:v>4.9999750003995498</c:v>
                </c:pt>
                <c:pt idx="42">
                  <c:v>4.9999750004260504</c:v>
                </c:pt>
                <c:pt idx="43">
                  <c:v>4.9999750004551</c:v>
                </c:pt>
                <c:pt idx="44">
                  <c:v>4.9999750004869297</c:v>
                </c:pt>
                <c:pt idx="45">
                  <c:v>4.9999750005218697</c:v>
                </c:pt>
                <c:pt idx="46">
                  <c:v>4.9999750005601502</c:v>
                </c:pt>
                <c:pt idx="47">
                  <c:v>4.9999750006021202</c:v>
                </c:pt>
                <c:pt idx="48">
                  <c:v>4.9999750006481598</c:v>
                </c:pt>
                <c:pt idx="49">
                  <c:v>4.9999750006986501</c:v>
                </c:pt>
                <c:pt idx="50">
                  <c:v>4.9999750007539703</c:v>
                </c:pt>
                <c:pt idx="51">
                  <c:v>4.9999750008146604</c:v>
                </c:pt>
                <c:pt idx="52">
                  <c:v>4.9999750008812001</c:v>
                </c:pt>
                <c:pt idx="53">
                  <c:v>4.9999750009541497</c:v>
                </c:pt>
                <c:pt idx="54">
                  <c:v>4.9999750010341399</c:v>
                </c:pt>
                <c:pt idx="55">
                  <c:v>4.9999750011218698</c:v>
                </c:pt>
                <c:pt idx="56">
                  <c:v>4.9999750012180497</c:v>
                </c:pt>
                <c:pt idx="57">
                  <c:v>4.9999750013234996</c:v>
                </c:pt>
                <c:pt idx="58">
                  <c:v>4.9999750014391102</c:v>
                </c:pt>
                <c:pt idx="59">
                  <c:v>4.9999750015659101</c:v>
                </c:pt>
                <c:pt idx="60">
                  <c:v>4.99997500170491</c:v>
                </c:pt>
                <c:pt idx="61">
                  <c:v>4.9999750018573499</c:v>
                </c:pt>
                <c:pt idx="62">
                  <c:v>4.99997500202449</c:v>
                </c:pt>
                <c:pt idx="63">
                  <c:v>4.9999750022077496</c:v>
                </c:pt>
                <c:pt idx="64">
                  <c:v>4.9999750024086902</c:v>
                </c:pt>
                <c:pt idx="65">
                  <c:v>4.99997500262901</c:v>
                </c:pt>
                <c:pt idx="66">
                  <c:v>4.9999750028705696</c:v>
                </c:pt>
                <c:pt idx="67">
                  <c:v>4.9999750031354804</c:v>
                </c:pt>
                <c:pt idx="68">
                  <c:v>4.9999750034259298</c:v>
                </c:pt>
                <c:pt idx="69">
                  <c:v>4.9999750037443897</c:v>
                </c:pt>
                <c:pt idx="70">
                  <c:v>4.9999750040935904</c:v>
                </c:pt>
                <c:pt idx="71">
                  <c:v>4.9999750044764699</c:v>
                </c:pt>
                <c:pt idx="72">
                  <c:v>4.9999750048963003</c:v>
                </c:pt>
                <c:pt idx="73">
                  <c:v>4.9999750053566201</c:v>
                </c:pt>
                <c:pt idx="74">
                  <c:v>4.9999750058613603</c:v>
                </c:pt>
                <c:pt idx="75">
                  <c:v>4.9999750064147701</c:v>
                </c:pt>
                <c:pt idx="76">
                  <c:v>4.9999750070216198</c:v>
                </c:pt>
                <c:pt idx="77">
                  <c:v>4.9999750076870004</c:v>
                </c:pt>
                <c:pt idx="78">
                  <c:v>4.99997500841656</c:v>
                </c:pt>
                <c:pt idx="79">
                  <c:v>4.99997500921652</c:v>
                </c:pt>
                <c:pt idx="80">
                  <c:v>4.9999750100936398</c:v>
                </c:pt>
                <c:pt idx="81">
                  <c:v>4.9999750110554002</c:v>
                </c:pt>
                <c:pt idx="82">
                  <c:v>4.9999750121099398</c:v>
                </c:pt>
                <c:pt idx="83">
                  <c:v>4.99997501326623</c:v>
                </c:pt>
                <c:pt idx="84">
                  <c:v>4.99997501453407</c:v>
                </c:pt>
                <c:pt idx="85">
                  <c:v>4.9999750159242202</c:v>
                </c:pt>
                <c:pt idx="86">
                  <c:v>4.99997501744852</c:v>
                </c:pt>
                <c:pt idx="87">
                  <c:v>4.9999750191198498</c:v>
                </c:pt>
                <c:pt idx="88">
                  <c:v>4.9999750209524398</c:v>
                </c:pt>
                <c:pt idx="89">
                  <c:v>4.9999750229618396</c:v>
                </c:pt>
                <c:pt idx="90">
                  <c:v>4.9999750251650799</c:v>
                </c:pt>
                <c:pt idx="91">
                  <c:v>4.9999750275809003</c:v>
                </c:pt>
                <c:pt idx="92">
                  <c:v>4.9999750302298196</c:v>
                </c:pt>
                <c:pt idx="93">
                  <c:v>4.9999750331342598</c:v>
                </c:pt>
                <c:pt idx="94">
                  <c:v>4.9999750363189301</c:v>
                </c:pt>
                <c:pt idx="95">
                  <c:v>4.9999750398108498</c:v>
                </c:pt>
                <c:pt idx="96">
                  <c:v>4.9999750436396901</c:v>
                </c:pt>
                <c:pt idx="97">
                  <c:v>4.9999750478378902</c:v>
                </c:pt>
                <c:pt idx="98">
                  <c:v>4.9999750524411599</c:v>
                </c:pt>
                <c:pt idx="99">
                  <c:v>4.99997505748851</c:v>
                </c:pt>
                <c:pt idx="100">
                  <c:v>4.9999750630228599</c:v>
                </c:pt>
                <c:pt idx="101">
                  <c:v>4.9999750690911204</c:v>
                </c:pt>
                <c:pt idx="102">
                  <c:v>4.9999750757448496</c:v>
                </c:pt>
                <c:pt idx="103">
                  <c:v>4.9999750830405203</c:v>
                </c:pt>
                <c:pt idx="104">
                  <c:v>4.9999750910400502</c:v>
                </c:pt>
                <c:pt idx="105">
                  <c:v>4.9999750998113699</c:v>
                </c:pt>
                <c:pt idx="106">
                  <c:v>4.9999751094289397</c:v>
                </c:pt>
                <c:pt idx="107">
                  <c:v>4.9999751199743896</c:v>
                </c:pt>
                <c:pt idx="108">
                  <c:v>4.9999751315372301</c:v>
                </c:pt>
                <c:pt idx="109">
                  <c:v>4.9999751442156501</c:v>
                </c:pt>
                <c:pt idx="110">
                  <c:v>4.99997515811725</c:v>
                </c:pt>
                <c:pt idx="111">
                  <c:v>4.9999751733600704</c:v>
                </c:pt>
                <c:pt idx="112">
                  <c:v>4.9999751900734699</c:v>
                </c:pt>
                <c:pt idx="113">
                  <c:v>4.9999752083993396</c:v>
                </c:pt>
                <c:pt idx="114">
                  <c:v>4.9999752284932804</c:v>
                </c:pt>
                <c:pt idx="115">
                  <c:v>4.9999752505258597</c:v>
                </c:pt>
                <c:pt idx="116">
                  <c:v>4.9999752746840702</c:v>
                </c:pt>
                <c:pt idx="117">
                  <c:v>4.9999753011730403</c:v>
                </c:pt>
                <c:pt idx="118">
                  <c:v>4.9999753302176</c:v>
                </c:pt>
                <c:pt idx="119">
                  <c:v>4.9999753620643501</c:v>
                </c:pt>
                <c:pt idx="120">
                  <c:v>4.9999753969835998</c:v>
                </c:pt>
                <c:pt idx="121">
                  <c:v>4.9999754352718098</c:v>
                </c:pt>
                <c:pt idx="122">
                  <c:v>4.9999754772539902</c:v>
                </c:pt>
                <c:pt idx="123">
                  <c:v>4.9999755232865404</c:v>
                </c:pt>
                <c:pt idx="124">
                  <c:v>4.9999755737602296</c:v>
                </c:pt>
                <c:pt idx="125">
                  <c:v>4.99997562910354</c:v>
                </c:pt>
                <c:pt idx="126">
                  <c:v>4.9999756897862602</c:v>
                </c:pt>
                <c:pt idx="127">
                  <c:v>4.9999757563235399</c:v>
                </c:pt>
                <c:pt idx="128">
                  <c:v>4.9999758292802197</c:v>
                </c:pt>
                <c:pt idx="129">
                  <c:v>4.99997590927563</c:v>
                </c:pt>
                <c:pt idx="130">
                  <c:v>4.9999759969888498</c:v>
                </c:pt>
                <c:pt idx="131">
                  <c:v>4.9999760931644897</c:v>
                </c:pt>
                <c:pt idx="132">
                  <c:v>4.9999761986189704</c:v>
                </c:pt>
                <c:pt idx="133">
                  <c:v>4.9999763142475402</c:v>
                </c:pt>
                <c:pt idx="134">
                  <c:v>4.9999764410317402</c:v>
                </c:pt>
                <c:pt idx="135">
                  <c:v>4.9999765800478402</c:v>
                </c:pt>
                <c:pt idx="136">
                  <c:v>4.9999767324759796</c:v>
                </c:pt>
                <c:pt idx="137">
                  <c:v>4.9999768996101297</c:v>
                </c:pt>
                <c:pt idx="138">
                  <c:v>4.9999770828690702</c:v>
                </c:pt>
                <c:pt idx="139">
                  <c:v>4.9999772838085299</c:v>
                </c:pt>
                <c:pt idx="140">
                  <c:v>4.99997750413426</c:v>
                </c:pt>
                <c:pt idx="141">
                  <c:v>4.9999777457166497</c:v>
                </c:pt>
                <c:pt idx="142">
                  <c:v>4.9999780106064797</c:v>
                </c:pt>
                <c:pt idx="143">
                  <c:v>4.9999783010524101</c:v>
                </c:pt>
                <c:pt idx="144">
                  <c:v>4.9999786195200997</c:v>
                </c:pt>
                <c:pt idx="145">
                  <c:v>4.9999789687129796</c:v>
                </c:pt>
                <c:pt idx="146">
                  <c:v>4.9999793515953801</c:v>
                </c:pt>
                <c:pt idx="147">
                  <c:v>4.9999797714176699</c:v>
                </c:pt>
                <c:pt idx="148">
                  <c:v>4.9999802317436899</c:v>
                </c:pt>
                <c:pt idx="149">
                  <c:v>4.9999807364811799</c:v>
                </c:pt>
                <c:pt idx="150">
                  <c:v>4.9999812899149498</c:v>
                </c:pt>
                <c:pt idx="151">
                  <c:v>4.9999818967430798</c:v>
                </c:pt>
                <c:pt idx="152">
                  <c:v>4.99998256211697</c:v>
                </c:pt>
                <c:pt idx="153">
                  <c:v>4.9999832916851004</c:v>
                </c:pt>
                <c:pt idx="154">
                  <c:v>4.9999840916407896</c:v>
                </c:pt>
                <c:pt idx="155">
                  <c:v>4.9999849687749602</c:v>
                </c:pt>
                <c:pt idx="156">
                  <c:v>4.9999859305336702</c:v>
                </c:pt>
                <c:pt idx="157">
                  <c:v>4.9999869850814003</c:v>
                </c:pt>
                <c:pt idx="158">
                  <c:v>4.99998814137032</c:v>
                </c:pt>
                <c:pt idx="159">
                  <c:v>4.9999894092163197</c:v>
                </c:pt>
                <c:pt idx="160">
                  <c:v>4.9999907993822497</c:v>
                </c:pt>
                <c:pt idx="161">
                  <c:v>4.9999923236694999</c:v>
                </c:pt>
                <c:pt idx="162">
                  <c:v>4.9999939950178796</c:v>
                </c:pt>
                <c:pt idx="163">
                  <c:v>4.9999958276157699</c:v>
                </c:pt>
                <c:pt idx="164">
                  <c:v>4.9999978370204001</c:v>
                </c:pt>
                <c:pt idx="165">
                  <c:v>5.0000000402899403</c:v>
                </c:pt>
                <c:pt idx="166">
                  <c:v>5.0000024561283896</c:v>
                </c:pt>
                <c:pt idx="167">
                  <c:v>5.0000051050442602</c:v>
                </c:pt>
                <c:pt idx="168">
                  <c:v>5.0000080095248602</c:v>
                </c:pt>
                <c:pt idx="169">
                  <c:v>5.0000111942269996</c:v>
                </c:pt>
                <c:pt idx="170">
                  <c:v>5.0000146861864403</c:v>
                </c:pt>
                <c:pt idx="171">
                  <c:v>5.0000185150473904</c:v>
                </c:pt>
                <c:pt idx="172">
                  <c:v>5.0000227133142996</c:v>
                </c:pt>
                <c:pt idx="173">
                  <c:v>5.0000273166275697</c:v>
                </c:pt>
                <c:pt idx="174">
                  <c:v>5.0000323640664801</c:v>
                </c:pt>
                <c:pt idx="175">
                  <c:v>5.0000378984807003</c:v>
                </c:pt>
                <c:pt idx="176">
                  <c:v>5.0000439668542302</c:v>
                </c:pt>
                <c:pt idx="177">
                  <c:v>5.0000506207043296</c:v>
                </c:pt>
                <c:pt idx="178">
                  <c:v>5.0000579165189301</c:v>
                </c:pt>
                <c:pt idx="179">
                  <c:v>5.0000659162362702</c:v>
                </c:pt>
                <c:pt idx="180">
                  <c:v>5.0000746877707298</c:v>
                </c:pt>
                <c:pt idx="181">
                  <c:v>5.00008430558968</c:v>
                </c:pt>
                <c:pt idx="182">
                  <c:v>5.00009485134572</c:v>
                </c:pt>
                <c:pt idx="183">
                  <c:v>5.0001064145700296</c:v>
                </c:pt>
                <c:pt idx="184">
                  <c:v>5.0001190934327404</c:v>
                </c:pt>
                <c:pt idx="185">
                  <c:v>5.0001329955766201</c:v>
                </c:pt>
                <c:pt idx="186">
                  <c:v>5.00014823903122</c:v>
                </c:pt>
                <c:pt idx="187">
                  <c:v>5.0001649532152301</c:v>
                </c:pt>
                <c:pt idx="188">
                  <c:v>5.0001832800358601</c:v>
                </c:pt>
                <c:pt idx="189">
                  <c:v>5.0002033750940598</c:v>
                </c:pt>
                <c:pt idx="190">
                  <c:v>5.0002254090061404</c:v>
                </c:pt>
                <c:pt idx="191">
                  <c:v>5.0002495688533504</c:v>
                </c:pt>
                <c:pt idx="192">
                  <c:v>5.0002760597709601</c:v>
                </c:pt>
                <c:pt idx="193">
                  <c:v>5.0003051066912398</c:v>
                </c:pt>
                <c:pt idx="194">
                  <c:v>5.0003369562545199</c:v>
                </c:pt>
                <c:pt idx="195">
                  <c:v>5.0003718789050096</c:v>
                </c:pt>
                <c:pt idx="196">
                  <c:v>5.00041017118909</c:v>
                </c:pt>
                <c:pt idx="197">
                  <c:v>5.0004521582755697</c:v>
                </c:pt>
                <c:pt idx="198">
                  <c:v>5.00049819671968</c:v>
                </c:pt>
                <c:pt idx="199">
                  <c:v>5.0005486774941499</c:v>
                </c:pt>
                <c:pt idx="200">
                  <c:v>5.0006040293132701</c:v>
                </c:pt>
                <c:pt idx="201">
                  <c:v>5.0006647222784997</c:v>
                </c:pt>
                <c:pt idx="202">
                  <c:v>5.0007312718765</c:v>
                </c:pt>
                <c:pt idx="203">
                  <c:v>5.0008042433641302</c:v>
                </c:pt>
                <c:pt idx="204">
                  <c:v>5.0008842565775904</c:v>
                </c:pt>
                <c:pt idx="205">
                  <c:v>5.0009719912071704</c:v>
                </c:pt>
                <c:pt idx="206">
                  <c:v>5.00106819258255</c:v>
                </c:pt>
                <c:pt idx="207">
                  <c:v>5.0011736780187404</c:v>
                </c:pt>
                <c:pt idx="208">
                  <c:v>5.0012893437765902</c:v>
                </c:pt>
                <c:pt idx="209">
                  <c:v>5.0014161726980797</c:v>
                </c:pt>
                <c:pt idx="210">
                  <c:v>5.0015552425822003</c:v>
                </c:pt>
                <c:pt idx="211">
                  <c:v>5.00170773537325</c:v>
                </c:pt>
                <c:pt idx="212">
                  <c:v>5.0018749472413901</c:v>
                </c:pt>
                <c:pt idx="213">
                  <c:v>5.0020582996420098</c:v>
                </c:pt>
                <c:pt idx="214">
                  <c:v>5.0022593514502596</c:v>
                </c:pt>
                <c:pt idx="215">
                  <c:v>5.0024798122759497</c:v>
                </c:pt>
                <c:pt idx="216">
                  <c:v>5.0027215570740804</c:v>
                </c:pt>
                <c:pt idx="217">
                  <c:v>5.0029866421794402</c:v>
                </c:pt>
                <c:pt idx="218">
                  <c:v>5.0032773229041601</c:v>
                </c:pt>
                <c:pt idx="219">
                  <c:v>5.0035960728535098</c:v>
                </c:pt>
                <c:pt idx="220">
                  <c:v>5.0039456051290498</c:v>
                </c:pt>
                <c:pt idx="221">
                  <c:v>5.0043288956062399</c:v>
                </c:pt>
                <c:pt idx="222">
                  <c:v>5.0047492084930303</c:v>
                </c:pt>
                <c:pt idx="223">
                  <c:v>5.0052101243954796</c:v>
                </c:pt>
                <c:pt idx="224">
                  <c:v>5.0057155711419101</c:v>
                </c:pt>
                <c:pt idx="225">
                  <c:v>5.0062698576412901</c:v>
                </c:pt>
                <c:pt idx="226">
                  <c:v>5.0068777110807403</c:v>
                </c:pt>
                <c:pt idx="227">
                  <c:v>5.0075443177998</c:v>
                </c:pt>
                <c:pt idx="228">
                  <c:v>5.0082753682132299</c:v>
                </c:pt>
                <c:pt idx="229">
                  <c:v>5.0090771061947104</c:v>
                </c:pt>
                <c:pt idx="230">
                  <c:v>5.0099563833776504</c:v>
                </c:pt>
                <c:pt idx="231">
                  <c:v>5.0109207188782703</c:v>
                </c:pt>
                <c:pt idx="232">
                  <c:v>5.0119783650018599</c:v>
                </c:pt>
                <c:pt idx="233">
                  <c:v>5.0131383795539</c:v>
                </c:pt>
                <c:pt idx="234">
                  <c:v>5.0144107054482498</c:v>
                </c:pt>
                <c:pt idx="235">
                  <c:v>5.0158062583807297</c:v>
                </c:pt>
                <c:pt idx="236">
                  <c:v>5.0173370234258998</c:v>
                </c:pt>
                <c:pt idx="237">
                  <c:v>5.0190161615121696</c:v>
                </c:pt>
                <c:pt idx="238">
                  <c:v>5.0208581268425503</c:v>
                </c:pt>
                <c:pt idx="239">
                  <c:v>5.02287879645539</c:v>
                </c:pt>
                <c:pt idx="240">
                  <c:v>5.0250956132619198</c:v>
                </c:pt>
                <c:pt idx="241">
                  <c:v>5.0275277440619899</c:v>
                </c:pt>
                <c:pt idx="242">
                  <c:v>5.0301962542244203</c:v>
                </c:pt>
                <c:pt idx="243">
                  <c:v>5.0331243009326601</c:v>
                </c:pt>
                <c:pt idx="244">
                  <c:v>5.0363373471389004</c:v>
                </c:pt>
                <c:pt idx="245">
                  <c:v>5.0398633986517503</c:v>
                </c:pt>
                <c:pt idx="246">
                  <c:v>5.0437332671037698</c:v>
                </c:pt>
                <c:pt idx="247">
                  <c:v>5.0479808619197604</c:v>
                </c:pt>
                <c:pt idx="248">
                  <c:v>5.05264351483713</c:v>
                </c:pt>
                <c:pt idx="249">
                  <c:v>5.0577623410322303</c:v>
                </c:pt>
                <c:pt idx="250">
                  <c:v>5.0633826414903904</c:v>
                </c:pt>
                <c:pt idx="251">
                  <c:v>5.0695543519392698</c:v>
                </c:pt>
                <c:pt idx="252">
                  <c:v>5.07633254446527</c:v>
                </c:pt>
                <c:pt idx="253">
                  <c:v>5.0837779888705699</c:v>
                </c:pt>
                <c:pt idx="254">
                  <c:v>5.0919577819348403</c:v>
                </c:pt>
                <c:pt idx="255">
                  <c:v>5.10094605405361</c:v>
                </c:pt>
                <c:pt idx="256">
                  <c:v>5.1108247642727598</c:v>
                </c:pt>
                <c:pt idx="257">
                  <c:v>5.1216845965822904</c:v>
                </c:pt>
                <c:pt idx="258">
                  <c:v>5.13362597252714</c:v>
                </c:pt>
                <c:pt idx="259">
                  <c:v>5.1467601978199102</c:v>
                </c:pt>
                <c:pt idx="260">
                  <c:v>5.1612107637904998</c:v>
                </c:pt>
                <c:pt idx="261">
                  <c:v>5.1771148282997199</c:v>
                </c:pt>
                <c:pt idx="262">
                  <c:v>5.1946249053184603</c:v>
                </c:pt>
                <c:pt idx="263">
                  <c:v>5.21391079791516</c:v>
                </c:pt>
                <c:pt idx="264">
                  <c:v>5.23516181612057</c:v>
                </c:pt>
                <c:pt idx="265">
                  <c:v>5.2585893293343098</c:v>
                </c:pt>
                <c:pt idx="266">
                  <c:v>5.2844297129476496</c:v>
                </c:pt>
                <c:pt idx="267">
                  <c:v>5.3129477611273801</c:v>
                </c:pt>
                <c:pt idx="268">
                  <c:v>5.3444406527786601</c:v>
                </c:pt>
                <c:pt idx="269">
                  <c:v>5.3792425762867602</c:v>
                </c:pt>
                <c:pt idx="270">
                  <c:v>5.4177301415900896</c:v>
                </c:pt>
                <c:pt idx="271">
                  <c:v>5.46032873656804</c:v>
                </c:pt>
                <c:pt idx="272">
                  <c:v>5.5075200200054102</c:v>
                </c:pt>
                <c:pt idx="273">
                  <c:v>5.5598507872471901</c:v>
                </c:pt>
                <c:pt idx="274">
                  <c:v>5.6179434992052597</c:v>
                </c:pt>
                <c:pt idx="275">
                  <c:v>5.6825088332393996</c:v>
                </c:pt>
                <c:pt idx="276">
                  <c:v>5.7543606987304399</c:v>
                </c:pt>
                <c:pt idx="277">
                  <c:v>5.8344342645412004</c:v>
                </c:pt>
                <c:pt idx="278">
                  <c:v>5.9238076740124201</c:v>
                </c:pt>
                <c:pt idx="279">
                  <c:v>6.0237282795876803</c:v>
                </c:pt>
                <c:pt idx="280">
                  <c:v>6.1356444164442001</c:v>
                </c:pt>
                <c:pt idx="281">
                  <c:v>6.2612439523052998</c:v>
                </c:pt>
                <c:pt idx="282">
                  <c:v>6.4025010912816898</c:v>
                </c:pt>
                <c:pt idx="283">
                  <c:v>6.5617331501063099</c:v>
                </c:pt>
                <c:pt idx="284">
                  <c:v>6.7416692116893699</c:v>
                </c:pt>
                <c:pt idx="285">
                  <c:v>6.9455325798221299</c:v>
                </c:pt>
                <c:pt idx="286">
                  <c:v>7.1771385817596602</c:v>
                </c:pt>
                <c:pt idx="287">
                  <c:v>7.4410080468315698</c:v>
                </c:pt>
                <c:pt idx="288">
                  <c:v>7.7424938758062503</c:v>
                </c:pt>
                <c:pt idx="289">
                  <c:v>8.0879118942335708</c:v>
                </c:pt>
                <c:pt idx="290">
                  <c:v>8.4846546415309696</c:v>
                </c:pt>
                <c:pt idx="291">
                  <c:v>8.9412423514412502</c:v>
                </c:pt>
                <c:pt idx="292">
                  <c:v>9.4672192102606498</c:v>
                </c:pt>
                <c:pt idx="293">
                  <c:v>10.0727180425518</c:v>
                </c:pt>
                <c:pt idx="294">
                  <c:v>10.767366223941201</c:v>
                </c:pt>
                <c:pt idx="295">
                  <c:v>11.5579560198493</c:v>
                </c:pt>
                <c:pt idx="296">
                  <c:v>12.4439372008978</c:v>
                </c:pt>
                <c:pt idx="297">
                  <c:v>13.409403010955399</c:v>
                </c:pt>
                <c:pt idx="298">
                  <c:v>14.410295247534901</c:v>
                </c:pt>
                <c:pt idx="299">
                  <c:v>15.357374112144701</c:v>
                </c:pt>
                <c:pt idx="300">
                  <c:v>16.101521688527701</c:v>
                </c:pt>
                <c:pt idx="301">
                  <c:v>16.439341614573099</c:v>
                </c:pt>
                <c:pt idx="302">
                  <c:v>16.164740848231801</c:v>
                </c:pt>
                <c:pt idx="303">
                  <c:v>15.1697052884456</c:v>
                </c:pt>
                <c:pt idx="304">
                  <c:v>13.5342716014669</c:v>
                </c:pt>
                <c:pt idx="305">
                  <c:v>11.514343019100499</c:v>
                </c:pt>
                <c:pt idx="306">
                  <c:v>9.4212500855606205</c:v>
                </c:pt>
                <c:pt idx="307">
                  <c:v>7.4956910777684902</c:v>
                </c:pt>
                <c:pt idx="308">
                  <c:v>5.8598059363444301</c:v>
                </c:pt>
                <c:pt idx="309">
                  <c:v>4.5387723150888997</c:v>
                </c:pt>
                <c:pt idx="310">
                  <c:v>3.50379859591663</c:v>
                </c:pt>
                <c:pt idx="311">
                  <c:v>2.7061362315585602</c:v>
                </c:pt>
                <c:pt idx="312">
                  <c:v>2.0959022578311299</c:v>
                </c:pt>
                <c:pt idx="313">
                  <c:v>1.6298709347031499</c:v>
                </c:pt>
                <c:pt idx="314">
                  <c:v>1.27337188220663</c:v>
                </c:pt>
                <c:pt idx="315">
                  <c:v>0.99966837620683802</c:v>
                </c:pt>
                <c:pt idx="316">
                  <c:v>0.78854550539333701</c:v>
                </c:pt>
                <c:pt idx="317">
                  <c:v>0.62485366591504998</c:v>
                </c:pt>
                <c:pt idx="318">
                  <c:v>0.49726694926448101</c:v>
                </c:pt>
                <c:pt idx="319">
                  <c:v>0.39730655378110602</c:v>
                </c:pt>
                <c:pt idx="320">
                  <c:v>0.31860223457797299</c:v>
                </c:pt>
                <c:pt idx="321">
                  <c:v>0.25634459458945802</c:v>
                </c:pt>
                <c:pt idx="322">
                  <c:v>0.20688250070398101</c:v>
                </c:pt>
                <c:pt idx="323">
                  <c:v>0.16742797170936699</c:v>
                </c:pt>
                <c:pt idx="324">
                  <c:v>0.13583962866602201</c:v>
                </c:pt>
                <c:pt idx="325">
                  <c:v>0.11046327131005799</c:v>
                </c:pt>
                <c:pt idx="326">
                  <c:v>9.0013963414987602E-2</c:v>
                </c:pt>
                <c:pt idx="327">
                  <c:v>7.3488342868378201E-2</c:v>
                </c:pt>
                <c:pt idx="328">
                  <c:v>6.0099024768170202E-2</c:v>
                </c:pt>
                <c:pt idx="329">
                  <c:v>4.9225233348535798E-2</c:v>
                </c:pt>
                <c:pt idx="330">
                  <c:v>4.0375421566051603E-2</c:v>
                </c:pt>
                <c:pt idx="331">
                  <c:v>3.3158797975546099E-2</c:v>
                </c:pt>
                <c:pt idx="332">
                  <c:v>2.7263512216264101E-2</c:v>
                </c:pt>
                <c:pt idx="333">
                  <c:v>2.24398483660786E-2</c:v>
                </c:pt>
                <c:pt idx="334">
                  <c:v>1.8487207235480401E-2</c:v>
                </c:pt>
                <c:pt idx="335">
                  <c:v>1.5243972128361E-2</c:v>
                </c:pt>
                <c:pt idx="336">
                  <c:v>1.25795814029608E-2</c:v>
                </c:pt>
                <c:pt idx="337">
                  <c:v>1.0388299151288201E-2</c:v>
                </c:pt>
                <c:pt idx="338">
                  <c:v>8.5842993730940592E-3</c:v>
                </c:pt>
                <c:pt idx="339">
                  <c:v>7.0977711781127798E-3</c:v>
                </c:pt>
                <c:pt idx="340">
                  <c:v>5.8718214103066603E-3</c:v>
                </c:pt>
                <c:pt idx="341">
                  <c:v>4.8600028350533802E-3</c:v>
                </c:pt>
                <c:pt idx="342">
                  <c:v>4.0243351351357702E-3</c:v>
                </c:pt>
                <c:pt idx="343">
                  <c:v>3.3337156734355301E-3</c:v>
                </c:pt>
                <c:pt idx="344">
                  <c:v>2.7626396743759499E-3</c:v>
                </c:pt>
                <c:pt idx="345">
                  <c:v>2.2901668980670601E-3</c:v>
                </c:pt>
                <c:pt idx="346">
                  <c:v>1.89908532092418E-3</c:v>
                </c:pt>
                <c:pt idx="347">
                  <c:v>1.5752327530420701E-3</c:v>
                </c:pt>
                <c:pt idx="348">
                  <c:v>1.30694543210993E-3</c:v>
                </c:pt>
                <c:pt idx="349">
                  <c:v>1.0846089741416601E-3</c:v>
                </c:pt>
                <c:pt idx="350">
                  <c:v>9.0029203890190602E-4</c:v>
                </c:pt>
              </c:numCache>
            </c:numRef>
          </c:xVal>
          <c:yVal>
            <c:numRef>
              <c:f>'Opamp and C Stray (2)'!$N$3:$N$353</c:f>
              <c:numCache>
                <c:formatCode>General</c:formatCode>
                <c:ptCount val="351"/>
                <c:pt idx="0">
                  <c:v>5.0397719707704597E-6</c:v>
                </c:pt>
                <c:pt idx="1">
                  <c:v>5.2772891062605604E-6</c:v>
                </c:pt>
                <c:pt idx="2">
                  <c:v>5.5260000794835102E-6</c:v>
                </c:pt>
                <c:pt idx="3">
                  <c:v>5.7864324397588397E-6</c:v>
                </c:pt>
                <c:pt idx="4">
                  <c:v>6.0591385990393702E-6</c:v>
                </c:pt>
                <c:pt idx="5">
                  <c:v>6.3446970036514003E-6</c:v>
                </c:pt>
                <c:pt idx="6">
                  <c:v>6.6437133612565003E-6</c:v>
                </c:pt>
                <c:pt idx="7">
                  <c:v>6.9568219256390498E-6</c:v>
                </c:pt>
                <c:pt idx="8">
                  <c:v>7.2846868420431803E-6</c:v>
                </c:pt>
                <c:pt idx="9">
                  <c:v>7.6280035559144203E-6</c:v>
                </c:pt>
                <c:pt idx="10">
                  <c:v>7.9875002880320707E-6</c:v>
                </c:pt>
                <c:pt idx="11">
                  <c:v>8.3639395791633192E-6</c:v>
                </c:pt>
                <c:pt idx="12">
                  <c:v>8.7581199075150303E-6</c:v>
                </c:pt>
                <c:pt idx="13">
                  <c:v>9.1708773824122595E-6</c:v>
                </c:pt>
                <c:pt idx="14">
                  <c:v>9.6030875177985699E-6</c:v>
                </c:pt>
                <c:pt idx="15">
                  <c:v>1.00556670893186E-5</c:v>
                </c:pt>
                <c:pt idx="16">
                  <c:v>1.0529576078921999E-5</c:v>
                </c:pt>
                <c:pt idx="17">
                  <c:v>1.1025819711113699E-5</c:v>
                </c:pt>
                <c:pt idx="18">
                  <c:v>1.1545450585170201E-5</c:v>
                </c:pt>
                <c:pt idx="19">
                  <c:v>1.2089570907843401E-5</c:v>
                </c:pt>
                <c:pt idx="20">
                  <c:v>1.2659334831289301E-5</c:v>
                </c:pt>
                <c:pt idx="21">
                  <c:v>1.3255950901179199E-5</c:v>
                </c:pt>
                <c:pt idx="22">
                  <c:v>1.3880684620187101E-5</c:v>
                </c:pt>
                <c:pt idx="23">
                  <c:v>1.4534861132290301E-5</c:v>
                </c:pt>
                <c:pt idx="24">
                  <c:v>1.5219868033578199E-5</c:v>
                </c:pt>
                <c:pt idx="25">
                  <c:v>1.5937158315528801E-5</c:v>
                </c:pt>
                <c:pt idx="26">
                  <c:v>1.6688253446999201E-5</c:v>
                </c:pt>
                <c:pt idx="27">
                  <c:v>1.7474746601463899E-5</c:v>
                </c:pt>
                <c:pt idx="28">
                  <c:v>1.8298306036350999E-5</c:v>
                </c:pt>
                <c:pt idx="29">
                  <c:v>1.9160678631638599E-5</c:v>
                </c:pt>
                <c:pt idx="30">
                  <c:v>2.0063693595221199E-5</c:v>
                </c:pt>
                <c:pt idx="31">
                  <c:v>2.10092663429066E-5</c:v>
                </c:pt>
                <c:pt idx="32">
                  <c:v>2.1999402561266799E-5</c:v>
                </c:pt>
                <c:pt idx="33">
                  <c:v>2.3036202461972302E-5</c:v>
                </c:pt>
                <c:pt idx="34">
                  <c:v>2.4121865236618001E-5</c:v>
                </c:pt>
                <c:pt idx="35">
                  <c:v>2.52586937215063E-5</c:v>
                </c:pt>
                <c:pt idx="36">
                  <c:v>2.64490992822716E-5</c:v>
                </c:pt>
                <c:pt idx="37">
                  <c:v>2.7695606928709101E-5</c:v>
                </c:pt>
                <c:pt idx="38">
                  <c:v>2.9000860670657898E-5</c:v>
                </c:pt>
                <c:pt idx="39">
                  <c:v>3.0367629126305701E-5</c:v>
                </c:pt>
                <c:pt idx="40">
                  <c:v>3.1798811394790898E-5</c:v>
                </c:pt>
                <c:pt idx="41">
                  <c:v>3.3297443205588003E-5</c:v>
                </c:pt>
                <c:pt idx="42">
                  <c:v>3.48667033576943E-5</c:v>
                </c:pt>
                <c:pt idx="43">
                  <c:v>3.6509920462285702E-5</c:v>
                </c:pt>
                <c:pt idx="44">
                  <c:v>3.8230580003152099E-5</c:v>
                </c:pt>
                <c:pt idx="45">
                  <c:v>4.0032331729873597E-5</c:v>
                </c:pt>
                <c:pt idx="46">
                  <c:v>4.1918997399427502E-5</c:v>
                </c:pt>
                <c:pt idx="47">
                  <c:v>4.3894578882649603E-5</c:v>
                </c:pt>
                <c:pt idx="48">
                  <c:v>4.5963266652738302E-5</c:v>
                </c:pt>
                <c:pt idx="49">
                  <c:v>4.8129448673808602E-5</c:v>
                </c:pt>
                <c:pt idx="50">
                  <c:v>5.0397719708352802E-5</c:v>
                </c:pt>
                <c:pt idx="51">
                  <c:v>5.2772891063350197E-5</c:v>
                </c:pt>
                <c:pt idx="52">
                  <c:v>5.5260000795690299E-5</c:v>
                </c:pt>
                <c:pt idx="53">
                  <c:v>5.7864324398569198E-5</c:v>
                </c:pt>
                <c:pt idx="54">
                  <c:v>6.0591385991520298E-5</c:v>
                </c:pt>
                <c:pt idx="55">
                  <c:v>6.3446970037807799E-5</c:v>
                </c:pt>
                <c:pt idx="56">
                  <c:v>6.6437133614050299E-5</c:v>
                </c:pt>
                <c:pt idx="57">
                  <c:v>6.9568219258096199E-5</c:v>
                </c:pt>
                <c:pt idx="58">
                  <c:v>7.2846868422390301E-5</c:v>
                </c:pt>
                <c:pt idx="59">
                  <c:v>7.6280035561393004E-5</c:v>
                </c:pt>
                <c:pt idx="60">
                  <c:v>7.9875002882900804E-5</c:v>
                </c:pt>
                <c:pt idx="61">
                  <c:v>8.3639395794597499E-5</c:v>
                </c:pt>
                <c:pt idx="62">
                  <c:v>8.7581199078554098E-5</c:v>
                </c:pt>
                <c:pt idx="63">
                  <c:v>9.1708773828029903E-5</c:v>
                </c:pt>
                <c:pt idx="64">
                  <c:v>9.6030875182472595E-5</c:v>
                </c:pt>
                <c:pt idx="65">
                  <c:v>1.00556670898337E-4</c:v>
                </c:pt>
                <c:pt idx="66">
                  <c:v>1.05295760795133E-4</c:v>
                </c:pt>
                <c:pt idx="67">
                  <c:v>1.10258197117926E-4</c:v>
                </c:pt>
                <c:pt idx="68">
                  <c:v>1.15454505859497E-4</c:v>
                </c:pt>
                <c:pt idx="69">
                  <c:v>1.20895709087384E-4</c:v>
                </c:pt>
                <c:pt idx="70">
                  <c:v>1.2659334832317099E-4</c:v>
                </c:pt>
                <c:pt idx="71">
                  <c:v>1.32559509023592E-4</c:v>
                </c:pt>
                <c:pt idx="72">
                  <c:v>1.38806846215419E-4</c:v>
                </c:pt>
                <c:pt idx="73">
                  <c:v>1.4534861133845699E-4</c:v>
                </c:pt>
                <c:pt idx="74">
                  <c:v>1.52198680353641E-4</c:v>
                </c:pt>
                <c:pt idx="75">
                  <c:v>1.59371583175792E-4</c:v>
                </c:pt>
                <c:pt idx="76">
                  <c:v>1.6688253449353399E-4</c:v>
                </c:pt>
                <c:pt idx="77">
                  <c:v>1.74747466041672E-4</c:v>
                </c:pt>
                <c:pt idx="78">
                  <c:v>1.8298306039454701E-4</c:v>
                </c:pt>
                <c:pt idx="79">
                  <c:v>1.9160678635201999E-4</c:v>
                </c:pt>
                <c:pt idx="80">
                  <c:v>2.0063693599312599E-4</c:v>
                </c:pt>
                <c:pt idx="81">
                  <c:v>2.1009266347603699E-4</c:v>
                </c:pt>
                <c:pt idx="82">
                  <c:v>2.19994025666602E-4</c:v>
                </c:pt>
                <c:pt idx="83">
                  <c:v>2.3036202468164501E-4</c:v>
                </c:pt>
                <c:pt idx="84">
                  <c:v>2.4121865243727499E-4</c:v>
                </c:pt>
                <c:pt idx="85">
                  <c:v>2.5258693729669302E-4</c:v>
                </c:pt>
                <c:pt idx="86">
                  <c:v>2.64490992916441E-4</c:v>
                </c:pt>
                <c:pt idx="87">
                  <c:v>2.7695606939469601E-4</c:v>
                </c:pt>
                <c:pt idx="88">
                  <c:v>2.9000860683013098E-4</c:v>
                </c:pt>
                <c:pt idx="89">
                  <c:v>3.0367629140490998E-4</c:v>
                </c:pt>
                <c:pt idx="90">
                  <c:v>3.1798811411078002E-4</c:v>
                </c:pt>
                <c:pt idx="91">
                  <c:v>3.32974432242886E-4</c:v>
                </c:pt>
                <c:pt idx="92">
                  <c:v>3.4866703379165002E-4</c:v>
                </c:pt>
                <c:pt idx="93">
                  <c:v>3.6509920486937301E-4</c:v>
                </c:pt>
                <c:pt idx="94">
                  <c:v>3.8230580031455702E-4</c:v>
                </c:pt>
                <c:pt idx="95">
                  <c:v>4.00323317623708E-4</c:v>
                </c:pt>
                <c:pt idx="96">
                  <c:v>4.1918997436739302E-4</c:v>
                </c:pt>
                <c:pt idx="97">
                  <c:v>4.3894578925489797E-4</c:v>
                </c:pt>
                <c:pt idx="98">
                  <c:v>4.5963266701925398E-4</c:v>
                </c:pt>
                <c:pt idx="99">
                  <c:v>4.8129448730281898E-4</c:v>
                </c:pt>
                <c:pt idx="100">
                  <c:v>5.0397719773193799E-4</c:v>
                </c:pt>
                <c:pt idx="101">
                  <c:v>5.2772891137797297E-4</c:v>
                </c:pt>
                <c:pt idx="102">
                  <c:v>5.5260000881166905E-4</c:v>
                </c:pt>
                <c:pt idx="103">
                  <c:v>5.7864324496709999E-4</c:v>
                </c:pt>
                <c:pt idx="104">
                  <c:v>6.0591386104200703E-4</c:v>
                </c:pt>
                <c:pt idx="105">
                  <c:v>6.3446970167181302E-4</c:v>
                </c:pt>
                <c:pt idx="106">
                  <c:v>6.6437133762591895E-4</c:v>
                </c:pt>
                <c:pt idx="107">
                  <c:v>6.9568219428644304E-4</c:v>
                </c:pt>
                <c:pt idx="108">
                  <c:v>7.28468686182059E-4</c:v>
                </c:pt>
                <c:pt idx="109">
                  <c:v>7.6280035786218899E-4</c:v>
                </c:pt>
                <c:pt idx="110">
                  <c:v>7.9875003141036398E-4</c:v>
                </c:pt>
                <c:pt idx="111">
                  <c:v>8.3639396090976501E-4</c:v>
                </c:pt>
                <c:pt idx="112">
                  <c:v>8.7581199418841898E-4</c:v>
                </c:pt>
                <c:pt idx="113">
                  <c:v>9.1708774218732996E-4</c:v>
                </c:pt>
                <c:pt idx="114">
                  <c:v>9.6030875631059498E-4</c:v>
                </c:pt>
                <c:pt idx="115">
                  <c:v>1.00556671413384E-3</c:v>
                </c:pt>
                <c:pt idx="116">
                  <c:v>1.05295761386486E-3</c:v>
                </c:pt>
                <c:pt idx="117">
                  <c:v>1.1025819779688999E-3</c:v>
                </c:pt>
                <c:pt idx="118">
                  <c:v>1.1545450663905199E-3</c:v>
                </c:pt>
                <c:pt idx="119">
                  <c:v>1.2089570998243301E-3</c:v>
                </c:pt>
                <c:pt idx="120">
                  <c:v>1.26593349350824E-3</c:v>
                </c:pt>
                <c:pt idx="121">
                  <c:v>1.3255951020349601E-3</c:v>
                </c:pt>
                <c:pt idx="122">
                  <c:v>1.3880684757012901E-3</c:v>
                </c:pt>
                <c:pt idx="123">
                  <c:v>1.45348612893874E-3</c:v>
                </c:pt>
                <c:pt idx="124">
                  <c:v>1.5219868213949799E-3</c:v>
                </c:pt>
                <c:pt idx="125">
                  <c:v>1.5937158522623201E-3</c:v>
                </c:pt>
                <c:pt idx="126">
                  <c:v>1.6688253684775201E-3</c:v>
                </c:pt>
                <c:pt idx="127">
                  <c:v>1.7474746874467401E-3</c:v>
                </c:pt>
                <c:pt idx="128">
                  <c:v>1.8298306349801201E-3</c:v>
                </c:pt>
                <c:pt idx="129">
                  <c:v>1.91606789915272E-3</c:v>
                </c:pt>
                <c:pt idx="130">
                  <c:v>2.0063694008428598E-3</c:v>
                </c:pt>
                <c:pt idx="131">
                  <c:v>2.1009266817332002E-3</c:v>
                </c:pt>
                <c:pt idx="132">
                  <c:v>2.19994031059803E-3</c:v>
                </c:pt>
                <c:pt idx="133">
                  <c:v>2.3036203087386702E-3</c:v>
                </c:pt>
                <c:pt idx="134">
                  <c:v>2.4121865954689898E-3</c:v>
                </c:pt>
                <c:pt idx="135">
                  <c:v>2.5258694545963298E-3</c:v>
                </c:pt>
                <c:pt idx="136">
                  <c:v>2.64491002288748E-3</c:v>
                </c:pt>
                <c:pt idx="137">
                  <c:v>2.76956080155544E-3</c:v>
                </c:pt>
                <c:pt idx="138">
                  <c:v>2.90008619185238E-3</c:v>
                </c:pt>
                <c:pt idx="139">
                  <c:v>3.0367630559046902E-3</c:v>
                </c:pt>
                <c:pt idx="140">
                  <c:v>3.17988130397979E-3</c:v>
                </c:pt>
                <c:pt idx="141">
                  <c:v>3.3297445094309401E-3</c:v>
                </c:pt>
                <c:pt idx="142">
                  <c:v>3.4866705526235301E-3</c:v>
                </c:pt>
                <c:pt idx="143">
                  <c:v>3.6509922952103402E-3</c:v>
                </c:pt>
                <c:pt idx="144">
                  <c:v>3.82305828618451E-3</c:v>
                </c:pt>
                <c:pt idx="145">
                  <c:v>4.0032335012091498E-3</c:v>
                </c:pt>
                <c:pt idx="146">
                  <c:v>4.1919001167916798E-3</c:v>
                </c:pt>
                <c:pt idx="147">
                  <c:v>4.3894583209454097E-3</c:v>
                </c:pt>
                <c:pt idx="148">
                  <c:v>4.59632716205737E-3</c:v>
                </c:pt>
                <c:pt idx="149">
                  <c:v>4.8129454377644496E-3</c:v>
                </c:pt>
                <c:pt idx="150">
                  <c:v>5.0397726257232003E-3</c:v>
                </c:pt>
                <c:pt idx="151">
                  <c:v>5.2772898582466596E-3</c:v>
                </c:pt>
                <c:pt idx="152">
                  <c:v>5.5260009428788103E-3</c:v>
                </c:pt>
                <c:pt idx="153">
                  <c:v>5.7864334310688903E-3</c:v>
                </c:pt>
                <c:pt idx="154">
                  <c:v>6.0591397372151802E-3</c:v>
                </c:pt>
                <c:pt idx="155">
                  <c:v>6.3446983104515397E-3</c:v>
                </c:pt>
                <c:pt idx="156">
                  <c:v>6.6437148616630796E-3</c:v>
                </c:pt>
                <c:pt idx="157">
                  <c:v>6.9568236483353299E-3</c:v>
                </c:pt>
                <c:pt idx="158">
                  <c:v>7.2846888199621096E-3</c:v>
                </c:pt>
                <c:pt idx="159">
                  <c:v>7.6280058268677602E-3</c:v>
                </c:pt>
                <c:pt idx="160">
                  <c:v>7.9875028954334293E-3</c:v>
                </c:pt>
                <c:pt idx="161">
                  <c:v>8.3639425728585393E-3</c:v>
                </c:pt>
                <c:pt idx="162">
                  <c:v>8.7581233447341696E-3</c:v>
                </c:pt>
                <c:pt idx="163">
                  <c:v>9.1708813288642905E-3</c:v>
                </c:pt>
                <c:pt idx="164">
                  <c:v>9.60309204892725E-3</c:v>
                </c:pt>
                <c:pt idx="165">
                  <c:v>1.0055672291744699E-2</c:v>
                </c:pt>
                <c:pt idx="166">
                  <c:v>1.05295820520991E-2</c:v>
                </c:pt>
                <c:pt idx="167">
                  <c:v>1.10258265692296E-2</c:v>
                </c:pt>
                <c:pt idx="168">
                  <c:v>1.1545458459329401E-2</c:v>
                </c:pt>
                <c:pt idx="169">
                  <c:v>1.2089579948573801E-2</c:v>
                </c:pt>
                <c:pt idx="170">
                  <c:v>1.26593452114186E-2</c:v>
                </c:pt>
                <c:pt idx="171">
                  <c:v>1.32559628191396E-2</c:v>
                </c:pt>
                <c:pt idx="172">
                  <c:v>1.3880698303808E-2</c:v>
                </c:pt>
                <c:pt idx="173">
                  <c:v>1.45348768431534E-2</c:v>
                </c:pt>
                <c:pt idx="174">
                  <c:v>1.5219886072017399E-2</c:v>
                </c:pt>
                <c:pt idx="175">
                  <c:v>1.5937179026371401E-2</c:v>
                </c:pt>
                <c:pt idx="176">
                  <c:v>1.6688277226156501E-2</c:v>
                </c:pt>
                <c:pt idx="177">
                  <c:v>1.7474773903499399E-2</c:v>
                </c:pt>
                <c:pt idx="178">
                  <c:v>1.82983373831688E-2</c:v>
                </c:pt>
                <c:pt idx="179">
                  <c:v>1.9160714622458299E-2</c:v>
                </c:pt>
                <c:pt idx="180">
                  <c:v>2.0063734918031501E-2</c:v>
                </c:pt>
                <c:pt idx="181">
                  <c:v>2.1009313787614298E-2</c:v>
                </c:pt>
                <c:pt idx="182">
                  <c:v>2.1999457034795701E-2</c:v>
                </c:pt>
                <c:pt idx="183">
                  <c:v>2.30362650055933E-2</c:v>
                </c:pt>
                <c:pt idx="184">
                  <c:v>2.4121937045851399E-2</c:v>
                </c:pt>
                <c:pt idx="185">
                  <c:v>2.5258776168969901E-2</c:v>
                </c:pt>
                <c:pt idx="186">
                  <c:v>2.6449193943910699E-2</c:v>
                </c:pt>
                <c:pt idx="187">
                  <c:v>2.76957156139119E-2</c:v>
                </c:pt>
                <c:pt idx="188">
                  <c:v>2.9000985456835E-2</c:v>
                </c:pt>
                <c:pt idx="189">
                  <c:v>3.03677723985794E-2</c:v>
                </c:pt>
                <c:pt idx="190">
                  <c:v>3.1798975891574897E-2</c:v>
                </c:pt>
                <c:pt idx="191">
                  <c:v>3.3297632070905199E-2</c:v>
                </c:pt>
                <c:pt idx="192">
                  <c:v>3.4866920201244697E-2</c:v>
                </c:pt>
                <c:pt idx="193">
                  <c:v>3.6510169428409803E-2</c:v>
                </c:pt>
                <c:pt idx="194">
                  <c:v>3.82308658499972E-2</c:v>
                </c:pt>
                <c:pt idx="195">
                  <c:v>4.0032659920283403E-2</c:v>
                </c:pt>
                <c:pt idx="196">
                  <c:v>4.1919374205284E-2</c:v>
                </c:pt>
                <c:pt idx="197">
                  <c:v>4.3895011504655801E-2</c:v>
                </c:pt>
                <c:pt idx="198">
                  <c:v>4.5963763357926797E-2</c:v>
                </c:pt>
                <c:pt idx="199">
                  <c:v>4.8130018953400501E-2</c:v>
                </c:pt>
                <c:pt idx="200">
                  <c:v>5.0398374458966402E-2</c:v>
                </c:pt>
                <c:pt idx="201">
                  <c:v>5.2773642795021301E-2</c:v>
                </c:pt>
                <c:pt idx="202">
                  <c:v>5.5260863870656901E-2</c:v>
                </c:pt>
                <c:pt idx="203">
                  <c:v>5.7865315305371499E-2</c:v>
                </c:pt>
                <c:pt idx="204">
                  <c:v>6.0592523659622199E-2</c:v>
                </c:pt>
                <c:pt idx="205">
                  <c:v>6.3448276198741105E-2</c:v>
                </c:pt>
                <c:pt idx="206">
                  <c:v>6.6438633215923207E-2</c:v>
                </c:pt>
                <c:pt idx="207">
                  <c:v>6.9569940941357697E-2</c:v>
                </c:pt>
                <c:pt idx="208">
                  <c:v>7.2848845065879894E-2</c:v>
                </c:pt>
                <c:pt idx="209">
                  <c:v>7.6282304909024198E-2</c:v>
                </c:pt>
                <c:pt idx="210">
                  <c:v>7.9877608262882302E-2</c:v>
                </c:pt>
                <c:pt idx="211">
                  <c:v>8.3642386944786803E-2</c:v>
                </c:pt>
                <c:pt idx="212">
                  <c:v>8.7584633093598097E-2</c:v>
                </c:pt>
                <c:pt idx="213">
                  <c:v>9.1712716246169002E-2</c:v>
                </c:pt>
                <c:pt idx="214">
                  <c:v>9.60354012325568E-2</c:v>
                </c:pt>
                <c:pt idx="215">
                  <c:v>0.100561866930576</c:v>
                </c:pt>
                <c:pt idx="216">
                  <c:v>0.10530172592251701</c:v>
                </c:pt>
                <c:pt idx="217">
                  <c:v>0.110265045099231</c:v>
                </c:pt>
                <c:pt idx="218">
                  <c:v>0.11546236725921299</c:v>
                </c:pt>
                <c:pt idx="219">
                  <c:v>0.120904733753087</c:v>
                </c:pt>
                <c:pt idx="220">
                  <c:v>0.12660370822668901</c:v>
                </c:pt>
                <c:pt idx="221">
                  <c:v>0.13257140151903099</c:v>
                </c:pt>
                <c:pt idx="222">
                  <c:v>0.138820497774755</c:v>
                </c:pt>
                <c:pt idx="223">
                  <c:v>0.14536428183410399</c:v>
                </c:pt>
                <c:pt idx="224">
                  <c:v>0.152216667967354</c:v>
                </c:pt>
                <c:pt idx="225">
                  <c:v>0.15939223002460901</c:v>
                </c:pt>
                <c:pt idx="226">
                  <c:v>0.166906233076274</c:v>
                </c:pt>
                <c:pt idx="227">
                  <c:v>0.174774666624255</c:v>
                </c:pt>
                <c:pt idx="228">
                  <c:v>0.183014279468943</c:v>
                </c:pt>
                <c:pt idx="229">
                  <c:v>0.19164261632256799</c:v>
                </c:pt>
                <c:pt idx="230">
                  <c:v>0.20067805626533899</c:v>
                </c:pt>
                <c:pt idx="231">
                  <c:v>0.210139853147148</c:v>
                </c:pt>
                <c:pt idx="232">
                  <c:v>0.22004817804447599</c:v>
                </c:pt>
                <c:pt idx="233">
                  <c:v>0.23042416388940401</c:v>
                </c:pt>
                <c:pt idx="234">
                  <c:v>0.24128995239557899</c:v>
                </c:pt>
                <c:pt idx="235">
                  <c:v>0.25266874341440998</c:v>
                </c:pt>
                <c:pt idx="236">
                  <c:v>0.26458484686376998</c:v>
                </c:pt>
                <c:pt idx="237">
                  <c:v>0.27706373738113199</c:v>
                </c:pt>
                <c:pt idx="238">
                  <c:v>0.29013211186307603</c:v>
                </c:pt>
                <c:pt idx="239">
                  <c:v>0.30381795006398499</c:v>
                </c:pt>
                <c:pt idx="240">
                  <c:v>0.31815057843753097</c:v>
                </c:pt>
                <c:pt idx="241">
                  <c:v>0.33316073741611302</c:v>
                </c:pt>
                <c:pt idx="242">
                  <c:v>0.34888065233481402</c:v>
                </c:pt>
                <c:pt idx="243">
                  <c:v>0.365344108217455</c:v>
                </c:pt>
                <c:pt idx="244">
                  <c:v>0.38258652865316101</c:v>
                </c:pt>
                <c:pt idx="245">
                  <c:v>0.40064505900089098</c:v>
                </c:pt>
                <c:pt idx="246">
                  <c:v>0.419558654166728</c:v>
                </c:pt>
                <c:pt idx="247">
                  <c:v>0.43936817120282301</c:v>
                </c:pt>
                <c:pt idx="248">
                  <c:v>0.46011646697613801</c:v>
                </c:pt>
                <c:pt idx="249">
                  <c:v>0.48184850114781103</c:v>
                </c:pt>
                <c:pt idx="250">
                  <c:v>0.50461144468735097</c:v>
                </c:pt>
                <c:pt idx="251">
                  <c:v>0.52845479411580998</c:v>
                </c:pt>
                <c:pt idx="252">
                  <c:v>0.55343049162481905</c:v>
                </c:pt>
                <c:pt idx="253">
                  <c:v>0.57959305114636095</c:v>
                </c:pt>
                <c:pt idx="254">
                  <c:v>0.60699969034384804</c:v>
                </c:pt>
                <c:pt idx="255">
                  <c:v>0.63571046834705003</c:v>
                </c:pt>
                <c:pt idx="256">
                  <c:v>0.66578842884614398</c:v>
                </c:pt>
                <c:pt idx="257">
                  <c:v>0.69729974787537996</c:v>
                </c:pt>
                <c:pt idx="258">
                  <c:v>0.73031388522696095</c:v>
                </c:pt>
                <c:pt idx="259">
                  <c:v>0.76490373790637001</c:v>
                </c:pt>
                <c:pt idx="260">
                  <c:v>0.80114579332580405</c:v>
                </c:pt>
                <c:pt idx="261">
                  <c:v>0.83912027896973795</c:v>
                </c:pt>
                <c:pt idx="262">
                  <c:v>0.878911303972847</c:v>
                </c:pt>
                <c:pt idx="263">
                  <c:v>0.92060698631552396</c:v>
                </c:pt>
                <c:pt idx="264">
                  <c:v>0.96429955701347503</c:v>
                </c:pt>
                <c:pt idx="265">
                  <c:v>1.01008542955515</c:v>
                </c:pt>
                <c:pt idx="266">
                  <c:v>1.05806521864572</c:v>
                </c:pt>
                <c:pt idx="267">
                  <c:v>1.1083436866765499</c:v>
                </c:pt>
                <c:pt idx="268">
                  <c:v>1.16102958873768</c:v>
                </c:pt>
                <c:pt idx="269">
                  <c:v>1.2162353767254701</c:v>
                </c:pt>
                <c:pt idx="270">
                  <c:v>1.2740767091882601</c:v>
                </c:pt>
                <c:pt idx="271">
                  <c:v>1.33467169464904</c:v>
                </c:pt>
                <c:pt idx="272">
                  <c:v>1.39813977035064</c:v>
                </c:pt>
                <c:pt idx="273">
                  <c:v>1.4646000830319701</c:v>
                </c:pt>
                <c:pt idx="274">
                  <c:v>1.5341691897113701</c:v>
                </c:pt>
                <c:pt idx="275">
                  <c:v>1.6069578291961899</c:v>
                </c:pt>
                <c:pt idx="276">
                  <c:v>1.68306642153908</c:v>
                </c:pt>
                <c:pt idx="277">
                  <c:v>1.76257882196535</c:v>
                </c:pt>
                <c:pt idx="278">
                  <c:v>1.8455536720486201</c:v>
                </c:pt>
                <c:pt idx="279">
                  <c:v>1.9320124310358</c:v>
                </c:pt>
                <c:pt idx="280">
                  <c:v>2.0219228004276202</c:v>
                </c:pt>
                <c:pt idx="281">
                  <c:v>2.1151757254877399</c:v>
                </c:pt>
                <c:pt idx="282">
                  <c:v>2.2115533948006099</c:v>
                </c:pt>
                <c:pt idx="283">
                  <c:v>2.3106845544280299</c:v>
                </c:pt>
                <c:pt idx="284">
                  <c:v>2.4119818451421602</c:v>
                </c:pt>
                <c:pt idx="285">
                  <c:v>2.5145535208510301</c:v>
                </c:pt>
                <c:pt idx="286">
                  <c:v>2.61707846359357</c:v>
                </c:pt>
                <c:pt idx="287">
                  <c:v>2.7176283712834799</c:v>
                </c:pt>
                <c:pt idx="288">
                  <c:v>2.8134136583096598</c:v>
                </c:pt>
                <c:pt idx="289">
                  <c:v>2.9004190705743298</c:v>
                </c:pt>
                <c:pt idx="290">
                  <c:v>2.9728802864776802</c:v>
                </c:pt>
                <c:pt idx="291">
                  <c:v>3.0225332888961001</c:v>
                </c:pt>
                <c:pt idx="292">
                  <c:v>3.0375454362825698</c:v>
                </c:pt>
                <c:pt idx="293">
                  <c:v>3.0010182920644999</c:v>
                </c:pt>
                <c:pt idx="294">
                  <c:v>2.8889604284688799</c:v>
                </c:pt>
                <c:pt idx="295">
                  <c:v>2.6677237135611902</c:v>
                </c:pt>
                <c:pt idx="296">
                  <c:v>2.2912171409272699</c:v>
                </c:pt>
                <c:pt idx="297">
                  <c:v>1.69903080541199</c:v>
                </c:pt>
                <c:pt idx="298">
                  <c:v>0.81832272090020297</c:v>
                </c:pt>
                <c:pt idx="299">
                  <c:v>-0.424904569210584</c:v>
                </c:pt>
                <c:pt idx="300">
                  <c:v>-2.0772869621581802</c:v>
                </c:pt>
                <c:pt idx="301">
                  <c:v>-4.1090653324664697</c:v>
                </c:pt>
                <c:pt idx="302">
                  <c:v>-6.3626207241648798</c:v>
                </c:pt>
                <c:pt idx="303">
                  <c:v>-8.5492994492485401</c:v>
                </c:pt>
                <c:pt idx="304">
                  <c:v>-10.3399918457018</c:v>
                </c:pt>
                <c:pt idx="305">
                  <c:v>-11.5096809492081</c:v>
                </c:pt>
                <c:pt idx="306">
                  <c:v>-12.0203803370126</c:v>
                </c:pt>
                <c:pt idx="307">
                  <c:v>-11.9866371285399</c:v>
                </c:pt>
                <c:pt idx="308">
                  <c:v>-11.582557936521299</c:v>
                </c:pt>
                <c:pt idx="309">
                  <c:v>-10.968543291120399</c:v>
                </c:pt>
                <c:pt idx="310">
                  <c:v>-10.2618493802904</c:v>
                </c:pt>
                <c:pt idx="311">
                  <c:v>-9.5365904757642692</c:v>
                </c:pt>
                <c:pt idx="312">
                  <c:v>-8.8345220738747994</c:v>
                </c:pt>
                <c:pt idx="313">
                  <c:v>-8.1763530524880306</c:v>
                </c:pt>
                <c:pt idx="314">
                  <c:v>-7.5702684685012702</c:v>
                </c:pt>
                <c:pt idx="315">
                  <c:v>-7.0175063506692004</c:v>
                </c:pt>
                <c:pt idx="316">
                  <c:v>-6.51573479894728</c:v>
                </c:pt>
                <c:pt idx="317">
                  <c:v>-6.0609951682674499</c:v>
                </c:pt>
                <c:pt idx="318">
                  <c:v>-5.6487732427261204</c:v>
                </c:pt>
                <c:pt idx="319">
                  <c:v>-5.2745615411414999</c:v>
                </c:pt>
                <c:pt idx="320">
                  <c:v>-4.9341332186517004</c:v>
                </c:pt>
                <c:pt idx="321">
                  <c:v>-4.6236568313276303</c:v>
                </c:pt>
                <c:pt idx="322">
                  <c:v>-4.33972611651041</c:v>
                </c:pt>
                <c:pt idx="323">
                  <c:v>-4.07934661696176</c:v>
                </c:pt>
                <c:pt idx="324">
                  <c:v>-3.83990234297378</c:v>
                </c:pt>
                <c:pt idx="325">
                  <c:v>-3.6191150459572801</c:v>
                </c:pt>
                <c:pt idx="326">
                  <c:v>-3.4150026814819601</c:v>
                </c:pt>
                <c:pt idx="327">
                  <c:v>-3.22584029256892</c:v>
                </c:pt>
                <c:pt idx="328">
                  <c:v>-3.0501247051997802</c:v>
                </c:pt>
                <c:pt idx="329">
                  <c:v>-2.8865434437227302</c:v>
                </c:pt>
                <c:pt idx="330">
                  <c:v>-2.7339477701880601</c:v>
                </c:pt>
                <c:pt idx="331">
                  <c:v>-2.5913295152073599</c:v>
                </c:pt>
                <c:pt idx="332">
                  <c:v>-2.45780127717827</c:v>
                </c:pt>
                <c:pt idx="333">
                  <c:v>-2.3325795527850599</c:v>
                </c:pt>
                <c:pt idx="334">
                  <c:v>-2.2149703858834102</c:v>
                </c:pt>
                <c:pt idx="335">
                  <c:v>-2.1043571627789799</c:v>
                </c:pt>
                <c:pt idx="336">
                  <c:v>-2.00019022795844</c:v>
                </c:pt>
                <c:pt idx="337">
                  <c:v>-1.90197803955593</c:v>
                </c:pt>
                <c:pt idx="338">
                  <c:v>-1.80927962541148</c:v>
                </c:pt>
                <c:pt idx="339">
                  <c:v>-1.7216981373918001</c:v>
                </c:pt>
                <c:pt idx="340">
                  <c:v>-1.63887533351133</c:v>
                </c:pt>
                <c:pt idx="341">
                  <c:v>-1.56048684458139</c:v>
                </c:pt>
                <c:pt idx="342">
                  <c:v>-1.4862381050995499</c:v>
                </c:pt>
                <c:pt idx="343">
                  <c:v>-1.4158608474075001</c:v>
                </c:pt>
                <c:pt idx="344">
                  <c:v>-1.3491100743181901</c:v>
                </c:pt>
                <c:pt idx="345">
                  <c:v>-1.28576143892898</c:v>
                </c:pt>
                <c:pt idx="346">
                  <c:v>-1.2256089716209699</c:v>
                </c:pt>
                <c:pt idx="347">
                  <c:v>-1.1684631036658399</c:v>
                </c:pt>
                <c:pt idx="348">
                  <c:v>-1.1141489447311199</c:v>
                </c:pt>
                <c:pt idx="349">
                  <c:v>-1.06250477815563</c:v>
                </c:pt>
                <c:pt idx="350">
                  <c:v>-1.01338074337682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8-4938-AB9B-D5AF757C9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2157864"/>
        <c:axId val="642160488"/>
      </c:scatterChart>
      <c:valAx>
        <c:axId val="64215786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60488"/>
        <c:crossesAt val="-2000000"/>
        <c:crossBetween val="midCat"/>
      </c:valAx>
      <c:valAx>
        <c:axId val="64216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</a:t>
                </a:r>
                <a:r>
                  <a:rPr lang="en-US" sz="1000" b="0" i="0" u="none" strike="noStrike" baseline="0">
                    <a:effectLst/>
                  </a:rPr>
                  <a:t>|H(j</a:t>
                </a:r>
                <a:r>
                  <a:rPr lang="el-GR" sz="1000" b="0" i="0" u="none" strike="noStrike" baseline="0">
                    <a:effectLst/>
                  </a:rPr>
                  <a:t>ω</a:t>
                </a:r>
                <a:r>
                  <a:rPr lang="en-US" sz="1000" b="0" i="0" u="none" strike="noStrike" baseline="0">
                    <a:effectLst/>
                  </a:rPr>
                  <a:t>)|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157864"/>
        <c:crossesAt val="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1373716</xdr:colOff>
      <xdr:row>0</xdr:row>
      <xdr:rowOff>177800</xdr:rowOff>
    </xdr:from>
    <xdr:to>
      <xdr:col>3</xdr:col>
      <xdr:colOff>6052607</xdr:colOff>
      <xdr:row>40</xdr:row>
      <xdr:rowOff>44451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612216" y="177800"/>
          <a:ext cx="4678891" cy="7667626"/>
          <a:chOff x="6686550" y="57150"/>
          <a:chExt cx="4676774" cy="721118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aphicFramePr/>
        </xdr:nvGraphicFramePr>
        <xdr:xfrm>
          <a:off x="6691313" y="57150"/>
          <a:ext cx="4672011" cy="25314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aphicFramePr>
            <a:graphicFrameLocks/>
          </xdr:cNvGraphicFramePr>
        </xdr:nvGraphicFramePr>
        <xdr:xfrm>
          <a:off x="6686550" y="2582951"/>
          <a:ext cx="4629149" cy="22341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>
            <a:graphicFrameLocks/>
          </xdr:cNvGraphicFramePr>
        </xdr:nvGraphicFramePr>
        <xdr:xfrm>
          <a:off x="6705600" y="4843633"/>
          <a:ext cx="4600575" cy="24246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251883</xdr:colOff>
      <xdr:row>7</xdr:row>
      <xdr:rowOff>149227</xdr:rowOff>
    </xdr:from>
    <xdr:to>
      <xdr:col>2</xdr:col>
      <xdr:colOff>93452</xdr:colOff>
      <xdr:row>11</xdr:row>
      <xdr:rowOff>31340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251883" y="1616077"/>
              <a:ext cx="2699069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𝐴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𝑂𝐿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𝜔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𝐶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251883" y="1616077"/>
              <a:ext cx="2699069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𝐴_𝑂𝐿=𝐴_0/(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/𝜔_𝐶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64030</xdr:colOff>
      <xdr:row>1</xdr:row>
      <xdr:rowOff>34924</xdr:rowOff>
    </xdr:from>
    <xdr:to>
      <xdr:col>3</xdr:col>
      <xdr:colOff>5657850</xdr:colOff>
      <xdr:row>17</xdr:row>
      <xdr:rowOff>57149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9BF7B2-FFB1-FBF0-8043-1278999FE6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1259425</xdr:colOff>
      <xdr:row>38</xdr:row>
      <xdr:rowOff>107989</xdr:rowOff>
    </xdr:from>
    <xdr:to>
      <xdr:col>3</xdr:col>
      <xdr:colOff>5290583</xdr:colOff>
      <xdr:row>52</xdr:row>
      <xdr:rowOff>6351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7D4005-8248-6B1A-C722-27AAB2D039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680508</xdr:colOff>
      <xdr:row>22</xdr:row>
      <xdr:rowOff>168277</xdr:rowOff>
    </xdr:from>
    <xdr:to>
      <xdr:col>3</xdr:col>
      <xdr:colOff>3255752</xdr:colOff>
      <xdr:row>26</xdr:row>
      <xdr:rowOff>23369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8">
              <a:extLst>
                <a:ext uri="{FF2B5EF4-FFF2-40B4-BE49-F238E27FC236}">
                  <a16:creationId xmlns:a16="http://schemas.microsoft.com/office/drawing/2014/main" id="{F43C74C7-936A-48A2-B45E-1B143B009DC6}"/>
                </a:ext>
              </a:extLst>
            </xdr:cNvPr>
            <xdr:cNvSpPr txBox="1"/>
          </xdr:nvSpPr>
          <xdr:spPr>
            <a:xfrm>
              <a:off x="3795183" y="4359277"/>
              <a:ext cx="2575244" cy="61709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𝐴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𝑂𝐿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dPr>
                          <m:e>
                            <m:r>
                              <a:rPr lang="en-US" sz="14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n-US" sz="14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4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 kern="120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 kern="120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𝜔</m:t>
                                    </m:r>
                                  </m:e>
                                  <m:sub>
                                    <m:r>
                                      <a:rPr lang="en-US" sz="1400" b="0" i="1" kern="120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n-US" sz="14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4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1+</m:t>
                            </m:r>
                            <m:r>
                              <a:rPr lang="en-US" sz="14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  <m:sSub>
                              <m:sSubPr>
                                <m:ctrlPr>
                                  <a:rPr lang="en-US" sz="14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4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4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4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𝑂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US" sz="14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6" name="TextBox 8">
              <a:extLst>
                <a:ext uri="{FF2B5EF4-FFF2-40B4-BE49-F238E27FC236}">
                  <a16:creationId xmlns:a16="http://schemas.microsoft.com/office/drawing/2014/main" id="{F43C74C7-936A-48A2-B45E-1B143B009DC6}"/>
                </a:ext>
              </a:extLst>
            </xdr:cNvPr>
            <xdr:cNvSpPr txBox="1"/>
          </xdr:nvSpPr>
          <xdr:spPr>
            <a:xfrm>
              <a:off x="3795183" y="4359277"/>
              <a:ext cx="2575244" cy="61709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latin typeface="Cambria Math" panose="02040503050406030204" pitchFamily="18" charset="0"/>
                  <a:cs typeface="Arial" pitchFamily="34" charset="0"/>
                </a:rPr>
                <a:t>𝐴_𝑂𝐿=𝐴_0/(</a:t>
              </a:r>
              <a:r>
                <a:rPr lang="en-US" sz="14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1+𝑠</a:t>
              </a:r>
              <a:r>
                <a:rPr lang="en-US" sz="14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/𝜔_𝐶 )(1+𝑠𝐶_𝐿 𝑅_𝑂 ) </a:t>
              </a:r>
              <a:endParaRPr lang="en-US" sz="14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419100</xdr:colOff>
      <xdr:row>18</xdr:row>
      <xdr:rowOff>47625</xdr:rowOff>
    </xdr:from>
    <xdr:to>
      <xdr:col>3</xdr:col>
      <xdr:colOff>533400</xdr:colOff>
      <xdr:row>36</xdr:row>
      <xdr:rowOff>8001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95D9B13E-17E1-B5D4-5F81-B1AEA813C4A4}"/>
            </a:ext>
          </a:extLst>
        </xdr:cNvPr>
        <xdr:cNvGrpSpPr/>
      </xdr:nvGrpSpPr>
      <xdr:grpSpPr>
        <a:xfrm>
          <a:off x="419100" y="3476625"/>
          <a:ext cx="3228975" cy="3389376"/>
          <a:chOff x="914400" y="1828800"/>
          <a:chExt cx="3228975" cy="3389376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25F945A1-71BD-A87A-3CCE-F774A666353F}"/>
              </a:ext>
            </a:extLst>
          </xdr:cNvPr>
          <xdr:cNvGrpSpPr/>
        </xdr:nvGrpSpPr>
        <xdr:grpSpPr>
          <a:xfrm>
            <a:off x="914400" y="1828800"/>
            <a:ext cx="3228975" cy="3389376"/>
            <a:chOff x="914400" y="1828800"/>
            <a:chExt cx="3228975" cy="3389376"/>
          </a:xfrm>
        </xdr:grpSpPr>
        <xdr:pic>
          <xdr:nvPicPr>
            <xdr:cNvPr id="13" name="Graphic 8">
              <a:extLst>
                <a:ext uri="{FF2B5EF4-FFF2-40B4-BE49-F238E27FC236}">
                  <a16:creationId xmlns:a16="http://schemas.microsoft.com/office/drawing/2014/main" id="{773A98BA-CF9D-21BA-04BF-56C7F9630E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914400" y="2093976"/>
              <a:ext cx="3228975" cy="3124200"/>
            </a:xfrm>
            <a:prstGeom prst="rect">
              <a:avLst/>
            </a:prstGeom>
          </xdr:spPr>
        </xdr:pic>
        <xdr:sp macro="" textlink="">
          <xdr:nvSpPr>
            <xdr:cNvPr id="14" name="Isosceles Triangle 13">
              <a:extLst>
                <a:ext uri="{FF2B5EF4-FFF2-40B4-BE49-F238E27FC236}">
                  <a16:creationId xmlns:a16="http://schemas.microsoft.com/office/drawing/2014/main" id="{F5409172-8029-937B-7459-6A7C4C653939}"/>
                </a:ext>
              </a:extLst>
            </xdr:cNvPr>
            <xdr:cNvSpPr/>
          </xdr:nvSpPr>
          <xdr:spPr bwMode="auto">
            <a:xfrm rot="5400000">
              <a:off x="1311485" y="1769364"/>
              <a:ext cx="1557528" cy="1676400"/>
            </a:xfrm>
            <a:prstGeom prst="triangle">
              <a:avLst/>
            </a:prstGeom>
            <a:noFill/>
            <a:ln>
              <a:solidFill>
                <a:schemeClr val="tx1"/>
              </a:solidFill>
              <a:headEnd/>
              <a:tailEnd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11">
                <a:extLst>
                  <a:ext uri="{FF2B5EF4-FFF2-40B4-BE49-F238E27FC236}">
                    <a16:creationId xmlns:a16="http://schemas.microsoft.com/office/drawing/2014/main" id="{A74CE7A3-5C55-EDCE-593D-1FBE03ECB4FB}"/>
                  </a:ext>
                </a:extLst>
              </xdr:cNvPr>
              <xdr:cNvSpPr txBox="1"/>
            </xdr:nvSpPr>
            <xdr:spPr>
              <a:xfrm>
                <a:off x="1287743" y="2093976"/>
                <a:ext cx="21159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600" b="0" i="1">
                          <a:latin typeface="Cambria Math" panose="02040503050406030204" pitchFamily="18" charset="0"/>
                          <a:cs typeface="Arial" pitchFamily="34" charset="0"/>
                        </a:rPr>
                        <m:t>+</m:t>
                      </m:r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9" name="TextBox 11">
                <a:extLst>
                  <a:ext uri="{FF2B5EF4-FFF2-40B4-BE49-F238E27FC236}">
                    <a16:creationId xmlns:a16="http://schemas.microsoft.com/office/drawing/2014/main" id="{A74CE7A3-5C55-EDCE-593D-1FBE03ECB4FB}"/>
                  </a:ext>
                </a:extLst>
              </xdr:cNvPr>
              <xdr:cNvSpPr txBox="1"/>
            </xdr:nvSpPr>
            <xdr:spPr>
              <a:xfrm>
                <a:off x="1287743" y="2093976"/>
                <a:ext cx="21159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+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0" name="TextBox 12">
                <a:extLst>
                  <a:ext uri="{FF2B5EF4-FFF2-40B4-BE49-F238E27FC236}">
                    <a16:creationId xmlns:a16="http://schemas.microsoft.com/office/drawing/2014/main" id="{25FD78E1-1CA3-AF45-D0BC-68EEAFA2A008}"/>
                  </a:ext>
                </a:extLst>
              </xdr:cNvPr>
              <xdr:cNvSpPr txBox="1"/>
            </xdr:nvSpPr>
            <xdr:spPr>
              <a:xfrm>
                <a:off x="1287743" y="2885197"/>
                <a:ext cx="21159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600" b="0" i="1">
                          <a:latin typeface="Cambria Math" panose="02040503050406030204" pitchFamily="18" charset="0"/>
                          <a:cs typeface="Arial" pitchFamily="34" charset="0"/>
                        </a:rPr>
                        <m:t>−</m:t>
                      </m:r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0" name="TextBox 12">
                <a:extLst>
                  <a:ext uri="{FF2B5EF4-FFF2-40B4-BE49-F238E27FC236}">
                    <a16:creationId xmlns:a16="http://schemas.microsoft.com/office/drawing/2014/main" id="{25FD78E1-1CA3-AF45-D0BC-68EEAFA2A008}"/>
                  </a:ext>
                </a:extLst>
              </xdr:cNvPr>
              <xdr:cNvSpPr txBox="1"/>
            </xdr:nvSpPr>
            <xdr:spPr>
              <a:xfrm>
                <a:off x="1287743" y="2885197"/>
                <a:ext cx="21159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−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1" name="TextBox 14">
                <a:extLst>
                  <a:ext uri="{FF2B5EF4-FFF2-40B4-BE49-F238E27FC236}">
                    <a16:creationId xmlns:a16="http://schemas.microsoft.com/office/drawing/2014/main" id="{90A84663-E567-7DB5-A025-BA1CB3F544EF}"/>
                  </a:ext>
                </a:extLst>
              </xdr:cNvPr>
              <xdr:cNvSpPr txBox="1"/>
            </xdr:nvSpPr>
            <xdr:spPr>
              <a:xfrm>
                <a:off x="2090249" y="2274331"/>
                <a:ext cx="30200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𝑅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𝑂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1" name="TextBox 14">
                <a:extLst>
                  <a:ext uri="{FF2B5EF4-FFF2-40B4-BE49-F238E27FC236}">
                    <a16:creationId xmlns:a16="http://schemas.microsoft.com/office/drawing/2014/main" id="{90A84663-E567-7DB5-A025-BA1CB3F544EF}"/>
                  </a:ext>
                </a:extLst>
              </xdr:cNvPr>
              <xdr:cNvSpPr txBox="1"/>
            </xdr:nvSpPr>
            <xdr:spPr>
              <a:xfrm>
                <a:off x="2090249" y="2274331"/>
                <a:ext cx="30200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𝑅_𝑂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2" name="TextBox 15">
                <a:extLst>
                  <a:ext uri="{FF2B5EF4-FFF2-40B4-BE49-F238E27FC236}">
                    <a16:creationId xmlns:a16="http://schemas.microsoft.com/office/drawing/2014/main" id="{1C38E1F2-5520-5A7C-9FCB-6D50833D30AB}"/>
                  </a:ext>
                </a:extLst>
              </xdr:cNvPr>
              <xdr:cNvSpPr txBox="1"/>
            </xdr:nvSpPr>
            <xdr:spPr>
              <a:xfrm>
                <a:off x="3470665" y="2903439"/>
                <a:ext cx="26186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𝐶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𝐿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2" name="TextBox 15">
                <a:extLst>
                  <a:ext uri="{FF2B5EF4-FFF2-40B4-BE49-F238E27FC236}">
                    <a16:creationId xmlns:a16="http://schemas.microsoft.com/office/drawing/2014/main" id="{1C38E1F2-5520-5A7C-9FCB-6D50833D30AB}"/>
                  </a:ext>
                </a:extLst>
              </xdr:cNvPr>
              <xdr:cNvSpPr txBox="1"/>
            </xdr:nvSpPr>
            <xdr:spPr>
              <a:xfrm>
                <a:off x="3470665" y="2903439"/>
                <a:ext cx="26186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𝐶_𝐿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64030</xdr:colOff>
      <xdr:row>1</xdr:row>
      <xdr:rowOff>34924</xdr:rowOff>
    </xdr:from>
    <xdr:to>
      <xdr:col>3</xdr:col>
      <xdr:colOff>5657850</xdr:colOff>
      <xdr:row>17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8E7564-BFE6-4478-B09B-528BD65EA0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783175</xdr:colOff>
      <xdr:row>16</xdr:row>
      <xdr:rowOff>184189</xdr:rowOff>
    </xdr:from>
    <xdr:to>
      <xdr:col>3</xdr:col>
      <xdr:colOff>4814333</xdr:colOff>
      <xdr:row>30</xdr:row>
      <xdr:rowOff>82551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4A7A40-73D2-43EB-BC60-2F49891BB8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583060</xdr:colOff>
      <xdr:row>20</xdr:row>
      <xdr:rowOff>118454</xdr:rowOff>
    </xdr:from>
    <xdr:to>
      <xdr:col>3</xdr:col>
      <xdr:colOff>43629</xdr:colOff>
      <xdr:row>23</xdr:row>
      <xdr:rowOff>87423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27D146A3-297D-4AE0-BA1C-36D07FA7DF05}"/>
                </a:ext>
              </a:extLst>
            </xdr:cNvPr>
            <xdr:cNvSpPr txBox="1"/>
          </xdr:nvSpPr>
          <xdr:spPr>
            <a:xfrm>
              <a:off x="583060" y="3928454"/>
              <a:ext cx="2581838" cy="54046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2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2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𝐴</m:t>
                        </m:r>
                      </m:e>
                      <m:sub>
                        <m:r>
                          <a:rPr lang="en-US" sz="12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𝑂𝐿</m:t>
                        </m:r>
                      </m:sub>
                    </m:sSub>
                    <m:r>
                      <a:rPr lang="en-US" sz="12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2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0</m:t>
                            </m:r>
                          </m:sub>
                        </m:sSub>
                        <m:d>
                          <m:dPr>
                            <m:ctrlP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dPr>
                          <m:e>
                            <m: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1+</m:t>
                            </m:r>
                            <m: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𝑠𝐶</m:t>
                            </m:r>
                            <m:sSub>
                              <m:sSubPr>
                                <m:ctrlPr>
                                  <a:rPr lang="en-US" sz="12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2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𝐼</m:t>
                                </m:r>
                              </m:sub>
                            </m:sSub>
                          </m:e>
                        </m:d>
                      </m:num>
                      <m:den>
                        <m:d>
                          <m:dPr>
                            <m:ctrlPr>
                              <a:rPr lang="en-US" sz="12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dPr>
                          <m:e>
                            <m:r>
                              <a:rPr lang="en-US" sz="12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n-US" sz="12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2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US" sz="1200" b="0" i="1" kern="120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200" b="0" i="1" kern="120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𝜔</m:t>
                                    </m:r>
                                  </m:e>
                                  <m:sub>
                                    <m:r>
                                      <a:rPr lang="en-US" sz="1200" b="0" i="1" kern="120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d>
                          <m:dPr>
                            <m:ctrlPr>
                              <a:rPr lang="en-US" sz="12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2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1+</m:t>
                            </m:r>
                            <m:r>
                              <a:rPr lang="en-US" sz="12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𝑠𝐶</m:t>
                            </m:r>
                            <m:r>
                              <a:rPr lang="en-US" sz="12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2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2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𝐼</m:t>
                                </m:r>
                              </m:sub>
                            </m:sSub>
                            <m:r>
                              <a:rPr lang="en-US" sz="12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US" sz="12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2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2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𝑂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US" sz="12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27D146A3-297D-4AE0-BA1C-36D07FA7DF05}"/>
                </a:ext>
              </a:extLst>
            </xdr:cNvPr>
            <xdr:cNvSpPr txBox="1"/>
          </xdr:nvSpPr>
          <xdr:spPr>
            <a:xfrm>
              <a:off x="583060" y="3928454"/>
              <a:ext cx="2581838" cy="54046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200" b="0" i="0">
                  <a:latin typeface="Cambria Math" panose="02040503050406030204" pitchFamily="18" charset="0"/>
                  <a:cs typeface="Arial" pitchFamily="34" charset="0"/>
                </a:rPr>
                <a:t>𝐴_𝑂𝐿=(𝐴_0 (1+𝑠𝐶𝑅_𝐼 ))/(</a:t>
              </a:r>
              <a:r>
                <a:rPr lang="en-US" sz="12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1+𝑠</a:t>
              </a:r>
              <a:r>
                <a:rPr lang="en-US" sz="12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/𝜔_𝐶 )(1+𝑠𝐶(𝑅_𝐼+𝑅_𝑂 ) </a:t>
              </a:r>
              <a:endParaRPr lang="en-US" sz="12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64030</xdr:colOff>
      <xdr:row>1</xdr:row>
      <xdr:rowOff>34924</xdr:rowOff>
    </xdr:from>
    <xdr:to>
      <xdr:col>3</xdr:col>
      <xdr:colOff>5657850</xdr:colOff>
      <xdr:row>17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9040E6-890F-4C1F-BC36-85E7B6FB98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1259425</xdr:colOff>
      <xdr:row>38</xdr:row>
      <xdr:rowOff>107989</xdr:rowOff>
    </xdr:from>
    <xdr:to>
      <xdr:col>3</xdr:col>
      <xdr:colOff>5290583</xdr:colOff>
      <xdr:row>52</xdr:row>
      <xdr:rowOff>6351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EA5F35-D7EA-4867-8E9C-4927414024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147108</xdr:colOff>
      <xdr:row>23</xdr:row>
      <xdr:rowOff>168277</xdr:rowOff>
    </xdr:from>
    <xdr:to>
      <xdr:col>1</xdr:col>
      <xdr:colOff>864977</xdr:colOff>
      <xdr:row>26</xdr:row>
      <xdr:rowOff>116150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4E5D8B46-8734-4C1B-95CB-07E19CE5BD60}"/>
                </a:ext>
              </a:extLst>
            </xdr:cNvPr>
            <xdr:cNvSpPr txBox="1"/>
          </xdr:nvSpPr>
          <xdr:spPr>
            <a:xfrm>
              <a:off x="147108" y="4549777"/>
              <a:ext cx="2575244" cy="51937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6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6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n-US" sz="16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=1+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𝐹</m:t>
                            </m:r>
                          </m:sub>
                        </m:sSub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d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𝑠𝐶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+1</m:t>
                            </m:r>
                          </m:e>
                        </m:d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4E5D8B46-8734-4C1B-95CB-07E19CE5BD60}"/>
                </a:ext>
              </a:extLst>
            </xdr:cNvPr>
            <xdr:cNvSpPr txBox="1"/>
          </xdr:nvSpPr>
          <xdr:spPr>
            <a:xfrm>
              <a:off x="147108" y="4549777"/>
              <a:ext cx="2575244" cy="51937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1/𝛽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=1+(𝑅_𝐹 (𝑠𝐶𝑅_1+1))/𝑅_1 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428625</xdr:colOff>
      <xdr:row>18</xdr:row>
      <xdr:rowOff>152400</xdr:rowOff>
    </xdr:from>
    <xdr:to>
      <xdr:col>0</xdr:col>
      <xdr:colOff>1809750</xdr:colOff>
      <xdr:row>22</xdr:row>
      <xdr:rowOff>53563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8">
              <a:extLst>
                <a:ext uri="{FF2B5EF4-FFF2-40B4-BE49-F238E27FC236}">
                  <a16:creationId xmlns:a16="http://schemas.microsoft.com/office/drawing/2014/main" id="{BD40D4EB-B97E-4E27-A925-B00772F634E2}"/>
                </a:ext>
              </a:extLst>
            </xdr:cNvPr>
            <xdr:cNvSpPr txBox="1"/>
          </xdr:nvSpPr>
          <xdr:spPr>
            <a:xfrm>
              <a:off x="428625" y="3581400"/>
              <a:ext cx="1381125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𝐴</m:t>
                    </m:r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𝜔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𝐶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3" name="TextBox 8">
              <a:extLst>
                <a:ext uri="{FF2B5EF4-FFF2-40B4-BE49-F238E27FC236}">
                  <a16:creationId xmlns:a16="http://schemas.microsoft.com/office/drawing/2014/main" id="{BD40D4EB-B97E-4E27-A925-B00772F634E2}"/>
                </a:ext>
              </a:extLst>
            </xdr:cNvPr>
            <xdr:cNvSpPr txBox="1"/>
          </xdr:nvSpPr>
          <xdr:spPr>
            <a:xfrm>
              <a:off x="428625" y="3581400"/>
              <a:ext cx="1381125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𝐴=𝐴_0/(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/𝜔_𝐶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64030</xdr:colOff>
      <xdr:row>1</xdr:row>
      <xdr:rowOff>34924</xdr:rowOff>
    </xdr:from>
    <xdr:to>
      <xdr:col>3</xdr:col>
      <xdr:colOff>5657850</xdr:colOff>
      <xdr:row>17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D5958A-5132-4A6F-8160-52343DB88D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1259425</xdr:colOff>
      <xdr:row>38</xdr:row>
      <xdr:rowOff>107989</xdr:rowOff>
    </xdr:from>
    <xdr:to>
      <xdr:col>3</xdr:col>
      <xdr:colOff>5290583</xdr:colOff>
      <xdr:row>52</xdr:row>
      <xdr:rowOff>6351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7E9BF9-4877-4699-A24B-C20BCBAE6D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51858</xdr:colOff>
      <xdr:row>23</xdr:row>
      <xdr:rowOff>63502</xdr:rowOff>
    </xdr:from>
    <xdr:to>
      <xdr:col>1</xdr:col>
      <xdr:colOff>769727</xdr:colOff>
      <xdr:row>25</xdr:row>
      <xdr:rowOff>183793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32543BE8-93D1-4526-9D73-C9889621B47C}"/>
                </a:ext>
              </a:extLst>
            </xdr:cNvPr>
            <xdr:cNvSpPr txBox="1"/>
          </xdr:nvSpPr>
          <xdr:spPr>
            <a:xfrm>
              <a:off x="51858" y="4445002"/>
              <a:ext cx="2575244" cy="50129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𝛽</m:t>
                    </m:r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n-US" sz="16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sub>
                        </m:sSub>
                        <m:d>
                          <m:dPr>
                            <m:ctrlP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𝑠𝐶</m:t>
                            </m:r>
                            <m:sSub>
                              <m:sSubPr>
                                <m:ctrlPr>
                                  <a:rPr lang="en-US" sz="16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6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32543BE8-93D1-4526-9D73-C9889621B47C}"/>
                </a:ext>
              </a:extLst>
            </xdr:cNvPr>
            <xdr:cNvSpPr txBox="1"/>
          </xdr:nvSpPr>
          <xdr:spPr>
            <a:xfrm>
              <a:off x="51858" y="4445002"/>
              <a:ext cx="2575244" cy="50129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𝛽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=𝑅_1/(</a:t>
              </a:r>
              <a:r>
                <a:rPr lang="en-US" sz="16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𝑅_1+𝑅_𝐹</a:t>
              </a:r>
              <a:r>
                <a:rPr lang="en-US" sz="16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(𝑠𝐶𝑅_1+1)</a:t>
              </a:r>
              <a:r>
                <a:rPr lang="en-US" sz="16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428625</xdr:colOff>
      <xdr:row>18</xdr:row>
      <xdr:rowOff>152400</xdr:rowOff>
    </xdr:from>
    <xdr:to>
      <xdr:col>0</xdr:col>
      <xdr:colOff>1809750</xdr:colOff>
      <xdr:row>22</xdr:row>
      <xdr:rowOff>53563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0EFDB732-CD72-4F95-AD82-B1D9BCAFE164}"/>
                </a:ext>
              </a:extLst>
            </xdr:cNvPr>
            <xdr:cNvSpPr txBox="1"/>
          </xdr:nvSpPr>
          <xdr:spPr>
            <a:xfrm>
              <a:off x="428625" y="3581400"/>
              <a:ext cx="1381125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𝐴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𝑂𝐿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𝜔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𝐶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0EFDB732-CD72-4F95-AD82-B1D9BCAFE164}"/>
                </a:ext>
              </a:extLst>
            </xdr:cNvPr>
            <xdr:cNvSpPr txBox="1"/>
          </xdr:nvSpPr>
          <xdr:spPr>
            <a:xfrm>
              <a:off x="428625" y="3581400"/>
              <a:ext cx="1381125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𝐴_𝑂𝐿=𝐴_0/(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/𝜔_𝐶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64030</xdr:colOff>
      <xdr:row>1</xdr:row>
      <xdr:rowOff>34924</xdr:rowOff>
    </xdr:from>
    <xdr:to>
      <xdr:col>3</xdr:col>
      <xdr:colOff>5657850</xdr:colOff>
      <xdr:row>17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B53A07-E62E-473D-8034-C2BCA98920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535525</xdr:colOff>
      <xdr:row>17</xdr:row>
      <xdr:rowOff>12739</xdr:rowOff>
    </xdr:from>
    <xdr:to>
      <xdr:col>3</xdr:col>
      <xdr:colOff>4566683</xdr:colOff>
      <xdr:row>30</xdr:row>
      <xdr:rowOff>101601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C8CFC0-079A-4A5A-A84D-EF6CC45D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51858</xdr:colOff>
      <xdr:row>23</xdr:row>
      <xdr:rowOff>63502</xdr:rowOff>
    </xdr:from>
    <xdr:to>
      <xdr:col>1</xdr:col>
      <xdr:colOff>769727</xdr:colOff>
      <xdr:row>25</xdr:row>
      <xdr:rowOff>183793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BE20CE37-BF25-461D-8CF9-887E0FF6B17E}"/>
                </a:ext>
              </a:extLst>
            </xdr:cNvPr>
            <xdr:cNvSpPr txBox="1"/>
          </xdr:nvSpPr>
          <xdr:spPr>
            <a:xfrm>
              <a:off x="51858" y="4445002"/>
              <a:ext cx="2575244" cy="50129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𝛽</m:t>
                    </m:r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n-US" sz="16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sub>
                        </m:sSub>
                        <m:d>
                          <m:dPr>
                            <m:ctrlP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𝑠𝐶</m:t>
                            </m:r>
                            <m:sSub>
                              <m:sSubPr>
                                <m:ctrlPr>
                                  <a:rPr lang="en-US" sz="16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6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BE20CE37-BF25-461D-8CF9-887E0FF6B17E}"/>
                </a:ext>
              </a:extLst>
            </xdr:cNvPr>
            <xdr:cNvSpPr txBox="1"/>
          </xdr:nvSpPr>
          <xdr:spPr>
            <a:xfrm>
              <a:off x="51858" y="4445002"/>
              <a:ext cx="2575244" cy="50129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=𝑅_1/(</a:t>
              </a:r>
              <a:r>
                <a:rPr lang="en-US" sz="16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𝑅_1+𝑅_𝐹 (𝑠𝐶𝑅_1+1)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428625</xdr:colOff>
      <xdr:row>18</xdr:row>
      <xdr:rowOff>152400</xdr:rowOff>
    </xdr:from>
    <xdr:to>
      <xdr:col>0</xdr:col>
      <xdr:colOff>1809750</xdr:colOff>
      <xdr:row>22</xdr:row>
      <xdr:rowOff>53563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27A85780-68CA-49DD-A356-AB9DFE10783F}"/>
                </a:ext>
              </a:extLst>
            </xdr:cNvPr>
            <xdr:cNvSpPr txBox="1"/>
          </xdr:nvSpPr>
          <xdr:spPr>
            <a:xfrm>
              <a:off x="428625" y="3581400"/>
              <a:ext cx="1381125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𝐴</m:t>
                    </m:r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𝜔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𝐶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27A85780-68CA-49DD-A356-AB9DFE10783F}"/>
                </a:ext>
              </a:extLst>
            </xdr:cNvPr>
            <xdr:cNvSpPr txBox="1"/>
          </xdr:nvSpPr>
          <xdr:spPr>
            <a:xfrm>
              <a:off x="428625" y="3581400"/>
              <a:ext cx="1381125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𝐴=𝐴_0/(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/𝜔_𝐶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14287</xdr:colOff>
      <xdr:row>5</xdr:row>
      <xdr:rowOff>38100</xdr:rowOff>
    </xdr:from>
    <xdr:ext cx="2252155" cy="5577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16F63CD-9893-CE79-2FE7-E1BD94979536}"/>
                </a:ext>
              </a:extLst>
            </xdr:cNvPr>
            <xdr:cNvSpPr txBox="1"/>
          </xdr:nvSpPr>
          <xdr:spPr>
            <a:xfrm>
              <a:off x="1871662" y="990600"/>
              <a:ext cx="2252155" cy="557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𝑃𝑀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=90°−</m:t>
                    </m:r>
                    <m:func>
                      <m:func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n-US" sz="1600" b="0" i="0">
                                <a:latin typeface="Cambria Math" panose="02040503050406030204" pitchFamily="18" charset="0"/>
                              </a:rPr>
                              <m:t>tan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</m:fName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𝜔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𝑡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𝜔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𝑒𝑞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</m:func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16F63CD-9893-CE79-2FE7-E1BD94979536}"/>
                </a:ext>
              </a:extLst>
            </xdr:cNvPr>
            <xdr:cNvSpPr txBox="1"/>
          </xdr:nvSpPr>
          <xdr:spPr>
            <a:xfrm>
              <a:off x="1871662" y="990600"/>
              <a:ext cx="2252155" cy="557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𝑃𝑀=90°−tan^(−1)⁡(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𝜔_𝑡/𝜔_𝑒𝑞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166687</xdr:colOff>
      <xdr:row>9</xdr:row>
      <xdr:rowOff>133350</xdr:rowOff>
    </xdr:from>
    <xdr:ext cx="1668149" cy="8381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FD3C413-9748-F5B1-7B83-8637005016FC}"/>
                </a:ext>
              </a:extLst>
            </xdr:cNvPr>
            <xdr:cNvSpPr txBox="1"/>
          </xdr:nvSpPr>
          <xdr:spPr>
            <a:xfrm>
              <a:off x="2024062" y="1847850"/>
              <a:ext cx="1668149" cy="8381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𝑄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𝜔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𝜔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𝑒𝑞</m:t>
                                </m:r>
                              </m:sub>
                            </m:sSub>
                          </m:den>
                        </m:f>
                        <m:rad>
                          <m:radPr>
                            <m:degHide m:val="on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1+</m:t>
                            </m:r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p>
                                  <m:sSup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sSub>
                                      <m:sSub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𝜔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</m:sub>
                                    </m:sSub>
                                  </m:e>
                                  <m:sup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sSup>
                                  <m:sSup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sSub>
                                      <m:sSubPr>
                                        <m:ctrlP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𝜔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𝑒𝑞</m:t>
                                        </m:r>
                                      </m:sub>
                                    </m:sSub>
                                  </m:e>
                                  <m:sup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den>
                            </m:f>
                          </m:e>
                        </m:rad>
                      </m:e>
                    </m:ra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FD3C413-9748-F5B1-7B83-8637005016FC}"/>
                </a:ext>
              </a:extLst>
            </xdr:cNvPr>
            <xdr:cNvSpPr txBox="1"/>
          </xdr:nvSpPr>
          <xdr:spPr>
            <a:xfrm>
              <a:off x="2024062" y="1847850"/>
              <a:ext cx="1668149" cy="8381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𝑄=√(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𝜔_𝑡/𝜔_𝑒𝑞  √(</a:t>
              </a:r>
              <a:r>
                <a:rPr lang="en-US" sz="1400" b="0" i="0">
                  <a:latin typeface="Cambria Math" panose="02040503050406030204" pitchFamily="18" charset="0"/>
                </a:rPr>
                <a:t>1+〖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𝜔_</a:t>
              </a:r>
              <a:r>
                <a:rPr lang="en-US" sz="1400" b="0" i="0">
                  <a:latin typeface="Cambria Math" panose="02040503050406030204" pitchFamily="18" charset="0"/>
                </a:rPr>
                <a:t>𝑡〗^2/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〖𝜔_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𝑒𝑞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〗^2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)) 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3</xdr:col>
      <xdr:colOff>195262</xdr:colOff>
      <xdr:row>14</xdr:row>
      <xdr:rowOff>180975</xdr:rowOff>
    </xdr:from>
    <xdr:ext cx="1662763" cy="3826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F8187D1-78E5-E652-09AB-610EDBEDFF7A}"/>
                </a:ext>
              </a:extLst>
            </xdr:cNvPr>
            <xdr:cNvSpPr txBox="1"/>
          </xdr:nvSpPr>
          <xdr:spPr>
            <a:xfrm>
              <a:off x="2052637" y="2847975"/>
              <a:ext cx="1662763" cy="3826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%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𝑂𝑆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=100</m:t>
                    </m:r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</m:num>
                          <m:den>
                            <m:rad>
                              <m:radPr>
                                <m:degHide m:val="on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sSup>
                                  <m:sSup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p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p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e>
                            </m:rad>
                          </m:den>
                        </m:f>
                      </m:sup>
                    </m:s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F8187D1-78E5-E652-09AB-610EDBEDFF7A}"/>
                </a:ext>
              </a:extLst>
            </xdr:cNvPr>
            <xdr:cNvSpPr txBox="1"/>
          </xdr:nvSpPr>
          <xdr:spPr>
            <a:xfrm>
              <a:off x="2052637" y="2847975"/>
              <a:ext cx="1662763" cy="3826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%𝑂𝑆=100𝑒^(−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𝜋/√(</a:t>
              </a:r>
              <a:r>
                <a:rPr lang="en-US" sz="1400" b="0" i="0">
                  <a:latin typeface="Cambria Math" panose="02040503050406030204" pitchFamily="18" charset="0"/>
                </a:rPr>
                <a:t>4𝑄^2−1))</a:t>
              </a:r>
              <a:endParaRPr lang="en-US" sz="14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64030</xdr:colOff>
      <xdr:row>1</xdr:row>
      <xdr:rowOff>34924</xdr:rowOff>
    </xdr:from>
    <xdr:to>
      <xdr:col>3</xdr:col>
      <xdr:colOff>5657850</xdr:colOff>
      <xdr:row>17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9DE46F-98C7-434A-A6D4-68F300E5F1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1259425</xdr:colOff>
      <xdr:row>38</xdr:row>
      <xdr:rowOff>107989</xdr:rowOff>
    </xdr:from>
    <xdr:to>
      <xdr:col>3</xdr:col>
      <xdr:colOff>5290583</xdr:colOff>
      <xdr:row>52</xdr:row>
      <xdr:rowOff>6351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EEA0AB8-C3AA-4DD9-8E53-7B871A3F5A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51858</xdr:colOff>
      <xdr:row>23</xdr:row>
      <xdr:rowOff>63502</xdr:rowOff>
    </xdr:from>
    <xdr:to>
      <xdr:col>1</xdr:col>
      <xdr:colOff>769727</xdr:colOff>
      <xdr:row>25</xdr:row>
      <xdr:rowOff>183793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7DB655D5-9A1D-4E1B-A572-6B8D2DF05667}"/>
                </a:ext>
              </a:extLst>
            </xdr:cNvPr>
            <xdr:cNvSpPr txBox="1"/>
          </xdr:nvSpPr>
          <xdr:spPr>
            <a:xfrm>
              <a:off x="51858" y="4445002"/>
              <a:ext cx="2575244" cy="50129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𝛽</m:t>
                    </m:r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n-US" sz="16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sub>
                        </m:sSub>
                        <m:d>
                          <m:dPr>
                            <m:ctrlP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𝑠𝐶</m:t>
                            </m:r>
                            <m:sSub>
                              <m:sSubPr>
                                <m:ctrlPr>
                                  <a:rPr lang="en-US" sz="16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6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6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7DB655D5-9A1D-4E1B-A572-6B8D2DF05667}"/>
                </a:ext>
              </a:extLst>
            </xdr:cNvPr>
            <xdr:cNvSpPr txBox="1"/>
          </xdr:nvSpPr>
          <xdr:spPr>
            <a:xfrm>
              <a:off x="51858" y="4445002"/>
              <a:ext cx="2575244" cy="501291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=𝑅_1/(</a:t>
              </a:r>
              <a:r>
                <a:rPr lang="en-US" sz="16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𝑅_1+𝑅_𝐹 (𝑠𝐶𝑅_1+1)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428625</xdr:colOff>
      <xdr:row>18</xdr:row>
      <xdr:rowOff>152400</xdr:rowOff>
    </xdr:from>
    <xdr:to>
      <xdr:col>0</xdr:col>
      <xdr:colOff>1809750</xdr:colOff>
      <xdr:row>22</xdr:row>
      <xdr:rowOff>52504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A7CF0441-864A-40D9-939A-FC464AA0D16E}"/>
                </a:ext>
              </a:extLst>
            </xdr:cNvPr>
            <xdr:cNvSpPr txBox="1"/>
          </xdr:nvSpPr>
          <xdr:spPr>
            <a:xfrm>
              <a:off x="428625" y="3581400"/>
              <a:ext cx="1381125" cy="66210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𝐴</m:t>
                    </m:r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𝜔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𝐶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A7CF0441-864A-40D9-939A-FC464AA0D16E}"/>
                </a:ext>
              </a:extLst>
            </xdr:cNvPr>
            <xdr:cNvSpPr txBox="1"/>
          </xdr:nvSpPr>
          <xdr:spPr>
            <a:xfrm>
              <a:off x="428625" y="3581400"/>
              <a:ext cx="1381125" cy="662104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𝐴=𝐴_0/(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/𝜔_𝐶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64030</xdr:colOff>
      <xdr:row>1</xdr:row>
      <xdr:rowOff>34924</xdr:rowOff>
    </xdr:from>
    <xdr:to>
      <xdr:col>3</xdr:col>
      <xdr:colOff>5657850</xdr:colOff>
      <xdr:row>17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76CA6-43C7-4903-B15E-2099FF4975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1259425</xdr:colOff>
      <xdr:row>38</xdr:row>
      <xdr:rowOff>107989</xdr:rowOff>
    </xdr:from>
    <xdr:to>
      <xdr:col>3</xdr:col>
      <xdr:colOff>5290583</xdr:colOff>
      <xdr:row>52</xdr:row>
      <xdr:rowOff>6351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621FAF3-6FA2-4017-B7C3-EC48FDDAC4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680508</xdr:colOff>
      <xdr:row>22</xdr:row>
      <xdr:rowOff>168277</xdr:rowOff>
    </xdr:from>
    <xdr:to>
      <xdr:col>3</xdr:col>
      <xdr:colOff>3255752</xdr:colOff>
      <xdr:row>25</xdr:row>
      <xdr:rowOff>50106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1F8EC7D5-D36C-4B47-9D1C-580F6256C352}"/>
                </a:ext>
              </a:extLst>
            </xdr:cNvPr>
            <xdr:cNvSpPr txBox="1"/>
          </xdr:nvSpPr>
          <xdr:spPr>
            <a:xfrm>
              <a:off x="3795183" y="4359277"/>
              <a:ext cx="2575244" cy="45332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  <a:cs typeface="Arial" pitchFamily="34" charset="0"/>
                      </a:rPr>
                      <m:t>𝐺</m:t>
                    </m:r>
                    <m:r>
                      <a:rPr lang="en-US" sz="1400" b="0" i="1">
                        <a:latin typeface="Cambria Math" panose="02040503050406030204" pitchFamily="18" charset="0"/>
                        <a:cs typeface="Arial" pitchFamily="34" charset="0"/>
                      </a:rPr>
                      <m:t>=1+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𝐹</m:t>
                            </m:r>
                          </m:sub>
                        </m:sSub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𝑠𝐶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1</m:t>
                                </m:r>
                              </m:sub>
                            </m:sSub>
                            <m: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+1</m:t>
                            </m:r>
                          </m:e>
                        </m:d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4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4" name="TextBox 8">
              <a:extLst>
                <a:ext uri="{FF2B5EF4-FFF2-40B4-BE49-F238E27FC236}">
                  <a16:creationId xmlns:a16="http://schemas.microsoft.com/office/drawing/2014/main" id="{1F8EC7D5-D36C-4B47-9D1C-580F6256C352}"/>
                </a:ext>
              </a:extLst>
            </xdr:cNvPr>
            <xdr:cNvSpPr txBox="1"/>
          </xdr:nvSpPr>
          <xdr:spPr>
            <a:xfrm>
              <a:off x="3795183" y="4359277"/>
              <a:ext cx="2575244" cy="45332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 i="0">
                  <a:latin typeface="Cambria Math" panose="02040503050406030204" pitchFamily="18" charset="0"/>
                  <a:cs typeface="Arial" pitchFamily="34" charset="0"/>
                </a:rPr>
                <a:t>𝐺=1+(𝑅_𝐹 (𝑠𝐶𝑅_1+1))/𝑅_1</a:t>
              </a:r>
              <a:r>
                <a:rPr lang="en-US" sz="14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endParaRPr lang="en-US" sz="14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419100</xdr:colOff>
      <xdr:row>18</xdr:row>
      <xdr:rowOff>47625</xdr:rowOff>
    </xdr:from>
    <xdr:to>
      <xdr:col>3</xdr:col>
      <xdr:colOff>533400</xdr:colOff>
      <xdr:row>36</xdr:row>
      <xdr:rowOff>8001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7CEA281-37FE-4883-9700-A10FB0E38AEB}"/>
            </a:ext>
          </a:extLst>
        </xdr:cNvPr>
        <xdr:cNvGrpSpPr/>
      </xdr:nvGrpSpPr>
      <xdr:grpSpPr>
        <a:xfrm>
          <a:off x="419100" y="3476625"/>
          <a:ext cx="3228975" cy="3389376"/>
          <a:chOff x="914400" y="1828800"/>
          <a:chExt cx="3228975" cy="3389376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A6C78761-BD67-FDB7-DD0B-60102D3DF849}"/>
              </a:ext>
            </a:extLst>
          </xdr:cNvPr>
          <xdr:cNvGrpSpPr/>
        </xdr:nvGrpSpPr>
        <xdr:grpSpPr>
          <a:xfrm>
            <a:off x="914400" y="1828800"/>
            <a:ext cx="3228975" cy="3389376"/>
            <a:chOff x="914400" y="1828800"/>
            <a:chExt cx="3228975" cy="3389376"/>
          </a:xfrm>
        </xdr:grpSpPr>
        <xdr:pic>
          <xdr:nvPicPr>
            <xdr:cNvPr id="11" name="Graphic 8">
              <a:extLst>
                <a:ext uri="{FF2B5EF4-FFF2-40B4-BE49-F238E27FC236}">
                  <a16:creationId xmlns:a16="http://schemas.microsoft.com/office/drawing/2014/main" id="{AA3618AF-90D3-33E7-C8B4-D84DB508D1E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914400" y="2093976"/>
              <a:ext cx="3228975" cy="3124200"/>
            </a:xfrm>
            <a:prstGeom prst="rect">
              <a:avLst/>
            </a:prstGeom>
          </xdr:spPr>
        </xdr:pic>
        <xdr:sp macro="" textlink="">
          <xdr:nvSpPr>
            <xdr:cNvPr id="12" name="Isosceles Triangle 11">
              <a:extLst>
                <a:ext uri="{FF2B5EF4-FFF2-40B4-BE49-F238E27FC236}">
                  <a16:creationId xmlns:a16="http://schemas.microsoft.com/office/drawing/2014/main" id="{E41A05FB-F6C3-75A8-0532-7E0B62DF616F}"/>
                </a:ext>
              </a:extLst>
            </xdr:cNvPr>
            <xdr:cNvSpPr/>
          </xdr:nvSpPr>
          <xdr:spPr bwMode="auto">
            <a:xfrm rot="5400000">
              <a:off x="1311485" y="1769364"/>
              <a:ext cx="1557528" cy="1676400"/>
            </a:xfrm>
            <a:prstGeom prst="triangle">
              <a:avLst/>
            </a:prstGeom>
            <a:noFill/>
            <a:ln>
              <a:solidFill>
                <a:schemeClr val="tx1"/>
              </a:solidFill>
              <a:headEnd/>
              <a:tailEnd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7" name="TextBox 11">
                <a:extLst>
                  <a:ext uri="{FF2B5EF4-FFF2-40B4-BE49-F238E27FC236}">
                    <a16:creationId xmlns:a16="http://schemas.microsoft.com/office/drawing/2014/main" id="{4FF1AEDE-8B42-3F33-6365-D7F9C60CB372}"/>
                  </a:ext>
                </a:extLst>
              </xdr:cNvPr>
              <xdr:cNvSpPr txBox="1"/>
            </xdr:nvSpPr>
            <xdr:spPr>
              <a:xfrm>
                <a:off x="1287743" y="2093976"/>
                <a:ext cx="21159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600" b="0" i="1">
                          <a:latin typeface="Cambria Math" panose="02040503050406030204" pitchFamily="18" charset="0"/>
                          <a:cs typeface="Arial" pitchFamily="34" charset="0"/>
                        </a:rPr>
                        <m:t>+</m:t>
                      </m:r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7" name="TextBox 11">
                <a:extLst>
                  <a:ext uri="{FF2B5EF4-FFF2-40B4-BE49-F238E27FC236}">
                    <a16:creationId xmlns:a16="http://schemas.microsoft.com/office/drawing/2014/main" id="{4FF1AEDE-8B42-3F33-6365-D7F9C60CB372}"/>
                  </a:ext>
                </a:extLst>
              </xdr:cNvPr>
              <xdr:cNvSpPr txBox="1"/>
            </xdr:nvSpPr>
            <xdr:spPr>
              <a:xfrm>
                <a:off x="1287743" y="2093976"/>
                <a:ext cx="21159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+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8" name="TextBox 12">
                <a:extLst>
                  <a:ext uri="{FF2B5EF4-FFF2-40B4-BE49-F238E27FC236}">
                    <a16:creationId xmlns:a16="http://schemas.microsoft.com/office/drawing/2014/main" id="{3F78B812-79BD-DE64-0689-43786AB0B753}"/>
                  </a:ext>
                </a:extLst>
              </xdr:cNvPr>
              <xdr:cNvSpPr txBox="1"/>
            </xdr:nvSpPr>
            <xdr:spPr>
              <a:xfrm>
                <a:off x="1287743" y="2885197"/>
                <a:ext cx="21159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600" b="0" i="1">
                          <a:latin typeface="Cambria Math" panose="02040503050406030204" pitchFamily="18" charset="0"/>
                          <a:cs typeface="Arial" pitchFamily="34" charset="0"/>
                        </a:rPr>
                        <m:t>−</m:t>
                      </m:r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8" name="TextBox 12">
                <a:extLst>
                  <a:ext uri="{FF2B5EF4-FFF2-40B4-BE49-F238E27FC236}">
                    <a16:creationId xmlns:a16="http://schemas.microsoft.com/office/drawing/2014/main" id="{3F78B812-79BD-DE64-0689-43786AB0B753}"/>
                  </a:ext>
                </a:extLst>
              </xdr:cNvPr>
              <xdr:cNvSpPr txBox="1"/>
            </xdr:nvSpPr>
            <xdr:spPr>
              <a:xfrm>
                <a:off x="1287743" y="2885197"/>
                <a:ext cx="21159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−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9" name="TextBox 14">
                <a:extLst>
                  <a:ext uri="{FF2B5EF4-FFF2-40B4-BE49-F238E27FC236}">
                    <a16:creationId xmlns:a16="http://schemas.microsoft.com/office/drawing/2014/main" id="{1A325056-6706-1693-89F6-7A937CA9C8DE}"/>
                  </a:ext>
                </a:extLst>
              </xdr:cNvPr>
              <xdr:cNvSpPr txBox="1"/>
            </xdr:nvSpPr>
            <xdr:spPr>
              <a:xfrm>
                <a:off x="2090249" y="2274331"/>
                <a:ext cx="30200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𝑅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𝑂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9" name="TextBox 14">
                <a:extLst>
                  <a:ext uri="{FF2B5EF4-FFF2-40B4-BE49-F238E27FC236}">
                    <a16:creationId xmlns:a16="http://schemas.microsoft.com/office/drawing/2014/main" id="{1A325056-6706-1693-89F6-7A937CA9C8DE}"/>
                  </a:ext>
                </a:extLst>
              </xdr:cNvPr>
              <xdr:cNvSpPr txBox="1"/>
            </xdr:nvSpPr>
            <xdr:spPr>
              <a:xfrm>
                <a:off x="2090249" y="2274331"/>
                <a:ext cx="302006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𝑅_𝑂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0" name="TextBox 15">
                <a:extLst>
                  <a:ext uri="{FF2B5EF4-FFF2-40B4-BE49-F238E27FC236}">
                    <a16:creationId xmlns:a16="http://schemas.microsoft.com/office/drawing/2014/main" id="{60596210-A68F-37F0-40CE-672E68CA6BFF}"/>
                  </a:ext>
                </a:extLst>
              </xdr:cNvPr>
              <xdr:cNvSpPr txBox="1"/>
            </xdr:nvSpPr>
            <xdr:spPr>
              <a:xfrm>
                <a:off x="3470665" y="2903439"/>
                <a:ext cx="26186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𝐶</m:t>
                          </m:r>
                        </m:e>
                        <m:sub>
                          <m:r>
                            <a:rPr lang="en-US" sz="16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𝐿</m:t>
                          </m:r>
                        </m:sub>
                      </m:sSub>
                    </m:oMath>
                  </m:oMathPara>
                </a14:m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0" name="TextBox 15">
                <a:extLst>
                  <a:ext uri="{FF2B5EF4-FFF2-40B4-BE49-F238E27FC236}">
                    <a16:creationId xmlns:a16="http://schemas.microsoft.com/office/drawing/2014/main" id="{60596210-A68F-37F0-40CE-672E68CA6BFF}"/>
                  </a:ext>
                </a:extLst>
              </xdr:cNvPr>
              <xdr:cNvSpPr txBox="1"/>
            </xdr:nvSpPr>
            <xdr:spPr>
              <a:xfrm>
                <a:off x="3470665" y="2903439"/>
                <a:ext cx="261867" cy="246221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sp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600" b="0" i="0">
                    <a:latin typeface="Cambria Math" panose="02040503050406030204" pitchFamily="18" charset="0"/>
                    <a:cs typeface="Arial" pitchFamily="34" charset="0"/>
                  </a:rPr>
                  <a:t>𝐶_𝐿</a:t>
                </a:r>
                <a:endParaRPr lang="en-US" sz="16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</xdr:grpSp>
    <xdr:clientData/>
  </xdr:twoCellAnchor>
  <xdr:twoCellAnchor>
    <xdr:from>
      <xdr:col>3</xdr:col>
      <xdr:colOff>923925</xdr:colOff>
      <xdr:row>17</xdr:row>
      <xdr:rowOff>142875</xdr:rowOff>
    </xdr:from>
    <xdr:to>
      <xdr:col>3</xdr:col>
      <xdr:colOff>3622994</xdr:colOff>
      <xdr:row>21</xdr:row>
      <xdr:rowOff>44038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8">
              <a:extLst>
                <a:ext uri="{FF2B5EF4-FFF2-40B4-BE49-F238E27FC236}">
                  <a16:creationId xmlns:a16="http://schemas.microsoft.com/office/drawing/2014/main" id="{1CE0D6F6-6226-4369-A671-9AB4FF25F5F2}"/>
                </a:ext>
              </a:extLst>
            </xdr:cNvPr>
            <xdr:cNvSpPr txBox="1"/>
          </xdr:nvSpPr>
          <xdr:spPr>
            <a:xfrm>
              <a:off x="4038600" y="3381375"/>
              <a:ext cx="2699069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𝐴</m:t>
                    </m:r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n-US" sz="16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1+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fPr>
                          <m:num>
                            <m:r>
                              <a:rPr lang="en-US" sz="16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𝑠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𝜔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𝐶</m:t>
                                </m:r>
                              </m:sub>
                            </m:sSub>
                          </m:den>
                        </m:f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3" name="TextBox 8">
              <a:extLst>
                <a:ext uri="{FF2B5EF4-FFF2-40B4-BE49-F238E27FC236}">
                  <a16:creationId xmlns:a16="http://schemas.microsoft.com/office/drawing/2014/main" id="{1CE0D6F6-6226-4369-A671-9AB4FF25F5F2}"/>
                </a:ext>
              </a:extLst>
            </xdr:cNvPr>
            <xdr:cNvSpPr txBox="1"/>
          </xdr:nvSpPr>
          <xdr:spPr>
            <a:xfrm>
              <a:off x="4038600" y="3381375"/>
              <a:ext cx="2699069" cy="663163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𝐴=𝐴_0/(</a:t>
              </a:r>
              <a:r>
                <a:rPr lang="en-US" sz="1600" i="0">
                  <a:latin typeface="Cambria Math" panose="02040503050406030204" pitchFamily="18" charset="0"/>
                  <a:cs typeface="Arial" pitchFamily="34" charset="0"/>
                </a:rPr>
                <a:t>1+𝑠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/𝜔_𝐶 )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8</xdr:row>
      <xdr:rowOff>142875</xdr:rowOff>
    </xdr:from>
    <xdr:to>
      <xdr:col>1</xdr:col>
      <xdr:colOff>605623</xdr:colOff>
      <xdr:row>11</xdr:row>
      <xdr:rowOff>34002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23">
              <a:extLst>
                <a:ext uri="{FF2B5EF4-FFF2-40B4-BE49-F238E27FC236}">
                  <a16:creationId xmlns:a16="http://schemas.microsoft.com/office/drawing/2014/main" id="{D76E9437-3AC1-A316-E3AF-A1940E2F00A3}"/>
                </a:ext>
              </a:extLst>
            </xdr:cNvPr>
            <xdr:cNvSpPr txBox="1"/>
          </xdr:nvSpPr>
          <xdr:spPr>
            <a:xfrm>
              <a:off x="504825" y="1752600"/>
              <a:ext cx="967573" cy="462627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𝐶</m:t>
                    </m:r>
                    <m:r>
                      <a:rPr lang="en-US" sz="16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0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𝜖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Arial" pitchFamily="34" charset="0"/>
                              </a:rPr>
                              <m:t>𝑟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Arial" pitchFamily="34" charset="0"/>
                          </a:rPr>
                          <m:t>𝐴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𝑑</m:t>
                        </m:r>
                      </m:den>
                    </m:f>
                  </m:oMath>
                </m:oMathPara>
              </a14:m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" name="TextBox 23">
              <a:extLst>
                <a:ext uri="{FF2B5EF4-FFF2-40B4-BE49-F238E27FC236}">
                  <a16:creationId xmlns:a16="http://schemas.microsoft.com/office/drawing/2014/main" id="{D76E9437-3AC1-A316-E3AF-A1940E2F00A3}"/>
                </a:ext>
              </a:extLst>
            </xdr:cNvPr>
            <xdr:cNvSpPr txBox="1"/>
          </xdr:nvSpPr>
          <xdr:spPr>
            <a:xfrm>
              <a:off x="504825" y="1752600"/>
              <a:ext cx="967573" cy="462627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𝐶=(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𝜖_0 𝜖_𝑟 𝐴)/</a:t>
              </a:r>
              <a:r>
                <a:rPr lang="en-US" sz="1600" b="0" i="0">
                  <a:latin typeface="Cambria Math" panose="02040503050406030204" pitchFamily="18" charset="0"/>
                  <a:cs typeface="Arial" pitchFamily="34" charset="0"/>
                </a:rPr>
                <a:t>𝑑</a:t>
              </a:r>
              <a:endParaRPr lang="en-US" sz="16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B76E0-45D5-44B7-9F39-332462049498}">
  <sheetPr codeName="Sheet4"/>
  <dimension ref="A1:N353"/>
  <sheetViews>
    <sheetView showGridLines="0" zoomScaleNormal="100" workbookViewId="0">
      <selection activeCell="D14" sqref="D14"/>
    </sheetView>
  </sheetViews>
  <sheetFormatPr defaultRowHeight="15" x14ac:dyDescent="0.25"/>
  <cols>
    <col min="1" max="1" width="20.7109375" customWidth="1"/>
    <col min="2" max="2" width="22.140625" bestFit="1" customWidth="1"/>
    <col min="3" max="3" width="5.7109375" customWidth="1"/>
    <col min="4" max="4" width="98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43.5703125" customWidth="1"/>
  </cols>
  <sheetData>
    <row r="1" spans="1:14" ht="15.75" x14ac:dyDescent="0.25">
      <c r="A1" s="1" t="s">
        <v>71</v>
      </c>
    </row>
    <row r="2" spans="1:14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3</v>
      </c>
      <c r="K2" s="3" t="s">
        <v>5</v>
      </c>
      <c r="L2" s="4" t="s">
        <v>6</v>
      </c>
      <c r="M2" s="3" t="s">
        <v>7</v>
      </c>
      <c r="N2" s="3" t="s">
        <v>8</v>
      </c>
    </row>
    <row r="3" spans="1:14" ht="18" x14ac:dyDescent="0.35">
      <c r="A3" s="6" t="s">
        <v>9</v>
      </c>
      <c r="B3" s="5">
        <v>10</v>
      </c>
      <c r="C3" t="s">
        <v>10</v>
      </c>
      <c r="G3">
        <v>-1</v>
      </c>
      <c r="H3">
        <f t="shared" ref="H3:H66" si="0">$B$3*10^G3</f>
        <v>1</v>
      </c>
      <c r="I3" t="str">
        <f>COMPLEX(0,H3*2*PI(),"j")</f>
        <v>6.28318530717959j</v>
      </c>
      <c r="J3" t="str">
        <f t="shared" ref="J3:J66" si="1">IMDIV(Aolv,IMSUM(1,IMDIV(I3,wc)))</f>
        <v>990099.00990099-99009.900990099j</v>
      </c>
      <c r="K3">
        <f>20*LOG(IMABS(J3))</f>
        <v>119.95678626217357</v>
      </c>
      <c r="L3">
        <f>DEGREES(IMARGUMENT(J3))</f>
        <v>-5.710593137499643</v>
      </c>
      <c r="M3">
        <f>IMREAL(J3)</f>
        <v>990099.00990098994</v>
      </c>
      <c r="N3">
        <f>IMAGINARY(J3)</f>
        <v>-99009.900990099006</v>
      </c>
    </row>
    <row r="4" spans="1:14" ht="18" x14ac:dyDescent="0.35">
      <c r="A4" s="6" t="s">
        <v>70</v>
      </c>
      <c r="B4" s="5">
        <v>120</v>
      </c>
      <c r="C4" t="s">
        <v>17</v>
      </c>
      <c r="G4">
        <v>-0.98</v>
      </c>
      <c r="H4">
        <f t="shared" si="0"/>
        <v>1.0471285480508996</v>
      </c>
      <c r="I4" t="str">
        <f t="shared" ref="I4:I67" si="2">COMPLEX(0,H4*2*PI(),"j")</f>
        <v>6.57930270784171j</v>
      </c>
      <c r="J4" t="str">
        <f t="shared" si="1"/>
        <v>989154.140522919-103577.15389643j</v>
      </c>
      <c r="K4">
        <f t="shared" ref="K4:K67" si="3">20*LOG(IMABS(J4))</f>
        <v>119.9526397325788</v>
      </c>
      <c r="L4">
        <f t="shared" ref="L4:L67" si="4">DEGREES(IMARGUMENT(J4))</f>
        <v>-5.9778196640987522</v>
      </c>
      <c r="M4">
        <f t="shared" ref="M4:M67" si="5">IMREAL(J4)</f>
        <v>989154.14052291901</v>
      </c>
      <c r="N4">
        <f t="shared" ref="N4:N67" si="6">IMAGINARY(J4)</f>
        <v>-103577.15389643</v>
      </c>
    </row>
    <row r="5" spans="1:14" ht="18.75" customHeight="1" x14ac:dyDescent="0.35">
      <c r="A5" s="6" t="s">
        <v>70</v>
      </c>
      <c r="B5" s="11">
        <f>10^(B4/20)</f>
        <v>1000000</v>
      </c>
      <c r="C5" t="s">
        <v>14</v>
      </c>
      <c r="G5">
        <v>-0.96</v>
      </c>
      <c r="H5">
        <f t="shared" si="0"/>
        <v>1.0964781961431849</v>
      </c>
      <c r="I5" t="str">
        <f t="shared" si="2"/>
        <v>6.88937569164964j</v>
      </c>
      <c r="J5" t="str">
        <f t="shared" si="1"/>
        <v>988120.182474828-108345.223525268j</v>
      </c>
      <c r="K5">
        <f t="shared" si="3"/>
        <v>119.94809769902774</v>
      </c>
      <c r="L5">
        <f t="shared" si="4"/>
        <v>-6.2573605177506941</v>
      </c>
      <c r="M5">
        <f t="shared" si="5"/>
        <v>988120.18247482798</v>
      </c>
      <c r="N5">
        <f t="shared" si="6"/>
        <v>-108345.223525268</v>
      </c>
    </row>
    <row r="6" spans="1:14" ht="18" customHeight="1" x14ac:dyDescent="0.35">
      <c r="A6" s="6" t="s">
        <v>16</v>
      </c>
      <c r="B6" s="11">
        <f>2*PI()*B3</f>
        <v>62.831853071795862</v>
      </c>
      <c r="C6" t="s">
        <v>15</v>
      </c>
      <c r="G6">
        <v>-0.94</v>
      </c>
      <c r="H6">
        <f t="shared" si="0"/>
        <v>1.148153621496883</v>
      </c>
      <c r="I6" t="str">
        <f t="shared" si="2"/>
        <v>7.21406196497425j</v>
      </c>
      <c r="J6" t="str">
        <f t="shared" si="1"/>
        <v>986988.951636248-113321.493919857j</v>
      </c>
      <c r="K6">
        <f t="shared" si="3"/>
        <v>119.94312291200268</v>
      </c>
      <c r="L6">
        <f t="shared" si="4"/>
        <v>-6.5497552930741145</v>
      </c>
      <c r="M6">
        <f t="shared" si="5"/>
        <v>986988.95163624804</v>
      </c>
      <c r="N6">
        <f t="shared" si="6"/>
        <v>-113321.49391985701</v>
      </c>
    </row>
    <row r="7" spans="1:14" x14ac:dyDescent="0.25">
      <c r="G7">
        <v>-0.92</v>
      </c>
      <c r="H7">
        <f t="shared" si="0"/>
        <v>1.2022644346174129</v>
      </c>
      <c r="I7" t="str">
        <f t="shared" si="2"/>
        <v>7.5540502309327j</v>
      </c>
      <c r="J7" t="str">
        <f t="shared" si="1"/>
        <v>985751.554983522-118513.40359255j</v>
      </c>
      <c r="K7">
        <f t="shared" si="3"/>
        <v>119.93767470827919</v>
      </c>
      <c r="L7">
        <f t="shared" si="4"/>
        <v>-6.8555631473533358</v>
      </c>
      <c r="M7">
        <f t="shared" si="5"/>
        <v>985751.55498352204</v>
      </c>
      <c r="N7">
        <f t="shared" si="6"/>
        <v>-118513.40359255001</v>
      </c>
    </row>
    <row r="8" spans="1:14" x14ac:dyDescent="0.25">
      <c r="G8">
        <v>-0.9</v>
      </c>
      <c r="H8">
        <f t="shared" si="0"/>
        <v>1.2589254117941668</v>
      </c>
      <c r="I8" t="str">
        <f t="shared" si="2"/>
        <v>7.91006165022012j</v>
      </c>
      <c r="J8" t="str">
        <f t="shared" si="1"/>
        <v>984398.33775817-123928.40827317j</v>
      </c>
      <c r="K8">
        <f t="shared" si="3"/>
        <v>119.93170871687546</v>
      </c>
      <c r="L8">
        <f t="shared" si="4"/>
        <v>-7.1753628965097134</v>
      </c>
      <c r="M8">
        <f t="shared" si="5"/>
        <v>984398.33775816998</v>
      </c>
      <c r="N8">
        <f t="shared" si="6"/>
        <v>-123928.40827317</v>
      </c>
    </row>
    <row r="9" spans="1:14" ht="14.25" customHeight="1" x14ac:dyDescent="0.25">
      <c r="B9" s="2"/>
      <c r="C9" s="7"/>
      <c r="G9">
        <v>-0.88</v>
      </c>
      <c r="H9">
        <f t="shared" si="0"/>
        <v>1.318256738556407</v>
      </c>
      <c r="I9" t="str">
        <f t="shared" si="2"/>
        <v>8.2828513707881j</v>
      </c>
      <c r="J9" t="str">
        <f t="shared" si="1"/>
        <v>982918.828453206-129573.936906241j</v>
      </c>
      <c r="K9">
        <f t="shared" si="3"/>
        <v>119.92517654342382</v>
      </c>
      <c r="L9">
        <f t="shared" si="4"/>
        <v>-7.5097530040532607</v>
      </c>
      <c r="M9">
        <f t="shared" si="5"/>
        <v>982918.82845320599</v>
      </c>
      <c r="N9">
        <f t="shared" si="6"/>
        <v>-129573.936906241</v>
      </c>
    </row>
    <row r="10" spans="1:14" x14ac:dyDescent="0.25">
      <c r="A10" s="6"/>
      <c r="B10" s="12"/>
      <c r="C10" s="8"/>
      <c r="G10">
        <v>-0.86</v>
      </c>
      <c r="H10">
        <f t="shared" si="0"/>
        <v>1.3803842646028843</v>
      </c>
      <c r="I10" t="str">
        <f t="shared" si="2"/>
        <v>8.67321012961474j</v>
      </c>
      <c r="J10" t="str">
        <f t="shared" si="1"/>
        <v>981301.681926184-135457.340055924j</v>
      </c>
      <c r="K10">
        <f t="shared" si="3"/>
        <v>119.91802543215003</v>
      </c>
      <c r="L10">
        <f t="shared" si="4"/>
        <v>-7.8593514441058181</v>
      </c>
      <c r="M10">
        <f t="shared" si="5"/>
        <v>981301.68192618398</v>
      </c>
      <c r="N10">
        <f t="shared" si="6"/>
        <v>-135457.340055924</v>
      </c>
    </row>
    <row r="11" spans="1:14" ht="17.25" customHeight="1" x14ac:dyDescent="0.25">
      <c r="A11" s="6"/>
      <c r="B11" s="12"/>
      <c r="C11" s="8"/>
      <c r="G11">
        <v>-0.84</v>
      </c>
      <c r="H11">
        <f t="shared" si="0"/>
        <v>1.445439770745927</v>
      </c>
      <c r="I11" t="str">
        <f t="shared" si="2"/>
        <v>9.08196592996384j</v>
      </c>
      <c r="J11" t="str">
        <f t="shared" si="1"/>
        <v>979534.62106178-141585.829810524j</v>
      </c>
      <c r="K11">
        <f t="shared" si="3"/>
        <v>119.91019790479169</v>
      </c>
      <c r="L11">
        <f t="shared" si="4"/>
        <v>-8.2247954172798181</v>
      </c>
      <c r="M11">
        <f t="shared" si="5"/>
        <v>979534.62106178002</v>
      </c>
      <c r="N11">
        <f t="shared" si="6"/>
        <v>-141585.82981052401</v>
      </c>
    </row>
    <row r="12" spans="1:14" x14ac:dyDescent="0.25">
      <c r="A12" s="6"/>
      <c r="C12" s="7"/>
      <c r="G12">
        <v>-0.82</v>
      </c>
      <c r="H12">
        <f t="shared" si="0"/>
        <v>1.513561248436208</v>
      </c>
      <c r="I12" t="str">
        <f t="shared" si="2"/>
        <v>9.50998579769077j</v>
      </c>
      <c r="J12" t="str">
        <f t="shared" si="1"/>
        <v>977604.377542829-147966.410215043j</v>
      </c>
      <c r="K12">
        <f t="shared" si="3"/>
        <v>119.90163137598191</v>
      </c>
      <c r="L12">
        <f t="shared" si="4"/>
        <v>-8.6067408957140668</v>
      </c>
      <c r="M12">
        <f t="shared" si="5"/>
        <v>977604.37754282902</v>
      </c>
      <c r="N12">
        <f t="shared" si="6"/>
        <v>-147966.410215043</v>
      </c>
    </row>
    <row r="13" spans="1:14" x14ac:dyDescent="0.25">
      <c r="A13" s="6"/>
      <c r="C13" s="7"/>
      <c r="G13">
        <v>-0.8</v>
      </c>
      <c r="H13">
        <f t="shared" si="0"/>
        <v>1.5848931924611132</v>
      </c>
      <c r="I13" t="str">
        <f t="shared" si="2"/>
        <v>9.95817762032061j</v>
      </c>
      <c r="J13" t="str">
        <f t="shared" si="1"/>
        <v>975496.632449664-154605.797203821j</v>
      </c>
      <c r="K13">
        <f t="shared" si="3"/>
        <v>119.89225774488042</v>
      </c>
      <c r="L13">
        <f t="shared" si="4"/>
        <v>-9.0058619709314893</v>
      </c>
      <c r="M13">
        <f t="shared" si="5"/>
        <v>975496.63244966394</v>
      </c>
      <c r="N13">
        <f t="shared" si="6"/>
        <v>-154605.79720382101</v>
      </c>
    </row>
    <row r="14" spans="1:14" x14ac:dyDescent="0.25">
      <c r="A14" s="6"/>
      <c r="C14" s="8"/>
      <c r="G14">
        <v>-0.78</v>
      </c>
      <c r="H14">
        <f t="shared" si="0"/>
        <v>1.65958690743756</v>
      </c>
      <c r="I14" t="str">
        <f t="shared" si="2"/>
        <v>10.4274920727993j</v>
      </c>
      <c r="J14" t="str">
        <f t="shared" si="1"/>
        <v>973195.95759616-161510.326959775j</v>
      </c>
      <c r="K14">
        <f t="shared" si="3"/>
        <v>119.88200296315782</v>
      </c>
      <c r="L14">
        <f t="shared" si="4"/>
        <v>-9.4228499754044535</v>
      </c>
      <c r="M14">
        <f t="shared" si="5"/>
        <v>973195.95759616001</v>
      </c>
      <c r="N14">
        <f t="shared" si="6"/>
        <v>-161510.326959775</v>
      </c>
    </row>
    <row r="15" spans="1:14" x14ac:dyDescent="0.25">
      <c r="A15" s="6"/>
      <c r="C15" s="8"/>
      <c r="G15">
        <v>-0.76</v>
      </c>
      <c r="H15">
        <f t="shared" si="0"/>
        <v>1.7378008287493749</v>
      </c>
      <c r="I15" t="str">
        <f t="shared" si="2"/>
        <v>10.9189246340026j</v>
      </c>
      <c r="J15" t="str">
        <f t="shared" si="1"/>
        <v>970685.758729549-168685.851597543j</v>
      </c>
      <c r="K15">
        <f t="shared" si="3"/>
        <v>119.8707865798454</v>
      </c>
      <c r="L15">
        <f t="shared" si="4"/>
        <v>-9.8584123458402946</v>
      </c>
      <c r="M15">
        <f t="shared" si="5"/>
        <v>970685.75872954901</v>
      </c>
      <c r="N15">
        <f t="shared" si="6"/>
        <v>-168685.85159754299</v>
      </c>
    </row>
    <row r="16" spans="1:14" ht="14.25" customHeight="1" x14ac:dyDescent="0.25">
      <c r="A16" s="6"/>
      <c r="C16" s="8"/>
      <c r="G16">
        <v>-0.74</v>
      </c>
      <c r="H16">
        <f t="shared" si="0"/>
        <v>1.8197008586099832</v>
      </c>
      <c r="I16" t="str">
        <f t="shared" si="2"/>
        <v>11.4335176982803j</v>
      </c>
      <c r="J16" t="str">
        <f t="shared" si="1"/>
        <v>967948.221972129-176137.621061269j</v>
      </c>
      <c r="K16">
        <f t="shared" si="3"/>
        <v>119.85852126406309</v>
      </c>
      <c r="L16">
        <f t="shared" si="4"/>
        <v>-10.313271193276307</v>
      </c>
      <c r="M16">
        <f t="shared" si="5"/>
        <v>967948.22197212896</v>
      </c>
      <c r="N16">
        <f t="shared" si="6"/>
        <v>-176137.62106126899</v>
      </c>
    </row>
    <row r="17" spans="1:14" x14ac:dyDescent="0.25">
      <c r="A17" s="6"/>
      <c r="C17" s="8"/>
      <c r="G17">
        <v>-0.72</v>
      </c>
      <c r="H17">
        <f t="shared" si="0"/>
        <v>1.9054607179632472</v>
      </c>
      <c r="I17" t="str">
        <f t="shared" si="2"/>
        <v>11.9723627865145j</v>
      </c>
      <c r="J17" t="str">
        <f t="shared" si="1"/>
        <v>964964.265168014-183870.150151591j</v>
      </c>
      <c r="K17">
        <f t="shared" si="3"/>
        <v>119.84511230724415</v>
      </c>
      <c r="L17">
        <f t="shared" si="4"/>
        <v>-10.788161542168142</v>
      </c>
      <c r="M17">
        <f t="shared" si="5"/>
        <v>964964.26516801398</v>
      </c>
      <c r="N17">
        <f t="shared" si="6"/>
        <v>-183870.15015159099</v>
      </c>
    </row>
    <row r="18" spans="1:14" x14ac:dyDescent="0.25">
      <c r="A18" s="6"/>
      <c r="C18" s="8"/>
      <c r="G18">
        <v>-0.7</v>
      </c>
      <c r="H18">
        <f t="shared" si="0"/>
        <v>1.9952623149688795</v>
      </c>
      <c r="I18" t="str">
        <f t="shared" si="2"/>
        <v>12.5366028613816j</v>
      </c>
      <c r="J18" t="str">
        <f t="shared" si="1"/>
        <v>961713.496117745-191887.069660071j</v>
      </c>
      <c r="K18">
        <f t="shared" si="3"/>
        <v>119.83045710720467</v>
      </c>
      <c r="L18">
        <f t="shared" si="4"/>
        <v>-11.283829197867838</v>
      </c>
      <c r="M18">
        <f t="shared" si="5"/>
        <v>961713.49611774494</v>
      </c>
      <c r="N18">
        <f t="shared" si="6"/>
        <v>-191887.06966007099</v>
      </c>
    </row>
    <row r="19" spans="1:14" x14ac:dyDescent="0.25">
      <c r="G19">
        <v>-0.68</v>
      </c>
      <c r="H19">
        <f t="shared" si="0"/>
        <v>2.0892961308540392</v>
      </c>
      <c r="I19" t="str">
        <f t="shared" si="2"/>
        <v>13.1274347517293j</v>
      </c>
      <c r="J19" t="str">
        <f t="shared" si="1"/>
        <v>958174.18003701-200190.960703558j</v>
      </c>
      <c r="K19">
        <f t="shared" si="3"/>
        <v>119.81444463726747</v>
      </c>
      <c r="L19">
        <f t="shared" si="4"/>
        <v>-11.801028199327847</v>
      </c>
      <c r="M19">
        <f t="shared" si="5"/>
        <v>958174.18003701</v>
      </c>
      <c r="N19">
        <f t="shared" si="6"/>
        <v>-200190.960703558</v>
      </c>
    </row>
    <row r="20" spans="1:14" x14ac:dyDescent="0.25">
      <c r="A20" s="8"/>
      <c r="G20">
        <v>-0.66</v>
      </c>
      <c r="H20">
        <f t="shared" si="0"/>
        <v>2.1877616239495525</v>
      </c>
      <c r="I20" t="str">
        <f t="shared" si="2"/>
        <v>13.7461116912112j</v>
      </c>
      <c r="J20" t="str">
        <f t="shared" si="1"/>
        <v>954323.218960337-208783.171528544j</v>
      </c>
      <c r="K20">
        <f t="shared" si="3"/>
        <v>119.79695490466108</v>
      </c>
      <c r="L20">
        <f t="shared" si="4"/>
        <v>-12.340517811694946</v>
      </c>
      <c r="M20">
        <f t="shared" si="5"/>
        <v>954323.21896033699</v>
      </c>
      <c r="N20">
        <f t="shared" si="6"/>
        <v>-208783.17152854399</v>
      </c>
    </row>
    <row r="21" spans="1:14" x14ac:dyDescent="0.25">
      <c r="A21" s="8"/>
      <c r="G21">
        <v>-0.64</v>
      </c>
      <c r="H21">
        <f t="shared" si="0"/>
        <v>2.2908676527677727</v>
      </c>
      <c r="I21" t="str">
        <f t="shared" si="2"/>
        <v>14.3939459765635j</v>
      </c>
      <c r="J21" t="str">
        <f t="shared" si="1"/>
        <v>950136.146221023-217663.616310318j</v>
      </c>
      <c r="K21">
        <f t="shared" si="3"/>
        <v>119.77785840358415</v>
      </c>
      <c r="L21">
        <f t="shared" si="4"/>
        <v>-12.903059011845798</v>
      </c>
      <c r="M21">
        <f t="shared" si="5"/>
        <v>950136.14622102305</v>
      </c>
      <c r="N21">
        <f t="shared" si="6"/>
        <v>-217663.616310318</v>
      </c>
    </row>
    <row r="22" spans="1:14" x14ac:dyDescent="0.25">
      <c r="G22">
        <v>-0.62</v>
      </c>
      <c r="H22">
        <f t="shared" si="0"/>
        <v>2.3988329190194904</v>
      </c>
      <c r="I22" t="str">
        <f t="shared" si="2"/>
        <v>15.072311751162j</v>
      </c>
      <c r="J22" t="str">
        <f t="shared" si="1"/>
        <v>945587.139566125-226830.55581927j</v>
      </c>
      <c r="K22">
        <f t="shared" si="3"/>
        <v>119.75701556966277</v>
      </c>
      <c r="L22">
        <f t="shared" si="4"/>
        <v>-13.489410419100313</v>
      </c>
      <c r="M22">
        <f t="shared" si="5"/>
        <v>945587.139566125</v>
      </c>
      <c r="N22">
        <f t="shared" si="6"/>
        <v>-226830.55581927</v>
      </c>
    </row>
    <row r="23" spans="1:14" x14ac:dyDescent="0.25">
      <c r="A23" s="6"/>
      <c r="G23">
        <v>-0.6</v>
      </c>
      <c r="H23">
        <f t="shared" si="0"/>
        <v>2.5118864315095801</v>
      </c>
      <c r="I23" t="str">
        <f t="shared" si="2"/>
        <v>15.7826479197648j</v>
      </c>
      <c r="J23" t="str">
        <f t="shared" si="1"/>
        <v>940649.056897232-236280.360283245j</v>
      </c>
      <c r="K23">
        <f t="shared" si="3"/>
        <v>119.73427624403897</v>
      </c>
      <c r="L23">
        <f t="shared" si="4"/>
        <v>-14.100323623589263</v>
      </c>
      <c r="M23">
        <f t="shared" si="5"/>
        <v>940649.05689723196</v>
      </c>
      <c r="N23">
        <f t="shared" si="6"/>
        <v>-236280.36028324501</v>
      </c>
    </row>
    <row r="24" spans="1:14" x14ac:dyDescent="0.25">
      <c r="A24" s="6"/>
      <c r="G24">
        <v>-0.57999999999999996</v>
      </c>
      <c r="H24">
        <f t="shared" si="0"/>
        <v>2.6302679918953817</v>
      </c>
      <c r="I24" t="str">
        <f t="shared" si="2"/>
        <v>16.5264612006218j</v>
      </c>
      <c r="J24" t="str">
        <f t="shared" si="1"/>
        <v>935293.499046078-246007.255356873j</v>
      </c>
      <c r="K24">
        <f t="shared" si="3"/>
        <v>119.70947915700896</v>
      </c>
      <c r="L24">
        <f t="shared" si="4"/>
        <v>-14.736537866356848</v>
      </c>
      <c r="M24">
        <f t="shared" si="5"/>
        <v>935293.49904607795</v>
      </c>
      <c r="N24">
        <f t="shared" si="6"/>
        <v>-246007.25535687301</v>
      </c>
    </row>
    <row r="25" spans="1:14" x14ac:dyDescent="0.25">
      <c r="A25" s="6"/>
      <c r="G25">
        <v>-0.56000000000000005</v>
      </c>
      <c r="H25">
        <f t="shared" si="0"/>
        <v>2.7542287033381663</v>
      </c>
      <c r="I25" t="str">
        <f t="shared" si="2"/>
        <v>17.3053293214267j</v>
      </c>
      <c r="J25" t="str">
        <f t="shared" si="1"/>
        <v>929490.90437477-256003.052832075j</v>
      </c>
      <c r="K25">
        <f t="shared" si="3"/>
        <v>119.68245144297079</v>
      </c>
      <c r="L25">
        <f t="shared" si="4"/>
        <v>-15.398774028607072</v>
      </c>
      <c r="M25">
        <f t="shared" si="5"/>
        <v>929490.90437477001</v>
      </c>
      <c r="N25">
        <f t="shared" si="6"/>
        <v>-256003.05283207499</v>
      </c>
    </row>
    <row r="26" spans="1:14" x14ac:dyDescent="0.25">
      <c r="A26" s="6"/>
      <c r="G26">
        <v>-0.54</v>
      </c>
      <c r="H26">
        <f t="shared" si="0"/>
        <v>2.8840315031266055</v>
      </c>
      <c r="I26" t="str">
        <f t="shared" si="2"/>
        <v>18.1209043658881j</v>
      </c>
      <c r="J26" t="str">
        <f t="shared" si="1"/>
        <v>923210.6803029-266256.86860165j</v>
      </c>
      <c r="K26">
        <f t="shared" si="3"/>
        <v>119.65300820042359</v>
      </c>
      <c r="L26">
        <f t="shared" si="4"/>
        <v>-16.087727892932822</v>
      </c>
      <c r="M26">
        <f t="shared" si="5"/>
        <v>923210.68030290003</v>
      </c>
      <c r="N26">
        <f t="shared" si="6"/>
        <v>-266256.86860165</v>
      </c>
    </row>
    <row r="27" spans="1:14" x14ac:dyDescent="0.25">
      <c r="A27" s="6"/>
      <c r="G27">
        <v>-0.52</v>
      </c>
      <c r="H27">
        <f t="shared" si="0"/>
        <v>3.0199517204020152</v>
      </c>
      <c r="I27" t="str">
        <f t="shared" si="2"/>
        <v>18.9749162780217j</v>
      </c>
      <c r="J27" t="str">
        <f t="shared" si="1"/>
        <v>916421.377069513-276754.831429427j</v>
      </c>
      <c r="K27">
        <f t="shared" si="3"/>
        <v>119.62095211284543</v>
      </c>
      <c r="L27">
        <f t="shared" si="4"/>
        <v>-16.804062647338601</v>
      </c>
      <c r="M27">
        <f t="shared" si="5"/>
        <v>916421.37706951296</v>
      </c>
      <c r="N27">
        <f t="shared" si="6"/>
        <v>-276754.83142942702</v>
      </c>
    </row>
    <row r="28" spans="1:14" x14ac:dyDescent="0.25">
      <c r="A28" s="6"/>
      <c r="G28">
        <v>-0.5</v>
      </c>
      <c r="H28">
        <f t="shared" si="0"/>
        <v>3.1622776601683795</v>
      </c>
      <c r="I28" t="str">
        <f t="shared" si="2"/>
        <v>19.8691765315922j</v>
      </c>
      <c r="J28" t="str">
        <f t="shared" si="1"/>
        <v>909090.909090909-287479.787288035j</v>
      </c>
      <c r="K28">
        <f t="shared" si="3"/>
        <v>119.58607314841774</v>
      </c>
      <c r="L28">
        <f t="shared" si="4"/>
        <v>-17.548400613792332</v>
      </c>
      <c r="M28">
        <f t="shared" si="5"/>
        <v>909090.90909090894</v>
      </c>
      <c r="N28">
        <f t="shared" si="6"/>
        <v>-287479.78728803498</v>
      </c>
    </row>
    <row r="29" spans="1:14" x14ac:dyDescent="0.25">
      <c r="D29" s="9"/>
      <c r="G29">
        <v>-0.48</v>
      </c>
      <c r="H29">
        <f t="shared" si="0"/>
        <v>3.3113112148259107</v>
      </c>
      <c r="I29" t="str">
        <f t="shared" si="2"/>
        <v>20.8055819724931j</v>
      </c>
      <c r="J29" t="str">
        <f t="shared" si="1"/>
        <v>901186.829121668-298411.005392397j</v>
      </c>
      <c r="K29">
        <f t="shared" si="3"/>
        <v>119.54814835868504</v>
      </c>
      <c r="L29">
        <f t="shared" si="4"/>
        <v>-18.321314197383831</v>
      </c>
      <c r="M29">
        <f t="shared" si="5"/>
        <v>901186.82912166801</v>
      </c>
      <c r="N29">
        <f t="shared" si="6"/>
        <v>-298411.005392397</v>
      </c>
    </row>
    <row r="30" spans="1:14" x14ac:dyDescent="0.25">
      <c r="G30">
        <v>-0.46</v>
      </c>
      <c r="H30">
        <f t="shared" si="0"/>
        <v>3.4673685045253166</v>
      </c>
      <c r="I30" t="str">
        <f t="shared" si="2"/>
        <v>21.7861188422107j</v>
      </c>
      <c r="J30" t="str">
        <f t="shared" si="1"/>
        <v>892676.660006154-309523.893563019j</v>
      </c>
      <c r="K30">
        <f t="shared" si="3"/>
        <v>119.50694179824777</v>
      </c>
      <c r="L30">
        <f t="shared" si="4"/>
        <v>-19.123316070287611</v>
      </c>
      <c r="M30">
        <f t="shared" si="5"/>
        <v>892676.66000615398</v>
      </c>
      <c r="N30">
        <f t="shared" si="6"/>
        <v>-309523.893563019</v>
      </c>
    </row>
    <row r="31" spans="1:14" x14ac:dyDescent="0.25">
      <c r="B31" s="10"/>
      <c r="G31">
        <v>-0.44</v>
      </c>
      <c r="H31">
        <f t="shared" si="0"/>
        <v>3.6307805477010135</v>
      </c>
      <c r="I31" t="str">
        <f t="shared" si="2"/>
        <v>22.8128669909085j</v>
      </c>
      <c r="J31" t="str">
        <f t="shared" si="1"/>
        <v>883528.288056439-320789.73216189j</v>
      </c>
      <c r="K31">
        <f t="shared" si="3"/>
        <v>119.46220458936322</v>
      </c>
      <c r="L31">
        <f t="shared" si="4"/>
        <v>-19.954848626980858</v>
      </c>
      <c r="M31">
        <f t="shared" si="5"/>
        <v>883528.28805643902</v>
      </c>
      <c r="N31">
        <f t="shared" si="6"/>
        <v>-320789.73216189002</v>
      </c>
    </row>
    <row r="32" spans="1:14" x14ac:dyDescent="0.25">
      <c r="B32" s="10"/>
      <c r="G32">
        <v>-0.41999999999999899</v>
      </c>
      <c r="H32">
        <f t="shared" si="0"/>
        <v>3.8018939632056203</v>
      </c>
      <c r="I32" t="str">
        <f t="shared" si="2"/>
        <v>23.8880042890683j</v>
      </c>
      <c r="J32" t="str">
        <f t="shared" si="1"/>
        <v>873710.420945081-332175.437498094j</v>
      </c>
      <c r="K32">
        <f t="shared" si="3"/>
        <v>119.41367515672795</v>
      </c>
      <c r="L32">
        <f t="shared" si="4"/>
        <v>-20.816272773735669</v>
      </c>
      <c r="M32">
        <f t="shared" si="5"/>
        <v>873710.42094508104</v>
      </c>
      <c r="N32">
        <f t="shared" si="6"/>
        <v>-332175.43749809399</v>
      </c>
    </row>
    <row r="33" spans="7:14" x14ac:dyDescent="0.25">
      <c r="G33">
        <v>-0.39999999999999902</v>
      </c>
      <c r="H33">
        <f t="shared" si="0"/>
        <v>3.9810717055349807</v>
      </c>
      <c r="I33" t="str">
        <f t="shared" si="2"/>
        <v>25.0138112470458j</v>
      </c>
      <c r="J33" t="str">
        <f t="shared" si="1"/>
        <v>863193.111396789-343643.367219447j</v>
      </c>
      <c r="K33">
        <f t="shared" si="3"/>
        <v>119.3610796585662</v>
      </c>
      <c r="L33">
        <f t="shared" si="4"/>
        <v>-21.707856146309165</v>
      </c>
      <c r="M33">
        <f t="shared" si="5"/>
        <v>863193.11139678897</v>
      </c>
      <c r="N33">
        <f t="shared" si="6"/>
        <v>-343643.36721944698</v>
      </c>
    </row>
    <row r="34" spans="7:14" x14ac:dyDescent="0.25">
      <c r="G34">
        <v>-0.37999999999999901</v>
      </c>
      <c r="H34">
        <f t="shared" si="0"/>
        <v>4.1686938347033635</v>
      </c>
      <c r="I34" t="str">
        <f t="shared" si="2"/>
        <v>26.1926758523383j</v>
      </c>
      <c r="J34" t="str">
        <f t="shared" si="1"/>
        <v>851948.345852573-355151.181684135j</v>
      </c>
      <c r="K34">
        <f t="shared" si="3"/>
        <v>119.30413264025799</v>
      </c>
      <c r="L34">
        <f t="shared" si="4"/>
        <v>-22.629760884775852</v>
      </c>
      <c r="M34">
        <f t="shared" si="5"/>
        <v>851948.34585257305</v>
      </c>
      <c r="N34">
        <f t="shared" si="6"/>
        <v>-355151.18168413499</v>
      </c>
    </row>
    <row r="35" spans="7:14" x14ac:dyDescent="0.25">
      <c r="G35">
        <v>-0.35999999999999899</v>
      </c>
      <c r="H35">
        <f t="shared" si="0"/>
        <v>4.365158322401669</v>
      </c>
      <c r="I35" t="str">
        <f t="shared" si="2"/>
        <v>27.4270986348269j</v>
      </c>
      <c r="J35" t="str">
        <f t="shared" si="1"/>
        <v>839950.694634752-366651.776509196j</v>
      </c>
      <c r="K35">
        <f t="shared" si="3"/>
        <v>119.24253793589834</v>
      </c>
      <c r="L35">
        <f t="shared" si="4"/>
        <v>-23.582031133036327</v>
      </c>
      <c r="M35">
        <f t="shared" si="5"/>
        <v>839950.694634752</v>
      </c>
      <c r="N35">
        <f t="shared" si="6"/>
        <v>-366651.77650919597</v>
      </c>
    </row>
    <row r="36" spans="7:14" x14ac:dyDescent="0.25">
      <c r="G36">
        <v>-0.33999999999999903</v>
      </c>
      <c r="H36">
        <f t="shared" si="0"/>
        <v>4.5708818961487596</v>
      </c>
      <c r="I36" t="str">
        <f t="shared" si="2"/>
        <v>28.7196979707351j</v>
      </c>
      <c r="J36" t="str">
        <f t="shared" si="1"/>
        <v>827178.016963138-378093.302262905j</v>
      </c>
      <c r="K36">
        <f t="shared" si="3"/>
        <v>119.17598984117292</v>
      </c>
      <c r="L36">
        <f t="shared" si="4"/>
        <v>-24.564580471759665</v>
      </c>
      <c r="M36">
        <f t="shared" si="5"/>
        <v>827178.01696313801</v>
      </c>
      <c r="N36">
        <f t="shared" si="6"/>
        <v>-378093.302262905</v>
      </c>
    </row>
    <row r="37" spans="7:14" x14ac:dyDescent="0.25">
      <c r="G37">
        <v>-0.31999999999999901</v>
      </c>
      <c r="H37">
        <f t="shared" si="0"/>
        <v>4.7863009232263938</v>
      </c>
      <c r="I37" t="str">
        <f t="shared" si="2"/>
        <v>30.0732156365562j</v>
      </c>
      <c r="J37" t="str">
        <f t="shared" si="1"/>
        <v>813612.210505586-389419.287429116j</v>
      </c>
      <c r="K37">
        <f t="shared" si="3"/>
        <v>119.10417457755648</v>
      </c>
      <c r="L37">
        <f t="shared" si="4"/>
        <v>-25.577179536019628</v>
      </c>
      <c r="M37">
        <f t="shared" si="5"/>
        <v>813612.210505586</v>
      </c>
      <c r="N37">
        <f t="shared" si="6"/>
        <v>-389419.28742911603</v>
      </c>
    </row>
    <row r="38" spans="7:14" x14ac:dyDescent="0.25">
      <c r="G38">
        <v>-0.29999999999999899</v>
      </c>
      <c r="H38">
        <f t="shared" si="0"/>
        <v>5.0118723362727344</v>
      </c>
      <c r="I38" t="str">
        <f t="shared" si="2"/>
        <v>31.4905226247287j</v>
      </c>
      <c r="J38" t="str">
        <f t="shared" si="1"/>
        <v>799239.991086897-400568.880137129j</v>
      </c>
      <c r="K38">
        <f t="shared" si="3"/>
        <v>119.02677206291303</v>
      </c>
      <c r="L38">
        <f t="shared" si="4"/>
        <v>-26.619444110792937</v>
      </c>
      <c r="M38">
        <f t="shared" si="5"/>
        <v>799239.99108689697</v>
      </c>
      <c r="N38">
        <f t="shared" si="6"/>
        <v>-400568.88013712899</v>
      </c>
    </row>
    <row r="39" spans="7:14" x14ac:dyDescent="0.25">
      <c r="G39">
        <v>-0.27999999999999903</v>
      </c>
      <c r="H39">
        <f t="shared" si="0"/>
        <v>5.2480746024977378</v>
      </c>
      <c r="I39" t="str">
        <f t="shared" si="2"/>
        <v>32.9746252333961j</v>
      </c>
      <c r="J39" t="str">
        <f t="shared" si="1"/>
        <v>784053.683887815-411477.222540642j</v>
      </c>
      <c r="K39">
        <f t="shared" si="3"/>
        <v>118.94345799697264</v>
      </c>
      <c r="L39">
        <f t="shared" si="4"/>
        <v>-27.690824036480493</v>
      </c>
      <c r="M39">
        <f t="shared" si="5"/>
        <v>784053.68388781499</v>
      </c>
      <c r="N39">
        <f t="shared" si="6"/>
        <v>-411477.22254064202</v>
      </c>
    </row>
    <row r="40" spans="7:14" x14ac:dyDescent="0.25">
      <c r="G40">
        <v>-0.25999999999999901</v>
      </c>
      <c r="H40">
        <f t="shared" si="0"/>
        <v>5.4954087385762573</v>
      </c>
      <c r="I40" t="str">
        <f t="shared" si="2"/>
        <v>34.5286714431686j</v>
      </c>
      <c r="J40" t="str">
        <f t="shared" si="1"/>
        <v>768052.003167584-422075.968988813j</v>
      </c>
      <c r="K40">
        <f t="shared" si="3"/>
        <v>118.85390626182718</v>
      </c>
      <c r="L40">
        <f t="shared" si="4"/>
        <v>-28.790593289891955</v>
      </c>
      <c r="M40">
        <f t="shared" si="5"/>
        <v>768052.00316758396</v>
      </c>
      <c r="N40">
        <f t="shared" si="6"/>
        <v>-422075.96898881299</v>
      </c>
    </row>
    <row r="41" spans="7:14" x14ac:dyDescent="0.25">
      <c r="G41">
        <v>-0.23999999999999899</v>
      </c>
      <c r="H41">
        <f t="shared" si="0"/>
        <v>5.7543993733715828</v>
      </c>
      <c r="I41" t="str">
        <f t="shared" si="2"/>
        <v>36.1559575944117j</v>
      </c>
      <c r="J41" t="str">
        <f t="shared" si="1"/>
        <v>751240.79353371-432293.955156155j</v>
      </c>
      <c r="K41">
        <f t="shared" si="3"/>
        <v>118.75779162758541</v>
      </c>
      <c r="L41">
        <f t="shared" si="4"/>
        <v>-29.917841630566709</v>
      </c>
      <c r="M41">
        <f t="shared" si="5"/>
        <v>751240.79353370995</v>
      </c>
      <c r="N41">
        <f t="shared" si="6"/>
        <v>-432293.95515615499</v>
      </c>
    </row>
    <row r="42" spans="7:14" x14ac:dyDescent="0.25">
      <c r="G42">
        <v>-0.219999999999999</v>
      </c>
      <c r="H42">
        <f t="shared" si="0"/>
        <v>6.0255958607435911</v>
      </c>
      <c r="I42" t="str">
        <f t="shared" si="2"/>
        <v>37.8599353792263j</v>
      </c>
      <c r="J42" t="str">
        <f t="shared" si="1"/>
        <v>733633.702413806-442058.020056663j</v>
      </c>
      <c r="K42">
        <f t="shared" si="3"/>
        <v>118.65479274183417</v>
      </c>
      <c r="L42">
        <f t="shared" si="4"/>
        <v>-31.071468214576754</v>
      </c>
      <c r="M42">
        <f t="shared" si="5"/>
        <v>733633.70241380599</v>
      </c>
      <c r="N42">
        <f t="shared" si="6"/>
        <v>-442058.02005666302</v>
      </c>
    </row>
    <row r="43" spans="7:14" x14ac:dyDescent="0.25">
      <c r="G43">
        <v>-0.19999999999999901</v>
      </c>
      <c r="H43">
        <f t="shared" si="0"/>
        <v>6.3095734448019467</v>
      </c>
      <c r="I43" t="str">
        <f t="shared" si="2"/>
        <v>39.6442191629501j</v>
      </c>
      <c r="J43" t="str">
        <f t="shared" si="1"/>
        <v>715252.751049197-451293.976434156j</v>
      </c>
      <c r="K43">
        <f t="shared" si="3"/>
        <v>118.54459536890704</v>
      </c>
      <c r="L43">
        <f t="shared" si="4"/>
        <v>-32.250177574793568</v>
      </c>
      <c r="M43">
        <f t="shared" si="5"/>
        <v>715252.75104919705</v>
      </c>
      <c r="N43">
        <f t="shared" si="6"/>
        <v>-451293.97643415601</v>
      </c>
    </row>
    <row r="44" spans="7:14" x14ac:dyDescent="0.25">
      <c r="G44">
        <v>-0.17999999999999899</v>
      </c>
      <c r="H44">
        <f t="shared" si="0"/>
        <v>6.6069344800759753</v>
      </c>
      <c r="I44" t="str">
        <f t="shared" si="2"/>
        <v>41.5125936507116j</v>
      </c>
      <c r="J44" t="str">
        <f t="shared" si="1"/>
        <v>696128.770429599-459927.717592421j</v>
      </c>
      <c r="K44">
        <f t="shared" si="3"/>
        <v>118.42689583165489</v>
      </c>
      <c r="L44">
        <f t="shared" si="4"/>
        <v>-33.45247834509432</v>
      </c>
      <c r="M44">
        <f t="shared" si="5"/>
        <v>696128.77042959898</v>
      </c>
      <c r="N44">
        <f t="shared" si="6"/>
        <v>-459927.71759242099</v>
      </c>
    </row>
    <row r="45" spans="7:14" x14ac:dyDescent="0.25">
      <c r="G45">
        <v>-0.159999999999999</v>
      </c>
      <c r="H45">
        <f t="shared" si="0"/>
        <v>6.9183097091893799</v>
      </c>
      <c r="I45" t="str">
        <f t="shared" si="2"/>
        <v>43.4690219152966j</v>
      </c>
      <c r="J45" t="str">
        <f t="shared" si="1"/>
        <v>676301.669492736-467886.440639258j</v>
      </c>
      <c r="K45">
        <f t="shared" si="3"/>
        <v>118.30140459509607</v>
      </c>
      <c r="L45">
        <f t="shared" si="4"/>
        <v>-34.676685063915208</v>
      </c>
      <c r="M45">
        <f t="shared" si="5"/>
        <v>676301.66949273599</v>
      </c>
      <c r="N45">
        <f t="shared" si="6"/>
        <v>-467886.44063925801</v>
      </c>
    </row>
    <row r="46" spans="7:14" x14ac:dyDescent="0.25">
      <c r="G46">
        <v>-0.13999999999999899</v>
      </c>
      <c r="H46">
        <f t="shared" si="0"/>
        <v>7.2443596007499176</v>
      </c>
      <c r="I46" t="str">
        <f t="shared" si="2"/>
        <v>45.5176538033573j</v>
      </c>
      <c r="J46" t="str">
        <f t="shared" si="1"/>
        <v>655820.505912394-475099.957837512j</v>
      </c>
      <c r="K46">
        <f t="shared" si="3"/>
        <v>118.16784991877979</v>
      </c>
      <c r="L46">
        <f t="shared" si="4"/>
        <v>-35.92092332877521</v>
      </c>
      <c r="M46">
        <f t="shared" si="5"/>
        <v>655820.50591239403</v>
      </c>
      <c r="N46">
        <f t="shared" si="6"/>
        <v>-475099.95783751202</v>
      </c>
    </row>
    <row r="47" spans="7:14" x14ac:dyDescent="0.25">
      <c r="G47">
        <v>-0.119999999999999</v>
      </c>
      <c r="H47">
        <f t="shared" si="0"/>
        <v>7.5857757502918544</v>
      </c>
      <c r="I47" t="str">
        <f t="shared" si="2"/>
        <v>47.662834737793j</v>
      </c>
      <c r="J47" t="str">
        <f t="shared" si="1"/>
        <v>634743.335052315-481502.059869924j</v>
      </c>
      <c r="K47">
        <f t="shared" si="3"/>
        <v>118.02598149380029</v>
      </c>
      <c r="L47">
        <f t="shared" si="4"/>
        <v>-37.18313848814379</v>
      </c>
      <c r="M47">
        <f t="shared" si="5"/>
        <v>634743.33505231503</v>
      </c>
      <c r="N47">
        <f t="shared" si="6"/>
        <v>-481502.05986992398</v>
      </c>
    </row>
    <row r="48" spans="7:14" x14ac:dyDescent="0.25">
      <c r="G48">
        <v>-9.9999999999999006E-2</v>
      </c>
      <c r="H48">
        <f t="shared" si="0"/>
        <v>7.9432823472428327</v>
      </c>
      <c r="I48" t="str">
        <f t="shared" si="2"/>
        <v>49.9091149349751j</v>
      </c>
      <c r="J48" t="str">
        <f t="shared" si="1"/>
        <v>613136.820153142-487031.887996706j</v>
      </c>
      <c r="K48">
        <f t="shared" si="3"/>
        <v>117.8755739720566</v>
      </c>
      <c r="L48">
        <f t="shared" si="4"/>
        <v>-38.461107952210021</v>
      </c>
      <c r="M48">
        <f t="shared" si="5"/>
        <v>613136.82015314198</v>
      </c>
      <c r="N48">
        <f t="shared" si="6"/>
        <v>-487031.88799670601</v>
      </c>
    </row>
    <row r="49" spans="7:14" x14ac:dyDescent="0.25">
      <c r="G49">
        <v>-7.9999999999999002E-2</v>
      </c>
      <c r="H49">
        <f t="shared" si="0"/>
        <v>8.3176377110267303</v>
      </c>
      <c r="I49" t="str">
        <f t="shared" si="2"/>
        <v>52.261259056366j</v>
      </c>
      <c r="J49" t="str">
        <f t="shared" si="1"/>
        <v>591075.596314942-491635.266997677j</v>
      </c>
      <c r="K49">
        <f t="shared" si="3"/>
        <v>117.71643029041761</v>
      </c>
      <c r="L49">
        <f t="shared" si="4"/>
        <v>-39.752457083430912</v>
      </c>
      <c r="M49">
        <f t="shared" si="5"/>
        <v>591075.596314942</v>
      </c>
      <c r="N49">
        <f t="shared" si="6"/>
        <v>-491635.26699767698</v>
      </c>
    </row>
    <row r="50" spans="7:14" x14ac:dyDescent="0.25">
      <c r="G50">
        <v>-5.9999999999999103E-2</v>
      </c>
      <c r="H50">
        <f t="shared" si="0"/>
        <v>8.7096358995608245</v>
      </c>
      <c r="I50" t="str">
        <f t="shared" si="2"/>
        <v>54.7242563150044j</v>
      </c>
      <c r="J50" t="str">
        <f t="shared" si="1"/>
        <v>568641.391883667-495265.948072622j</v>
      </c>
      <c r="K50">
        <f t="shared" si="3"/>
        <v>117.54838469164488</v>
      </c>
      <c r="L50">
        <f t="shared" si="4"/>
        <v>-41.054678496630203</v>
      </c>
      <c r="M50">
        <f t="shared" si="5"/>
        <v>568641.39188366698</v>
      </c>
      <c r="N50">
        <f t="shared" si="6"/>
        <v>-495265.94807262201</v>
      </c>
    </row>
    <row r="51" spans="7:14" x14ac:dyDescent="0.25">
      <c r="G51">
        <v>-3.9999999999999002E-2</v>
      </c>
      <c r="H51">
        <f t="shared" si="0"/>
        <v>9.1201083935591178</v>
      </c>
      <c r="I51" t="str">
        <f t="shared" si="2"/>
        <v>57.3033310582959j</v>
      </c>
      <c r="J51" t="str">
        <f t="shared" si="1"/>
        <v>545921.922780482-497886.711017821j</v>
      </c>
      <c r="K51">
        <f t="shared" si="3"/>
        <v>117.37130534773851</v>
      </c>
      <c r="L51">
        <f t="shared" si="4"/>
        <v>-42.365154463831658</v>
      </c>
      <c r="M51">
        <f t="shared" si="5"/>
        <v>545921.92278048198</v>
      </c>
      <c r="N51">
        <f t="shared" si="6"/>
        <v>-497886.71101782098</v>
      </c>
    </row>
    <row r="52" spans="7:14" x14ac:dyDescent="0.25">
      <c r="G52">
        <v>-1.9999999999999001E-2</v>
      </c>
      <c r="H52">
        <f t="shared" si="0"/>
        <v>9.5499258602143815</v>
      </c>
      <c r="I52" t="str">
        <f t="shared" si="2"/>
        <v>60.0039538495534j</v>
      </c>
      <c r="J52" t="str">
        <f t="shared" si="1"/>
        <v>523009.587297561-499470.278287303j</v>
      </c>
      <c r="K52">
        <f t="shared" si="3"/>
        <v>117.1850964999971</v>
      </c>
      <c r="L52">
        <f t="shared" si="4"/>
        <v>-43.681181988918397</v>
      </c>
      <c r="M52">
        <f t="shared" si="5"/>
        <v>523009.587297561</v>
      </c>
      <c r="N52">
        <f t="shared" si="6"/>
        <v>-499470.27828730299</v>
      </c>
    </row>
    <row r="53" spans="7:14" x14ac:dyDescent="0.25">
      <c r="G53">
        <v>0</v>
      </c>
      <c r="H53">
        <f t="shared" si="0"/>
        <v>10</v>
      </c>
      <c r="I53" t="str">
        <f t="shared" si="2"/>
        <v>62.8318530717959j</v>
      </c>
      <c r="J53" t="str">
        <f t="shared" si="1"/>
        <v>500000-500000j</v>
      </c>
      <c r="K53">
        <f t="shared" si="3"/>
        <v>116.98970004336019</v>
      </c>
      <c r="L53">
        <f t="shared" si="4"/>
        <v>-45</v>
      </c>
      <c r="M53">
        <f t="shared" si="5"/>
        <v>500000</v>
      </c>
      <c r="N53">
        <f t="shared" si="6"/>
        <v>-500000</v>
      </c>
    </row>
    <row r="54" spans="7:14" x14ac:dyDescent="0.25">
      <c r="G54">
        <v>0.02</v>
      </c>
      <c r="H54">
        <f t="shared" si="0"/>
        <v>10.471285480508996</v>
      </c>
      <c r="I54" t="str">
        <f t="shared" si="2"/>
        <v>65.7930270784171j</v>
      </c>
      <c r="J54" t="str">
        <f t="shared" si="1"/>
        <v>476990.412702438-499470.278287303j</v>
      </c>
      <c r="K54">
        <f t="shared" si="3"/>
        <v>116.78509649999712</v>
      </c>
      <c r="L54">
        <f t="shared" si="4"/>
        <v>-46.31881801108166</v>
      </c>
      <c r="M54">
        <f t="shared" si="5"/>
        <v>476990.41270243801</v>
      </c>
      <c r="N54">
        <f t="shared" si="6"/>
        <v>-499470.27828730299</v>
      </c>
    </row>
    <row r="55" spans="7:14" x14ac:dyDescent="0.25">
      <c r="G55">
        <v>0.04</v>
      </c>
      <c r="H55">
        <f t="shared" si="0"/>
        <v>10.96478196143185</v>
      </c>
      <c r="I55" t="str">
        <f t="shared" si="2"/>
        <v>68.8937569164964j</v>
      </c>
      <c r="J55" t="str">
        <f t="shared" si="1"/>
        <v>454078.077219514-497886.711017821j</v>
      </c>
      <c r="K55">
        <f t="shared" si="3"/>
        <v>116.5713053477385</v>
      </c>
      <c r="L55">
        <f t="shared" si="4"/>
        <v>-47.634845536168555</v>
      </c>
      <c r="M55">
        <f t="shared" si="5"/>
        <v>454078.077219514</v>
      </c>
      <c r="N55">
        <f t="shared" si="6"/>
        <v>-497886.71101782098</v>
      </c>
    </row>
    <row r="56" spans="7:14" x14ac:dyDescent="0.25">
      <c r="G56">
        <v>6.0000000000000102E-2</v>
      </c>
      <c r="H56">
        <f t="shared" si="0"/>
        <v>11.48153621496883</v>
      </c>
      <c r="I56" t="str">
        <f t="shared" si="2"/>
        <v>72.1406196497425j</v>
      </c>
      <c r="J56" t="str">
        <f t="shared" si="1"/>
        <v>431358.608116334-495265.948072622j</v>
      </c>
      <c r="K56">
        <f t="shared" si="3"/>
        <v>116.34838469164491</v>
      </c>
      <c r="L56">
        <f t="shared" si="4"/>
        <v>-48.945321503369776</v>
      </c>
      <c r="M56">
        <f t="shared" si="5"/>
        <v>431358.60811633401</v>
      </c>
      <c r="N56">
        <f t="shared" si="6"/>
        <v>-495265.94807262201</v>
      </c>
    </row>
    <row r="57" spans="7:14" x14ac:dyDescent="0.25">
      <c r="G57">
        <v>8.0000000000000099E-2</v>
      </c>
      <c r="H57">
        <f t="shared" si="0"/>
        <v>12.022644346174133</v>
      </c>
      <c r="I57" t="str">
        <f t="shared" si="2"/>
        <v>75.540502309327j</v>
      </c>
      <c r="J57" t="str">
        <f t="shared" si="1"/>
        <v>408924.403685058-491635.266997678j</v>
      </c>
      <c r="K57">
        <f t="shared" si="3"/>
        <v>116.11643029041764</v>
      </c>
      <c r="L57">
        <f t="shared" si="4"/>
        <v>-50.247542916569081</v>
      </c>
      <c r="M57">
        <f t="shared" si="5"/>
        <v>408924.403685058</v>
      </c>
      <c r="N57">
        <f t="shared" si="6"/>
        <v>-491635.26699767797</v>
      </c>
    </row>
    <row r="58" spans="7:14" x14ac:dyDescent="0.25">
      <c r="G58">
        <v>0.1</v>
      </c>
      <c r="H58">
        <f t="shared" si="0"/>
        <v>12.589254117941673</v>
      </c>
      <c r="I58" t="str">
        <f t="shared" si="2"/>
        <v>79.1006165022012j</v>
      </c>
      <c r="J58" t="str">
        <f t="shared" si="1"/>
        <v>386863.179846856-487031.887996705j</v>
      </c>
      <c r="K58">
        <f t="shared" si="3"/>
        <v>115.87557397205659</v>
      </c>
      <c r="L58">
        <f t="shared" si="4"/>
        <v>-51.538892047790121</v>
      </c>
      <c r="M58">
        <f t="shared" si="5"/>
        <v>386863.17984685599</v>
      </c>
      <c r="N58">
        <f t="shared" si="6"/>
        <v>-487031.88799670502</v>
      </c>
    </row>
    <row r="59" spans="7:14" x14ac:dyDescent="0.25">
      <c r="G59">
        <v>0.12</v>
      </c>
      <c r="H59">
        <f t="shared" si="0"/>
        <v>13.182567385564072</v>
      </c>
      <c r="I59" t="str">
        <f t="shared" si="2"/>
        <v>82.828513707881j</v>
      </c>
      <c r="J59" t="str">
        <f t="shared" si="1"/>
        <v>365256.664947682-481502.059869923j</v>
      </c>
      <c r="K59">
        <f t="shared" si="3"/>
        <v>115.62598149380028</v>
      </c>
      <c r="L59">
        <f t="shared" si="4"/>
        <v>-52.816861511856409</v>
      </c>
      <c r="M59">
        <f t="shared" si="5"/>
        <v>365256.664947682</v>
      </c>
      <c r="N59">
        <f t="shared" si="6"/>
        <v>-481502.05986992299</v>
      </c>
    </row>
    <row r="60" spans="7:14" x14ac:dyDescent="0.25">
      <c r="G60">
        <v>0.14000000000000001</v>
      </c>
      <c r="H60">
        <f t="shared" si="0"/>
        <v>13.803842646028849</v>
      </c>
      <c r="I60" t="str">
        <f t="shared" si="2"/>
        <v>86.7321012961474j</v>
      </c>
      <c r="J60" t="str">
        <f t="shared" si="1"/>
        <v>344179.494087606-475099.957837512j</v>
      </c>
      <c r="K60">
        <f t="shared" si="3"/>
        <v>115.3678499187798</v>
      </c>
      <c r="L60">
        <f t="shared" si="4"/>
        <v>-54.079076671224797</v>
      </c>
      <c r="M60">
        <f t="shared" si="5"/>
        <v>344179.49408760603</v>
      </c>
      <c r="N60">
        <f t="shared" si="6"/>
        <v>-475099.95783751202</v>
      </c>
    </row>
    <row r="61" spans="7:14" x14ac:dyDescent="0.25">
      <c r="G61">
        <v>0.16</v>
      </c>
      <c r="H61">
        <f t="shared" si="0"/>
        <v>14.454397707459275</v>
      </c>
      <c r="I61" t="str">
        <f t="shared" si="2"/>
        <v>90.8196592996384j</v>
      </c>
      <c r="J61" t="str">
        <f t="shared" si="1"/>
        <v>323698.330507262-467886.440639258j</v>
      </c>
      <c r="K61">
        <f t="shared" si="3"/>
        <v>115.10140459509607</v>
      </c>
      <c r="L61">
        <f t="shared" si="4"/>
        <v>-55.323314936084941</v>
      </c>
      <c r="M61">
        <f t="shared" si="5"/>
        <v>323698.33050726203</v>
      </c>
      <c r="N61">
        <f t="shared" si="6"/>
        <v>-467886.44063925801</v>
      </c>
    </row>
    <row r="62" spans="7:14" x14ac:dyDescent="0.25">
      <c r="G62">
        <v>0.18</v>
      </c>
      <c r="H62">
        <f t="shared" si="0"/>
        <v>15.135612484362081</v>
      </c>
      <c r="I62" t="str">
        <f t="shared" si="2"/>
        <v>95.0998579769077j</v>
      </c>
      <c r="J62" t="str">
        <f t="shared" si="1"/>
        <v>303871.2295704-459927.71759242j</v>
      </c>
      <c r="K62">
        <f t="shared" si="3"/>
        <v>114.82689583165489</v>
      </c>
      <c r="L62">
        <f t="shared" si="4"/>
        <v>-56.547521654905722</v>
      </c>
      <c r="M62">
        <f t="shared" si="5"/>
        <v>303871.22957040003</v>
      </c>
      <c r="N62">
        <f t="shared" si="6"/>
        <v>-459927.71759242</v>
      </c>
    </row>
    <row r="63" spans="7:14" x14ac:dyDescent="0.25">
      <c r="G63">
        <v>0.2</v>
      </c>
      <c r="H63">
        <f t="shared" si="0"/>
        <v>15.848931924611136</v>
      </c>
      <c r="I63" t="str">
        <f t="shared" si="2"/>
        <v>99.5817762032062j</v>
      </c>
      <c r="J63" t="str">
        <f t="shared" si="1"/>
        <v>284747.248950802-451293.976434156j</v>
      </c>
      <c r="K63">
        <f t="shared" si="3"/>
        <v>114.54459536890708</v>
      </c>
      <c r="L63">
        <f t="shared" si="4"/>
        <v>-57.749822425206538</v>
      </c>
      <c r="M63">
        <f t="shared" si="5"/>
        <v>284747.24895080202</v>
      </c>
      <c r="N63">
        <f t="shared" si="6"/>
        <v>-451293.97643415601</v>
      </c>
    </row>
    <row r="64" spans="7:14" x14ac:dyDescent="0.25">
      <c r="G64">
        <v>0.22</v>
      </c>
      <c r="H64">
        <f t="shared" si="0"/>
        <v>16.595869074375607</v>
      </c>
      <c r="I64" t="str">
        <f t="shared" si="2"/>
        <v>104.274920727993j</v>
      </c>
      <c r="J64" t="str">
        <f t="shared" si="1"/>
        <v>266366.297586193-442058.020056662j</v>
      </c>
      <c r="K64">
        <f t="shared" si="3"/>
        <v>114.25479274183418</v>
      </c>
      <c r="L64">
        <f t="shared" si="4"/>
        <v>-58.928531785423274</v>
      </c>
      <c r="M64">
        <f t="shared" si="5"/>
        <v>266366.29758619302</v>
      </c>
      <c r="N64">
        <f t="shared" si="6"/>
        <v>-442058.02005666198</v>
      </c>
    </row>
    <row r="65" spans="7:14" x14ac:dyDescent="0.25">
      <c r="G65">
        <v>0.24</v>
      </c>
      <c r="H65">
        <f t="shared" si="0"/>
        <v>17.378008287493756</v>
      </c>
      <c r="I65" t="str">
        <f t="shared" si="2"/>
        <v>109.189246340026j</v>
      </c>
      <c r="J65" t="str">
        <f t="shared" si="1"/>
        <v>248759.206466288-432293.955156154j</v>
      </c>
      <c r="K65">
        <f t="shared" si="3"/>
        <v>113.95779162758538</v>
      </c>
      <c r="L65">
        <f t="shared" si="4"/>
        <v>-60.082158369433451</v>
      </c>
      <c r="M65">
        <f t="shared" si="5"/>
        <v>248759.20646628799</v>
      </c>
      <c r="N65">
        <f t="shared" si="6"/>
        <v>-432293.955156154</v>
      </c>
    </row>
    <row r="66" spans="7:14" x14ac:dyDescent="0.25">
      <c r="G66">
        <v>0.26</v>
      </c>
      <c r="H66">
        <f t="shared" si="0"/>
        <v>18.197008586099837</v>
      </c>
      <c r="I66" t="str">
        <f t="shared" si="2"/>
        <v>114.335176982803j</v>
      </c>
      <c r="J66" t="str">
        <f t="shared" si="1"/>
        <v>231947.996832417-422075.968988814j</v>
      </c>
      <c r="K66">
        <f t="shared" si="3"/>
        <v>113.65390626182719</v>
      </c>
      <c r="L66">
        <f t="shared" si="4"/>
        <v>-61.209406710107977</v>
      </c>
      <c r="M66">
        <f t="shared" si="5"/>
        <v>231947.996832417</v>
      </c>
      <c r="N66">
        <f t="shared" si="6"/>
        <v>-422075.96898881398</v>
      </c>
    </row>
    <row r="67" spans="7:14" x14ac:dyDescent="0.25">
      <c r="G67">
        <v>0.28000000000000003</v>
      </c>
      <c r="H67">
        <f t="shared" ref="H67:H130" si="7">$B$3*10^G67</f>
        <v>19.054607179632473</v>
      </c>
      <c r="I67" t="str">
        <f t="shared" si="2"/>
        <v>119.723627865145j</v>
      </c>
      <c r="J67" t="str">
        <f t="shared" ref="J67:J130" si="8">IMDIV(Aolv,IMSUM(1,IMDIV(I67,wc)))</f>
        <v>215946.316112186-411477.222540643j</v>
      </c>
      <c r="K67">
        <f t="shared" si="3"/>
        <v>113.34345799697266</v>
      </c>
      <c r="L67">
        <f t="shared" si="4"/>
        <v>-62.309175963519422</v>
      </c>
      <c r="M67">
        <f t="shared" si="5"/>
        <v>215946.316112186</v>
      </c>
      <c r="N67">
        <f t="shared" si="6"/>
        <v>-411477.22254064301</v>
      </c>
    </row>
    <row r="68" spans="7:14" x14ac:dyDescent="0.25">
      <c r="G68">
        <v>0.3</v>
      </c>
      <c r="H68">
        <f t="shared" si="7"/>
        <v>19.952623149688797</v>
      </c>
      <c r="I68" t="str">
        <f t="shared" ref="I68:I131" si="9">COMPLEX(0,H68*2*PI(),"j")</f>
        <v>125.366028613816j</v>
      </c>
      <c r="J68" t="str">
        <f t="shared" si="8"/>
        <v>200760.008913102-400568.880137128j</v>
      </c>
      <c r="K68">
        <f t="shared" ref="K68:K131" si="10">20*LOG(IMABS(J68))</f>
        <v>113.02677206291305</v>
      </c>
      <c r="L68">
        <f t="shared" ref="L68:L131" si="11">DEGREES(IMARGUMENT(J68))</f>
        <v>-63.380555889207095</v>
      </c>
      <c r="M68">
        <f t="shared" ref="M68:M131" si="12">IMREAL(J68)</f>
        <v>200760.00891310201</v>
      </c>
      <c r="N68">
        <f t="shared" ref="N68:N131" si="13">IMAGINARY(J68)</f>
        <v>-400568.880137128</v>
      </c>
    </row>
    <row r="69" spans="7:14" x14ac:dyDescent="0.25">
      <c r="G69">
        <v>0.32</v>
      </c>
      <c r="H69">
        <f t="shared" si="7"/>
        <v>20.892961308540396</v>
      </c>
      <c r="I69" t="str">
        <f t="shared" si="9"/>
        <v>131.274347517293j</v>
      </c>
      <c r="J69" t="str">
        <f t="shared" si="8"/>
        <v>186387.789494412-389419.287429114j</v>
      </c>
      <c r="K69">
        <f t="shared" si="10"/>
        <v>112.70417457755644</v>
      </c>
      <c r="L69">
        <f t="shared" si="11"/>
        <v>-64.422820463980571</v>
      </c>
      <c r="M69">
        <f t="shared" si="12"/>
        <v>186387.78949441199</v>
      </c>
      <c r="N69">
        <f t="shared" si="13"/>
        <v>-389419.28742911399</v>
      </c>
    </row>
    <row r="70" spans="7:14" x14ac:dyDescent="0.25">
      <c r="G70">
        <v>0.34</v>
      </c>
      <c r="H70">
        <f t="shared" si="7"/>
        <v>21.877616239495524</v>
      </c>
      <c r="I70" t="str">
        <f t="shared" si="9"/>
        <v>137.461116912112j</v>
      </c>
      <c r="J70" t="str">
        <f t="shared" si="8"/>
        <v>172821.983036859-378093.302262903j</v>
      </c>
      <c r="K70">
        <f t="shared" si="10"/>
        <v>112.37598984117291</v>
      </c>
      <c r="L70">
        <f t="shared" si="11"/>
        <v>-65.435419528240587</v>
      </c>
      <c r="M70">
        <f t="shared" si="12"/>
        <v>172821.98303685899</v>
      </c>
      <c r="N70">
        <f t="shared" si="13"/>
        <v>-378093.30226290302</v>
      </c>
    </row>
    <row r="71" spans="7:14" x14ac:dyDescent="0.25">
      <c r="G71">
        <v>0.36</v>
      </c>
      <c r="H71">
        <f t="shared" si="7"/>
        <v>22.908676527677731</v>
      </c>
      <c r="I71" t="str">
        <f t="shared" si="9"/>
        <v>143.939459765635j</v>
      </c>
      <c r="J71" t="str">
        <f t="shared" si="8"/>
        <v>160049.305365246-366651.776509194j</v>
      </c>
      <c r="K71">
        <f t="shared" si="10"/>
        <v>112.04253793589834</v>
      </c>
      <c r="L71">
        <f t="shared" si="11"/>
        <v>-66.417968866963804</v>
      </c>
      <c r="M71">
        <f t="shared" si="12"/>
        <v>160049.30536524599</v>
      </c>
      <c r="N71">
        <f t="shared" si="13"/>
        <v>-366651.77650919399</v>
      </c>
    </row>
    <row r="72" spans="7:14" x14ac:dyDescent="0.25">
      <c r="G72">
        <v>0.38</v>
      </c>
      <c r="H72">
        <f t="shared" si="7"/>
        <v>23.988329190194907</v>
      </c>
      <c r="I72" t="str">
        <f t="shared" si="9"/>
        <v>150.72311751162j</v>
      </c>
      <c r="J72" t="str">
        <f t="shared" si="8"/>
        <v>148051.654147426-355151.181684135j</v>
      </c>
      <c r="K72">
        <f t="shared" si="10"/>
        <v>111.704132640258</v>
      </c>
      <c r="L72">
        <f t="shared" si="11"/>
        <v>-67.370239115224251</v>
      </c>
      <c r="M72">
        <f t="shared" si="12"/>
        <v>148051.65414742599</v>
      </c>
      <c r="N72">
        <f t="shared" si="13"/>
        <v>-355151.18168413499</v>
      </c>
    </row>
    <row r="73" spans="7:14" x14ac:dyDescent="0.25">
      <c r="G73">
        <v>0.4</v>
      </c>
      <c r="H73">
        <f t="shared" si="7"/>
        <v>25.118864315095806</v>
      </c>
      <c r="I73" t="str">
        <f t="shared" si="9"/>
        <v>157.826479197648j</v>
      </c>
      <c r="J73" t="str">
        <f t="shared" si="8"/>
        <v>136806.888603209-343643.367219445j</v>
      </c>
      <c r="K73">
        <f t="shared" si="10"/>
        <v>111.36107965856618</v>
      </c>
      <c r="L73">
        <f t="shared" si="11"/>
        <v>-68.29214385369103</v>
      </c>
      <c r="M73">
        <f t="shared" si="12"/>
        <v>136806.88860320899</v>
      </c>
      <c r="N73">
        <f t="shared" si="13"/>
        <v>-343643.367219445</v>
      </c>
    </row>
    <row r="74" spans="7:14" x14ac:dyDescent="0.25">
      <c r="G74">
        <v>0.42</v>
      </c>
      <c r="H74">
        <f t="shared" si="7"/>
        <v>26.302679918953821</v>
      </c>
      <c r="I74" t="str">
        <f t="shared" si="9"/>
        <v>165.264612006218j</v>
      </c>
      <c r="J74" t="str">
        <f t="shared" si="8"/>
        <v>126289.579054919-332175.437498094j</v>
      </c>
      <c r="K74">
        <f t="shared" si="10"/>
        <v>111.01367515672794</v>
      </c>
      <c r="L74">
        <f t="shared" si="11"/>
        <v>-69.183727226264295</v>
      </c>
      <c r="M74">
        <f t="shared" si="12"/>
        <v>126289.579054919</v>
      </c>
      <c r="N74">
        <f t="shared" si="13"/>
        <v>-332175.43749809399</v>
      </c>
    </row>
    <row r="75" spans="7:14" x14ac:dyDescent="0.25">
      <c r="G75">
        <v>0.44</v>
      </c>
      <c r="H75">
        <f t="shared" si="7"/>
        <v>27.542287033381662</v>
      </c>
      <c r="I75" t="str">
        <f t="shared" si="9"/>
        <v>173.053293214266j</v>
      </c>
      <c r="J75" t="str">
        <f t="shared" si="8"/>
        <v>116471.711943561-320789.73216189j</v>
      </c>
      <c r="K75">
        <f t="shared" si="10"/>
        <v>110.66220458936323</v>
      </c>
      <c r="L75">
        <f t="shared" si="11"/>
        <v>-70.045151373019138</v>
      </c>
      <c r="M75">
        <f t="shared" si="12"/>
        <v>116471.71194356099</v>
      </c>
      <c r="N75">
        <f t="shared" si="13"/>
        <v>-320789.73216189002</v>
      </c>
    </row>
    <row r="76" spans="7:14" x14ac:dyDescent="0.25">
      <c r="G76">
        <v>0.46</v>
      </c>
      <c r="H76">
        <f t="shared" si="7"/>
        <v>28.840315031266059</v>
      </c>
      <c r="I76" t="str">
        <f t="shared" si="9"/>
        <v>181.209043658881j</v>
      </c>
      <c r="J76" t="str">
        <f t="shared" si="8"/>
        <v>107323.339993846-309523.89356302j</v>
      </c>
      <c r="K76">
        <f t="shared" si="10"/>
        <v>110.30694179824778</v>
      </c>
      <c r="L76">
        <f t="shared" si="11"/>
        <v>-70.876683929712414</v>
      </c>
      <c r="M76">
        <f t="shared" si="12"/>
        <v>107323.33999384601</v>
      </c>
      <c r="N76">
        <f t="shared" si="13"/>
        <v>-309523.89356301998</v>
      </c>
    </row>
    <row r="77" spans="7:14" x14ac:dyDescent="0.25">
      <c r="G77">
        <v>0.48</v>
      </c>
      <c r="H77">
        <f t="shared" si="7"/>
        <v>30.199517204020164</v>
      </c>
      <c r="I77" t="str">
        <f t="shared" si="9"/>
        <v>189.749162780217j</v>
      </c>
      <c r="J77" t="str">
        <f t="shared" si="8"/>
        <v>98813.1708783321-298411.005392398j</v>
      </c>
      <c r="K77">
        <f t="shared" si="10"/>
        <v>109.94814835868503</v>
      </c>
      <c r="L77">
        <f t="shared" si="11"/>
        <v>-71.678685802616144</v>
      </c>
      <c r="M77">
        <f t="shared" si="12"/>
        <v>98813.170878332094</v>
      </c>
      <c r="N77">
        <f t="shared" si="13"/>
        <v>-298411.00539239799</v>
      </c>
    </row>
    <row r="78" spans="7:14" x14ac:dyDescent="0.25">
      <c r="G78">
        <v>0.5</v>
      </c>
      <c r="H78">
        <f t="shared" si="7"/>
        <v>31.622776601683796</v>
      </c>
      <c r="I78" t="str">
        <f t="shared" si="9"/>
        <v>198.691765315922j</v>
      </c>
      <c r="J78" t="str">
        <f t="shared" si="8"/>
        <v>90909.0909090909-287479.787288034j</v>
      </c>
      <c r="K78">
        <f t="shared" si="10"/>
        <v>109.58607314841773</v>
      </c>
      <c r="L78">
        <f t="shared" si="11"/>
        <v>-72.451599386207675</v>
      </c>
      <c r="M78">
        <f t="shared" si="12"/>
        <v>90909.090909090897</v>
      </c>
      <c r="N78">
        <f t="shared" si="13"/>
        <v>-287479.78728803399</v>
      </c>
    </row>
    <row r="79" spans="7:14" x14ac:dyDescent="0.25">
      <c r="G79">
        <v>0.52</v>
      </c>
      <c r="H79">
        <f t="shared" si="7"/>
        <v>33.11311214825912</v>
      </c>
      <c r="I79" t="str">
        <f t="shared" si="9"/>
        <v>208.055819724932j</v>
      </c>
      <c r="J79" t="str">
        <f t="shared" si="8"/>
        <v>83578.6229304861-276754.831429426j</v>
      </c>
      <c r="K79">
        <f t="shared" si="10"/>
        <v>109.22095211284542</v>
      </c>
      <c r="L79">
        <f t="shared" si="11"/>
        <v>-73.195937352661531</v>
      </c>
      <c r="M79">
        <f t="shared" si="12"/>
        <v>83578.622930486104</v>
      </c>
      <c r="N79">
        <f t="shared" si="13"/>
        <v>-276754.83142942598</v>
      </c>
    </row>
    <row r="80" spans="7:14" x14ac:dyDescent="0.25">
      <c r="G80">
        <v>0.54</v>
      </c>
      <c r="H80">
        <f t="shared" si="7"/>
        <v>34.673685045253173</v>
      </c>
      <c r="I80" t="str">
        <f t="shared" si="9"/>
        <v>217.861188422107j</v>
      </c>
      <c r="J80" t="str">
        <f t="shared" si="8"/>
        <v>76789.3196971005-266256.868601651j</v>
      </c>
      <c r="K80">
        <f t="shared" si="10"/>
        <v>108.85300820042359</v>
      </c>
      <c r="L80">
        <f t="shared" si="11"/>
        <v>-73.912272107067082</v>
      </c>
      <c r="M80">
        <f t="shared" si="12"/>
        <v>76789.319697100495</v>
      </c>
      <c r="N80">
        <f t="shared" si="13"/>
        <v>-266256.86860165099</v>
      </c>
    </row>
    <row r="81" spans="7:14" x14ac:dyDescent="0.25">
      <c r="G81">
        <v>0.56000000000000005</v>
      </c>
      <c r="H81">
        <f t="shared" si="7"/>
        <v>36.307805477010142</v>
      </c>
      <c r="I81" t="str">
        <f t="shared" si="9"/>
        <v>228.128669909085j</v>
      </c>
      <c r="J81" t="str">
        <f t="shared" si="8"/>
        <v>70509.0956252294-256003.052832074j</v>
      </c>
      <c r="K81">
        <f t="shared" si="10"/>
        <v>108.48245144297078</v>
      </c>
      <c r="L81">
        <f t="shared" si="11"/>
        <v>-74.601225971393006</v>
      </c>
      <c r="M81">
        <f t="shared" si="12"/>
        <v>70509.095625229398</v>
      </c>
      <c r="N81">
        <f t="shared" si="13"/>
        <v>-256003.052832074</v>
      </c>
    </row>
    <row r="82" spans="7:14" x14ac:dyDescent="0.25">
      <c r="G82">
        <v>0.57999999999999996</v>
      </c>
      <c r="H82">
        <f t="shared" si="7"/>
        <v>38.018939632056117</v>
      </c>
      <c r="I82" t="str">
        <f t="shared" si="9"/>
        <v>238.880042890683j</v>
      </c>
      <c r="J82" t="str">
        <f t="shared" si="8"/>
        <v>64706.5009539215-246007.255356873j</v>
      </c>
      <c r="K82">
        <f t="shared" si="10"/>
        <v>108.10947915700895</v>
      </c>
      <c r="L82">
        <f t="shared" si="11"/>
        <v>-75.263462133643174</v>
      </c>
      <c r="M82">
        <f t="shared" si="12"/>
        <v>64706.500953921503</v>
      </c>
      <c r="N82">
        <f t="shared" si="13"/>
        <v>-246007.25535687301</v>
      </c>
    </row>
    <row r="83" spans="7:14" x14ac:dyDescent="0.25">
      <c r="G83">
        <v>0.6</v>
      </c>
      <c r="H83">
        <f t="shared" si="7"/>
        <v>39.810717055349727</v>
      </c>
      <c r="I83" t="str">
        <f t="shared" si="9"/>
        <v>250.138112470457j</v>
      </c>
      <c r="J83" t="str">
        <f t="shared" si="8"/>
        <v>59350.9431027677-236280.360283244j</v>
      </c>
      <c r="K83">
        <f t="shared" si="10"/>
        <v>107.73427624403897</v>
      </c>
      <c r="L83">
        <f t="shared" si="11"/>
        <v>-75.899676376410767</v>
      </c>
      <c r="M83">
        <f t="shared" si="12"/>
        <v>59350.943102767698</v>
      </c>
      <c r="N83">
        <f t="shared" si="13"/>
        <v>-236280.36028324399</v>
      </c>
    </row>
    <row r="84" spans="7:14" x14ac:dyDescent="0.25">
      <c r="G84">
        <v>0.62</v>
      </c>
      <c r="H84">
        <f t="shared" si="7"/>
        <v>41.686938347033546</v>
      </c>
      <c r="I84" t="str">
        <f t="shared" si="9"/>
        <v>261.926758523382j</v>
      </c>
      <c r="J84" t="str">
        <f t="shared" si="8"/>
        <v>54412.8604338753-226830.55581927j</v>
      </c>
      <c r="K84">
        <f t="shared" si="10"/>
        <v>107.35701556966276</v>
      </c>
      <c r="L84">
        <f t="shared" si="11"/>
        <v>-76.510589580899705</v>
      </c>
      <c r="M84">
        <f t="shared" si="12"/>
        <v>54412.860433875299</v>
      </c>
      <c r="N84">
        <f t="shared" si="13"/>
        <v>-226830.55581927</v>
      </c>
    </row>
    <row r="85" spans="7:14" x14ac:dyDescent="0.25">
      <c r="G85">
        <v>0.64</v>
      </c>
      <c r="H85">
        <f t="shared" si="7"/>
        <v>43.651583224016605</v>
      </c>
      <c r="I85" t="str">
        <f t="shared" si="9"/>
        <v>274.270986348268j</v>
      </c>
      <c r="J85" t="str">
        <f t="shared" si="8"/>
        <v>49863.8537789762-217663.616310317j</v>
      </c>
      <c r="K85">
        <f t="shared" si="10"/>
        <v>106.97785840358414</v>
      </c>
      <c r="L85">
        <f t="shared" si="11"/>
        <v>-77.096940988154216</v>
      </c>
      <c r="M85">
        <f t="shared" si="12"/>
        <v>49863.853778976198</v>
      </c>
      <c r="N85">
        <f t="shared" si="13"/>
        <v>-217663.61631031701</v>
      </c>
    </row>
    <row r="86" spans="7:14" x14ac:dyDescent="0.25">
      <c r="G86">
        <v>0.66</v>
      </c>
      <c r="H86">
        <f t="shared" si="7"/>
        <v>45.708818961487509</v>
      </c>
      <c r="I86" t="str">
        <f t="shared" si="9"/>
        <v>287.19697970735j</v>
      </c>
      <c r="J86" t="str">
        <f t="shared" si="8"/>
        <v>45676.7810396624-208783.171528543j</v>
      </c>
      <c r="K86">
        <f t="shared" si="10"/>
        <v>106.59695490466108</v>
      </c>
      <c r="L86">
        <f t="shared" si="11"/>
        <v>-77.659482188305091</v>
      </c>
      <c r="M86">
        <f t="shared" si="12"/>
        <v>45676.781039662397</v>
      </c>
      <c r="N86">
        <f t="shared" si="13"/>
        <v>-208783.171528543</v>
      </c>
    </row>
    <row r="87" spans="7:14" x14ac:dyDescent="0.25">
      <c r="G87">
        <v>0.68</v>
      </c>
      <c r="H87">
        <f t="shared" si="7"/>
        <v>47.863009232263842</v>
      </c>
      <c r="I87" t="str">
        <f t="shared" si="9"/>
        <v>300.732156365561j</v>
      </c>
      <c r="J87" t="str">
        <f t="shared" si="8"/>
        <v>41825.8199629895-200190.960703557j</v>
      </c>
      <c r="K87">
        <f t="shared" si="10"/>
        <v>106.21444463726748</v>
      </c>
      <c r="L87">
        <f t="shared" si="11"/>
        <v>-78.198971800672226</v>
      </c>
      <c r="M87">
        <f t="shared" si="12"/>
        <v>41825.819962989503</v>
      </c>
      <c r="N87">
        <f t="shared" si="13"/>
        <v>-200190.96070355701</v>
      </c>
    </row>
    <row r="88" spans="7:14" x14ac:dyDescent="0.25">
      <c r="G88">
        <v>0.7</v>
      </c>
      <c r="H88">
        <f t="shared" si="7"/>
        <v>50.118723362727231</v>
      </c>
      <c r="I88" t="str">
        <f t="shared" si="9"/>
        <v>314.905226247286j</v>
      </c>
      <c r="J88" t="str">
        <f t="shared" si="8"/>
        <v>38286.5038822548-191887.069660071j</v>
      </c>
      <c r="K88">
        <f t="shared" si="10"/>
        <v>105.83045710720468</v>
      </c>
      <c r="L88">
        <f t="shared" si="11"/>
        <v>-78.716170802132183</v>
      </c>
      <c r="M88">
        <f t="shared" si="12"/>
        <v>38286.503882254801</v>
      </c>
      <c r="N88">
        <f t="shared" si="13"/>
        <v>-191887.06966007099</v>
      </c>
    </row>
    <row r="89" spans="7:14" x14ac:dyDescent="0.25">
      <c r="G89">
        <v>0.72</v>
      </c>
      <c r="H89">
        <f t="shared" si="7"/>
        <v>52.480746024977265</v>
      </c>
      <c r="I89" t="str">
        <f t="shared" si="9"/>
        <v>329.746252333961j</v>
      </c>
      <c r="J89" t="str">
        <f t="shared" si="8"/>
        <v>35035.7348319862-183870.150151592j</v>
      </c>
      <c r="K89">
        <f t="shared" si="10"/>
        <v>105.44511230724413</v>
      </c>
      <c r="L89">
        <f t="shared" si="11"/>
        <v>-79.211838457831817</v>
      </c>
      <c r="M89">
        <f t="shared" si="12"/>
        <v>35035.734831986199</v>
      </c>
      <c r="N89">
        <f t="shared" si="13"/>
        <v>-183870.15015159201</v>
      </c>
    </row>
    <row r="90" spans="7:14" x14ac:dyDescent="0.25">
      <c r="G90">
        <v>0.74</v>
      </c>
      <c r="H90">
        <f t="shared" si="7"/>
        <v>54.954087385762456</v>
      </c>
      <c r="I90" t="str">
        <f t="shared" si="9"/>
        <v>345.286714431686j</v>
      </c>
      <c r="J90" t="str">
        <f t="shared" si="8"/>
        <v>32051.7780278711-176137.621061269j</v>
      </c>
      <c r="K90">
        <f t="shared" si="10"/>
        <v>105.05852126406309</v>
      </c>
      <c r="L90">
        <f t="shared" si="11"/>
        <v>-79.686728806723693</v>
      </c>
      <c r="M90">
        <f t="shared" si="12"/>
        <v>32051.7780278711</v>
      </c>
      <c r="N90">
        <f t="shared" si="13"/>
        <v>-176137.62106126899</v>
      </c>
    </row>
    <row r="91" spans="7:14" x14ac:dyDescent="0.25">
      <c r="G91">
        <v>0.76</v>
      </c>
      <c r="H91">
        <f t="shared" si="7"/>
        <v>57.543993733715709</v>
      </c>
      <c r="I91" t="str">
        <f t="shared" si="9"/>
        <v>361.559575944117j</v>
      </c>
      <c r="J91" t="str">
        <f t="shared" si="8"/>
        <v>29314.2412704503-168685.851597542j</v>
      </c>
      <c r="K91">
        <f t="shared" si="10"/>
        <v>104.67078657984536</v>
      </c>
      <c r="L91">
        <f t="shared" si="11"/>
        <v>-80.141587654159707</v>
      </c>
      <c r="M91">
        <f t="shared" si="12"/>
        <v>29314.2412704503</v>
      </c>
      <c r="N91">
        <f t="shared" si="13"/>
        <v>-168685.851597542</v>
      </c>
    </row>
    <row r="92" spans="7:14" x14ac:dyDescent="0.25">
      <c r="G92">
        <v>0.78</v>
      </c>
      <c r="H92">
        <f t="shared" si="7"/>
        <v>60.255958607435794</v>
      </c>
      <c r="I92" t="str">
        <f t="shared" si="9"/>
        <v>378.599353792262j</v>
      </c>
      <c r="J92" t="str">
        <f t="shared" si="8"/>
        <v>26804.0424038401-161510.326959775j</v>
      </c>
      <c r="K92">
        <f t="shared" si="10"/>
        <v>104.28200296315782</v>
      </c>
      <c r="L92">
        <f t="shared" si="11"/>
        <v>-80.57715002459561</v>
      </c>
      <c r="M92">
        <f t="shared" si="12"/>
        <v>26804.0424038401</v>
      </c>
      <c r="N92">
        <f t="shared" si="13"/>
        <v>-161510.326959775</v>
      </c>
    </row>
    <row r="93" spans="7:14" x14ac:dyDescent="0.25">
      <c r="G93">
        <v>0.8</v>
      </c>
      <c r="H93">
        <f t="shared" si="7"/>
        <v>63.095734448019343</v>
      </c>
      <c r="I93" t="str">
        <f t="shared" si="9"/>
        <v>396.4421916295j</v>
      </c>
      <c r="J93" t="str">
        <f t="shared" si="8"/>
        <v>24503.367550336-154605.797203821j</v>
      </c>
      <c r="K93">
        <f t="shared" si="10"/>
        <v>103.89225774488041</v>
      </c>
      <c r="L93">
        <f t="shared" si="11"/>
        <v>-80.99413802906848</v>
      </c>
      <c r="M93">
        <f t="shared" si="12"/>
        <v>24503.367550335999</v>
      </c>
      <c r="N93">
        <f t="shared" si="13"/>
        <v>-154605.79720382101</v>
      </c>
    </row>
    <row r="94" spans="7:14" x14ac:dyDescent="0.25">
      <c r="G94">
        <v>0.82</v>
      </c>
      <c r="H94">
        <f t="shared" si="7"/>
        <v>66.069344800759609</v>
      </c>
      <c r="I94" t="str">
        <f t="shared" si="9"/>
        <v>415.125936507115j</v>
      </c>
      <c r="J94" t="str">
        <f t="shared" si="8"/>
        <v>22395.6224571704-147966.410215043j</v>
      </c>
      <c r="K94">
        <f t="shared" si="10"/>
        <v>103.50163137598193</v>
      </c>
      <c r="L94">
        <f t="shared" si="11"/>
        <v>-81.393259104285974</v>
      </c>
      <c r="M94">
        <f t="shared" si="12"/>
        <v>22395.622457170401</v>
      </c>
      <c r="N94">
        <f t="shared" si="13"/>
        <v>-147966.410215043</v>
      </c>
    </row>
    <row r="95" spans="7:14" x14ac:dyDescent="0.25">
      <c r="G95">
        <v>0.84</v>
      </c>
      <c r="H95">
        <f t="shared" si="7"/>
        <v>69.183097091893671</v>
      </c>
      <c r="I95" t="str">
        <f t="shared" si="9"/>
        <v>434.690219152965j</v>
      </c>
      <c r="J95" t="str">
        <f t="shared" si="8"/>
        <v>20465.3789382195-141585.829810524j</v>
      </c>
      <c r="K95">
        <f t="shared" si="10"/>
        <v>103.1101979047917</v>
      </c>
      <c r="L95">
        <f t="shared" si="11"/>
        <v>-81.775204582720221</v>
      </c>
      <c r="M95">
        <f t="shared" si="12"/>
        <v>20465.378938219499</v>
      </c>
      <c r="N95">
        <f t="shared" si="13"/>
        <v>-141585.82981052401</v>
      </c>
    </row>
    <row r="96" spans="7:14" x14ac:dyDescent="0.25">
      <c r="G96">
        <v>0.86</v>
      </c>
      <c r="H96">
        <f t="shared" si="7"/>
        <v>72.443596007499025</v>
      </c>
      <c r="I96" t="str">
        <f t="shared" si="9"/>
        <v>455.176538033572j</v>
      </c>
      <c r="J96" t="str">
        <f t="shared" si="8"/>
        <v>18698.318073816-135457.340055925j</v>
      </c>
      <c r="K96">
        <f t="shared" si="10"/>
        <v>102.71802543215004</v>
      </c>
      <c r="L96">
        <f t="shared" si="11"/>
        <v>-82.14064855589416</v>
      </c>
      <c r="M96">
        <f t="shared" si="12"/>
        <v>18698.318073816001</v>
      </c>
      <c r="N96">
        <f t="shared" si="13"/>
        <v>-135457.34005592499</v>
      </c>
    </row>
    <row r="97" spans="7:14" x14ac:dyDescent="0.25">
      <c r="G97">
        <v>0.88</v>
      </c>
      <c r="H97">
        <f t="shared" si="7"/>
        <v>75.857757502918375</v>
      </c>
      <c r="I97" t="str">
        <f t="shared" si="9"/>
        <v>476.628347377929j</v>
      </c>
      <c r="J97" t="str">
        <f t="shared" si="8"/>
        <v>17081.1715467935-129573.936906241j</v>
      </c>
      <c r="K97">
        <f t="shared" si="10"/>
        <v>102.32517654342382</v>
      </c>
      <c r="L97">
        <f t="shared" si="11"/>
        <v>-82.490246995946748</v>
      </c>
      <c r="M97">
        <f t="shared" si="12"/>
        <v>17081.171546793499</v>
      </c>
      <c r="N97">
        <f t="shared" si="13"/>
        <v>-129573.936906241</v>
      </c>
    </row>
    <row r="98" spans="7:14" x14ac:dyDescent="0.25">
      <c r="G98">
        <v>0.9</v>
      </c>
      <c r="H98">
        <f t="shared" si="7"/>
        <v>79.432823472428169</v>
      </c>
      <c r="I98" t="str">
        <f t="shared" si="9"/>
        <v>499.09114934975j</v>
      </c>
      <c r="J98" t="str">
        <f t="shared" si="8"/>
        <v>15601.6622418296-123928.40827317j</v>
      </c>
      <c r="K98">
        <f t="shared" si="10"/>
        <v>101.93170871687548</v>
      </c>
      <c r="L98">
        <f t="shared" si="11"/>
        <v>-82.824637103490318</v>
      </c>
      <c r="M98">
        <f t="shared" si="12"/>
        <v>15601.662241829599</v>
      </c>
      <c r="N98">
        <f t="shared" si="13"/>
        <v>-123928.40827317</v>
      </c>
    </row>
    <row r="99" spans="7:14" x14ac:dyDescent="0.25">
      <c r="G99">
        <v>0.92</v>
      </c>
      <c r="H99">
        <f t="shared" si="7"/>
        <v>83.176377110267111</v>
      </c>
      <c r="I99" t="str">
        <f t="shared" si="9"/>
        <v>522.612590563659j</v>
      </c>
      <c r="J99" t="str">
        <f t="shared" si="8"/>
        <v>14248.4450164782-118513.40359255j</v>
      </c>
      <c r="K99">
        <f t="shared" si="10"/>
        <v>101.53767470827918</v>
      </c>
      <c r="L99">
        <f t="shared" si="11"/>
        <v>-83.144436852646692</v>
      </c>
      <c r="M99">
        <f t="shared" si="12"/>
        <v>14248.445016478199</v>
      </c>
      <c r="N99">
        <f t="shared" si="13"/>
        <v>-118513.40359255001</v>
      </c>
    </row>
    <row r="100" spans="7:14" x14ac:dyDescent="0.25">
      <c r="G100">
        <v>0.94</v>
      </c>
      <c r="H100">
        <f t="shared" si="7"/>
        <v>87.096358995608057</v>
      </c>
      <c r="I100" t="str">
        <f t="shared" si="9"/>
        <v>547.242563150043j</v>
      </c>
      <c r="J100" t="str">
        <f t="shared" si="8"/>
        <v>13011.0483637521-113321.493919857j</v>
      </c>
      <c r="K100">
        <f t="shared" si="10"/>
        <v>101.14312291200267</v>
      </c>
      <c r="L100">
        <f t="shared" si="11"/>
        <v>-83.450244706925886</v>
      </c>
      <c r="M100">
        <f t="shared" si="12"/>
        <v>13011.048363752099</v>
      </c>
      <c r="N100">
        <f t="shared" si="13"/>
        <v>-113321.49391985701</v>
      </c>
    </row>
    <row r="101" spans="7:14" x14ac:dyDescent="0.25">
      <c r="G101">
        <v>0.96</v>
      </c>
      <c r="H101">
        <f t="shared" si="7"/>
        <v>91.201083935590987</v>
      </c>
      <c r="I101" t="str">
        <f t="shared" si="9"/>
        <v>573.033310582957j</v>
      </c>
      <c r="J101" t="str">
        <f t="shared" si="8"/>
        <v>11879.8175251716-108345.223525268j</v>
      </c>
      <c r="K101">
        <f t="shared" si="10"/>
        <v>100.7480976990278</v>
      </c>
      <c r="L101">
        <f t="shared" si="11"/>
        <v>-83.742639482249345</v>
      </c>
      <c r="M101">
        <f t="shared" si="12"/>
        <v>11879.8175251716</v>
      </c>
      <c r="N101">
        <f t="shared" si="13"/>
        <v>-108345.223525268</v>
      </c>
    </row>
    <row r="102" spans="7:14" x14ac:dyDescent="0.25">
      <c r="G102">
        <v>0.98</v>
      </c>
      <c r="H102">
        <f t="shared" si="7"/>
        <v>95.499258602143584</v>
      </c>
      <c r="I102" t="str">
        <f t="shared" si="9"/>
        <v>600.039538495532j</v>
      </c>
      <c r="J102" t="str">
        <f t="shared" si="8"/>
        <v>10845.8594770813-103577.15389643j</v>
      </c>
      <c r="K102">
        <f t="shared" si="10"/>
        <v>100.35263973257882</v>
      </c>
      <c r="L102">
        <f t="shared" si="11"/>
        <v>-84.022180335901268</v>
      </c>
      <c r="M102">
        <f t="shared" si="12"/>
        <v>10845.8594770813</v>
      </c>
      <c r="N102">
        <f t="shared" si="13"/>
        <v>-103577.15389643</v>
      </c>
    </row>
    <row r="103" spans="7:14" x14ac:dyDescent="0.25">
      <c r="G103">
        <v>1</v>
      </c>
      <c r="H103">
        <f t="shared" si="7"/>
        <v>100</v>
      </c>
      <c r="I103" t="str">
        <f t="shared" si="9"/>
        <v>628.318530717959j</v>
      </c>
      <c r="J103" t="str">
        <f t="shared" si="8"/>
        <v>9900.9900990099-99009.900990099j</v>
      </c>
      <c r="K103">
        <f t="shared" si="10"/>
        <v>99.956786262173566</v>
      </c>
      <c r="L103">
        <f t="shared" si="11"/>
        <v>-84.289406862500371</v>
      </c>
      <c r="M103">
        <f t="shared" si="12"/>
        <v>9900.9900990098995</v>
      </c>
      <c r="N103">
        <f t="shared" si="13"/>
        <v>-99009.900990099006</v>
      </c>
    </row>
    <row r="104" spans="7:14" x14ac:dyDescent="0.25">
      <c r="G104">
        <v>1.02</v>
      </c>
      <c r="H104">
        <f t="shared" si="7"/>
        <v>104.71285480508999</v>
      </c>
      <c r="I104" t="str">
        <f t="shared" si="9"/>
        <v>657.930270784171j</v>
      </c>
      <c r="J104" t="str">
        <f t="shared" si="8"/>
        <v>9037.68373823964-94636.166505661j</v>
      </c>
      <c r="K104">
        <f t="shared" si="10"/>
        <v>99.560571397014741</v>
      </c>
      <c r="L104">
        <f t="shared" si="11"/>
        <v>-84.544839280213253</v>
      </c>
      <c r="M104">
        <f t="shared" si="12"/>
        <v>9037.6837382396407</v>
      </c>
      <c r="N104">
        <f t="shared" si="13"/>
        <v>-94636.166505661007</v>
      </c>
    </row>
    <row r="105" spans="7:14" x14ac:dyDescent="0.25">
      <c r="G105">
        <v>1.04</v>
      </c>
      <c r="H105">
        <f t="shared" si="7"/>
        <v>109.64781961431854</v>
      </c>
      <c r="I105" t="str">
        <f t="shared" si="9"/>
        <v>688.937569164964j</v>
      </c>
      <c r="J105" t="str">
        <f t="shared" si="8"/>
        <v>8249.02530705347-90448.7638861752j</v>
      </c>
      <c r="K105">
        <f t="shared" si="10"/>
        <v>99.164026359710505</v>
      </c>
      <c r="L105">
        <f t="shared" si="11"/>
        <v>-84.788978692381249</v>
      </c>
      <c r="M105">
        <f t="shared" si="12"/>
        <v>8249.0253070534709</v>
      </c>
      <c r="N105">
        <f t="shared" si="13"/>
        <v>-90448.763886175206</v>
      </c>
    </row>
    <row r="106" spans="7:14" x14ac:dyDescent="0.25">
      <c r="G106">
        <v>1.06</v>
      </c>
      <c r="H106">
        <f t="shared" si="7"/>
        <v>114.81536214968834</v>
      </c>
      <c r="I106" t="str">
        <f t="shared" si="9"/>
        <v>721.406196497425j</v>
      </c>
      <c r="J106" t="str">
        <f t="shared" si="8"/>
        <v>7528.66498600894-86440.6396872292j</v>
      </c>
      <c r="K106">
        <f t="shared" si="10"/>
        <v>98.767179721353813</v>
      </c>
      <c r="L106">
        <f t="shared" si="11"/>
        <v>-85.022307411507711</v>
      </c>
      <c r="M106">
        <f t="shared" si="12"/>
        <v>7528.6649860089401</v>
      </c>
      <c r="N106">
        <f t="shared" si="13"/>
        <v>-86440.639687229195</v>
      </c>
    </row>
    <row r="107" spans="7:14" x14ac:dyDescent="0.25">
      <c r="G107">
        <v>1.08</v>
      </c>
      <c r="H107">
        <f t="shared" si="7"/>
        <v>120.22644346174133</v>
      </c>
      <c r="I107" t="str">
        <f t="shared" si="9"/>
        <v>755.40502309327j</v>
      </c>
      <c r="J107" t="str">
        <f t="shared" si="8"/>
        <v>6870.775555951-82604.8908915855j</v>
      </c>
      <c r="K107">
        <f t="shared" si="10"/>
        <v>98.370057619008207</v>
      </c>
      <c r="L107">
        <f t="shared" si="11"/>
        <v>-85.245289334159821</v>
      </c>
      <c r="M107">
        <f t="shared" si="12"/>
        <v>6870.7755559509997</v>
      </c>
      <c r="N107">
        <f t="shared" si="13"/>
        <v>-82604.890891585499</v>
      </c>
    </row>
    <row r="108" spans="7:14" x14ac:dyDescent="0.25">
      <c r="G108">
        <v>1.1000000000000001</v>
      </c>
      <c r="H108">
        <f t="shared" si="7"/>
        <v>125.8925411794168</v>
      </c>
      <c r="I108" t="str">
        <f t="shared" si="9"/>
        <v>791.006165022013j</v>
      </c>
      <c r="J108" t="str">
        <f t="shared" si="8"/>
        <v>6270.01234143381-78934.7786889409j</v>
      </c>
      <c r="K108">
        <f t="shared" si="10"/>
        <v>97.972683956650584</v>
      </c>
      <c r="L108">
        <f t="shared" si="11"/>
        <v>-85.45837035678413</v>
      </c>
      <c r="M108">
        <f t="shared" si="12"/>
        <v>6270.0123414338104</v>
      </c>
      <c r="N108">
        <f t="shared" si="13"/>
        <v>-78934.778688940904</v>
      </c>
    </row>
    <row r="109" spans="7:14" x14ac:dyDescent="0.25">
      <c r="G109">
        <v>1.1200000000000001</v>
      </c>
      <c r="H109">
        <f t="shared" si="7"/>
        <v>131.82567385564076</v>
      </c>
      <c r="I109" t="str">
        <f t="shared" si="9"/>
        <v>828.28513707881j</v>
      </c>
      <c r="J109" t="str">
        <f t="shared" si="8"/>
        <v>5721.47571709036-75423.7391854123j</v>
      </c>
      <c r="K109">
        <f t="shared" si="10"/>
        <v>97.575080590605523</v>
      </c>
      <c r="L109">
        <f t="shared" si="11"/>
        <v>-85.661978823734188</v>
      </c>
      <c r="M109">
        <f t="shared" si="12"/>
        <v>5721.4757170903604</v>
      </c>
      <c r="N109">
        <f t="shared" si="13"/>
        <v>-75423.739185412298</v>
      </c>
    </row>
    <row r="110" spans="7:14" x14ac:dyDescent="0.25">
      <c r="G110">
        <v>1.1399999999999999</v>
      </c>
      <c r="H110">
        <f t="shared" si="7"/>
        <v>138.03842646028852</v>
      </c>
      <c r="I110" t="str">
        <f t="shared" si="9"/>
        <v>867.321012961475j</v>
      </c>
      <c r="J110" t="str">
        <f t="shared" si="8"/>
        <v>5220.67610482409-72065.3914568749j</v>
      </c>
      <c r="K110">
        <f t="shared" si="10"/>
        <v>97.17726750048287</v>
      </c>
      <c r="L110">
        <f t="shared" si="11"/>
        <v>-85.856525999966166</v>
      </c>
      <c r="M110">
        <f t="shared" si="12"/>
        <v>5220.6761048240896</v>
      </c>
      <c r="N110">
        <f t="shared" si="13"/>
        <v>-72065.391456874902</v>
      </c>
    </row>
    <row r="111" spans="7:14" x14ac:dyDescent="0.25">
      <c r="G111">
        <v>1.1599999999999999</v>
      </c>
      <c r="H111">
        <f t="shared" si="7"/>
        <v>144.54397707459276</v>
      </c>
      <c r="I111" t="str">
        <f t="shared" si="9"/>
        <v>908.196592996384j</v>
      </c>
      <c r="J111" t="str">
        <f t="shared" si="8"/>
        <v>4763.50137221076-68853.5433139625j</v>
      </c>
      <c r="K111">
        <f t="shared" si="10"/>
        <v>96.779262946598294</v>
      </c>
      <c r="L111">
        <f t="shared" si="11"/>
        <v>-86.042406561888171</v>
      </c>
      <c r="M111">
        <f t="shared" si="12"/>
        <v>4763.5013722107597</v>
      </c>
      <c r="N111">
        <f t="shared" si="13"/>
        <v>-68853.543313962495</v>
      </c>
    </row>
    <row r="112" spans="7:14" x14ac:dyDescent="0.25">
      <c r="G112">
        <v>1.18</v>
      </c>
      <c r="H112">
        <f t="shared" si="7"/>
        <v>151.35612484362088</v>
      </c>
      <c r="I112" t="str">
        <f t="shared" si="9"/>
        <v>950.998579769078j</v>
      </c>
      <c r="J112" t="str">
        <f t="shared" si="8"/>
        <v>4346.18653009908-65782.195104334j</v>
      </c>
      <c r="K112">
        <f t="shared" si="10"/>
        <v>96.381083614815921</v>
      </c>
      <c r="L112">
        <f t="shared" si="11"/>
        <v>-86.219999100764738</v>
      </c>
      <c r="M112">
        <f t="shared" si="12"/>
        <v>4346.1865300990803</v>
      </c>
      <c r="N112">
        <f t="shared" si="13"/>
        <v>-65782.195104333994</v>
      </c>
    </row>
    <row r="113" spans="7:14" x14ac:dyDescent="0.25">
      <c r="G113">
        <v>1.2</v>
      </c>
      <c r="H113">
        <f t="shared" si="7"/>
        <v>158.48931924611136</v>
      </c>
      <c r="I113" t="str">
        <f t="shared" si="9"/>
        <v>995.817762032062j</v>
      </c>
      <c r="J113" t="str">
        <f t="shared" si="8"/>
        <v>3965.28561915222-62845.5418395829j</v>
      </c>
      <c r="K113">
        <f t="shared" si="10"/>
        <v>95.982744749712083</v>
      </c>
      <c r="L113">
        <f t="shared" si="11"/>
        <v>-86.389666633884048</v>
      </c>
      <c r="M113">
        <f t="shared" si="12"/>
        <v>3965.2856191522201</v>
      </c>
      <c r="N113">
        <f t="shared" si="13"/>
        <v>-62845.541839582897</v>
      </c>
    </row>
    <row r="114" spans="7:14" x14ac:dyDescent="0.25">
      <c r="G114">
        <v>1.22</v>
      </c>
      <c r="H114">
        <f t="shared" si="7"/>
        <v>165.95869074375614</v>
      </c>
      <c r="I114" t="str">
        <f t="shared" si="9"/>
        <v>1042.74920727993j</v>
      </c>
      <c r="J114" t="str">
        <f t="shared" si="8"/>
        <v>3617.64567017328-60037.9738996775j</v>
      </c>
      <c r="K114">
        <f t="shared" si="10"/>
        <v>95.584260276912005</v>
      </c>
      <c r="L114">
        <f t="shared" si="11"/>
        <v>-86.55175711940862</v>
      </c>
      <c r="M114">
        <f t="shared" si="12"/>
        <v>3617.64567017328</v>
      </c>
      <c r="N114">
        <f t="shared" si="13"/>
        <v>-60037.973899677498</v>
      </c>
    </row>
    <row r="115" spans="7:14" x14ac:dyDescent="0.25">
      <c r="G115">
        <v>1.24</v>
      </c>
      <c r="H115">
        <f t="shared" si="7"/>
        <v>173.78008287493756</v>
      </c>
      <c r="I115" t="str">
        <f t="shared" si="9"/>
        <v>1091.89246340026j</v>
      </c>
      <c r="J115" t="str">
        <f t="shared" si="8"/>
        <v>3300.38262084029-57354.076536863j</v>
      </c>
      <c r="K115">
        <f t="shared" si="10"/>
        <v>95.185642915406106</v>
      </c>
      <c r="L115">
        <f t="shared" si="11"/>
        <v>-86.706603971455039</v>
      </c>
      <c r="M115">
        <f t="shared" si="12"/>
        <v>3300.3826208402902</v>
      </c>
      <c r="N115">
        <f t="shared" si="13"/>
        <v>-57354.076536863002</v>
      </c>
    </row>
    <row r="116" spans="7:14" x14ac:dyDescent="0.25">
      <c r="G116">
        <v>1.26</v>
      </c>
      <c r="H116">
        <f t="shared" si="7"/>
        <v>181.97008586099841</v>
      </c>
      <c r="I116" t="str">
        <f t="shared" si="9"/>
        <v>1143.35176982803j</v>
      </c>
      <c r="J116" t="str">
        <f t="shared" si="8"/>
        <v>3010.85907136956-54788.6283732483j</v>
      </c>
      <c r="K116">
        <f t="shared" si="10"/>
        <v>94.78690428060446</v>
      </c>
      <c r="L116">
        <f t="shared" si="11"/>
        <v>-86.854526572497406</v>
      </c>
      <c r="M116">
        <f t="shared" si="12"/>
        <v>3010.8590713695598</v>
      </c>
      <c r="N116">
        <f t="shared" si="13"/>
        <v>-54788.628373248299</v>
      </c>
    </row>
    <row r="117" spans="7:14" x14ac:dyDescent="0.25">
      <c r="G117">
        <v>1.28</v>
      </c>
      <c r="H117">
        <f t="shared" si="7"/>
        <v>190.54607179632478</v>
      </c>
      <c r="I117" t="str">
        <f t="shared" si="9"/>
        <v>1197.23627865145j</v>
      </c>
      <c r="J117" t="str">
        <f t="shared" si="8"/>
        <v>2746.66376316326-52336.5990616069j</v>
      </c>
      <c r="K117">
        <f t="shared" si="10"/>
        <v>94.388054978841879</v>
      </c>
      <c r="L117">
        <f t="shared" si="11"/>
        <v>-86.995830780667774</v>
      </c>
      <c r="M117">
        <f t="shared" si="12"/>
        <v>2746.6637631632598</v>
      </c>
      <c r="N117">
        <f t="shared" si="13"/>
        <v>-52336.599061606903</v>
      </c>
    </row>
    <row r="118" spans="7:14" x14ac:dyDescent="0.25">
      <c r="G118">
        <v>1.3</v>
      </c>
      <c r="H118">
        <f t="shared" si="7"/>
        <v>199.52623149688804</v>
      </c>
      <c r="I118" t="str">
        <f t="shared" si="9"/>
        <v>1253.66028613816j</v>
      </c>
      <c r="J118" t="str">
        <f t="shared" si="8"/>
        <v>2505.59266728573-49993.1462569759j</v>
      </c>
      <c r="K118">
        <f t="shared" si="10"/>
        <v>93.989104694000389</v>
      </c>
      <c r="L118">
        <f t="shared" si="11"/>
        <v>-87.130809429944989</v>
      </c>
      <c r="M118">
        <f t="shared" si="12"/>
        <v>2505.5926672857299</v>
      </c>
      <c r="N118">
        <f t="shared" si="13"/>
        <v>-49993.146256975902</v>
      </c>
    </row>
    <row r="119" spans="7:14" x14ac:dyDescent="0.25">
      <c r="G119">
        <v>1.32</v>
      </c>
      <c r="H119">
        <f t="shared" si="7"/>
        <v>208.92961308540401</v>
      </c>
      <c r="I119" t="str">
        <f t="shared" si="9"/>
        <v>1312.74347517293j</v>
      </c>
      <c r="J119" t="str">
        <f t="shared" si="8"/>
        <v>2285.63157333026-47753.6120271677j</v>
      </c>
      <c r="K119">
        <f t="shared" si="10"/>
        <v>93.590062266870774</v>
      </c>
      <c r="L119">
        <f t="shared" si="11"/>
        <v>-87.259742821586343</v>
      </c>
      <c r="M119">
        <f t="shared" si="12"/>
        <v>2285.6315733302599</v>
      </c>
      <c r="N119">
        <f t="shared" si="13"/>
        <v>-47753.612027167699</v>
      </c>
    </row>
    <row r="120" spans="7:14" x14ac:dyDescent="0.25">
      <c r="G120">
        <v>1.34</v>
      </c>
      <c r="H120">
        <f t="shared" si="7"/>
        <v>218.77616239495538</v>
      </c>
      <c r="I120" t="str">
        <f t="shared" si="9"/>
        <v>1374.61116912112j</v>
      </c>
      <c r="J120" t="str">
        <f t="shared" si="8"/>
        <v>2084.94007362514-45613.5188131165j</v>
      </c>
      <c r="K120">
        <f t="shared" si="10"/>
        <v>93.190935767831874</v>
      </c>
      <c r="L120">
        <f t="shared" si="11"/>
        <v>-87.382899205471787</v>
      </c>
      <c r="M120">
        <f t="shared" si="12"/>
        <v>2084.94007362514</v>
      </c>
      <c r="N120">
        <f t="shared" si="13"/>
        <v>-45613.518813116498</v>
      </c>
    </row>
    <row r="121" spans="7:14" x14ac:dyDescent="0.25">
      <c r="G121">
        <v>1.36</v>
      </c>
      <c r="H121">
        <f t="shared" si="7"/>
        <v>229.08676527677738</v>
      </c>
      <c r="I121" t="str">
        <f t="shared" si="9"/>
        <v>1439.39459765635j</v>
      </c>
      <c r="J121" t="str">
        <f t="shared" si="8"/>
        <v>1901.83684256775-43568.5650348046j</v>
      </c>
      <c r="K121">
        <f t="shared" si="10"/>
        <v>92.791732563385821</v>
      </c>
      <c r="L121">
        <f t="shared" si="11"/>
        <v>-87.50053525030205</v>
      </c>
      <c r="M121">
        <f t="shared" si="12"/>
        <v>1901.83684256775</v>
      </c>
      <c r="N121">
        <f t="shared" si="13"/>
        <v>-43568.565034804597</v>
      </c>
    </row>
    <row r="122" spans="7:14" x14ac:dyDescent="0.25">
      <c r="G122">
        <v>1.38</v>
      </c>
      <c r="H122">
        <f t="shared" si="7"/>
        <v>239.88329190194906</v>
      </c>
      <c r="I122" t="str">
        <f t="shared" si="9"/>
        <v>1507.2311751162j</v>
      </c>
      <c r="J122" t="str">
        <f t="shared" si="8"/>
        <v>1734.78611599929-41614.6204251706j</v>
      </c>
      <c r="K122">
        <f t="shared" si="10"/>
        <v>92.392459377048638</v>
      </c>
      <c r="L122">
        <f t="shared" si="11"/>
        <v>-87.612896501826938</v>
      </c>
      <c r="M122">
        <f t="shared" si="12"/>
        <v>1734.7861159992899</v>
      </c>
      <c r="N122">
        <f t="shared" si="13"/>
        <v>-41614.6204251706</v>
      </c>
    </row>
    <row r="123" spans="7:14" x14ac:dyDescent="0.25">
      <c r="G123">
        <v>1.4</v>
      </c>
      <c r="H123">
        <f t="shared" si="7"/>
        <v>251.188643150958</v>
      </c>
      <c r="I123" t="str">
        <f t="shared" si="9"/>
        <v>1578.26479197648j</v>
      </c>
      <c r="J123" t="str">
        <f t="shared" si="8"/>
        <v>1582.38528080171-39747.721162663j</v>
      </c>
      <c r="K123">
        <f t="shared" si="10"/>
        <v>91.993122345056776</v>
      </c>
      <c r="L123">
        <f t="shared" si="11"/>
        <v>-87.720217828482106</v>
      </c>
      <c r="M123">
        <f t="shared" si="12"/>
        <v>1582.38528080171</v>
      </c>
      <c r="N123">
        <f t="shared" si="13"/>
        <v>-39747.721162663001</v>
      </c>
    </row>
    <row r="124" spans="7:14" x14ac:dyDescent="0.25">
      <c r="G124">
        <v>1.42</v>
      </c>
      <c r="H124">
        <f t="shared" si="7"/>
        <v>263.02679918953822</v>
      </c>
      <c r="I124" t="str">
        <f t="shared" si="9"/>
        <v>1652.64612006218j</v>
      </c>
      <c r="J124" t="str">
        <f t="shared" si="8"/>
        <v>1443.35349020794-37964.0648628442j</v>
      </c>
      <c r="K124">
        <f t="shared" si="10"/>
        <v>91.593727067318227</v>
      </c>
      <c r="L124">
        <f t="shared" si="11"/>
        <v>-87.822723853984201</v>
      </c>
      <c r="M124">
        <f t="shared" si="12"/>
        <v>1443.35349020794</v>
      </c>
      <c r="N124">
        <f t="shared" si="13"/>
        <v>-37964.0648628442</v>
      </c>
    </row>
    <row r="125" spans="7:14" x14ac:dyDescent="0.25">
      <c r="G125">
        <v>1.44</v>
      </c>
      <c r="H125">
        <f t="shared" si="7"/>
        <v>275.42287033381666</v>
      </c>
      <c r="I125" t="str">
        <f t="shared" si="9"/>
        <v>1730.53293214267j</v>
      </c>
      <c r="J125" t="str">
        <f t="shared" si="8"/>
        <v>1316.52122557933-36260.0054804454j</v>
      </c>
      <c r="K125">
        <f t="shared" si="10"/>
        <v>91.19427865400057</v>
      </c>
      <c r="L125">
        <f t="shared" si="11"/>
        <v>-87.920629376582866</v>
      </c>
      <c r="M125">
        <f t="shared" si="12"/>
        <v>1316.5212255793299</v>
      </c>
      <c r="N125">
        <f t="shared" si="13"/>
        <v>-36260.005480445398</v>
      </c>
    </row>
    <row r="126" spans="7:14" x14ac:dyDescent="0.25">
      <c r="G126">
        <v>1.46</v>
      </c>
      <c r="H126">
        <f t="shared" si="7"/>
        <v>288.40315031266067</v>
      </c>
      <c r="I126" t="str">
        <f t="shared" si="9"/>
        <v>1812.09043658882j</v>
      </c>
      <c r="J126" t="str">
        <f t="shared" si="8"/>
        <v>1200.8207305607-34632.0481654458j</v>
      </c>
      <c r="K126">
        <f t="shared" si="10"/>
        <v>90.794781768121666</v>
      </c>
      <c r="L126">
        <f t="shared" si="11"/>
        <v>-88.01413977479163</v>
      </c>
      <c r="M126">
        <f t="shared" si="12"/>
        <v>1200.8207305607</v>
      </c>
      <c r="N126">
        <f t="shared" si="13"/>
        <v>-34632.048165445798</v>
      </c>
    </row>
    <row r="127" spans="7:14" x14ac:dyDescent="0.25">
      <c r="G127">
        <v>1.48</v>
      </c>
      <c r="H127">
        <f t="shared" si="7"/>
        <v>301.99517204020162</v>
      </c>
      <c r="I127" t="str">
        <f t="shared" si="9"/>
        <v>1897.49162780217j</v>
      </c>
      <c r="J127" t="str">
        <f t="shared" si="8"/>
        <v>1095.27724852145-33076.8441098953j</v>
      </c>
      <c r="K127">
        <f t="shared" si="10"/>
        <v>90.395240664476106</v>
      </c>
      <c r="L127">
        <f t="shared" si="11"/>
        <v>-88.10345139952689</v>
      </c>
      <c r="M127">
        <f t="shared" si="12"/>
        <v>1095.27724852145</v>
      </c>
      <c r="N127">
        <f t="shared" si="13"/>
        <v>-33076.844109895297</v>
      </c>
    </row>
    <row r="128" spans="7:14" x14ac:dyDescent="0.25">
      <c r="G128">
        <v>1.5</v>
      </c>
      <c r="H128">
        <f t="shared" si="7"/>
        <v>316.22776601683802</v>
      </c>
      <c r="I128" t="str">
        <f t="shared" si="9"/>
        <v>1986.91765315922j</v>
      </c>
      <c r="J128" t="str">
        <f t="shared" si="8"/>
        <v>999.000999000999-31591.1854162675j</v>
      </c>
      <c r="K128">
        <f t="shared" si="10"/>
        <v>89.995659225206808</v>
      </c>
      <c r="L128">
        <f t="shared" si="11"/>
        <v>-88.188751952672035</v>
      </c>
      <c r="M128">
        <f t="shared" si="12"/>
        <v>999.00099900099895</v>
      </c>
      <c r="N128">
        <f t="shared" si="13"/>
        <v>-31591.185416267501</v>
      </c>
    </row>
    <row r="129" spans="7:14" x14ac:dyDescent="0.25">
      <c r="G129">
        <v>1.52</v>
      </c>
      <c r="H129">
        <f t="shared" si="7"/>
        <v>331.13112148259125</v>
      </c>
      <c r="I129" t="str">
        <f t="shared" si="9"/>
        <v>2080.55819724932j</v>
      </c>
      <c r="J129" t="str">
        <f t="shared" si="8"/>
        <v>911.179833471177-30172.0000129632j</v>
      </c>
      <c r="K129">
        <f t="shared" si="10"/>
        <v>89.596040992304964</v>
      </c>
      <c r="L129">
        <f t="shared" si="11"/>
        <v>-88.270220852158374</v>
      </c>
      <c r="M129">
        <f t="shared" si="12"/>
        <v>911.17983347117695</v>
      </c>
      <c r="N129">
        <f t="shared" si="13"/>
        <v>-30172.000012963199</v>
      </c>
    </row>
    <row r="130" spans="7:14" x14ac:dyDescent="0.25">
      <c r="G130">
        <v>1.54</v>
      </c>
      <c r="H130">
        <f t="shared" si="7"/>
        <v>346.73685045253183</v>
      </c>
      <c r="I130" t="str">
        <f t="shared" si="9"/>
        <v>2178.61188422107j</v>
      </c>
      <c r="J130" t="str">
        <f t="shared" si="8"/>
        <v>831.07251509346-28816.346638117j</v>
      </c>
      <c r="K130">
        <f t="shared" si="10"/>
        <v>89.196389197298998</v>
      </c>
      <c r="L130">
        <f t="shared" si="11"/>
        <v>-88.348029583716325</v>
      </c>
      <c r="M130">
        <f t="shared" si="12"/>
        <v>831.07251509345997</v>
      </c>
      <c r="N130">
        <f t="shared" si="13"/>
        <v>-28816.346638117</v>
      </c>
    </row>
    <row r="131" spans="7:14" x14ac:dyDescent="0.25">
      <c r="G131">
        <v>1.56</v>
      </c>
      <c r="H131">
        <f t="shared" ref="H131:H194" si="14">$B$3*10^G131</f>
        <v>363.07805477010157</v>
      </c>
      <c r="I131" t="str">
        <f t="shared" si="9"/>
        <v>2281.28669909085j</v>
      </c>
      <c r="J131" t="str">
        <f t="shared" ref="J131:J194" si="15">IMDIV(Aolv,IMSUM(1,IMDIV(I131,wc)))</f>
        <v>758.002571276796-27521.4099089915j</v>
      </c>
      <c r="K131">
        <f t="shared" si="10"/>
        <v>88.796706788371068</v>
      </c>
      <c r="L131">
        <f t="shared" si="11"/>
        <v>-88.422342039500492</v>
      </c>
      <c r="M131">
        <f t="shared" si="12"/>
        <v>758.00257127679595</v>
      </c>
      <c r="N131">
        <f t="shared" si="13"/>
        <v>-27521.4099089915</v>
      </c>
    </row>
    <row r="132" spans="7:14" x14ac:dyDescent="0.25">
      <c r="G132">
        <v>1.58</v>
      </c>
      <c r="H132">
        <f t="shared" si="14"/>
        <v>380.1893963205614</v>
      </c>
      <c r="I132" t="str">
        <f t="shared" ref="I132:I195" si="16">COMPLEX(0,H132*2*PI(),"j")</f>
        <v>2388.80042890683j</v>
      </c>
      <c r="J132" t="str">
        <f t="shared" si="15"/>
        <v>691.352671728804-26284.4954909182j</v>
      </c>
      <c r="K132">
        <f t="shared" ref="K132:K195" si="17">20*LOG(IMABS(J132))</f>
        <v>88.396996455122121</v>
      </c>
      <c r="L132">
        <f t="shared" ref="L132:L195" si="18">DEGREES(IMARGUMENT(J132))</f>
        <v>-88.493314843833403</v>
      </c>
      <c r="M132">
        <f t="shared" ref="M132:M195" si="19">IMREAL(J132)</f>
        <v>691.35267172880401</v>
      </c>
      <c r="N132">
        <f t="shared" ref="N132:N195" si="20">IMAGINARY(J132)</f>
        <v>-26284.495490918202</v>
      </c>
    </row>
    <row r="133" spans="7:14" x14ac:dyDescent="0.25">
      <c r="G133">
        <v>1.6</v>
      </c>
      <c r="H133">
        <f t="shared" si="14"/>
        <v>398.10717055349755</v>
      </c>
      <c r="I133" t="str">
        <f t="shared" si="16"/>
        <v>2501.38112470457j</v>
      </c>
      <c r="J133" t="str">
        <f t="shared" si="15"/>
        <v>630.559488339894-25103.0253768656j</v>
      </c>
      <c r="K133">
        <f t="shared" si="17"/>
        <v>87.997260651185044</v>
      </c>
      <c r="L133">
        <f t="shared" si="18"/>
        <v>-88.561097666346328</v>
      </c>
      <c r="M133">
        <f t="shared" si="19"/>
        <v>630.55948833989396</v>
      </c>
      <c r="N133">
        <f t="shared" si="20"/>
        <v>-25103.0253768656</v>
      </c>
    </row>
    <row r="134" spans="7:14" x14ac:dyDescent="0.25">
      <c r="G134">
        <v>1.62</v>
      </c>
      <c r="H134">
        <f t="shared" si="14"/>
        <v>416.86938347033561</v>
      </c>
      <c r="I134" t="str">
        <f t="shared" si="16"/>
        <v>2619.26758523383j</v>
      </c>
      <c r="J134" t="str">
        <f t="shared" si="15"/>
        <v>575.10899665216-23974.5332862629j</v>
      </c>
      <c r="K134">
        <f t="shared" si="17"/>
        <v>87.597501614871817</v>
      </c>
      <c r="L134">
        <f t="shared" si="18"/>
        <v>-88.625833522820344</v>
      </c>
      <c r="M134">
        <f t="shared" si="19"/>
        <v>575.10899665216004</v>
      </c>
      <c r="N134">
        <f t="shared" si="20"/>
        <v>-23974.5332862629</v>
      </c>
    </row>
    <row r="135" spans="7:14" x14ac:dyDescent="0.25">
      <c r="G135">
        <v>1.64</v>
      </c>
      <c r="H135">
        <f t="shared" si="14"/>
        <v>436.51583224016611</v>
      </c>
      <c r="I135" t="str">
        <f t="shared" si="16"/>
        <v>2742.70986348268j</v>
      </c>
      <c r="J135" t="str">
        <f t="shared" si="15"/>
        <v>524.532181847598-22896.6601895954j</v>
      </c>
      <c r="K135">
        <f t="shared" si="17"/>
        <v>87.197721388023496</v>
      </c>
      <c r="L135">
        <f t="shared" si="18"/>
        <v>-88.687659064051573</v>
      </c>
      <c r="M135">
        <f t="shared" si="19"/>
        <v>524.53218184759805</v>
      </c>
      <c r="N135">
        <f t="shared" si="20"/>
        <v>-22896.660189595401</v>
      </c>
    </row>
    <row r="136" spans="7:14" x14ac:dyDescent="0.25">
      <c r="G136">
        <v>1.66</v>
      </c>
      <c r="H136">
        <f t="shared" si="14"/>
        <v>457.08818961487509</v>
      </c>
      <c r="I136" t="str">
        <f t="shared" si="16"/>
        <v>2871.9697970735j</v>
      </c>
      <c r="J136" t="str">
        <f t="shared" si="15"/>
        <v>478.401115152726-21867.1499634897j</v>
      </c>
      <c r="K136">
        <f t="shared" si="17"/>
        <v>86.797921833217245</v>
      </c>
      <c r="L136">
        <f t="shared" si="18"/>
        <v>-88.746704853079208</v>
      </c>
      <c r="M136">
        <f t="shared" si="19"/>
        <v>478.40111515272599</v>
      </c>
      <c r="N136">
        <f t="shared" si="20"/>
        <v>-21867.149963489701</v>
      </c>
    </row>
    <row r="137" spans="7:14" x14ac:dyDescent="0.25">
      <c r="G137">
        <v>1.68</v>
      </c>
      <c r="H137">
        <f t="shared" si="14"/>
        <v>478.63009232263857</v>
      </c>
      <c r="I137" t="str">
        <f t="shared" si="16"/>
        <v>3007.32156365561j</v>
      </c>
      <c r="J137" t="str">
        <f t="shared" si="15"/>
        <v>436.325369308455-20883.8451794815j</v>
      </c>
      <c r="K137">
        <f t="shared" si="17"/>
        <v>86.398104649473112</v>
      </c>
      <c r="L137">
        <f t="shared" si="18"/>
        <v>-88.80309563112489</v>
      </c>
      <c r="M137">
        <f t="shared" si="19"/>
        <v>436.32536930845498</v>
      </c>
      <c r="N137">
        <f t="shared" si="20"/>
        <v>-20883.845179481501</v>
      </c>
    </row>
    <row r="138" spans="7:14" x14ac:dyDescent="0.25">
      <c r="G138">
        <v>1.7</v>
      </c>
      <c r="H138">
        <f t="shared" si="14"/>
        <v>501.18723362727235</v>
      </c>
      <c r="I138" t="str">
        <f t="shared" si="16"/>
        <v>3149.05226247286j</v>
      </c>
      <c r="J138" t="str">
        <f t="shared" si="15"/>
        <v>397.948744304877-19944.6830283608j</v>
      </c>
      <c r="K138">
        <f t="shared" si="17"/>
        <v>85.998271386590105</v>
      </c>
      <c r="L138">
        <f t="shared" si="18"/>
        <v>-88.856950572599075</v>
      </c>
      <c r="M138">
        <f t="shared" si="19"/>
        <v>397.94874430487698</v>
      </c>
      <c r="N138">
        <f t="shared" si="20"/>
        <v>-19944.6830283608</v>
      </c>
    </row>
    <row r="139" spans="7:14" x14ac:dyDescent="0.25">
      <c r="G139">
        <v>1.72</v>
      </c>
      <c r="H139">
        <f t="shared" si="14"/>
        <v>524.80746024977282</v>
      </c>
      <c r="I139" t="str">
        <f t="shared" si="16"/>
        <v>3297.46252333961j</v>
      </c>
      <c r="J139" t="str">
        <f t="shared" si="15"/>
        <v>362.946276941883-19047.691380898j</v>
      </c>
      <c r="K139">
        <f t="shared" si="17"/>
        <v>85.598423458229661</v>
      </c>
      <c r="L139">
        <f t="shared" si="18"/>
        <v>-88.908383529533324</v>
      </c>
      <c r="M139">
        <f t="shared" si="19"/>
        <v>362.94627694188301</v>
      </c>
      <c r="N139">
        <f t="shared" si="20"/>
        <v>-19047.691380897999</v>
      </c>
    </row>
    <row r="140" spans="7:14" x14ac:dyDescent="0.25">
      <c r="G140">
        <v>1.74</v>
      </c>
      <c r="H140">
        <f t="shared" si="14"/>
        <v>549.54087385762466</v>
      </c>
      <c r="I140" t="str">
        <f t="shared" si="16"/>
        <v>3452.86714431686j</v>
      </c>
      <c r="J140" t="str">
        <f t="shared" si="15"/>
        <v>331.021509958763-18190.9849848409j</v>
      </c>
      <c r="K140">
        <f t="shared" si="17"/>
        <v>85.198562153856187</v>
      </c>
      <c r="L140">
        <f t="shared" si="18"/>
        <v>-88.957503265798508</v>
      </c>
      <c r="M140">
        <f t="shared" si="19"/>
        <v>331.02150995876298</v>
      </c>
      <c r="N140">
        <f t="shared" si="20"/>
        <v>-18190.984984840899</v>
      </c>
    </row>
    <row r="141" spans="7:14" x14ac:dyDescent="0.25">
      <c r="G141">
        <v>1.76</v>
      </c>
      <c r="H141">
        <f t="shared" si="14"/>
        <v>575.43993733715695</v>
      </c>
      <c r="I141" t="str">
        <f t="shared" si="16"/>
        <v>3615.59575944117j</v>
      </c>
      <c r="J141" t="str">
        <f t="shared" si="15"/>
        <v>301.903998490237-17372.7617973059j</v>
      </c>
      <c r="K141">
        <f t="shared" si="17"/>
        <v>84.79868864963295</v>
      </c>
      <c r="L141">
        <f t="shared" si="18"/>
        <v>-89.004413681467383</v>
      </c>
      <c r="M141">
        <f t="shared" si="19"/>
        <v>301.90399849023697</v>
      </c>
      <c r="N141">
        <f t="shared" si="20"/>
        <v>-17372.761797305899</v>
      </c>
    </row>
    <row r="142" spans="7:14" x14ac:dyDescent="0.25">
      <c r="G142">
        <v>1.78</v>
      </c>
      <c r="H142">
        <f t="shared" si="14"/>
        <v>602.55958607435821</v>
      </c>
      <c r="I142" t="str">
        <f t="shared" si="16"/>
        <v>3785.99353792262j</v>
      </c>
      <c r="J142" t="str">
        <f t="shared" si="15"/>
        <v>275.347033463522-16591.2994510582j</v>
      </c>
      <c r="K142">
        <f t="shared" si="17"/>
        <v>84.398804018365013</v>
      </c>
      <c r="L142">
        <f t="shared" si="18"/>
        <v>-89.049214027676982</v>
      </c>
      <c r="M142">
        <f t="shared" si="19"/>
        <v>275.347033463522</v>
      </c>
      <c r="N142">
        <f t="shared" si="20"/>
        <v>-16591.299451058199</v>
      </c>
    </row>
    <row r="143" spans="7:14" x14ac:dyDescent="0.25">
      <c r="G143">
        <v>1.8</v>
      </c>
      <c r="H143">
        <f t="shared" si="14"/>
        <v>630.95734448019368</v>
      </c>
      <c r="I143" t="str">
        <f t="shared" si="16"/>
        <v>3964.421916295j</v>
      </c>
      <c r="J143" t="str">
        <f t="shared" si="15"/>
        <v>251.125563261462-15844.9518526545j</v>
      </c>
      <c r="K143">
        <f t="shared" si="17"/>
        <v>83.998909238571358</v>
      </c>
      <c r="L143">
        <f t="shared" si="18"/>
        <v>-89.091999112341426</v>
      </c>
      <c r="M143">
        <f t="shared" si="19"/>
        <v>251.12556326146199</v>
      </c>
      <c r="N143">
        <f t="shared" si="20"/>
        <v>-15844.9518526545</v>
      </c>
    </row>
    <row r="144" spans="7:14" x14ac:dyDescent="0.25">
      <c r="G144">
        <v>1.82</v>
      </c>
      <c r="H144">
        <f t="shared" si="14"/>
        <v>660.6934480075962</v>
      </c>
      <c r="I144" t="str">
        <f t="shared" si="16"/>
        <v>4151.25936507115j</v>
      </c>
      <c r="J144" t="str">
        <f t="shared" si="15"/>
        <v>229.034296550643-15132.1459100039j</v>
      </c>
      <c r="K144">
        <f t="shared" si="17"/>
        <v>83.599005202762754</v>
      </c>
      <c r="L144">
        <f t="shared" si="18"/>
        <v>-89.132859497060139</v>
      </c>
      <c r="M144">
        <f t="shared" si="19"/>
        <v>229.03429655064301</v>
      </c>
      <c r="N144">
        <f t="shared" si="20"/>
        <v>-15132.145910003899</v>
      </c>
    </row>
    <row r="145" spans="7:14" x14ac:dyDescent="0.25">
      <c r="G145">
        <v>1.84</v>
      </c>
      <c r="H145">
        <f t="shared" si="14"/>
        <v>691.8309709189366</v>
      </c>
      <c r="I145" t="str">
        <f t="shared" si="16"/>
        <v>4346.90219152965j</v>
      </c>
      <c r="J145" t="str">
        <f t="shared" si="15"/>
        <v>208.885970620383-14451.3783865644j</v>
      </c>
      <c r="K145">
        <f t="shared" si="17"/>
        <v>83.199092724994301</v>
      </c>
      <c r="L145">
        <f t="shared" si="18"/>
        <v>-89.171881685559157</v>
      </c>
      <c r="M145">
        <f t="shared" si="19"/>
        <v>208.88597062038301</v>
      </c>
      <c r="N145">
        <f t="shared" si="20"/>
        <v>-14451.3783865644</v>
      </c>
    </row>
    <row r="146" spans="7:14" x14ac:dyDescent="0.25">
      <c r="G146">
        <v>1.86</v>
      </c>
      <c r="H146">
        <f t="shared" si="14"/>
        <v>724.4359600749907</v>
      </c>
      <c r="I146" t="str">
        <f t="shared" si="16"/>
        <v>4551.76538033572j</v>
      </c>
      <c r="J146" t="str">
        <f t="shared" si="15"/>
        <v>190.509770907839-13801.2128791287j</v>
      </c>
      <c r="K146">
        <f t="shared" si="17"/>
        <v>82.799172547756086</v>
      </c>
      <c r="L146">
        <f t="shared" si="18"/>
        <v>-89.209148303995761</v>
      </c>
      <c r="M146">
        <f t="shared" si="19"/>
        <v>190.509770907839</v>
      </c>
      <c r="N146">
        <f t="shared" si="20"/>
        <v>-13801.2128791287</v>
      </c>
    </row>
    <row r="147" spans="7:14" x14ac:dyDescent="0.25">
      <c r="G147">
        <v>1.88</v>
      </c>
      <c r="H147">
        <f t="shared" si="14"/>
        <v>758.57757502918366</v>
      </c>
      <c r="I147" t="str">
        <f t="shared" si="16"/>
        <v>4766.28347377929j</v>
      </c>
      <c r="J147" t="str">
        <f t="shared" si="15"/>
        <v>173.749888604896-13180.2769159493j</v>
      </c>
      <c r="K147">
        <f t="shared" si="17"/>
        <v>82.399245348259242</v>
      </c>
      <c r="L147">
        <f t="shared" si="18"/>
        <v>-89.244738273448277</v>
      </c>
      <c r="M147">
        <f t="shared" si="19"/>
        <v>173.749888604896</v>
      </c>
      <c r="N147">
        <f t="shared" si="20"/>
        <v>-13180.2769159493</v>
      </c>
    </row>
    <row r="148" spans="7:14" x14ac:dyDescent="0.25">
      <c r="G148">
        <v>1.9</v>
      </c>
      <c r="H148">
        <f t="shared" si="14"/>
        <v>794.32823472428197</v>
      </c>
      <c r="I148" t="str">
        <f t="shared" si="16"/>
        <v>4990.91149349751j</v>
      </c>
      <c r="J148" t="str">
        <f t="shared" si="15"/>
        <v>158.464204362237-12587.2591718043j</v>
      </c>
      <c r="K148">
        <f t="shared" si="17"/>
        <v>81.999311744171223</v>
      </c>
      <c r="L148">
        <f t="shared" si="18"/>
        <v>-89.278726974904174</v>
      </c>
      <c r="M148">
        <f t="shared" si="19"/>
        <v>158.46420436223701</v>
      </c>
      <c r="N148">
        <f t="shared" si="20"/>
        <v>-12587.2591718043</v>
      </c>
    </row>
    <row r="149" spans="7:14" x14ac:dyDescent="0.25">
      <c r="G149">
        <v>1.92</v>
      </c>
      <c r="H149">
        <f t="shared" si="14"/>
        <v>831.76377110267129</v>
      </c>
      <c r="I149" t="str">
        <f t="shared" si="16"/>
        <v>5226.12590563659j</v>
      </c>
      <c r="J149" t="str">
        <f t="shared" si="15"/>
        <v>144.523087132799-12020.9067964977j</v>
      </c>
      <c r="K149">
        <f t="shared" si="17"/>
        <v>81.59937229884774</v>
      </c>
      <c r="L149">
        <f t="shared" si="18"/>
        <v>-89.311186407050343</v>
      </c>
      <c r="M149">
        <f t="shared" si="19"/>
        <v>144.52308713279899</v>
      </c>
      <c r="N149">
        <f t="shared" si="20"/>
        <v>-12020.9067964977</v>
      </c>
    </row>
    <row r="150" spans="7:14" x14ac:dyDescent="0.25">
      <c r="G150">
        <v>1.94</v>
      </c>
      <c r="H150">
        <f t="shared" si="14"/>
        <v>870.96358995608068</v>
      </c>
      <c r="I150" t="str">
        <f t="shared" si="16"/>
        <v>5472.42563150043j</v>
      </c>
      <c r="J150" t="str">
        <f t="shared" si="15"/>
        <v>131.808298137919-11480.0228532203j</v>
      </c>
      <c r="K150">
        <f t="shared" si="17"/>
        <v>81.199427526105254</v>
      </c>
      <c r="L150">
        <f t="shared" si="18"/>
        <v>-89.342185337160004</v>
      </c>
      <c r="M150">
        <f t="shared" si="19"/>
        <v>131.808298137919</v>
      </c>
      <c r="N150">
        <f t="shared" si="20"/>
        <v>-11480.0228532203</v>
      </c>
    </row>
    <row r="151" spans="7:14" x14ac:dyDescent="0.25">
      <c r="G151">
        <v>1.96</v>
      </c>
      <c r="H151">
        <f t="shared" si="14"/>
        <v>912.01083935590975</v>
      </c>
      <c r="I151" t="str">
        <f t="shared" si="16"/>
        <v>5730.33310582957j</v>
      </c>
      <c r="J151" t="str">
        <f t="shared" si="15"/>
        <v>120.211990801626-10963.4638631636j</v>
      </c>
      <c r="K151">
        <f t="shared" si="17"/>
        <v>80.799477894575091</v>
      </c>
      <c r="L151">
        <f t="shared" si="18"/>
        <v>-89.371789445361927</v>
      </c>
      <c r="M151">
        <f t="shared" si="19"/>
        <v>120.211990801626</v>
      </c>
      <c r="N151">
        <f t="shared" si="20"/>
        <v>-10963.463863163601</v>
      </c>
    </row>
    <row r="152" spans="7:14" x14ac:dyDescent="0.25">
      <c r="G152">
        <v>1.98</v>
      </c>
      <c r="H152">
        <f t="shared" si="14"/>
        <v>954.99258602143652</v>
      </c>
      <c r="I152" t="str">
        <f t="shared" si="16"/>
        <v>6000.39538495533j</v>
      </c>
      <c r="J152" t="str">
        <f t="shared" si="15"/>
        <v>109.635798288084-10470.1374527662j</v>
      </c>
      <c r="K152">
        <f t="shared" si="17"/>
        <v>80.399523831674799</v>
      </c>
      <c r="L152">
        <f t="shared" si="18"/>
        <v>-89.400061462566626</v>
      </c>
      <c r="M152">
        <f t="shared" si="19"/>
        <v>109.635798288084</v>
      </c>
      <c r="N152">
        <f t="shared" si="20"/>
        <v>-10470.137452766199</v>
      </c>
    </row>
    <row r="153" spans="7:14" x14ac:dyDescent="0.25">
      <c r="G153">
        <v>2</v>
      </c>
      <c r="H153">
        <f t="shared" si="14"/>
        <v>1000</v>
      </c>
      <c r="I153" t="str">
        <f t="shared" si="16"/>
        <v>6283.18530717959j</v>
      </c>
      <c r="J153" t="str">
        <f t="shared" si="15"/>
        <v>99.9900009999-9999.00009999j</v>
      </c>
      <c r="K153">
        <f t="shared" si="17"/>
        <v>79.999565727231371</v>
      </c>
      <c r="L153">
        <f t="shared" si="18"/>
        <v>-89.427061302316517</v>
      </c>
      <c r="M153">
        <f t="shared" si="19"/>
        <v>99.990000999900005</v>
      </c>
      <c r="N153">
        <f t="shared" si="20"/>
        <v>-9999.0000999900003</v>
      </c>
    </row>
    <row r="154" spans="7:14" x14ac:dyDescent="0.25">
      <c r="G154">
        <v>2.02</v>
      </c>
      <c r="H154">
        <f t="shared" si="14"/>
        <v>1047.1285480508998</v>
      </c>
      <c r="I154" t="str">
        <f t="shared" si="16"/>
        <v>6579.30270784171j</v>
      </c>
      <c r="J154" t="str">
        <f t="shared" si="15"/>
        <v>91.1927670563882-9549.05497604998j</v>
      </c>
      <c r="K154">
        <f t="shared" si="17"/>
        <v>79.599603936785456</v>
      </c>
      <c r="L154">
        <f t="shared" si="18"/>
        <v>-89.452846186815975</v>
      </c>
      <c r="M154">
        <f t="shared" si="19"/>
        <v>91.192767056388206</v>
      </c>
      <c r="N154">
        <f t="shared" si="20"/>
        <v>-9549.0549760499798</v>
      </c>
    </row>
    <row r="155" spans="7:14" x14ac:dyDescent="0.25">
      <c r="G155">
        <v>2.04</v>
      </c>
      <c r="H155">
        <f t="shared" si="14"/>
        <v>1096.4781961431861</v>
      </c>
      <c r="I155" t="str">
        <f t="shared" si="16"/>
        <v>6889.37569164964j</v>
      </c>
      <c r="J155" t="str">
        <f t="shared" si="15"/>
        <v>83.1694593759492-9119.34987907451j</v>
      </c>
      <c r="K155">
        <f t="shared" si="17"/>
        <v>79.199638784606009</v>
      </c>
      <c r="L155">
        <f t="shared" si="18"/>
        <v>-89.477470767388738</v>
      </c>
      <c r="M155">
        <f t="shared" si="19"/>
        <v>83.169459375949202</v>
      </c>
      <c r="N155">
        <f t="shared" si="20"/>
        <v>-9119.3498790745107</v>
      </c>
    </row>
    <row r="156" spans="7:14" x14ac:dyDescent="0.25">
      <c r="G156">
        <v>2.06</v>
      </c>
      <c r="H156">
        <f t="shared" si="14"/>
        <v>1148.1536214968835</v>
      </c>
      <c r="I156" t="str">
        <f t="shared" si="16"/>
        <v>7214.06196497425j</v>
      </c>
      <c r="J156" t="str">
        <f t="shared" si="15"/>
        <v>75.8520035400281-8708.97525622774j</v>
      </c>
      <c r="K156">
        <f t="shared" si="17"/>
        <v>78.799670566439971</v>
      </c>
      <c r="L156">
        <f t="shared" si="18"/>
        <v>-89.500987239600633</v>
      </c>
      <c r="M156">
        <f t="shared" si="19"/>
        <v>75.852003540028093</v>
      </c>
      <c r="N156">
        <f t="shared" si="20"/>
        <v>-8708.9752562277408</v>
      </c>
    </row>
    <row r="157" spans="7:14" x14ac:dyDescent="0.25">
      <c r="G157">
        <v>2.08</v>
      </c>
      <c r="H157">
        <f t="shared" si="14"/>
        <v>1202.2644346174136</v>
      </c>
      <c r="I157" t="str">
        <f t="shared" si="16"/>
        <v>7554.05023093271j</v>
      </c>
      <c r="J157" t="str">
        <f t="shared" si="15"/>
        <v>69.178311122079-8317.06231089736j</v>
      </c>
      <c r="K157">
        <f t="shared" si="17"/>
        <v>78.399699552019783</v>
      </c>
      <c r="L157">
        <f t="shared" si="18"/>
        <v>-89.523445453276395</v>
      </c>
      <c r="M157">
        <f t="shared" si="19"/>
        <v>69.178311122078995</v>
      </c>
      <c r="N157">
        <f t="shared" si="20"/>
        <v>-8317.0623108973596</v>
      </c>
    </row>
    <row r="158" spans="7:14" x14ac:dyDescent="0.25">
      <c r="G158">
        <v>2.1</v>
      </c>
      <c r="H158">
        <f t="shared" si="14"/>
        <v>1258.9254117941678</v>
      </c>
      <c r="I158" t="str">
        <f t="shared" si="16"/>
        <v>7910.06165022012j</v>
      </c>
      <c r="J158" t="str">
        <f t="shared" si="15"/>
        <v>63.0917536274863-7942.78119162995j</v>
      </c>
      <c r="K158">
        <f t="shared" si="17"/>
        <v>77.999725987351383</v>
      </c>
      <c r="L158">
        <f t="shared" si="18"/>
        <v>-89.54489301763094</v>
      </c>
      <c r="M158">
        <f t="shared" si="19"/>
        <v>63.091753627486298</v>
      </c>
      <c r="N158">
        <f t="shared" si="20"/>
        <v>-7942.7811916299497</v>
      </c>
    </row>
    <row r="159" spans="7:14" x14ac:dyDescent="0.25">
      <c r="G159">
        <v>2.12</v>
      </c>
      <c r="H159">
        <f t="shared" si="14"/>
        <v>1318.2567385564084</v>
      </c>
      <c r="I159" t="str">
        <f t="shared" si="16"/>
        <v>8282.85137078811j</v>
      </c>
      <c r="J159" t="str">
        <f t="shared" si="15"/>
        <v>57.5406826130357-7585.339259577j</v>
      </c>
      <c r="K159">
        <f t="shared" si="17"/>
        <v>77.599750096800676</v>
      </c>
      <c r="L159">
        <f t="shared" si="18"/>
        <v>-89.565375401726058</v>
      </c>
      <c r="M159">
        <f t="shared" si="19"/>
        <v>57.540682613035699</v>
      </c>
      <c r="N159">
        <f t="shared" si="20"/>
        <v>-7585.3392595770001</v>
      </c>
    </row>
    <row r="160" spans="7:14" x14ac:dyDescent="0.25">
      <c r="G160">
        <v>2.14</v>
      </c>
      <c r="H160">
        <f t="shared" si="14"/>
        <v>1380.3842646028861</v>
      </c>
      <c r="I160" t="str">
        <f t="shared" si="16"/>
        <v>8673.21012961475j</v>
      </c>
      <c r="J160" t="str">
        <f t="shared" si="15"/>
        <v>52.4779919408099-7243.97943130513j</v>
      </c>
      <c r="K160">
        <f t="shared" si="17"/>
        <v>77.19977208499644</v>
      </c>
      <c r="L160">
        <f t="shared" si="18"/>
        <v>-89.584936030455935</v>
      </c>
      <c r="M160">
        <f t="shared" si="19"/>
        <v>52.4779919408099</v>
      </c>
      <c r="N160">
        <f t="shared" si="20"/>
        <v>-7243.9794313051298</v>
      </c>
    </row>
    <row r="161" spans="7:14" x14ac:dyDescent="0.25">
      <c r="G161">
        <v>2.16</v>
      </c>
      <c r="H161">
        <f t="shared" si="14"/>
        <v>1445.4397707459284</v>
      </c>
      <c r="I161" t="str">
        <f t="shared" si="16"/>
        <v>9081.96592996385j</v>
      </c>
      <c r="J161" t="str">
        <f t="shared" si="15"/>
        <v>47.8607184742535-6917.97859391604j</v>
      </c>
      <c r="K161">
        <f t="shared" si="17"/>
        <v>76.799792138566417</v>
      </c>
      <c r="L161">
        <f t="shared" si="18"/>
        <v>-89.603616376256042</v>
      </c>
      <c r="M161">
        <f t="shared" si="19"/>
        <v>47.860718474253503</v>
      </c>
      <c r="N161">
        <f t="shared" si="20"/>
        <v>-6917.9785939160402</v>
      </c>
    </row>
    <row r="162" spans="7:14" x14ac:dyDescent="0.25">
      <c r="G162">
        <v>2.1800000000000002</v>
      </c>
      <c r="H162">
        <f t="shared" si="14"/>
        <v>1513.5612484362091</v>
      </c>
      <c r="I162" t="str">
        <f t="shared" si="16"/>
        <v>9509.98579769078j</v>
      </c>
      <c r="J162" t="str">
        <f t="shared" si="15"/>
        <v>43.6496778464713-6606.64608951434j</v>
      </c>
      <c r="K162">
        <f t="shared" si="17"/>
        <v>76.399810427720311</v>
      </c>
      <c r="L162">
        <f t="shared" si="18"/>
        <v>-89.621456046722372</v>
      </c>
      <c r="M162">
        <f t="shared" si="19"/>
        <v>43.649677846471299</v>
      </c>
      <c r="N162">
        <f t="shared" si="20"/>
        <v>-6606.64608951434</v>
      </c>
    </row>
    <row r="163" spans="7:14" x14ac:dyDescent="0.25">
      <c r="G163">
        <v>2.2000000000000002</v>
      </c>
      <c r="H163">
        <f t="shared" si="14"/>
        <v>1584.8931924611154</v>
      </c>
      <c r="I163" t="str">
        <f t="shared" si="16"/>
        <v>9958.17762032063j</v>
      </c>
      <c r="J163" t="str">
        <f t="shared" si="15"/>
        <v>39.8091322252502-6309.32226615836j</v>
      </c>
      <c r="K163">
        <f t="shared" si="17"/>
        <v>75.999827107694045</v>
      </c>
      <c r="L163">
        <f t="shared" si="18"/>
        <v>-89.638492868320157</v>
      </c>
      <c r="M163">
        <f t="shared" si="19"/>
        <v>39.809132225250202</v>
      </c>
      <c r="N163">
        <f t="shared" si="20"/>
        <v>-6309.3222661583604</v>
      </c>
    </row>
    <row r="164" spans="7:14" x14ac:dyDescent="0.25">
      <c r="G164">
        <v>2.2200000000000002</v>
      </c>
      <c r="H164">
        <f t="shared" si="14"/>
        <v>1659.5869074375623</v>
      </c>
      <c r="I164" t="str">
        <f t="shared" si="16"/>
        <v>10427.4920727993j</v>
      </c>
      <c r="J164" t="str">
        <f t="shared" si="15"/>
        <v>36.3064872681329-6025.37709252418j</v>
      </c>
      <c r="K164">
        <f t="shared" si="17"/>
        <v>75.599842320066813</v>
      </c>
      <c r="L164">
        <f t="shared" si="18"/>
        <v>-89.6547629663538</v>
      </c>
      <c r="M164">
        <f t="shared" si="19"/>
        <v>36.306487268132898</v>
      </c>
      <c r="N164">
        <f t="shared" si="20"/>
        <v>-6025.3770925241797</v>
      </c>
    </row>
    <row r="165" spans="7:14" x14ac:dyDescent="0.25">
      <c r="G165">
        <v>2.2400000000000002</v>
      </c>
      <c r="H165">
        <f t="shared" si="14"/>
        <v>1737.8008287493767</v>
      </c>
      <c r="I165" t="str">
        <f t="shared" si="16"/>
        <v>10918.9246340026j</v>
      </c>
      <c r="J165" t="str">
        <f t="shared" si="15"/>
        <v>33.1120157063694-5754.20883360912j</v>
      </c>
      <c r="K165">
        <f t="shared" si="17"/>
        <v>75.199856193962049</v>
      </c>
      <c r="L165">
        <f t="shared" si="18"/>
        <v>-89.670300841362689</v>
      </c>
      <c r="M165">
        <f t="shared" si="19"/>
        <v>33.112015706369398</v>
      </c>
      <c r="N165">
        <f t="shared" si="20"/>
        <v>-5754.2088336091201</v>
      </c>
    </row>
    <row r="166" spans="7:14" x14ac:dyDescent="0.25">
      <c r="G166">
        <v>2.2599999999999998</v>
      </c>
      <c r="H166">
        <f t="shared" si="14"/>
        <v>1819.700858609983</v>
      </c>
      <c r="I166" t="str">
        <f t="shared" si="16"/>
        <v>11433.5176982803j</v>
      </c>
      <c r="J166" t="str">
        <f t="shared" si="15"/>
        <v>30.1986052207224-5495.24278489723j</v>
      </c>
      <c r="K166">
        <f t="shared" si="17"/>
        <v>74.7998688471436</v>
      </c>
      <c r="L166">
        <f t="shared" si="18"/>
        <v>-89.68513944210035</v>
      </c>
      <c r="M166">
        <f t="shared" si="19"/>
        <v>30.198605220722399</v>
      </c>
      <c r="N166">
        <f t="shared" si="20"/>
        <v>-5495.2427848972302</v>
      </c>
    </row>
    <row r="167" spans="7:14" x14ac:dyDescent="0.25">
      <c r="G167">
        <v>2.2799999999999998</v>
      </c>
      <c r="H167">
        <f t="shared" si="14"/>
        <v>1905.460717963248</v>
      </c>
      <c r="I167" t="str">
        <f t="shared" si="16"/>
        <v>11972.3627865145j</v>
      </c>
      <c r="J167" t="str">
        <f t="shared" si="15"/>
        <v>27.5415284766992-5247.93006250163j</v>
      </c>
      <c r="K167">
        <f t="shared" si="17"/>
        <v>74.399880387014449</v>
      </c>
      <c r="L167">
        <f t="shared" si="18"/>
        <v>-89.699310235248092</v>
      </c>
      <c r="M167">
        <f t="shared" si="19"/>
        <v>27.541528476699199</v>
      </c>
      <c r="N167">
        <f t="shared" si="20"/>
        <v>-5247.9300625016303</v>
      </c>
    </row>
    <row r="168" spans="7:14" x14ac:dyDescent="0.25">
      <c r="G168">
        <v>2.2999999999999998</v>
      </c>
      <c r="H168">
        <f t="shared" si="14"/>
        <v>1995.2623149688802</v>
      </c>
      <c r="I168" t="str">
        <f t="shared" si="16"/>
        <v>12536.6028613816j</v>
      </c>
      <c r="J168" t="str">
        <f t="shared" si="15"/>
        <v>25.1182333735998-5011.74644689374j</v>
      </c>
      <c r="K168">
        <f t="shared" si="17"/>
        <v>73.999890911528439</v>
      </c>
      <c r="L168">
        <f t="shared" si="18"/>
        <v>-89.71284327200739</v>
      </c>
      <c r="M168">
        <f t="shared" si="19"/>
        <v>25.1182333735998</v>
      </c>
      <c r="N168">
        <f t="shared" si="20"/>
        <v>-5011.7464468937396</v>
      </c>
    </row>
    <row r="169" spans="7:14" x14ac:dyDescent="0.25">
      <c r="G169">
        <v>2.3199999999999998</v>
      </c>
      <c r="H169">
        <f t="shared" si="14"/>
        <v>2089.2961308540398</v>
      </c>
      <c r="I169" t="str">
        <f t="shared" si="16"/>
        <v>13127.4347517293j</v>
      </c>
      <c r="J169" t="str">
        <f t="shared" si="15"/>
        <v>22.9081517322396-4786.19127791857j</v>
      </c>
      <c r="K169">
        <f t="shared" si="17"/>
        <v>73.599900510021499</v>
      </c>
      <c r="L169">
        <f t="shared" si="18"/>
        <v>-89.725767251709883</v>
      </c>
      <c r="M169">
        <f t="shared" si="19"/>
        <v>22.908151732239599</v>
      </c>
      <c r="N169">
        <f t="shared" si="20"/>
        <v>-4786.1912779185704</v>
      </c>
    </row>
    <row r="170" spans="7:14" x14ac:dyDescent="0.25">
      <c r="G170">
        <v>2.34</v>
      </c>
      <c r="H170">
        <f t="shared" si="14"/>
        <v>2187.7616239495524</v>
      </c>
      <c r="I170" t="str">
        <f t="shared" si="16"/>
        <v>13746.1116912112j</v>
      </c>
      <c r="J170" t="str">
        <f t="shared" si="15"/>
        <v>20.8925248018279-4570.78639888535j</v>
      </c>
      <c r="K170">
        <f t="shared" si="17"/>
        <v>73.199909263969772</v>
      </c>
      <c r="L170">
        <f t="shared" si="18"/>
        <v>-89.738109582576541</v>
      </c>
      <c r="M170">
        <f t="shared" si="19"/>
        <v>20.8925248018279</v>
      </c>
      <c r="N170">
        <f t="shared" si="20"/>
        <v>-4570.7863988853496</v>
      </c>
    </row>
    <row r="171" spans="7:14" x14ac:dyDescent="0.25">
      <c r="G171">
        <v>2.36</v>
      </c>
      <c r="H171">
        <f t="shared" si="14"/>
        <v>2290.8676527677744</v>
      </c>
      <c r="I171" t="str">
        <f t="shared" si="16"/>
        <v>14393.9459765635j</v>
      </c>
      <c r="J171" t="str">
        <f t="shared" si="15"/>
        <v>19.0542441084958-4365.0751476094j</v>
      </c>
      <c r="K171">
        <f t="shared" si="17"/>
        <v>72.799917247680852</v>
      </c>
      <c r="L171">
        <f t="shared" si="18"/>
        <v>-89.749896439753599</v>
      </c>
      <c r="M171">
        <f t="shared" si="19"/>
        <v>19.054244108495801</v>
      </c>
      <c r="N171">
        <f t="shared" si="20"/>
        <v>-4365.0751476094001</v>
      </c>
    </row>
    <row r="172" spans="7:14" x14ac:dyDescent="0.25">
      <c r="G172">
        <v>2.38</v>
      </c>
      <c r="H172">
        <f t="shared" si="14"/>
        <v>2398.8329190194913</v>
      </c>
      <c r="I172" t="str">
        <f t="shared" si="16"/>
        <v>15072.311751162j</v>
      </c>
      <c r="J172" t="str">
        <f t="shared" si="15"/>
        <v>17.3777062975697-4168.62139236625j</v>
      </c>
      <c r="K172">
        <f t="shared" si="17"/>
        <v>72.399924528924714</v>
      </c>
      <c r="L172">
        <f t="shared" si="18"/>
        <v>-89.761152820745636</v>
      </c>
      <c r="M172">
        <f t="shared" si="19"/>
        <v>17.377706297569699</v>
      </c>
      <c r="N172">
        <f t="shared" si="20"/>
        <v>-4168.6213923662499</v>
      </c>
    </row>
    <row r="173" spans="7:14" x14ac:dyDescent="0.25">
      <c r="G173">
        <v>2.4</v>
      </c>
      <c r="H173">
        <f t="shared" si="14"/>
        <v>2511.8864315095807</v>
      </c>
      <c r="I173" t="str">
        <f t="shared" si="16"/>
        <v>15782.6479197648j</v>
      </c>
      <c r="J173" t="str">
        <f t="shared" si="15"/>
        <v>15.8486807399489-3981.00861080049j</v>
      </c>
      <c r="K173">
        <f t="shared" si="17"/>
        <v>71.999931169508613</v>
      </c>
      <c r="L173">
        <f t="shared" si="18"/>
        <v>-89.771902598362203</v>
      </c>
      <c r="M173">
        <f t="shared" si="19"/>
        <v>15.8486807399489</v>
      </c>
      <c r="N173">
        <f t="shared" si="20"/>
        <v>-3981.0086108004898</v>
      </c>
    </row>
    <row r="174" spans="7:14" x14ac:dyDescent="0.25">
      <c r="G174">
        <v>2.42</v>
      </c>
      <c r="H174">
        <f t="shared" si="14"/>
        <v>2630.2679918953818</v>
      </c>
      <c r="I174" t="str">
        <f t="shared" si="16"/>
        <v>16526.4612006218j</v>
      </c>
      <c r="J174" t="str">
        <f t="shared" si="15"/>
        <v>14.4541887808661-3801.83900991255j</v>
      </c>
      <c r="K174">
        <f t="shared" si="17"/>
        <v>71.599937225802051</v>
      </c>
      <c r="L174">
        <f t="shared" si="18"/>
        <v>-89.782168571288707</v>
      </c>
      <c r="M174">
        <f t="shared" si="19"/>
        <v>14.454188780866099</v>
      </c>
      <c r="N174">
        <f t="shared" si="20"/>
        <v>-3801.83900991255</v>
      </c>
    </row>
    <row r="175" spans="7:14" x14ac:dyDescent="0.25">
      <c r="G175">
        <v>2.44</v>
      </c>
      <c r="H175">
        <f t="shared" si="14"/>
        <v>2754.2287033381681</v>
      </c>
      <c r="I175" t="str">
        <f t="shared" si="16"/>
        <v>17305.3293214267j</v>
      </c>
      <c r="J175" t="str">
        <f t="shared" si="15"/>
        <v>13.182393607772-3630.73268532273j</v>
      </c>
      <c r="K175">
        <f t="shared" si="17"/>
        <v>71.199942749214628</v>
      </c>
      <c r="L175">
        <f t="shared" si="18"/>
        <v>-89.791972512387446</v>
      </c>
      <c r="M175">
        <f t="shared" si="19"/>
        <v>13.182393607771999</v>
      </c>
      <c r="N175">
        <f t="shared" si="20"/>
        <v>-3630.73268532273</v>
      </c>
    </row>
    <row r="176" spans="7:14" x14ac:dyDescent="0.25">
      <c r="G176">
        <v>2.46</v>
      </c>
      <c r="H176">
        <f t="shared" si="14"/>
        <v>2884.0315031266073</v>
      </c>
      <c r="I176" t="str">
        <f t="shared" si="16"/>
        <v>18120.9043658882j</v>
      </c>
      <c r="J176" t="str">
        <f t="shared" si="15"/>
        <v>12.0224998039348-3467.32681808815j</v>
      </c>
      <c r="K176">
        <f t="shared" si="17"/>
        <v>70.799947786632899</v>
      </c>
      <c r="L176">
        <f t="shared" si="18"/>
        <v>-89.801335214830246</v>
      </c>
      <c r="M176">
        <f t="shared" si="19"/>
        <v>12.022499803934799</v>
      </c>
      <c r="N176">
        <f t="shared" si="20"/>
        <v>-3467.32681808815</v>
      </c>
    </row>
    <row r="177" spans="7:14" x14ac:dyDescent="0.25">
      <c r="G177">
        <v>2.48</v>
      </c>
      <c r="H177">
        <f t="shared" si="14"/>
        <v>3019.9517204020167</v>
      </c>
      <c r="I177" t="str">
        <f t="shared" si="16"/>
        <v>18974.9162780217j</v>
      </c>
      <c r="J177" t="str">
        <f t="shared" si="15"/>
        <v>10.9646617363066-3311.27490741853j</v>
      </c>
      <c r="K177">
        <f t="shared" si="17"/>
        <v>70.399952380818036</v>
      </c>
      <c r="L177">
        <f t="shared" si="18"/>
        <v>-89.810276536159577</v>
      </c>
      <c r="M177">
        <f t="shared" si="19"/>
        <v>10.964661736306599</v>
      </c>
      <c r="N177">
        <f t="shared" si="20"/>
        <v>-3311.2749074185299</v>
      </c>
    </row>
    <row r="178" spans="7:14" x14ac:dyDescent="0.25">
      <c r="G178">
        <v>2.5</v>
      </c>
      <c r="H178">
        <f t="shared" si="14"/>
        <v>3162.2776601683827</v>
      </c>
      <c r="I178" t="str">
        <f t="shared" si="16"/>
        <v>19869.1765315922j</v>
      </c>
      <c r="J178" t="str">
        <f t="shared" si="15"/>
        <v>9.99990000099998-3162.246037708j</v>
      </c>
      <c r="K178">
        <f t="shared" si="17"/>
        <v>69.999956570768958</v>
      </c>
      <c r="L178">
        <f t="shared" si="18"/>
        <v>-89.81881544037077</v>
      </c>
      <c r="M178">
        <f t="shared" si="19"/>
        <v>9.9999000009999808</v>
      </c>
      <c r="N178">
        <f t="shared" si="20"/>
        <v>-3162.2460377080001</v>
      </c>
    </row>
    <row r="179" spans="7:14" x14ac:dyDescent="0.25">
      <c r="G179">
        <v>2.52</v>
      </c>
      <c r="H179">
        <f t="shared" si="14"/>
        <v>3311.3112148259138</v>
      </c>
      <c r="I179" t="str">
        <f t="shared" si="16"/>
        <v>20805.5819724932j</v>
      </c>
      <c r="J179" t="str">
        <f t="shared" si="15"/>
        <v>9.12002521794051-3019.92417836616j</v>
      </c>
      <c r="K179">
        <f t="shared" si="17"/>
        <v>69.599960392053092</v>
      </c>
      <c r="L179">
        <f t="shared" si="18"/>
        <v>-89.826970038103752</v>
      </c>
      <c r="M179">
        <f t="shared" si="19"/>
        <v>9.1200252179405101</v>
      </c>
      <c r="N179">
        <f t="shared" si="20"/>
        <v>-3019.92417836616</v>
      </c>
    </row>
    <row r="180" spans="7:14" x14ac:dyDescent="0.25">
      <c r="G180">
        <v>2.54</v>
      </c>
      <c r="H180">
        <f t="shared" si="14"/>
        <v>3467.3685045253183</v>
      </c>
      <c r="I180" t="str">
        <f t="shared" si="16"/>
        <v>21786.1188422107j</v>
      </c>
      <c r="J180" t="str">
        <f t="shared" si="15"/>
        <v>8.31756852850508-2884.00751499695j</v>
      </c>
      <c r="K180">
        <f t="shared" si="17"/>
        <v>69.199963877108658</v>
      </c>
      <c r="L180">
        <f t="shared" si="18"/>
        <v>-89.834757625029141</v>
      </c>
      <c r="M180">
        <f t="shared" si="19"/>
        <v>8.3175685285050793</v>
      </c>
      <c r="N180">
        <f t="shared" si="20"/>
        <v>-2884.0075149969498</v>
      </c>
    </row>
    <row r="181" spans="7:14" x14ac:dyDescent="0.25">
      <c r="G181">
        <v>2.56</v>
      </c>
      <c r="H181">
        <f t="shared" si="14"/>
        <v>3630.7805477010152</v>
      </c>
      <c r="I181" t="str">
        <f t="shared" si="16"/>
        <v>22812.8669909085j</v>
      </c>
      <c r="J181" t="str">
        <f t="shared" si="15"/>
        <v>7.58571820673459-2754.20781053534j</v>
      </c>
      <c r="K181">
        <f t="shared" si="17"/>
        <v>68.799967055519446</v>
      </c>
      <c r="L181">
        <f t="shared" si="18"/>
        <v>-89.84219471850929</v>
      </c>
      <c r="M181">
        <f t="shared" si="19"/>
        <v>7.5857182067345903</v>
      </c>
      <c r="N181">
        <f t="shared" si="20"/>
        <v>-2754.2078105353398</v>
      </c>
    </row>
    <row r="182" spans="7:14" x14ac:dyDescent="0.25">
      <c r="G182">
        <v>2.58</v>
      </c>
      <c r="H182">
        <f t="shared" si="14"/>
        <v>3801.8939632056163</v>
      </c>
      <c r="I182" t="str">
        <f t="shared" si="16"/>
        <v>23888.0042890683j</v>
      </c>
      <c r="J182" t="str">
        <f t="shared" si="15"/>
        <v>6.91826184651123-2630.24979501268j</v>
      </c>
      <c r="K182">
        <f t="shared" si="17"/>
        <v>68.399969954266609</v>
      </c>
      <c r="L182">
        <f t="shared" si="18"/>
        <v>-89.849297092611863</v>
      </c>
      <c r="M182">
        <f t="shared" si="19"/>
        <v>6.9182618465112302</v>
      </c>
      <c r="N182">
        <f t="shared" si="20"/>
        <v>-2630.2497950126799</v>
      </c>
    </row>
    <row r="183" spans="7:14" x14ac:dyDescent="0.25">
      <c r="G183">
        <v>2.6</v>
      </c>
      <c r="H183">
        <f t="shared" si="14"/>
        <v>3981.071705534976</v>
      </c>
      <c r="I183" t="str">
        <f t="shared" si="16"/>
        <v>25013.8112470457j</v>
      </c>
      <c r="J183" t="str">
        <f t="shared" si="15"/>
        <v>6.30953363433607-2511.87058267766j</v>
      </c>
      <c r="K183">
        <f t="shared" si="17"/>
        <v>67.999972597957154</v>
      </c>
      <c r="L183">
        <f t="shared" si="18"/>
        <v>-89.856079811549478</v>
      </c>
      <c r="M183">
        <f t="shared" si="19"/>
        <v>6.30953363433607</v>
      </c>
      <c r="N183">
        <f t="shared" si="20"/>
        <v>-2511.87058267766</v>
      </c>
    </row>
    <row r="184" spans="7:14" x14ac:dyDescent="0.25">
      <c r="G184">
        <v>2.62</v>
      </c>
      <c r="H184">
        <f t="shared" si="14"/>
        <v>4168.6938347033574</v>
      </c>
      <c r="I184" t="str">
        <f t="shared" si="16"/>
        <v>26192.6758523383j</v>
      </c>
      <c r="J184" t="str">
        <f t="shared" si="15"/>
        <v>5.75436626044995-2398.81911525627j</v>
      </c>
      <c r="K184">
        <f t="shared" si="17"/>
        <v>67.599975009032931</v>
      </c>
      <c r="L184">
        <f t="shared" si="18"/>
        <v>-89.862557261616203</v>
      </c>
      <c r="M184">
        <f t="shared" si="19"/>
        <v>5.7543662604499497</v>
      </c>
      <c r="N184">
        <f t="shared" si="20"/>
        <v>-2398.8191152562699</v>
      </c>
    </row>
    <row r="185" spans="7:14" x14ac:dyDescent="0.25">
      <c r="G185">
        <v>2.64</v>
      </c>
      <c r="H185">
        <f t="shared" si="14"/>
        <v>4365.1583224016622</v>
      </c>
      <c r="I185" t="str">
        <f t="shared" si="16"/>
        <v>27427.0986348268j</v>
      </c>
      <c r="J185" t="str">
        <f t="shared" si="15"/>
        <v>5.24804706035523-2290.85563018652j</v>
      </c>
      <c r="K185">
        <f t="shared" si="17"/>
        <v>67.199977207961396</v>
      </c>
      <c r="L185">
        <f t="shared" si="18"/>
        <v>-89.868743181688245</v>
      </c>
      <c r="M185">
        <f t="shared" si="19"/>
        <v>5.2480470603552298</v>
      </c>
      <c r="N185">
        <f t="shared" si="20"/>
        <v>-2290.8556301865201</v>
      </c>
    </row>
    <row r="186" spans="7:14" x14ac:dyDescent="0.25">
      <c r="G186">
        <v>2.66</v>
      </c>
      <c r="H186">
        <f t="shared" si="14"/>
        <v>4570.8818961487559</v>
      </c>
      <c r="I186" t="str">
        <f t="shared" si="16"/>
        <v>28719.697970735j</v>
      </c>
      <c r="J186" t="str">
        <f t="shared" si="15"/>
        <v>4.7862780146595-2187.75115271419j</v>
      </c>
      <c r="K186">
        <f t="shared" si="17"/>
        <v>66.799979213408946</v>
      </c>
      <c r="L186">
        <f t="shared" si="18"/>
        <v>-89.874650692353256</v>
      </c>
      <c r="M186">
        <f t="shared" si="19"/>
        <v>4.7862780146594996</v>
      </c>
      <c r="N186">
        <f t="shared" si="20"/>
        <v>-2187.7511527141901</v>
      </c>
    </row>
    <row r="187" spans="7:14" x14ac:dyDescent="0.25">
      <c r="G187">
        <v>2.68</v>
      </c>
      <c r="H187">
        <f t="shared" si="14"/>
        <v>4786.3009232263885</v>
      </c>
      <c r="I187" t="str">
        <f t="shared" si="16"/>
        <v>30073.2156365561j</v>
      </c>
      <c r="J187" t="str">
        <f t="shared" si="15"/>
        <v>4.36513926787766-2089.28701078546j</v>
      </c>
      <c r="K187">
        <f t="shared" si="17"/>
        <v>66.399981042399673</v>
      </c>
      <c r="L187">
        <f t="shared" si="18"/>
        <v>-89.880292323729833</v>
      </c>
      <c r="M187">
        <f t="shared" si="19"/>
        <v>4.3651392678776597</v>
      </c>
      <c r="N187">
        <f t="shared" si="20"/>
        <v>-2089.2870107854601</v>
      </c>
    </row>
    <row r="188" spans="7:14" x14ac:dyDescent="0.25">
      <c r="G188">
        <v>2.7</v>
      </c>
      <c r="H188">
        <f t="shared" si="14"/>
        <v>5011.8723362727269</v>
      </c>
      <c r="I188" t="str">
        <f t="shared" si="16"/>
        <v>31490.5226247286j</v>
      </c>
      <c r="J188" t="str">
        <f t="shared" si="15"/>
        <v>3.98105585666615-1995.25437171816j</v>
      </c>
      <c r="K188">
        <f t="shared" si="17"/>
        <v>65.999982710459705</v>
      </c>
      <c r="L188">
        <f t="shared" si="18"/>
        <v>-89.885680042035943</v>
      </c>
      <c r="M188">
        <f t="shared" si="19"/>
        <v>3.98105585666615</v>
      </c>
      <c r="N188">
        <f t="shared" si="20"/>
        <v>-1995.25437171816</v>
      </c>
    </row>
    <row r="189" spans="7:14" x14ac:dyDescent="0.25">
      <c r="G189">
        <v>2.72</v>
      </c>
      <c r="H189">
        <f t="shared" si="14"/>
        <v>5248.0746024977288</v>
      </c>
      <c r="I189" t="str">
        <f t="shared" si="16"/>
        <v>32974.6252333961j</v>
      </c>
      <c r="J189" t="str">
        <f t="shared" si="15"/>
        <v>3.63076736518148-1905.45379967866j</v>
      </c>
      <c r="K189">
        <f t="shared" si="17"/>
        <v>65.599984231749062</v>
      </c>
      <c r="L189">
        <f t="shared" si="18"/>
        <v>-89.890825274962438</v>
      </c>
      <c r="M189">
        <f t="shared" si="19"/>
        <v>3.6307673651814798</v>
      </c>
      <c r="N189">
        <f t="shared" si="20"/>
        <v>-1905.4537996786601</v>
      </c>
    </row>
    <row r="190" spans="7:14" x14ac:dyDescent="0.25">
      <c r="G190">
        <v>2.74</v>
      </c>
      <c r="H190">
        <f t="shared" si="14"/>
        <v>5495.4087385762532</v>
      </c>
      <c r="I190" t="str">
        <f t="shared" si="16"/>
        <v>34528.6714431686j</v>
      </c>
      <c r="J190" t="str">
        <f t="shared" si="15"/>
        <v>3.31130025008025-1819.69483303407j</v>
      </c>
      <c r="K190">
        <f t="shared" si="17"/>
        <v>65.199985619181888</v>
      </c>
      <c r="L190">
        <f t="shared" si="18"/>
        <v>-89.895738935905484</v>
      </c>
      <c r="M190">
        <f t="shared" si="19"/>
        <v>3.31130025008025</v>
      </c>
      <c r="N190">
        <f t="shared" si="20"/>
        <v>-1819.6948330340699</v>
      </c>
    </row>
    <row r="191" spans="7:14" x14ac:dyDescent="0.25">
      <c r="G191">
        <v>2.76</v>
      </c>
      <c r="H191">
        <f t="shared" si="14"/>
        <v>5754.3993733715706</v>
      </c>
      <c r="I191" t="str">
        <f t="shared" si="16"/>
        <v>36155.9575944117j</v>
      </c>
      <c r="J191" t="str">
        <f t="shared" si="15"/>
        <v>3.01994260032115-1737.79558069062j</v>
      </c>
      <c r="K191">
        <f t="shared" si="17"/>
        <v>64.799986884536111</v>
      </c>
      <c r="L191">
        <f t="shared" si="18"/>
        <v>-89.900431447108986</v>
      </c>
      <c r="M191">
        <f t="shared" si="19"/>
        <v>3.01994260032115</v>
      </c>
      <c r="N191">
        <f t="shared" si="20"/>
        <v>-1737.79558069062</v>
      </c>
    </row>
    <row r="192" spans="7:14" x14ac:dyDescent="0.25">
      <c r="G192">
        <v>2.78</v>
      </c>
      <c r="H192">
        <f t="shared" si="14"/>
        <v>6025.5958607435778</v>
      </c>
      <c r="I192" t="str">
        <f t="shared" si="16"/>
        <v>37859.9353792262j</v>
      </c>
      <c r="J192" t="str">
        <f t="shared" si="15"/>
        <v>2.75422111758331-1659.58233656825j</v>
      </c>
      <c r="K192">
        <f t="shared" si="17"/>
        <v>64.399988038553175</v>
      </c>
      <c r="L192">
        <f t="shared" si="18"/>
        <v>-89.904912761765928</v>
      </c>
      <c r="M192">
        <f t="shared" si="19"/>
        <v>2.75422111758331</v>
      </c>
      <c r="N192">
        <f t="shared" si="20"/>
        <v>-1659.58233656825</v>
      </c>
    </row>
    <row r="193" spans="7:14" x14ac:dyDescent="0.25">
      <c r="G193">
        <v>2.8</v>
      </c>
      <c r="H193">
        <f t="shared" si="14"/>
        <v>6309.5734448019321</v>
      </c>
      <c r="I193" t="str">
        <f t="shared" si="16"/>
        <v>39644.21916295j</v>
      </c>
      <c r="J193" t="str">
        <f t="shared" si="15"/>
        <v>2.51188012195199-1584.88921139941j</v>
      </c>
      <c r="K193">
        <f t="shared" si="17"/>
        <v>63.999989091029548</v>
      </c>
      <c r="L193">
        <f t="shared" si="18"/>
        <v>-89.909192385125721</v>
      </c>
      <c r="M193">
        <f t="shared" si="19"/>
        <v>2.51188012195199</v>
      </c>
      <c r="N193">
        <f t="shared" si="20"/>
        <v>-1584.88921139941</v>
      </c>
    </row>
    <row r="194" spans="7:14" x14ac:dyDescent="0.25">
      <c r="G194">
        <v>2.82</v>
      </c>
      <c r="H194">
        <f t="shared" si="14"/>
        <v>6606.9344800759645</v>
      </c>
      <c r="I194" t="str">
        <f t="shared" si="16"/>
        <v>41512.5936507115j</v>
      </c>
      <c r="J194" t="str">
        <f t="shared" si="15"/>
        <v>2.29086240470519-1513.55778107565j</v>
      </c>
      <c r="K194">
        <f t="shared" si="17"/>
        <v>63.599990050899606</v>
      </c>
      <c r="L194">
        <f t="shared" si="18"/>
        <v>-89.913279394651838</v>
      </c>
      <c r="M194">
        <f t="shared" si="19"/>
        <v>2.29086240470519</v>
      </c>
      <c r="N194">
        <f t="shared" si="20"/>
        <v>-1513.5577810756499</v>
      </c>
    </row>
    <row r="195" spans="7:14" x14ac:dyDescent="0.25">
      <c r="G195">
        <v>2.84</v>
      </c>
      <c r="H195">
        <f t="shared" ref="H195:H203" si="21">$B$3*10^G195</f>
        <v>6918.3097091893669</v>
      </c>
      <c r="I195" t="str">
        <f t="shared" si="16"/>
        <v>43469.0219152965j</v>
      </c>
      <c r="J195" t="str">
        <f t="shared" ref="J195:J258" si="22">IMDIV(Aolv,IMSUM(1,IMDIV(I195,wc)))</f>
        <v>2.08929176570483-1445.43675080052j</v>
      </c>
      <c r="K195">
        <f t="shared" si="17"/>
        <v>63.199990926311699</v>
      </c>
      <c r="L195">
        <f t="shared" si="18"/>
        <v>-89.917182459272667</v>
      </c>
      <c r="M195">
        <f t="shared" si="19"/>
        <v>2.08929176570483</v>
      </c>
      <c r="N195">
        <f t="shared" si="20"/>
        <v>-1445.43675080052</v>
      </c>
    </row>
    <row r="196" spans="7:14" x14ac:dyDescent="0.25">
      <c r="G196">
        <v>2.86</v>
      </c>
      <c r="H196">
        <f t="shared" si="21"/>
        <v>7244.3596007499027</v>
      </c>
      <c r="I196" t="str">
        <f t="shared" ref="I196:I259" si="23">COMPLEX(0,H196*2*PI(),"j")</f>
        <v>45517.6538033572j</v>
      </c>
      <c r="J196" t="str">
        <f t="shared" si="22"/>
        <v>1.90545708718961-1380.3816343399j</v>
      </c>
      <c r="K196">
        <f t="shared" ref="K196:K259" si="24">20*LOG(IMABS(J196))</f>
        <v>62.799991724697094</v>
      </c>
      <c r="L196">
        <f t="shared" ref="L196:L259" si="25">DEGREES(IMARGUMENT(J196))</f>
        <v>-89.920909857766347</v>
      </c>
      <c r="M196">
        <f t="shared" ref="M196:M259" si="26">IMREAL(J196)</f>
        <v>1.9054570871896099</v>
      </c>
      <c r="N196">
        <f t="shared" ref="N196:N259" si="27">IMAGINARY(J196)</f>
        <v>-1380.3816343399001</v>
      </c>
    </row>
    <row r="197" spans="7:14" x14ac:dyDescent="0.25">
      <c r="G197">
        <v>2.88</v>
      </c>
      <c r="H197">
        <f t="shared" si="21"/>
        <v>7585.7757502918375</v>
      </c>
      <c r="I197" t="str">
        <f t="shared" si="23"/>
        <v>47662.8347377929j</v>
      </c>
      <c r="J197" t="str">
        <f t="shared" si="22"/>
        <v>1.7377978088029-1318.25444769274j</v>
      </c>
      <c r="K197">
        <f t="shared" si="24"/>
        <v>62.399992452833487</v>
      </c>
      <c r="L197">
        <f t="shared" si="25"/>
        <v>-89.924469496318352</v>
      </c>
      <c r="M197">
        <f t="shared" si="26"/>
        <v>1.7377978088029</v>
      </c>
      <c r="N197">
        <f t="shared" si="27"/>
        <v>-1318.2544476927401</v>
      </c>
    </row>
    <row r="198" spans="7:14" x14ac:dyDescent="0.25">
      <c r="G198">
        <v>2.9</v>
      </c>
      <c r="H198">
        <f t="shared" si="21"/>
        <v>7943.2823472428208</v>
      </c>
      <c r="I198" t="str">
        <f t="shared" si="23"/>
        <v>49909.1149349751j</v>
      </c>
      <c r="J198" t="str">
        <f t="shared" si="22"/>
        <v>1.58489068057866-1258.92341653501j</v>
      </c>
      <c r="K198">
        <f t="shared" si="24"/>
        <v>61.999993116901742</v>
      </c>
      <c r="L198">
        <f t="shared" si="25"/>
        <v>-89.92786892528909</v>
      </c>
      <c r="M198">
        <f t="shared" si="26"/>
        <v>1.58489068057866</v>
      </c>
      <c r="N198">
        <f t="shared" si="27"/>
        <v>-1258.9234165350099</v>
      </c>
    </row>
    <row r="199" spans="7:14" x14ac:dyDescent="0.25">
      <c r="G199">
        <v>2.92</v>
      </c>
      <c r="H199">
        <f t="shared" si="21"/>
        <v>8317.6377110267131</v>
      </c>
      <c r="I199" t="str">
        <f t="shared" si="23"/>
        <v>52261.2590563659j</v>
      </c>
      <c r="J199" t="str">
        <f t="shared" si="22"/>
        <v>1.44543768145281-1202.26269681909j</v>
      </c>
      <c r="K199">
        <f t="shared" si="24"/>
        <v>61.599993722539324</v>
      </c>
      <c r="L199">
        <f t="shared" si="25"/>
        <v>-89.931115355227277</v>
      </c>
      <c r="M199">
        <f t="shared" si="26"/>
        <v>1.44543768145281</v>
      </c>
      <c r="N199">
        <f t="shared" si="27"/>
        <v>-1202.26269681909</v>
      </c>
    </row>
    <row r="200" spans="7:14" x14ac:dyDescent="0.25">
      <c r="G200">
        <v>2.94</v>
      </c>
      <c r="H200">
        <f t="shared" si="21"/>
        <v>8709.6358995608098</v>
      </c>
      <c r="I200" t="str">
        <f t="shared" si="23"/>
        <v>54724.2563150043j</v>
      </c>
      <c r="J200" t="str">
        <f t="shared" si="22"/>
        <v>1.31825500075787-1148.15210793763j</v>
      </c>
      <c r="K200">
        <f t="shared" si="24"/>
        <v>61.199994274887501</v>
      </c>
      <c r="L200">
        <f t="shared" si="25"/>
        <v>-89.934215672162438</v>
      </c>
      <c r="M200">
        <f t="shared" si="26"/>
        <v>1.3182550007578699</v>
      </c>
      <c r="N200">
        <f t="shared" si="27"/>
        <v>-1148.15210793763</v>
      </c>
    </row>
    <row r="201" spans="7:14" x14ac:dyDescent="0.25">
      <c r="G201">
        <v>2.96</v>
      </c>
      <c r="H201">
        <f t="shared" si="21"/>
        <v>9120.1083935590977</v>
      </c>
      <c r="I201" t="str">
        <f t="shared" si="23"/>
        <v>57303.3310582957j</v>
      </c>
      <c r="J201" t="str">
        <f t="shared" si="22"/>
        <v>1.20226298917938-1096.47687788803j</v>
      </c>
      <c r="K201">
        <f t="shared" si="24"/>
        <v>60.799994778635032</v>
      </c>
      <c r="L201">
        <f t="shared" si="25"/>
        <v>-89.937176452209712</v>
      </c>
      <c r="M201">
        <f t="shared" si="26"/>
        <v>1.2022629891793799</v>
      </c>
      <c r="N201">
        <f t="shared" si="27"/>
        <v>-1096.47687788803</v>
      </c>
    </row>
    <row r="202" spans="7:14" x14ac:dyDescent="0.25">
      <c r="G202">
        <v>2.98</v>
      </c>
      <c r="H202">
        <f t="shared" si="21"/>
        <v>9549.9258602143673</v>
      </c>
      <c r="I202" t="str">
        <f t="shared" si="23"/>
        <v>60003.9538495533j</v>
      </c>
      <c r="J202" t="str">
        <f t="shared" si="22"/>
        <v>1.09647699388007-1047.12739989854j</v>
      </c>
      <c r="K202">
        <f t="shared" si="24"/>
        <v>60.399995238058331</v>
      </c>
      <c r="L202">
        <f t="shared" si="25"/>
        <v>-89.940003975517129</v>
      </c>
      <c r="M202">
        <f t="shared" si="26"/>
        <v>1.09647699388007</v>
      </c>
      <c r="N202">
        <f t="shared" si="27"/>
        <v>-1047.12739989854</v>
      </c>
    </row>
    <row r="203" spans="7:14" x14ac:dyDescent="0.25">
      <c r="G203">
        <v>3</v>
      </c>
      <c r="H203">
        <f t="shared" si="21"/>
        <v>10000</v>
      </c>
      <c r="I203" t="str">
        <f t="shared" si="23"/>
        <v>62831.8530717959j</v>
      </c>
      <c r="J203" t="str">
        <f t="shared" si="22"/>
        <v>0.999999000001-999.999000001j</v>
      </c>
      <c r="K203">
        <f t="shared" si="24"/>
        <v>59.999995657057354</v>
      </c>
      <c r="L203">
        <f t="shared" si="25"/>
        <v>-89.94270423958551</v>
      </c>
      <c r="M203">
        <f t="shared" si="26"/>
        <v>0.99999900000099995</v>
      </c>
      <c r="N203">
        <f t="shared" si="27"/>
        <v>-999.99900000100001</v>
      </c>
    </row>
    <row r="204" spans="7:14" x14ac:dyDescent="0.25">
      <c r="G204">
        <v>3.02</v>
      </c>
      <c r="H204">
        <f t="shared" ref="H204:H267" si="28">$B$3*10^G204</f>
        <v>10471.285480508999</v>
      </c>
      <c r="I204" t="str">
        <f t="shared" si="23"/>
        <v>65793.0270784171j</v>
      </c>
      <c r="J204" t="str">
        <f t="shared" si="22"/>
        <v>0.912010007592896-954.99171505864j</v>
      </c>
      <c r="K204">
        <f t="shared" si="24"/>
        <v>59.599996039189051</v>
      </c>
      <c r="L204">
        <f t="shared" si="25"/>
        <v>-89.94528297198886</v>
      </c>
      <c r="M204">
        <f t="shared" si="26"/>
        <v>0.91201000759289597</v>
      </c>
      <c r="N204">
        <f t="shared" si="27"/>
        <v>-954.99171505864001</v>
      </c>
    </row>
    <row r="205" spans="7:14" x14ac:dyDescent="0.25">
      <c r="G205">
        <v>3.04</v>
      </c>
      <c r="H205">
        <f t="shared" si="28"/>
        <v>10964.781961431863</v>
      </c>
      <c r="I205" t="str">
        <f t="shared" si="23"/>
        <v>68893.7569164965j</v>
      </c>
      <c r="J205" t="str">
        <f t="shared" si="22"/>
        <v>0.831763079272268-912.010080778962j</v>
      </c>
      <c r="K205">
        <f t="shared" si="24"/>
        <v>59.199996387697311</v>
      </c>
      <c r="L205">
        <f t="shared" si="25"/>
        <v>-89.947745642522477</v>
      </c>
      <c r="M205">
        <f t="shared" si="26"/>
        <v>0.831763079272268</v>
      </c>
      <c r="N205">
        <f t="shared" si="27"/>
        <v>-912.01008077896199</v>
      </c>
    </row>
    <row r="206" spans="7:14" x14ac:dyDescent="0.25">
      <c r="G206">
        <v>3.06</v>
      </c>
      <c r="H206">
        <f t="shared" si="28"/>
        <v>11481.536214968839</v>
      </c>
      <c r="I206" t="str">
        <f t="shared" si="23"/>
        <v>72140.6196497425j</v>
      </c>
      <c r="J206" t="str">
        <f t="shared" si="22"/>
        <v>0.758576999589686-870.962929263136j</v>
      </c>
      <c r="K206">
        <f t="shared" si="24"/>
        <v>58.799996705540721</v>
      </c>
      <c r="L206">
        <f t="shared" si="25"/>
        <v>-89.950097474804267</v>
      </c>
      <c r="M206">
        <f t="shared" si="26"/>
        <v>0.75857699958968605</v>
      </c>
      <c r="N206">
        <f t="shared" si="27"/>
        <v>-870.96292926313595</v>
      </c>
    </row>
    <row r="207" spans="7:14" x14ac:dyDescent="0.25">
      <c r="G207">
        <v>3.08</v>
      </c>
      <c r="H207">
        <f t="shared" si="28"/>
        <v>12022.644346174138</v>
      </c>
      <c r="I207" t="str">
        <f t="shared" si="23"/>
        <v>75540.5023093271j</v>
      </c>
      <c r="J207" t="str">
        <f t="shared" si="22"/>
        <v>0.691830492289179-831.763195663134j</v>
      </c>
      <c r="K207">
        <f t="shared" si="24"/>
        <v>58.399996995417325</v>
      </c>
      <c r="L207">
        <f t="shared" si="25"/>
        <v>-89.952343457354019</v>
      </c>
      <c r="M207">
        <f t="shared" si="26"/>
        <v>0.69183049228917903</v>
      </c>
      <c r="N207">
        <f t="shared" si="27"/>
        <v>-831.76319566313396</v>
      </c>
    </row>
    <row r="208" spans="7:14" x14ac:dyDescent="0.25">
      <c r="G208">
        <v>3.1</v>
      </c>
      <c r="H208">
        <f t="shared" si="28"/>
        <v>12589.25411794168</v>
      </c>
      <c r="I208" t="str">
        <f t="shared" si="23"/>
        <v>79100.6165022013j</v>
      </c>
      <c r="J208" t="str">
        <f t="shared" si="22"/>
        <v>0.630956946373271-794.327733537362j</v>
      </c>
      <c r="K208">
        <f t="shared" si="24"/>
        <v>57.999997259787904</v>
      </c>
      <c r="L208">
        <f t="shared" si="25"/>
        <v>-89.954488354174188</v>
      </c>
      <c r="M208">
        <f t="shared" si="26"/>
        <v>0.63095694637327104</v>
      </c>
      <c r="N208">
        <f t="shared" si="27"/>
        <v>-794.32773353736195</v>
      </c>
    </row>
    <row r="209" spans="7:14" x14ac:dyDescent="0.25">
      <c r="G209">
        <v>3.12</v>
      </c>
      <c r="H209">
        <f t="shared" si="28"/>
        <v>13182.567385564089</v>
      </c>
      <c r="I209" t="str">
        <f t="shared" si="23"/>
        <v>82828.5137078811j</v>
      </c>
      <c r="J209" t="str">
        <f t="shared" si="22"/>
        <v>0.575439606206223-758.577138513601j</v>
      </c>
      <c r="K209">
        <f t="shared" si="24"/>
        <v>57.599997500896805</v>
      </c>
      <c r="L209">
        <f t="shared" si="25"/>
        <v>-89.956536714854408</v>
      </c>
      <c r="M209">
        <f t="shared" si="26"/>
        <v>0.57543960620622303</v>
      </c>
      <c r="N209">
        <f t="shared" si="27"/>
        <v>-758.57713851360097</v>
      </c>
    </row>
    <row r="210" spans="7:14" x14ac:dyDescent="0.25">
      <c r="G210">
        <v>3.14</v>
      </c>
      <c r="H210">
        <f t="shared" si="28"/>
        <v>13803.842646028863</v>
      </c>
      <c r="I210" t="str">
        <f t="shared" si="23"/>
        <v>86732.1012961475j</v>
      </c>
      <c r="J210" t="str">
        <f t="shared" si="22"/>
        <v>0.524807184827043-724.435579885791j</v>
      </c>
      <c r="K210">
        <f t="shared" si="24"/>
        <v>57.199997720790734</v>
      </c>
      <c r="L210">
        <f t="shared" si="25"/>
        <v>-89.958492884221286</v>
      </c>
      <c r="M210">
        <f t="shared" si="26"/>
        <v>0.52480718482704303</v>
      </c>
      <c r="N210">
        <f t="shared" si="27"/>
        <v>-724.43557988579096</v>
      </c>
    </row>
    <row r="211" spans="7:14" x14ac:dyDescent="0.25">
      <c r="G211">
        <v>3.16</v>
      </c>
      <c r="H211">
        <f t="shared" si="28"/>
        <v>14454.397707459288</v>
      </c>
      <c r="I211" t="str">
        <f t="shared" si="23"/>
        <v>90819.6592996385j</v>
      </c>
      <c r="J211" t="str">
        <f t="shared" si="22"/>
        <v>0.478629863235981-691.830639787972j</v>
      </c>
      <c r="K211">
        <f t="shared" si="24"/>
        <v>56.799997921336399</v>
      </c>
      <c r="L211">
        <f t="shared" si="25"/>
        <v>-89.960361011554042</v>
      </c>
      <c r="M211">
        <f t="shared" si="26"/>
        <v>0.478629863235981</v>
      </c>
      <c r="N211">
        <f t="shared" si="27"/>
        <v>-691.83063978797202</v>
      </c>
    </row>
    <row r="212" spans="7:14" x14ac:dyDescent="0.25">
      <c r="G212">
        <v>3.18</v>
      </c>
      <c r="H212">
        <f t="shared" si="28"/>
        <v>15135.612484362093</v>
      </c>
      <c r="I212" t="str">
        <f t="shared" si="23"/>
        <v>95099.8579769078j</v>
      </c>
      <c r="J212" t="str">
        <f t="shared" si="22"/>
        <v>0.436515641694176-660.693159604571j</v>
      </c>
      <c r="K212">
        <f t="shared" si="24"/>
        <v>56.399998104236232</v>
      </c>
      <c r="L212">
        <f t="shared" si="25"/>
        <v>-89.962145059385321</v>
      </c>
      <c r="M212">
        <f t="shared" si="26"/>
        <v>0.436515641694176</v>
      </c>
      <c r="N212">
        <f t="shared" si="27"/>
        <v>-660.69315960457095</v>
      </c>
    </row>
    <row r="213" spans="7:14" x14ac:dyDescent="0.25">
      <c r="G213">
        <v>3.2</v>
      </c>
      <c r="H213">
        <f t="shared" si="28"/>
        <v>15848.931924611155</v>
      </c>
      <c r="I213" t="str">
        <f t="shared" si="23"/>
        <v>99581.7762032063j</v>
      </c>
      <c r="J213" t="str">
        <f t="shared" si="22"/>
        <v>0.398107012064238-630.957093291648j</v>
      </c>
      <c r="K213">
        <f t="shared" si="24"/>
        <v>55.999998271042841</v>
      </c>
      <c r="L213">
        <f t="shared" si="25"/>
        <v>-89.963848811905862</v>
      </c>
      <c r="M213">
        <f t="shared" si="26"/>
        <v>0.39810701206423799</v>
      </c>
      <c r="N213">
        <f t="shared" si="27"/>
        <v>-630.95709329164799</v>
      </c>
    </row>
    <row r="214" spans="7:14" x14ac:dyDescent="0.25">
      <c r="G214">
        <v>3.22</v>
      </c>
      <c r="H214">
        <f t="shared" si="28"/>
        <v>16595.869074375627</v>
      </c>
      <c r="I214" t="str">
        <f t="shared" si="23"/>
        <v>104274.920727993j</v>
      </c>
      <c r="J214" t="str">
        <f t="shared" si="22"/>
        <v>0.363077922944476-602.559367298275j</v>
      </c>
      <c r="K214">
        <f t="shared" si="24"/>
        <v>55.59999842317233</v>
      </c>
      <c r="L214">
        <f t="shared" si="25"/>
        <v>-89.965475882991115</v>
      </c>
      <c r="M214">
        <f t="shared" si="26"/>
        <v>0.36307792294447599</v>
      </c>
      <c r="N214">
        <f t="shared" si="27"/>
        <v>-602.55936729827499</v>
      </c>
    </row>
    <row r="215" spans="7:14" x14ac:dyDescent="0.25">
      <c r="G215">
        <v>3.24</v>
      </c>
      <c r="H215">
        <f t="shared" si="28"/>
        <v>17378.008287493773</v>
      </c>
      <c r="I215" t="str">
        <f t="shared" si="23"/>
        <v>109189.246340026j</v>
      </c>
      <c r="J215" t="str">
        <f t="shared" si="22"/>
        <v>0.331131011834806-575.439746791147j</v>
      </c>
      <c r="K215">
        <f t="shared" si="24"/>
        <v>55.199998561916033</v>
      </c>
      <c r="L215">
        <f t="shared" si="25"/>
        <v>-89.967029723866474</v>
      </c>
      <c r="M215">
        <f t="shared" si="26"/>
        <v>0.33113101183480598</v>
      </c>
      <c r="N215">
        <f t="shared" si="27"/>
        <v>-575.43974679114694</v>
      </c>
    </row>
    <row r="216" spans="7:14" x14ac:dyDescent="0.25">
      <c r="G216">
        <v>3.26</v>
      </c>
      <c r="H216">
        <f t="shared" si="28"/>
        <v>18197.008586099833</v>
      </c>
      <c r="I216" t="str">
        <f t="shared" si="23"/>
        <v>114335.176982803j</v>
      </c>
      <c r="J216" t="str">
        <f t="shared" si="22"/>
        <v>0.301995080839146-549.540707898985j</v>
      </c>
      <c r="K216">
        <f t="shared" si="24"/>
        <v>54.799998688451844</v>
      </c>
      <c r="L216">
        <f t="shared" si="25"/>
        <v>-89.968513630427609</v>
      </c>
      <c r="M216">
        <f t="shared" si="26"/>
        <v>0.301995080839146</v>
      </c>
      <c r="N216">
        <f t="shared" si="27"/>
        <v>-549.54070789898503</v>
      </c>
    </row>
    <row r="217" spans="7:14" x14ac:dyDescent="0.25">
      <c r="G217">
        <v>3.28</v>
      </c>
      <c r="H217">
        <f t="shared" si="28"/>
        <v>19054.607179632483</v>
      </c>
      <c r="I217" t="str">
        <f t="shared" si="23"/>
        <v>119723.627865145j</v>
      </c>
      <c r="J217" t="str">
        <f t="shared" si="22"/>
        <v>0.275422794476082-524.807315705837j</v>
      </c>
      <c r="K217">
        <f t="shared" si="24"/>
        <v>54.399998803853862</v>
      </c>
      <c r="L217">
        <f t="shared" si="25"/>
        <v>-89.969930750231285</v>
      </c>
      <c r="M217">
        <f t="shared" si="26"/>
        <v>0.27542279447608198</v>
      </c>
      <c r="N217">
        <f t="shared" si="27"/>
        <v>-524.80731570583703</v>
      </c>
    </row>
    <row r="218" spans="7:14" x14ac:dyDescent="0.25">
      <c r="G218">
        <v>3.3</v>
      </c>
      <c r="H218">
        <f t="shared" si="28"/>
        <v>19952.623149688803</v>
      </c>
      <c r="I218" t="str">
        <f t="shared" si="23"/>
        <v>125366.028613816j</v>
      </c>
      <c r="J218" t="str">
        <f t="shared" si="22"/>
        <v>0.251188580055239-501.187107734763j</v>
      </c>
      <c r="K218">
        <f t="shared" si="24"/>
        <v>53.999998909101727</v>
      </c>
      <c r="L218">
        <f t="shared" si="25"/>
        <v>-89.971284089171689</v>
      </c>
      <c r="M218">
        <f t="shared" si="26"/>
        <v>0.25118858005523897</v>
      </c>
      <c r="N218">
        <f t="shared" si="27"/>
        <v>-501.187107734763</v>
      </c>
    </row>
    <row r="219" spans="7:14" x14ac:dyDescent="0.25">
      <c r="G219">
        <v>3.32</v>
      </c>
      <c r="H219">
        <f t="shared" si="28"/>
        <v>20892.961308540398</v>
      </c>
      <c r="I219" t="str">
        <f t="shared" si="23"/>
        <v>131274.347517293j</v>
      </c>
      <c r="J219" t="str">
        <f t="shared" si="22"/>
        <v>0.229086712796041-478.629982674841j</v>
      </c>
      <c r="K219">
        <f t="shared" si="24"/>
        <v>53.599999005088883</v>
      </c>
      <c r="L219">
        <f t="shared" si="25"/>
        <v>-89.972576517856083</v>
      </c>
      <c r="M219">
        <f t="shared" si="26"/>
        <v>0.22908671279604101</v>
      </c>
      <c r="N219">
        <f t="shared" si="27"/>
        <v>-478.62998267484102</v>
      </c>
    </row>
    <row r="220" spans="7:14" x14ac:dyDescent="0.25">
      <c r="G220">
        <v>3.34</v>
      </c>
      <c r="H220">
        <f t="shared" si="28"/>
        <v>21877.616239495528</v>
      </c>
      <c r="I220" t="str">
        <f t="shared" si="23"/>
        <v>137461.116912112j</v>
      </c>
      <c r="J220" t="str">
        <f t="shared" si="22"/>
        <v>0.208929569433828-457.088094115635j</v>
      </c>
      <c r="K220">
        <f t="shared" si="24"/>
        <v>53.199999092630286</v>
      </c>
      <c r="L220">
        <f t="shared" si="25"/>
        <v>-89.9738107776937</v>
      </c>
      <c r="M220">
        <f t="shared" si="26"/>
        <v>0.20892956943382801</v>
      </c>
      <c r="N220">
        <f t="shared" si="27"/>
        <v>-457.08809411563499</v>
      </c>
    </row>
    <row r="221" spans="7:14" x14ac:dyDescent="0.25">
      <c r="G221">
        <v>3.36</v>
      </c>
      <c r="H221">
        <f t="shared" si="28"/>
        <v>22908.676527677748</v>
      </c>
      <c r="I221" t="str">
        <f t="shared" si="23"/>
        <v>143939.459765635j</v>
      </c>
      <c r="J221" t="str">
        <f t="shared" si="22"/>
        <v>0.190546035488525-436.515749063803j</v>
      </c>
      <c r="K221">
        <f t="shared" si="24"/>
        <v>52.799999172468972</v>
      </c>
      <c r="L221">
        <f t="shared" si="25"/>
        <v>-89.974989486710541</v>
      </c>
      <c r="M221">
        <f t="shared" si="26"/>
        <v>0.190546035488525</v>
      </c>
      <c r="N221">
        <f t="shared" si="27"/>
        <v>-436.51574906380301</v>
      </c>
    </row>
    <row r="222" spans="7:14" x14ac:dyDescent="0.25">
      <c r="G222">
        <v>3.38</v>
      </c>
      <c r="H222">
        <f t="shared" si="28"/>
        <v>23988.32919019492</v>
      </c>
      <c r="I222" t="str">
        <f t="shared" si="23"/>
        <v>150723.11751162j</v>
      </c>
      <c r="J222" t="str">
        <f t="shared" si="22"/>
        <v>0.173780052675426-416.869311026752j</v>
      </c>
      <c r="K222">
        <f t="shared" si="24"/>
        <v>52.399999245282757</v>
      </c>
      <c r="L222">
        <f t="shared" si="25"/>
        <v>-89.976115145102497</v>
      </c>
      <c r="M222">
        <f t="shared" si="26"/>
        <v>0.17378005267542601</v>
      </c>
      <c r="N222">
        <f t="shared" si="27"/>
        <v>-416.86931102675197</v>
      </c>
    </row>
    <row r="223" spans="7:14" x14ac:dyDescent="0.25">
      <c r="G223">
        <v>3.4</v>
      </c>
      <c r="H223">
        <f t="shared" si="28"/>
        <v>25118.864315095812</v>
      </c>
      <c r="I223" t="str">
        <f t="shared" si="23"/>
        <v>157826.479197648j</v>
      </c>
      <c r="J223" t="str">
        <f t="shared" si="22"/>
        <v>0.15848929412725-398.107107457771j</v>
      </c>
      <c r="K223">
        <f t="shared" si="24"/>
        <v>51.999999311689649</v>
      </c>
      <c r="L223">
        <f t="shared" si="25"/>
        <v>-89.977190140538426</v>
      </c>
      <c r="M223">
        <f t="shared" si="26"/>
        <v>0.15848929412724999</v>
      </c>
      <c r="N223">
        <f t="shared" si="27"/>
        <v>-398.10710745777101</v>
      </c>
    </row>
    <row r="224" spans="7:14" x14ac:dyDescent="0.25">
      <c r="G224">
        <v>3.42</v>
      </c>
      <c r="H224">
        <f t="shared" si="28"/>
        <v>26302.679918953821</v>
      </c>
      <c r="I224" t="str">
        <f t="shared" si="23"/>
        <v>165264.612006218j</v>
      </c>
      <c r="J224" t="str">
        <f t="shared" si="22"/>
        <v>0.144543956181635-380.189341366482j</v>
      </c>
      <c r="K224">
        <f t="shared" si="24"/>
        <v>51.599999372253535</v>
      </c>
      <c r="L224">
        <f t="shared" si="25"/>
        <v>-89.978216753224757</v>
      </c>
      <c r="M224">
        <f t="shared" si="26"/>
        <v>0.14454395618163501</v>
      </c>
      <c r="N224">
        <f t="shared" si="27"/>
        <v>-380.18934136648198</v>
      </c>
    </row>
    <row r="225" spans="7:14" x14ac:dyDescent="0.25">
      <c r="G225">
        <v>3.44</v>
      </c>
      <c r="H225">
        <f t="shared" si="28"/>
        <v>27542.28703338169</v>
      </c>
      <c r="I225" t="str">
        <f t="shared" si="23"/>
        <v>173053.293214267j</v>
      </c>
      <c r="J225" t="str">
        <f t="shared" si="22"/>
        <v>0.131825656477634-363.078006907098j</v>
      </c>
      <c r="K225">
        <f t="shared" si="24"/>
        <v>51.1999994274884</v>
      </c>
      <c r="L225">
        <f t="shared" si="25"/>
        <v>-89.979197160741975</v>
      </c>
      <c r="M225">
        <f t="shared" si="26"/>
        <v>0.131825656477634</v>
      </c>
      <c r="N225">
        <f t="shared" si="27"/>
        <v>-363.07800690709797</v>
      </c>
    </row>
    <row r="226" spans="7:14" x14ac:dyDescent="0.25">
      <c r="G226">
        <v>3.46</v>
      </c>
      <c r="H226">
        <f t="shared" si="28"/>
        <v>28840.315031266076</v>
      </c>
      <c r="I226" t="str">
        <f t="shared" si="23"/>
        <v>181209.043658882j</v>
      </c>
      <c r="J226" t="str">
        <f t="shared" si="22"/>
        <v>0.120226429007345-346.736808765598j</v>
      </c>
      <c r="K226">
        <f t="shared" si="24"/>
        <v>50.79999947786321</v>
      </c>
      <c r="L226">
        <f t="shared" si="25"/>
        <v>-89.980133442663572</v>
      </c>
      <c r="M226">
        <f t="shared" si="26"/>
        <v>0.120226429007345</v>
      </c>
      <c r="N226">
        <f t="shared" si="27"/>
        <v>-346.73680876559803</v>
      </c>
    </row>
    <row r="227" spans="7:14" x14ac:dyDescent="0.25">
      <c r="G227">
        <v>3.48</v>
      </c>
      <c r="H227">
        <f t="shared" si="28"/>
        <v>30199.517204020176</v>
      </c>
      <c r="I227" t="str">
        <f t="shared" si="23"/>
        <v>189749.162780217j</v>
      </c>
      <c r="J227" t="str">
        <f t="shared" si="22"/>
        <v>0.109647807591675-331.131085174789j</v>
      </c>
      <c r="K227">
        <f t="shared" si="24"/>
        <v>50.399999523805583</v>
      </c>
      <c r="L227">
        <f t="shared" si="25"/>
        <v>-89.981027584967052</v>
      </c>
      <c r="M227">
        <f t="shared" si="26"/>
        <v>0.109647807591675</v>
      </c>
      <c r="N227">
        <f t="shared" si="27"/>
        <v>-331.13108517478901</v>
      </c>
    </row>
    <row r="228" spans="7:14" x14ac:dyDescent="0.25">
      <c r="G228">
        <v>3.5</v>
      </c>
      <c r="H228">
        <f t="shared" si="28"/>
        <v>31622.776601683803</v>
      </c>
      <c r="I228" t="str">
        <f t="shared" si="23"/>
        <v>198691.765315922j</v>
      </c>
      <c r="J228" t="str">
        <f t="shared" si="22"/>
        <v>0.099999990000001-316.227734394064j</v>
      </c>
      <c r="K228">
        <f t="shared" si="24"/>
        <v>49.999999565705522</v>
      </c>
      <c r="L228">
        <f t="shared" si="25"/>
        <v>-89.981881484246344</v>
      </c>
      <c r="M228">
        <f t="shared" si="26"/>
        <v>9.9999990000000996E-2</v>
      </c>
      <c r="N228">
        <f t="shared" si="27"/>
        <v>-316.22773439406399</v>
      </c>
    </row>
    <row r="229" spans="7:14" x14ac:dyDescent="0.25">
      <c r="G229">
        <v>3.52</v>
      </c>
      <c r="H229">
        <f t="shared" si="28"/>
        <v>33113.112148259112</v>
      </c>
      <c r="I229" t="str">
        <f t="shared" si="23"/>
        <v>208055.819724932j</v>
      </c>
      <c r="J229" t="str">
        <f t="shared" si="22"/>
        <v>0.0912010756179535-301.995144497916j</v>
      </c>
      <c r="K229">
        <f t="shared" si="24"/>
        <v>49.599999603918704</v>
      </c>
      <c r="L229">
        <f t="shared" si="25"/>
        <v>-89.982696951734795</v>
      </c>
      <c r="M229">
        <f t="shared" si="26"/>
        <v>9.12010756179535E-2</v>
      </c>
      <c r="N229">
        <f t="shared" si="27"/>
        <v>-301.99514449791599</v>
      </c>
    </row>
    <row r="230" spans="7:14" x14ac:dyDescent="0.25">
      <c r="G230">
        <v>3.54</v>
      </c>
      <c r="H230">
        <f t="shared" si="28"/>
        <v>34673.685045253224</v>
      </c>
      <c r="I230" t="str">
        <f t="shared" si="23"/>
        <v>217861.188422108j</v>
      </c>
      <c r="J230" t="str">
        <f t="shared" si="22"/>
        <v>0.0831763701919573-288.403126324332j</v>
      </c>
      <c r="K230">
        <f t="shared" si="24"/>
        <v>49.199999638769555</v>
      </c>
      <c r="L230">
        <f t="shared" si="25"/>
        <v>-89.983475717146959</v>
      </c>
      <c r="M230">
        <f t="shared" si="26"/>
        <v>8.3176370191957297E-2</v>
      </c>
      <c r="N230">
        <f t="shared" si="27"/>
        <v>-288.40312632433199</v>
      </c>
    </row>
    <row r="231" spans="7:14" x14ac:dyDescent="0.25">
      <c r="G231">
        <v>3.56</v>
      </c>
      <c r="H231">
        <f t="shared" si="28"/>
        <v>36307.805477010188</v>
      </c>
      <c r="I231" t="str">
        <f t="shared" si="23"/>
        <v>228128.669909085j</v>
      </c>
      <c r="J231" t="str">
        <f t="shared" si="22"/>
        <v>0.0758577517485192-275.422849440856j</v>
      </c>
      <c r="K231">
        <f t="shared" si="24"/>
        <v>48.79999967055393</v>
      </c>
      <c r="L231">
        <f t="shared" si="25"/>
        <v>-89.984219432347516</v>
      </c>
      <c r="M231">
        <f t="shared" si="26"/>
        <v>7.5857751748519206E-2</v>
      </c>
      <c r="N231">
        <f t="shared" si="27"/>
        <v>-275.422849440856</v>
      </c>
    </row>
    <row r="232" spans="7:14" x14ac:dyDescent="0.25">
      <c r="G232">
        <v>3.58</v>
      </c>
      <c r="H232">
        <f t="shared" si="28"/>
        <v>38018.939632056172</v>
      </c>
      <c r="I232" t="str">
        <f t="shared" si="23"/>
        <v>238880.042890683j</v>
      </c>
      <c r="J232" t="str">
        <f t="shared" si="22"/>
        <v>0.0691830923055928-263.02678099253j</v>
      </c>
      <c r="K232">
        <f t="shared" si="24"/>
        <v>48.39999969954161</v>
      </c>
      <c r="L232">
        <f t="shared" si="25"/>
        <v>-89.984929674855138</v>
      </c>
      <c r="M232">
        <f t="shared" si="26"/>
        <v>6.9183092305592803E-2</v>
      </c>
      <c r="N232">
        <f t="shared" si="27"/>
        <v>-263.02678099253001</v>
      </c>
    </row>
    <row r="233" spans="7:14" x14ac:dyDescent="0.25">
      <c r="G233">
        <v>3.6</v>
      </c>
      <c r="H233">
        <f t="shared" si="28"/>
        <v>39810.717055349771</v>
      </c>
      <c r="I233" t="str">
        <f t="shared" si="23"/>
        <v>250138.112470457j</v>
      </c>
      <c r="J233" t="str">
        <f t="shared" si="22"/>
        <v>0.0630957304669479-251.188627302027j</v>
      </c>
      <c r="K233">
        <f t="shared" si="24"/>
        <v>47.999999725978711</v>
      </c>
      <c r="L233">
        <f t="shared" si="25"/>
        <v>-89.985607951188527</v>
      </c>
      <c r="M233">
        <f t="shared" si="26"/>
        <v>6.30957304669479E-2</v>
      </c>
      <c r="N233">
        <f t="shared" si="27"/>
        <v>-251.18862730202699</v>
      </c>
    </row>
    <row r="234" spans="7:14" x14ac:dyDescent="0.25">
      <c r="G234">
        <v>3.62</v>
      </c>
      <c r="H234">
        <f t="shared" si="28"/>
        <v>41686.938347033582</v>
      </c>
      <c r="I234" t="str">
        <f t="shared" si="23"/>
        <v>261926.758523383j</v>
      </c>
      <c r="J234" t="str">
        <f t="shared" si="22"/>
        <v>0.0575439904224045-239.883278098107j</v>
      </c>
      <c r="K234">
        <f t="shared" si="24"/>
        <v>47.599999750089609</v>
      </c>
      <c r="L234">
        <f t="shared" si="25"/>
        <v>-89.98625570006196</v>
      </c>
      <c r="M234">
        <f t="shared" si="26"/>
        <v>5.7543990422404503E-2</v>
      </c>
      <c r="N234">
        <f t="shared" si="27"/>
        <v>-239.88327809810701</v>
      </c>
    </row>
    <row r="235" spans="7:14" x14ac:dyDescent="0.25">
      <c r="G235">
        <v>3.64</v>
      </c>
      <c r="H235">
        <f t="shared" si="28"/>
        <v>43651.583224016635</v>
      </c>
      <c r="I235" t="str">
        <f t="shared" si="23"/>
        <v>274270.986348268j</v>
      </c>
      <c r="J235" t="str">
        <f t="shared" si="22"/>
        <v>0.0524807432707487-229.086753254134j</v>
      </c>
      <c r="K235">
        <f t="shared" si="24"/>
        <v>47.199999772079039</v>
      </c>
      <c r="L235">
        <f t="shared" si="25"/>
        <v>-89.986874295436962</v>
      </c>
      <c r="M235">
        <f t="shared" si="26"/>
        <v>5.2480743270748698E-2</v>
      </c>
      <c r="N235">
        <f t="shared" si="27"/>
        <v>-229.08675325413401</v>
      </c>
    </row>
    <row r="236" spans="7:14" x14ac:dyDescent="0.25">
      <c r="G236">
        <v>3.66</v>
      </c>
      <c r="H236">
        <f t="shared" si="28"/>
        <v>45708.81896148753</v>
      </c>
      <c r="I236" t="str">
        <f t="shared" si="23"/>
        <v>287196.97970735j</v>
      </c>
      <c r="J236" t="str">
        <f t="shared" si="22"/>
        <v>0.0478630069413963-218.77615192367j</v>
      </c>
      <c r="K236">
        <f t="shared" si="24"/>
        <v>46.79999979213359</v>
      </c>
      <c r="L236">
        <f t="shared" si="25"/>
        <v>-89.987465049436693</v>
      </c>
      <c r="M236">
        <f t="shared" si="26"/>
        <v>4.7863006941396301E-2</v>
      </c>
      <c r="N236">
        <f t="shared" si="27"/>
        <v>-218.77615192367</v>
      </c>
    </row>
    <row r="237" spans="7:14" x14ac:dyDescent="0.25">
      <c r="G237">
        <v>3.68</v>
      </c>
      <c r="H237">
        <f t="shared" si="28"/>
        <v>47863.009232263852</v>
      </c>
      <c r="I237" t="str">
        <f t="shared" si="23"/>
        <v>300732.156365561j</v>
      </c>
      <c r="J237" t="str">
        <f t="shared" si="22"/>
        <v>0.043651581318556-208.929603965296j</v>
      </c>
      <c r="K237">
        <f t="shared" si="24"/>
        <v>46.399999810423587</v>
      </c>
      <c r="L237">
        <f t="shared" si="25"/>
        <v>-89.988029215129089</v>
      </c>
      <c r="M237">
        <f t="shared" si="26"/>
        <v>4.3651581318556003E-2</v>
      </c>
      <c r="N237">
        <f t="shared" si="27"/>
        <v>-208.929603965296</v>
      </c>
    </row>
    <row r="238" spans="7:14" x14ac:dyDescent="0.25">
      <c r="G238">
        <v>3.7</v>
      </c>
      <c r="H238">
        <f t="shared" si="28"/>
        <v>50118.723362727324</v>
      </c>
      <c r="I238" t="str">
        <f t="shared" si="23"/>
        <v>314905.226247287j</v>
      </c>
      <c r="J238" t="str">
        <f t="shared" si="22"/>
        <v>0.0398107154704563-199.526223553605j</v>
      </c>
      <c r="K238">
        <f t="shared" si="24"/>
        <v>45.999999827104219</v>
      </c>
      <c r="L238">
        <f t="shared" si="25"/>
        <v>-89.988567989184787</v>
      </c>
      <c r="M238">
        <f t="shared" si="26"/>
        <v>3.9810715470456302E-2</v>
      </c>
      <c r="N238">
        <f t="shared" si="27"/>
        <v>-199.52622355360501</v>
      </c>
    </row>
    <row r="239" spans="7:14" x14ac:dyDescent="0.25">
      <c r="G239">
        <v>3.72</v>
      </c>
      <c r="H239">
        <f t="shared" si="28"/>
        <v>52480.74602497735</v>
      </c>
      <c r="I239" t="str">
        <f t="shared" si="23"/>
        <v>329746.252333961j</v>
      </c>
      <c r="J239" t="str">
        <f t="shared" si="22"/>
        <v>0.0363078041587534-190.546064878015j</v>
      </c>
      <c r="K239">
        <f t="shared" si="24"/>
        <v>45.599999842317196</v>
      </c>
      <c r="L239">
        <f t="shared" si="25"/>
        <v>-89.989082514415401</v>
      </c>
      <c r="M239">
        <f t="shared" si="26"/>
        <v>3.6307804158753398E-2</v>
      </c>
      <c r="N239">
        <f t="shared" si="27"/>
        <v>-190.54606487801499</v>
      </c>
    </row>
    <row r="240" spans="7:14" x14ac:dyDescent="0.25">
      <c r="G240">
        <v>3.74</v>
      </c>
      <c r="H240">
        <f t="shared" si="28"/>
        <v>54954.087385762541</v>
      </c>
      <c r="I240" t="str">
        <f t="shared" si="23"/>
        <v>345286.714431686j</v>
      </c>
      <c r="J240" t="str">
        <f t="shared" si="22"/>
        <v>0.0331131110517809-181.970079835403j</v>
      </c>
      <c r="K240">
        <f t="shared" si="24"/>
        <v>45.199999856191596</v>
      </c>
      <c r="L240">
        <f t="shared" si="25"/>
        <v>-89.989573882197618</v>
      </c>
      <c r="M240">
        <f t="shared" si="26"/>
        <v>3.31131110517809E-2</v>
      </c>
      <c r="N240">
        <f t="shared" si="27"/>
        <v>-181.970079835403</v>
      </c>
    </row>
    <row r="241" spans="7:14" x14ac:dyDescent="0.25">
      <c r="G241">
        <v>3.76</v>
      </c>
      <c r="H241">
        <f t="shared" si="28"/>
        <v>57543.993733715673</v>
      </c>
      <c r="I241" t="str">
        <f t="shared" si="23"/>
        <v>361559.575944117j</v>
      </c>
      <c r="J241" t="str">
        <f t="shared" si="22"/>
        <v>0.0301995162920092-173.780077626863j</v>
      </c>
      <c r="K241">
        <f t="shared" si="24"/>
        <v>44.799999868845156</v>
      </c>
      <c r="L241">
        <f t="shared" si="25"/>
        <v>-89.990043134788067</v>
      </c>
      <c r="M241">
        <f t="shared" si="26"/>
        <v>3.0199516292009201E-2</v>
      </c>
      <c r="N241">
        <f t="shared" si="27"/>
        <v>-173.780077626863</v>
      </c>
    </row>
    <row r="242" spans="7:14" x14ac:dyDescent="0.25">
      <c r="G242">
        <v>3.78</v>
      </c>
      <c r="H242">
        <f t="shared" si="28"/>
        <v>60255.958607435852</v>
      </c>
      <c r="I242" t="str">
        <f t="shared" si="23"/>
        <v>378599.353792262j</v>
      </c>
      <c r="J242" t="str">
        <f t="shared" si="22"/>
        <v>0.0275422862748041-165.958686172874j</v>
      </c>
      <c r="K242">
        <f t="shared" si="24"/>
        <v>44.399999880385359</v>
      </c>
      <c r="L242">
        <f t="shared" si="25"/>
        <v>-89.990491267534168</v>
      </c>
      <c r="M242">
        <f t="shared" si="26"/>
        <v>2.7542286274804099E-2</v>
      </c>
      <c r="N242">
        <f t="shared" si="27"/>
        <v>-165.958686172874</v>
      </c>
    </row>
    <row r="243" spans="7:14" x14ac:dyDescent="0.25">
      <c r="G243">
        <v>3.8</v>
      </c>
      <c r="H243">
        <f t="shared" si="28"/>
        <v>63095.734448019386</v>
      </c>
      <c r="I243" t="str">
        <f t="shared" si="23"/>
        <v>396442.1916295j</v>
      </c>
      <c r="J243" t="str">
        <f t="shared" si="22"/>
        <v>0.0251188636841385-158.48931526504j</v>
      </c>
      <c r="K243">
        <f t="shared" si="24"/>
        <v>43.999999890910175</v>
      </c>
      <c r="L243">
        <f t="shared" si="25"/>
        <v>-89.990919230985341</v>
      </c>
      <c r="M243">
        <f t="shared" si="26"/>
        <v>2.5118863684138501E-2</v>
      </c>
      <c r="N243">
        <f t="shared" si="27"/>
        <v>-158.48931526504001</v>
      </c>
    </row>
    <row r="244" spans="7:14" x14ac:dyDescent="0.25">
      <c r="G244">
        <v>3.82</v>
      </c>
      <c r="H244">
        <f t="shared" si="28"/>
        <v>66069.34480075966</v>
      </c>
      <c r="I244" t="str">
        <f t="shared" si="23"/>
        <v>415125.936507115j</v>
      </c>
      <c r="J244" t="str">
        <f t="shared" si="22"/>
        <v>0.0229086760028702-151.356121376252j</v>
      </c>
      <c r="K244">
        <f t="shared" si="24"/>
        <v>43.599999900508863</v>
      </c>
      <c r="L244">
        <f t="shared" si="25"/>
        <v>-89.991327932909243</v>
      </c>
      <c r="M244">
        <f t="shared" si="26"/>
        <v>2.29086760028702E-2</v>
      </c>
      <c r="N244">
        <f t="shared" si="27"/>
        <v>-151.35612137625199</v>
      </c>
    </row>
    <row r="245" spans="7:14" x14ac:dyDescent="0.25">
      <c r="G245">
        <v>3.84</v>
      </c>
      <c r="H245">
        <f t="shared" si="28"/>
        <v>69183.097091893695</v>
      </c>
      <c r="I245" t="str">
        <f t="shared" si="23"/>
        <v>434690.219152965j</v>
      </c>
      <c r="J245" t="str">
        <f t="shared" si="22"/>
        <v>0.0208929608720245-144.543974054641j</v>
      </c>
      <c r="K245">
        <f t="shared" si="24"/>
        <v>43.19999990926302</v>
      </c>
      <c r="L245">
        <f t="shared" si="25"/>
        <v>-89.991718240217267</v>
      </c>
      <c r="M245">
        <f t="shared" si="26"/>
        <v>2.08929608720245E-2</v>
      </c>
      <c r="N245">
        <f t="shared" si="27"/>
        <v>-144.54397405464101</v>
      </c>
    </row>
    <row r="246" spans="7:14" x14ac:dyDescent="0.25">
      <c r="G246">
        <v>3.86</v>
      </c>
      <c r="H246">
        <f t="shared" si="28"/>
        <v>72443.596007499029</v>
      </c>
      <c r="I246" t="str">
        <f t="shared" si="23"/>
        <v>455176.538033572j</v>
      </c>
      <c r="J246" t="str">
        <f t="shared" si="22"/>
        <v>0.0190546068165544-138.03842383002j</v>
      </c>
      <c r="K246">
        <f t="shared" si="24"/>
        <v>42.799999917246858</v>
      </c>
      <c r="L246">
        <f t="shared" si="25"/>
        <v>-89.992090980803425</v>
      </c>
      <c r="M246">
        <f t="shared" si="26"/>
        <v>1.9054606816554399E-2</v>
      </c>
      <c r="N246">
        <f t="shared" si="27"/>
        <v>-138.03842383002001</v>
      </c>
    </row>
    <row r="247" spans="7:14" x14ac:dyDescent="0.25">
      <c r="G247">
        <v>3.88</v>
      </c>
      <c r="H247">
        <f t="shared" si="28"/>
        <v>75857.757502918394</v>
      </c>
      <c r="I247" t="str">
        <f t="shared" si="23"/>
        <v>476628.347377929j</v>
      </c>
      <c r="J247" t="str">
        <f t="shared" si="22"/>
        <v>0.0173780079854986-131.825671564773j</v>
      </c>
      <c r="K247">
        <f t="shared" si="24"/>
        <v>42.399999924528267</v>
      </c>
      <c r="L247">
        <f t="shared" si="25"/>
        <v>-89.992446945300358</v>
      </c>
      <c r="M247">
        <f t="shared" si="26"/>
        <v>1.73780079854986E-2</v>
      </c>
      <c r="N247">
        <f t="shared" si="27"/>
        <v>-131.82567156477299</v>
      </c>
    </row>
    <row r="248" spans="7:14" x14ac:dyDescent="0.25">
      <c r="G248">
        <v>3.9</v>
      </c>
      <c r="H248">
        <f t="shared" si="28"/>
        <v>79432.82347242815</v>
      </c>
      <c r="I248" t="str">
        <f t="shared" si="23"/>
        <v>499091.14934975j</v>
      </c>
      <c r="J248" t="str">
        <f t="shared" si="22"/>
        <v>0.0158489316734225-125.892539184155j</v>
      </c>
      <c r="K248">
        <f t="shared" si="24"/>
        <v>41.999999931169008</v>
      </c>
      <c r="L248">
        <f t="shared" si="25"/>
        <v>-89.992786888756356</v>
      </c>
      <c r="M248">
        <f t="shared" si="26"/>
        <v>1.5848931673422498E-2</v>
      </c>
      <c r="N248">
        <f t="shared" si="27"/>
        <v>-125.892539184155</v>
      </c>
    </row>
    <row r="249" spans="7:14" x14ac:dyDescent="0.25">
      <c r="G249">
        <v>3.92</v>
      </c>
      <c r="H249">
        <f t="shared" si="28"/>
        <v>83176.377110267087</v>
      </c>
      <c r="I249" t="str">
        <f t="shared" si="23"/>
        <v>522612.590563659j</v>
      </c>
      <c r="J249" t="str">
        <f t="shared" si="22"/>
        <v>0.0144543974985297-120.22644172394j</v>
      </c>
      <c r="K249">
        <f t="shared" si="24"/>
        <v>41.599999937225306</v>
      </c>
      <c r="L249">
        <f t="shared" si="25"/>
        <v>-89.993111532236966</v>
      </c>
      <c r="M249">
        <f t="shared" si="26"/>
        <v>1.4454397498529699E-2</v>
      </c>
      <c r="N249">
        <f t="shared" si="27"/>
        <v>-120.22644172394</v>
      </c>
    </row>
    <row r="250" spans="7:14" x14ac:dyDescent="0.25">
      <c r="G250">
        <v>3.94</v>
      </c>
      <c r="H250">
        <f t="shared" si="28"/>
        <v>87096.358995608185</v>
      </c>
      <c r="I250" t="str">
        <f t="shared" si="23"/>
        <v>547242.563150044j</v>
      </c>
      <c r="J250" t="str">
        <f t="shared" si="22"/>
        <v>0.0131825672117839-114.815360636127j</v>
      </c>
      <c r="K250">
        <f t="shared" si="24"/>
        <v>41.199999942748839</v>
      </c>
      <c r="L250">
        <f t="shared" si="25"/>
        <v>-89.993421564354477</v>
      </c>
      <c r="M250">
        <f t="shared" si="26"/>
        <v>1.31825672117839E-2</v>
      </c>
      <c r="N250">
        <f t="shared" si="27"/>
        <v>-114.815360636127</v>
      </c>
    </row>
    <row r="251" spans="7:14" x14ac:dyDescent="0.25">
      <c r="G251">
        <v>3.96</v>
      </c>
      <c r="H251">
        <f t="shared" si="28"/>
        <v>91201.083935591087</v>
      </c>
      <c r="I251" t="str">
        <f t="shared" si="23"/>
        <v>573033.310582958j</v>
      </c>
      <c r="J251" t="str">
        <f t="shared" si="22"/>
        <v>0.0120226442016301-109.647818296062j</v>
      </c>
      <c r="K251">
        <f t="shared" si="24"/>
        <v>40.799999947786333</v>
      </c>
      <c r="L251">
        <f t="shared" si="25"/>
        <v>-89.99371764272847</v>
      </c>
      <c r="M251">
        <f t="shared" si="26"/>
        <v>1.2022644201630101E-2</v>
      </c>
      <c r="N251">
        <f t="shared" si="27"/>
        <v>-109.647818296062</v>
      </c>
    </row>
    <row r="252" spans="7:14" x14ac:dyDescent="0.25">
      <c r="G252">
        <v>3.98</v>
      </c>
      <c r="H252">
        <f t="shared" si="28"/>
        <v>95499.258602143687</v>
      </c>
      <c r="I252" t="str">
        <f t="shared" si="23"/>
        <v>600039.538495533j</v>
      </c>
      <c r="J252" t="str">
        <f t="shared" si="22"/>
        <v>0.0109647818412054-104.712853656936j</v>
      </c>
      <c r="K252">
        <f t="shared" si="24"/>
        <v>40.399999952380526</v>
      </c>
      <c r="L252">
        <f t="shared" si="25"/>
        <v>-89.994000395380837</v>
      </c>
      <c r="M252">
        <f t="shared" si="26"/>
        <v>1.09647818412054E-2</v>
      </c>
      <c r="N252">
        <f t="shared" si="27"/>
        <v>-104.71285365693601</v>
      </c>
    </row>
    <row r="253" spans="7:14" x14ac:dyDescent="0.25">
      <c r="G253">
        <v>4</v>
      </c>
      <c r="H253">
        <f t="shared" si="28"/>
        <v>100000</v>
      </c>
      <c r="I253" t="str">
        <f t="shared" si="23"/>
        <v>628318.530717959j</v>
      </c>
      <c r="J253" t="str">
        <f t="shared" si="22"/>
        <v>0.0099999999-99.999999j</v>
      </c>
      <c r="K253">
        <f t="shared" si="24"/>
        <v>39.999999956570555</v>
      </c>
      <c r="L253">
        <f t="shared" si="25"/>
        <v>-89.994270422067785</v>
      </c>
      <c r="M253">
        <f t="shared" si="26"/>
        <v>9.9999999000000006E-3</v>
      </c>
      <c r="N253">
        <f t="shared" si="27"/>
        <v>-99.999999000000003</v>
      </c>
    </row>
    <row r="254" spans="7:14" x14ac:dyDescent="0.25">
      <c r="G254">
        <v>4.0199999999999996</v>
      </c>
      <c r="H254">
        <f t="shared" si="28"/>
        <v>104712.85480509003</v>
      </c>
      <c r="I254" t="str">
        <f t="shared" si="23"/>
        <v>657930.270784171j</v>
      </c>
      <c r="J254" t="str">
        <f t="shared" si="22"/>
        <v>0.00912010831038271-95.49925773118j</v>
      </c>
      <c r="K254">
        <f t="shared" si="24"/>
        <v>39.59999996039187</v>
      </c>
      <c r="L254">
        <f t="shared" si="25"/>
        <v>-89.994528295552101</v>
      </c>
      <c r="M254">
        <f t="shared" si="26"/>
        <v>9.1201083103827092E-3</v>
      </c>
      <c r="N254">
        <f t="shared" si="27"/>
        <v>-95.499257731179995</v>
      </c>
    </row>
    <row r="255" spans="7:14" x14ac:dyDescent="0.25">
      <c r="G255">
        <v>4.04</v>
      </c>
      <c r="H255">
        <f t="shared" si="28"/>
        <v>109647.81961431856</v>
      </c>
      <c r="I255" t="str">
        <f t="shared" si="23"/>
        <v>688937.569164964j</v>
      </c>
      <c r="J255" t="str">
        <f t="shared" si="22"/>
        <v>0.00831763764184354-91.201083177013j</v>
      </c>
      <c r="K255">
        <f t="shared" si="24"/>
        <v>39.19999996387692</v>
      </c>
      <c r="L255">
        <f t="shared" si="25"/>
        <v>-89.994774562817966</v>
      </c>
      <c r="M255">
        <f t="shared" si="26"/>
        <v>8.3176376418435394E-3</v>
      </c>
      <c r="N255">
        <f t="shared" si="27"/>
        <v>-91.201083177013004</v>
      </c>
    </row>
    <row r="256" spans="7:14" x14ac:dyDescent="0.25">
      <c r="G256">
        <v>4.0599999999999996</v>
      </c>
      <c r="H256">
        <f t="shared" si="28"/>
        <v>114815.36214968831</v>
      </c>
      <c r="I256" t="str">
        <f t="shared" si="23"/>
        <v>721406.196497425j</v>
      </c>
      <c r="J256" t="str">
        <f t="shared" si="22"/>
        <v>0.00758577569274788-87.0963583349148j</v>
      </c>
      <c r="K256">
        <f t="shared" si="24"/>
        <v>38.799999967055413</v>
      </c>
      <c r="L256">
        <f t="shared" si="25"/>
        <v>-89.995009746231219</v>
      </c>
      <c r="M256">
        <f t="shared" si="26"/>
        <v>7.5857756927478802E-3</v>
      </c>
      <c r="N256">
        <f t="shared" si="27"/>
        <v>-87.096358334914797</v>
      </c>
    </row>
    <row r="257" spans="7:14" x14ac:dyDescent="0.25">
      <c r="G257">
        <v>4.08</v>
      </c>
      <c r="H257">
        <f t="shared" si="28"/>
        <v>120226.44346174151</v>
      </c>
      <c r="I257" t="str">
        <f t="shared" si="23"/>
        <v>755405.023093272j</v>
      </c>
      <c r="J257" t="str">
        <f t="shared" si="22"/>
        <v>0.00691830966132627-83.1763765348267j</v>
      </c>
      <c r="K257">
        <f t="shared" si="24"/>
        <v>38.399999969954109</v>
      </c>
      <c r="L257">
        <f t="shared" si="25"/>
        <v>-89.995234344647386</v>
      </c>
      <c r="M257">
        <f t="shared" si="26"/>
        <v>6.9183096613262699E-3</v>
      </c>
      <c r="N257">
        <f t="shared" si="27"/>
        <v>-83.176376534826701</v>
      </c>
    </row>
    <row r="258" spans="7:14" x14ac:dyDescent="0.25">
      <c r="G258">
        <v>4.0999999999999996</v>
      </c>
      <c r="H258">
        <f t="shared" si="28"/>
        <v>125892.54117941672</v>
      </c>
      <c r="I258" t="str">
        <f t="shared" si="23"/>
        <v>791006.165022012j</v>
      </c>
      <c r="J258" t="str">
        <f t="shared" si="22"/>
        <v>0.00630957340499119-79.4328229712407j</v>
      </c>
      <c r="K258">
        <f t="shared" si="24"/>
        <v>37.999999972597848</v>
      </c>
      <c r="L258">
        <f t="shared" si="25"/>
        <v>-89.995448834469798</v>
      </c>
      <c r="M258">
        <f t="shared" si="26"/>
        <v>6.3095734049911896E-3</v>
      </c>
      <c r="N258">
        <f t="shared" si="27"/>
        <v>-79.432822971240697</v>
      </c>
    </row>
    <row r="259" spans="7:14" x14ac:dyDescent="0.25">
      <c r="G259">
        <v>4.12</v>
      </c>
      <c r="H259">
        <f t="shared" si="28"/>
        <v>131825.6738556409</v>
      </c>
      <c r="I259" t="str">
        <f t="shared" si="23"/>
        <v>828285.137078811j</v>
      </c>
      <c r="J259" t="str">
        <f t="shared" ref="J259:J322" si="29">IMDIV(Aolv,IMSUM(1,IMDIV(I259,wc)))</f>
        <v>0.00575439934025843-75.8577570664024j</v>
      </c>
      <c r="K259">
        <f t="shared" si="24"/>
        <v>37.599999975008942</v>
      </c>
      <c r="L259">
        <f t="shared" si="25"/>
        <v>-89.99565367066009</v>
      </c>
      <c r="M259">
        <f t="shared" si="26"/>
        <v>5.7543993402584303E-3</v>
      </c>
      <c r="N259">
        <f t="shared" si="27"/>
        <v>-75.857757066402399</v>
      </c>
    </row>
    <row r="260" spans="7:14" x14ac:dyDescent="0.25">
      <c r="G260">
        <v>4.1399999999999997</v>
      </c>
      <c r="H260">
        <f t="shared" si="28"/>
        <v>138038.42646028841</v>
      </c>
      <c r="I260" t="str">
        <f t="shared" ref="I260:I303" si="30">COMPLEX(0,H260*2*PI(),"j")</f>
        <v>867321.012961474j</v>
      </c>
      <c r="J260" t="str">
        <f t="shared" si="29"/>
        <v>0.00524807457495548-72.4435956273099j</v>
      </c>
      <c r="K260">
        <f t="shared" ref="K260:K303" si="31">20*LOG(IMABS(J260))</f>
        <v>37.199999977207938</v>
      </c>
      <c r="L260">
        <f t="shared" ref="L260:L303" si="32">DEGREES(IMARGUMENT(J260))</f>
        <v>-89.99584928770328</v>
      </c>
      <c r="M260">
        <f t="shared" ref="M260:M303" si="33">IMREAL(J260)</f>
        <v>5.2480745749554801E-3</v>
      </c>
      <c r="N260">
        <f t="shared" ref="N260:N303" si="34">IMAGINARY(J260)</f>
        <v>-72.443595627309904</v>
      </c>
    </row>
    <row r="261" spans="7:14" x14ac:dyDescent="0.25">
      <c r="G261">
        <v>4.16</v>
      </c>
      <c r="H261">
        <f t="shared" si="28"/>
        <v>144543.9770745929</v>
      </c>
      <c r="I261" t="str">
        <f t="shared" si="30"/>
        <v>908196.592996385j</v>
      </c>
      <c r="J261" t="str">
        <f t="shared" si="29"/>
        <v>0.00478630090031769-69.1830967607624j</v>
      </c>
      <c r="K261">
        <f t="shared" si="31"/>
        <v>36.799999979213339</v>
      </c>
      <c r="L261">
        <f t="shared" si="32"/>
        <v>-89.996036100529324</v>
      </c>
      <c r="M261">
        <f t="shared" si="33"/>
        <v>4.7863009003176896E-3</v>
      </c>
      <c r="N261">
        <f t="shared" si="34"/>
        <v>-69.183096760762396</v>
      </c>
    </row>
    <row r="262" spans="7:14" x14ac:dyDescent="0.25">
      <c r="G262">
        <v>4.1800000000000104</v>
      </c>
      <c r="H262">
        <f t="shared" si="28"/>
        <v>151356.12484362445</v>
      </c>
      <c r="I262" t="str">
        <f t="shared" si="30"/>
        <v>950998.5797691j</v>
      </c>
      <c r="J262" t="str">
        <f t="shared" si="29"/>
        <v>0.00436515830334687-66.0693445123551j</v>
      </c>
      <c r="K262">
        <f t="shared" si="31"/>
        <v>36.399999981042178</v>
      </c>
      <c r="L262">
        <f t="shared" si="32"/>
        <v>-89.99621450539324</v>
      </c>
      <c r="M262">
        <f t="shared" si="33"/>
        <v>4.3651583033468703E-3</v>
      </c>
      <c r="N262">
        <f t="shared" si="34"/>
        <v>-66.069344512355102</v>
      </c>
    </row>
    <row r="263" spans="7:14" x14ac:dyDescent="0.25">
      <c r="G263">
        <v>4.2</v>
      </c>
      <c r="H263">
        <f t="shared" si="28"/>
        <v>158489.31924611147</v>
      </c>
      <c r="I263" t="str">
        <f t="shared" si="30"/>
        <v>995817.762032062j</v>
      </c>
      <c r="J263" t="str">
        <f t="shared" si="29"/>
        <v>0.00398107168968606-63.0957341968308j</v>
      </c>
      <c r="K263">
        <f t="shared" si="31"/>
        <v>35.999999982710442</v>
      </c>
      <c r="L263">
        <f t="shared" si="32"/>
        <v>-89.996384880715652</v>
      </c>
      <c r="M263">
        <f t="shared" si="33"/>
        <v>3.9810716896860601E-3</v>
      </c>
      <c r="N263">
        <f t="shared" si="34"/>
        <v>-63.095734196830797</v>
      </c>
    </row>
    <row r="264" spans="7:14" x14ac:dyDescent="0.25">
      <c r="G264">
        <v>4.22</v>
      </c>
      <c r="H264">
        <f t="shared" si="28"/>
        <v>165958.69074375616</v>
      </c>
      <c r="I264" t="str">
        <f t="shared" si="30"/>
        <v>1042749.20727993j</v>
      </c>
      <c r="J264" t="str">
        <f t="shared" si="29"/>
        <v>0.00363078053451845-60.2559583886596j</v>
      </c>
      <c r="K264">
        <f t="shared" si="31"/>
        <v>35.599999984231722</v>
      </c>
      <c r="L264">
        <f t="shared" si="32"/>
        <v>-89.996547587885459</v>
      </c>
      <c r="M264">
        <f t="shared" si="33"/>
        <v>3.63078053451845E-3</v>
      </c>
      <c r="N264">
        <f t="shared" si="34"/>
        <v>-60.2559583886596</v>
      </c>
    </row>
    <row r="265" spans="7:14" x14ac:dyDescent="0.25">
      <c r="G265">
        <v>4.24</v>
      </c>
      <c r="H265">
        <f t="shared" si="28"/>
        <v>173780.08287493791</v>
      </c>
      <c r="I265" t="str">
        <f t="shared" si="30"/>
        <v>1091892.46340026j</v>
      </c>
      <c r="J265" t="str">
        <f t="shared" si="29"/>
        <v>0.00331131120386111-57.5439935431695j</v>
      </c>
      <c r="K265">
        <f t="shared" si="31"/>
        <v>35.199999985619137</v>
      </c>
      <c r="L265">
        <f t="shared" si="32"/>
        <v>-89.99670297202637</v>
      </c>
      <c r="M265">
        <f t="shared" si="33"/>
        <v>3.3113112038611098E-3</v>
      </c>
      <c r="N265">
        <f t="shared" si="34"/>
        <v>-57.543993543169499</v>
      </c>
    </row>
    <row r="266" spans="7:14" x14ac:dyDescent="0.25">
      <c r="G266">
        <v>4.2600000000000096</v>
      </c>
      <c r="H266">
        <f t="shared" si="28"/>
        <v>181970.08586100259</v>
      </c>
      <c r="I266" t="str">
        <f t="shared" si="30"/>
        <v>1143351.76982806j</v>
      </c>
      <c r="J266" t="str">
        <f t="shared" si="29"/>
        <v>0.00301995171128175-54.9540872198024j</v>
      </c>
      <c r="K266">
        <f t="shared" si="31"/>
        <v>34.799999986884302</v>
      </c>
      <c r="L266">
        <f t="shared" si="32"/>
        <v>-89.996851362728975</v>
      </c>
      <c r="M266">
        <f t="shared" si="33"/>
        <v>3.01995171128175E-3</v>
      </c>
      <c r="N266">
        <f t="shared" si="34"/>
        <v>-54.954087219802403</v>
      </c>
    </row>
    <row r="267" spans="7:14" x14ac:dyDescent="0.25">
      <c r="G267">
        <v>4.28</v>
      </c>
      <c r="H267">
        <f t="shared" si="28"/>
        <v>190546.07179632504</v>
      </c>
      <c r="I267" t="str">
        <f t="shared" si="30"/>
        <v>1197236.27865146j</v>
      </c>
      <c r="J267" t="str">
        <f t="shared" si="29"/>
        <v>0.00275422869575235-52.4807458804329j</v>
      </c>
      <c r="K267">
        <f t="shared" si="31"/>
        <v>34.399999988038473</v>
      </c>
      <c r="L267">
        <f t="shared" si="32"/>
        <v>-89.996993074749838</v>
      </c>
      <c r="M267">
        <f t="shared" si="33"/>
        <v>2.7542286957523499E-3</v>
      </c>
      <c r="N267">
        <f t="shared" si="34"/>
        <v>-52.480745880432899</v>
      </c>
    </row>
    <row r="268" spans="7:14" x14ac:dyDescent="0.25">
      <c r="G268">
        <v>4.3</v>
      </c>
      <c r="H268">
        <f t="shared" ref="H268:H303" si="35">$B$3*10^G268</f>
        <v>199526.23149688792</v>
      </c>
      <c r="I268" t="str">
        <f t="shared" si="30"/>
        <v>1253660.28613816j</v>
      </c>
      <c r="J268" t="str">
        <f t="shared" si="29"/>
        <v>0.00251188642520001-50.1187232368347j</v>
      </c>
      <c r="K268">
        <f t="shared" si="31"/>
        <v>33.999999989091016</v>
      </c>
      <c r="L268">
        <f t="shared" si="32"/>
        <v>-89.997128408679146</v>
      </c>
      <c r="M268">
        <f t="shared" si="33"/>
        <v>2.5118864252000098E-3</v>
      </c>
      <c r="N268">
        <f t="shared" si="34"/>
        <v>-50.118723236834697</v>
      </c>
    </row>
    <row r="269" spans="7:14" x14ac:dyDescent="0.25">
      <c r="G269">
        <v>4.32</v>
      </c>
      <c r="H269">
        <f t="shared" si="35"/>
        <v>208929.61308540424</v>
      </c>
      <c r="I269" t="str">
        <f t="shared" si="30"/>
        <v>1312743.47517293j</v>
      </c>
      <c r="J269" t="str">
        <f t="shared" si="29"/>
        <v>0.00229086764751968-47.8630091226158j</v>
      </c>
      <c r="K269">
        <f t="shared" si="31"/>
        <v>33.599999990050847</v>
      </c>
      <c r="L269">
        <f t="shared" si="32"/>
        <v>-89.997257651578295</v>
      </c>
      <c r="M269">
        <f t="shared" si="33"/>
        <v>2.2908676475196801E-3</v>
      </c>
      <c r="N269">
        <f t="shared" si="34"/>
        <v>-47.8630091226158</v>
      </c>
    </row>
    <row r="270" spans="7:14" x14ac:dyDescent="0.25">
      <c r="G270">
        <v>4.3400000000000096</v>
      </c>
      <c r="H270">
        <f t="shared" si="35"/>
        <v>218776.16239496018</v>
      </c>
      <c r="I270" t="str">
        <f t="shared" si="30"/>
        <v>1374611.16912115j</v>
      </c>
      <c r="J270" t="str">
        <f t="shared" si="29"/>
        <v>0.00208929612648879-45.7088188659873j</v>
      </c>
      <c r="K270">
        <f t="shared" si="31"/>
        <v>33.199999990926116</v>
      </c>
      <c r="L270">
        <f t="shared" si="32"/>
        <v>-89.997381077588798</v>
      </c>
      <c r="M270">
        <f t="shared" si="33"/>
        <v>2.08929612648879E-3</v>
      </c>
      <c r="N270">
        <f t="shared" si="34"/>
        <v>-45.708818865987297</v>
      </c>
    </row>
    <row r="271" spans="7:14" x14ac:dyDescent="0.25">
      <c r="G271">
        <v>4.3600000000000003</v>
      </c>
      <c r="H271">
        <f t="shared" si="35"/>
        <v>229086.7652767775</v>
      </c>
      <c r="I271" t="str">
        <f t="shared" si="30"/>
        <v>1439394.59765635j</v>
      </c>
      <c r="J271" t="str">
        <f t="shared" si="29"/>
        <v>0.00190546071433246-43.6515831408401j</v>
      </c>
      <c r="K271">
        <f t="shared" si="31"/>
        <v>32.799999991724668</v>
      </c>
      <c r="L271">
        <f t="shared" si="32"/>
        <v>-89.997498948513794</v>
      </c>
      <c r="M271">
        <f t="shared" si="33"/>
        <v>1.90546071433246E-3</v>
      </c>
      <c r="N271">
        <f t="shared" si="34"/>
        <v>-43.651583140840103</v>
      </c>
    </row>
    <row r="272" spans="7:14" x14ac:dyDescent="0.25">
      <c r="G272">
        <v>4.38</v>
      </c>
      <c r="H272">
        <f t="shared" si="35"/>
        <v>239883.29190194924</v>
      </c>
      <c r="I272" t="str">
        <f t="shared" si="30"/>
        <v>1507231.1751162j</v>
      </c>
      <c r="J272" t="str">
        <f t="shared" si="29"/>
        <v>0.00173780082572942-41.6869382745899j</v>
      </c>
      <c r="K272">
        <f t="shared" si="31"/>
        <v>32.39999999245282</v>
      </c>
      <c r="L272">
        <f t="shared" si="32"/>
        <v>-89.997611514373276</v>
      </c>
      <c r="M272">
        <f t="shared" si="33"/>
        <v>1.73780082572942E-3</v>
      </c>
      <c r="N272">
        <f t="shared" si="34"/>
        <v>-41.686938274589899</v>
      </c>
    </row>
    <row r="273" spans="7:14" x14ac:dyDescent="0.25">
      <c r="G273">
        <v>4.4000000000000004</v>
      </c>
      <c r="H273">
        <f t="shared" si="35"/>
        <v>251188.64315095858</v>
      </c>
      <c r="I273" t="str">
        <f t="shared" si="30"/>
        <v>1578264.79197648j</v>
      </c>
      <c r="J273" t="str">
        <f t="shared" si="29"/>
        <v>0.00158489318994921-39.8107169922538j</v>
      </c>
      <c r="K273">
        <f t="shared" si="31"/>
        <v>31.999999993116855</v>
      </c>
      <c r="L273">
        <f t="shared" si="32"/>
        <v>-89.997719013934542</v>
      </c>
      <c r="M273">
        <f t="shared" si="33"/>
        <v>1.58489318994921E-3</v>
      </c>
      <c r="N273">
        <f t="shared" si="34"/>
        <v>-39.810716992253802</v>
      </c>
    </row>
    <row r="274" spans="7:14" x14ac:dyDescent="0.25">
      <c r="G274">
        <v>4.4200000000000097</v>
      </c>
      <c r="H274">
        <f t="shared" si="35"/>
        <v>263026.79918954434</v>
      </c>
      <c r="I274" t="str">
        <f t="shared" si="30"/>
        <v>1652646.12006222j</v>
      </c>
      <c r="J274" t="str">
        <f t="shared" si="29"/>
        <v>0.00144543976865657-38.0189395771012j</v>
      </c>
      <c r="K274">
        <f t="shared" si="31"/>
        <v>31.599999993722342</v>
      </c>
      <c r="L274">
        <f t="shared" si="32"/>
        <v>-89.997821675218574</v>
      </c>
      <c r="M274">
        <f t="shared" si="33"/>
        <v>1.44543976865657E-3</v>
      </c>
      <c r="N274">
        <f t="shared" si="34"/>
        <v>-38.0189395771012</v>
      </c>
    </row>
    <row r="275" spans="7:14" x14ac:dyDescent="0.25">
      <c r="G275">
        <v>4.4400000000000004</v>
      </c>
      <c r="H275">
        <f t="shared" si="35"/>
        <v>275422.87033381721</v>
      </c>
      <c r="I275" t="str">
        <f t="shared" si="30"/>
        <v>1730532.93214267j</v>
      </c>
      <c r="J275" t="str">
        <f t="shared" si="29"/>
        <v>0.0013182567368186-36.3078054291471j</v>
      </c>
      <c r="K275">
        <f t="shared" si="31"/>
        <v>31.199999994274879</v>
      </c>
      <c r="L275">
        <f t="shared" si="32"/>
        <v>-89.997919715983699</v>
      </c>
      <c r="M275">
        <f t="shared" si="33"/>
        <v>1.3182567368185999E-3</v>
      </c>
      <c r="N275">
        <f t="shared" si="34"/>
        <v>-36.307805429147102</v>
      </c>
    </row>
    <row r="276" spans="7:14" x14ac:dyDescent="0.25">
      <c r="G276">
        <v>4.46</v>
      </c>
      <c r="H276">
        <f t="shared" si="35"/>
        <v>288403.15031266061</v>
      </c>
      <c r="I276" t="str">
        <f t="shared" si="30"/>
        <v>1812090.43658881j</v>
      </c>
      <c r="J276" t="str">
        <f t="shared" si="29"/>
        <v>0.00120226443317198-34.6736850035663j</v>
      </c>
      <c r="K276">
        <f t="shared" si="31"/>
        <v>30.799999994778652</v>
      </c>
      <c r="L276">
        <f t="shared" si="32"/>
        <v>-89.998013344187541</v>
      </c>
      <c r="M276">
        <f t="shared" si="33"/>
        <v>1.20226443317198E-3</v>
      </c>
      <c r="N276">
        <f t="shared" si="34"/>
        <v>-34.673685003566298</v>
      </c>
    </row>
    <row r="277" spans="7:14" x14ac:dyDescent="0.25">
      <c r="G277">
        <v>4.4800000000000004</v>
      </c>
      <c r="H277">
        <f t="shared" si="35"/>
        <v>301995.17204020213</v>
      </c>
      <c r="I277" t="str">
        <f t="shared" si="30"/>
        <v>1897491.62780217j</v>
      </c>
      <c r="J277" t="str">
        <f t="shared" si="29"/>
        <v>0.00109647819494092-33.1131121119513j</v>
      </c>
      <c r="K277">
        <f t="shared" si="31"/>
        <v>30.399999995238055</v>
      </c>
      <c r="L277">
        <f t="shared" si="32"/>
        <v>-89.998102758428061</v>
      </c>
      <c r="M277">
        <f t="shared" si="33"/>
        <v>1.0964781949409201E-3</v>
      </c>
      <c r="N277">
        <f t="shared" si="34"/>
        <v>-33.113112111951303</v>
      </c>
    </row>
    <row r="278" spans="7:14" x14ac:dyDescent="0.25">
      <c r="G278">
        <v>4.5000000000000098</v>
      </c>
      <c r="H278">
        <f t="shared" si="35"/>
        <v>316227.76601684513</v>
      </c>
      <c r="I278" t="str">
        <f t="shared" si="30"/>
        <v>1986917.65315927j</v>
      </c>
      <c r="J278" t="str">
        <f t="shared" si="29"/>
        <v>0.000999999998999949-31.6227765700602j</v>
      </c>
      <c r="K278">
        <f t="shared" si="31"/>
        <v>29.999999995656829</v>
      </c>
      <c r="L278">
        <f t="shared" si="32"/>
        <v>-89.998188148364846</v>
      </c>
      <c r="M278">
        <f t="shared" si="33"/>
        <v>9.9999999899994907E-4</v>
      </c>
      <c r="N278">
        <f t="shared" si="34"/>
        <v>-31.6227765700602</v>
      </c>
    </row>
    <row r="279" spans="7:14" x14ac:dyDescent="0.25">
      <c r="G279">
        <v>4.5199999999999996</v>
      </c>
      <c r="H279">
        <f t="shared" si="35"/>
        <v>331131.12148259091</v>
      </c>
      <c r="I279" t="str">
        <f t="shared" si="30"/>
        <v>2080558.19724931j</v>
      </c>
      <c r="J279" t="str">
        <f t="shared" si="29"/>
        <v>0.000912010838524152-30.199517176478j</v>
      </c>
      <c r="K279">
        <f t="shared" si="31"/>
        <v>29.599999996039227</v>
      </c>
      <c r="L279">
        <f t="shared" si="32"/>
        <v>-89.998269695121408</v>
      </c>
      <c r="M279">
        <f t="shared" si="33"/>
        <v>9.1201083852415201E-4</v>
      </c>
      <c r="N279">
        <f t="shared" si="34"/>
        <v>-30.199517176478</v>
      </c>
    </row>
    <row r="280" spans="7:14" x14ac:dyDescent="0.25">
      <c r="G280">
        <v>4.54</v>
      </c>
      <c r="H280">
        <f t="shared" si="35"/>
        <v>346736.850452532</v>
      </c>
      <c r="I280" t="str">
        <f t="shared" si="30"/>
        <v>2178611.88422107j</v>
      </c>
      <c r="J280" t="str">
        <f t="shared" si="29"/>
        <v>0.000831763770410843-28.8403150072778j</v>
      </c>
      <c r="K280">
        <f t="shared" si="31"/>
        <v>29.199999996387717</v>
      </c>
      <c r="L280">
        <f t="shared" si="32"/>
        <v>-89.998347571669342</v>
      </c>
      <c r="M280">
        <f t="shared" si="33"/>
        <v>8.3176377041084299E-4</v>
      </c>
      <c r="N280">
        <f t="shared" si="34"/>
        <v>-28.840315007277798</v>
      </c>
    </row>
    <row r="281" spans="7:14" x14ac:dyDescent="0.25">
      <c r="G281">
        <v>4.5599999999999996</v>
      </c>
      <c r="H281">
        <f t="shared" si="35"/>
        <v>363078.05477010168</v>
      </c>
      <c r="I281" t="str">
        <f t="shared" si="30"/>
        <v>2281286.69909085j</v>
      </c>
      <c r="J281" t="str">
        <f t="shared" si="29"/>
        <v>0.000758577574453741-27.5422870124887j</v>
      </c>
      <c r="K281">
        <f t="shared" si="31"/>
        <v>28.799999996705537</v>
      </c>
      <c r="L281">
        <f t="shared" si="32"/>
        <v>-89.998421943195254</v>
      </c>
      <c r="M281">
        <f t="shared" si="33"/>
        <v>7.5857757445374095E-4</v>
      </c>
      <c r="N281">
        <f t="shared" si="34"/>
        <v>-27.5422870124887</v>
      </c>
    </row>
    <row r="282" spans="7:14" x14ac:dyDescent="0.25">
      <c r="G282">
        <v>4.5800000000000098</v>
      </c>
      <c r="H282">
        <f t="shared" si="35"/>
        <v>380189.39632057026</v>
      </c>
      <c r="I282" t="str">
        <f t="shared" si="30"/>
        <v>2388800.42890688j</v>
      </c>
      <c r="J282" t="str">
        <f t="shared" si="29"/>
        <v>0.000691830970440274-26.3026799007562j</v>
      </c>
      <c r="K282">
        <f t="shared" si="31"/>
        <v>28.399999996995216</v>
      </c>
      <c r="L282">
        <f t="shared" si="32"/>
        <v>-89.998492967451114</v>
      </c>
      <c r="M282">
        <f t="shared" si="33"/>
        <v>6.9183097044027398E-4</v>
      </c>
      <c r="N282">
        <f t="shared" si="34"/>
        <v>-26.3026799007562</v>
      </c>
    </row>
    <row r="283" spans="7:14" x14ac:dyDescent="0.25">
      <c r="G283">
        <v>4.5999999999999996</v>
      </c>
      <c r="H283">
        <f t="shared" si="35"/>
        <v>398107.17055349739</v>
      </c>
      <c r="I283" t="str">
        <f t="shared" si="30"/>
        <v>2501381.12470457j</v>
      </c>
      <c r="J283" t="str">
        <f t="shared" si="29"/>
        <v>0.000630957344082087-25.1188642992469j</v>
      </c>
      <c r="K283">
        <f t="shared" si="31"/>
        <v>27.999999997259799</v>
      </c>
      <c r="L283">
        <f t="shared" si="32"/>
        <v>-89.998560795088892</v>
      </c>
      <c r="M283">
        <f t="shared" si="33"/>
        <v>6.3095734408208696E-4</v>
      </c>
      <c r="N283">
        <f t="shared" si="34"/>
        <v>-25.118864299246901</v>
      </c>
    </row>
    <row r="284" spans="7:14" x14ac:dyDescent="0.25">
      <c r="G284">
        <v>4.62</v>
      </c>
      <c r="H284">
        <f t="shared" si="35"/>
        <v>416869.38347033627</v>
      </c>
      <c r="I284" t="str">
        <f t="shared" si="30"/>
        <v>2619267.58523383j</v>
      </c>
      <c r="J284" t="str">
        <f t="shared" si="29"/>
        <v>0.000575439937006024-23.988329176391j</v>
      </c>
      <c r="K284">
        <f t="shared" si="31"/>
        <v>27.599999997500877</v>
      </c>
      <c r="L284">
        <f t="shared" si="32"/>
        <v>-89.998625569980106</v>
      </c>
      <c r="M284">
        <f t="shared" si="33"/>
        <v>5.7543993700602395E-4</v>
      </c>
      <c r="N284">
        <f t="shared" si="34"/>
        <v>-23.988329176391002</v>
      </c>
    </row>
    <row r="285" spans="7:14" x14ac:dyDescent="0.25">
      <c r="G285">
        <v>4.6400000000000103</v>
      </c>
      <c r="H285">
        <f t="shared" si="35"/>
        <v>436515.83224017685</v>
      </c>
      <c r="I285" t="str">
        <f t="shared" si="30"/>
        <v>2742709.86348275j</v>
      </c>
      <c r="J285" t="str">
        <f t="shared" si="29"/>
        <v>0.000524807459974323-22.9086765156545j</v>
      </c>
      <c r="K285">
        <f t="shared" si="31"/>
        <v>27.199999997720568</v>
      </c>
      <c r="L285">
        <f t="shared" si="32"/>
        <v>-89.99868742952097</v>
      </c>
      <c r="M285">
        <f t="shared" si="33"/>
        <v>5.2480745997432303E-4</v>
      </c>
      <c r="N285">
        <f t="shared" si="34"/>
        <v>-22.908676515654498</v>
      </c>
    </row>
    <row r="286" spans="7:14" x14ac:dyDescent="0.25">
      <c r="G286">
        <v>4.6600000000000099</v>
      </c>
      <c r="H286">
        <f t="shared" si="35"/>
        <v>457088.18961488554</v>
      </c>
      <c r="I286" t="str">
        <f t="shared" si="30"/>
        <v>2871969.79707357j</v>
      </c>
      <c r="J286" t="str">
        <f t="shared" si="29"/>
        <v>0.000478630092093529-21.8776162290237j</v>
      </c>
      <c r="K286">
        <f t="shared" si="31"/>
        <v>26.799999997921123</v>
      </c>
      <c r="L286">
        <f t="shared" si="32"/>
        <v>-89.998746504923872</v>
      </c>
      <c r="M286">
        <f t="shared" si="33"/>
        <v>4.78630092093529E-4</v>
      </c>
      <c r="N286">
        <f t="shared" si="34"/>
        <v>-21.877616229023701</v>
      </c>
    </row>
    <row r="287" spans="7:14" x14ac:dyDescent="0.25">
      <c r="G287">
        <v>4.6800000000000104</v>
      </c>
      <c r="H287">
        <f t="shared" si="35"/>
        <v>478630.09232265007</v>
      </c>
      <c r="I287" t="str">
        <f t="shared" si="30"/>
        <v>3007321.56365568j</v>
      </c>
      <c r="J287" t="str">
        <f t="shared" si="29"/>
        <v>0.000436515832049599-20.8929612994198j</v>
      </c>
      <c r="K287">
        <f t="shared" si="31"/>
        <v>26.399999998104033</v>
      </c>
      <c r="L287">
        <f t="shared" si="32"/>
        <v>-89.998802921495667</v>
      </c>
      <c r="M287">
        <f t="shared" si="33"/>
        <v>4.3651583204959898E-4</v>
      </c>
      <c r="N287">
        <f t="shared" si="34"/>
        <v>-20.892961299419799</v>
      </c>
    </row>
    <row r="288" spans="7:14" x14ac:dyDescent="0.25">
      <c r="G288">
        <v>4.7</v>
      </c>
      <c r="H288">
        <f t="shared" si="35"/>
        <v>501187.23362727294</v>
      </c>
      <c r="I288" t="str">
        <f t="shared" si="30"/>
        <v>3149052.26247286j</v>
      </c>
      <c r="J288" t="str">
        <f t="shared" si="29"/>
        <v>0.000398107170395008-19.9526231417455j</v>
      </c>
      <c r="K288">
        <f t="shared" si="31"/>
        <v>25.999999998271036</v>
      </c>
      <c r="L288">
        <f t="shared" si="32"/>
        <v>-89.998856798903461</v>
      </c>
      <c r="M288">
        <f t="shared" si="33"/>
        <v>3.9810717039500797E-4</v>
      </c>
      <c r="N288">
        <f t="shared" si="34"/>
        <v>-19.952623141745502</v>
      </c>
    </row>
    <row r="289" spans="7:14" x14ac:dyDescent="0.25">
      <c r="G289">
        <v>4.7200000000000104</v>
      </c>
      <c r="H289">
        <f t="shared" si="35"/>
        <v>524807.46024978533</v>
      </c>
      <c r="I289" t="str">
        <f t="shared" si="30"/>
        <v>3297462.52333969j</v>
      </c>
      <c r="J289" t="str">
        <f t="shared" si="29"/>
        <v>0.000363078054638257-19.0546071727137j</v>
      </c>
      <c r="K289">
        <f t="shared" si="31"/>
        <v>25.599999998422959</v>
      </c>
      <c r="L289">
        <f t="shared" si="32"/>
        <v>-89.99890825142846</v>
      </c>
      <c r="M289">
        <f t="shared" si="33"/>
        <v>3.6307805463825699E-4</v>
      </c>
      <c r="N289">
        <f t="shared" si="34"/>
        <v>-19.054607172713698</v>
      </c>
    </row>
    <row r="290" spans="7:14" x14ac:dyDescent="0.25">
      <c r="G290">
        <v>4.74000000000001</v>
      </c>
      <c r="H290">
        <f t="shared" si="35"/>
        <v>549540.87385763775</v>
      </c>
      <c r="I290" t="str">
        <f t="shared" si="30"/>
        <v>3452867.14431694j</v>
      </c>
      <c r="J290" t="str">
        <f t="shared" si="29"/>
        <v>0.000331131121372927-18.1970085800738j</v>
      </c>
      <c r="K290">
        <f t="shared" si="31"/>
        <v>25.199999998561708</v>
      </c>
      <c r="L290">
        <f t="shared" si="32"/>
        <v>-89.998957388208382</v>
      </c>
      <c r="M290">
        <f t="shared" si="33"/>
        <v>3.3113112137292698E-4</v>
      </c>
      <c r="N290">
        <f t="shared" si="34"/>
        <v>-18.197008580073799</v>
      </c>
    </row>
    <row r="291" spans="7:14" x14ac:dyDescent="0.25">
      <c r="G291">
        <v>4.7600000000000096</v>
      </c>
      <c r="H291">
        <f t="shared" si="35"/>
        <v>575439.93733717059</v>
      </c>
      <c r="I291" t="str">
        <f t="shared" si="30"/>
        <v>3615595.75944125j</v>
      </c>
      <c r="J291" t="str">
        <f t="shared" si="29"/>
        <v>0.000301995171948987-17.3780082822453j</v>
      </c>
      <c r="K291">
        <f t="shared" si="31"/>
        <v>24.799999998688264</v>
      </c>
      <c r="L291">
        <f t="shared" si="32"/>
        <v>-89.999004313468888</v>
      </c>
      <c r="M291">
        <f t="shared" si="33"/>
        <v>3.01995171948987E-4</v>
      </c>
      <c r="N291">
        <f t="shared" si="34"/>
        <v>-17.3780082822453</v>
      </c>
    </row>
    <row r="292" spans="7:14" x14ac:dyDescent="0.25">
      <c r="G292">
        <v>4.78</v>
      </c>
      <c r="H292">
        <f t="shared" si="35"/>
        <v>602559.58607435913</v>
      </c>
      <c r="I292" t="str">
        <f t="shared" si="30"/>
        <v>3785993.53792263j</v>
      </c>
      <c r="J292" t="str">
        <f t="shared" si="29"/>
        <v>0.000275422870257957-16.5958690698047j</v>
      </c>
      <c r="K292">
        <f t="shared" si="31"/>
        <v>24.399999998803843</v>
      </c>
      <c r="L292">
        <f t="shared" si="32"/>
        <v>-89.999049126744779</v>
      </c>
      <c r="M292">
        <f t="shared" si="33"/>
        <v>2.75422870257957E-4</v>
      </c>
      <c r="N292">
        <f t="shared" si="34"/>
        <v>-16.595869069804699</v>
      </c>
    </row>
    <row r="293" spans="7:14" x14ac:dyDescent="0.25">
      <c r="G293">
        <v>4.8000000000000096</v>
      </c>
      <c r="H293">
        <f t="shared" si="35"/>
        <v>630957.344480208</v>
      </c>
      <c r="I293" t="str">
        <f t="shared" si="30"/>
        <v>3964421.91629509j</v>
      </c>
      <c r="J293" t="str">
        <f t="shared" si="29"/>
        <v>0.000251188643087851-15.8489319206297j</v>
      </c>
      <c r="K293">
        <f t="shared" si="31"/>
        <v>23.999999998908905</v>
      </c>
      <c r="L293">
        <f t="shared" si="32"/>
        <v>-89.999091923091001</v>
      </c>
      <c r="M293">
        <f t="shared" si="33"/>
        <v>2.5118864308785099E-4</v>
      </c>
      <c r="N293">
        <f t="shared" si="34"/>
        <v>-15.848931920629701</v>
      </c>
    </row>
    <row r="294" spans="7:14" x14ac:dyDescent="0.25">
      <c r="G294">
        <v>4.8200000000000101</v>
      </c>
      <c r="H294">
        <f t="shared" si="35"/>
        <v>660693.44800761249</v>
      </c>
      <c r="I294" t="str">
        <f t="shared" si="30"/>
        <v>4151259.36507125j</v>
      </c>
      <c r="J294" t="str">
        <f t="shared" si="29"/>
        <v>0.000229086765224285-15.1356124808943j</v>
      </c>
      <c r="K294">
        <f t="shared" si="31"/>
        <v>23.599999999004851</v>
      </c>
      <c r="L294">
        <f t="shared" si="32"/>
        <v>-89.999132793284375</v>
      </c>
      <c r="M294">
        <f t="shared" si="33"/>
        <v>2.2908676522428499E-4</v>
      </c>
      <c r="N294">
        <f t="shared" si="34"/>
        <v>-15.1356124808943</v>
      </c>
    </row>
    <row r="295" spans="7:14" x14ac:dyDescent="0.25">
      <c r="G295">
        <v>4.8400000000000096</v>
      </c>
      <c r="H295">
        <f t="shared" si="35"/>
        <v>691830.97091895237</v>
      </c>
      <c r="I295" t="str">
        <f t="shared" si="30"/>
        <v>4346902.19152975j</v>
      </c>
      <c r="J295" t="str">
        <f t="shared" si="29"/>
        <v>0.000208929613041742-14.454397704439j</v>
      </c>
      <c r="K295">
        <f t="shared" si="31"/>
        <v>23.199999999092434</v>
      </c>
      <c r="L295">
        <f t="shared" si="32"/>
        <v>-89.999171824016031</v>
      </c>
      <c r="M295">
        <f t="shared" si="33"/>
        <v>2.08929613041742E-4</v>
      </c>
      <c r="N295">
        <f t="shared" si="34"/>
        <v>-14.454397704439</v>
      </c>
    </row>
    <row r="296" spans="7:14" x14ac:dyDescent="0.25">
      <c r="G296">
        <v>4.8600000000000003</v>
      </c>
      <c r="H296">
        <f t="shared" si="35"/>
        <v>724435.96007499122</v>
      </c>
      <c r="I296" t="str">
        <f t="shared" si="30"/>
        <v>4551765.38033572j</v>
      </c>
      <c r="J296" t="str">
        <f t="shared" si="29"/>
        <v>0.000190546071760016-13.8038426433986j</v>
      </c>
      <c r="K296">
        <f t="shared" si="31"/>
        <v>22.799999999172481</v>
      </c>
      <c r="L296">
        <f t="shared" si="32"/>
        <v>-89.999209098075369</v>
      </c>
      <c r="M296">
        <f t="shared" si="33"/>
        <v>1.9054607176001599E-4</v>
      </c>
      <c r="N296">
        <f t="shared" si="34"/>
        <v>-13.8038426433986</v>
      </c>
    </row>
    <row r="297" spans="7:14" x14ac:dyDescent="0.25">
      <c r="G297">
        <v>4.8800000000000097</v>
      </c>
      <c r="H297">
        <f t="shared" si="35"/>
        <v>758577.57502920099</v>
      </c>
      <c r="I297" t="str">
        <f t="shared" si="30"/>
        <v>4766283.4737794j</v>
      </c>
      <c r="J297" t="str">
        <f t="shared" si="29"/>
        <v>0.00017378008284473-13.1825673832729j</v>
      </c>
      <c r="K297">
        <f t="shared" si="31"/>
        <v>22.399999999245082</v>
      </c>
      <c r="L297">
        <f t="shared" si="32"/>
        <v>-89.9992446945257</v>
      </c>
      <c r="M297">
        <f t="shared" si="33"/>
        <v>1.7378008284473E-4</v>
      </c>
      <c r="N297">
        <f t="shared" si="34"/>
        <v>-13.1825673832729</v>
      </c>
    </row>
    <row r="298" spans="7:14" x14ac:dyDescent="0.25">
      <c r="G298">
        <v>4.9000000000000101</v>
      </c>
      <c r="H298">
        <f t="shared" si="35"/>
        <v>794328.23472430068</v>
      </c>
      <c r="I298" t="str">
        <f t="shared" si="30"/>
        <v>4990911.49349762j</v>
      </c>
      <c r="J298" t="str">
        <f t="shared" si="29"/>
        <v>0.000158489319220985-12.5892541159461j</v>
      </c>
      <c r="K298">
        <f t="shared" si="31"/>
        <v>21.999999999311477</v>
      </c>
      <c r="L298">
        <f t="shared" si="32"/>
        <v>-89.999278688871868</v>
      </c>
      <c r="M298">
        <f t="shared" si="33"/>
        <v>1.5848931922098501E-4</v>
      </c>
      <c r="N298">
        <f t="shared" si="34"/>
        <v>-12.589254115946099</v>
      </c>
    </row>
    <row r="299" spans="7:14" x14ac:dyDescent="0.25">
      <c r="G299">
        <v>4.9200000000000097</v>
      </c>
      <c r="H299">
        <f t="shared" si="35"/>
        <v>831763.77110269095</v>
      </c>
      <c r="I299" t="str">
        <f t="shared" si="30"/>
        <v>5226125.90563671j</v>
      </c>
      <c r="J299" t="str">
        <f t="shared" si="29"/>
        <v>0.000144543977053693-12.022644344436j</v>
      </c>
      <c r="K299">
        <f t="shared" si="31"/>
        <v>21.599999999372017</v>
      </c>
      <c r="L299">
        <f t="shared" si="32"/>
        <v>-89.999311153220404</v>
      </c>
      <c r="M299">
        <f t="shared" si="33"/>
        <v>1.4454397705369301E-4</v>
      </c>
      <c r="N299">
        <f t="shared" si="34"/>
        <v>-12.022644344435999</v>
      </c>
    </row>
    <row r="300" spans="7:14" x14ac:dyDescent="0.25">
      <c r="G300">
        <v>4.9400000000000004</v>
      </c>
      <c r="H300">
        <f t="shared" si="35"/>
        <v>870963.58995608287</v>
      </c>
      <c r="I300" t="str">
        <f t="shared" si="30"/>
        <v>5472425.63150045j</v>
      </c>
      <c r="J300" t="str">
        <f t="shared" si="29"/>
        <v>0.000131825673838262-11.4815362134552j</v>
      </c>
      <c r="K300">
        <f t="shared" si="31"/>
        <v>21.199999999427437</v>
      </c>
      <c r="L300">
        <f t="shared" si="32"/>
        <v>-89.99934215643259</v>
      </c>
      <c r="M300">
        <f t="shared" si="33"/>
        <v>1.3182567383826201E-4</v>
      </c>
      <c r="N300">
        <f t="shared" si="34"/>
        <v>-11.4815362134552</v>
      </c>
    </row>
    <row r="301" spans="7:14" x14ac:dyDescent="0.25">
      <c r="G301">
        <v>4.9600000000000097</v>
      </c>
      <c r="H301">
        <f t="shared" si="35"/>
        <v>912010.83935593138</v>
      </c>
      <c r="I301" t="str">
        <f t="shared" si="30"/>
        <v>5730333.10582971j</v>
      </c>
      <c r="J301" t="str">
        <f t="shared" si="29"/>
        <v>0.000120226443447281-10.9647819601133j</v>
      </c>
      <c r="K301">
        <f t="shared" si="31"/>
        <v>20.799999999477631</v>
      </c>
      <c r="L301">
        <f t="shared" si="32"/>
        <v>-89.999371764270364</v>
      </c>
      <c r="M301">
        <f t="shared" si="33"/>
        <v>1.20226443447281E-4</v>
      </c>
      <c r="N301">
        <f t="shared" si="34"/>
        <v>-10.964781960113299</v>
      </c>
    </row>
    <row r="302" spans="7:14" x14ac:dyDescent="0.25">
      <c r="G302">
        <v>4.9800000000000102</v>
      </c>
      <c r="H302">
        <f t="shared" si="35"/>
        <v>954992.58602146001</v>
      </c>
      <c r="I302" t="str">
        <f t="shared" si="30"/>
        <v>6000395.38495548j</v>
      </c>
      <c r="J302" t="str">
        <f t="shared" si="29"/>
        <v>0.00010964781960229-10.4712854793606j</v>
      </c>
      <c r="K302">
        <f t="shared" si="31"/>
        <v>20.399999999523605</v>
      </c>
      <c r="L302">
        <f t="shared" si="32"/>
        <v>-89.999400039535914</v>
      </c>
      <c r="M302">
        <f t="shared" si="33"/>
        <v>1.0964781960229E-4</v>
      </c>
      <c r="N302">
        <f t="shared" si="34"/>
        <v>-10.471285479360599</v>
      </c>
    </row>
    <row r="303" spans="7:14" x14ac:dyDescent="0.25">
      <c r="G303">
        <v>5.0000000000000098</v>
      </c>
      <c r="H303">
        <f t="shared" si="35"/>
        <v>1000000.0000000233</v>
      </c>
      <c r="I303" t="str">
        <f t="shared" si="30"/>
        <v>6283185.30717973j</v>
      </c>
      <c r="J303" t="str">
        <f t="shared" si="29"/>
        <v>0.000099999999989996-9.9999999989998j</v>
      </c>
      <c r="K303">
        <f t="shared" si="31"/>
        <v>19.999999999565532</v>
      </c>
      <c r="L303">
        <f t="shared" si="32"/>
        <v>-89.999427042204886</v>
      </c>
      <c r="M303">
        <f t="shared" si="33"/>
        <v>9.9999999989996004E-5</v>
      </c>
      <c r="N303">
        <f t="shared" si="34"/>
        <v>-9.9999999989997992</v>
      </c>
    </row>
    <row r="304" spans="7:14" x14ac:dyDescent="0.25">
      <c r="G304">
        <v>5.0200000000000102</v>
      </c>
      <c r="H304">
        <f t="shared" ref="H304:H353" si="36">$B$3*10^G304</f>
        <v>1047128.5480509256</v>
      </c>
      <c r="I304" t="str">
        <f t="shared" ref="I304:I353" si="37">COMPLEX(0,H304*2*PI(),"j")</f>
        <v>6579302.70784187j</v>
      </c>
      <c r="J304" t="str">
        <f t="shared" si="29"/>
        <v>0.000091201083927268-9.54992585934312j</v>
      </c>
      <c r="K304">
        <f t="shared" ref="K304:K353" si="38">20*LOG(IMABS(J304))</f>
        <v>19.599999999603664</v>
      </c>
      <c r="L304">
        <f t="shared" ref="L304:L353" si="39">DEGREES(IMARGUMENT(J304))</f>
        <v>-89.999452829553562</v>
      </c>
      <c r="M304">
        <f t="shared" ref="M304:M353" si="40">IMREAL(J304)</f>
        <v>9.1201083927268004E-5</v>
      </c>
      <c r="N304">
        <f t="shared" ref="N304:N353" si="41">IMAGINARY(J304)</f>
        <v>-9.5499258593431193</v>
      </c>
    </row>
    <row r="305" spans="7:14" x14ac:dyDescent="0.25">
      <c r="G305">
        <v>5.0400000000000098</v>
      </c>
      <c r="H305">
        <f t="shared" si="36"/>
        <v>1096478.1961432102</v>
      </c>
      <c r="I305" t="str">
        <f t="shared" si="37"/>
        <v>6889375.69164979j</v>
      </c>
      <c r="J305" t="str">
        <f t="shared" si="29"/>
        <v>0.000083176377103345-9.12010839280031j</v>
      </c>
      <c r="K305">
        <f t="shared" si="38"/>
        <v>19.199999999638568</v>
      </c>
      <c r="L305">
        <f t="shared" si="39"/>
        <v>-89.999477456280374</v>
      </c>
      <c r="M305">
        <f t="shared" si="40"/>
        <v>8.3176377103345002E-5</v>
      </c>
      <c r="N305">
        <f t="shared" si="41"/>
        <v>-9.1201083928003097</v>
      </c>
    </row>
    <row r="306" spans="7:14" x14ac:dyDescent="0.25">
      <c r="G306">
        <v>5.0600000000000103</v>
      </c>
      <c r="H306">
        <f t="shared" si="36"/>
        <v>1148153.6214969109</v>
      </c>
      <c r="I306" t="str">
        <f t="shared" si="37"/>
        <v>7214061.96497442j</v>
      </c>
      <c r="J306" t="str">
        <f t="shared" si="29"/>
        <v>0.0000758577574971604-8.70963589889991j</v>
      </c>
      <c r="K306">
        <f t="shared" si="38"/>
        <v>18.799999999670348</v>
      </c>
      <c r="L306">
        <f t="shared" si="39"/>
        <v>-89.999500974621867</v>
      </c>
      <c r="M306">
        <f t="shared" si="40"/>
        <v>7.5857757497160404E-5</v>
      </c>
      <c r="N306">
        <f t="shared" si="41"/>
        <v>-8.7096358988999096</v>
      </c>
    </row>
    <row r="307" spans="7:14" x14ac:dyDescent="0.25">
      <c r="G307">
        <v>5.0800000000000098</v>
      </c>
      <c r="H307">
        <f t="shared" si="36"/>
        <v>1202264.4346174421</v>
      </c>
      <c r="I307" t="str">
        <f t="shared" si="37"/>
        <v>7554050.23093288j</v>
      </c>
      <c r="J307" t="str">
        <f t="shared" si="29"/>
        <v>0.0000691830970871042-8.31763771045108j</v>
      </c>
      <c r="K307">
        <f t="shared" si="38"/>
        <v>18.39999999969934</v>
      </c>
      <c r="L307">
        <f t="shared" si="39"/>
        <v>-89.999523434463654</v>
      </c>
      <c r="M307">
        <f t="shared" si="40"/>
        <v>6.9183097087104203E-5</v>
      </c>
      <c r="N307">
        <f t="shared" si="41"/>
        <v>-8.3176377104510806</v>
      </c>
    </row>
    <row r="308" spans="7:14" x14ac:dyDescent="0.25">
      <c r="G308">
        <v>5.1000000000000103</v>
      </c>
      <c r="H308">
        <f t="shared" si="36"/>
        <v>1258925.4117941975</v>
      </c>
      <c r="I308" t="str">
        <f t="shared" si="37"/>
        <v>7910061.65022031j</v>
      </c>
      <c r="J308" t="str">
        <f t="shared" si="29"/>
        <v>0.000063095734444035-7.94328234674142j</v>
      </c>
      <c r="K308">
        <f t="shared" si="38"/>
        <v>17.999999999725752</v>
      </c>
      <c r="L308">
        <f t="shared" si="39"/>
        <v>-89.999544883446035</v>
      </c>
      <c r="M308">
        <f t="shared" si="40"/>
        <v>6.3095734444034999E-5</v>
      </c>
      <c r="N308">
        <f t="shared" si="41"/>
        <v>-7.9432823467414204</v>
      </c>
    </row>
    <row r="309" spans="7:14" x14ac:dyDescent="0.25">
      <c r="G309">
        <v>5.1200000000000099</v>
      </c>
      <c r="H309">
        <f t="shared" si="36"/>
        <v>1318256.7385564386</v>
      </c>
      <c r="I309" t="str">
        <f t="shared" si="37"/>
        <v>8282851.3707883j</v>
      </c>
      <c r="J309" t="str">
        <f t="shared" si="29"/>
        <v>0.0000575439937304015-7.58577574985513j</v>
      </c>
      <c r="K309">
        <f t="shared" si="38"/>
        <v>17.599999999749873</v>
      </c>
      <c r="L309">
        <f t="shared" si="39"/>
        <v>-89.999565367065188</v>
      </c>
      <c r="M309">
        <f t="shared" si="40"/>
        <v>5.7543993730401502E-5</v>
      </c>
      <c r="N309">
        <f t="shared" si="41"/>
        <v>-7.5857757498551299</v>
      </c>
    </row>
    <row r="310" spans="7:14" x14ac:dyDescent="0.25">
      <c r="G310">
        <v>5.1400000000000103</v>
      </c>
      <c r="H310">
        <f t="shared" si="36"/>
        <v>1380384.26460292</v>
      </c>
      <c r="I310" t="str">
        <f t="shared" si="37"/>
        <v>8673210.12961497j</v>
      </c>
      <c r="J310" t="str">
        <f t="shared" si="29"/>
        <v>0.0000524807460222204-7.24435960036953j</v>
      </c>
      <c r="K310">
        <f t="shared" si="38"/>
        <v>17.199999999771862</v>
      </c>
      <c r="L310">
        <f t="shared" si="39"/>
        <v>-89.999584928769607</v>
      </c>
      <c r="M310">
        <f t="shared" si="40"/>
        <v>5.2480746022220398E-5</v>
      </c>
      <c r="N310">
        <f t="shared" si="41"/>
        <v>-7.2443596003695303</v>
      </c>
    </row>
    <row r="311" spans="7:14" x14ac:dyDescent="0.25">
      <c r="G311">
        <v>5.1600000000000099</v>
      </c>
      <c r="H311">
        <f t="shared" si="36"/>
        <v>1445439.7707459615</v>
      </c>
      <c r="I311" t="str">
        <f t="shared" si="37"/>
        <v>9081965.92996405j</v>
      </c>
      <c r="J311" t="str">
        <f t="shared" si="29"/>
        <v>0.0000478630092299708-6.91830970885808j</v>
      </c>
      <c r="K311">
        <f t="shared" si="38"/>
        <v>16.79999999979194</v>
      </c>
      <c r="L311">
        <f t="shared" si="39"/>
        <v>-89.999603610052304</v>
      </c>
      <c r="M311">
        <f t="shared" si="40"/>
        <v>4.7863009229970797E-5</v>
      </c>
      <c r="N311">
        <f t="shared" si="41"/>
        <v>-6.9183097088580796</v>
      </c>
    </row>
    <row r="312" spans="7:14" x14ac:dyDescent="0.25">
      <c r="G312">
        <v>5.1800000000000104</v>
      </c>
      <c r="H312">
        <f t="shared" si="36"/>
        <v>1513561.2484362463</v>
      </c>
      <c r="I312" t="str">
        <f t="shared" si="37"/>
        <v>9509985.79769101j</v>
      </c>
      <c r="J312" t="str">
        <f t="shared" si="29"/>
        <v>0.0000436515832221087-6.60693447978737j</v>
      </c>
      <c r="K312">
        <f t="shared" si="38"/>
        <v>16.399999999810177</v>
      </c>
      <c r="L312">
        <f t="shared" si="39"/>
        <v>-89.999621450538783</v>
      </c>
      <c r="M312">
        <f t="shared" si="40"/>
        <v>4.3651583222108702E-5</v>
      </c>
      <c r="N312">
        <f t="shared" si="41"/>
        <v>-6.6069344797873697</v>
      </c>
    </row>
    <row r="313" spans="7:14" x14ac:dyDescent="0.25">
      <c r="G313">
        <v>5.2000000000000099</v>
      </c>
      <c r="H313">
        <f t="shared" si="36"/>
        <v>1584893.1924611502</v>
      </c>
      <c r="I313" t="str">
        <f t="shared" si="37"/>
        <v>9958177.62032085j</v>
      </c>
      <c r="J313" t="str">
        <f t="shared" si="29"/>
        <v>0.000039810717053763-6.3095734445506j</v>
      </c>
      <c r="K313">
        <f t="shared" si="38"/>
        <v>15.999999999826906</v>
      </c>
      <c r="L313">
        <f t="shared" si="39"/>
        <v>-89.999638488071099</v>
      </c>
      <c r="M313">
        <f t="shared" si="40"/>
        <v>3.9810717053762999E-5</v>
      </c>
      <c r="N313">
        <f t="shared" si="41"/>
        <v>-6.3095734445506002</v>
      </c>
    </row>
    <row r="314" spans="7:14" x14ac:dyDescent="0.25">
      <c r="G314">
        <v>5.2200000000000104</v>
      </c>
      <c r="H314">
        <f t="shared" si="36"/>
        <v>1659586.9074376018</v>
      </c>
      <c r="I314" t="str">
        <f t="shared" si="37"/>
        <v>10427492.0727995j</v>
      </c>
      <c r="J314" t="str">
        <f t="shared" si="29"/>
        <v>0.0000363078054756906-6.02559586052469j</v>
      </c>
      <c r="K314">
        <f t="shared" si="38"/>
        <v>15.599999999842156</v>
      </c>
      <c r="L314">
        <f t="shared" si="39"/>
        <v>-89.999654758788125</v>
      </c>
      <c r="M314">
        <f t="shared" si="40"/>
        <v>3.6307805475690598E-5</v>
      </c>
      <c r="N314">
        <f t="shared" si="41"/>
        <v>-6.0255958605246898</v>
      </c>
    </row>
    <row r="315" spans="7:14" x14ac:dyDescent="0.25">
      <c r="G315">
        <v>5.24</v>
      </c>
      <c r="H315">
        <f t="shared" si="36"/>
        <v>1737800.828749378</v>
      </c>
      <c r="I315" t="str">
        <f t="shared" si="37"/>
        <v>10918924.6340026j</v>
      </c>
      <c r="J315" t="str">
        <f t="shared" si="29"/>
        <v>0.0000331131121471625-5.75439937318101j</v>
      </c>
      <c r="K315">
        <f t="shared" si="38"/>
        <v>15.199999999856171</v>
      </c>
      <c r="L315">
        <f t="shared" si="39"/>
        <v>-89.999670297202286</v>
      </c>
      <c r="M315">
        <f t="shared" si="40"/>
        <v>3.3113112147162501E-5</v>
      </c>
      <c r="N315">
        <f t="shared" si="41"/>
        <v>-5.7543993731810099</v>
      </c>
    </row>
    <row r="316" spans="7:14" x14ac:dyDescent="0.25">
      <c r="G316">
        <v>5.26</v>
      </c>
      <c r="H316">
        <f t="shared" si="36"/>
        <v>1819700.8586099858</v>
      </c>
      <c r="I316" t="str">
        <f t="shared" si="37"/>
        <v>11433517.6982803j</v>
      </c>
      <c r="J316" t="str">
        <f t="shared" si="29"/>
        <v>0.0000301995172031083-5.4954087384103j</v>
      </c>
      <c r="K316">
        <f t="shared" si="38"/>
        <v>14.799999999868866</v>
      </c>
      <c r="L316">
        <f t="shared" si="39"/>
        <v>-89.999685136272589</v>
      </c>
      <c r="M316">
        <f t="shared" si="40"/>
        <v>3.01995172031083E-5</v>
      </c>
      <c r="N316">
        <f t="shared" si="41"/>
        <v>-5.4954087384103003</v>
      </c>
    </row>
    <row r="317" spans="7:14" x14ac:dyDescent="0.25">
      <c r="G317">
        <v>5.28</v>
      </c>
      <c r="H317">
        <f t="shared" si="36"/>
        <v>1905460.7179632492</v>
      </c>
      <c r="I317" t="str">
        <f t="shared" si="37"/>
        <v>11972362.7865146j</v>
      </c>
      <c r="J317" t="str">
        <f t="shared" si="29"/>
        <v>0.0000275422870326227-5.24807460235315j</v>
      </c>
      <c r="K317">
        <f t="shared" si="38"/>
        <v>14.399999999880333</v>
      </c>
      <c r="L317">
        <f t="shared" si="39"/>
        <v>-89.999699307474714</v>
      </c>
      <c r="M317">
        <f t="shared" si="40"/>
        <v>2.7542287032622701E-5</v>
      </c>
      <c r="N317">
        <f t="shared" si="41"/>
        <v>-5.2480746023531504</v>
      </c>
    </row>
    <row r="318" spans="7:14" x14ac:dyDescent="0.25">
      <c r="G318">
        <v>5.3</v>
      </c>
      <c r="H318">
        <f t="shared" si="36"/>
        <v>1995262.3149688812</v>
      </c>
      <c r="I318" t="str">
        <f t="shared" si="37"/>
        <v>12536602.8613816j</v>
      </c>
      <c r="J318" t="str">
        <f t="shared" si="29"/>
        <v>0.0000251188643144648-5.01187233614683j</v>
      </c>
      <c r="K318">
        <f t="shared" si="38"/>
        <v>13.999999999890907</v>
      </c>
      <c r="L318">
        <f t="shared" si="39"/>
        <v>-89.999712840867673</v>
      </c>
      <c r="M318">
        <f t="shared" si="40"/>
        <v>2.5118864314464799E-5</v>
      </c>
      <c r="N318">
        <f t="shared" si="41"/>
        <v>-5.0118723361468298</v>
      </c>
    </row>
    <row r="319" spans="7:14" x14ac:dyDescent="0.25">
      <c r="G319">
        <v>5.32</v>
      </c>
      <c r="H319">
        <f t="shared" si="36"/>
        <v>2089296.1308540448</v>
      </c>
      <c r="I319" t="str">
        <f t="shared" si="37"/>
        <v>13127434.7517293j</v>
      </c>
      <c r="J319" t="str">
        <f t="shared" si="29"/>
        <v>0.0000229086765271527-4.78630092311671j</v>
      </c>
      <c r="K319">
        <f t="shared" si="38"/>
        <v>13.599999999900463</v>
      </c>
      <c r="L319">
        <f t="shared" si="39"/>
        <v>-89.999725765157621</v>
      </c>
      <c r="M319">
        <f t="shared" si="40"/>
        <v>2.29086765271527E-5</v>
      </c>
      <c r="N319">
        <f t="shared" si="41"/>
        <v>-4.78630092311671</v>
      </c>
    </row>
    <row r="320" spans="7:14" x14ac:dyDescent="0.25">
      <c r="G320">
        <v>5.34</v>
      </c>
      <c r="H320">
        <f t="shared" si="36"/>
        <v>2187761.6239495538</v>
      </c>
      <c r="I320" t="str">
        <f t="shared" si="37"/>
        <v>13746111.6912112j</v>
      </c>
      <c r="J320" t="str">
        <f t="shared" si="29"/>
        <v>0.0000208929613081037-4.57088189605324j</v>
      </c>
      <c r="K320">
        <f t="shared" si="38"/>
        <v>13.199999999909242</v>
      </c>
      <c r="L320">
        <f t="shared" si="39"/>
        <v>-89.999738107758702</v>
      </c>
      <c r="M320">
        <f t="shared" si="40"/>
        <v>2.0892961308103699E-5</v>
      </c>
      <c r="N320">
        <f t="shared" si="41"/>
        <v>-4.5708818960532396</v>
      </c>
    </row>
    <row r="321" spans="7:14" x14ac:dyDescent="0.25">
      <c r="G321">
        <v>5.36</v>
      </c>
      <c r="H321">
        <f t="shared" si="36"/>
        <v>2290867.6527677779</v>
      </c>
      <c r="I321" t="str">
        <f t="shared" si="37"/>
        <v>14393945.9765635j</v>
      </c>
      <c r="J321" t="str">
        <f t="shared" si="29"/>
        <v>0.0000190546071792693-4.36515832231847j</v>
      </c>
      <c r="K321">
        <f t="shared" si="38"/>
        <v>12.799999999917219</v>
      </c>
      <c r="L321">
        <f t="shared" si="39"/>
        <v>-89.99974989485122</v>
      </c>
      <c r="M321">
        <f t="shared" si="40"/>
        <v>1.90546071792693E-5</v>
      </c>
      <c r="N321">
        <f t="shared" si="41"/>
        <v>-4.3651583223184698</v>
      </c>
    </row>
    <row r="322" spans="7:14" x14ac:dyDescent="0.25">
      <c r="G322">
        <v>5.38</v>
      </c>
      <c r="H322">
        <f t="shared" si="36"/>
        <v>2398832.9190194905</v>
      </c>
      <c r="I322" t="str">
        <f t="shared" si="37"/>
        <v>15072311.751162j</v>
      </c>
      <c r="J322" t="str">
        <f t="shared" si="29"/>
        <v>0.0000173780082871918-4.16869383463091j</v>
      </c>
      <c r="K322">
        <f t="shared" si="38"/>
        <v>12.399999999924527</v>
      </c>
      <c r="L322">
        <f t="shared" si="39"/>
        <v>-89.999761151437198</v>
      </c>
      <c r="M322">
        <f t="shared" si="40"/>
        <v>1.73780082871918E-5</v>
      </c>
      <c r="N322">
        <f t="shared" si="41"/>
        <v>-4.1686938346309104</v>
      </c>
    </row>
    <row r="323" spans="7:14" x14ac:dyDescent="0.25">
      <c r="G323">
        <v>5.4</v>
      </c>
      <c r="H323">
        <f t="shared" si="36"/>
        <v>2511886.4315095842</v>
      </c>
      <c r="I323" t="str">
        <f t="shared" si="37"/>
        <v>15782647.9197648j</v>
      </c>
      <c r="J323" t="str">
        <f t="shared" ref="J323:J353" si="42">IMDIV(Aolv,IMSUM(1,IMDIV(I323,wc)))</f>
        <v>0.0000158489319243598-3.98107170547186j</v>
      </c>
      <c r="K323">
        <f t="shared" si="38"/>
        <v>11.999999999931131</v>
      </c>
      <c r="L323">
        <f t="shared" si="39"/>
        <v>-89.999771901393345</v>
      </c>
      <c r="M323">
        <f t="shared" si="40"/>
        <v>1.5848931924359799E-5</v>
      </c>
      <c r="N323">
        <f t="shared" si="41"/>
        <v>-3.9810717054718601</v>
      </c>
    </row>
    <row r="324" spans="7:14" x14ac:dyDescent="0.25">
      <c r="G324">
        <v>5.42</v>
      </c>
      <c r="H324">
        <f t="shared" si="36"/>
        <v>2630267.991895386</v>
      </c>
      <c r="I324" t="str">
        <f t="shared" si="37"/>
        <v>16526461.2006218j</v>
      </c>
      <c r="J324" t="str">
        <f t="shared" si="42"/>
        <v>0.0000144543977072504-3.80189396315066j</v>
      </c>
      <c r="K324">
        <f t="shared" si="38"/>
        <v>11.599999999937229</v>
      </c>
      <c r="L324">
        <f t="shared" si="39"/>
        <v>-89.999782167521758</v>
      </c>
      <c r="M324">
        <f t="shared" si="40"/>
        <v>1.44543977072504E-5</v>
      </c>
      <c r="N324">
        <f t="shared" si="41"/>
        <v>-3.8018939631506599</v>
      </c>
    </row>
    <row r="325" spans="7:14" x14ac:dyDescent="0.25">
      <c r="G325">
        <v>5.44</v>
      </c>
      <c r="H325">
        <f t="shared" si="36"/>
        <v>2754228.7033381704</v>
      </c>
      <c r="I325" t="str">
        <f t="shared" si="37"/>
        <v>17305329.3214267j</v>
      </c>
      <c r="J325" t="str">
        <f t="shared" si="42"/>
        <v>0.0000131825673853903-3.63078054765315j</v>
      </c>
      <c r="K325">
        <f t="shared" si="38"/>
        <v>11.199999999942747</v>
      </c>
      <c r="L325">
        <f t="shared" si="39"/>
        <v>-89.999791971598285</v>
      </c>
      <c r="M325">
        <f t="shared" si="40"/>
        <v>1.31825673853903E-5</v>
      </c>
      <c r="N325">
        <f t="shared" si="41"/>
        <v>-3.6307805476531501</v>
      </c>
    </row>
    <row r="326" spans="7:14" x14ac:dyDescent="0.25">
      <c r="G326">
        <v>5.46</v>
      </c>
      <c r="H326">
        <f t="shared" si="36"/>
        <v>2884031.5031266091</v>
      </c>
      <c r="I326" t="str">
        <f t="shared" si="37"/>
        <v>18120904.3658882j</v>
      </c>
      <c r="J326" t="str">
        <f t="shared" si="42"/>
        <v>0.0000120226443460296-3.46736850448362j</v>
      </c>
      <c r="K326">
        <f t="shared" si="38"/>
        <v>10.799999999947762</v>
      </c>
      <c r="L326">
        <f t="shared" si="39"/>
        <v>-89.999801334418677</v>
      </c>
      <c r="M326">
        <f t="shared" si="40"/>
        <v>1.2022644346029599E-5</v>
      </c>
      <c r="N326">
        <f t="shared" si="41"/>
        <v>-3.4673685044836202</v>
      </c>
    </row>
    <row r="327" spans="7:14" x14ac:dyDescent="0.25">
      <c r="G327">
        <v>5.48</v>
      </c>
      <c r="H327">
        <f t="shared" si="36"/>
        <v>3019951.7204020242</v>
      </c>
      <c r="I327" t="str">
        <f t="shared" si="37"/>
        <v>18974916.2780217j</v>
      </c>
      <c r="J327" t="str">
        <f t="shared" si="42"/>
        <v>0.0000109647819613116-3.3113112147896j</v>
      </c>
      <c r="K327">
        <f t="shared" si="38"/>
        <v>10.399999999952371</v>
      </c>
      <c r="L327">
        <f t="shared" si="39"/>
        <v>-89.999810275842734</v>
      </c>
      <c r="M327">
        <f t="shared" si="40"/>
        <v>1.09647819613116E-5</v>
      </c>
      <c r="N327">
        <f t="shared" si="41"/>
        <v>-3.3113112147896002</v>
      </c>
    </row>
    <row r="328" spans="7:14" x14ac:dyDescent="0.25">
      <c r="G328">
        <v>5.5</v>
      </c>
      <c r="H328">
        <f t="shared" si="36"/>
        <v>3162277.6601683819</v>
      </c>
      <c r="I328" t="str">
        <f t="shared" si="37"/>
        <v>19869176.5315922j</v>
      </c>
      <c r="J328" t="str">
        <f t="shared" si="42"/>
        <v>9.99999999989999E-06-3.16227766013676j</v>
      </c>
      <c r="K328">
        <f t="shared" si="38"/>
        <v>9.9999999999565787</v>
      </c>
      <c r="L328">
        <f t="shared" si="39"/>
        <v>-89.999818814836416</v>
      </c>
      <c r="M328">
        <f t="shared" si="40"/>
        <v>9.9999999998999899E-6</v>
      </c>
      <c r="N328">
        <f t="shared" si="41"/>
        <v>-3.1622776601367599</v>
      </c>
    </row>
    <row r="329" spans="7:14" x14ac:dyDescent="0.25">
      <c r="G329">
        <v>5.52</v>
      </c>
      <c r="H329">
        <f t="shared" si="36"/>
        <v>3311311.2148259124</v>
      </c>
      <c r="I329" t="str">
        <f t="shared" si="37"/>
        <v>20805581.9724932j</v>
      </c>
      <c r="J329" t="str">
        <f t="shared" si="42"/>
        <v>9.12010839347587E-06-3.01995172037447j</v>
      </c>
      <c r="K329">
        <f t="shared" si="38"/>
        <v>9.5999999999603798</v>
      </c>
      <c r="L329">
        <f t="shared" si="39"/>
        <v>-89.9998269695121</v>
      </c>
      <c r="M329">
        <f t="shared" si="40"/>
        <v>9.1201083934758703E-6</v>
      </c>
      <c r="N329">
        <f t="shared" si="41"/>
        <v>-3.0199517203744701</v>
      </c>
    </row>
    <row r="330" spans="7:14" x14ac:dyDescent="0.25">
      <c r="G330">
        <v>5.54</v>
      </c>
      <c r="H330">
        <f t="shared" si="36"/>
        <v>3467368.5045253243</v>
      </c>
      <c r="I330" t="str">
        <f t="shared" si="37"/>
        <v>21786118.8422108j</v>
      </c>
      <c r="J330" t="str">
        <f t="shared" si="42"/>
        <v>8.31763771095746E-06-2.88403150310261j</v>
      </c>
      <c r="K330">
        <f t="shared" si="38"/>
        <v>9.199999999963854</v>
      </c>
      <c r="L330">
        <f t="shared" si="39"/>
        <v>-89.999834757166894</v>
      </c>
      <c r="M330">
        <f t="shared" si="40"/>
        <v>8.3176377109574594E-6</v>
      </c>
      <c r="N330">
        <f t="shared" si="41"/>
        <v>-2.88403150310261</v>
      </c>
    </row>
    <row r="331" spans="7:14" x14ac:dyDescent="0.25">
      <c r="G331">
        <v>5.56</v>
      </c>
      <c r="H331">
        <f t="shared" si="36"/>
        <v>3630780.5477010137</v>
      </c>
      <c r="I331" t="str">
        <f t="shared" si="37"/>
        <v>22812866.9909085j</v>
      </c>
      <c r="J331" t="str">
        <f t="shared" si="42"/>
        <v>7.58577575023427E-06-2.75422870331727j</v>
      </c>
      <c r="K331">
        <f t="shared" si="38"/>
        <v>8.7999999999670457</v>
      </c>
      <c r="L331">
        <f t="shared" si="39"/>
        <v>-89.999842194319484</v>
      </c>
      <c r="M331">
        <f t="shared" si="40"/>
        <v>7.5857757502342696E-6</v>
      </c>
      <c r="N331">
        <f t="shared" si="41"/>
        <v>-2.7542287033172701</v>
      </c>
    </row>
    <row r="332" spans="7:14" x14ac:dyDescent="0.25">
      <c r="G332">
        <v>5.58</v>
      </c>
      <c r="H332">
        <f t="shared" si="36"/>
        <v>3801893.9632056188</v>
      </c>
      <c r="I332" t="str">
        <f t="shared" si="37"/>
        <v>23888004.2890683j</v>
      </c>
      <c r="J332" t="str">
        <f t="shared" si="42"/>
        <v>6.91830970914147E-06-2.63026799187718j</v>
      </c>
      <c r="K332">
        <f t="shared" si="38"/>
        <v>8.3999999999699355</v>
      </c>
      <c r="L332">
        <f t="shared" si="39"/>
        <v>-89.999849296745083</v>
      </c>
      <c r="M332">
        <f t="shared" si="40"/>
        <v>6.9183097091414696E-6</v>
      </c>
      <c r="N332">
        <f t="shared" si="41"/>
        <v>-2.6302679918771799</v>
      </c>
    </row>
    <row r="333" spans="7:14" x14ac:dyDescent="0.25">
      <c r="G333">
        <v>5.6</v>
      </c>
      <c r="H333">
        <f t="shared" si="36"/>
        <v>3981071.7055349713</v>
      </c>
      <c r="I333" t="str">
        <f t="shared" si="37"/>
        <v>25013811.2470457j</v>
      </c>
      <c r="J333" t="str">
        <f t="shared" si="42"/>
        <v>6.30957344476213E-06-2.51188643149373j</v>
      </c>
      <c r="K333">
        <f t="shared" si="38"/>
        <v>7.9999999999725935</v>
      </c>
      <c r="L333">
        <f t="shared" si="39"/>
        <v>-89.999856079508859</v>
      </c>
      <c r="M333">
        <f t="shared" si="40"/>
        <v>6.3095734447621301E-6</v>
      </c>
      <c r="N333">
        <f t="shared" si="41"/>
        <v>-2.5118864314937301</v>
      </c>
    </row>
    <row r="334" spans="7:14" x14ac:dyDescent="0.25">
      <c r="G334">
        <v>5.62</v>
      </c>
      <c r="H334">
        <f t="shared" si="36"/>
        <v>4168693.8347033598</v>
      </c>
      <c r="I334" t="str">
        <f t="shared" si="37"/>
        <v>26192675.8523383j</v>
      </c>
      <c r="J334" t="str">
        <f t="shared" si="42"/>
        <v>5.75439937333844E-06-2.39883291900568j</v>
      </c>
      <c r="K334">
        <f t="shared" si="38"/>
        <v>7.5999999999749859</v>
      </c>
      <c r="L334">
        <f t="shared" si="39"/>
        <v>-89.999862556997982</v>
      </c>
      <c r="M334">
        <f t="shared" si="40"/>
        <v>5.7543993733384401E-6</v>
      </c>
      <c r="N334">
        <f t="shared" si="41"/>
        <v>-2.3988329190056801</v>
      </c>
    </row>
    <row r="335" spans="7:14" x14ac:dyDescent="0.25">
      <c r="G335">
        <v>5.64</v>
      </c>
      <c r="H335">
        <f t="shared" si="36"/>
        <v>4365158.3224016652</v>
      </c>
      <c r="I335" t="str">
        <f t="shared" si="37"/>
        <v>27427098.6348268j</v>
      </c>
      <c r="J335" t="str">
        <f t="shared" si="42"/>
        <v>5.24807460247018E-06-2.29086765275575j</v>
      </c>
      <c r="K335">
        <f t="shared" si="38"/>
        <v>7.1999999999772069</v>
      </c>
      <c r="L335">
        <f t="shared" si="39"/>
        <v>-89.999868742952074</v>
      </c>
      <c r="M335">
        <f t="shared" si="40"/>
        <v>5.2480746024701801E-6</v>
      </c>
      <c r="N335">
        <f t="shared" si="41"/>
        <v>-2.2908676527557499</v>
      </c>
    </row>
    <row r="336" spans="7:14" x14ac:dyDescent="0.25">
      <c r="G336">
        <v>5.66</v>
      </c>
      <c r="H336">
        <f t="shared" si="36"/>
        <v>4570881.8961487543</v>
      </c>
      <c r="I336" t="str">
        <f t="shared" si="37"/>
        <v>28719697.970735j</v>
      </c>
      <c r="J336" t="str">
        <f t="shared" si="42"/>
        <v>4.78630092320348E-06-2.18776162393908j</v>
      </c>
      <c r="K336">
        <f t="shared" si="38"/>
        <v>6.7999999999792093</v>
      </c>
      <c r="L336">
        <f t="shared" si="39"/>
        <v>-89.999874650492373</v>
      </c>
      <c r="M336">
        <f t="shared" si="40"/>
        <v>4.7863009232034796E-6</v>
      </c>
      <c r="N336">
        <f t="shared" si="41"/>
        <v>-2.18776162393908</v>
      </c>
    </row>
    <row r="337" spans="7:14" x14ac:dyDescent="0.25">
      <c r="G337">
        <v>5.68</v>
      </c>
      <c r="H337">
        <f t="shared" si="36"/>
        <v>4786300.9232263872</v>
      </c>
      <c r="I337" t="str">
        <f t="shared" si="37"/>
        <v>30073215.6365561j</v>
      </c>
      <c r="J337" t="str">
        <f t="shared" si="42"/>
        <v>4.36515832238261E-06-2.08929613084492j</v>
      </c>
      <c r="K337">
        <f t="shared" si="38"/>
        <v>6.3999999999810449</v>
      </c>
      <c r="L337">
        <f t="shared" si="39"/>
        <v>-89.999880292149555</v>
      </c>
      <c r="M337">
        <f t="shared" si="40"/>
        <v>4.3651583223826102E-6</v>
      </c>
      <c r="N337">
        <f t="shared" si="41"/>
        <v>-2.0892961308449198</v>
      </c>
    </row>
    <row r="338" spans="7:14" x14ac:dyDescent="0.25">
      <c r="G338">
        <v>5.6999999999999904</v>
      </c>
      <c r="H338">
        <f t="shared" si="36"/>
        <v>5011872.3362726187</v>
      </c>
      <c r="I338" t="str">
        <f t="shared" si="37"/>
        <v>31490522.6247279j</v>
      </c>
      <c r="J338" t="str">
        <f t="shared" si="42"/>
        <v>0.0000039810717055193-1.99526231496098j</v>
      </c>
      <c r="K338">
        <f t="shared" si="38"/>
        <v>5.9999999999828999</v>
      </c>
      <c r="L338">
        <f t="shared" si="39"/>
        <v>-89.999885679890326</v>
      </c>
      <c r="M338">
        <f t="shared" si="40"/>
        <v>3.9810717055192999E-6</v>
      </c>
      <c r="N338">
        <f t="shared" si="41"/>
        <v>-1.9952623149609801</v>
      </c>
    </row>
    <row r="339" spans="7:14" x14ac:dyDescent="0.25">
      <c r="G339">
        <v>5.71999999999999</v>
      </c>
      <c r="H339">
        <f t="shared" si="36"/>
        <v>5248074.6024976065</v>
      </c>
      <c r="I339" t="str">
        <f t="shared" si="37"/>
        <v>32974625.2333953j</v>
      </c>
      <c r="J339" t="str">
        <f t="shared" si="42"/>
        <v>3.63078054768799E-06-1.90546071795637j</v>
      </c>
      <c r="K339">
        <f t="shared" si="38"/>
        <v>5.5999999999844192</v>
      </c>
      <c r="L339">
        <f t="shared" si="39"/>
        <v>-89.999890825142842</v>
      </c>
      <c r="M339">
        <f t="shared" si="40"/>
        <v>3.6307805476879901E-6</v>
      </c>
      <c r="N339">
        <f t="shared" si="41"/>
        <v>-1.9054607179563701</v>
      </c>
    </row>
    <row r="340" spans="7:14" x14ac:dyDescent="0.25">
      <c r="G340">
        <v>5.7399999999999904</v>
      </c>
      <c r="H340">
        <f t="shared" si="36"/>
        <v>5495408.7385761291</v>
      </c>
      <c r="I340" t="str">
        <f t="shared" si="37"/>
        <v>34528671.4431678j</v>
      </c>
      <c r="J340" t="str">
        <f t="shared" si="42"/>
        <v>0.0000033113112148151-1.819700858604j</v>
      </c>
      <c r="K340">
        <f t="shared" si="38"/>
        <v>5.1999999999858204</v>
      </c>
      <c r="L340">
        <f t="shared" si="39"/>
        <v>-89.99989573882084</v>
      </c>
      <c r="M340">
        <f t="shared" si="40"/>
        <v>3.3113112148151E-6</v>
      </c>
      <c r="N340">
        <f t="shared" si="41"/>
        <v>-1.819700858604</v>
      </c>
    </row>
    <row r="341" spans="7:14" x14ac:dyDescent="0.25">
      <c r="G341">
        <v>5.75999999999999</v>
      </c>
      <c r="H341">
        <f t="shared" si="36"/>
        <v>5754399.3733714474</v>
      </c>
      <c r="I341" t="str">
        <f t="shared" si="37"/>
        <v>36155957.5944109j</v>
      </c>
      <c r="J341" t="str">
        <f t="shared" si="42"/>
        <v>3.01995172039302E-06-1.73780082874416j</v>
      </c>
      <c r="K341">
        <f t="shared" si="38"/>
        <v>4.7999999999870466</v>
      </c>
      <c r="L341">
        <f t="shared" si="39"/>
        <v>-89.999900431346873</v>
      </c>
      <c r="M341">
        <f t="shared" si="40"/>
        <v>3.01995172039302E-6</v>
      </c>
      <c r="N341">
        <f t="shared" si="41"/>
        <v>-1.73780082874416</v>
      </c>
    </row>
    <row r="342" spans="7:14" x14ac:dyDescent="0.25">
      <c r="G342">
        <v>5.7799999999999896</v>
      </c>
      <c r="H342">
        <f t="shared" si="36"/>
        <v>6025595.8607434379</v>
      </c>
      <c r="I342" t="str">
        <f t="shared" si="37"/>
        <v>37859935.3792253j</v>
      </c>
      <c r="J342" t="str">
        <f t="shared" si="42"/>
        <v>2.75422870333071E-06-1.65958690743303j</v>
      </c>
      <c r="K342">
        <f t="shared" si="38"/>
        <v>4.3999999999882498</v>
      </c>
      <c r="L342">
        <f t="shared" si="39"/>
        <v>-89.999904912674467</v>
      </c>
      <c r="M342">
        <f t="shared" si="40"/>
        <v>2.7542287033307099E-6</v>
      </c>
      <c r="N342">
        <f t="shared" si="41"/>
        <v>-1.6595869074330301</v>
      </c>
    </row>
    <row r="343" spans="7:14" x14ac:dyDescent="0.25">
      <c r="G343">
        <v>5.7999999999999901</v>
      </c>
      <c r="H343">
        <f t="shared" si="36"/>
        <v>6309573.4448017962</v>
      </c>
      <c r="I343" t="str">
        <f t="shared" si="37"/>
        <v>39644219.1629491j</v>
      </c>
      <c r="J343" t="str">
        <f t="shared" si="42"/>
        <v>2.51188643150338E-06-1.58489319245717j</v>
      </c>
      <c r="K343">
        <f t="shared" si="38"/>
        <v>3.9999999999892966</v>
      </c>
      <c r="L343">
        <f t="shared" si="39"/>
        <v>-89.99990919230909</v>
      </c>
      <c r="M343">
        <f t="shared" si="40"/>
        <v>2.5118864315033799E-6</v>
      </c>
      <c r="N343">
        <f t="shared" si="41"/>
        <v>-1.5848931924571701</v>
      </c>
    </row>
    <row r="344" spans="7:14" x14ac:dyDescent="0.25">
      <c r="G344">
        <v>5.8199999999999896</v>
      </c>
      <c r="H344">
        <f t="shared" si="36"/>
        <v>6606934.4800758157</v>
      </c>
      <c r="I344" t="str">
        <f t="shared" si="37"/>
        <v>41512593.6507106j</v>
      </c>
      <c r="J344" t="str">
        <f t="shared" si="42"/>
        <v>2.29086765276262E-06-1.51356124843277j</v>
      </c>
      <c r="K344">
        <f t="shared" si="38"/>
        <v>3.5999999999902177</v>
      </c>
      <c r="L344">
        <f t="shared" si="39"/>
        <v>-89.999913279328439</v>
      </c>
      <c r="M344">
        <f t="shared" si="40"/>
        <v>2.2908676527626201E-6</v>
      </c>
      <c r="N344">
        <f t="shared" si="41"/>
        <v>-1.5135612484327701</v>
      </c>
    </row>
    <row r="345" spans="7:14" x14ac:dyDescent="0.25">
      <c r="G345">
        <v>5.8399999999999901</v>
      </c>
      <c r="H345">
        <f t="shared" si="36"/>
        <v>6918309.7091892129</v>
      </c>
      <c r="I345" t="str">
        <f t="shared" si="37"/>
        <v>43469021.9152955j</v>
      </c>
      <c r="J345" t="str">
        <f t="shared" si="42"/>
        <v>2.08929613084977E-06-1.44543977074294j</v>
      </c>
      <c r="K345">
        <f t="shared" si="38"/>
        <v>3.1999999999911202</v>
      </c>
      <c r="L345">
        <f t="shared" si="39"/>
        <v>-89.999917182401589</v>
      </c>
      <c r="M345">
        <f t="shared" si="40"/>
        <v>2.0892961308497699E-6</v>
      </c>
      <c r="N345">
        <f t="shared" si="41"/>
        <v>-1.4454397707429401</v>
      </c>
    </row>
    <row r="346" spans="7:14" x14ac:dyDescent="0.25">
      <c r="G346">
        <v>5.8599999999999897</v>
      </c>
      <c r="H346">
        <f t="shared" si="36"/>
        <v>7244359.6007497404</v>
      </c>
      <c r="I346" t="str">
        <f t="shared" si="37"/>
        <v>45517653.8033561j</v>
      </c>
      <c r="J346" t="str">
        <f t="shared" si="42"/>
        <v>1.90546071795971E-06-1.38038426460029j</v>
      </c>
      <c r="K346">
        <f t="shared" si="38"/>
        <v>2.7999999999919463</v>
      </c>
      <c r="L346">
        <f t="shared" si="39"/>
        <v>-89.999920909807543</v>
      </c>
      <c r="M346">
        <f t="shared" si="40"/>
        <v>1.9054607179597101E-6</v>
      </c>
      <c r="N346">
        <f t="shared" si="41"/>
        <v>-1.38038426460029</v>
      </c>
    </row>
    <row r="347" spans="7:14" x14ac:dyDescent="0.25">
      <c r="G347">
        <v>5.8799999999999901</v>
      </c>
      <c r="H347">
        <f t="shared" si="36"/>
        <v>7585775.7502916818</v>
      </c>
      <c r="I347" t="str">
        <f t="shared" si="37"/>
        <v>47662834.7377919j</v>
      </c>
      <c r="J347" t="str">
        <f t="shared" si="42"/>
        <v>1.73780082874643E-06-1.31825673855414j</v>
      </c>
      <c r="K347">
        <f t="shared" si="38"/>
        <v>2.399999999992608</v>
      </c>
      <c r="L347">
        <f t="shared" si="39"/>
        <v>-89.999924469452566</v>
      </c>
      <c r="M347">
        <f t="shared" si="40"/>
        <v>1.7378008287464299E-6</v>
      </c>
      <c r="N347">
        <f t="shared" si="41"/>
        <v>-1.3182567385541399</v>
      </c>
    </row>
    <row r="348" spans="7:14" x14ac:dyDescent="0.25">
      <c r="G348">
        <v>5.8999999999999897</v>
      </c>
      <c r="H348">
        <f t="shared" si="36"/>
        <v>7943282.3472426357</v>
      </c>
      <c r="I348" t="str">
        <f t="shared" si="37"/>
        <v>49909114.9349739j</v>
      </c>
      <c r="J348" t="str">
        <f t="shared" si="42"/>
        <v>1.58489319245867E-06-1.2589254117922j</v>
      </c>
      <c r="K348">
        <f t="shared" si="38"/>
        <v>1.9999999999933102</v>
      </c>
      <c r="L348">
        <f t="shared" si="39"/>
        <v>-89.999927868887184</v>
      </c>
      <c r="M348">
        <f t="shared" si="40"/>
        <v>1.58489319245867E-6</v>
      </c>
      <c r="N348">
        <f t="shared" si="41"/>
        <v>-1.2589254117922</v>
      </c>
    </row>
    <row r="349" spans="7:14" x14ac:dyDescent="0.25">
      <c r="G349">
        <v>5.9199999999999902</v>
      </c>
      <c r="H349">
        <f t="shared" si="36"/>
        <v>8317637.7110265344</v>
      </c>
      <c r="I349" t="str">
        <f t="shared" si="37"/>
        <v>52261259.0563648j</v>
      </c>
      <c r="J349" t="str">
        <f t="shared" si="42"/>
        <v>0.0000014454397707439-1.2022644346157j</v>
      </c>
      <c r="K349">
        <f t="shared" si="38"/>
        <v>1.5999999999939027</v>
      </c>
      <c r="L349">
        <f t="shared" si="39"/>
        <v>-89.999931115322042</v>
      </c>
      <c r="M349">
        <f t="shared" si="40"/>
        <v>1.4454397707438999E-6</v>
      </c>
      <c r="N349">
        <f t="shared" si="41"/>
        <v>-1.2022644346157001</v>
      </c>
    </row>
    <row r="350" spans="7:14" x14ac:dyDescent="0.25">
      <c r="G350">
        <v>5.9399999999999897</v>
      </c>
      <c r="H350">
        <f t="shared" si="36"/>
        <v>8709635.8995606061</v>
      </c>
      <c r="I350" t="str">
        <f t="shared" si="37"/>
        <v>54724256.3150031j</v>
      </c>
      <c r="J350" t="str">
        <f t="shared" si="42"/>
        <v>1.31825673855473E-06-1.1481536214954j</v>
      </c>
      <c r="K350">
        <f t="shared" si="38"/>
        <v>1.1999999999945077</v>
      </c>
      <c r="L350">
        <f t="shared" si="39"/>
        <v>-89.99993421564325</v>
      </c>
      <c r="M350">
        <f t="shared" si="40"/>
        <v>1.3182567385547301E-6</v>
      </c>
      <c r="N350">
        <f t="shared" si="41"/>
        <v>-1.1481536214954</v>
      </c>
    </row>
    <row r="351" spans="7:14" x14ac:dyDescent="0.25">
      <c r="G351">
        <v>5.9599999999999902</v>
      </c>
      <c r="H351">
        <f t="shared" si="36"/>
        <v>9120108.3935589008</v>
      </c>
      <c r="I351" t="str">
        <f t="shared" si="37"/>
        <v>57303331.0582945j</v>
      </c>
      <c r="J351" t="str">
        <f t="shared" si="42"/>
        <v>1.20226443461602E-06-1.09647819614189j</v>
      </c>
      <c r="K351">
        <f t="shared" si="38"/>
        <v>0.79999999999496296</v>
      </c>
      <c r="L351">
        <f t="shared" si="39"/>
        <v>-89.999937176427039</v>
      </c>
      <c r="M351">
        <f t="shared" si="40"/>
        <v>1.20226443461602E-6</v>
      </c>
      <c r="N351">
        <f t="shared" si="41"/>
        <v>-1.0964781961418899</v>
      </c>
    </row>
    <row r="352" spans="7:14" x14ac:dyDescent="0.25">
      <c r="G352">
        <v>5.9799999999999898</v>
      </c>
      <c r="H352">
        <f t="shared" si="36"/>
        <v>9549925.8602141533</v>
      </c>
      <c r="I352" t="str">
        <f t="shared" si="37"/>
        <v>60003953.8495519j</v>
      </c>
      <c r="J352" t="str">
        <f t="shared" si="42"/>
        <v>1.09647819614203E-06-1.04712854804977j</v>
      </c>
      <c r="K352">
        <f t="shared" si="38"/>
        <v>0.39999999999539232</v>
      </c>
      <c r="L352">
        <f t="shared" si="39"/>
        <v>-89.999940003953583</v>
      </c>
      <c r="M352">
        <f t="shared" si="40"/>
        <v>1.09647819614203E-6</v>
      </c>
      <c r="N352">
        <f t="shared" si="41"/>
        <v>-1.0471285480497701</v>
      </c>
    </row>
    <row r="353" spans="7:14" x14ac:dyDescent="0.25">
      <c r="G353">
        <v>5.9999999999999902</v>
      </c>
      <c r="H353">
        <f t="shared" si="36"/>
        <v>9999999.9999997821</v>
      </c>
      <c r="I353" t="str">
        <f t="shared" si="37"/>
        <v>62831853.0717945j</v>
      </c>
      <c r="J353" t="str">
        <f t="shared" si="42"/>
        <v>9.99999999999044E-07-0.999999999999022j</v>
      </c>
      <c r="K353">
        <f t="shared" si="38"/>
        <v>-4.1514297435128931E-12</v>
      </c>
      <c r="L353">
        <f t="shared" si="39"/>
        <v>-89.999942704220487</v>
      </c>
      <c r="M353">
        <f t="shared" si="40"/>
        <v>9.9999999999904408E-7</v>
      </c>
      <c r="N353">
        <f t="shared" si="41"/>
        <v>-0.999999999999022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0A71D-2E78-42FB-8E4B-B9289B614928}">
  <sheetPr codeName="Sheet5"/>
  <dimension ref="A1:N353"/>
  <sheetViews>
    <sheetView showGridLines="0" zoomScaleNormal="100" workbookViewId="0">
      <selection activeCell="D31" sqref="D31"/>
    </sheetView>
  </sheetViews>
  <sheetFormatPr defaultRowHeight="15" x14ac:dyDescent="0.25"/>
  <cols>
    <col min="1" max="1" width="27.85546875" customWidth="1"/>
    <col min="2" max="2" width="13.140625" customWidth="1"/>
    <col min="3" max="3" width="5.7109375" customWidth="1"/>
    <col min="4" max="4" width="86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43.5703125" customWidth="1"/>
  </cols>
  <sheetData>
    <row r="1" spans="1:14" ht="15" customHeight="1" x14ac:dyDescent="0.25">
      <c r="A1" s="1" t="s">
        <v>30</v>
      </c>
      <c r="F1" s="6" t="s">
        <v>46</v>
      </c>
      <c r="G1" s="5">
        <v>50</v>
      </c>
    </row>
    <row r="2" spans="1:14" ht="15" customHeight="1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3</v>
      </c>
      <c r="K2" s="3" t="s">
        <v>5</v>
      </c>
      <c r="L2" s="4" t="s">
        <v>6</v>
      </c>
      <c r="M2" s="3" t="s">
        <v>7</v>
      </c>
      <c r="N2" s="3" t="s">
        <v>8</v>
      </c>
    </row>
    <row r="3" spans="1:14" ht="15" customHeight="1" x14ac:dyDescent="0.35">
      <c r="A3" s="6" t="s">
        <v>22</v>
      </c>
      <c r="B3" s="5">
        <v>10</v>
      </c>
      <c r="C3" t="s">
        <v>10</v>
      </c>
      <c r="F3" s="6" t="s">
        <v>25</v>
      </c>
      <c r="G3" s="5">
        <v>-1</v>
      </c>
      <c r="H3">
        <f t="shared" ref="H3:H66" si="0">$B$3*10^G3</f>
        <v>1</v>
      </c>
      <c r="I3" t="str">
        <f>COMPLEX(0,H3*2*PI(),"j")</f>
        <v>6.28318530717959j</v>
      </c>
      <c r="J3" t="str">
        <f t="shared" ref="J3:J66" si="1">IMDIV(Aolv,IMPRODUCT(IMSUM(1,IMDIV(I3,wc)),IMSUM(1,(IMPRODUCT(I3,R_O,C_L)))))</f>
        <v>990098.761055714-99012.3893796943j</v>
      </c>
      <c r="K3">
        <f>20*LOG(IMABS(J3))</f>
        <v>119.95678626214614</v>
      </c>
      <c r="L3">
        <f>DEGREES(IMARGUMENT(J3))</f>
        <v>-5.7107371374996454</v>
      </c>
      <c r="M3">
        <f>IMREAL(J3)</f>
        <v>990098.76105571399</v>
      </c>
      <c r="N3">
        <f>IMAGINARY(J3)</f>
        <v>-99012.389379694301</v>
      </c>
    </row>
    <row r="4" spans="1:14" ht="15" customHeight="1" x14ac:dyDescent="0.35">
      <c r="A4" s="6" t="s">
        <v>27</v>
      </c>
      <c r="B4" s="5">
        <v>120</v>
      </c>
      <c r="C4" t="s">
        <v>17</v>
      </c>
      <c r="G4">
        <f t="shared" ref="G4:G67" si="2">G3+(1/ppd)</f>
        <v>-0.98</v>
      </c>
      <c r="H4">
        <f t="shared" si="0"/>
        <v>1.0471285480508996</v>
      </c>
      <c r="I4" t="str">
        <f t="shared" ref="I4:I67" si="3">COMPLEX(0,H4*2*PI(),"j")</f>
        <v>6.57930270784171j</v>
      </c>
      <c r="J4" t="str">
        <f t="shared" si="1"/>
        <v>989153.867929889-103579.757073519j</v>
      </c>
      <c r="K4">
        <f t="shared" ref="K4:K67" si="4">20*LOG(IMABS(J4))</f>
        <v>119.95263973254873</v>
      </c>
      <c r="L4">
        <f t="shared" ref="L4:L67" si="5">DEGREES(IMARGUMENT(J4))</f>
        <v>-5.9779704506096865</v>
      </c>
      <c r="M4">
        <f t="shared" ref="M4:M67" si="6">IMREAL(J4)</f>
        <v>989153.86792988901</v>
      </c>
      <c r="N4">
        <f t="shared" ref="N4:N67" si="7">IMAGINARY(J4)</f>
        <v>-103579.75707351899</v>
      </c>
    </row>
    <row r="5" spans="1:14" ht="15" customHeight="1" x14ac:dyDescent="0.35">
      <c r="A5" s="6" t="s">
        <v>26</v>
      </c>
      <c r="B5" s="5">
        <v>40</v>
      </c>
      <c r="C5" t="s">
        <v>12</v>
      </c>
      <c r="G5">
        <f t="shared" si="2"/>
        <v>-0.96</v>
      </c>
      <c r="H5">
        <f t="shared" si="0"/>
        <v>1.0964781961431849</v>
      </c>
      <c r="I5" t="str">
        <f t="shared" si="3"/>
        <v>6.88937569164964j</v>
      </c>
      <c r="J5" t="str">
        <f t="shared" si="1"/>
        <v>988119.883894944-108347.946536912j</v>
      </c>
      <c r="K5">
        <f t="shared" si="4"/>
        <v>119.94809769899476</v>
      </c>
      <c r="L5">
        <f t="shared" si="5"/>
        <v>-6.2575184106109738</v>
      </c>
      <c r="M5">
        <f t="shared" si="6"/>
        <v>988119.88389494398</v>
      </c>
      <c r="N5">
        <f t="shared" si="7"/>
        <v>-108347.946536912</v>
      </c>
    </row>
    <row r="6" spans="1:14" ht="15" customHeight="1" x14ac:dyDescent="0.35">
      <c r="A6" s="6" t="s">
        <v>28</v>
      </c>
      <c r="B6" s="13">
        <v>1E-8</v>
      </c>
      <c r="C6" t="s">
        <v>11</v>
      </c>
      <c r="G6">
        <f t="shared" si="2"/>
        <v>-0.94</v>
      </c>
      <c r="H6">
        <f t="shared" si="0"/>
        <v>1.148153621496883</v>
      </c>
      <c r="I6" t="str">
        <f t="shared" si="3"/>
        <v>7.21406196497425j</v>
      </c>
      <c r="J6" t="str">
        <f t="shared" si="1"/>
        <v>986988.624624718-113324.341998695j</v>
      </c>
      <c r="K6">
        <f t="shared" si="4"/>
        <v>119.94312291196651</v>
      </c>
      <c r="L6">
        <f t="shared" si="5"/>
        <v>-6.5499206271955686</v>
      </c>
      <c r="M6">
        <f t="shared" si="6"/>
        <v>986988.62462471798</v>
      </c>
      <c r="N6">
        <f t="shared" si="7"/>
        <v>-113324.341998695</v>
      </c>
    </row>
    <row r="7" spans="1:14" ht="15" customHeight="1" x14ac:dyDescent="0.25">
      <c r="G7">
        <f t="shared" si="2"/>
        <v>-0.91999999999999993</v>
      </c>
      <c r="H7">
        <f t="shared" si="0"/>
        <v>1.2022644346174129</v>
      </c>
      <c r="I7" t="str">
        <f t="shared" si="3"/>
        <v>7.5540502309327j</v>
      </c>
      <c r="J7" t="str">
        <f t="shared" si="1"/>
        <v>985751.19687204-118516.382158172j</v>
      </c>
      <c r="K7">
        <f t="shared" si="4"/>
        <v>119.93767470823954</v>
      </c>
      <c r="L7">
        <f t="shared" si="5"/>
        <v>-6.8557362734318907</v>
      </c>
      <c r="M7">
        <f t="shared" si="6"/>
        <v>985751.19687204005</v>
      </c>
      <c r="N7">
        <f t="shared" si="7"/>
        <v>-118516.382158172</v>
      </c>
    </row>
    <row r="8" spans="1:14" ht="15" customHeight="1" x14ac:dyDescent="0.25">
      <c r="B8" s="2" t="s">
        <v>13</v>
      </c>
      <c r="G8">
        <f t="shared" si="2"/>
        <v>-0.89999999999999991</v>
      </c>
      <c r="H8">
        <f t="shared" si="0"/>
        <v>1.2589254117941673</v>
      </c>
      <c r="I8" t="str">
        <f t="shared" si="3"/>
        <v>7.91006165022012j</v>
      </c>
      <c r="J8" t="str">
        <f t="shared" si="1"/>
        <v>984397.945635776-123931.522932545j</v>
      </c>
      <c r="K8">
        <f t="shared" si="4"/>
        <v>119.93170871683199</v>
      </c>
      <c r="L8">
        <f t="shared" si="5"/>
        <v>-7.175544181768986</v>
      </c>
      <c r="M8">
        <f t="shared" si="6"/>
        <v>984397.94563577604</v>
      </c>
      <c r="N8">
        <f t="shared" si="7"/>
        <v>-123931.52293254501</v>
      </c>
    </row>
    <row r="9" spans="1:14" ht="15" customHeight="1" x14ac:dyDescent="0.35">
      <c r="A9" s="6" t="s">
        <v>27</v>
      </c>
      <c r="B9" s="11">
        <f>10^(B4/20)</f>
        <v>1000000</v>
      </c>
      <c r="C9" t="s">
        <v>14</v>
      </c>
      <c r="G9">
        <f t="shared" si="2"/>
        <v>-0.87999999999999989</v>
      </c>
      <c r="H9">
        <f t="shared" si="0"/>
        <v>1.318256738556407</v>
      </c>
      <c r="I9" t="str">
        <f t="shared" si="3"/>
        <v>8.2828513707881j</v>
      </c>
      <c r="J9" t="str">
        <f t="shared" si="1"/>
        <v>982918.399145753-129577.193453045j</v>
      </c>
      <c r="K9">
        <f t="shared" si="4"/>
        <v>119.92517654337615</v>
      </c>
      <c r="L9">
        <f t="shared" si="5"/>
        <v>-7.5099428330236124</v>
      </c>
      <c r="M9">
        <f t="shared" si="6"/>
        <v>982918.39914575301</v>
      </c>
      <c r="N9">
        <f t="shared" si="7"/>
        <v>-129577.19345304499</v>
      </c>
    </row>
    <row r="10" spans="1:14" ht="15" customHeight="1" x14ac:dyDescent="0.35">
      <c r="A10" s="6" t="s">
        <v>23</v>
      </c>
      <c r="B10" s="20">
        <f>2*PI()*B3</f>
        <v>62.831853071795862</v>
      </c>
      <c r="C10" t="s">
        <v>15</v>
      </c>
      <c r="G10">
        <f t="shared" si="2"/>
        <v>-0.85999999999999988</v>
      </c>
      <c r="H10">
        <f t="shared" si="0"/>
        <v>1.380384264602885</v>
      </c>
      <c r="I10" t="str">
        <f t="shared" si="3"/>
        <v>8.67321012961474j</v>
      </c>
      <c r="J10" t="str">
        <f t="shared" si="1"/>
        <v>981301.211974383-135460.744468569j</v>
      </c>
      <c r="K10">
        <f t="shared" si="4"/>
        <v>119.91802543209778</v>
      </c>
      <c r="L10">
        <f t="shared" si="5"/>
        <v>-7.8595502194399378</v>
      </c>
      <c r="M10">
        <f t="shared" si="6"/>
        <v>981301.21197438298</v>
      </c>
      <c r="N10">
        <f t="shared" si="7"/>
        <v>-135460.744468569</v>
      </c>
    </row>
    <row r="11" spans="1:14" ht="15" customHeight="1" x14ac:dyDescent="0.25">
      <c r="A11" s="6" t="s">
        <v>24</v>
      </c>
      <c r="B11" s="20">
        <f>1/(2*PI()*R_O*C_L)</f>
        <v>397887.35772973835</v>
      </c>
      <c r="C11" s="8" t="s">
        <v>10</v>
      </c>
      <c r="G11">
        <f t="shared" si="2"/>
        <v>-0.83999999999999986</v>
      </c>
      <c r="H11">
        <f t="shared" si="0"/>
        <v>1.4454397707459279</v>
      </c>
      <c r="I11" t="str">
        <f t="shared" si="3"/>
        <v>9.08196592996384j</v>
      </c>
      <c r="J11" t="str">
        <f t="shared" si="1"/>
        <v>979534.10669778-141589.388248678j</v>
      </c>
      <c r="K11">
        <f t="shared" si="4"/>
        <v>119.91019790473437</v>
      </c>
      <c r="L11">
        <f t="shared" si="5"/>
        <v>-8.2250035606068206</v>
      </c>
      <c r="M11">
        <f t="shared" si="6"/>
        <v>979534.10669777996</v>
      </c>
      <c r="N11">
        <f t="shared" si="7"/>
        <v>-141589.38824867801</v>
      </c>
    </row>
    <row r="12" spans="1:14" ht="15" customHeight="1" x14ac:dyDescent="0.25">
      <c r="A12" s="6" t="s">
        <v>29</v>
      </c>
      <c r="B12" s="16" cm="1">
        <f t="array" ref="B12">INDEX(K4:K353,MATCH(MIN(ABS(K4:K353)),ABS(K4:K353),0))</f>
        <v>-0.17415651637130689</v>
      </c>
      <c r="C12" s="8" t="s">
        <v>17</v>
      </c>
      <c r="G12">
        <f t="shared" si="2"/>
        <v>-0.81999999999999984</v>
      </c>
      <c r="H12">
        <f t="shared" si="0"/>
        <v>1.5135612484362084</v>
      </c>
      <c r="I12" t="str">
        <f t="shared" si="3"/>
        <v>9.50998579769078j</v>
      </c>
      <c r="J12" t="str">
        <f t="shared" si="1"/>
        <v>977603.814665299-147970.1290144j</v>
      </c>
      <c r="K12">
        <f t="shared" si="4"/>
        <v>119.90163137591907</v>
      </c>
      <c r="L12">
        <f t="shared" si="5"/>
        <v>-8.6069588485338215</v>
      </c>
      <c r="M12">
        <f t="shared" si="6"/>
        <v>977603.81466529903</v>
      </c>
      <c r="N12">
        <f t="shared" si="7"/>
        <v>-147970.12901440001</v>
      </c>
    </row>
    <row r="13" spans="1:14" ht="15" customHeight="1" x14ac:dyDescent="0.25">
      <c r="A13" s="6" t="s">
        <v>18</v>
      </c>
      <c r="B13" s="15">
        <f>_xlfn.XLOOKUP(B12,K4:K353,H4:H353)</f>
        <v>1995262.3149687715</v>
      </c>
      <c r="C13" s="8" t="s">
        <v>10</v>
      </c>
      <c r="G13">
        <f t="shared" si="2"/>
        <v>-0.79999999999999982</v>
      </c>
      <c r="H13">
        <f t="shared" si="0"/>
        <v>1.584893192461114</v>
      </c>
      <c r="I13" t="str">
        <f t="shared" si="3"/>
        <v>9.95817762032062j</v>
      </c>
      <c r="J13" t="str">
        <f t="shared" si="1"/>
        <v>975496.016597391-154609.682868861j</v>
      </c>
      <c r="K13">
        <f t="shared" si="4"/>
        <v>119.89225774481153</v>
      </c>
      <c r="L13">
        <f t="shared" si="5"/>
        <v>-9.0060901955511685</v>
      </c>
      <c r="M13">
        <f t="shared" si="6"/>
        <v>975496.01659739099</v>
      </c>
      <c r="N13">
        <f t="shared" si="7"/>
        <v>-154609.68286886101</v>
      </c>
    </row>
    <row r="14" spans="1:14" ht="15" customHeight="1" x14ac:dyDescent="0.25">
      <c r="A14" s="6" t="s">
        <v>19</v>
      </c>
      <c r="B14" s="17">
        <f>_xlfn.XLOOKUP(B12,K4:K353,L4:L353)</f>
        <v>-168.72195422804575</v>
      </c>
      <c r="C14" s="7" t="s">
        <v>21</v>
      </c>
      <c r="G14">
        <f t="shared" si="2"/>
        <v>-0.7799999999999998</v>
      </c>
      <c r="H14">
        <f t="shared" si="0"/>
        <v>1.6595869074375613</v>
      </c>
      <c r="I14" t="str">
        <f t="shared" si="3"/>
        <v>10.4274920727993j</v>
      </c>
      <c r="J14" t="str">
        <f t="shared" si="1"/>
        <v>973195.283920167-161514.386154218j</v>
      </c>
      <c r="K14">
        <f t="shared" si="4"/>
        <v>119.88200296308224</v>
      </c>
      <c r="L14">
        <f t="shared" si="5"/>
        <v>-9.4230889559191091</v>
      </c>
      <c r="M14">
        <f t="shared" si="6"/>
        <v>973195.28392016701</v>
      </c>
      <c r="N14">
        <f t="shared" si="7"/>
        <v>-161514.38615421799</v>
      </c>
    </row>
    <row r="15" spans="1:14" ht="15" customHeight="1" x14ac:dyDescent="0.25">
      <c r="A15" s="14" t="s">
        <v>20</v>
      </c>
      <c r="B15" s="17">
        <f>B14-(-180)</f>
        <v>11.278045771954254</v>
      </c>
      <c r="C15" s="7" t="s">
        <v>21</v>
      </c>
      <c r="G15">
        <f t="shared" si="2"/>
        <v>-0.75999999999999979</v>
      </c>
      <c r="H15">
        <f t="shared" si="0"/>
        <v>1.7378008287493762</v>
      </c>
      <c r="I15" t="str">
        <f t="shared" si="3"/>
        <v>10.9189246340026j</v>
      </c>
      <c r="J15" t="str">
        <f t="shared" si="1"/>
        <v>970685.021963793-168690.091132183j</v>
      </c>
      <c r="K15">
        <f t="shared" si="4"/>
        <v>119.87078657976255</v>
      </c>
      <c r="L15">
        <f t="shared" si="5"/>
        <v>-9.8586625891596675</v>
      </c>
      <c r="M15">
        <f t="shared" si="6"/>
        <v>970685.02196379297</v>
      </c>
      <c r="N15">
        <f t="shared" si="7"/>
        <v>-168690.09113218301</v>
      </c>
    </row>
    <row r="16" spans="1:14" ht="15" customHeight="1" x14ac:dyDescent="0.25">
      <c r="A16" s="6"/>
      <c r="C16" s="8"/>
      <c r="G16">
        <f t="shared" si="2"/>
        <v>-0.73999999999999977</v>
      </c>
      <c r="H16">
        <f t="shared" si="0"/>
        <v>1.8197008586099841</v>
      </c>
      <c r="I16" t="str">
        <f t="shared" si="3"/>
        <v>11.4335176982803j</v>
      </c>
      <c r="J16" t="str">
        <f t="shared" si="1"/>
        <v>967947.41640284-176142.047878835j</v>
      </c>
      <c r="K16">
        <f t="shared" si="4"/>
        <v>119.85852126397225</v>
      </c>
      <c r="L16">
        <f t="shared" si="5"/>
        <v>-10.313533230199916</v>
      </c>
      <c r="M16">
        <f t="shared" si="6"/>
        <v>967947.41640284006</v>
      </c>
      <c r="N16">
        <f t="shared" si="7"/>
        <v>-176142.047878835</v>
      </c>
    </row>
    <row r="17" spans="1:14" ht="15" customHeight="1" x14ac:dyDescent="0.25">
      <c r="A17" s="6"/>
      <c r="C17" s="8"/>
      <c r="G17">
        <f t="shared" si="2"/>
        <v>-0.71999999999999975</v>
      </c>
      <c r="H17">
        <f t="shared" si="0"/>
        <v>1.9054607179632479</v>
      </c>
      <c r="I17" t="str">
        <f t="shared" si="3"/>
        <v>11.9723627865145j</v>
      </c>
      <c r="J17" t="str">
        <f t="shared" si="1"/>
        <v>964963.384601826-183874.771308278j</v>
      </c>
      <c r="K17">
        <f t="shared" si="4"/>
        <v>119.84511230714453</v>
      </c>
      <c r="L17">
        <f t="shared" si="5"/>
        <v>-10.788435928511563</v>
      </c>
      <c r="M17">
        <f t="shared" si="6"/>
        <v>964963.38460182596</v>
      </c>
      <c r="N17">
        <f t="shared" si="7"/>
        <v>-183874.771308278</v>
      </c>
    </row>
    <row r="18" spans="1:14" ht="15" customHeight="1" x14ac:dyDescent="0.25">
      <c r="A18" s="6"/>
      <c r="C18" s="8"/>
      <c r="G18">
        <f t="shared" si="2"/>
        <v>-0.69999999999999973</v>
      </c>
      <c r="H18">
        <f t="shared" si="0"/>
        <v>1.9952623149688806</v>
      </c>
      <c r="I18" t="str">
        <f t="shared" si="3"/>
        <v>12.5366028613816j</v>
      </c>
      <c r="J18" t="str">
        <f t="shared" si="1"/>
        <v>961712.533848767-191891.892303313j</v>
      </c>
      <c r="K18">
        <f t="shared" si="4"/>
        <v>119.83045710709547</v>
      </c>
      <c r="L18">
        <f t="shared" si="5"/>
        <v>-11.284116515641216</v>
      </c>
      <c r="M18">
        <f t="shared" si="6"/>
        <v>961712.53384876705</v>
      </c>
      <c r="N18">
        <f t="shared" si="7"/>
        <v>-191891.89230331301</v>
      </c>
    </row>
    <row r="19" spans="1:14" ht="15" customHeight="1" x14ac:dyDescent="0.25">
      <c r="G19">
        <f t="shared" si="2"/>
        <v>-0.67999999999999972</v>
      </c>
      <c r="H19">
        <f t="shared" si="0"/>
        <v>2.0892961308540405</v>
      </c>
      <c r="I19" t="str">
        <f t="shared" si="3"/>
        <v>13.1274347517293j</v>
      </c>
      <c r="J19" t="str">
        <f t="shared" si="1"/>
        <v>958173.12881308-200195.99204565j</v>
      </c>
      <c r="K19">
        <f t="shared" si="4"/>
        <v>119.81444463714772</v>
      </c>
      <c r="L19">
        <f t="shared" si="5"/>
        <v>-11.801329057970712</v>
      </c>
      <c r="M19">
        <f t="shared" si="6"/>
        <v>958173.12881308002</v>
      </c>
      <c r="N19">
        <f t="shared" si="7"/>
        <v>-200195.99204565</v>
      </c>
    </row>
    <row r="20" spans="1:14" x14ac:dyDescent="0.25">
      <c r="A20" s="8"/>
      <c r="G20">
        <f t="shared" si="2"/>
        <v>-0.6599999999999997</v>
      </c>
      <c r="H20">
        <f t="shared" si="0"/>
        <v>2.1877616239495539</v>
      </c>
      <c r="I20" t="str">
        <f t="shared" si="3"/>
        <v>13.7461116912112j</v>
      </c>
      <c r="J20" t="str">
        <f t="shared" si="1"/>
        <v>954322.070948767-208788.418815654j</v>
      </c>
      <c r="K20">
        <f t="shared" si="4"/>
        <v>119.7969549045298</v>
      </c>
      <c r="L20">
        <f t="shared" si="5"/>
        <v>-12.340832849368754</v>
      </c>
      <c r="M20">
        <f t="shared" si="6"/>
        <v>954322.07094876701</v>
      </c>
      <c r="N20">
        <f t="shared" si="7"/>
        <v>-208788.418815654</v>
      </c>
    </row>
    <row r="21" spans="1:14" x14ac:dyDescent="0.25">
      <c r="A21" s="8"/>
      <c r="G21">
        <f t="shared" si="2"/>
        <v>-0.63999999999999968</v>
      </c>
      <c r="H21">
        <f t="shared" si="0"/>
        <v>2.2908676527677745</v>
      </c>
      <c r="I21" t="str">
        <f t="shared" si="3"/>
        <v>14.3939459765635j</v>
      </c>
      <c r="J21" t="str">
        <f t="shared" si="1"/>
        <v>950134.892974193-217669.086786446j</v>
      </c>
      <c r="K21">
        <f t="shared" si="4"/>
        <v>119.77785840344018</v>
      </c>
      <c r="L21">
        <f t="shared" si="5"/>
        <v>-12.903388896787789</v>
      </c>
      <c r="M21">
        <f t="shared" si="6"/>
        <v>950134.89297419298</v>
      </c>
      <c r="N21">
        <f t="shared" si="7"/>
        <v>-217669.08678644599</v>
      </c>
    </row>
    <row r="22" spans="1:14" x14ac:dyDescent="0.25">
      <c r="G22">
        <f t="shared" si="2"/>
        <v>-0.61999999999999966</v>
      </c>
      <c r="H22">
        <f t="shared" si="0"/>
        <v>2.3988329190194917</v>
      </c>
      <c r="I22" t="str">
        <f t="shared" si="3"/>
        <v>15.072311751162j</v>
      </c>
      <c r="J22" t="str">
        <f t="shared" si="1"/>
        <v>945585.771987414-226836.256684687j</v>
      </c>
      <c r="K22">
        <f t="shared" si="4"/>
        <v>119.7570155695049</v>
      </c>
      <c r="L22">
        <f t="shared" si="5"/>
        <v>-13.489755851040641</v>
      </c>
      <c r="M22">
        <f t="shared" si="6"/>
        <v>945585.77198741399</v>
      </c>
      <c r="N22">
        <f t="shared" si="7"/>
        <v>-226836.25668468699</v>
      </c>
    </row>
    <row r="23" spans="1:14" x14ac:dyDescent="0.25">
      <c r="A23" s="6"/>
      <c r="G23">
        <f t="shared" si="2"/>
        <v>-0.59999999999999964</v>
      </c>
      <c r="H23">
        <f t="shared" si="0"/>
        <v>2.5118864315095819</v>
      </c>
      <c r="I23" t="str">
        <f t="shared" si="3"/>
        <v>15.7826479197648j</v>
      </c>
      <c r="J23" t="str">
        <f t="shared" si="1"/>
        <v>940647.565207848-236286.298646981j</v>
      </c>
      <c r="K23">
        <f t="shared" si="4"/>
        <v>119.73427624386589</v>
      </c>
      <c r="L23">
        <f t="shared" si="5"/>
        <v>-14.100685335235438</v>
      </c>
      <c r="M23">
        <f t="shared" si="6"/>
        <v>940647.56520784798</v>
      </c>
      <c r="N23">
        <f t="shared" si="7"/>
        <v>-236286.29864698101</v>
      </c>
    </row>
    <row r="24" spans="1:14" x14ac:dyDescent="0.25">
      <c r="A24" s="6"/>
      <c r="G24">
        <f t="shared" si="2"/>
        <v>-0.57999999999999963</v>
      </c>
      <c r="H24">
        <f t="shared" si="0"/>
        <v>2.6302679918953835</v>
      </c>
      <c r="I24" t="str">
        <f t="shared" si="3"/>
        <v>16.5264612006218j</v>
      </c>
      <c r="J24" t="str">
        <f t="shared" si="1"/>
        <v>935291.872753462-246013.438182812j</v>
      </c>
      <c r="K24">
        <f t="shared" si="4"/>
        <v>119.70947915681917</v>
      </c>
      <c r="L24">
        <f t="shared" si="5"/>
        <v>-14.736916624947698</v>
      </c>
      <c r="M24">
        <f t="shared" si="6"/>
        <v>935291.87275346206</v>
      </c>
      <c r="N24">
        <f t="shared" si="7"/>
        <v>-246013.43818281201</v>
      </c>
    </row>
    <row r="25" spans="1:14" x14ac:dyDescent="0.25">
      <c r="A25" s="6"/>
      <c r="G25">
        <f t="shared" si="2"/>
        <v>-0.55999999999999961</v>
      </c>
      <c r="H25">
        <f t="shared" si="0"/>
        <v>2.7542287033381685</v>
      </c>
      <c r="I25" t="str">
        <f t="shared" si="3"/>
        <v>17.3053293214267j</v>
      </c>
      <c r="J25" t="str">
        <f t="shared" si="1"/>
        <v>929489.132243378-256009.486878288j</v>
      </c>
      <c r="K25">
        <f t="shared" si="4"/>
        <v>119.68245144276268</v>
      </c>
      <c r="L25">
        <f t="shared" si="5"/>
        <v>-15.399170637540312</v>
      </c>
      <c r="M25">
        <f t="shared" si="6"/>
        <v>929489.13224337797</v>
      </c>
      <c r="N25">
        <f t="shared" si="7"/>
        <v>-256009.48687828801</v>
      </c>
    </row>
    <row r="26" spans="1:14" x14ac:dyDescent="0.25">
      <c r="A26" s="6"/>
      <c r="G26">
        <f t="shared" si="2"/>
        <v>-0.53999999999999959</v>
      </c>
      <c r="H26">
        <f t="shared" si="0"/>
        <v>2.8840315031266077</v>
      </c>
      <c r="I26" t="str">
        <f t="shared" si="3"/>
        <v>18.1209043658882j</v>
      </c>
      <c r="J26" t="str">
        <f t="shared" si="1"/>
        <v>923208.750328294-266263.560352641j</v>
      </c>
      <c r="K26">
        <f t="shared" si="4"/>
        <v>119.65300820019542</v>
      </c>
      <c r="L26">
        <f t="shared" si="5"/>
        <v>-16.088143193469342</v>
      </c>
      <c r="M26">
        <f t="shared" si="6"/>
        <v>923208.750328294</v>
      </c>
      <c r="N26">
        <f t="shared" si="7"/>
        <v>-266263.56035264098</v>
      </c>
    </row>
    <row r="27" spans="1:14" x14ac:dyDescent="0.25">
      <c r="A27" s="6"/>
      <c r="G27">
        <f t="shared" si="2"/>
        <v>-0.51999999999999957</v>
      </c>
      <c r="H27">
        <f t="shared" si="0"/>
        <v>3.0199517204020192</v>
      </c>
      <c r="I27" t="str">
        <f t="shared" si="3"/>
        <v>18.9749162780217j</v>
      </c>
      <c r="J27" t="str">
        <f t="shared" si="1"/>
        <v>916419.276456818-276761.787021045j</v>
      </c>
      <c r="K27">
        <f t="shared" si="4"/>
        <v>119.62095211259523</v>
      </c>
      <c r="L27">
        <f t="shared" si="5"/>
        <v>-16.804497520386295</v>
      </c>
      <c r="M27">
        <f t="shared" si="6"/>
        <v>916419.27645681798</v>
      </c>
      <c r="N27">
        <f t="shared" si="7"/>
        <v>-276761.78702104499</v>
      </c>
    </row>
    <row r="28" spans="1:14" x14ac:dyDescent="0.25">
      <c r="A28" s="6"/>
      <c r="G28">
        <f t="shared" si="2"/>
        <v>-0.49999999999999956</v>
      </c>
      <c r="H28">
        <f t="shared" si="0"/>
        <v>3.1622776601683826</v>
      </c>
      <c r="I28" t="str">
        <f t="shared" si="3"/>
        <v>19.8691765315922j</v>
      </c>
      <c r="J28" t="str">
        <f t="shared" si="1"/>
        <v>909088.624238829-287487.012424978j</v>
      </c>
      <c r="K28">
        <f t="shared" si="4"/>
        <v>119.58607314814343</v>
      </c>
      <c r="L28">
        <f t="shared" si="5"/>
        <v>-17.548855981775375</v>
      </c>
      <c r="M28">
        <f t="shared" si="6"/>
        <v>909088.62423882901</v>
      </c>
      <c r="N28">
        <f t="shared" si="7"/>
        <v>-287487.01242497802</v>
      </c>
    </row>
    <row r="29" spans="1:14" x14ac:dyDescent="0.25">
      <c r="D29" s="9"/>
      <c r="G29">
        <f t="shared" si="2"/>
        <v>-0.47999999999999954</v>
      </c>
      <c r="H29">
        <f t="shared" si="0"/>
        <v>3.3113112148259143</v>
      </c>
      <c r="I29" t="str">
        <f t="shared" si="3"/>
        <v>20.8055819724932j</v>
      </c>
      <c r="J29" t="str">
        <f t="shared" si="1"/>
        <v>901184.345613398-298418.505258309j</v>
      </c>
      <c r="K29">
        <f t="shared" si="4"/>
        <v>119.54814835838425</v>
      </c>
      <c r="L29">
        <f t="shared" si="5"/>
        <v>-18.321791026198877</v>
      </c>
      <c r="M29">
        <f t="shared" si="6"/>
        <v>901184.34561339801</v>
      </c>
      <c r="N29">
        <f t="shared" si="7"/>
        <v>-298418.50525830901</v>
      </c>
    </row>
    <row r="30" spans="1:14" x14ac:dyDescent="0.25">
      <c r="G30">
        <f t="shared" si="2"/>
        <v>-0.45999999999999952</v>
      </c>
      <c r="H30">
        <f t="shared" si="0"/>
        <v>3.4673685045253198</v>
      </c>
      <c r="I30" t="str">
        <f t="shared" si="3"/>
        <v>21.7861188422107j</v>
      </c>
      <c r="J30" t="str">
        <f t="shared" si="1"/>
        <v>892673.962608631-309531.672723433j</v>
      </c>
      <c r="K30">
        <f t="shared" si="4"/>
        <v>119.50694179791796</v>
      </c>
      <c r="L30">
        <f t="shared" si="5"/>
        <v>-19.123815371352212</v>
      </c>
      <c r="M30">
        <f t="shared" si="6"/>
        <v>892673.962608631</v>
      </c>
      <c r="N30">
        <f t="shared" si="7"/>
        <v>-309531.672723433</v>
      </c>
    </row>
    <row r="31" spans="1:14" x14ac:dyDescent="0.25">
      <c r="B31" s="10"/>
      <c r="G31">
        <f t="shared" si="2"/>
        <v>-0.4399999999999995</v>
      </c>
      <c r="H31">
        <f t="shared" si="0"/>
        <v>3.6307805477010175</v>
      </c>
      <c r="I31" t="str">
        <f t="shared" si="3"/>
        <v>22.8128669909085j</v>
      </c>
      <c r="J31" t="str">
        <f t="shared" si="1"/>
        <v>883525.360729472-320797.794460505j</v>
      </c>
      <c r="K31">
        <f t="shared" si="4"/>
        <v>119.46220458900159</v>
      </c>
      <c r="L31">
        <f t="shared" si="5"/>
        <v>-19.95537145937973</v>
      </c>
      <c r="M31">
        <f t="shared" si="6"/>
        <v>883525.36072947201</v>
      </c>
      <c r="N31">
        <f t="shared" si="7"/>
        <v>-320797.79446050501</v>
      </c>
    </row>
    <row r="32" spans="1:14" x14ac:dyDescent="0.25">
      <c r="B32" s="10"/>
      <c r="G32">
        <f t="shared" si="2"/>
        <v>-0.41999999999999948</v>
      </c>
      <c r="H32">
        <f t="shared" si="0"/>
        <v>3.8018939632056159</v>
      </c>
      <c r="I32" t="str">
        <f t="shared" si="3"/>
        <v>23.8880042890683j</v>
      </c>
      <c r="J32" t="str">
        <f t="shared" si="1"/>
        <v>873707.246861999-332183.785947079j</v>
      </c>
      <c r="K32">
        <f t="shared" si="4"/>
        <v>119.41367515633144</v>
      </c>
      <c r="L32">
        <f t="shared" si="5"/>
        <v>-20.816820246466417</v>
      </c>
      <c r="M32">
        <f t="shared" si="6"/>
        <v>873707.24686199904</v>
      </c>
      <c r="N32">
        <f t="shared" si="7"/>
        <v>-332183.78594707901</v>
      </c>
    </row>
    <row r="33" spans="7:14" x14ac:dyDescent="0.25">
      <c r="G33">
        <f t="shared" si="2"/>
        <v>-0.39999999999999947</v>
      </c>
      <c r="H33">
        <f t="shared" si="0"/>
        <v>3.9810717055349776</v>
      </c>
      <c r="I33" t="str">
        <f t="shared" si="3"/>
        <v>25.0138112470457j</v>
      </c>
      <c r="J33" t="str">
        <f t="shared" si="1"/>
        <v>863189.672978246-343652.003884866j</v>
      </c>
      <c r="K33">
        <f t="shared" si="4"/>
        <v>119.36107965813143</v>
      </c>
      <c r="L33">
        <f t="shared" si="5"/>
        <v>-21.708429420634658</v>
      </c>
      <c r="M33">
        <f t="shared" si="6"/>
        <v>863189.672978246</v>
      </c>
      <c r="N33">
        <f t="shared" si="7"/>
        <v>-343652.00388486602</v>
      </c>
    </row>
    <row r="34" spans="7:14" x14ac:dyDescent="0.25">
      <c r="G34">
        <f t="shared" si="2"/>
        <v>-0.37999999999999945</v>
      </c>
      <c r="H34">
        <f t="shared" si="0"/>
        <v>4.1686938347033582</v>
      </c>
      <c r="I34" t="str">
        <f t="shared" si="3"/>
        <v>26.1926758523383j</v>
      </c>
      <c r="J34" t="str">
        <f t="shared" si="1"/>
        <v>851944.624815144-355160.107567896j</v>
      </c>
      <c r="K34">
        <f t="shared" si="4"/>
        <v>119.30413263978127</v>
      </c>
      <c r="L34">
        <f t="shared" si="5"/>
        <v>-22.630361176688037</v>
      </c>
      <c r="M34">
        <f t="shared" si="6"/>
        <v>851944.62481514399</v>
      </c>
      <c r="N34">
        <f t="shared" si="7"/>
        <v>-355160.10756789602</v>
      </c>
    </row>
    <row r="35" spans="7:14" x14ac:dyDescent="0.25">
      <c r="G35">
        <f t="shared" si="2"/>
        <v>-0.35999999999999943</v>
      </c>
      <c r="H35">
        <f t="shared" si="0"/>
        <v>4.3651583224016655</v>
      </c>
      <c r="I35" t="str">
        <f t="shared" si="3"/>
        <v>27.4270986348268j</v>
      </c>
      <c r="J35" t="str">
        <f t="shared" si="1"/>
        <v>839946.672055883-366660.991429284j</v>
      </c>
      <c r="K35">
        <f t="shared" si="4"/>
        <v>119.24253793537565</v>
      </c>
      <c r="L35">
        <f t="shared" si="5"/>
        <v>-23.582659715834623</v>
      </c>
      <c r="M35">
        <f t="shared" si="6"/>
        <v>839946.67205588298</v>
      </c>
      <c r="N35">
        <f t="shared" si="7"/>
        <v>-366660.99142928398</v>
      </c>
    </row>
    <row r="36" spans="7:14" x14ac:dyDescent="0.25">
      <c r="G36">
        <f t="shared" si="2"/>
        <v>-0.33999999999999941</v>
      </c>
      <c r="H36">
        <f t="shared" si="0"/>
        <v>4.5708818961487561</v>
      </c>
      <c r="I36" t="str">
        <f t="shared" si="3"/>
        <v>28.719697970735j</v>
      </c>
      <c r="J36" t="str">
        <f t="shared" si="1"/>
        <v>827173.673363798-378102.804734131j</v>
      </c>
      <c r="K36">
        <f t="shared" si="4"/>
        <v>119.1759898405998</v>
      </c>
      <c r="L36">
        <f t="shared" si="5"/>
        <v>-24.565238678752561</v>
      </c>
      <c r="M36">
        <f t="shared" si="6"/>
        <v>827173.67336379795</v>
      </c>
      <c r="N36">
        <f t="shared" si="7"/>
        <v>-378102.80473413097</v>
      </c>
    </row>
    <row r="37" spans="7:14" x14ac:dyDescent="0.25">
      <c r="G37">
        <f t="shared" si="2"/>
        <v>-0.3199999999999994</v>
      </c>
      <c r="H37">
        <f t="shared" si="0"/>
        <v>4.7863009232263893</v>
      </c>
      <c r="I37" t="str">
        <f t="shared" si="3"/>
        <v>30.0732156365561j</v>
      </c>
      <c r="J37" t="str">
        <f t="shared" si="1"/>
        <v>813607.525951773-389429.074546944j</v>
      </c>
      <c r="K37">
        <f t="shared" si="4"/>
        <v>119.10417457692803</v>
      </c>
      <c r="L37">
        <f t="shared" si="5"/>
        <v>-25.577868763352484</v>
      </c>
      <c r="M37">
        <f t="shared" si="6"/>
        <v>813607.52595177304</v>
      </c>
      <c r="N37">
        <f t="shared" si="7"/>
        <v>-389429.074546944</v>
      </c>
    </row>
    <row r="38" spans="7:14" x14ac:dyDescent="0.25">
      <c r="G38">
        <f t="shared" si="2"/>
        <v>-0.29999999999999938</v>
      </c>
      <c r="H38">
        <f t="shared" si="0"/>
        <v>5.0118723362727291</v>
      </c>
      <c r="I38" t="str">
        <f t="shared" si="3"/>
        <v>31.4905226247286j</v>
      </c>
      <c r="J38" t="str">
        <f t="shared" si="1"/>
        <v>799234.945310735-400578.947467579j</v>
      </c>
      <c r="K38">
        <f t="shared" si="4"/>
        <v>119.02677206222398</v>
      </c>
      <c r="L38">
        <f t="shared" si="5"/>
        <v>-26.620165820409223</v>
      </c>
      <c r="M38">
        <f t="shared" si="6"/>
        <v>799234.94531073503</v>
      </c>
      <c r="N38">
        <f t="shared" si="7"/>
        <v>-400578.94746757898</v>
      </c>
    </row>
    <row r="39" spans="7:14" x14ac:dyDescent="0.25">
      <c r="G39">
        <f t="shared" si="2"/>
        <v>-0.27999999999999936</v>
      </c>
      <c r="H39">
        <f t="shared" si="0"/>
        <v>5.2480746024977343</v>
      </c>
      <c r="I39" t="str">
        <f t="shared" si="3"/>
        <v>32.9746252333961j</v>
      </c>
      <c r="J39" t="str">
        <f t="shared" si="1"/>
        <v>784048.256428531-411487.564019611j</v>
      </c>
      <c r="K39">
        <f t="shared" si="4"/>
        <v>118.94345799621709</v>
      </c>
      <c r="L39">
        <f t="shared" si="5"/>
        <v>-27.691579759223224</v>
      </c>
      <c r="M39">
        <f t="shared" si="6"/>
        <v>784048.25642853102</v>
      </c>
      <c r="N39">
        <f t="shared" si="7"/>
        <v>-411487.56401961099</v>
      </c>
    </row>
    <row r="40" spans="7:14" x14ac:dyDescent="0.25">
      <c r="G40">
        <f t="shared" si="2"/>
        <v>-0.25999999999999934</v>
      </c>
      <c r="H40">
        <f t="shared" si="0"/>
        <v>5.4954087385762538</v>
      </c>
      <c r="I40" t="str">
        <f t="shared" si="3"/>
        <v>34.5286714431686j</v>
      </c>
      <c r="J40" t="str">
        <f t="shared" si="1"/>
        <v>768046.173532091-422086.576834405j</v>
      </c>
      <c r="K40">
        <f t="shared" si="4"/>
        <v>118.85390626099871</v>
      </c>
      <c r="L40">
        <f t="shared" si="5"/>
        <v>-28.79138462875029</v>
      </c>
      <c r="M40">
        <f t="shared" si="6"/>
        <v>768046.17353209096</v>
      </c>
      <c r="N40">
        <f t="shared" si="7"/>
        <v>-422086.57683440502</v>
      </c>
    </row>
    <row r="41" spans="7:14" x14ac:dyDescent="0.25">
      <c r="G41">
        <f t="shared" si="2"/>
        <v>-0.23999999999999935</v>
      </c>
      <c r="H41">
        <f t="shared" si="0"/>
        <v>5.7543993733715784</v>
      </c>
      <c r="I41" t="str">
        <f t="shared" si="3"/>
        <v>36.1559575944117j</v>
      </c>
      <c r="J41" t="str">
        <f t="shared" si="1"/>
        <v>751234.541375817-432304.819797844j</v>
      </c>
      <c r="K41">
        <f t="shared" si="4"/>
        <v>118.75779162667703</v>
      </c>
      <c r="L41">
        <f t="shared" si="5"/>
        <v>-29.918670264076439</v>
      </c>
      <c r="M41">
        <f t="shared" si="6"/>
        <v>751234.54137581703</v>
      </c>
      <c r="N41">
        <f t="shared" si="7"/>
        <v>-432304.81979784399</v>
      </c>
    </row>
    <row r="42" spans="7:14" x14ac:dyDescent="0.25">
      <c r="G42">
        <f t="shared" si="2"/>
        <v>-0.21999999999999936</v>
      </c>
      <c r="H42">
        <f t="shared" si="0"/>
        <v>6.0255958607435867</v>
      </c>
      <c r="I42" t="str">
        <f t="shared" si="3"/>
        <v>37.8599353792262j</v>
      </c>
      <c r="J42" t="str">
        <f t="shared" si="1"/>
        <v>733627.007730328-442069.130085104j</v>
      </c>
      <c r="K42">
        <f t="shared" si="4"/>
        <v>118.65479274083818</v>
      </c>
      <c r="L42">
        <f t="shared" si="5"/>
        <v>-31.07233590038053</v>
      </c>
      <c r="M42">
        <f t="shared" si="6"/>
        <v>733627.00773032801</v>
      </c>
      <c r="N42">
        <f t="shared" si="7"/>
        <v>-442069.13008510403</v>
      </c>
    </row>
    <row r="43" spans="7:14" x14ac:dyDescent="0.25">
      <c r="G43">
        <f t="shared" si="2"/>
        <v>-0.19999999999999937</v>
      </c>
      <c r="H43">
        <f t="shared" si="0"/>
        <v>6.3095734448019414</v>
      </c>
      <c r="I43" t="str">
        <f t="shared" si="3"/>
        <v>39.64421916295j</v>
      </c>
      <c r="J43" t="str">
        <f t="shared" si="1"/>
        <v>715245.594390415-451305.318575395j</v>
      </c>
      <c r="K43">
        <f t="shared" si="4"/>
        <v>118.54459536781496</v>
      </c>
      <c r="L43">
        <f t="shared" si="5"/>
        <v>-32.251086153369442</v>
      </c>
      <c r="M43">
        <f t="shared" si="6"/>
        <v>715245.594390415</v>
      </c>
      <c r="N43">
        <f t="shared" si="7"/>
        <v>-451305.31857539498</v>
      </c>
    </row>
    <row r="44" spans="7:14" x14ac:dyDescent="0.25">
      <c r="G44">
        <f t="shared" si="2"/>
        <v>-0.17999999999999938</v>
      </c>
      <c r="H44">
        <f t="shared" si="0"/>
        <v>6.60693448007597</v>
      </c>
      <c r="I44" t="str">
        <f t="shared" si="3"/>
        <v>41.5125936507115j</v>
      </c>
      <c r="J44" t="str">
        <f t="shared" si="1"/>
        <v>696121.133120681-459939.276709913j</v>
      </c>
      <c r="K44">
        <f t="shared" si="4"/>
        <v>118.42689583045743</v>
      </c>
      <c r="L44">
        <f t="shared" si="5"/>
        <v>-33.453429743659292</v>
      </c>
      <c r="M44">
        <f t="shared" si="6"/>
        <v>696121.13312068104</v>
      </c>
      <c r="N44">
        <f t="shared" si="7"/>
        <v>-459939.27670991299</v>
      </c>
    </row>
    <row r="45" spans="7:14" x14ac:dyDescent="0.25">
      <c r="G45">
        <f t="shared" si="2"/>
        <v>-0.15999999999999939</v>
      </c>
      <c r="H45">
        <f t="shared" si="0"/>
        <v>6.9183097091893755</v>
      </c>
      <c r="I45" t="str">
        <f t="shared" si="3"/>
        <v>43.4690219152966j</v>
      </c>
      <c r="J45" t="str">
        <f t="shared" si="1"/>
        <v>676293.533861896-467898.199766636j</v>
      </c>
      <c r="K45">
        <f t="shared" si="4"/>
        <v>118.30140459378306</v>
      </c>
      <c r="L45">
        <f t="shared" si="5"/>
        <v>-34.677681300513242</v>
      </c>
      <c r="M45">
        <f t="shared" si="6"/>
        <v>676293.53386189602</v>
      </c>
      <c r="N45">
        <f t="shared" si="7"/>
        <v>-467898.19976663601</v>
      </c>
    </row>
    <row r="46" spans="7:14" x14ac:dyDescent="0.25">
      <c r="G46">
        <f t="shared" si="2"/>
        <v>-0.1399999999999994</v>
      </c>
      <c r="H46">
        <f t="shared" si="0"/>
        <v>7.2443596007499096</v>
      </c>
      <c r="I46" t="str">
        <f t="shared" si="3"/>
        <v>45.5176538033572j</v>
      </c>
      <c r="J46" t="str">
        <f t="shared" si="1"/>
        <v>655811.855520834-475111.898244311j</v>
      </c>
      <c r="K46">
        <f t="shared" si="4"/>
        <v>118.16784991734011</v>
      </c>
      <c r="L46">
        <f t="shared" si="5"/>
        <v>-35.921966516557518</v>
      </c>
      <c r="M46">
        <f t="shared" si="6"/>
        <v>655811.85552083398</v>
      </c>
      <c r="N46">
        <f t="shared" si="7"/>
        <v>-475111.89824431099</v>
      </c>
    </row>
    <row r="47" spans="7:14" x14ac:dyDescent="0.25">
      <c r="G47">
        <f t="shared" si="2"/>
        <v>-0.1199999999999994</v>
      </c>
      <c r="H47">
        <f t="shared" si="0"/>
        <v>7.585775750291849</v>
      </c>
      <c r="I47" t="str">
        <f t="shared" si="3"/>
        <v>47.6628347377929j</v>
      </c>
      <c r="J47" t="str">
        <f t="shared" si="1"/>
        <v>634734.154920362-481514.161161575j</v>
      </c>
      <c r="K47">
        <f t="shared" si="4"/>
        <v>118.02598149222172</v>
      </c>
      <c r="L47">
        <f t="shared" si="5"/>
        <v>-37.184230839851594</v>
      </c>
      <c r="M47">
        <f t="shared" si="6"/>
        <v>634734.15492036205</v>
      </c>
      <c r="N47">
        <f t="shared" si="7"/>
        <v>-481514.161161575</v>
      </c>
    </row>
    <row r="48" spans="7:14" x14ac:dyDescent="0.25">
      <c r="G48">
        <f t="shared" si="2"/>
        <v>-9.9999999999999395E-2</v>
      </c>
      <c r="H48">
        <f t="shared" si="0"/>
        <v>7.9432823472428264</v>
      </c>
      <c r="I48" t="str">
        <f t="shared" si="3"/>
        <v>49.9091149349751j</v>
      </c>
      <c r="J48" t="str">
        <f t="shared" si="1"/>
        <v>613127.096976592-487044.128249007j</v>
      </c>
      <c r="K48">
        <f t="shared" si="4"/>
        <v>117.87557397032573</v>
      </c>
      <c r="L48">
        <f t="shared" si="5"/>
        <v>-38.46225178486786</v>
      </c>
      <c r="M48">
        <f t="shared" si="6"/>
        <v>613127.09697659197</v>
      </c>
      <c r="N48">
        <f t="shared" si="7"/>
        <v>-487044.12824900699</v>
      </c>
    </row>
    <row r="49" spans="7:14" x14ac:dyDescent="0.25">
      <c r="G49">
        <f t="shared" si="2"/>
        <v>-7.9999999999999391E-2</v>
      </c>
      <c r="H49">
        <f t="shared" si="0"/>
        <v>8.3176377110267214</v>
      </c>
      <c r="I49" t="str">
        <f t="shared" si="3"/>
        <v>52.2612590563659j</v>
      </c>
      <c r="J49" t="str">
        <f t="shared" si="1"/>
        <v>591065.318665428-491647.622924773j</v>
      </c>
      <c r="K49">
        <f t="shared" si="4"/>
        <v>117.71643028851975</v>
      </c>
      <c r="L49">
        <f t="shared" si="5"/>
        <v>-39.753654823261158</v>
      </c>
      <c r="M49">
        <f t="shared" si="6"/>
        <v>591065.31866542797</v>
      </c>
      <c r="N49">
        <f t="shared" si="7"/>
        <v>-491647.62292477302</v>
      </c>
    </row>
    <row r="50" spans="7:14" x14ac:dyDescent="0.25">
      <c r="G50">
        <f t="shared" si="2"/>
        <v>-5.9999999999999387E-2</v>
      </c>
      <c r="H50">
        <f t="shared" si="0"/>
        <v>8.7096358995608192</v>
      </c>
      <c r="I50" t="str">
        <f t="shared" si="3"/>
        <v>54.7242563150044j</v>
      </c>
      <c r="J50" t="str">
        <f t="shared" si="1"/>
        <v>568630.550386928-495278.395226217j</v>
      </c>
      <c r="K50">
        <f t="shared" si="4"/>
        <v>117.54838468956392</v>
      </c>
      <c r="L50">
        <f t="shared" si="5"/>
        <v>-41.055932684199526</v>
      </c>
      <c r="M50">
        <f t="shared" si="6"/>
        <v>568630.55038692802</v>
      </c>
      <c r="N50">
        <f t="shared" si="7"/>
        <v>-495278.39522621699</v>
      </c>
    </row>
    <row r="51" spans="7:14" x14ac:dyDescent="0.25">
      <c r="G51">
        <f t="shared" si="2"/>
        <v>-3.9999999999999383E-2</v>
      </c>
      <c r="H51">
        <f t="shared" si="0"/>
        <v>9.1201083935591107</v>
      </c>
      <c r="I51" t="str">
        <f t="shared" si="3"/>
        <v>57.3033310582958j</v>
      </c>
      <c r="J51" t="str">
        <f t="shared" si="1"/>
        <v>545910.510266856-497899.224014101j</v>
      </c>
      <c r="K51">
        <f t="shared" si="4"/>
        <v>117.37130534545679</v>
      </c>
      <c r="L51">
        <f t="shared" si="5"/>
        <v>-42.366467759440098</v>
      </c>
      <c r="M51">
        <f t="shared" si="6"/>
        <v>545910.51026685606</v>
      </c>
      <c r="N51">
        <f t="shared" si="7"/>
        <v>-497899.22401410103</v>
      </c>
    </row>
    <row r="52" spans="7:14" x14ac:dyDescent="0.25">
      <c r="G52">
        <f t="shared" si="2"/>
        <v>-1.9999999999999383E-2</v>
      </c>
      <c r="H52">
        <f t="shared" si="0"/>
        <v>9.5499258602143726</v>
      </c>
      <c r="I52" t="str">
        <f t="shared" si="3"/>
        <v>60.0039538495533j</v>
      </c>
      <c r="J52" t="str">
        <f t="shared" si="1"/>
        <v>522997.598919664-499482.831056818j</v>
      </c>
      <c r="K52">
        <f t="shared" si="4"/>
        <v>117.18509649749524</v>
      </c>
      <c r="L52">
        <f t="shared" si="5"/>
        <v>-43.682557178241957</v>
      </c>
      <c r="M52">
        <f t="shared" si="6"/>
        <v>522997.59891966399</v>
      </c>
      <c r="N52">
        <f t="shared" si="7"/>
        <v>-499482.83105681802</v>
      </c>
    </row>
    <row r="53" spans="7:14" x14ac:dyDescent="0.25">
      <c r="G53">
        <f t="shared" si="2"/>
        <v>6.1756155744774333E-16</v>
      </c>
      <c r="H53">
        <f t="shared" si="0"/>
        <v>10.000000000000014</v>
      </c>
      <c r="I53" t="str">
        <f t="shared" si="3"/>
        <v>62.831853071796j</v>
      </c>
      <c r="J53" t="str">
        <f t="shared" si="1"/>
        <v>499987.433313566-500012.566054779j</v>
      </c>
      <c r="K53">
        <f t="shared" si="4"/>
        <v>116.98970004061694</v>
      </c>
      <c r="L53">
        <f t="shared" si="5"/>
        <v>-45.001439999999711</v>
      </c>
      <c r="M53">
        <f t="shared" si="6"/>
        <v>499987.43331356603</v>
      </c>
      <c r="N53">
        <f t="shared" si="7"/>
        <v>-500012.56605477899</v>
      </c>
    </row>
    <row r="54" spans="7:14" x14ac:dyDescent="0.25">
      <c r="G54">
        <f t="shared" si="2"/>
        <v>2.0000000000000618E-2</v>
      </c>
      <c r="H54">
        <f t="shared" si="0"/>
        <v>10.47128548050901</v>
      </c>
      <c r="I54" t="str">
        <f t="shared" si="3"/>
        <v>65.7930270784172j</v>
      </c>
      <c r="J54" t="str">
        <f t="shared" si="1"/>
        <v>476977.267707468-499482.830998619j</v>
      </c>
      <c r="K54">
        <f t="shared" si="4"/>
        <v>116.78509649698923</v>
      </c>
      <c r="L54">
        <f t="shared" si="5"/>
        <v>-46.320325876190509</v>
      </c>
      <c r="M54">
        <f t="shared" si="6"/>
        <v>476977.26770746801</v>
      </c>
      <c r="N54">
        <f t="shared" si="7"/>
        <v>-499482.83099861903</v>
      </c>
    </row>
    <row r="55" spans="7:14" x14ac:dyDescent="0.25">
      <c r="G55">
        <f t="shared" si="2"/>
        <v>4.0000000000000618E-2</v>
      </c>
      <c r="H55">
        <f t="shared" si="0"/>
        <v>10.964781961431866</v>
      </c>
      <c r="I55" t="str">
        <f t="shared" si="3"/>
        <v>68.8937569164965j</v>
      </c>
      <c r="J55" t="str">
        <f t="shared" si="1"/>
        <v>454064.356360272-497899.223897577j</v>
      </c>
      <c r="K55">
        <f t="shared" si="4"/>
        <v>116.57130534444038</v>
      </c>
      <c r="L55">
        <f t="shared" si="5"/>
        <v>-47.636424464770691</v>
      </c>
      <c r="M55">
        <f t="shared" si="6"/>
        <v>454064.35636027198</v>
      </c>
      <c r="N55">
        <f t="shared" si="7"/>
        <v>-497899.22389757697</v>
      </c>
    </row>
    <row r="56" spans="7:14" x14ac:dyDescent="0.25">
      <c r="G56">
        <f t="shared" si="2"/>
        <v>6.0000000000000622E-2</v>
      </c>
      <c r="H56">
        <f t="shared" si="0"/>
        <v>11.481536214968845</v>
      </c>
      <c r="I56" t="str">
        <f t="shared" si="3"/>
        <v>72.1406196497426j</v>
      </c>
      <c r="J56" t="str">
        <f t="shared" si="1"/>
        <v>431344.316240202-495278.395051124j</v>
      </c>
      <c r="K56">
        <f t="shared" si="4"/>
        <v>116.34838468802856</v>
      </c>
      <c r="L56">
        <f t="shared" si="5"/>
        <v>-48.946974844584552</v>
      </c>
      <c r="M56">
        <f t="shared" si="6"/>
        <v>431344.316240202</v>
      </c>
      <c r="N56">
        <f t="shared" si="7"/>
        <v>-495278.39505112398</v>
      </c>
    </row>
    <row r="57" spans="7:14" x14ac:dyDescent="0.25">
      <c r="G57">
        <f t="shared" si="2"/>
        <v>8.0000000000000626E-2</v>
      </c>
      <c r="H57">
        <f t="shared" si="0"/>
        <v>12.022644346174147</v>
      </c>
      <c r="I57" t="str">
        <f t="shared" si="3"/>
        <v>75.5405023093271j</v>
      </c>
      <c r="J57" t="str">
        <f t="shared" si="1"/>
        <v>408909.547961708-491647.622690739j</v>
      </c>
      <c r="K57">
        <f t="shared" si="4"/>
        <v>116.11643028645246</v>
      </c>
      <c r="L57">
        <f t="shared" si="5"/>
        <v>-50.249274177354344</v>
      </c>
      <c r="M57">
        <f t="shared" si="6"/>
        <v>408909.54796170798</v>
      </c>
      <c r="N57">
        <f t="shared" si="7"/>
        <v>-491647.62269073899</v>
      </c>
    </row>
    <row r="58" spans="7:14" x14ac:dyDescent="0.25">
      <c r="G58">
        <f t="shared" si="2"/>
        <v>0.10000000000000063</v>
      </c>
      <c r="H58">
        <f t="shared" si="0"/>
        <v>12.589254117941691</v>
      </c>
      <c r="I58" t="str">
        <f t="shared" si="3"/>
        <v>79.1006165022013j</v>
      </c>
      <c r="J58" t="str">
        <f t="shared" si="1"/>
        <v>386847.769650542-487044.127955534j</v>
      </c>
      <c r="K58">
        <f t="shared" si="4"/>
        <v>115.87557396770885</v>
      </c>
      <c r="L58">
        <f t="shared" si="5"/>
        <v>-51.540704900382508</v>
      </c>
      <c r="M58">
        <f t="shared" si="6"/>
        <v>386847.769650542</v>
      </c>
      <c r="N58">
        <f t="shared" si="7"/>
        <v>-487044.12795553397</v>
      </c>
    </row>
    <row r="59" spans="7:14" x14ac:dyDescent="0.25">
      <c r="G59">
        <f t="shared" si="2"/>
        <v>0.12000000000000063</v>
      </c>
      <c r="H59">
        <f t="shared" si="0"/>
        <v>13.18256738556409</v>
      </c>
      <c r="I59" t="str">
        <f t="shared" si="3"/>
        <v>82.8285137078811j</v>
      </c>
      <c r="J59" t="str">
        <f t="shared" si="1"/>
        <v>365240.711706776-481514.160808042j</v>
      </c>
      <c r="K59">
        <f t="shared" si="4"/>
        <v>115.62598148903308</v>
      </c>
      <c r="L59">
        <f t="shared" si="5"/>
        <v>-52.818759801559146</v>
      </c>
      <c r="M59">
        <f t="shared" si="6"/>
        <v>365240.711706776</v>
      </c>
      <c r="N59">
        <f t="shared" si="7"/>
        <v>-481514.16080804198</v>
      </c>
    </row>
    <row r="60" spans="7:14" x14ac:dyDescent="0.25">
      <c r="G60">
        <f t="shared" si="2"/>
        <v>0.14000000000000062</v>
      </c>
      <c r="H60">
        <f t="shared" si="0"/>
        <v>13.803842646028869</v>
      </c>
      <c r="I60" t="str">
        <f t="shared" si="3"/>
        <v>86.7321012961476j</v>
      </c>
      <c r="J60" t="str">
        <f t="shared" si="1"/>
        <v>344163.011106303-475111.897829967j</v>
      </c>
      <c r="K60">
        <f t="shared" si="4"/>
        <v>115.36784991355262</v>
      </c>
      <c r="L60">
        <f t="shared" si="5"/>
        <v>-54.081064424565191</v>
      </c>
      <c r="M60">
        <f t="shared" si="6"/>
        <v>344163.01110630302</v>
      </c>
      <c r="N60">
        <f t="shared" si="7"/>
        <v>-475111.89782996703</v>
      </c>
    </row>
    <row r="61" spans="7:14" x14ac:dyDescent="0.25">
      <c r="G61">
        <f t="shared" si="2"/>
        <v>0.16000000000000061</v>
      </c>
      <c r="H61">
        <f t="shared" si="0"/>
        <v>14.454397707459297</v>
      </c>
      <c r="I61" t="str">
        <f t="shared" si="3"/>
        <v>90.8196592996385j</v>
      </c>
      <c r="J61" t="str">
        <f t="shared" si="1"/>
        <v>323681.332765244-467898.199290603j</v>
      </c>
      <c r="K61">
        <f t="shared" si="4"/>
        <v>115.10140458936462</v>
      </c>
      <c r="L61">
        <f t="shared" si="5"/>
        <v>-55.325396369353825</v>
      </c>
      <c r="M61">
        <f t="shared" si="6"/>
        <v>323681.33276524401</v>
      </c>
      <c r="N61">
        <f t="shared" si="7"/>
        <v>-467898.19929060299</v>
      </c>
    </row>
    <row r="62" spans="7:14" x14ac:dyDescent="0.25">
      <c r="G62">
        <f t="shared" si="2"/>
        <v>0.1800000000000006</v>
      </c>
      <c r="H62">
        <f t="shared" si="0"/>
        <v>15.135612484362104</v>
      </c>
      <c r="I62" t="str">
        <f t="shared" si="3"/>
        <v>95.0998579769079j</v>
      </c>
      <c r="J62" t="str">
        <f t="shared" si="1"/>
        <v>303853.733506463-459939.276171181j</v>
      </c>
      <c r="K62">
        <f t="shared" si="4"/>
        <v>114.82689582537049</v>
      </c>
      <c r="L62">
        <f t="shared" si="5"/>
        <v>-56.549701183102449</v>
      </c>
      <c r="M62">
        <f t="shared" si="6"/>
        <v>303853.733506463</v>
      </c>
      <c r="N62">
        <f t="shared" si="7"/>
        <v>-459939.276171181</v>
      </c>
    </row>
    <row r="63" spans="7:14" x14ac:dyDescent="0.25">
      <c r="G63">
        <f t="shared" si="2"/>
        <v>0.20000000000000059</v>
      </c>
      <c r="H63">
        <f t="shared" si="0"/>
        <v>15.848931924611158</v>
      </c>
      <c r="I63" t="str">
        <f t="shared" si="3"/>
        <v>99.5817762032063j</v>
      </c>
      <c r="J63" t="str">
        <f t="shared" si="1"/>
        <v>284729.272236731-451305.317972821j</v>
      </c>
      <c r="K63">
        <f t="shared" si="4"/>
        <v>114.54459536201634</v>
      </c>
      <c r="L63">
        <f t="shared" si="5"/>
        <v>-57.752104671402527</v>
      </c>
      <c r="M63">
        <f t="shared" si="6"/>
        <v>284729.27223673102</v>
      </c>
      <c r="N63">
        <f t="shared" si="7"/>
        <v>-451305.31797282101</v>
      </c>
    </row>
    <row r="64" spans="7:14" x14ac:dyDescent="0.25">
      <c r="G64">
        <f t="shared" si="2"/>
        <v>0.22000000000000058</v>
      </c>
      <c r="H64">
        <f t="shared" si="0"/>
        <v>16.595869074375628</v>
      </c>
      <c r="I64" t="str">
        <f t="shared" si="3"/>
        <v>104.274920727993j</v>
      </c>
      <c r="J64" t="str">
        <f t="shared" si="1"/>
        <v>266347.858896822-442069.129417412j</v>
      </c>
      <c r="K64">
        <f t="shared" si="4"/>
        <v>114.25479273427868</v>
      </c>
      <c r="L64">
        <f t="shared" si="5"/>
        <v>-58.930921590568701</v>
      </c>
      <c r="M64">
        <f t="shared" si="6"/>
        <v>266347.85889682203</v>
      </c>
      <c r="N64">
        <f t="shared" si="7"/>
        <v>-442069.12941741198</v>
      </c>
    </row>
    <row r="65" spans="7:14" x14ac:dyDescent="0.25">
      <c r="G65">
        <f t="shared" si="2"/>
        <v>0.24000000000000057</v>
      </c>
      <c r="H65">
        <f t="shared" si="0"/>
        <v>17.378008287493778</v>
      </c>
      <c r="I65" t="str">
        <f t="shared" si="3"/>
        <v>109.189246340026j</v>
      </c>
      <c r="J65" t="str">
        <f t="shared" si="1"/>
        <v>248740.325251334-432304.819063613j</v>
      </c>
      <c r="K65">
        <f t="shared" si="4"/>
        <v>113.95779161930092</v>
      </c>
      <c r="L65">
        <f t="shared" si="5"/>
        <v>-60.084660802625308</v>
      </c>
      <c r="M65">
        <f t="shared" si="6"/>
        <v>248740.325251334</v>
      </c>
      <c r="N65">
        <f t="shared" si="7"/>
        <v>-432304.81906361302</v>
      </c>
    </row>
    <row r="66" spans="7:14" x14ac:dyDescent="0.25">
      <c r="G66">
        <f t="shared" si="2"/>
        <v>0.26000000000000056</v>
      </c>
      <c r="H66">
        <f t="shared" si="0"/>
        <v>18.197008586099862</v>
      </c>
      <c r="I66" t="str">
        <f t="shared" si="3"/>
        <v>114.335176982803j</v>
      </c>
      <c r="J66" t="str">
        <f t="shared" si="1"/>
        <v>231928.693095068-422086.576032083j</v>
      </c>
      <c r="K66">
        <f t="shared" si="4"/>
        <v>113.65390625274345</v>
      </c>
      <c r="L66">
        <f t="shared" si="5"/>
        <v>-61.212027079342548</v>
      </c>
      <c r="M66">
        <f t="shared" si="6"/>
        <v>231928.69309506801</v>
      </c>
      <c r="N66">
        <f t="shared" si="7"/>
        <v>-422086.57603208302</v>
      </c>
    </row>
    <row r="67" spans="7:14" x14ac:dyDescent="0.25">
      <c r="G67">
        <f t="shared" si="2"/>
        <v>0.28000000000000058</v>
      </c>
      <c r="H67">
        <f t="shared" ref="H67:H130" si="8">$B$3*10^G67</f>
        <v>19.054607179632498</v>
      </c>
      <c r="I67" t="str">
        <f t="shared" si="3"/>
        <v>119.723627865146j</v>
      </c>
      <c r="J67" t="str">
        <f t="shared" ref="J67:J130" si="9">IMDIV(Aolv,IMPRODUCT(IMSUM(1,IMDIV(I67,wc)),IMSUM(1,(IMPRODUCT(I67,R_O,C_L)))))</f>
        <v>215926.610198629-411487.56314749j</v>
      </c>
      <c r="K67">
        <f t="shared" si="4"/>
        <v>113.34345798701247</v>
      </c>
      <c r="L67">
        <f t="shared" si="5"/>
        <v>-62.311919826951488</v>
      </c>
      <c r="M67">
        <f t="shared" si="6"/>
        <v>215926.610198629</v>
      </c>
      <c r="N67">
        <f t="shared" si="7"/>
        <v>-411487.56314748997</v>
      </c>
    </row>
    <row r="68" spans="7:14" x14ac:dyDescent="0.25">
      <c r="G68">
        <f t="shared" ref="G68:G131" si="10">G67+(1/ppd)</f>
        <v>0.3000000000000006</v>
      </c>
      <c r="H68">
        <f t="shared" si="8"/>
        <v>19.952623149688826</v>
      </c>
      <c r="I68" t="str">
        <f t="shared" ref="I68:I131" si="11">COMPLEX(0,H68*2*PI(),"j")</f>
        <v>125.366028613816j</v>
      </c>
      <c r="J68" t="str">
        <f t="shared" si="9"/>
        <v>200739.921316432-400578.946523816j</v>
      </c>
      <c r="K68">
        <f t="shared" ref="K68:K131" si="12">20*LOG(IMABS(J68))</f>
        <v>113.026772051992</v>
      </c>
      <c r="L68">
        <f t="shared" ref="L68:L131" si="13">DEGREES(IMARGUMENT(J68))</f>
        <v>-63.383429066938383</v>
      </c>
      <c r="M68">
        <f t="shared" ref="M68:M131" si="14">IMREAL(J68)</f>
        <v>200739.92131643201</v>
      </c>
      <c r="N68">
        <f t="shared" ref="N68:N131" si="15">IMAGINARY(J68)</f>
        <v>-400578.94652381598</v>
      </c>
    </row>
    <row r="69" spans="7:14" x14ac:dyDescent="0.25">
      <c r="G69">
        <f t="shared" si="10"/>
        <v>0.32000000000000062</v>
      </c>
      <c r="H69">
        <f t="shared" si="8"/>
        <v>20.892961308540428</v>
      </c>
      <c r="I69" t="str">
        <f t="shared" si="11"/>
        <v>131.274347517293j</v>
      </c>
      <c r="J69" t="str">
        <f t="shared" si="9"/>
        <v>186367.340675399-389429.073529531j</v>
      </c>
      <c r="K69">
        <f t="shared" si="12"/>
        <v>112.70417456558175</v>
      </c>
      <c r="L69">
        <f t="shared" si="13"/>
        <v>-64.425829050406193</v>
      </c>
      <c r="M69">
        <f t="shared" si="14"/>
        <v>186367.340675399</v>
      </c>
      <c r="N69">
        <f t="shared" si="15"/>
        <v>-389429.07352953102</v>
      </c>
    </row>
    <row r="70" spans="7:14" x14ac:dyDescent="0.25">
      <c r="G70">
        <f t="shared" si="10"/>
        <v>0.34000000000000064</v>
      </c>
      <c r="H70">
        <f t="shared" si="8"/>
        <v>21.877616239495559</v>
      </c>
      <c r="I70" t="str">
        <f t="shared" si="11"/>
        <v>137.461116912112j</v>
      </c>
      <c r="J70" t="str">
        <f t="shared" si="9"/>
        <v>172801.19326338-378102.803640914j</v>
      </c>
      <c r="K70">
        <f t="shared" si="12"/>
        <v>112.37598982804292</v>
      </c>
      <c r="L70">
        <f t="shared" si="13"/>
        <v>-65.438569904975907</v>
      </c>
      <c r="M70">
        <f t="shared" si="14"/>
        <v>172801.19326338</v>
      </c>
      <c r="N70">
        <f t="shared" si="15"/>
        <v>-378102.80364091397</v>
      </c>
    </row>
    <row r="71" spans="7:14" x14ac:dyDescent="0.25">
      <c r="G71">
        <f t="shared" si="10"/>
        <v>0.36000000000000065</v>
      </c>
      <c r="H71">
        <f t="shared" si="8"/>
        <v>22.908676527677766</v>
      </c>
      <c r="I71" t="str">
        <f t="shared" si="11"/>
        <v>143.939459765635j</v>
      </c>
      <c r="J71" t="str">
        <f t="shared" si="9"/>
        <v>160028.194571303-366660.990257943j</v>
      </c>
      <c r="K71">
        <f t="shared" si="12"/>
        <v>112.04253792150158</v>
      </c>
      <c r="L71">
        <f t="shared" si="13"/>
        <v>-66.421267716380243</v>
      </c>
      <c r="M71">
        <f t="shared" si="14"/>
        <v>160028.194571303</v>
      </c>
      <c r="N71">
        <f t="shared" si="15"/>
        <v>-366660.99025794299</v>
      </c>
    </row>
    <row r="72" spans="7:14" x14ac:dyDescent="0.25">
      <c r="G72">
        <f t="shared" si="10"/>
        <v>0.38000000000000067</v>
      </c>
      <c r="H72">
        <f t="shared" si="8"/>
        <v>23.988329190194943</v>
      </c>
      <c r="I72" t="str">
        <f t="shared" si="11"/>
        <v>150.72311751162j</v>
      </c>
      <c r="J72" t="str">
        <f t="shared" si="9"/>
        <v>148030.241812051-355160.106315948j</v>
      </c>
      <c r="K72">
        <f t="shared" si="12"/>
        <v>111.70413262447229</v>
      </c>
      <c r="L72">
        <f t="shared" si="13"/>
        <v>-67.373693434623348</v>
      </c>
      <c r="M72">
        <f t="shared" si="14"/>
        <v>148030.24181205101</v>
      </c>
      <c r="N72">
        <f t="shared" si="15"/>
        <v>-355160.10631594801</v>
      </c>
    </row>
    <row r="73" spans="7:14" x14ac:dyDescent="0.25">
      <c r="G73">
        <f t="shared" si="10"/>
        <v>0.40000000000000069</v>
      </c>
      <c r="H73">
        <f t="shared" si="8"/>
        <v>25.118864315095841</v>
      </c>
      <c r="I73" t="str">
        <f t="shared" si="11"/>
        <v>157.826479197648j</v>
      </c>
      <c r="J73" t="str">
        <f t="shared" si="9"/>
        <v>136785.193648956-343652.002549653j</v>
      </c>
      <c r="K73">
        <f t="shared" si="12"/>
        <v>111.36107964125749</v>
      </c>
      <c r="L73">
        <f t="shared" si="13"/>
        <v>-68.295760970147654</v>
      </c>
      <c r="M73">
        <f t="shared" si="14"/>
        <v>136785.19364895599</v>
      </c>
      <c r="N73">
        <f t="shared" si="15"/>
        <v>-343652.002549653</v>
      </c>
    </row>
    <row r="74" spans="7:14" x14ac:dyDescent="0.25">
      <c r="G74">
        <f t="shared" si="10"/>
        <v>0.42000000000000071</v>
      </c>
      <c r="H74">
        <f t="shared" si="8"/>
        <v>26.302679918953867</v>
      </c>
      <c r="I74" t="str">
        <f t="shared" si="11"/>
        <v>165.264612006218j</v>
      </c>
      <c r="J74" t="str">
        <f t="shared" si="9"/>
        <v>126267.619765213-332183.78452577j</v>
      </c>
      <c r="K74">
        <f t="shared" si="12"/>
        <v>111.01367513774937</v>
      </c>
      <c r="L74">
        <f t="shared" si="13"/>
        <v>-69.187514812167151</v>
      </c>
      <c r="M74">
        <f t="shared" si="14"/>
        <v>126267.61976521301</v>
      </c>
      <c r="N74">
        <f t="shared" si="15"/>
        <v>-332183.78452577</v>
      </c>
    </row>
    <row r="75" spans="7:14" x14ac:dyDescent="0.25">
      <c r="G75">
        <f t="shared" si="10"/>
        <v>0.44000000000000072</v>
      </c>
      <c r="H75">
        <f t="shared" si="8"/>
        <v>27.542287033381715</v>
      </c>
      <c r="I75" t="str">
        <f t="shared" si="11"/>
        <v>173.053293214267j</v>
      </c>
      <c r="J75" t="str">
        <f t="shared" si="9"/>
        <v>116449.50589775-320797.792950085j</v>
      </c>
      <c r="K75">
        <f t="shared" si="12"/>
        <v>110.66220456855361</v>
      </c>
      <c r="L75">
        <f t="shared" si="13"/>
        <v>-70.049117462345677</v>
      </c>
      <c r="M75">
        <f t="shared" si="14"/>
        <v>116449.50589775</v>
      </c>
      <c r="N75">
        <f t="shared" si="15"/>
        <v>-320797.79295008502</v>
      </c>
    </row>
    <row r="76" spans="7:14" x14ac:dyDescent="0.25">
      <c r="G76">
        <f t="shared" si="10"/>
        <v>0.46000000000000074</v>
      </c>
      <c r="H76">
        <f t="shared" si="8"/>
        <v>28.840315031266112</v>
      </c>
      <c r="I76" t="str">
        <f t="shared" si="11"/>
        <v>181.209043658882j</v>
      </c>
      <c r="J76" t="str">
        <f t="shared" si="9"/>
        <v>107300.904018604-309531.6711207j</v>
      </c>
      <c r="K76">
        <f t="shared" si="12"/>
        <v>110.30694177543049</v>
      </c>
      <c r="L76">
        <f t="shared" si="13"/>
        <v>-70.880836935069553</v>
      </c>
      <c r="M76">
        <f t="shared" si="14"/>
        <v>107300.90401860399</v>
      </c>
      <c r="N76">
        <f t="shared" si="15"/>
        <v>-309531.67112070002</v>
      </c>
    </row>
    <row r="77" spans="7:14" x14ac:dyDescent="0.25">
      <c r="G77">
        <f t="shared" si="10"/>
        <v>0.48000000000000076</v>
      </c>
      <c r="H77">
        <f t="shared" si="8"/>
        <v>30.199517204020218</v>
      </c>
      <c r="I77" t="str">
        <f t="shared" si="11"/>
        <v>189.749162780217j</v>
      </c>
      <c r="J77" t="str">
        <f t="shared" si="9"/>
        <v>98790.5210138488-298418.503559859j</v>
      </c>
      <c r="K77">
        <f t="shared" si="12"/>
        <v>109.94814833366638</v>
      </c>
      <c r="L77">
        <f t="shared" si="13"/>
        <v>-71.683034533085134</v>
      </c>
      <c r="M77">
        <f t="shared" si="14"/>
        <v>98790.521013848804</v>
      </c>
      <c r="N77">
        <f t="shared" si="15"/>
        <v>-298418.503559859</v>
      </c>
    </row>
    <row r="78" spans="7:14" x14ac:dyDescent="0.25">
      <c r="G78">
        <f t="shared" si="10"/>
        <v>0.50000000000000078</v>
      </c>
      <c r="H78">
        <f t="shared" si="8"/>
        <v>31.622776601683853</v>
      </c>
      <c r="I78" t="str">
        <f t="shared" si="11"/>
        <v>198.691765315922j</v>
      </c>
      <c r="J78" t="str">
        <f t="shared" si="9"/>
        <v>90886.2423884319-287487.010627211j</v>
      </c>
      <c r="K78">
        <f t="shared" si="12"/>
        <v>109.5860731209853</v>
      </c>
      <c r="L78">
        <f t="shared" si="13"/>
        <v>-72.456153066028762</v>
      </c>
      <c r="M78">
        <f t="shared" si="14"/>
        <v>90886.2423884319</v>
      </c>
      <c r="N78">
        <f t="shared" si="15"/>
        <v>-287487.01062721101</v>
      </c>
    </row>
    <row r="79" spans="7:14" x14ac:dyDescent="0.25">
      <c r="G79">
        <f t="shared" si="10"/>
        <v>0.52000000000000079</v>
      </c>
      <c r="H79">
        <f t="shared" si="8"/>
        <v>33.113112148259177</v>
      </c>
      <c r="I79" t="str">
        <f t="shared" si="11"/>
        <v>208.055819724932j</v>
      </c>
      <c r="J79" t="str">
        <f t="shared" si="9"/>
        <v>83555.5901704575-276761.785120148j</v>
      </c>
      <c r="K79">
        <f t="shared" si="12"/>
        <v>109.22095208276637</v>
      </c>
      <c r="L79">
        <f t="shared" si="13"/>
        <v>-73.200705640799853</v>
      </c>
      <c r="M79">
        <f t="shared" si="14"/>
        <v>83555.590170457494</v>
      </c>
      <c r="N79">
        <f t="shared" si="15"/>
        <v>-276761.78512014798</v>
      </c>
    </row>
    <row r="80" spans="7:14" x14ac:dyDescent="0.25">
      <c r="G80">
        <f t="shared" si="10"/>
        <v>0.54000000000000081</v>
      </c>
      <c r="H80">
        <f t="shared" si="8"/>
        <v>34.673685045253237</v>
      </c>
      <c r="I80" t="str">
        <f t="shared" si="11"/>
        <v>217.861188422108j</v>
      </c>
      <c r="J80" t="str">
        <f t="shared" si="9"/>
        <v>76766.1162989979-266263.558344581j</v>
      </c>
      <c r="K80">
        <f t="shared" si="12"/>
        <v>108.85300816744254</v>
      </c>
      <c r="L80">
        <f t="shared" si="13"/>
        <v>-73.917265117701064</v>
      </c>
      <c r="M80">
        <f t="shared" si="14"/>
        <v>76766.116298997906</v>
      </c>
      <c r="N80">
        <f t="shared" si="15"/>
        <v>-266263.55834458099</v>
      </c>
    </row>
    <row r="81" spans="7:14" x14ac:dyDescent="0.25">
      <c r="G81">
        <f t="shared" si="10"/>
        <v>0.56000000000000083</v>
      </c>
      <c r="H81">
        <f t="shared" si="8"/>
        <v>36.307805477010206</v>
      </c>
      <c r="I81" t="str">
        <f t="shared" si="11"/>
        <v>228.128669909085j</v>
      </c>
      <c r="J81" t="str">
        <f t="shared" si="9"/>
        <v>70485.7343839326-256009.484758807j</v>
      </c>
      <c r="K81">
        <f t="shared" si="12"/>
        <v>108.48245140680781</v>
      </c>
      <c r="L81">
        <f t="shared" si="13"/>
        <v>-74.606454295367158</v>
      </c>
      <c r="M81">
        <f t="shared" si="14"/>
        <v>70485.734383932606</v>
      </c>
      <c r="N81">
        <f t="shared" si="15"/>
        <v>-256009.484758807</v>
      </c>
    </row>
    <row r="82" spans="7:14" x14ac:dyDescent="0.25">
      <c r="G82">
        <f t="shared" si="10"/>
        <v>0.58000000000000085</v>
      </c>
      <c r="H82">
        <f t="shared" si="8"/>
        <v>38.018939632056195</v>
      </c>
      <c r="I82" t="str">
        <f t="shared" si="11"/>
        <v>238.880042890683j</v>
      </c>
      <c r="J82" t="str">
        <f t="shared" si="9"/>
        <v>64682.9938738691-246013.435947413j</v>
      </c>
      <c r="K82">
        <f t="shared" si="12"/>
        <v>108.10947911735703</v>
      </c>
      <c r="L82">
        <f t="shared" si="13"/>
        <v>-75.268936860933522</v>
      </c>
      <c r="M82">
        <f t="shared" si="14"/>
        <v>64682.993873869098</v>
      </c>
      <c r="N82">
        <f t="shared" si="15"/>
        <v>-246013.435947413</v>
      </c>
    </row>
    <row r="83" spans="7:14" x14ac:dyDescent="0.25">
      <c r="G83">
        <f t="shared" si="10"/>
        <v>0.60000000000000087</v>
      </c>
      <c r="H83">
        <f t="shared" si="8"/>
        <v>39.810717055349805</v>
      </c>
      <c r="I83" t="str">
        <f t="shared" si="11"/>
        <v>250.138112470458j</v>
      </c>
      <c r="J83" t="str">
        <f t="shared" si="9"/>
        <v>59327.3014195043-236286.296290921j</v>
      </c>
      <c r="K83">
        <f t="shared" si="12"/>
        <v>107.73427620056148</v>
      </c>
      <c r="L83">
        <f t="shared" si="13"/>
        <v>-75.9054091196477</v>
      </c>
      <c r="M83">
        <f t="shared" si="14"/>
        <v>59327.3014195043</v>
      </c>
      <c r="N83">
        <f t="shared" si="15"/>
        <v>-236286.29629092099</v>
      </c>
    </row>
    <row r="84" spans="7:14" x14ac:dyDescent="0.25">
      <c r="G84">
        <f t="shared" si="10"/>
        <v>0.62000000000000088</v>
      </c>
      <c r="H84">
        <f t="shared" si="8"/>
        <v>41.686938347033625</v>
      </c>
      <c r="I84" t="str">
        <f t="shared" si="11"/>
        <v>261.926758523383j</v>
      </c>
      <c r="J84" t="str">
        <f t="shared" si="9"/>
        <v>54389.0946399635-226836.254202973j</v>
      </c>
      <c r="K84">
        <f t="shared" si="12"/>
        <v>107.35701552199068</v>
      </c>
      <c r="L84">
        <f t="shared" si="13"/>
        <v>-76.516592499999746</v>
      </c>
      <c r="M84">
        <f t="shared" si="14"/>
        <v>54389.0946399635</v>
      </c>
      <c r="N84">
        <f t="shared" si="15"/>
        <v>-226836.25420297301</v>
      </c>
    </row>
    <row r="85" spans="7:14" x14ac:dyDescent="0.25">
      <c r="G85">
        <f t="shared" si="10"/>
        <v>0.6400000000000009</v>
      </c>
      <c r="H85">
        <f t="shared" si="8"/>
        <v>43.651583224016697</v>
      </c>
      <c r="I85" t="str">
        <f t="shared" si="11"/>
        <v>274.270986348269j</v>
      </c>
      <c r="J85" t="str">
        <f t="shared" si="9"/>
        <v>49839.9736532102-217669.08417381j</v>
      </c>
      <c r="K85">
        <f t="shared" si="12"/>
        <v>106.97785835131272</v>
      </c>
      <c r="L85">
        <f t="shared" si="13"/>
        <v>-77.103226816113349</v>
      </c>
      <c r="M85">
        <f t="shared" si="14"/>
        <v>49839.973653210203</v>
      </c>
      <c r="N85">
        <f t="shared" si="15"/>
        <v>-217669.08417381</v>
      </c>
    </row>
    <row r="86" spans="7:14" x14ac:dyDescent="0.25">
      <c r="G86">
        <f t="shared" si="10"/>
        <v>0.66000000000000092</v>
      </c>
      <c r="H86">
        <f t="shared" si="8"/>
        <v>45.708818961487616</v>
      </c>
      <c r="I86" t="str">
        <f t="shared" si="11"/>
        <v>287.196979707351j</v>
      </c>
      <c r="J86" t="str">
        <f t="shared" si="9"/>
        <v>45652.7956786652-208788.416066556j</v>
      </c>
      <c r="K86">
        <f t="shared" si="12"/>
        <v>106.59695484734662</v>
      </c>
      <c r="L86">
        <f t="shared" si="13"/>
        <v>-77.666064258206646</v>
      </c>
      <c r="M86">
        <f t="shared" si="14"/>
        <v>45652.795678665199</v>
      </c>
      <c r="N86">
        <f t="shared" si="15"/>
        <v>-208788.416066556</v>
      </c>
    </row>
    <row r="87" spans="7:14" x14ac:dyDescent="0.25">
      <c r="G87">
        <f t="shared" si="10"/>
        <v>0.68000000000000094</v>
      </c>
      <c r="H87">
        <f t="shared" si="8"/>
        <v>47.863009232263948</v>
      </c>
      <c r="I87" t="str">
        <f t="shared" si="11"/>
        <v>300.732156365562j</v>
      </c>
      <c r="J87" t="str">
        <f t="shared" si="9"/>
        <v>41801.7378143835-200195.989154257j</v>
      </c>
      <c r="K87">
        <f t="shared" si="12"/>
        <v>106.2144445744234</v>
      </c>
      <c r="L87">
        <f t="shared" si="13"/>
        <v>-78.205864073968456</v>
      </c>
      <c r="M87">
        <f t="shared" si="14"/>
        <v>41801.737814383501</v>
      </c>
      <c r="N87">
        <f t="shared" si="15"/>
        <v>-200195.989154257</v>
      </c>
    </row>
    <row r="88" spans="7:14" x14ac:dyDescent="0.25">
      <c r="G88">
        <f t="shared" si="10"/>
        <v>0.70000000000000095</v>
      </c>
      <c r="H88">
        <f t="shared" si="8"/>
        <v>50.118723362727351</v>
      </c>
      <c r="I88" t="str">
        <f t="shared" si="11"/>
        <v>314.905226247287j</v>
      </c>
      <c r="J88" t="str">
        <f t="shared" si="9"/>
        <v>38262.332778733-191891.889263494j</v>
      </c>
      <c r="K88">
        <f t="shared" si="12"/>
        <v>105.83045703829752</v>
      </c>
      <c r="L88">
        <f t="shared" si="13"/>
        <v>-78.723387898258295</v>
      </c>
      <c r="M88">
        <f t="shared" si="14"/>
        <v>38262.332778732998</v>
      </c>
      <c r="N88">
        <f t="shared" si="15"/>
        <v>-191891.889263494</v>
      </c>
    </row>
    <row r="89" spans="7:14" x14ac:dyDescent="0.25">
      <c r="G89">
        <f t="shared" si="10"/>
        <v>0.72000000000000097</v>
      </c>
      <c r="H89">
        <f t="shared" si="8"/>
        <v>52.480746024977385</v>
      </c>
      <c r="I89" t="str">
        <f t="shared" si="11"/>
        <v>329.746252333961j</v>
      </c>
      <c r="J89" t="str">
        <f t="shared" si="9"/>
        <v>35011.4820257126-183874.768113587j</v>
      </c>
      <c r="K89">
        <f t="shared" si="12"/>
        <v>105.44511223168902</v>
      </c>
      <c r="L89">
        <f t="shared" si="13"/>
        <v>-79.219395685215574</v>
      </c>
      <c r="M89">
        <f t="shared" si="14"/>
        <v>35011.482025712598</v>
      </c>
      <c r="N89">
        <f t="shared" si="15"/>
        <v>-183874.76811358699</v>
      </c>
    </row>
    <row r="90" spans="7:14" x14ac:dyDescent="0.25">
      <c r="G90">
        <f t="shared" si="10"/>
        <v>0.74000000000000099</v>
      </c>
      <c r="H90">
        <f t="shared" si="8"/>
        <v>54.954087385762591</v>
      </c>
      <c r="I90" t="str">
        <f t="shared" si="11"/>
        <v>345.286714431687j</v>
      </c>
      <c r="J90" t="str">
        <f t="shared" si="9"/>
        <v>32027.4502247403-176142.044522492j</v>
      </c>
      <c r="K90">
        <f t="shared" si="12"/>
        <v>105.05852118121848</v>
      </c>
      <c r="L90">
        <f t="shared" si="13"/>
        <v>-79.694642195256947</v>
      </c>
      <c r="M90">
        <f t="shared" si="14"/>
        <v>32027.4502247403</v>
      </c>
      <c r="N90">
        <f t="shared" si="15"/>
        <v>-176142.04452249201</v>
      </c>
    </row>
    <row r="91" spans="7:14" x14ac:dyDescent="0.25">
      <c r="G91">
        <f t="shared" si="10"/>
        <v>0.76000000000000101</v>
      </c>
      <c r="H91">
        <f t="shared" si="8"/>
        <v>57.543993733715837</v>
      </c>
      <c r="I91" t="str">
        <f t="shared" si="11"/>
        <v>361.559575944118j</v>
      </c>
      <c r="J91" t="str">
        <f t="shared" si="9"/>
        <v>29289.8446638337-168690.087607069j</v>
      </c>
      <c r="K91">
        <f t="shared" si="12"/>
        <v>104.67078648900812</v>
      </c>
      <c r="L91">
        <f t="shared" si="13"/>
        <v>-80.149873989199676</v>
      </c>
      <c r="M91">
        <f t="shared" si="14"/>
        <v>29289.844663833701</v>
      </c>
      <c r="N91">
        <f t="shared" si="15"/>
        <v>-168690.087607069</v>
      </c>
    </row>
    <row r="92" spans="7:14" x14ac:dyDescent="0.25">
      <c r="G92">
        <f t="shared" si="10"/>
        <v>0.78000000000000103</v>
      </c>
      <c r="H92">
        <f t="shared" si="8"/>
        <v>60.255958607435929</v>
      </c>
      <c r="I92" t="str">
        <f t="shared" si="11"/>
        <v>378.599353792263j</v>
      </c>
      <c r="J92" t="str">
        <f t="shared" si="9"/>
        <v>26779.58270751-161514.382452857j</v>
      </c>
      <c r="K92">
        <f t="shared" si="12"/>
        <v>104.28200286355668</v>
      </c>
      <c r="L92">
        <f t="shared" si="13"/>
        <v>-80.585826882568739</v>
      </c>
      <c r="M92">
        <f t="shared" si="14"/>
        <v>26779.582707509999</v>
      </c>
      <c r="N92">
        <f t="shared" si="15"/>
        <v>-161514.38245285701</v>
      </c>
    </row>
    <row r="93" spans="7:14" x14ac:dyDescent="0.25">
      <c r="G93">
        <f t="shared" si="10"/>
        <v>0.80000000000000104</v>
      </c>
      <c r="H93">
        <f t="shared" si="8"/>
        <v>63.095734448019485</v>
      </c>
      <c r="I93" t="str">
        <f t="shared" si="11"/>
        <v>396.442191629501j</v>
      </c>
      <c r="J93" t="str">
        <f t="shared" si="9"/>
        <v>24478.8500303425-154609.678983403j</v>
      </c>
      <c r="K93">
        <f t="shared" si="12"/>
        <v>103.89225763567001</v>
      </c>
      <c r="L93">
        <f t="shared" si="13"/>
        <v>-81.0032238147529</v>
      </c>
      <c r="M93">
        <f t="shared" si="14"/>
        <v>24478.850030342499</v>
      </c>
      <c r="N93">
        <f t="shared" si="15"/>
        <v>-154609.67898340299</v>
      </c>
    </row>
    <row r="94" spans="7:14" x14ac:dyDescent="0.25">
      <c r="G94">
        <f t="shared" si="10"/>
        <v>0.82000000000000106</v>
      </c>
      <c r="H94">
        <f t="shared" si="8"/>
        <v>66.069344800759765</v>
      </c>
      <c r="I94" t="str">
        <f t="shared" si="11"/>
        <v>415.125936507116j</v>
      </c>
      <c r="J94" t="str">
        <f t="shared" si="9"/>
        <v>22371.0519624946-147970.124936601j</v>
      </c>
      <c r="K94">
        <f t="shared" si="12"/>
        <v>103.50163125623507</v>
      </c>
      <c r="L94">
        <f t="shared" si="13"/>
        <v>-81.402773089849831</v>
      </c>
      <c r="M94">
        <f t="shared" si="14"/>
        <v>22371.051962494599</v>
      </c>
      <c r="N94">
        <f t="shared" si="15"/>
        <v>-147970.124936601</v>
      </c>
    </row>
    <row r="95" spans="7:14" x14ac:dyDescent="0.25">
      <c r="G95">
        <f t="shared" si="10"/>
        <v>0.84000000000000108</v>
      </c>
      <c r="H95">
        <f t="shared" si="8"/>
        <v>69.183097091893842</v>
      </c>
      <c r="I95" t="str">
        <f t="shared" si="11"/>
        <v>434.690219152966j</v>
      </c>
      <c r="J95" t="str">
        <f t="shared" si="9"/>
        <v>20440.7599300804-141589.383969889j</v>
      </c>
      <c r="K95">
        <f t="shared" si="12"/>
        <v>103.11019777349188</v>
      </c>
      <c r="L95">
        <f t="shared" si="13"/>
        <v>-81.785166948601059</v>
      </c>
      <c r="M95">
        <f t="shared" si="14"/>
        <v>20440.759930080399</v>
      </c>
      <c r="N95">
        <f t="shared" si="15"/>
        <v>-141589.38396988899</v>
      </c>
    </row>
    <row r="96" spans="7:14" x14ac:dyDescent="0.25">
      <c r="G96">
        <f t="shared" si="10"/>
        <v>0.8600000000000011</v>
      </c>
      <c r="H96">
        <f t="shared" si="8"/>
        <v>72.443596007499195</v>
      </c>
      <c r="I96" t="str">
        <f t="shared" si="11"/>
        <v>455.176538033573j</v>
      </c>
      <c r="J96" t="str">
        <f t="shared" si="9"/>
        <v>18673.6546535506-135460.739979716j</v>
      </c>
      <c r="K96">
        <f t="shared" si="12"/>
        <v>102.71802528818269</v>
      </c>
      <c r="L96">
        <f t="shared" si="13"/>
        <v>-82.151080433603994</v>
      </c>
      <c r="M96">
        <f t="shared" si="14"/>
        <v>18673.654653550599</v>
      </c>
      <c r="N96">
        <f t="shared" si="15"/>
        <v>-135460.73997971599</v>
      </c>
    </row>
    <row r="97" spans="7:14" x14ac:dyDescent="0.25">
      <c r="G97">
        <f t="shared" si="10"/>
        <v>0.88000000000000111</v>
      </c>
      <c r="H97">
        <f t="shared" si="8"/>
        <v>75.857757502918574</v>
      </c>
      <c r="I97" t="str">
        <f t="shared" si="11"/>
        <v>476.62834737793j</v>
      </c>
      <c r="J97" t="str">
        <f t="shared" si="9"/>
        <v>17056.4674822617-129577.188744604j</v>
      </c>
      <c r="K97">
        <f t="shared" si="12"/>
        <v>102.32517638556675</v>
      </c>
      <c r="L97">
        <f t="shared" si="13"/>
        <v>-82.501170512894845</v>
      </c>
      <c r="M97">
        <f t="shared" si="14"/>
        <v>17056.467482261702</v>
      </c>
      <c r="N97">
        <f t="shared" si="15"/>
        <v>-129577.18874460401</v>
      </c>
    </row>
    <row r="98" spans="7:14" x14ac:dyDescent="0.25">
      <c r="G98">
        <f t="shared" si="10"/>
        <v>0.90000000000000113</v>
      </c>
      <c r="H98">
        <f t="shared" si="8"/>
        <v>79.432823472428396</v>
      </c>
      <c r="I98" t="str">
        <f t="shared" si="11"/>
        <v>499.091149349752j</v>
      </c>
      <c r="J98" t="str">
        <f t="shared" si="9"/>
        <v>15576.9209923269-123931.51799453j</v>
      </c>
      <c r="K98">
        <f t="shared" si="12"/>
        <v>101.93170854378862</v>
      </c>
      <c r="L98">
        <f t="shared" si="13"/>
        <v>-82.836075429918395</v>
      </c>
      <c r="M98">
        <f t="shared" si="14"/>
        <v>15576.920992326901</v>
      </c>
      <c r="N98">
        <f t="shared" si="15"/>
        <v>-123931.51799453</v>
      </c>
    </row>
    <row r="99" spans="7:14" x14ac:dyDescent="0.25">
      <c r="G99">
        <f t="shared" si="10"/>
        <v>0.92000000000000115</v>
      </c>
      <c r="H99">
        <f t="shared" si="8"/>
        <v>83.176377110267339</v>
      </c>
      <c r="I99" t="str">
        <f t="shared" si="11"/>
        <v>522.61259056366j</v>
      </c>
      <c r="J99" t="str">
        <f t="shared" si="9"/>
        <v>14223.669756159-118516.376980109j</v>
      </c>
      <c r="K99">
        <f t="shared" si="12"/>
        <v>101.53767451849322</v>
      </c>
      <c r="L99">
        <f t="shared" si="13"/>
        <v>-83.156414250776109</v>
      </c>
      <c r="M99">
        <f t="shared" si="14"/>
        <v>14223.669756159001</v>
      </c>
      <c r="N99">
        <f t="shared" si="15"/>
        <v>-118516.37698010899</v>
      </c>
    </row>
    <row r="100" spans="7:14" x14ac:dyDescent="0.25">
      <c r="G100">
        <f t="shared" si="10"/>
        <v>0.94000000000000117</v>
      </c>
      <c r="H100">
        <f t="shared" si="8"/>
        <v>87.096358995608341</v>
      </c>
      <c r="I100" t="str">
        <f t="shared" si="11"/>
        <v>547.242563150045j</v>
      </c>
      <c r="J100" t="str">
        <f t="shared" si="9"/>
        <v>12986.2420035873-113324.3365696j</v>
      </c>
      <c r="K100">
        <f t="shared" si="12"/>
        <v>101.14312270390647</v>
      </c>
      <c r="L100">
        <f t="shared" si="13"/>
        <v>-83.462786582420961</v>
      </c>
      <c r="M100">
        <f t="shared" si="14"/>
        <v>12986.2420035873</v>
      </c>
      <c r="N100">
        <f t="shared" si="15"/>
        <v>-113324.3365696</v>
      </c>
    </row>
    <row r="101" spans="7:14" x14ac:dyDescent="0.25">
      <c r="G101">
        <f t="shared" si="10"/>
        <v>0.96000000000000119</v>
      </c>
      <c r="H101">
        <f t="shared" si="8"/>
        <v>91.201083935591228</v>
      </c>
      <c r="I101" t="str">
        <f t="shared" si="11"/>
        <v>573.033310582959j</v>
      </c>
      <c r="J101" t="str">
        <f t="shared" si="9"/>
        <v>11854.9827334765-108347.940845268j</v>
      </c>
      <c r="K101">
        <f t="shared" si="12"/>
        <v>100.74809747085483</v>
      </c>
      <c r="L101">
        <f t="shared" si="13"/>
        <v>-83.755772438106078</v>
      </c>
      <c r="M101">
        <f t="shared" si="14"/>
        <v>11854.9827334765</v>
      </c>
      <c r="N101">
        <f t="shared" si="15"/>
        <v>-108347.94084526801</v>
      </c>
    </row>
    <row r="102" spans="7:14" x14ac:dyDescent="0.25">
      <c r="G102">
        <f t="shared" si="10"/>
        <v>0.9800000000000012</v>
      </c>
      <c r="H102">
        <f t="shared" si="8"/>
        <v>95.499258602143883</v>
      </c>
      <c r="I102" t="str">
        <f t="shared" si="11"/>
        <v>600.039538495534j</v>
      </c>
      <c r="J102" t="str">
        <f t="shared" si="9"/>
        <v>10820.9986986605-103579.751107256j</v>
      </c>
      <c r="K102">
        <f t="shared" si="12"/>
        <v>100.35263948239222</v>
      </c>
      <c r="L102">
        <f t="shared" si="13"/>
        <v>-84.035932228875936</v>
      </c>
      <c r="M102">
        <f t="shared" si="14"/>
        <v>10820.9986986605</v>
      </c>
      <c r="N102">
        <f t="shared" si="15"/>
        <v>-103579.751107256</v>
      </c>
    </row>
    <row r="103" spans="7:14" x14ac:dyDescent="0.25">
      <c r="G103">
        <f t="shared" si="10"/>
        <v>1.0000000000000011</v>
      </c>
      <c r="H103">
        <f t="shared" si="8"/>
        <v>100.00000000000028</v>
      </c>
      <c r="I103" t="str">
        <f t="shared" si="11"/>
        <v>628.31853071796j</v>
      </c>
      <c r="J103" t="str">
        <f t="shared" si="9"/>
        <v>9876.10557297439-99012.383126156j</v>
      </c>
      <c r="K103">
        <f t="shared" si="12"/>
        <v>99.956785987849429</v>
      </c>
      <c r="L103">
        <f t="shared" si="13"/>
        <v>-84.303806862197177</v>
      </c>
      <c r="M103">
        <f t="shared" si="14"/>
        <v>9876.1055729743894</v>
      </c>
      <c r="N103">
        <f t="shared" si="15"/>
        <v>-99012.383126155997</v>
      </c>
    </row>
    <row r="104" spans="7:14" x14ac:dyDescent="0.25">
      <c r="G104">
        <f t="shared" si="10"/>
        <v>1.0200000000000011</v>
      </c>
      <c r="H104">
        <f t="shared" si="8"/>
        <v>104.71285480509023</v>
      </c>
      <c r="I104" t="str">
        <f t="shared" si="11"/>
        <v>657.930270784172j</v>
      </c>
      <c r="J104" t="str">
        <f t="shared" si="9"/>
        <v>9012.77751455665-94638.5384173214j</v>
      </c>
      <c r="K104">
        <f t="shared" si="12"/>
        <v>99.560571096224322</v>
      </c>
      <c r="L104">
        <f t="shared" si="13"/>
        <v>-84.55991793095707</v>
      </c>
      <c r="M104">
        <f t="shared" si="14"/>
        <v>9012.7775145566502</v>
      </c>
      <c r="N104">
        <f t="shared" si="15"/>
        <v>-94638.538417321397</v>
      </c>
    </row>
    <row r="105" spans="7:14" x14ac:dyDescent="0.25">
      <c r="G105">
        <f t="shared" si="10"/>
        <v>1.0400000000000011</v>
      </c>
      <c r="H105">
        <f t="shared" si="8"/>
        <v>109.64781961431882</v>
      </c>
      <c r="I105" t="str">
        <f t="shared" si="11"/>
        <v>688.937569164966j</v>
      </c>
      <c r="J105" t="str">
        <f t="shared" si="9"/>
        <v>8224.09926189191-90451.0302425565j</v>
      </c>
      <c r="K105">
        <f t="shared" si="12"/>
        <v>99.164026029900327</v>
      </c>
      <c r="L105">
        <f t="shared" si="13"/>
        <v>-84.804767978006041</v>
      </c>
      <c r="M105">
        <f t="shared" si="14"/>
        <v>8224.0992618919099</v>
      </c>
      <c r="N105">
        <f t="shared" si="15"/>
        <v>-90451.030242556502</v>
      </c>
    </row>
    <row r="106" spans="7:14" x14ac:dyDescent="0.25">
      <c r="G106">
        <f t="shared" si="10"/>
        <v>1.0600000000000012</v>
      </c>
      <c r="H106">
        <f t="shared" si="8"/>
        <v>114.81536214968858</v>
      </c>
      <c r="I106" t="str">
        <f t="shared" si="11"/>
        <v>721.406196497426j</v>
      </c>
      <c r="J106" t="str">
        <f t="shared" si="9"/>
        <v>7503.72083594687-86442.8049795116j</v>
      </c>
      <c r="K106">
        <f t="shared" si="12"/>
        <v>98.767179359724096</v>
      </c>
      <c r="L106">
        <f t="shared" si="13"/>
        <v>-85.038840823198413</v>
      </c>
      <c r="M106">
        <f t="shared" si="14"/>
        <v>7503.7208359468696</v>
      </c>
      <c r="N106">
        <f t="shared" si="15"/>
        <v>-86442.804979511595</v>
      </c>
    </row>
    <row r="107" spans="7:14" x14ac:dyDescent="0.25">
      <c r="G107">
        <f t="shared" si="10"/>
        <v>1.0800000000000012</v>
      </c>
      <c r="H107">
        <f t="shared" si="8"/>
        <v>120.22644346174164</v>
      </c>
      <c r="I107" t="str">
        <f t="shared" si="11"/>
        <v>755.405023093272j</v>
      </c>
      <c r="J107" t="str">
        <f t="shared" si="9"/>
        <v>6845.81487111053-82606.9594367614j</v>
      </c>
      <c r="K107">
        <f t="shared" si="12"/>
        <v>98.370057222489166</v>
      </c>
      <c r="L107">
        <f t="shared" si="13"/>
        <v>-85.262601941491454</v>
      </c>
      <c r="M107">
        <f t="shared" si="14"/>
        <v>6845.8148711105296</v>
      </c>
      <c r="N107">
        <f t="shared" si="15"/>
        <v>-82606.959436761405</v>
      </c>
    </row>
    <row r="108" spans="7:14" x14ac:dyDescent="0.25">
      <c r="G108">
        <f t="shared" si="10"/>
        <v>1.1000000000000012</v>
      </c>
      <c r="H108">
        <f t="shared" si="8"/>
        <v>125.89254117941708</v>
      </c>
      <c r="I108" t="str">
        <f t="shared" si="11"/>
        <v>791.006165022014j</v>
      </c>
      <c r="J108" t="str">
        <f t="shared" si="9"/>
        <v>6245.03655760892-78936.7546339081j</v>
      </c>
      <c r="K108">
        <f t="shared" si="12"/>
        <v>97.972683521876149</v>
      </c>
      <c r="L108">
        <f t="shared" si="13"/>
        <v>-85.476498882109013</v>
      </c>
      <c r="M108">
        <f t="shared" si="14"/>
        <v>6245.0365576089198</v>
      </c>
      <c r="N108">
        <f t="shared" si="15"/>
        <v>-78936.754633908102</v>
      </c>
    </row>
    <row r="109" spans="7:14" x14ac:dyDescent="0.25">
      <c r="G109">
        <f t="shared" si="10"/>
        <v>1.1200000000000012</v>
      </c>
      <c r="H109">
        <f t="shared" si="8"/>
        <v>131.8256738556411</v>
      </c>
      <c r="I109" t="str">
        <f t="shared" si="11"/>
        <v>828.285137078812j</v>
      </c>
      <c r="J109" t="str">
        <f t="shared" si="9"/>
        <v>5696.48614693271-75425.6265113361j</v>
      </c>
      <c r="K109">
        <f t="shared" si="12"/>
        <v>97.575080113884823</v>
      </c>
      <c r="L109">
        <f t="shared" si="13"/>
        <v>-85.680961720074819</v>
      </c>
      <c r="M109">
        <f t="shared" si="14"/>
        <v>5696.4861469327097</v>
      </c>
      <c r="N109">
        <f t="shared" si="15"/>
        <v>-75425.626511336101</v>
      </c>
    </row>
    <row r="110" spans="7:14" x14ac:dyDescent="0.25">
      <c r="G110">
        <f t="shared" si="10"/>
        <v>1.1400000000000012</v>
      </c>
      <c r="H110">
        <f t="shared" si="8"/>
        <v>138.03842646028889</v>
      </c>
      <c r="I110" t="str">
        <f t="shared" si="11"/>
        <v>867.321012961477j</v>
      </c>
      <c r="J110" t="str">
        <f t="shared" si="9"/>
        <v>5195.67394814917-72067.1939837515j</v>
      </c>
      <c r="K110">
        <f t="shared" si="12"/>
        <v>97.177266977769023</v>
      </c>
      <c r="L110">
        <f t="shared" si="13"/>
        <v>-85.876403532578962</v>
      </c>
      <c r="M110">
        <f t="shared" si="14"/>
        <v>5195.6739481491704</v>
      </c>
      <c r="N110">
        <f t="shared" si="15"/>
        <v>-72067.193983751495</v>
      </c>
    </row>
    <row r="111" spans="7:14" x14ac:dyDescent="0.25">
      <c r="G111">
        <f t="shared" si="10"/>
        <v>1.1600000000000013</v>
      </c>
      <c r="H111">
        <f t="shared" si="8"/>
        <v>144.54397707459319</v>
      </c>
      <c r="I111" t="str">
        <f t="shared" si="11"/>
        <v>908.196592996387j</v>
      </c>
      <c r="J111" t="str">
        <f t="shared" si="9"/>
        <v>4738.48772548467-68855.2647053258j</v>
      </c>
      <c r="K111">
        <f t="shared" si="12"/>
        <v>96.77926237345396</v>
      </c>
      <c r="L111">
        <f t="shared" si="13"/>
        <v>-86.063220893671271</v>
      </c>
      <c r="M111">
        <f t="shared" si="14"/>
        <v>4738.4877254846697</v>
      </c>
      <c r="N111">
        <f t="shared" si="15"/>
        <v>-68855.264705325797</v>
      </c>
    </row>
    <row r="112" spans="7:14" x14ac:dyDescent="0.25">
      <c r="G112">
        <f t="shared" si="10"/>
        <v>1.1800000000000013</v>
      </c>
      <c r="H112">
        <f t="shared" si="8"/>
        <v>151.35612484362133</v>
      </c>
      <c r="I112" t="str">
        <f t="shared" si="11"/>
        <v>950.998579769081j</v>
      </c>
      <c r="J112" t="str">
        <f t="shared" si="9"/>
        <v>4321.16239516345-65783.8388720543j</v>
      </c>
      <c r="K112">
        <f t="shared" si="12"/>
        <v>96.381082986375674</v>
      </c>
      <c r="L112">
        <f t="shared" si="13"/>
        <v>-86.241794381690923</v>
      </c>
      <c r="M112">
        <f t="shared" si="14"/>
        <v>4321.1623951634501</v>
      </c>
      <c r="N112">
        <f t="shared" si="15"/>
        <v>-65783.838872054301</v>
      </c>
    </row>
    <row r="113" spans="7:14" x14ac:dyDescent="0.25">
      <c r="G113">
        <f t="shared" si="10"/>
        <v>1.2000000000000013</v>
      </c>
      <c r="H113">
        <f t="shared" si="8"/>
        <v>158.48931924611185</v>
      </c>
      <c r="I113" t="str">
        <f t="shared" si="11"/>
        <v>995.817762032065j</v>
      </c>
      <c r="J113" t="str">
        <f t="shared" si="9"/>
        <v>3940.25191124279-62847.1113487186j</v>
      </c>
      <c r="K113">
        <f t="shared" si="12"/>
        <v>95.982744060641011</v>
      </c>
      <c r="L113">
        <f t="shared" si="13"/>
        <v>-86.412489094648478</v>
      </c>
      <c r="M113">
        <f t="shared" si="14"/>
        <v>3940.2519112427899</v>
      </c>
      <c r="N113">
        <f t="shared" si="15"/>
        <v>-62847.111348718601</v>
      </c>
    </row>
    <row r="114" spans="7:14" x14ac:dyDescent="0.25">
      <c r="G114">
        <f t="shared" si="10"/>
        <v>1.2200000000000013</v>
      </c>
      <c r="H114">
        <f t="shared" si="8"/>
        <v>165.95869074375662</v>
      </c>
      <c r="I114" t="str">
        <f t="shared" si="11"/>
        <v>1042.74920727993j</v>
      </c>
      <c r="J114" t="str">
        <f t="shared" si="9"/>
        <v>3592.60322528416-60039.4723733436j</v>
      </c>
      <c r="K114">
        <f t="shared" si="12"/>
        <v>95.58425952136065</v>
      </c>
      <c r="L114">
        <f t="shared" si="13"/>
        <v>-86.575655169489849</v>
      </c>
      <c r="M114">
        <f t="shared" si="14"/>
        <v>3592.6032252841601</v>
      </c>
      <c r="N114">
        <f t="shared" si="15"/>
        <v>-60039.472373343597</v>
      </c>
    </row>
    <row r="115" spans="7:14" x14ac:dyDescent="0.25">
      <c r="G115">
        <f t="shared" si="10"/>
        <v>1.2400000000000013</v>
      </c>
      <c r="H115">
        <f t="shared" si="8"/>
        <v>173.7800828749381</v>
      </c>
      <c r="I115" t="str">
        <f t="shared" si="11"/>
        <v>1091.89246340026j</v>
      </c>
      <c r="J115" t="str">
        <f t="shared" si="9"/>
        <v>3275.33220248247-57355.5070610817j</v>
      </c>
      <c r="K115">
        <f t="shared" si="12"/>
        <v>95.185642086960499</v>
      </c>
      <c r="L115">
        <f t="shared" si="13"/>
        <v>-86.731628301797855</v>
      </c>
      <c r="M115">
        <f t="shared" si="14"/>
        <v>3275.3322024824702</v>
      </c>
      <c r="N115">
        <f t="shared" si="15"/>
        <v>-57355.507061081698</v>
      </c>
    </row>
    <row r="116" spans="7:14" x14ac:dyDescent="0.25">
      <c r="G116">
        <f t="shared" si="10"/>
        <v>1.2600000000000013</v>
      </c>
      <c r="H116">
        <f t="shared" si="8"/>
        <v>181.97008586099898</v>
      </c>
      <c r="I116" t="str">
        <f t="shared" si="11"/>
        <v>1143.35176982804j</v>
      </c>
      <c r="J116" t="str">
        <f t="shared" si="9"/>
        <v>2985.80137677092-54789.9939017632j</v>
      </c>
      <c r="K116">
        <f t="shared" si="12"/>
        <v>94.786903372231862</v>
      </c>
      <c r="L116">
        <f t="shared" si="13"/>
        <v>-86.880730263034479</v>
      </c>
      <c r="M116">
        <f t="shared" si="14"/>
        <v>2985.8013767709199</v>
      </c>
      <c r="N116">
        <f t="shared" si="15"/>
        <v>-54789.993901763199</v>
      </c>
    </row>
    <row r="117" spans="7:14" x14ac:dyDescent="0.25">
      <c r="G117">
        <f t="shared" si="10"/>
        <v>1.2800000000000014</v>
      </c>
      <c r="H117">
        <f t="shared" si="8"/>
        <v>190.54607179632535</v>
      </c>
      <c r="I117" t="str">
        <f t="shared" si="11"/>
        <v>1197.23627865146j</v>
      </c>
      <c r="J117" t="str">
        <f t="shared" si="9"/>
        <v>2721.59942895259-52337.9024206351j</v>
      </c>
      <c r="K117">
        <f t="shared" si="12"/>
        <v>94.388053982831096</v>
      </c>
      <c r="L117">
        <f t="shared" si="13"/>
        <v>-87.023269412908888</v>
      </c>
      <c r="M117">
        <f t="shared" si="14"/>
        <v>2721.5994289525902</v>
      </c>
      <c r="N117">
        <f t="shared" si="15"/>
        <v>-52337.902420635102</v>
      </c>
    </row>
    <row r="118" spans="7:14" x14ac:dyDescent="0.25">
      <c r="G118">
        <f t="shared" si="10"/>
        <v>1.3000000000000014</v>
      </c>
      <c r="H118">
        <f t="shared" si="8"/>
        <v>199.52623149688867</v>
      </c>
      <c r="I118" t="str">
        <f t="shared" si="11"/>
        <v>1253.66028613816j</v>
      </c>
      <c r="J118" t="str">
        <f t="shared" si="9"/>
        <v>2480.52227470148-49994.3901498815j</v>
      </c>
      <c r="K118">
        <f t="shared" si="12"/>
        <v>93.989103601896403</v>
      </c>
      <c r="L118">
        <f t="shared" si="13"/>
        <v>-87.159541204872184</v>
      </c>
      <c r="M118">
        <f t="shared" si="14"/>
        <v>2480.52227470148</v>
      </c>
      <c r="N118">
        <f t="shared" si="15"/>
        <v>-49994.390149881503</v>
      </c>
    </row>
    <row r="119" spans="7:14" x14ac:dyDescent="0.25">
      <c r="G119">
        <f t="shared" si="10"/>
        <v>1.3200000000000014</v>
      </c>
      <c r="H119">
        <f t="shared" si="8"/>
        <v>208.92961308540464</v>
      </c>
      <c r="I119" t="str">
        <f t="shared" si="11"/>
        <v>1312.74347517293j</v>
      </c>
      <c r="J119" t="str">
        <f t="shared" si="9"/>
        <v>2260.55565299158-47754.7990390412j</v>
      </c>
      <c r="K119">
        <f t="shared" si="12"/>
        <v>93.590061069402623</v>
      </c>
      <c r="L119">
        <f t="shared" si="13"/>
        <v>-87.289828683105483</v>
      </c>
      <c r="M119">
        <f t="shared" si="14"/>
        <v>2260.5556529915798</v>
      </c>
      <c r="N119">
        <f t="shared" si="15"/>
        <v>-47754.799039041201</v>
      </c>
    </row>
    <row r="120" spans="7:14" x14ac:dyDescent="0.25">
      <c r="G120">
        <f t="shared" si="10"/>
        <v>1.3400000000000014</v>
      </c>
      <c r="H120">
        <f t="shared" si="8"/>
        <v>218.77616239495606</v>
      </c>
      <c r="I120" t="str">
        <f t="shared" si="11"/>
        <v>1374.61116912112j</v>
      </c>
      <c r="J120" t="str">
        <f t="shared" si="9"/>
        <v>2059.85910990074-45614.6514152521j</v>
      </c>
      <c r="K120">
        <f t="shared" si="12"/>
        <v>93.190934454834149</v>
      </c>
      <c r="L120">
        <f t="shared" si="13"/>
        <v>-87.414402969681845</v>
      </c>
      <c r="M120">
        <f t="shared" si="14"/>
        <v>2059.8591099007399</v>
      </c>
      <c r="N120">
        <f t="shared" si="15"/>
        <v>-45614.651415252098</v>
      </c>
    </row>
    <row r="121" spans="7:14" x14ac:dyDescent="0.25">
      <c r="G121">
        <f t="shared" si="10"/>
        <v>1.3600000000000014</v>
      </c>
      <c r="H121">
        <f t="shared" si="8"/>
        <v>229.0867652767781</v>
      </c>
      <c r="I121" t="str">
        <f t="shared" si="11"/>
        <v>1439.39459765635j</v>
      </c>
      <c r="J121" t="str">
        <f t="shared" si="9"/>
        <v>1876.75127757466-43569.6455890646j</v>
      </c>
      <c r="K121">
        <f t="shared" si="12"/>
        <v>92.791731123712481</v>
      </c>
      <c r="L121">
        <f t="shared" si="13"/>
        <v>-87.533523740856722</v>
      </c>
      <c r="M121">
        <f t="shared" si="14"/>
        <v>1876.75127757466</v>
      </c>
      <c r="N121">
        <f t="shared" si="15"/>
        <v>-43569.645589064603</v>
      </c>
    </row>
    <row r="122" spans="7:14" x14ac:dyDescent="0.25">
      <c r="G122">
        <f t="shared" si="10"/>
        <v>1.3800000000000014</v>
      </c>
      <c r="H122">
        <f t="shared" si="8"/>
        <v>239.88329190194992</v>
      </c>
      <c r="I122" t="str">
        <f t="shared" si="11"/>
        <v>1507.2311751162j</v>
      </c>
      <c r="J122" t="str">
        <f t="shared" si="9"/>
        <v>1709.69635326183-41615.6511882281j</v>
      </c>
      <c r="K122">
        <f t="shared" si="12"/>
        <v>92.392457798478262</v>
      </c>
      <c r="L122">
        <f t="shared" si="13"/>
        <v>-87.647439691675572</v>
      </c>
      <c r="M122">
        <f t="shared" si="14"/>
        <v>1709.6963532618299</v>
      </c>
      <c r="N122">
        <f t="shared" si="15"/>
        <v>-41615.651188228097</v>
      </c>
    </row>
    <row r="123" spans="7:14" x14ac:dyDescent="0.25">
      <c r="G123">
        <f t="shared" si="10"/>
        <v>1.4000000000000015</v>
      </c>
      <c r="H123">
        <f t="shared" si="8"/>
        <v>251.18864315095888</v>
      </c>
      <c r="I123" t="str">
        <f t="shared" si="11"/>
        <v>1578.26479197648j</v>
      </c>
      <c r="J123" t="str">
        <f t="shared" si="9"/>
        <v>1557.29168859859-39748.7042901202j</v>
      </c>
      <c r="K123">
        <f t="shared" si="12"/>
        <v>91.993120614188797</v>
      </c>
      <c r="L123">
        <f t="shared" si="13"/>
        <v>-87.756388988290539</v>
      </c>
      <c r="M123">
        <f t="shared" si="14"/>
        <v>1557.2916885985901</v>
      </c>
      <c r="N123">
        <f t="shared" si="15"/>
        <v>-39748.7042901202</v>
      </c>
    </row>
    <row r="124" spans="7:14" x14ac:dyDescent="0.25">
      <c r="G124">
        <f t="shared" si="10"/>
        <v>1.4200000000000015</v>
      </c>
      <c r="H124">
        <f t="shared" si="8"/>
        <v>263.02679918953919</v>
      </c>
      <c r="I124" t="str">
        <f t="shared" si="11"/>
        <v>1652.64612006219j</v>
      </c>
      <c r="J124" t="str">
        <f t="shared" si="9"/>
        <v>1418.25640463338-37965.0024132219j</v>
      </c>
      <c r="K124">
        <f t="shared" si="12"/>
        <v>91.593725169459248</v>
      </c>
      <c r="L124">
        <f t="shared" si="13"/>
        <v>-87.860599707550293</v>
      </c>
      <c r="M124">
        <f t="shared" si="14"/>
        <v>1418.25640463338</v>
      </c>
      <c r="N124">
        <f t="shared" si="15"/>
        <v>-37965.002413221897</v>
      </c>
    </row>
    <row r="125" spans="7:14" x14ac:dyDescent="0.25">
      <c r="G125">
        <f t="shared" si="10"/>
        <v>1.4400000000000015</v>
      </c>
      <c r="H125">
        <f t="shared" si="8"/>
        <v>275.42287033381763</v>
      </c>
      <c r="I125" t="str">
        <f t="shared" si="11"/>
        <v>1730.53293214267j</v>
      </c>
      <c r="J125" t="str">
        <f t="shared" si="9"/>
        <v>1291.42095334182-36260.8994190409j</v>
      </c>
      <c r="K125">
        <f t="shared" si="12"/>
        <v>91.194276573039616</v>
      </c>
      <c r="L125">
        <f t="shared" si="13"/>
        <v>-87.960290263576326</v>
      </c>
      <c r="M125">
        <f t="shared" si="14"/>
        <v>1291.42095334182</v>
      </c>
      <c r="N125">
        <f t="shared" si="15"/>
        <v>-36260.899419040899</v>
      </c>
    </row>
    <row r="126" spans="7:14" x14ac:dyDescent="0.25">
      <c r="G126">
        <f t="shared" si="10"/>
        <v>1.4600000000000015</v>
      </c>
      <c r="H126">
        <f t="shared" si="8"/>
        <v>288.40315031266169</v>
      </c>
      <c r="I126" t="str">
        <f t="shared" si="11"/>
        <v>1812.09043658882j</v>
      </c>
      <c r="J126" t="str">
        <f t="shared" si="9"/>
        <v>1175.71755154139-34632.9003680584j</v>
      </c>
      <c r="K126">
        <f t="shared" si="12"/>
        <v>90.794779486393452</v>
      </c>
      <c r="L126">
        <f t="shared" si="13"/>
        <v>-88.055669821163534</v>
      </c>
      <c r="M126">
        <f t="shared" si="14"/>
        <v>1175.7175515413901</v>
      </c>
      <c r="N126">
        <f t="shared" si="15"/>
        <v>-34632.900368058399</v>
      </c>
    </row>
    <row r="127" spans="7:14" x14ac:dyDescent="0.25">
      <c r="G127">
        <f t="shared" si="10"/>
        <v>1.4800000000000015</v>
      </c>
      <c r="H127">
        <f t="shared" si="8"/>
        <v>301.99517204020287</v>
      </c>
      <c r="I127" t="str">
        <f t="shared" si="11"/>
        <v>1897.49162780217j</v>
      </c>
      <c r="J127" t="str">
        <f t="shared" si="9"/>
        <v>1070.17141811241-33077.6563664178j</v>
      </c>
      <c r="K127">
        <f t="shared" si="12"/>
        <v>90.395238162610923</v>
      </c>
      <c r="L127">
        <f t="shared" si="13"/>
        <v>-88.146938695950027</v>
      </c>
      <c r="M127">
        <f t="shared" si="14"/>
        <v>1070.17141811241</v>
      </c>
      <c r="N127">
        <f t="shared" si="15"/>
        <v>-33077.656366417803</v>
      </c>
    </row>
    <row r="128" spans="7:14" x14ac:dyDescent="0.25">
      <c r="G128">
        <f t="shared" si="10"/>
        <v>1.5000000000000016</v>
      </c>
      <c r="H128">
        <f t="shared" si="8"/>
        <v>316.22776601683915</v>
      </c>
      <c r="I128" t="str">
        <f t="shared" si="11"/>
        <v>1986.91765315923j</v>
      </c>
      <c r="J128" t="str">
        <f t="shared" si="9"/>
        <v>973.892750241951-31591.9594341465j</v>
      </c>
      <c r="K128">
        <f t="shared" si="12"/>
        <v>89.995656481966222</v>
      </c>
      <c r="L128">
        <f t="shared" si="13"/>
        <v>-88.234288741390614</v>
      </c>
      <c r="M128">
        <f t="shared" si="14"/>
        <v>973.89275024195103</v>
      </c>
      <c r="N128">
        <f t="shared" si="15"/>
        <v>-31591.959434146502</v>
      </c>
    </row>
    <row r="129" spans="7:14" x14ac:dyDescent="0.25">
      <c r="G129">
        <f t="shared" si="10"/>
        <v>1.5200000000000016</v>
      </c>
      <c r="H129">
        <f t="shared" si="8"/>
        <v>331.13112148259245</v>
      </c>
      <c r="I129" t="str">
        <f t="shared" si="11"/>
        <v>2080.55819724932j</v>
      </c>
      <c r="J129" t="str">
        <f t="shared" si="9"/>
        <v>886.069379001685-30172.7374205271j</v>
      </c>
      <c r="K129">
        <f t="shared" si="12"/>
        <v>89.59603798440159</v>
      </c>
      <c r="L129">
        <f t="shared" si="13"/>
        <v>-88.31790372264355</v>
      </c>
      <c r="M129">
        <f t="shared" si="14"/>
        <v>886.06937900168498</v>
      </c>
      <c r="N129">
        <f t="shared" si="15"/>
        <v>-30172.737420527101</v>
      </c>
    </row>
    <row r="130" spans="7:14" x14ac:dyDescent="0.25">
      <c r="G130">
        <f t="shared" si="10"/>
        <v>1.5400000000000016</v>
      </c>
      <c r="H130">
        <f t="shared" si="8"/>
        <v>346.73685045253302</v>
      </c>
      <c r="I130" t="str">
        <f t="shared" si="11"/>
        <v>2178.61188422108j</v>
      </c>
      <c r="J130" t="str">
        <f t="shared" si="9"/>
        <v>805.960048936273-28817.0489877731j</v>
      </c>
      <c r="K130">
        <f t="shared" si="12"/>
        <v>89.196385899198575</v>
      </c>
      <c r="L130">
        <f t="shared" si="13"/>
        <v>-88.397959677542275</v>
      </c>
      <c r="M130">
        <f t="shared" si="14"/>
        <v>805.96004893627298</v>
      </c>
      <c r="N130">
        <f t="shared" si="15"/>
        <v>-28817.048987773102</v>
      </c>
    </row>
    <row r="131" spans="7:14" x14ac:dyDescent="0.25">
      <c r="G131">
        <f t="shared" si="10"/>
        <v>1.5600000000000016</v>
      </c>
      <c r="H131">
        <f t="shared" ref="H131:H194" si="16">$B$3*10^G131</f>
        <v>363.07805477010282</v>
      </c>
      <c r="I131" t="str">
        <f t="shared" si="11"/>
        <v>2281.28669909086j</v>
      </c>
      <c r="J131" t="str">
        <f t="shared" ref="J131:J194" si="17">IMDIV(Aolv,IMPRODUCT(IMSUM(1,IMDIV(I131,wc)),IMSUM(1,(IMPRODUCT(I131,R_O,C_L)))))</f>
        <v>732.888270466912-27522.0786802967j</v>
      </c>
      <c r="K131">
        <f t="shared" si="12"/>
        <v>88.796703172076036</v>
      </c>
      <c r="L131">
        <f t="shared" si="13"/>
        <v>-88.474625264875598</v>
      </c>
      <c r="M131">
        <f t="shared" si="14"/>
        <v>732.88827046691199</v>
      </c>
      <c r="N131">
        <f t="shared" si="15"/>
        <v>-27522.078680296701</v>
      </c>
    </row>
    <row r="132" spans="7:14" x14ac:dyDescent="0.25">
      <c r="G132">
        <f t="shared" ref="G132:G195" si="18">G131+(1/ppd)</f>
        <v>1.5800000000000016</v>
      </c>
      <c r="H132">
        <f t="shared" si="16"/>
        <v>380.18939632056276</v>
      </c>
      <c r="I132" t="str">
        <f t="shared" ref="I132:I195" si="19">COMPLEX(0,H132*2*PI(),"j")</f>
        <v>2388.80042890684j</v>
      </c>
      <c r="J132" t="str">
        <f t="shared" si="17"/>
        <v>666.236697801248-26285.1320935219j</v>
      </c>
      <c r="K132">
        <f t="shared" ref="K132:K195" si="20">20*LOG(IMABS(J132))</f>
        <v>88.396992489933638</v>
      </c>
      <c r="L132">
        <f t="shared" ref="L132:L195" si="21">DEGREES(IMARGUMENT(J132))</f>
        <v>-88.548062100241808</v>
      </c>
      <c r="M132">
        <f t="shared" ref="M132:M195" si="22">IMREAL(J132)</f>
        <v>666.23669780124806</v>
      </c>
      <c r="N132">
        <f t="shared" ref="N132:N195" si="23">IMAGINARY(J132)</f>
        <v>-26285.132093521901</v>
      </c>
    </row>
    <row r="133" spans="7:14" x14ac:dyDescent="0.25">
      <c r="G133">
        <f t="shared" si="18"/>
        <v>1.6000000000000016</v>
      </c>
      <c r="H133">
        <f t="shared" si="16"/>
        <v>398.10717055349897</v>
      </c>
      <c r="I133" t="str">
        <f t="shared" si="19"/>
        <v>2501.38112470458j</v>
      </c>
      <c r="J133" t="str">
        <f t="shared" si="17"/>
        <v>605.441988688493-25103.6311533305j</v>
      </c>
      <c r="K133">
        <f t="shared" si="20"/>
        <v>87.997256303442498</v>
      </c>
      <c r="L133">
        <f t="shared" si="21"/>
        <v>-88.618425079775776</v>
      </c>
      <c r="M133">
        <f t="shared" si="22"/>
        <v>605.44198868849298</v>
      </c>
      <c r="N133">
        <f t="shared" si="23"/>
        <v>-25103.631153330502</v>
      </c>
    </row>
    <row r="134" spans="7:14" x14ac:dyDescent="0.25">
      <c r="G134">
        <f t="shared" si="18"/>
        <v>1.6200000000000017</v>
      </c>
      <c r="H134">
        <f t="shared" si="16"/>
        <v>416.86938347033708</v>
      </c>
      <c r="I134" t="str">
        <f t="shared" si="19"/>
        <v>2619.26758523383j</v>
      </c>
      <c r="J134" t="str">
        <f t="shared" si="17"/>
        <v>549.990105770377-23975.1095147654j</v>
      </c>
      <c r="K134">
        <f t="shared" si="20"/>
        <v>87.597496847667202</v>
      </c>
      <c r="L134">
        <f t="shared" si="21"/>
        <v>-88.685862692075602</v>
      </c>
      <c r="M134">
        <f t="shared" si="22"/>
        <v>549.990105770377</v>
      </c>
      <c r="N134">
        <f t="shared" si="23"/>
        <v>-23975.109514765401</v>
      </c>
    </row>
    <row r="135" spans="7:14" x14ac:dyDescent="0.25">
      <c r="G135">
        <f t="shared" si="18"/>
        <v>1.6400000000000017</v>
      </c>
      <c r="H135">
        <f t="shared" si="16"/>
        <v>436.51583224016781</v>
      </c>
      <c r="I135" t="str">
        <f t="shared" si="19"/>
        <v>2742.70986348269j</v>
      </c>
      <c r="J135" t="str">
        <f t="shared" si="17"/>
        <v>499.412022461561-22897.2080865073j</v>
      </c>
      <c r="K135">
        <f t="shared" si="20"/>
        <v>87.19771616088785</v>
      </c>
      <c r="L135">
        <f t="shared" si="21"/>
        <v>-88.750517318675591</v>
      </c>
      <c r="M135">
        <f t="shared" si="22"/>
        <v>499.41202246156098</v>
      </c>
      <c r="N135">
        <f t="shared" si="23"/>
        <v>-22897.2080865073</v>
      </c>
    </row>
    <row r="136" spans="7:14" x14ac:dyDescent="0.25">
      <c r="G136">
        <f t="shared" si="18"/>
        <v>1.6600000000000017</v>
      </c>
      <c r="H136">
        <f t="shared" si="16"/>
        <v>457.08818961487691</v>
      </c>
      <c r="I136" t="str">
        <f t="shared" si="19"/>
        <v>2871.96979707351j</v>
      </c>
      <c r="J136" t="str">
        <f t="shared" si="17"/>
        <v>453.279799255881-21867.6706858468j</v>
      </c>
      <c r="K136">
        <f t="shared" si="20"/>
        <v>86.797916101777275</v>
      </c>
      <c r="L136">
        <f t="shared" si="21"/>
        <v>-88.81252552342896</v>
      </c>
      <c r="M136">
        <f t="shared" si="22"/>
        <v>453.27979925588102</v>
      </c>
      <c r="N136">
        <f t="shared" si="23"/>
        <v>-21867.670685846799</v>
      </c>
    </row>
    <row r="137" spans="7:14" x14ac:dyDescent="0.25">
      <c r="G137">
        <f t="shared" si="18"/>
        <v>1.6800000000000017</v>
      </c>
      <c r="H137">
        <f t="shared" si="16"/>
        <v>478.63009232264039</v>
      </c>
      <c r="I137" t="str">
        <f t="shared" si="19"/>
        <v>3007.32156365562j</v>
      </c>
      <c r="J137" t="str">
        <f t="shared" si="17"/>
        <v>411.202999106263-20884.3398273399j</v>
      </c>
      <c r="K137">
        <f t="shared" si="20"/>
        <v>86.39809836507456</v>
      </c>
      <c r="L137">
        <f t="shared" si="21"/>
        <v>-88.8720183311748</v>
      </c>
      <c r="M137">
        <f t="shared" si="22"/>
        <v>411.20299910626301</v>
      </c>
      <c r="N137">
        <f t="shared" si="23"/>
        <v>-20884.3398273399</v>
      </c>
    </row>
    <row r="138" spans="7:14" x14ac:dyDescent="0.25">
      <c r="G138">
        <f t="shared" si="18"/>
        <v>1.7000000000000017</v>
      </c>
      <c r="H138">
        <f t="shared" si="16"/>
        <v>501.1872336272744</v>
      </c>
      <c r="I138" t="str">
        <f t="shared" si="19"/>
        <v>3149.05226247287j</v>
      </c>
      <c r="J138" t="str">
        <f t="shared" si="17"/>
        <v>372.825413077456-19945.1526470449j</v>
      </c>
      <c r="K138">
        <f t="shared" si="20"/>
        <v>85.998264495884598</v>
      </c>
      <c r="L138">
        <f t="shared" si="21"/>
        <v>-88.929121496071545</v>
      </c>
      <c r="M138">
        <f t="shared" si="22"/>
        <v>372.82541307745601</v>
      </c>
      <c r="N138">
        <f t="shared" si="23"/>
        <v>-19945.152647044899</v>
      </c>
    </row>
    <row r="139" spans="7:14" x14ac:dyDescent="0.25">
      <c r="G139">
        <f t="shared" si="18"/>
        <v>1.7200000000000017</v>
      </c>
      <c r="H139">
        <f t="shared" si="16"/>
        <v>524.80746024977498</v>
      </c>
      <c r="I139" t="str">
        <f t="shared" si="19"/>
        <v>3297.46252333962j</v>
      </c>
      <c r="J139" t="str">
        <f t="shared" si="17"/>
        <v>337.822069831718-19048.1369631439j</v>
      </c>
      <c r="K139">
        <f t="shared" si="20"/>
        <v>85.598415902721939</v>
      </c>
      <c r="L139">
        <f t="shared" si="21"/>
        <v>-88.98395575998444</v>
      </c>
      <c r="M139">
        <f t="shared" si="22"/>
        <v>337.82206983171801</v>
      </c>
      <c r="N139">
        <f t="shared" si="23"/>
        <v>-19048.136963143901</v>
      </c>
    </row>
    <row r="140" spans="7:14" x14ac:dyDescent="0.25">
      <c r="G140">
        <f t="shared" si="18"/>
        <v>1.7400000000000018</v>
      </c>
      <c r="H140">
        <f t="shared" si="16"/>
        <v>549.54087385762716</v>
      </c>
      <c r="I140" t="str">
        <f t="shared" si="19"/>
        <v>3452.86714431687j</v>
      </c>
      <c r="J140" t="str">
        <f t="shared" si="17"/>
        <v>305.896504690025-18191.4074728371j</v>
      </c>
      <c r="K140">
        <f t="shared" si="20"/>
        <v>85.198553869407405</v>
      </c>
      <c r="L140">
        <f t="shared" si="21"/>
        <v>-89.036637101316344</v>
      </c>
      <c r="M140">
        <f t="shared" si="22"/>
        <v>305.89650469002498</v>
      </c>
      <c r="N140">
        <f t="shared" si="23"/>
        <v>-18191.407472837102</v>
      </c>
    </row>
    <row r="141" spans="7:14" x14ac:dyDescent="0.25">
      <c r="G141">
        <f t="shared" si="18"/>
        <v>1.7600000000000018</v>
      </c>
      <c r="H141">
        <f t="shared" si="16"/>
        <v>575.43993733715956</v>
      </c>
      <c r="I141" t="str">
        <f t="shared" si="19"/>
        <v>3615.59575944118j</v>
      </c>
      <c r="J141" t="str">
        <f t="shared" si="17"/>
        <v>276.778266025718-17373.1620846359j</v>
      </c>
      <c r="K141">
        <f t="shared" si="20"/>
        <v>84.798679565916359</v>
      </c>
      <c r="L141">
        <f t="shared" si="21"/>
        <v>-89.087276974671539</v>
      </c>
      <c r="M141">
        <f t="shared" si="22"/>
        <v>276.77826602571798</v>
      </c>
      <c r="N141">
        <f t="shared" si="23"/>
        <v>-17373.1620846359</v>
      </c>
    </row>
    <row r="142" spans="7:14" x14ac:dyDescent="0.25">
      <c r="G142">
        <f t="shared" si="18"/>
        <v>1.7800000000000018</v>
      </c>
      <c r="H142">
        <f t="shared" si="16"/>
        <v>602.55958607436037</v>
      </c>
      <c r="I142" t="str">
        <f t="shared" si="19"/>
        <v>3785.99353792263j</v>
      </c>
      <c r="J142" t="str">
        <f t="shared" si="17"/>
        <v>250.220638604647-16591.6783845465j</v>
      </c>
      <c r="K142">
        <f t="shared" si="20"/>
        <v>84.398794058268805</v>
      </c>
      <c r="L142">
        <f t="shared" si="21"/>
        <v>-89.135982541740105</v>
      </c>
      <c r="M142">
        <f t="shared" si="22"/>
        <v>250.22063860464701</v>
      </c>
      <c r="N142">
        <f t="shared" si="23"/>
        <v>-16591.6783845465</v>
      </c>
    </row>
    <row r="143" spans="7:14" x14ac:dyDescent="0.25">
      <c r="G143">
        <f t="shared" si="18"/>
        <v>1.8000000000000018</v>
      </c>
      <c r="H143">
        <f t="shared" si="16"/>
        <v>630.95734448019641</v>
      </c>
      <c r="I143" t="str">
        <f t="shared" si="19"/>
        <v>3964.42191629502j</v>
      </c>
      <c r="J143" t="str">
        <f t="shared" si="17"/>
        <v>225.998565196403-15845.3102341204j</v>
      </c>
      <c r="K143">
        <f t="shared" si="20"/>
        <v>83.998898317544217</v>
      </c>
      <c r="L143">
        <f t="shared" si="21"/>
        <v>-89.182856893787744</v>
      </c>
      <c r="M143">
        <f t="shared" si="22"/>
        <v>225.99856519640301</v>
      </c>
      <c r="N143">
        <f t="shared" si="23"/>
        <v>-15845.310234120399</v>
      </c>
    </row>
    <row r="144" spans="7:14" x14ac:dyDescent="0.25">
      <c r="G144">
        <f t="shared" si="18"/>
        <v>1.8200000000000018</v>
      </c>
      <c r="H144">
        <f t="shared" si="16"/>
        <v>660.69344800759927</v>
      </c>
      <c r="I144" t="str">
        <f t="shared" si="19"/>
        <v>4151.25936507117j</v>
      </c>
      <c r="J144" t="str">
        <f t="shared" si="17"/>
        <v>203.906749355118-15132.4844979249j</v>
      </c>
      <c r="K144">
        <f t="shared" si="20"/>
        <v>83.59899322809602</v>
      </c>
      <c r="L144">
        <f t="shared" si="21"/>
        <v>-89.227999266131206</v>
      </c>
      <c r="M144">
        <f t="shared" si="22"/>
        <v>203.906749355118</v>
      </c>
      <c r="N144">
        <f t="shared" si="23"/>
        <v>-15132.484497924899</v>
      </c>
    </row>
    <row r="145" spans="7:14" x14ac:dyDescent="0.25">
      <c r="G145">
        <f t="shared" si="18"/>
        <v>1.8400000000000019</v>
      </c>
      <c r="H145">
        <f t="shared" si="16"/>
        <v>691.83097091893967</v>
      </c>
      <c r="I145" t="str">
        <f t="shared" si="19"/>
        <v>4346.90219152967j</v>
      </c>
      <c r="J145" t="str">
        <f t="shared" si="17"/>
        <v>183.757923715328-14451.6978976529j</v>
      </c>
      <c r="K145">
        <f t="shared" si="20"/>
        <v>83.199079595035158</v>
      </c>
      <c r="L145">
        <f t="shared" si="21"/>
        <v>-89.27150524497462</v>
      </c>
      <c r="M145">
        <f t="shared" si="22"/>
        <v>183.75792371532799</v>
      </c>
      <c r="N145">
        <f t="shared" si="23"/>
        <v>-14451.697897652901</v>
      </c>
    </row>
    <row r="146" spans="7:14" x14ac:dyDescent="0.25">
      <c r="G146">
        <f t="shared" si="18"/>
        <v>1.8600000000000019</v>
      </c>
      <c r="H146">
        <f t="shared" si="16"/>
        <v>724.4359600749932</v>
      </c>
      <c r="I146" t="str">
        <f t="shared" si="19"/>
        <v>4551.76538033573j</v>
      </c>
      <c r="J146" t="str">
        <f t="shared" si="17"/>
        <v>165.3812694778-13801.5139898235j</v>
      </c>
      <c r="K146">
        <f t="shared" si="20"/>
        <v>82.799158151044296</v>
      </c>
      <c r="L146">
        <f t="shared" si="21"/>
        <v>-89.313466966975554</v>
      </c>
      <c r="M146">
        <f t="shared" si="22"/>
        <v>165.3812694778</v>
      </c>
      <c r="N146">
        <f t="shared" si="23"/>
        <v>-13801.513989823499</v>
      </c>
    </row>
    <row r="147" spans="7:14" x14ac:dyDescent="0.25">
      <c r="G147">
        <f t="shared" si="18"/>
        <v>1.8800000000000019</v>
      </c>
      <c r="H147">
        <f t="shared" si="16"/>
        <v>758.57757502918776</v>
      </c>
      <c r="I147" t="str">
        <f t="shared" si="19"/>
        <v>4766.28347377931j</v>
      </c>
      <c r="J147" t="str">
        <f t="shared" si="17"/>
        <v>148.620973980644-13180.5602638261j</v>
      </c>
      <c r="K147">
        <f t="shared" si="20"/>
        <v>82.399229562581141</v>
      </c>
      <c r="L147">
        <f t="shared" si="21"/>
        <v>-89.353973311903687</v>
      </c>
      <c r="M147">
        <f t="shared" si="22"/>
        <v>148.62097398064401</v>
      </c>
      <c r="N147">
        <f t="shared" si="23"/>
        <v>-13180.560263826101</v>
      </c>
    </row>
    <row r="148" spans="7:14" x14ac:dyDescent="0.25">
      <c r="G148">
        <f t="shared" si="18"/>
        <v>1.9000000000000019</v>
      </c>
      <c r="H148">
        <f t="shared" si="16"/>
        <v>794.32823472428538</v>
      </c>
      <c r="I148" t="str">
        <f t="shared" si="19"/>
        <v>4990.91149349753j</v>
      </c>
      <c r="J148" t="str">
        <f t="shared" si="17"/>
        <v>133.334914370844-12587.5253569069j</v>
      </c>
      <c r="K148">
        <f t="shared" si="20"/>
        <v>81.99929443552243</v>
      </c>
      <c r="L148">
        <f t="shared" si="21"/>
        <v>-89.393110088747761</v>
      </c>
      <c r="M148">
        <f t="shared" si="22"/>
        <v>133.33491437084399</v>
      </c>
      <c r="N148">
        <f t="shared" si="23"/>
        <v>-12587.525356906899</v>
      </c>
    </row>
    <row r="149" spans="7:14" x14ac:dyDescent="0.25">
      <c r="G149">
        <f t="shared" si="18"/>
        <v>1.9200000000000019</v>
      </c>
      <c r="H149">
        <f t="shared" si="16"/>
        <v>831.76377110267492</v>
      </c>
      <c r="I149" t="str">
        <f t="shared" si="19"/>
        <v>5226.12590563661j</v>
      </c>
      <c r="J149" t="str">
        <f t="shared" si="17"/>
        <v>119.393456418089-12021.1563825919j</v>
      </c>
      <c r="K149">
        <f t="shared" si="20"/>
        <v>81.599353320295393</v>
      </c>
      <c r="L149">
        <f t="shared" si="21"/>
        <v>-89.430960215619493</v>
      </c>
      <c r="M149">
        <f t="shared" si="22"/>
        <v>119.393456418089</v>
      </c>
      <c r="N149">
        <f t="shared" si="23"/>
        <v>-12021.1563825919</v>
      </c>
    </row>
    <row r="150" spans="7:14" x14ac:dyDescent="0.25">
      <c r="G150">
        <f t="shared" si="18"/>
        <v>1.9400000000000019</v>
      </c>
      <c r="H150">
        <f t="shared" si="16"/>
        <v>870.96358995608455</v>
      </c>
      <c r="I150" t="str">
        <f t="shared" si="19"/>
        <v>5472.42563150046j</v>
      </c>
      <c r="J150" t="str">
        <f t="shared" si="17"/>
        <v>106.678358454011-11480.2563689735j</v>
      </c>
      <c r="K150">
        <f t="shared" si="20"/>
        <v>81.199406716540764</v>
      </c>
      <c r="L150">
        <f t="shared" si="21"/>
        <v>-89.467603893795825</v>
      </c>
      <c r="M150">
        <f t="shared" si="22"/>
        <v>106.678358454011</v>
      </c>
      <c r="N150">
        <f t="shared" si="23"/>
        <v>-11480.2563689735</v>
      </c>
    </row>
    <row r="151" spans="7:14" x14ac:dyDescent="0.25">
      <c r="G151">
        <f t="shared" si="18"/>
        <v>1.960000000000002</v>
      </c>
      <c r="H151">
        <f t="shared" si="16"/>
        <v>912.01083935591453</v>
      </c>
      <c r="I151" t="str">
        <f t="shared" si="19"/>
        <v>5730.3331058296j</v>
      </c>
      <c r="J151" t="str">
        <f t="shared" si="17"/>
        <v>95.0817712820417-10963.6818032522j</v>
      </c>
      <c r="K151">
        <f t="shared" si="20"/>
        <v>80.799455077346622</v>
      </c>
      <c r="L151">
        <f t="shared" si="21"/>
        <v>-89.503118776233549</v>
      </c>
      <c r="M151">
        <f t="shared" si="22"/>
        <v>95.0817712820417</v>
      </c>
      <c r="N151">
        <f t="shared" si="23"/>
        <v>-10963.681803252201</v>
      </c>
    </row>
    <row r="152" spans="7:14" x14ac:dyDescent="0.25">
      <c r="G152">
        <f t="shared" si="18"/>
        <v>1.980000000000002</v>
      </c>
      <c r="H152">
        <f t="shared" si="16"/>
        <v>954.99258602144084</v>
      </c>
      <c r="I152" t="str">
        <f t="shared" si="19"/>
        <v>6000.39538495535j</v>
      </c>
      <c r="J152" t="str">
        <f t="shared" si="17"/>
        <v>84.5053256926836-10470.3402789127j</v>
      </c>
      <c r="K152">
        <f t="shared" si="20"/>
        <v>80.399498813087661</v>
      </c>
      <c r="L152">
        <f t="shared" si="21"/>
        <v>-89.537580130883484</v>
      </c>
      <c r="M152">
        <f t="shared" si="22"/>
        <v>84.505325692683599</v>
      </c>
      <c r="N152">
        <f t="shared" si="23"/>
        <v>-10470.340278912699</v>
      </c>
    </row>
    <row r="153" spans="7:14" x14ac:dyDescent="0.25">
      <c r="G153">
        <f t="shared" si="18"/>
        <v>2.0000000000000018</v>
      </c>
      <c r="H153">
        <f t="shared" si="16"/>
        <v>1000.0000000000048</v>
      </c>
      <c r="I153" t="str">
        <f t="shared" si="19"/>
        <v>6283.18530717962j</v>
      </c>
      <c r="J153" t="str">
        <f t="shared" si="17"/>
        <v>74.8592999417274-9999.18824193129j</v>
      </c>
      <c r="K153">
        <f t="shared" si="20"/>
        <v>79.999538294903644</v>
      </c>
      <c r="L153">
        <f t="shared" si="21"/>
        <v>-89.571060999123418</v>
      </c>
      <c r="M153">
        <f t="shared" si="22"/>
        <v>74.8592999417274</v>
      </c>
      <c r="N153">
        <f t="shared" si="23"/>
        <v>-9999.1882419312897</v>
      </c>
    </row>
    <row r="154" spans="7:14" x14ac:dyDescent="0.25">
      <c r="G154">
        <f t="shared" si="18"/>
        <v>2.0200000000000018</v>
      </c>
      <c r="H154">
        <f t="shared" si="16"/>
        <v>1047.1285480509046</v>
      </c>
      <c r="I154" t="str">
        <f t="shared" si="19"/>
        <v>6579.30270784174j</v>
      </c>
      <c r="J154" t="str">
        <f t="shared" si="17"/>
        <v>66.061860210357-9549.22883244021j</v>
      </c>
      <c r="K154">
        <f t="shared" si="20"/>
        <v>79.599573857845428</v>
      </c>
      <c r="L154">
        <f t="shared" si="21"/>
        <v>-89.603632349623183</v>
      </c>
      <c r="M154">
        <f t="shared" si="22"/>
        <v>66.061860210356997</v>
      </c>
      <c r="N154">
        <f t="shared" si="23"/>
        <v>-9549.2288324402107</v>
      </c>
    </row>
    <row r="155" spans="7:14" x14ac:dyDescent="0.25">
      <c r="G155">
        <f t="shared" si="18"/>
        <v>2.0400000000000018</v>
      </c>
      <c r="H155">
        <f t="shared" si="16"/>
        <v>1096.47819614319</v>
      </c>
      <c r="I155" t="str">
        <f t="shared" si="19"/>
        <v>6889.37569164967j</v>
      </c>
      <c r="J155" t="str">
        <f t="shared" si="17"/>
        <v>58.0383676711049-9119.50981832225j</v>
      </c>
      <c r="K155">
        <f t="shared" si="20"/>
        <v>79.199605803715173</v>
      </c>
      <c r="L155">
        <f t="shared" si="21"/>
        <v>-89.635363227947337</v>
      </c>
      <c r="M155">
        <f t="shared" si="22"/>
        <v>58.038367671104901</v>
      </c>
      <c r="N155">
        <f t="shared" si="23"/>
        <v>-9119.5098183222508</v>
      </c>
    </row>
    <row r="156" spans="7:14" x14ac:dyDescent="0.25">
      <c r="G156">
        <f t="shared" si="18"/>
        <v>2.0600000000000018</v>
      </c>
      <c r="H156">
        <f t="shared" si="16"/>
        <v>1148.1536214968876</v>
      </c>
      <c r="I156" t="str">
        <f t="shared" si="19"/>
        <v>7214.06196497428j</v>
      </c>
      <c r="J156" t="str">
        <f t="shared" si="17"/>
        <v>50.7207463370324-8709.12161727046j</v>
      </c>
      <c r="K156">
        <f t="shared" si="20"/>
        <v>78.79963440362549</v>
      </c>
      <c r="L156">
        <f t="shared" si="21"/>
        <v>-89.666320902195409</v>
      </c>
      <c r="M156">
        <f t="shared" si="22"/>
        <v>50.720746337032402</v>
      </c>
      <c r="N156">
        <f t="shared" si="23"/>
        <v>-8709.1216172704608</v>
      </c>
    </row>
    <row r="157" spans="7:14" x14ac:dyDescent="0.25">
      <c r="G157">
        <f t="shared" si="18"/>
        <v>2.0800000000000018</v>
      </c>
      <c r="H157">
        <f t="shared" si="16"/>
        <v>1202.2644346174188</v>
      </c>
      <c r="I157" t="str">
        <f t="shared" si="19"/>
        <v>7554.05023093274j</v>
      </c>
      <c r="J157" t="str">
        <f t="shared" si="17"/>
        <v>44.0469063774165-8317.19540391463j</v>
      </c>
      <c r="K157">
        <f t="shared" si="20"/>
        <v>78.399659900298161</v>
      </c>
      <c r="L157">
        <f t="shared" si="21"/>
        <v>-89.696571004972981</v>
      </c>
      <c r="M157">
        <f t="shared" si="22"/>
        <v>44.046906377416498</v>
      </c>
      <c r="N157">
        <f t="shared" si="23"/>
        <v>-8317.1954039146294</v>
      </c>
    </row>
    <row r="158" spans="7:14" x14ac:dyDescent="0.25">
      <c r="G158">
        <f t="shared" si="18"/>
        <v>2.1000000000000019</v>
      </c>
      <c r="H158">
        <f t="shared" si="16"/>
        <v>1258.9254117941732</v>
      </c>
      <c r="I158" t="str">
        <f t="shared" si="19"/>
        <v>7910.06165022016j</v>
      </c>
      <c r="J158" t="str">
        <f t="shared" si="17"/>
        <v>37.9602180457669-7942.90129869596j</v>
      </c>
      <c r="K158">
        <f t="shared" si="20"/>
        <v>77.999682510122383</v>
      </c>
      <c r="L158">
        <f t="shared" si="21"/>
        <v>-89.726177671980878</v>
      </c>
      <c r="M158">
        <f t="shared" si="22"/>
        <v>37.960218045766901</v>
      </c>
      <c r="N158">
        <f t="shared" si="23"/>
        <v>-7942.9012986959597</v>
      </c>
    </row>
    <row r="159" spans="7:14" x14ac:dyDescent="0.25">
      <c r="G159">
        <f t="shared" si="18"/>
        <v>2.1200000000000019</v>
      </c>
      <c r="H159">
        <f t="shared" si="16"/>
        <v>1318.2567385564132</v>
      </c>
      <c r="I159" t="str">
        <f t="shared" si="19"/>
        <v>8282.85137078814j</v>
      </c>
      <c r="J159" t="str">
        <f t="shared" si="17"/>
        <v>32.4090317886931-7585.44663525437j</v>
      </c>
      <c r="K159">
        <f t="shared" si="20"/>
        <v>77.599702424990085</v>
      </c>
      <c r="L159">
        <f t="shared" si="21"/>
        <v>-89.755203677504866</v>
      </c>
      <c r="M159">
        <f t="shared" si="22"/>
        <v>32.409031788693099</v>
      </c>
      <c r="N159">
        <f t="shared" si="23"/>
        <v>-7585.4466352543704</v>
      </c>
    </row>
    <row r="160" spans="7:14" x14ac:dyDescent="0.25">
      <c r="G160">
        <f t="shared" si="18"/>
        <v>2.1400000000000019</v>
      </c>
      <c r="H160">
        <f t="shared" si="16"/>
        <v>1380.3842646028909</v>
      </c>
      <c r="I160" t="str">
        <f t="shared" si="19"/>
        <v>8673.21012961478j</v>
      </c>
      <c r="J160" t="str">
        <f t="shared" si="17"/>
        <v>27.3462404903968-7244.07430318113j</v>
      </c>
      <c r="K160">
        <f t="shared" si="20"/>
        <v>77.19971981392321</v>
      </c>
      <c r="L160">
        <f t="shared" si="21"/>
        <v>-89.78371056708238</v>
      </c>
      <c r="M160">
        <f t="shared" si="22"/>
        <v>27.346240490396799</v>
      </c>
      <c r="N160">
        <f t="shared" si="23"/>
        <v>-7244.0743031811298</v>
      </c>
    </row>
    <row r="161" spans="7:14" x14ac:dyDescent="0.25">
      <c r="G161">
        <f t="shared" si="18"/>
        <v>2.1600000000000019</v>
      </c>
      <c r="H161">
        <f t="shared" si="16"/>
        <v>1445.439770745935</v>
      </c>
      <c r="I161" t="str">
        <f t="shared" si="19"/>
        <v>9081.96592996389j</v>
      </c>
      <c r="J161" t="str">
        <f t="shared" si="17"/>
        <v>22.7288801604456-6918.06116308209j</v>
      </c>
      <c r="K161">
        <f t="shared" si="20"/>
        <v>76.799734824507539</v>
      </c>
      <c r="L161">
        <f t="shared" si="21"/>
        <v>-89.811758787618729</v>
      </c>
      <c r="M161">
        <f t="shared" si="22"/>
        <v>22.728880160445598</v>
      </c>
      <c r="N161">
        <f t="shared" si="23"/>
        <v>-6918.0611630820904</v>
      </c>
    </row>
    <row r="162" spans="7:14" x14ac:dyDescent="0.25">
      <c r="G162">
        <f t="shared" si="18"/>
        <v>2.1800000000000019</v>
      </c>
      <c r="H162">
        <f t="shared" si="16"/>
        <v>1513.5612484362155</v>
      </c>
      <c r="I162" t="str">
        <f t="shared" si="19"/>
        <v>9509.98579769082j</v>
      </c>
      <c r="J162" t="str">
        <f t="shared" si="17"/>
        <v>18.5177656948378-6606.71653098981j</v>
      </c>
      <c r="K162">
        <f t="shared" si="20"/>
        <v>76.39974758414445</v>
      </c>
      <c r="L162">
        <f t="shared" si="21"/>
        <v>-89.839407815220127</v>
      </c>
      <c r="M162">
        <f t="shared" si="22"/>
        <v>18.517765694837799</v>
      </c>
      <c r="N162">
        <f t="shared" si="23"/>
        <v>-6606.7165309898101</v>
      </c>
    </row>
    <row r="163" spans="7:14" x14ac:dyDescent="0.25">
      <c r="G163">
        <f t="shared" si="18"/>
        <v>2.200000000000002</v>
      </c>
      <c r="H163">
        <f t="shared" si="16"/>
        <v>1584.8931924611211</v>
      </c>
      <c r="I163" t="str">
        <f t="shared" si="19"/>
        <v>9958.17762032066j</v>
      </c>
      <c r="J163" t="str">
        <f t="shared" si="17"/>
        <v>14.6771586347728-6309.38072925942j</v>
      </c>
      <c r="K163">
        <f t="shared" si="20"/>
        <v>75.999758201131513</v>
      </c>
      <c r="L163">
        <f t="shared" si="21"/>
        <v>-89.866716281007996</v>
      </c>
      <c r="M163">
        <f t="shared" si="22"/>
        <v>14.6771586347728</v>
      </c>
      <c r="N163">
        <f t="shared" si="23"/>
        <v>-6309.3807292594201</v>
      </c>
    </row>
    <row r="164" spans="7:14" x14ac:dyDescent="0.25">
      <c r="G164">
        <f t="shared" si="18"/>
        <v>2.220000000000002</v>
      </c>
      <c r="H164">
        <f t="shared" si="16"/>
        <v>1659.5869074375696</v>
      </c>
      <c r="I164" t="str">
        <f t="shared" si="19"/>
        <v>10427.4920727993j</v>
      </c>
      <c r="J164" t="str">
        <f t="shared" si="17"/>
        <v>11.1744641164143-6025.42370117858j</v>
      </c>
      <c r="K164">
        <f t="shared" si="20"/>
        <v>75.599766765581236</v>
      </c>
      <c r="L164">
        <f t="shared" si="21"/>
        <v>-89.893742095174176</v>
      </c>
      <c r="M164">
        <f t="shared" si="22"/>
        <v>11.174464116414301</v>
      </c>
      <c r="N164">
        <f t="shared" si="23"/>
        <v>-6025.4237011785799</v>
      </c>
    </row>
    <row r="165" spans="7:14" x14ac:dyDescent="0.25">
      <c r="G165">
        <f t="shared" si="18"/>
        <v>2.240000000000002</v>
      </c>
      <c r="H165">
        <f t="shared" si="16"/>
        <v>1737.8008287493847</v>
      </c>
      <c r="I165" t="str">
        <f t="shared" si="19"/>
        <v>10918.9246340026j</v>
      </c>
      <c r="J165" t="str">
        <f t="shared" si="17"/>
        <v>7.97995445042418-5754.2436866176j</v>
      </c>
      <c r="K165">
        <f t="shared" si="20"/>
        <v>75.199773350185509</v>
      </c>
      <c r="L165">
        <f t="shared" si="21"/>
        <v>-89.920542569534788</v>
      </c>
      <c r="M165">
        <f t="shared" si="22"/>
        <v>7.9799544504241799</v>
      </c>
      <c r="N165">
        <f t="shared" si="23"/>
        <v>-5754.2436866176004</v>
      </c>
    </row>
    <row r="166" spans="7:14" x14ac:dyDescent="0.25">
      <c r="G166">
        <f t="shared" si="18"/>
        <v>2.260000000000002</v>
      </c>
      <c r="H166">
        <f t="shared" si="16"/>
        <v>1819.7008586099926</v>
      </c>
      <c r="I166" t="str">
        <f t="shared" si="19"/>
        <v>11433.5176982804j</v>
      </c>
      <c r="J166" t="str">
        <f t="shared" si="17"/>
        <v>5.06651699419943-5495.26595614187j</v>
      </c>
      <c r="K166">
        <f t="shared" si="20"/>
        <v>74.799778010832455</v>
      </c>
      <c r="L166">
        <f t="shared" si="21"/>
        <v>-89.947174538837132</v>
      </c>
      <c r="M166">
        <f t="shared" si="22"/>
        <v>5.0665169941994304</v>
      </c>
      <c r="N166">
        <f t="shared" si="23"/>
        <v>-5495.2659561418704</v>
      </c>
    </row>
    <row r="167" spans="7:14" x14ac:dyDescent="0.25">
      <c r="G167">
        <f t="shared" si="18"/>
        <v>2.280000000000002</v>
      </c>
      <c r="H167">
        <f t="shared" si="16"/>
        <v>1905.4607179632562</v>
      </c>
      <c r="I167" t="str">
        <f t="shared" si="19"/>
        <v>11972.3627865146j</v>
      </c>
      <c r="J167" t="str">
        <f t="shared" si="17"/>
        <v>2.40942418436564-5247.94160110174j</v>
      </c>
      <c r="K167">
        <f t="shared" si="20"/>
        <v>74.399780787080346</v>
      </c>
      <c r="L167">
        <f t="shared" si="21"/>
        <v>-89.973694481071945</v>
      </c>
      <c r="M167">
        <f t="shared" si="22"/>
        <v>2.4094241843656401</v>
      </c>
      <c r="N167">
        <f t="shared" si="23"/>
        <v>-5247.9416011017402</v>
      </c>
    </row>
    <row r="168" spans="7:14" x14ac:dyDescent="0.25">
      <c r="G168">
        <f t="shared" si="18"/>
        <v>2.300000000000002</v>
      </c>
      <c r="H168">
        <f t="shared" si="16"/>
        <v>1995.2623149688907</v>
      </c>
      <c r="I168" t="str">
        <f t="shared" si="19"/>
        <v>12536.6028613817j</v>
      </c>
      <c r="J168" t="str">
        <f t="shared" si="17"/>
        <v>-0.0138762161194469-5011.74637730944j</v>
      </c>
      <c r="K168">
        <f t="shared" si="20"/>
        <v>73.999781702493181</v>
      </c>
      <c r="L168">
        <f t="shared" si="21"/>
        <v>-90.000158637041736</v>
      </c>
      <c r="M168">
        <f t="shared" si="22"/>
        <v>-1.3876216119446901E-2</v>
      </c>
      <c r="N168">
        <f t="shared" si="23"/>
        <v>-5011.7463773094396</v>
      </c>
    </row>
    <row r="169" spans="7:14" x14ac:dyDescent="0.25">
      <c r="G169">
        <f t="shared" si="18"/>
        <v>2.3200000000000021</v>
      </c>
      <c r="H169">
        <f t="shared" si="16"/>
        <v>2089.2961308540507</v>
      </c>
      <c r="I169" t="str">
        <f t="shared" si="19"/>
        <v>13127.4347517293j</v>
      </c>
      <c r="J169" t="str">
        <f t="shared" si="17"/>
        <v>-2.22395243139612-4786.17960000239j</v>
      </c>
      <c r="K169">
        <f t="shared" si="20"/>
        <v>73.599780764840858</v>
      </c>
      <c r="L169">
        <f t="shared" si="21"/>
        <v>-90.026623129434199</v>
      </c>
      <c r="M169">
        <f t="shared" si="22"/>
        <v>-2.2239524313961199</v>
      </c>
      <c r="N169">
        <f t="shared" si="23"/>
        <v>-4786.1796000023896</v>
      </c>
    </row>
    <row r="170" spans="7:14" x14ac:dyDescent="0.25">
      <c r="G170">
        <f t="shared" si="18"/>
        <v>2.3400000000000021</v>
      </c>
      <c r="H170">
        <f t="shared" si="16"/>
        <v>2187.7616239495642</v>
      </c>
      <c r="I170" t="str">
        <f t="shared" si="19"/>
        <v>13746.1116912113j</v>
      </c>
      <c r="J170" t="str">
        <f t="shared" si="17"/>
        <v>-4.23956316620796-4570.76308788182j</v>
      </c>
      <c r="K170">
        <f t="shared" si="20"/>
        <v>73.199777966164731</v>
      </c>
      <c r="L170">
        <f t="shared" si="21"/>
        <v>-90.05314408164935</v>
      </c>
      <c r="M170">
        <f t="shared" si="22"/>
        <v>-4.2395631662079598</v>
      </c>
      <c r="N170">
        <f t="shared" si="23"/>
        <v>-4570.76308788182</v>
      </c>
    </row>
    <row r="171" spans="7:14" x14ac:dyDescent="0.25">
      <c r="G171">
        <f t="shared" si="18"/>
        <v>2.3600000000000021</v>
      </c>
      <c r="H171">
        <f t="shared" si="16"/>
        <v>2290.8676527677844</v>
      </c>
      <c r="I171" t="str">
        <f t="shared" si="19"/>
        <v>14393.9459765635j</v>
      </c>
      <c r="J171" t="str">
        <f t="shared" si="17"/>
        <v>-6.07781675697968-4365.04015410297j</v>
      </c>
      <c r="K171">
        <f t="shared" si="20"/>
        <v>72.79977328271039</v>
      </c>
      <c r="L171">
        <f t="shared" si="21"/>
        <v>-90.07977773662806</v>
      </c>
      <c r="M171">
        <f t="shared" si="22"/>
        <v>-6.0778167569796802</v>
      </c>
      <c r="N171">
        <f t="shared" si="23"/>
        <v>-4365.0401541029696</v>
      </c>
    </row>
    <row r="172" spans="7:14" x14ac:dyDescent="0.25">
      <c r="G172">
        <f t="shared" si="18"/>
        <v>2.3800000000000021</v>
      </c>
      <c r="H172">
        <f t="shared" si="16"/>
        <v>2398.8329190195041</v>
      </c>
      <c r="I172" t="str">
        <f t="shared" si="19"/>
        <v>15072.3117511621j</v>
      </c>
      <c r="J172" t="str">
        <f t="shared" si="17"/>
        <v>-7.75431632838273-4168.57464217698j</v>
      </c>
      <c r="K172">
        <f t="shared" si="20"/>
        <v>72.399766674725981</v>
      </c>
      <c r="L172">
        <f t="shared" si="21"/>
        <v>-90.106580575930039</v>
      </c>
      <c r="M172">
        <f t="shared" si="22"/>
        <v>-7.7543163283827301</v>
      </c>
      <c r="N172">
        <f t="shared" si="23"/>
        <v>-4168.57464217698</v>
      </c>
    </row>
    <row r="173" spans="7:14" x14ac:dyDescent="0.25">
      <c r="G173">
        <f t="shared" si="18"/>
        <v>2.4000000000000021</v>
      </c>
      <c r="H173">
        <f t="shared" si="16"/>
        <v>2511.8864315095939</v>
      </c>
      <c r="I173" t="str">
        <f t="shared" si="19"/>
        <v>15782.6479197648j</v>
      </c>
      <c r="J173" t="str">
        <f t="shared" si="17"/>
        <v>-9.28329218500347-3980.95000482765j</v>
      </c>
      <c r="K173">
        <f t="shared" si="20"/>
        <v>71.999758086125055</v>
      </c>
      <c r="L173">
        <f t="shared" si="21"/>
        <v>-90.133609439309495</v>
      </c>
      <c r="M173">
        <f t="shared" si="22"/>
        <v>-9.2832921850034698</v>
      </c>
      <c r="N173">
        <f t="shared" si="23"/>
        <v>-3980.95000482765</v>
      </c>
    </row>
    <row r="174" spans="7:14" x14ac:dyDescent="0.25">
      <c r="G174">
        <f t="shared" si="18"/>
        <v>2.4200000000000021</v>
      </c>
      <c r="H174">
        <f t="shared" si="16"/>
        <v>2630.2679918953959</v>
      </c>
      <c r="I174" t="str">
        <f t="shared" si="19"/>
        <v>16526.4612006219j</v>
      </c>
      <c r="J174" t="str">
        <f t="shared" si="17"/>
        <v>-10.6777225598357-3801.7684239255j</v>
      </c>
      <c r="K174">
        <f t="shared" si="20"/>
        <v>71.599747444010717</v>
      </c>
      <c r="L174">
        <f t="shared" si="21"/>
        <v>-90.160921645037988</v>
      </c>
      <c r="M174">
        <f t="shared" si="22"/>
        <v>-10.677722559835701</v>
      </c>
      <c r="N174">
        <f t="shared" si="23"/>
        <v>-3801.7684239255</v>
      </c>
    </row>
    <row r="175" spans="7:14" x14ac:dyDescent="0.25">
      <c r="G175">
        <f t="shared" si="18"/>
        <v>2.4400000000000022</v>
      </c>
      <c r="H175">
        <f t="shared" si="16"/>
        <v>2754.2287033381804</v>
      </c>
      <c r="I175" t="str">
        <f t="shared" si="19"/>
        <v>17305.3293214267j</v>
      </c>
      <c r="J175" t="str">
        <f t="shared" si="17"/>
        <v>-11.949443742816-3630.64996969905j</v>
      </c>
      <c r="K175">
        <f t="shared" si="20"/>
        <v>71.199734658057054</v>
      </c>
      <c r="L175">
        <f t="shared" si="21"/>
        <v>-90.188575111224566</v>
      </c>
      <c r="M175">
        <f t="shared" si="22"/>
        <v>-11.949443742815999</v>
      </c>
      <c r="N175">
        <f t="shared" si="23"/>
        <v>-3630.64996969905</v>
      </c>
    </row>
    <row r="176" spans="7:14" x14ac:dyDescent="0.25">
      <c r="G176">
        <f t="shared" si="18"/>
        <v>2.4600000000000022</v>
      </c>
      <c r="H176">
        <f t="shared" si="16"/>
        <v>2884.0315031266227</v>
      </c>
      <c r="I176" t="str">
        <f t="shared" si="19"/>
        <v>18120.9043658883j</v>
      </c>
      <c r="J176" t="str">
        <f t="shared" si="17"/>
        <v>-13.1092505227975-3467.23179749811j</v>
      </c>
      <c r="K176">
        <f t="shared" si="20"/>
        <v>70.799719619743115</v>
      </c>
      <c r="L176">
        <f t="shared" si="21"/>
        <v>-90.216628478386326</v>
      </c>
      <c r="M176">
        <f t="shared" si="22"/>
        <v>-13.109250522797501</v>
      </c>
      <c r="N176">
        <f t="shared" si="23"/>
        <v>-3467.2317974981102</v>
      </c>
    </row>
    <row r="177" spans="7:14" x14ac:dyDescent="0.25">
      <c r="G177">
        <f t="shared" si="18"/>
        <v>2.4800000000000022</v>
      </c>
      <c r="H177">
        <f t="shared" si="16"/>
        <v>3019.9517204020331</v>
      </c>
      <c r="I177" t="str">
        <f t="shared" si="19"/>
        <v>18974.9162780218j</v>
      </c>
      <c r="J177" t="str">
        <f t="shared" si="17"/>
        <v>-14.1669877943581-3311.16738045559j</v>
      </c>
      <c r="K177">
        <f t="shared" si="20"/>
        <v>70.39970220143239</v>
      </c>
      <c r="L177">
        <f t="shared" si="21"/>
        <v>-90.245141233523114</v>
      </c>
      <c r="M177">
        <f t="shared" si="22"/>
        <v>-14.1669877943581</v>
      </c>
      <c r="N177">
        <f t="shared" si="23"/>
        <v>-3311.1673804555899</v>
      </c>
    </row>
    <row r="178" spans="7:14" x14ac:dyDescent="0.25">
      <c r="G178">
        <f t="shared" si="18"/>
        <v>2.5000000000000022</v>
      </c>
      <c r="H178">
        <f t="shared" si="16"/>
        <v>3162.2776601683968</v>
      </c>
      <c r="I178" t="str">
        <f t="shared" si="19"/>
        <v>19869.1765315923j</v>
      </c>
      <c r="J178" t="str">
        <f t="shared" si="17"/>
        <v>-15.131634106067-3162.12577646428j</v>
      </c>
      <c r="K178">
        <f t="shared" si="20"/>
        <v>69.999682255289727</v>
      </c>
      <c r="L178">
        <f t="shared" si="21"/>
        <v>-90.274173835954414</v>
      </c>
      <c r="M178">
        <f t="shared" si="22"/>
        <v>-15.131634106067001</v>
      </c>
      <c r="N178">
        <f t="shared" si="23"/>
        <v>-3162.1257764642801</v>
      </c>
    </row>
    <row r="179" spans="7:14" x14ac:dyDescent="0.25">
      <c r="G179">
        <f t="shared" si="18"/>
        <v>2.5200000000000022</v>
      </c>
      <c r="H179">
        <f t="shared" si="16"/>
        <v>3311.3112148259315</v>
      </c>
      <c r="I179" t="str">
        <f t="shared" si="19"/>
        <v>20805.5819724933j</v>
      </c>
      <c r="J179" t="str">
        <f t="shared" si="17"/>
        <v>-16.0113778585811-3019.79092795234j</v>
      </c>
      <c r="K179">
        <f t="shared" si="20"/>
        <v>69.599659612027722</v>
      </c>
      <c r="L179">
        <f t="shared" si="21"/>
        <v>-90.303787845178363</v>
      </c>
      <c r="M179">
        <f t="shared" si="22"/>
        <v>-16.011377858581099</v>
      </c>
      <c r="N179">
        <f t="shared" si="23"/>
        <v>-3019.7909279523401</v>
      </c>
    </row>
    <row r="180" spans="7:14" x14ac:dyDescent="0.25">
      <c r="G180">
        <f t="shared" si="18"/>
        <v>2.5400000000000023</v>
      </c>
      <c r="H180">
        <f t="shared" si="16"/>
        <v>3467.3685045253369</v>
      </c>
      <c r="I180" t="str">
        <f t="shared" si="19"/>
        <v>21786.1188422108j</v>
      </c>
      <c r="J180" t="str">
        <f t="shared" si="17"/>
        <v>-16.8136867987078-2883.86099300542j</v>
      </c>
      <c r="K180">
        <f t="shared" si="20"/>
        <v>69.199634079470769</v>
      </c>
      <c r="L180">
        <f t="shared" si="21"/>
        <v>-90.334046051016756</v>
      </c>
      <c r="M180">
        <f t="shared" si="22"/>
        <v>-16.813686798707799</v>
      </c>
      <c r="N180">
        <f t="shared" si="23"/>
        <v>-2883.8609930054199</v>
      </c>
    </row>
    <row r="181" spans="7:14" x14ac:dyDescent="0.25">
      <c r="G181">
        <f t="shared" si="18"/>
        <v>2.5600000000000023</v>
      </c>
      <c r="H181">
        <f t="shared" si="16"/>
        <v>3630.7805477010343</v>
      </c>
      <c r="I181" t="str">
        <f t="shared" si="19"/>
        <v>22812.8669909086j</v>
      </c>
      <c r="J181" t="str">
        <f t="shared" si="17"/>
        <v>-17.5453713987707-2754.04770644572j</v>
      </c>
      <c r="K181">
        <f t="shared" si="20"/>
        <v>68.799605440925035</v>
      </c>
      <c r="L181">
        <f t="shared" si="21"/>
        <v>-90.365012606314167</v>
      </c>
      <c r="M181">
        <f t="shared" si="22"/>
        <v>-17.545371398770701</v>
      </c>
      <c r="N181">
        <f t="shared" si="23"/>
        <v>-2754.04770644572</v>
      </c>
    </row>
    <row r="182" spans="7:14" x14ac:dyDescent="0.25">
      <c r="G182">
        <f t="shared" si="18"/>
        <v>2.5800000000000023</v>
      </c>
      <c r="H182">
        <f t="shared" si="16"/>
        <v>3801.8939632056336</v>
      </c>
      <c r="I182" t="str">
        <f t="shared" si="19"/>
        <v>23888.0042890684j</v>
      </c>
      <c r="J182" t="str">
        <f t="shared" si="17"/>
        <v>-18.212642658811-2630.07576953829j</v>
      </c>
      <c r="K182">
        <f t="shared" si="20"/>
        <v>68.399573453340977</v>
      </c>
      <c r="L182">
        <f t="shared" si="21"/>
        <v>-90.396753162463014</v>
      </c>
      <c r="M182">
        <f t="shared" si="22"/>
        <v>-18.212642658810999</v>
      </c>
      <c r="N182">
        <f t="shared" si="23"/>
        <v>-2630.0757695382899</v>
      </c>
    </row>
    <row r="183" spans="7:14" x14ac:dyDescent="0.25">
      <c r="G183">
        <f t="shared" si="18"/>
        <v>2.6000000000000023</v>
      </c>
      <c r="H183">
        <f t="shared" si="16"/>
        <v>3981.0717055349969</v>
      </c>
      <c r="I183" t="str">
        <f t="shared" si="19"/>
        <v>25013.8112470459j</v>
      </c>
      <c r="J183" t="str">
        <f t="shared" si="17"/>
        <v>-18.8211648218997-2511.68226705191j</v>
      </c>
      <c r="K183">
        <f t="shared" si="20"/>
        <v>67.999537845252036</v>
      </c>
      <c r="L183">
        <f t="shared" si="21"/>
        <v>-90.429335008031813</v>
      </c>
      <c r="M183">
        <f t="shared" si="22"/>
        <v>-18.8211648218997</v>
      </c>
      <c r="N183">
        <f t="shared" si="23"/>
        <v>-2511.68226705191</v>
      </c>
    </row>
    <row r="184" spans="7:14" x14ac:dyDescent="0.25">
      <c r="G184">
        <f t="shared" si="18"/>
        <v>2.6200000000000023</v>
      </c>
      <c r="H184">
        <f t="shared" si="16"/>
        <v>4168.6938347033793</v>
      </c>
      <c r="I184" t="str">
        <f t="shared" si="19"/>
        <v>26192.6758523384j</v>
      </c>
      <c r="J184" t="str">
        <f t="shared" si="17"/>
        <v>-19.376103449714-2398.61611045749j</v>
      </c>
      <c r="K184">
        <f t="shared" si="20"/>
        <v>67.599498314473024</v>
      </c>
      <c r="L184">
        <f t="shared" si="21"/>
        <v>-90.462827210778428</v>
      </c>
      <c r="M184">
        <f t="shared" si="22"/>
        <v>-19.376103449714002</v>
      </c>
      <c r="N184">
        <f t="shared" si="23"/>
        <v>-2398.6161104574899</v>
      </c>
    </row>
    <row r="185" spans="7:14" x14ac:dyDescent="0.25">
      <c r="G185">
        <f t="shared" si="18"/>
        <v>2.6400000000000023</v>
      </c>
      <c r="H185">
        <f t="shared" si="16"/>
        <v>4365.1583224016858</v>
      </c>
      <c r="I185" t="str">
        <f t="shared" si="19"/>
        <v>27427.098634827j</v>
      </c>
      <c r="J185" t="str">
        <f t="shared" si="17"/>
        <v>-19.8821692662148-2290.63750609949j</v>
      </c>
      <c r="K185">
        <f t="shared" si="20"/>
        <v>67.199454525537618</v>
      </c>
      <c r="L185">
        <f t="shared" si="21"/>
        <v>-90.497300763336057</v>
      </c>
      <c r="M185">
        <f t="shared" si="22"/>
        <v>-19.882169266214799</v>
      </c>
      <c r="N185">
        <f t="shared" si="23"/>
        <v>-2290.6375060994901</v>
      </c>
    </row>
    <row r="186" spans="7:14" x14ac:dyDescent="0.25">
      <c r="G186">
        <f t="shared" si="18"/>
        <v>2.6600000000000024</v>
      </c>
      <c r="H186">
        <f t="shared" si="16"/>
        <v>4570.8818961487768</v>
      </c>
      <c r="I186" t="str">
        <f t="shared" si="19"/>
        <v>28719.6979707352j</v>
      </c>
      <c r="J186" t="str">
        <f t="shared" si="17"/>
        <v>-20.3436581413722-2187.5174472272j</v>
      </c>
      <c r="K186">
        <f t="shared" si="20"/>
        <v>66.799406106854903</v>
      </c>
      <c r="L186">
        <f t="shared" si="21"/>
        <v>-90.532828732865354</v>
      </c>
      <c r="M186">
        <f t="shared" si="22"/>
        <v>-20.343658141372199</v>
      </c>
      <c r="N186">
        <f t="shared" si="23"/>
        <v>-2187.5174472272001</v>
      </c>
    </row>
    <row r="187" spans="7:14" x14ac:dyDescent="0.25">
      <c r="G187">
        <f t="shared" si="18"/>
        <v>2.6800000000000024</v>
      </c>
      <c r="H187">
        <f t="shared" si="16"/>
        <v>4786.3009232264139</v>
      </c>
      <c r="I187" t="str">
        <f t="shared" si="19"/>
        <v>30073.2156365563j</v>
      </c>
      <c r="J187" t="str">
        <f t="shared" si="17"/>
        <v>-20.7644875541702-2089.03722882072j</v>
      </c>
      <c r="K187">
        <f t="shared" si="20"/>
        <v>66.399352647559098</v>
      </c>
      <c r="L187">
        <f t="shared" si="21"/>
        <v>-90.569486414972388</v>
      </c>
      <c r="M187">
        <f t="shared" si="22"/>
        <v>-20.764487554170199</v>
      </c>
      <c r="N187">
        <f t="shared" si="23"/>
        <v>-2089.03722882072</v>
      </c>
    </row>
    <row r="188" spans="7:14" x14ac:dyDescent="0.25">
      <c r="G188">
        <f t="shared" si="18"/>
        <v>2.7000000000000024</v>
      </c>
      <c r="H188">
        <f t="shared" si="16"/>
        <v>5011.8723362727533</v>
      </c>
      <c r="I188" t="str">
        <f t="shared" si="19"/>
        <v>31490.5226247288j</v>
      </c>
      <c r="J188" t="str">
        <f t="shared" si="17"/>
        <v>-21.148229844263-1994.98798419399j</v>
      </c>
      <c r="K188">
        <f t="shared" si="20"/>
        <v>65.999293694027472</v>
      </c>
      <c r="L188">
        <f t="shared" si="21"/>
        <v>-90.607351492198262</v>
      </c>
      <c r="M188">
        <f t="shared" si="22"/>
        <v>-21.148229844263</v>
      </c>
      <c r="N188">
        <f t="shared" si="23"/>
        <v>-1994.9879841939901</v>
      </c>
    </row>
    <row r="189" spans="7:14" x14ac:dyDescent="0.25">
      <c r="G189">
        <f t="shared" si="18"/>
        <v>2.7200000000000024</v>
      </c>
      <c r="H189">
        <f t="shared" si="16"/>
        <v>5248.074602497758</v>
      </c>
      <c r="I189" t="str">
        <f t="shared" si="19"/>
        <v>32974.6252333963j</v>
      </c>
      <c r="J189" t="str">
        <f t="shared" si="17"/>
        <v>-21.4981425344196-1905.17024240133j</v>
      </c>
      <c r="K189">
        <f t="shared" si="20"/>
        <v>65.599228746035948</v>
      </c>
      <c r="L189">
        <f t="shared" si="21"/>
        <v>-90.64650419739381</v>
      </c>
      <c r="M189">
        <f t="shared" si="22"/>
        <v>-21.4981425344196</v>
      </c>
      <c r="N189">
        <f t="shared" si="23"/>
        <v>-1905.1702424013299</v>
      </c>
    </row>
    <row r="190" spans="7:14" x14ac:dyDescent="0.25">
      <c r="G190">
        <f t="shared" si="18"/>
        <v>2.7400000000000024</v>
      </c>
      <c r="H190">
        <f t="shared" si="16"/>
        <v>5495.4087385762778</v>
      </c>
      <c r="I190" t="str">
        <f t="shared" si="19"/>
        <v>34528.6714431688j</v>
      </c>
      <c r="J190" t="str">
        <f t="shared" si="17"/>
        <v>-21.8171959810569-1819.39350551733j</v>
      </c>
      <c r="K190">
        <f t="shared" si="20"/>
        <v>65.199157252520848</v>
      </c>
      <c r="L190">
        <f t="shared" si="21"/>
        <v>-90.687027482298447</v>
      </c>
      <c r="M190">
        <f t="shared" si="22"/>
        <v>-21.817195981056901</v>
      </c>
      <c r="N190">
        <f t="shared" si="23"/>
        <v>-1819.3935055173299</v>
      </c>
    </row>
    <row r="191" spans="7:14" x14ac:dyDescent="0.25">
      <c r="G191">
        <f t="shared" si="18"/>
        <v>2.7600000000000025</v>
      </c>
      <c r="H191">
        <f t="shared" si="16"/>
        <v>5754.399373371607</v>
      </c>
      <c r="I191" t="str">
        <f t="shared" si="19"/>
        <v>36155.9575944119j</v>
      </c>
      <c r="J191" t="str">
        <f t="shared" si="17"/>
        <v>-22.1080985874954-1737.4758449006j</v>
      </c>
      <c r="K191">
        <f t="shared" si="20"/>
        <v>64.799078606910385</v>
      </c>
      <c r="L191">
        <f t="shared" si="21"/>
        <v>-90.729007191650851</v>
      </c>
      <c r="M191">
        <f t="shared" si="22"/>
        <v>-22.108098587495402</v>
      </c>
      <c r="N191">
        <f t="shared" si="23"/>
        <v>-1737.4758449005999</v>
      </c>
    </row>
    <row r="192" spans="7:14" x14ac:dyDescent="0.25">
      <c r="G192">
        <f t="shared" si="18"/>
        <v>2.7800000000000025</v>
      </c>
      <c r="H192">
        <f t="shared" si="16"/>
        <v>6025.595860743615</v>
      </c>
      <c r="I192" t="str">
        <f t="shared" si="19"/>
        <v>37859.9353792264j</v>
      </c>
      <c r="J192" t="str">
        <f t="shared" si="17"/>
        <v>-22.3733197938961-1659.2435155916j</v>
      </c>
      <c r="K192">
        <f t="shared" si="20"/>
        <v>64.39899214198708</v>
      </c>
      <c r="L192">
        <f t="shared" si="21"/>
        <v>-90.772532243165145</v>
      </c>
      <c r="M192">
        <f t="shared" si="22"/>
        <v>-22.373319793896101</v>
      </c>
      <c r="N192">
        <f t="shared" si="23"/>
        <v>-1659.2435155916</v>
      </c>
    </row>
    <row r="193" spans="7:14" x14ac:dyDescent="0.25">
      <c r="G193">
        <f t="shared" si="18"/>
        <v>2.8000000000000025</v>
      </c>
      <c r="H193">
        <f t="shared" si="16"/>
        <v>6309.5734448019712</v>
      </c>
      <c r="I193" t="str">
        <f t="shared" si="19"/>
        <v>39644.2191629502j</v>
      </c>
      <c r="J193" t="str">
        <f t="shared" si="17"/>
        <v>-22.6151110389841-1584.53058803203j</v>
      </c>
      <c r="K193">
        <f t="shared" si="20"/>
        <v>63.998897124237423</v>
      </c>
      <c r="L193">
        <f t="shared" si="21"/>
        <v>-90.817694813714411</v>
      </c>
      <c r="M193">
        <f t="shared" si="22"/>
        <v>-22.6151110389841</v>
      </c>
      <c r="N193">
        <f t="shared" si="23"/>
        <v>-1584.53058803203</v>
      </c>
    </row>
    <row r="194" spans="7:14" x14ac:dyDescent="0.25">
      <c r="G194">
        <f t="shared" si="18"/>
        <v>2.8200000000000025</v>
      </c>
      <c r="H194">
        <f t="shared" si="16"/>
        <v>6606.9344800760055</v>
      </c>
      <c r="I194" t="str">
        <f t="shared" si="19"/>
        <v>41512.5936507118j</v>
      </c>
      <c r="J194" t="str">
        <f t="shared" si="17"/>
        <v>-22.8355248714509-1513.17859632972j</v>
      </c>
      <c r="K194">
        <f t="shared" si="20"/>
        <v>63.598792747641902</v>
      </c>
      <c r="L194">
        <f t="shared" si="21"/>
        <v>-90.864590532069982</v>
      </c>
      <c r="M194">
        <f t="shared" si="22"/>
        <v>-22.8355248714509</v>
      </c>
      <c r="N194">
        <f t="shared" si="23"/>
        <v>-1513.17859632972</v>
      </c>
    </row>
    <row r="195" spans="7:14" x14ac:dyDescent="0.25">
      <c r="G195">
        <f t="shared" si="18"/>
        <v>2.8400000000000025</v>
      </c>
      <c r="H195">
        <f t="shared" ref="H195:H258" si="24">$B$3*10^G195</f>
        <v>6918.3097091894106</v>
      </c>
      <c r="I195" t="str">
        <f t="shared" si="19"/>
        <v>43469.0219152968j</v>
      </c>
      <c r="J195" t="str">
        <f t="shared" ref="J195:J258" si="25">IMDIV(Aolv,IMPRODUCT(IMSUM(1,IMDIV(I195,wc)),IMSUM(1,(IMPRODUCT(I195,R_O,C_L)))))</f>
        <v>-23.0364323732356-1445.03620232703j</v>
      </c>
      <c r="K195">
        <f t="shared" si="20"/>
        <v>63.19867812685267</v>
      </c>
      <c r="L195">
        <f t="shared" si="21"/>
        <v>-90.913318678552656</v>
      </c>
      <c r="M195">
        <f t="shared" si="22"/>
        <v>-23.036432373235598</v>
      </c>
      <c r="N195">
        <f t="shared" si="23"/>
        <v>-1445.03620232703</v>
      </c>
    </row>
    <row r="196" spans="7:14" x14ac:dyDescent="0.25">
      <c r="G196">
        <f t="shared" ref="G196:G259" si="26">G195+(1/ppd)</f>
        <v>2.8600000000000025</v>
      </c>
      <c r="H196">
        <f t="shared" si="24"/>
        <v>7244.3596007499473</v>
      </c>
      <c r="I196" t="str">
        <f t="shared" ref="I196:I259" si="27">COMPLEX(0,H196*2*PI(),"j")</f>
        <v>45517.6538033574j</v>
      </c>
      <c r="J196" t="str">
        <f t="shared" si="25"/>
        <v>-23.2195390425628-1379.95887476405j</v>
      </c>
      <c r="K196">
        <f t="shared" ref="K196:K259" si="28">20*LOG(IMABS(J196))</f>
        <v>62.798552289701902</v>
      </c>
      <c r="L196">
        <f t="shared" ref="L196:L259" si="29">DEGREES(IMARGUMENT(J196))</f>
        <v>-90.963982391958353</v>
      </c>
      <c r="M196">
        <f t="shared" ref="M196:M259" si="30">IMREAL(J196)</f>
        <v>-23.219539042562801</v>
      </c>
      <c r="N196">
        <f t="shared" ref="N196:N259" si="31">IMAGINARY(J196)</f>
        <v>-1379.9588747640501</v>
      </c>
    </row>
    <row r="197" spans="7:14" x14ac:dyDescent="0.25">
      <c r="G197">
        <f t="shared" si="26"/>
        <v>2.8800000000000026</v>
      </c>
      <c r="H197">
        <f t="shared" si="24"/>
        <v>7585.7757502918857</v>
      </c>
      <c r="I197" t="str">
        <f t="shared" si="27"/>
        <v>47662.8347377932j</v>
      </c>
      <c r="J197" t="str">
        <f t="shared" si="25"/>
        <v>-23.3863992715443-1317.80858285929j</v>
      </c>
      <c r="K197">
        <f t="shared" si="28"/>
        <v>62.398414168977851</v>
      </c>
      <c r="L197">
        <f t="shared" si="29"/>
        <v>-91.016688884127433</v>
      </c>
      <c r="M197">
        <f t="shared" si="30"/>
        <v>-23.386399271544299</v>
      </c>
      <c r="N197">
        <f t="shared" si="31"/>
        <v>-1317.80858285929</v>
      </c>
    </row>
    <row r="198" spans="7:14" x14ac:dyDescent="0.25">
      <c r="G198">
        <f t="shared" si="26"/>
        <v>2.9000000000000026</v>
      </c>
      <c r="H198">
        <f t="shared" si="24"/>
        <v>7943.2823472428699</v>
      </c>
      <c r="I198" t="str">
        <f t="shared" si="27"/>
        <v>49909.1149349754j</v>
      </c>
      <c r="J198" t="str">
        <f t="shared" si="25"/>
        <v>-23.5384295412344-1258.45350366086j</v>
      </c>
      <c r="K198">
        <f t="shared" si="28"/>
        <v>61.99826259340027</v>
      </c>
      <c r="L198">
        <f t="shared" si="29"/>
        <v>-91.071549662532959</v>
      </c>
      <c r="M198">
        <f t="shared" si="30"/>
        <v>-23.5384295412344</v>
      </c>
      <c r="N198">
        <f t="shared" si="31"/>
        <v>-1258.45350366086</v>
      </c>
    </row>
    <row r="199" spans="7:14" x14ac:dyDescent="0.25">
      <c r="G199">
        <f t="shared" si="26"/>
        <v>2.9200000000000026</v>
      </c>
      <c r="H199">
        <f t="shared" si="24"/>
        <v>8317.6377110267658</v>
      </c>
      <c r="I199" t="str">
        <f t="shared" si="27"/>
        <v>52261.2590563662j</v>
      </c>
      <c r="J199" t="str">
        <f t="shared" si="25"/>
        <v>-23.6769204461401-1201.76774254985j</v>
      </c>
      <c r="K199">
        <f t="shared" si="28"/>
        <v>61.598096277719144</v>
      </c>
      <c r="L199">
        <f t="shared" si="29"/>
        <v>-91.1286807612681</v>
      </c>
      <c r="M199">
        <f t="shared" si="30"/>
        <v>-23.676920446140102</v>
      </c>
      <c r="N199">
        <f t="shared" si="31"/>
        <v>-1201.76774254985</v>
      </c>
    </row>
    <row r="200" spans="7:14" x14ac:dyDescent="0.25">
      <c r="G200">
        <f t="shared" si="26"/>
        <v>2.9400000000000026</v>
      </c>
      <c r="H200">
        <f t="shared" si="24"/>
        <v>8709.6358995608643</v>
      </c>
      <c r="I200" t="str">
        <f t="shared" si="27"/>
        <v>54724.2563150047j</v>
      </c>
      <c r="J200" t="str">
        <f t="shared" si="25"/>
        <v>-23.8030476502644-1147.63106630534j</v>
      </c>
      <c r="K200">
        <f t="shared" si="28"/>
        <v>61.197913811854434</v>
      </c>
      <c r="L200">
        <f t="shared" si="29"/>
        <v>-91.188202980817536</v>
      </c>
      <c r="M200">
        <f t="shared" si="30"/>
        <v>-23.8030476502644</v>
      </c>
      <c r="N200">
        <f t="shared" si="31"/>
        <v>-1147.63106630534</v>
      </c>
    </row>
    <row r="201" spans="7:14" x14ac:dyDescent="0.25">
      <c r="G201">
        <f t="shared" si="26"/>
        <v>2.9600000000000026</v>
      </c>
      <c r="H201">
        <f t="shared" si="24"/>
        <v>9120.108393559156</v>
      </c>
      <c r="I201" t="str">
        <f t="shared" si="27"/>
        <v>57303.3310582961j</v>
      </c>
      <c r="J201" t="str">
        <f t="shared" si="25"/>
        <v>-23.9178818676916-1095.92864816687j</v>
      </c>
      <c r="K201">
        <f t="shared" si="28"/>
        <v>60.797713648986473</v>
      </c>
      <c r="L201">
        <f t="shared" si="29"/>
        <v>-91.250242137000555</v>
      </c>
      <c r="M201">
        <f t="shared" si="30"/>
        <v>-23.917881867691602</v>
      </c>
      <c r="N201">
        <f t="shared" si="31"/>
        <v>-1095.9286481668701</v>
      </c>
    </row>
    <row r="202" spans="7:14" x14ac:dyDescent="0.25">
      <c r="G202">
        <f t="shared" si="26"/>
        <v>2.9800000000000026</v>
      </c>
      <c r="H202">
        <f t="shared" si="24"/>
        <v>9549.9258602144273</v>
      </c>
      <c r="I202" t="str">
        <f t="shared" si="27"/>
        <v>60003.9538495537j</v>
      </c>
      <c r="J202" t="str">
        <f t="shared" si="25"/>
        <v>-24.0223979524509-1046.55082435529j</v>
      </c>
      <c r="K202">
        <f t="shared" si="28"/>
        <v>60.397494092497382</v>
      </c>
      <c r="L202">
        <f t="shared" si="29"/>
        <v>-91.314929319475496</v>
      </c>
      <c r="M202">
        <f t="shared" si="30"/>
        <v>-24.022397952450898</v>
      </c>
      <c r="N202">
        <f t="shared" si="31"/>
        <v>-1046.5508243552899</v>
      </c>
    </row>
    <row r="203" spans="7:14" x14ac:dyDescent="0.25">
      <c r="G203">
        <f t="shared" si="26"/>
        <v>3.0000000000000027</v>
      </c>
      <c r="H203">
        <f t="shared" si="24"/>
        <v>10000.000000000069</v>
      </c>
      <c r="I203" t="str">
        <f t="shared" si="27"/>
        <v>62831.8530717963j</v>
      </c>
      <c r="J203" t="str">
        <f t="shared" si="25"/>
        <v>-24.1174831748436-999.392861537267j</v>
      </c>
      <c r="K203">
        <f t="shared" si="28"/>
        <v>59.997253281656057</v>
      </c>
      <c r="L203">
        <f t="shared" si="29"/>
        <v>-91.382401160194931</v>
      </c>
      <c r="M203">
        <f t="shared" si="30"/>
        <v>-24.117483174843599</v>
      </c>
      <c r="N203">
        <f t="shared" si="31"/>
        <v>-999.39286153726698</v>
      </c>
    </row>
    <row r="204" spans="7:14" x14ac:dyDescent="0.25">
      <c r="G204">
        <f t="shared" si="26"/>
        <v>3.0200000000000027</v>
      </c>
      <c r="H204">
        <f t="shared" si="24"/>
        <v>10471.285480509066</v>
      </c>
      <c r="I204" t="str">
        <f t="shared" si="27"/>
        <v>65793.0270784175j</v>
      </c>
      <c r="J204" t="str">
        <f t="shared" si="25"/>
        <v>-24.2039447545145-954.354734741577j</v>
      </c>
      <c r="K204">
        <f t="shared" si="28"/>
        <v>59.596989175927284</v>
      </c>
      <c r="L204">
        <f t="shared" si="29"/>
        <v>-91.452800112198844</v>
      </c>
      <c r="M204">
        <f t="shared" si="30"/>
        <v>-24.203944754514499</v>
      </c>
      <c r="N204">
        <f t="shared" si="31"/>
        <v>-954.35473474157698</v>
      </c>
    </row>
    <row r="205" spans="7:14" x14ac:dyDescent="0.25">
      <c r="G205">
        <f t="shared" si="26"/>
        <v>3.0400000000000027</v>
      </c>
      <c r="H205">
        <f t="shared" si="24"/>
        <v>10964.781961431923</v>
      </c>
      <c r="I205" t="str">
        <f t="shared" si="27"/>
        <v>68893.7569164968j</v>
      </c>
      <c r="J205" t="str">
        <f t="shared" si="25"/>
        <v>-24.2825167142488-911.340915257426j</v>
      </c>
      <c r="K205">
        <f t="shared" si="28"/>
        <v>59.19669953777565</v>
      </c>
      <c r="L205">
        <f t="shared" si="29"/>
        <v>-91.526274739128084</v>
      </c>
      <c r="M205">
        <f t="shared" si="30"/>
        <v>-24.2825167142488</v>
      </c>
      <c r="N205">
        <f t="shared" si="31"/>
        <v>-911.34091525742599</v>
      </c>
    </row>
    <row r="206" spans="7:14" x14ac:dyDescent="0.25">
      <c r="G206">
        <f t="shared" si="26"/>
        <v>3.0600000000000027</v>
      </c>
      <c r="H206">
        <f t="shared" si="24"/>
        <v>11481.53621496891</v>
      </c>
      <c r="I206" t="str">
        <f t="shared" si="27"/>
        <v>72140.619649743j</v>
      </c>
      <c r="J206" t="str">
        <f t="shared" si="25"/>
        <v>-24.3538661127254-870.260168066233j</v>
      </c>
      <c r="K206">
        <f t="shared" si="28"/>
        <v>58.796381913822884</v>
      </c>
      <c r="L206">
        <f t="shared" si="29"/>
        <v>-91.602980015832685</v>
      </c>
      <c r="M206">
        <f t="shared" si="30"/>
        <v>-24.353866112725399</v>
      </c>
      <c r="N206">
        <f t="shared" si="31"/>
        <v>-870.26016806623295</v>
      </c>
    </row>
    <row r="207" spans="7:14" x14ac:dyDescent="0.25">
      <c r="G207">
        <f t="shared" si="26"/>
        <v>3.0800000000000027</v>
      </c>
      <c r="H207">
        <f t="shared" si="24"/>
        <v>12022.644346174213</v>
      </c>
      <c r="I207" t="str">
        <f t="shared" si="27"/>
        <v>75540.5023093275j</v>
      </c>
      <c r="J207" t="str">
        <f t="shared" si="25"/>
        <v>-24.4185987091839-831.025358378257j</v>
      </c>
      <c r="K207">
        <f t="shared" si="28"/>
        <v>58.396033614203269</v>
      </c>
      <c r="L207">
        <f t="shared" si="29"/>
        <v>-91.683077640437887</v>
      </c>
      <c r="M207">
        <f t="shared" si="30"/>
        <v>-24.4185987091839</v>
      </c>
      <c r="N207">
        <f t="shared" si="31"/>
        <v>-831.02535837825701</v>
      </c>
    </row>
    <row r="208" spans="7:14" x14ac:dyDescent="0.25">
      <c r="G208">
        <f t="shared" si="26"/>
        <v>3.1000000000000028</v>
      </c>
      <c r="H208">
        <f t="shared" si="24"/>
        <v>12589.254117941757</v>
      </c>
      <c r="I208" t="str">
        <f t="shared" si="27"/>
        <v>79100.6165022018j</v>
      </c>
      <c r="J208" t="str">
        <f t="shared" si="25"/>
        <v>-24.4772641081654-793.553266864859j</v>
      </c>
      <c r="K208">
        <f t="shared" si="28"/>
        <v>57.995651689948183</v>
      </c>
      <c r="L208">
        <f t="shared" si="29"/>
        <v>-91.766736358214999</v>
      </c>
      <c r="M208">
        <f t="shared" si="30"/>
        <v>-24.4772641081654</v>
      </c>
      <c r="N208">
        <f t="shared" si="31"/>
        <v>-793.55326686485898</v>
      </c>
    </row>
    <row r="209" spans="7:14" x14ac:dyDescent="0.25">
      <c r="G209">
        <f t="shared" si="26"/>
        <v>3.1200000000000028</v>
      </c>
      <c r="H209">
        <f t="shared" si="24"/>
        <v>13182.567385564171</v>
      </c>
      <c r="I209" t="str">
        <f t="shared" si="27"/>
        <v>82828.5137078816j</v>
      </c>
      <c r="J209" t="str">
        <f t="shared" si="25"/>
        <v>-24.5303604280807-757.764413195607j</v>
      </c>
      <c r="K209">
        <f t="shared" si="28"/>
        <v>57.595232908215948</v>
      </c>
      <c r="L209">
        <f t="shared" si="29"/>
        <v>-91.854132297582581</v>
      </c>
      <c r="M209">
        <f t="shared" si="30"/>
        <v>-24.530360428080701</v>
      </c>
      <c r="N209">
        <f t="shared" si="31"/>
        <v>-757.76441319560695</v>
      </c>
    </row>
    <row r="210" spans="7:14" x14ac:dyDescent="0.25">
      <c r="G210">
        <f t="shared" si="26"/>
        <v>3.1400000000000028</v>
      </c>
      <c r="H210">
        <f t="shared" si="24"/>
        <v>13803.84264602895</v>
      </c>
      <c r="I210" t="str">
        <f t="shared" si="27"/>
        <v>86732.1012961481j</v>
      </c>
      <c r="J210" t="str">
        <f t="shared" si="25"/>
        <v>-24.5783385333339-723.582887506839j</v>
      </c>
      <c r="K210">
        <f t="shared" si="28"/>
        <v>57.194773725163792</v>
      </c>
      <c r="L210">
        <f t="shared" si="29"/>
        <v>-91.94544931853747</v>
      </c>
      <c r="M210">
        <f t="shared" si="30"/>
        <v>-24.578338533333898</v>
      </c>
      <c r="N210">
        <f t="shared" si="31"/>
        <v>-723.58288750683903</v>
      </c>
    </row>
    <row r="211" spans="7:14" x14ac:dyDescent="0.25">
      <c r="G211">
        <f t="shared" si="26"/>
        <v>3.1600000000000028</v>
      </c>
      <c r="H211">
        <f t="shared" si="24"/>
        <v>14454.397707459377</v>
      </c>
      <c r="I211" t="str">
        <f t="shared" si="27"/>
        <v>90819.6592996391j</v>
      </c>
      <c r="J211" t="str">
        <f t="shared" si="25"/>
        <v>-24.6216058660565-690.936189445501j</v>
      </c>
      <c r="K211">
        <f t="shared" si="28"/>
        <v>56.794270256244786</v>
      </c>
      <c r="L211">
        <f t="shared" si="29"/>
        <v>-92.040879373780228</v>
      </c>
      <c r="M211">
        <f t="shared" si="30"/>
        <v>-24.621605866056498</v>
      </c>
      <c r="N211">
        <f t="shared" si="31"/>
        <v>-690.93618944550099</v>
      </c>
    </row>
    <row r="212" spans="7:14" x14ac:dyDescent="0.25">
      <c r="G212">
        <f t="shared" si="26"/>
        <v>3.1800000000000028</v>
      </c>
      <c r="H212">
        <f t="shared" si="24"/>
        <v>15135.612484362187</v>
      </c>
      <c r="I212" t="str">
        <f t="shared" si="27"/>
        <v>95099.8579769084j</v>
      </c>
      <c r="J212" t="str">
        <f t="shared" si="25"/>
        <v>-24.6605299101154-659.755074447732j</v>
      </c>
      <c r="K212">
        <f t="shared" si="28"/>
        <v>56.393718243688085</v>
      </c>
      <c r="L212">
        <f t="shared" si="29"/>
        <v>-92.140622882757782</v>
      </c>
      <c r="M212">
        <f t="shared" si="30"/>
        <v>-24.6605299101154</v>
      </c>
      <c r="N212">
        <f t="shared" si="31"/>
        <v>-659.755074447732</v>
      </c>
    </row>
    <row r="213" spans="7:14" x14ac:dyDescent="0.25">
      <c r="G213">
        <f t="shared" si="26"/>
        <v>3.2000000000000028</v>
      </c>
      <c r="H213">
        <f t="shared" si="24"/>
        <v>15848.931924611257</v>
      </c>
      <c r="I213" t="str">
        <f t="shared" si="27"/>
        <v>99581.7762032069j</v>
      </c>
      <c r="J213" t="str">
        <f t="shared" si="25"/>
        <v>-24.6954413169845-629.973406927457j</v>
      </c>
      <c r="K213">
        <f t="shared" si="28"/>
        <v>55.993113020903465</v>
      </c>
      <c r="L213">
        <f t="shared" si="29"/>
        <v>-92.244889118794774</v>
      </c>
      <c r="M213">
        <f t="shared" si="30"/>
        <v>-24.6954413169845</v>
      </c>
      <c r="N213">
        <f t="shared" si="31"/>
        <v>-629.97340692745695</v>
      </c>
    </row>
    <row r="214" spans="7:14" x14ac:dyDescent="0.25">
      <c r="G214">
        <f t="shared" si="26"/>
        <v>3.2200000000000029</v>
      </c>
      <c r="H214">
        <f t="shared" si="24"/>
        <v>16595.869074375729</v>
      </c>
      <c r="I214" t="str">
        <f t="shared" si="27"/>
        <v>104274.920727994j</v>
      </c>
      <c r="J214" t="str">
        <f t="shared" si="25"/>
        <v>-24.7266367202219-601.52802006472j</v>
      </c>
      <c r="K214">
        <f t="shared" si="28"/>
        <v>55.592449473525818</v>
      </c>
      <c r="L214">
        <f t="shared" si="29"/>
        <v>-92.353896609422009</v>
      </c>
      <c r="M214">
        <f t="shared" si="30"/>
        <v>-24.726636720221901</v>
      </c>
      <c r="N214">
        <f t="shared" si="31"/>
        <v>-601.52802006471995</v>
      </c>
    </row>
    <row r="215" spans="7:14" x14ac:dyDescent="0.25">
      <c r="G215">
        <f t="shared" si="26"/>
        <v>3.2400000000000029</v>
      </c>
      <c r="H215">
        <f t="shared" si="24"/>
        <v>17378.008287493882</v>
      </c>
      <c r="I215" t="str">
        <f t="shared" si="27"/>
        <v>109189.246340027j</v>
      </c>
      <c r="J215" t="str">
        <f t="shared" si="25"/>
        <v>-24.7543812626983-574.358581897667j</v>
      </c>
      <c r="K215">
        <f t="shared" si="28"/>
        <v>55.191721996790911</v>
      </c>
      <c r="L215">
        <f t="shared" si="29"/>
        <v>-92.46787354993549</v>
      </c>
      <c r="M215">
        <f t="shared" si="30"/>
        <v>-24.754381262698299</v>
      </c>
      <c r="N215">
        <f t="shared" si="31"/>
        <v>-574.35858189766702</v>
      </c>
    </row>
    <row r="216" spans="7:14" x14ac:dyDescent="0.25">
      <c r="G216">
        <f t="shared" si="26"/>
        <v>3.2600000000000029</v>
      </c>
      <c r="H216">
        <f t="shared" si="24"/>
        <v>18197.008586099961</v>
      </c>
      <c r="I216" t="str">
        <f t="shared" si="27"/>
        <v>114335.176982804j</v>
      </c>
      <c r="J216" t="str">
        <f t="shared" si="25"/>
        <v>-24.7789108583375-548.407467435608j</v>
      </c>
      <c r="K216">
        <f t="shared" si="28"/>
        <v>54.79092444890771</v>
      </c>
      <c r="L216">
        <f t="shared" si="29"/>
        <v>-92.587058230130069</v>
      </c>
      <c r="M216">
        <f t="shared" si="30"/>
        <v>-24.7789108583375</v>
      </c>
      <c r="N216">
        <f t="shared" si="31"/>
        <v>-548.40746743560805</v>
      </c>
    </row>
    <row r="217" spans="7:14" x14ac:dyDescent="0.25">
      <c r="G217">
        <f t="shared" si="26"/>
        <v>3.2800000000000029</v>
      </c>
      <c r="H217">
        <f t="shared" si="24"/>
        <v>19054.607179632618</v>
      </c>
      <c r="I217" t="str">
        <f t="shared" si="27"/>
        <v>119723.627865146j</v>
      </c>
      <c r="J217" t="str">
        <f t="shared" si="25"/>
        <v>-24.8004342079295-523.619636523429j</v>
      </c>
      <c r="K217">
        <f t="shared" si="28"/>
        <v>54.390050100063043</v>
      </c>
      <c r="L217">
        <f t="shared" si="29"/>
        <v>-92.711699474043826</v>
      </c>
      <c r="M217">
        <f t="shared" si="30"/>
        <v>-24.800434207929499</v>
      </c>
      <c r="N217">
        <f t="shared" si="31"/>
        <v>-523.61963652342899</v>
      </c>
    </row>
    <row r="218" spans="7:14" x14ac:dyDescent="0.25">
      <c r="G218">
        <f t="shared" si="26"/>
        <v>3.3000000000000029</v>
      </c>
      <c r="H218">
        <f t="shared" si="24"/>
        <v>19952.623149688949</v>
      </c>
      <c r="I218" t="str">
        <f t="shared" si="27"/>
        <v>125366.028613817j</v>
      </c>
      <c r="J218" t="str">
        <f t="shared" si="25"/>
        <v>-24.8191345865711-499.942517200056j</v>
      </c>
      <c r="K218">
        <f t="shared" si="28"/>
        <v>53.989091576664272</v>
      </c>
      <c r="L218">
        <f t="shared" si="29"/>
        <v>-92.842057092425122</v>
      </c>
      <c r="M218">
        <f t="shared" si="30"/>
        <v>-24.819134586571099</v>
      </c>
      <c r="N218">
        <f t="shared" si="31"/>
        <v>-499.94251720005599</v>
      </c>
    </row>
    <row r="219" spans="7:14" x14ac:dyDescent="0.25">
      <c r="G219">
        <f t="shared" si="26"/>
        <v>3.3200000000000029</v>
      </c>
      <c r="H219">
        <f t="shared" si="24"/>
        <v>20892.961308540547</v>
      </c>
      <c r="I219" t="str">
        <f t="shared" si="27"/>
        <v>131274.347517294j</v>
      </c>
      <c r="J219" t="str">
        <f t="shared" si="25"/>
        <v>-24.8351714184273-477.325894305465j</v>
      </c>
      <c r="K219">
        <f t="shared" si="28"/>
        <v>53.588040800392619</v>
      </c>
      <c r="L219">
        <f t="shared" si="29"/>
        <v>-92.978402347484206</v>
      </c>
      <c r="M219">
        <f t="shared" si="30"/>
        <v>-24.835171418427301</v>
      </c>
      <c r="N219">
        <f t="shared" si="31"/>
        <v>-477.325894305465</v>
      </c>
    </row>
    <row r="220" spans="7:14" x14ac:dyDescent="0.25">
      <c r="G220">
        <f t="shared" si="26"/>
        <v>3.340000000000003</v>
      </c>
      <c r="H220">
        <f t="shared" si="24"/>
        <v>21877.616239495685</v>
      </c>
      <c r="I220" t="str">
        <f t="shared" si="27"/>
        <v>137461.116912113j</v>
      </c>
      <c r="J220" t="str">
        <f t="shared" si="25"/>
        <v>-24.8486816528136-455.721803102116j</v>
      </c>
      <c r="K220">
        <f t="shared" si="28"/>
        <v>53.186888921604343</v>
      </c>
      <c r="L220">
        <f t="shared" si="29"/>
        <v>-93.121018429319363</v>
      </c>
      <c r="M220">
        <f t="shared" si="30"/>
        <v>-24.8486816528136</v>
      </c>
      <c r="N220">
        <f t="shared" si="31"/>
        <v>-455.72180310211598</v>
      </c>
    </row>
    <row r="221" spans="7:14" x14ac:dyDescent="0.25">
      <c r="G221">
        <f t="shared" si="26"/>
        <v>3.360000000000003</v>
      </c>
      <c r="H221">
        <f t="shared" si="24"/>
        <v>22908.676527677912</v>
      </c>
      <c r="I221" t="str">
        <f t="shared" si="27"/>
        <v>143939.459765636j</v>
      </c>
      <c r="J221" t="str">
        <f t="shared" si="25"/>
        <v>-24.8597809540309-435.084427687633j</v>
      </c>
      <c r="K221">
        <f t="shared" si="28"/>
        <v>52.785626246581614</v>
      </c>
      <c r="L221">
        <f t="shared" si="29"/>
        <v>-93.270200943203406</v>
      </c>
      <c r="M221">
        <f t="shared" si="30"/>
        <v>-24.859780954030899</v>
      </c>
      <c r="N221">
        <f t="shared" si="31"/>
        <v>-435.08442768763302</v>
      </c>
    </row>
    <row r="222" spans="7:14" x14ac:dyDescent="0.25">
      <c r="G222">
        <f t="shared" si="26"/>
        <v>3.380000000000003</v>
      </c>
      <c r="H222">
        <f t="shared" si="24"/>
        <v>23988.329190195091</v>
      </c>
      <c r="I222" t="str">
        <f t="shared" si="27"/>
        <v>150723.117511621j</v>
      </c>
      <c r="J222" t="str">
        <f t="shared" si="25"/>
        <v>-24.8685647159546-415.370003985938j</v>
      </c>
      <c r="K222">
        <f t="shared" si="28"/>
        <v>52.384242158093926</v>
      </c>
      <c r="L222">
        <f t="shared" si="29"/>
        <v>-93.426258406682066</v>
      </c>
      <c r="M222">
        <f t="shared" si="30"/>
        <v>-24.868564715954601</v>
      </c>
      <c r="N222">
        <f t="shared" si="31"/>
        <v>-415.37000398593801</v>
      </c>
    </row>
    <row r="223" spans="7:14" x14ac:dyDescent="0.25">
      <c r="G223">
        <f t="shared" si="26"/>
        <v>3.400000000000003</v>
      </c>
      <c r="H223">
        <f t="shared" si="24"/>
        <v>25118.864315095991</v>
      </c>
      <c r="I223" t="str">
        <f t="shared" si="27"/>
        <v>157826.479197649j</v>
      </c>
      <c r="J223" t="str">
        <f t="shared" si="25"/>
        <v>-24.8751089110658-396.536727114133j</v>
      </c>
      <c r="K223">
        <f t="shared" si="28"/>
        <v>51.982725028690311</v>
      </c>
      <c r="L223">
        <f t="shared" si="29"/>
        <v>-93.589512755161707</v>
      </c>
      <c r="M223">
        <f t="shared" si="30"/>
        <v>-24.875108911065801</v>
      </c>
      <c r="N223">
        <f t="shared" si="31"/>
        <v>-396.53672711413299</v>
      </c>
    </row>
    <row r="224" spans="7:14" x14ac:dyDescent="0.25">
      <c r="G224">
        <f t="shared" si="26"/>
        <v>3.420000000000003</v>
      </c>
      <c r="H224">
        <f t="shared" si="24"/>
        <v>26302.679918954014</v>
      </c>
      <c r="I224" t="str">
        <f t="shared" si="27"/>
        <v>165264.612006219j</v>
      </c>
      <c r="J224" t="str">
        <f t="shared" si="25"/>
        <v>-24.8794707824224-378.54466293217j</v>
      </c>
      <c r="K224">
        <f t="shared" si="28"/>
        <v>51.581062126101443</v>
      </c>
      <c r="L224">
        <f t="shared" si="29"/>
        <v>-93.760299854348133</v>
      </c>
      <c r="M224">
        <f t="shared" si="30"/>
        <v>-24.879470782422398</v>
      </c>
      <c r="N224">
        <f t="shared" si="31"/>
        <v>-378.54466293217001</v>
      </c>
    </row>
    <row r="225" spans="7:14" x14ac:dyDescent="0.25">
      <c r="G225">
        <f t="shared" si="26"/>
        <v>3.4400000000000031</v>
      </c>
      <c r="H225">
        <f t="shared" si="24"/>
        <v>27542.287033381886</v>
      </c>
      <c r="I225" t="str">
        <f t="shared" si="27"/>
        <v>173053.293214268j</v>
      </c>
      <c r="J225" t="str">
        <f t="shared" si="25"/>
        <v>-24.8816893859771-361.355663591504j</v>
      </c>
      <c r="K225">
        <f t="shared" si="28"/>
        <v>51.179239510082517</v>
      </c>
      <c r="L225">
        <f t="shared" si="29"/>
        <v>-93.938970017534004</v>
      </c>
      <c r="M225">
        <f t="shared" si="30"/>
        <v>-24.881689385977101</v>
      </c>
      <c r="N225">
        <f t="shared" si="31"/>
        <v>-361.35566359150403</v>
      </c>
    </row>
    <row r="226" spans="7:14" x14ac:dyDescent="0.25">
      <c r="G226">
        <f t="shared" si="26"/>
        <v>3.4600000000000031</v>
      </c>
      <c r="H226">
        <f t="shared" si="24"/>
        <v>28840.315031266287</v>
      </c>
      <c r="I226" t="str">
        <f t="shared" si="27"/>
        <v>181209.043658883j</v>
      </c>
      <c r="J226" t="str">
        <f t="shared" si="25"/>
        <v>-24.8817859896861-344.933286908109j</v>
      </c>
      <c r="K226">
        <f t="shared" si="28"/>
        <v>50.777241919986558</v>
      </c>
      <c r="L226">
        <f t="shared" si="29"/>
        <v>-94.125888525312817</v>
      </c>
      <c r="M226">
        <f t="shared" si="30"/>
        <v>-24.881785989686101</v>
      </c>
      <c r="N226">
        <f t="shared" si="31"/>
        <v>-344.93328690810898</v>
      </c>
    </row>
    <row r="227" spans="7:14" x14ac:dyDescent="0.25">
      <c r="G227">
        <f t="shared" si="26"/>
        <v>3.4800000000000031</v>
      </c>
      <c r="H227">
        <f t="shared" si="24"/>
        <v>30199.517204020391</v>
      </c>
      <c r="I227" t="str">
        <f t="shared" si="27"/>
        <v>189749.162780218j</v>
      </c>
      <c r="J227" t="str">
        <f t="shared" si="25"/>
        <v>-24.8797643349826-329.242719393694j</v>
      </c>
      <c r="K227">
        <f t="shared" si="28"/>
        <v>50.375052652305996</v>
      </c>
      <c r="L227">
        <f t="shared" si="29"/>
        <v>-94.321436144818193</v>
      </c>
      <c r="M227">
        <f t="shared" si="30"/>
        <v>-24.8797643349826</v>
      </c>
      <c r="N227">
        <f t="shared" si="31"/>
        <v>-329.24271939369402</v>
      </c>
    </row>
    <row r="228" spans="7:14" x14ac:dyDescent="0.25">
      <c r="G228">
        <f t="shared" si="26"/>
        <v>3.5000000000000031</v>
      </c>
      <c r="H228">
        <f t="shared" si="24"/>
        <v>31622.776601684025</v>
      </c>
      <c r="I228" t="str">
        <f t="shared" si="27"/>
        <v>198691.765315923j</v>
      </c>
      <c r="J228" t="str">
        <f t="shared" si="25"/>
        <v>-24.8756107654506-314.250702787543j</v>
      </c>
      <c r="K228">
        <f t="shared" si="28"/>
        <v>49.972653427378162</v>
      </c>
      <c r="L228">
        <f t="shared" si="29"/>
        <v>-94.526009645036012</v>
      </c>
      <c r="M228">
        <f t="shared" si="30"/>
        <v>-24.875610765450599</v>
      </c>
      <c r="N228">
        <f t="shared" si="31"/>
        <v>-314.25070278754299</v>
      </c>
    </row>
    <row r="229" spans="7:14" x14ac:dyDescent="0.25">
      <c r="G229">
        <f t="shared" si="26"/>
        <v>3.5200000000000031</v>
      </c>
      <c r="H229">
        <f t="shared" si="24"/>
        <v>33113.112148259344</v>
      </c>
      <c r="I229" t="str">
        <f t="shared" si="27"/>
        <v>208055.819724933j</v>
      </c>
      <c r="J229" t="str">
        <f t="shared" si="25"/>
        <v>-24.8692942268968-299.925463939371j</v>
      </c>
      <c r="K229">
        <f t="shared" si="28"/>
        <v>49.570024244400031</v>
      </c>
      <c r="L229">
        <f t="shared" si="29"/>
        <v>-94.740022304110994</v>
      </c>
      <c r="M229">
        <f t="shared" si="30"/>
        <v>-24.869294226896798</v>
      </c>
      <c r="N229">
        <f t="shared" si="31"/>
        <v>-299.92546393937101</v>
      </c>
    </row>
    <row r="230" spans="7:14" x14ac:dyDescent="0.25">
      <c r="G230">
        <f t="shared" si="26"/>
        <v>3.5400000000000031</v>
      </c>
      <c r="H230">
        <f t="shared" si="24"/>
        <v>34673.685045253471</v>
      </c>
      <c r="I230" t="str">
        <f t="shared" si="27"/>
        <v>217861.188422109j</v>
      </c>
      <c r="J230" t="str">
        <f t="shared" si="25"/>
        <v>-24.8607661425271-286.236647901573j</v>
      </c>
      <c r="K230">
        <f t="shared" si="28"/>
        <v>49.167143223854879</v>
      </c>
      <c r="L230">
        <f t="shared" si="29"/>
        <v>-94.963904403855196</v>
      </c>
      <c r="M230">
        <f t="shared" si="30"/>
        <v>-24.860766142527101</v>
      </c>
      <c r="N230">
        <f t="shared" si="31"/>
        <v>-286.23664790157301</v>
      </c>
    </row>
    <row r="231" spans="7:14" x14ac:dyDescent="0.25">
      <c r="G231">
        <f t="shared" si="26"/>
        <v>3.5600000000000032</v>
      </c>
      <c r="H231">
        <f t="shared" si="24"/>
        <v>36307.80547701045</v>
      </c>
      <c r="I231" t="str">
        <f t="shared" si="27"/>
        <v>228128.669909087j</v>
      </c>
      <c r="J231" t="str">
        <f t="shared" si="25"/>
        <v>-24.8499601665658-273.155254096817j</v>
      </c>
      <c r="K231">
        <f t="shared" si="28"/>
        <v>48.763986436408821</v>
      </c>
      <c r="L231">
        <f t="shared" si="29"/>
        <v>-95.198103705857093</v>
      </c>
      <c r="M231">
        <f t="shared" si="30"/>
        <v>-24.849960166565801</v>
      </c>
      <c r="N231">
        <f t="shared" si="31"/>
        <v>-273.15525409681698</v>
      </c>
    </row>
    <row r="232" spans="7:14" x14ac:dyDescent="0.25">
      <c r="G232">
        <f t="shared" si="26"/>
        <v>3.5800000000000032</v>
      </c>
      <c r="H232">
        <f t="shared" si="24"/>
        <v>38018.939632056441</v>
      </c>
      <c r="I232" t="str">
        <f t="shared" si="27"/>
        <v>238880.042890685j</v>
      </c>
      <c r="J232" t="str">
        <f t="shared" si="25"/>
        <v>-24.8367918194548-260.653575434489j</v>
      </c>
      <c r="K232">
        <f t="shared" si="28"/>
        <v>48.360527717299306</v>
      </c>
      <c r="L232">
        <f t="shared" si="29"/>
        <v>-95.443085902673488</v>
      </c>
      <c r="M232">
        <f t="shared" si="30"/>
        <v>-24.836791819454799</v>
      </c>
      <c r="N232">
        <f t="shared" si="31"/>
        <v>-260.65357543448903</v>
      </c>
    </row>
    <row r="233" spans="7:14" x14ac:dyDescent="0.25">
      <c r="G233">
        <f t="shared" si="26"/>
        <v>3.6000000000000032</v>
      </c>
      <c r="H233">
        <f t="shared" si="24"/>
        <v>39810.717055350047</v>
      </c>
      <c r="I233" t="str">
        <f t="shared" si="27"/>
        <v>250138.112470459j</v>
      </c>
      <c r="J233" t="str">
        <f t="shared" si="25"/>
        <v>-24.8211580077349-248.705140256671j</v>
      </c>
      <c r="K233">
        <f t="shared" si="28"/>
        <v>47.956738465202591</v>
      </c>
      <c r="L233">
        <f t="shared" si="29"/>
        <v>-95.699335036555041</v>
      </c>
      <c r="M233">
        <f t="shared" si="30"/>
        <v>-24.821158007734901</v>
      </c>
      <c r="N233">
        <f t="shared" si="31"/>
        <v>-248.705140256671</v>
      </c>
    </row>
    <row r="234" spans="7:14" x14ac:dyDescent="0.25">
      <c r="G234">
        <f t="shared" si="26"/>
        <v>3.6200000000000032</v>
      </c>
      <c r="H234">
        <f t="shared" si="24"/>
        <v>41686.938347033873</v>
      </c>
      <c r="I234" t="str">
        <f t="shared" si="27"/>
        <v>261926.758523384j</v>
      </c>
      <c r="J234" t="str">
        <f t="shared" si="25"/>
        <v>-24.8029364318742-237.284657001521j</v>
      </c>
      <c r="K234">
        <f t="shared" si="28"/>
        <v>47.552587424544953</v>
      </c>
      <c r="L234">
        <f t="shared" si="29"/>
        <v>-95.967353876994181</v>
      </c>
      <c r="M234">
        <f t="shared" si="30"/>
        <v>-24.802936431874201</v>
      </c>
      <c r="N234">
        <f t="shared" si="31"/>
        <v>-237.284657001521</v>
      </c>
    </row>
    <row r="235" spans="7:14" x14ac:dyDescent="0.25">
      <c r="G235">
        <f t="shared" si="26"/>
        <v>3.6400000000000032</v>
      </c>
      <c r="H235">
        <f t="shared" si="24"/>
        <v>43651.58322401694</v>
      </c>
      <c r="I235" t="str">
        <f t="shared" si="27"/>
        <v>274270.98634827j</v>
      </c>
      <c r="J235" t="str">
        <f t="shared" si="25"/>
        <v>-24.7819848857069-226.367961478824j</v>
      </c>
      <c r="K235">
        <f t="shared" si="28"/>
        <v>47.148040450208114</v>
      </c>
      <c r="L235">
        <f t="shared" si="29"/>
        <v>-96.247664247087584</v>
      </c>
      <c r="M235">
        <f t="shared" si="30"/>
        <v>-24.781984885706901</v>
      </c>
      <c r="N235">
        <f t="shared" si="31"/>
        <v>-226.36796147882399</v>
      </c>
    </row>
    <row r="236" spans="7:14" x14ac:dyDescent="0.25">
      <c r="G236">
        <f t="shared" si="26"/>
        <v>3.6600000000000033</v>
      </c>
      <c r="H236">
        <f t="shared" si="24"/>
        <v>45708.81896148785</v>
      </c>
      <c r="I236" t="str">
        <f t="shared" si="27"/>
        <v>287196.979707352j</v>
      </c>
      <c r="J236" t="str">
        <f t="shared" si="25"/>
        <v>-24.7581404517864-215.9319666593j</v>
      </c>
      <c r="K236">
        <f t="shared" si="28"/>
        <v>46.743060253580559</v>
      </c>
      <c r="L236">
        <f t="shared" si="29"/>
        <v>-96.5408072872536</v>
      </c>
      <c r="M236">
        <f t="shared" si="30"/>
        <v>-24.758140451786399</v>
      </c>
      <c r="N236">
        <f t="shared" si="31"/>
        <v>-215.9319666593</v>
      </c>
    </row>
    <row r="237" spans="7:14" x14ac:dyDescent="0.25">
      <c r="G237">
        <f t="shared" si="26"/>
        <v>3.6800000000000033</v>
      </c>
      <c r="H237">
        <f t="shared" si="24"/>
        <v>47863.009232264194</v>
      </c>
      <c r="I237" t="str">
        <f t="shared" si="27"/>
        <v>300732.156365563j</v>
      </c>
      <c r="J237" t="str">
        <f t="shared" si="25"/>
        <v>-24.7312185979111-205.954614885895j</v>
      </c>
      <c r="K237">
        <f t="shared" si="28"/>
        <v>46.337606128925373</v>
      </c>
      <c r="L237">
        <f t="shared" si="29"/>
        <v>-96.847343643237849</v>
      </c>
      <c r="M237">
        <f t="shared" si="30"/>
        <v>-24.731218597911099</v>
      </c>
      <c r="N237">
        <f t="shared" si="31"/>
        <v>-205.95461488589501</v>
      </c>
    </row>
    <row r="238" spans="7:14" x14ac:dyDescent="0.25">
      <c r="G238">
        <f t="shared" si="26"/>
        <v>3.7000000000000033</v>
      </c>
      <c r="H238">
        <f t="shared" si="24"/>
        <v>50118.72336272768</v>
      </c>
      <c r="I238" t="str">
        <f t="shared" si="27"/>
        <v>314905.226247289j</v>
      </c>
      <c r="J238" t="str">
        <f t="shared" si="25"/>
        <v>-24.7010121813736-196.414832421799j</v>
      </c>
      <c r="K238">
        <f t="shared" si="28"/>
        <v>45.931633659077633</v>
      </c>
      <c r="L238">
        <f t="shared" si="29"/>
        <v>-97.167853563563114</v>
      </c>
      <c r="M238">
        <f t="shared" si="30"/>
        <v>-24.701012181373599</v>
      </c>
      <c r="N238">
        <f t="shared" si="31"/>
        <v>-196.41483242179899</v>
      </c>
    </row>
    <row r="239" spans="7:14" x14ac:dyDescent="0.25">
      <c r="G239">
        <f t="shared" si="26"/>
        <v>3.7200000000000033</v>
      </c>
      <c r="H239">
        <f t="shared" si="24"/>
        <v>52480.746024977721</v>
      </c>
      <c r="I239" t="str">
        <f t="shared" si="27"/>
        <v>329746.252333963j</v>
      </c>
      <c r="J239" t="str">
        <f t="shared" si="25"/>
        <v>-24.6672903691618-187.292486256228j</v>
      </c>
      <c r="K239">
        <f t="shared" si="28"/>
        <v>45.52509439955309</v>
      </c>
      <c r="L239">
        <f t="shared" si="29"/>
        <v>-97.502936889624934</v>
      </c>
      <c r="M239">
        <f t="shared" si="30"/>
        <v>-24.667290369161801</v>
      </c>
      <c r="N239">
        <f t="shared" si="31"/>
        <v>-187.29248625622799</v>
      </c>
    </row>
    <row r="240" spans="7:14" x14ac:dyDescent="0.25">
      <c r="G240">
        <f t="shared" si="26"/>
        <v>3.7400000000000033</v>
      </c>
      <c r="H240">
        <f t="shared" si="24"/>
        <v>54954.087385762934</v>
      </c>
      <c r="I240" t="str">
        <f t="shared" si="27"/>
        <v>345286.714431689j</v>
      </c>
      <c r="J240" t="str">
        <f t="shared" si="25"/>
        <v>-24.6297974844873-178.568343095186j</v>
      </c>
      <c r="K240">
        <f t="shared" si="28"/>
        <v>45.117935540255786</v>
      </c>
      <c r="L240">
        <f t="shared" si="29"/>
        <v>-97.853212919505239</v>
      </c>
      <c r="M240">
        <f t="shared" si="30"/>
        <v>-24.629797484487302</v>
      </c>
      <c r="N240">
        <f t="shared" si="31"/>
        <v>-178.56834309518601</v>
      </c>
    </row>
    <row r="241" spans="7:14" x14ac:dyDescent="0.25">
      <c r="G241">
        <f t="shared" si="26"/>
        <v>3.7600000000000033</v>
      </c>
      <c r="H241">
        <f t="shared" si="24"/>
        <v>57543.993733716183</v>
      </c>
      <c r="I241" t="str">
        <f t="shared" si="27"/>
        <v>361559.57594412j</v>
      </c>
      <c r="J241" t="str">
        <f t="shared" si="25"/>
        <v>-24.588251792647-170.224030470319j</v>
      </c>
      <c r="K241">
        <f t="shared" si="28"/>
        <v>44.710099544117796</v>
      </c>
      <c r="L241">
        <f t="shared" si="29"/>
        <v>-98.219320124261628</v>
      </c>
      <c r="M241">
        <f t="shared" si="30"/>
        <v>-24.588251792647</v>
      </c>
      <c r="N241">
        <f t="shared" si="31"/>
        <v>-170.22403047031901</v>
      </c>
    </row>
    <row r="242" spans="7:14" x14ac:dyDescent="0.25">
      <c r="G242">
        <f t="shared" si="26"/>
        <v>3.7800000000000034</v>
      </c>
      <c r="H242">
        <f t="shared" si="24"/>
        <v>60255.958607436274</v>
      </c>
      <c r="I242" t="str">
        <f t="shared" si="27"/>
        <v>378599.353792265j</v>
      </c>
      <c r="J242" t="str">
        <f t="shared" si="25"/>
        <v>-24.54234424246-162.241999904576j</v>
      </c>
      <c r="K242">
        <f t="shared" si="28"/>
        <v>44.301523762199551</v>
      </c>
      <c r="L242">
        <f t="shared" si="29"/>
        <v>-98.601915692971971</v>
      </c>
      <c r="M242">
        <f t="shared" si="30"/>
        <v>-24.54234424246</v>
      </c>
      <c r="N242">
        <f t="shared" si="31"/>
        <v>-162.24199990457601</v>
      </c>
    </row>
    <row r="243" spans="7:14" x14ac:dyDescent="0.25">
      <c r="G243">
        <f t="shared" si="26"/>
        <v>3.8000000000000034</v>
      </c>
      <c r="H243">
        <f t="shared" si="24"/>
        <v>63095.734448019837</v>
      </c>
      <c r="I243" t="str">
        <f t="shared" si="27"/>
        <v>396442.191629503j</v>
      </c>
      <c r="J243" t="str">
        <f t="shared" si="25"/>
        <v>-24.4917371833744-154.605492078722j</v>
      </c>
      <c r="K243">
        <f t="shared" si="28"/>
        <v>43.89214002503703</v>
      </c>
      <c r="L243">
        <f t="shared" si="29"/>
        <v>-99.001674880166675</v>
      </c>
      <c r="M243">
        <f t="shared" si="30"/>
        <v>-24.491737183374401</v>
      </c>
      <c r="N243">
        <f t="shared" si="31"/>
        <v>-154.60549207872199</v>
      </c>
    </row>
    <row r="244" spans="7:14" x14ac:dyDescent="0.25">
      <c r="G244">
        <f t="shared" si="26"/>
        <v>3.8200000000000034</v>
      </c>
      <c r="H244">
        <f t="shared" si="24"/>
        <v>66069.344800760126</v>
      </c>
      <c r="I244" t="str">
        <f t="shared" si="27"/>
        <v>415125.936507118j</v>
      </c>
      <c r="J244" t="str">
        <f t="shared" si="25"/>
        <v>-24.4360630829208-147.298503947513j</v>
      </c>
      <c r="K244">
        <f t="shared" si="28"/>
        <v>43.48187421034541</v>
      </c>
      <c r="L244">
        <f t="shared" si="29"/>
        <v>-99.419290126508145</v>
      </c>
      <c r="M244">
        <f t="shared" si="30"/>
        <v>-24.4360630829208</v>
      </c>
      <c r="N244">
        <f t="shared" si="31"/>
        <v>-147.29850394751301</v>
      </c>
    </row>
    <row r="245" spans="7:14" x14ac:dyDescent="0.25">
      <c r="G245">
        <f t="shared" si="26"/>
        <v>3.8400000000000034</v>
      </c>
      <c r="H245">
        <f t="shared" si="24"/>
        <v>69183.097091894306</v>
      </c>
      <c r="I245" t="str">
        <f t="shared" si="27"/>
        <v>434690.219152969j</v>
      </c>
      <c r="J245" t="str">
        <f t="shared" si="25"/>
        <v>-24.3749232745355-140.305757758622j</v>
      </c>
      <c r="K245">
        <f t="shared" si="28"/>
        <v>43.070645787597385</v>
      </c>
      <c r="L245">
        <f t="shared" si="29"/>
        <v>-99.855469920698496</v>
      </c>
      <c r="M245">
        <f t="shared" si="30"/>
        <v>-24.374923274535501</v>
      </c>
      <c r="N245">
        <f t="shared" si="31"/>
        <v>-140.30575775862201</v>
      </c>
    </row>
    <row r="246" spans="7:14" x14ac:dyDescent="0.25">
      <c r="G246">
        <f t="shared" si="26"/>
        <v>3.8600000000000034</v>
      </c>
      <c r="H246">
        <f t="shared" si="24"/>
        <v>72443.596007499684</v>
      </c>
      <c r="I246" t="str">
        <f t="shared" si="27"/>
        <v>455176.538033576j</v>
      </c>
      <c r="J246" t="str">
        <f t="shared" si="25"/>
        <v>-24.3078867719547-133.612671930911j</v>
      </c>
      <c r="K246">
        <f t="shared" si="28"/>
        <v>42.658367340494635</v>
      </c>
      <c r="L246">
        <f t="shared" si="29"/>
        <v>-100.31093736767352</v>
      </c>
      <c r="M246">
        <f t="shared" si="30"/>
        <v>-24.307886771954699</v>
      </c>
      <c r="N246">
        <f t="shared" si="31"/>
        <v>-133.61267193091101</v>
      </c>
    </row>
    <row r="247" spans="7:14" x14ac:dyDescent="0.25">
      <c r="G247">
        <f t="shared" si="26"/>
        <v>3.8800000000000034</v>
      </c>
      <c r="H247">
        <f t="shared" si="24"/>
        <v>75857.757502919063</v>
      </c>
      <c r="I247" t="str">
        <f t="shared" si="27"/>
        <v>476628.347377933j</v>
      </c>
      <c r="J247" t="str">
        <f t="shared" si="25"/>
        <v>-24.2344891934209-127.205333751249j</v>
      </c>
      <c r="K247">
        <f t="shared" si="28"/>
        <v>42.244944068960379</v>
      </c>
      <c r="L247">
        <f t="shared" si="29"/>
        <v>-100.78642842523587</v>
      </c>
      <c r="M247">
        <f t="shared" si="30"/>
        <v>-24.234489193420899</v>
      </c>
      <c r="N247">
        <f t="shared" si="31"/>
        <v>-127.205333751249</v>
      </c>
    </row>
    <row r="248" spans="7:14" x14ac:dyDescent="0.25">
      <c r="G248">
        <f t="shared" si="26"/>
        <v>3.9000000000000035</v>
      </c>
      <c r="H248">
        <f t="shared" si="24"/>
        <v>79432.823472428863</v>
      </c>
      <c r="I248" t="str">
        <f t="shared" si="27"/>
        <v>499091.149349755j</v>
      </c>
      <c r="J248" t="str">
        <f t="shared" si="25"/>
        <v>-24.1542318468741-121.070473850507j</v>
      </c>
      <c r="K248">
        <f t="shared" si="28"/>
        <v>41.830273273008885</v>
      </c>
      <c r="L248">
        <f t="shared" si="29"/>
        <v>-101.28268976849674</v>
      </c>
      <c r="M248">
        <f t="shared" si="30"/>
        <v>-24.154231846874101</v>
      </c>
      <c r="N248">
        <f t="shared" si="31"/>
        <v>-121.070473850507</v>
      </c>
    </row>
    <row r="249" spans="7:14" x14ac:dyDescent="0.25">
      <c r="G249">
        <f t="shared" si="26"/>
        <v>3.9200000000000035</v>
      </c>
      <c r="H249">
        <f t="shared" si="24"/>
        <v>83176.377110267815</v>
      </c>
      <c r="I249" t="str">
        <f t="shared" si="27"/>
        <v>522612.590563663j</v>
      </c>
      <c r="J249" t="str">
        <f t="shared" si="25"/>
        <v>-24.0665810360795-115.195442419429j</v>
      </c>
      <c r="K249">
        <f t="shared" si="28"/>
        <v>41.4142438217144</v>
      </c>
      <c r="L249">
        <f t="shared" si="29"/>
        <v>-101.80047623893573</v>
      </c>
      <c r="M249">
        <f t="shared" si="30"/>
        <v>-24.066581036079501</v>
      </c>
      <c r="N249">
        <f t="shared" si="31"/>
        <v>-115.195442419429</v>
      </c>
    </row>
    <row r="250" spans="7:14" x14ac:dyDescent="0.25">
      <c r="G250">
        <f t="shared" si="26"/>
        <v>3.9400000000000035</v>
      </c>
      <c r="H250">
        <f t="shared" si="24"/>
        <v>87096.358995608811</v>
      </c>
      <c r="I250" t="str">
        <f t="shared" si="27"/>
        <v>547242.563150048j</v>
      </c>
      <c r="J250" t="str">
        <f t="shared" si="25"/>
        <v>-23.9709676572239-109.568187123356j</v>
      </c>
      <c r="K250">
        <f t="shared" si="28"/>
        <v>40.9967356115122</v>
      </c>
      <c r="L250">
        <f t="shared" si="29"/>
        <v>-102.34054783272357</v>
      </c>
      <c r="M250">
        <f t="shared" si="30"/>
        <v>-23.970967657223898</v>
      </c>
      <c r="N250">
        <f t="shared" si="31"/>
        <v>-109.568187123356</v>
      </c>
    </row>
    <row r="251" spans="7:14" x14ac:dyDescent="0.25">
      <c r="G251">
        <f t="shared" si="26"/>
        <v>3.9600000000000035</v>
      </c>
      <c r="H251">
        <f t="shared" si="24"/>
        <v>91201.083935591741</v>
      </c>
      <c r="I251" t="str">
        <f t="shared" si="27"/>
        <v>573033.310582962j</v>
      </c>
      <c r="J251" t="str">
        <f t="shared" si="25"/>
        <v>-23.8667871657404-104.177232671036j</v>
      </c>
      <c r="K251">
        <f t="shared" si="28"/>
        <v>40.577619019237048</v>
      </c>
      <c r="L251">
        <f t="shared" si="29"/>
        <v>-102.90366618134817</v>
      </c>
      <c r="M251">
        <f t="shared" si="30"/>
        <v>-23.866787165740401</v>
      </c>
      <c r="N251">
        <f t="shared" si="31"/>
        <v>-104.17723267103599</v>
      </c>
    </row>
    <row r="252" spans="7:14" x14ac:dyDescent="0.25">
      <c r="G252">
        <f t="shared" si="26"/>
        <v>3.9800000000000035</v>
      </c>
      <c r="H252">
        <f t="shared" si="24"/>
        <v>95499.258602144386</v>
      </c>
      <c r="I252" t="str">
        <f t="shared" si="27"/>
        <v>600039.538495537j</v>
      </c>
      <c r="J252" t="str">
        <f t="shared" si="25"/>
        <v>-23.753400003792-99.0116619865454j</v>
      </c>
      <c r="K252">
        <f t="shared" si="28"/>
        <v>40.156754356644875</v>
      </c>
      <c r="L252">
        <f t="shared" si="29"/>
        <v>-103.49059047677881</v>
      </c>
      <c r="M252">
        <f t="shared" si="30"/>
        <v>-23.753400003791999</v>
      </c>
      <c r="N252">
        <f t="shared" si="31"/>
        <v>-99.011661986545406</v>
      </c>
    </row>
    <row r="253" spans="7:14" x14ac:dyDescent="0.25">
      <c r="G253">
        <f t="shared" si="26"/>
        <v>4.0000000000000036</v>
      </c>
      <c r="H253">
        <f t="shared" si="24"/>
        <v>100000.00000000099</v>
      </c>
      <c r="I253" t="str">
        <f t="shared" si="27"/>
        <v>628318.530717965j</v>
      </c>
      <c r="J253" t="str">
        <f t="shared" si="25"/>
        <v>-23.6301325896199-94.0610989242466j</v>
      </c>
      <c r="K253">
        <f t="shared" si="28"/>
        <v>39.733991334673689</v>
      </c>
      <c r="L253">
        <f t="shared" si="29"/>
        <v>-104.10207279365805</v>
      </c>
      <c r="M253">
        <f t="shared" si="30"/>
        <v>-23.630132589619901</v>
      </c>
      <c r="N253">
        <f t="shared" si="31"/>
        <v>-94.061098924246593</v>
      </c>
    </row>
    <row r="254" spans="7:14" x14ac:dyDescent="0.25">
      <c r="G254">
        <f t="shared" si="26"/>
        <v>4.0200000000000031</v>
      </c>
      <c r="H254">
        <f t="shared" si="24"/>
        <v>104712.85480509077</v>
      </c>
      <c r="I254" t="str">
        <f t="shared" si="27"/>
        <v>657930.270784176j</v>
      </c>
      <c r="J254" t="str">
        <f t="shared" si="25"/>
        <v>-23.4962789804042-89.31569245438j</v>
      </c>
      <c r="K254">
        <f t="shared" si="28"/>
        <v>39.30916854738399</v>
      </c>
      <c r="L254">
        <f t="shared" si="29"/>
        <v>-104.73885276263574</v>
      </c>
      <c r="M254">
        <f t="shared" si="30"/>
        <v>-23.496278980404199</v>
      </c>
      <c r="N254">
        <f t="shared" si="31"/>
        <v>-89.315692454379999</v>
      </c>
    </row>
    <row r="255" spans="7:14" x14ac:dyDescent="0.25">
      <c r="G255">
        <f t="shared" si="26"/>
        <v>4.0400000000000027</v>
      </c>
      <c r="H255">
        <f t="shared" si="24"/>
        <v>109647.81961431933</v>
      </c>
      <c r="I255" t="str">
        <f t="shared" si="27"/>
        <v>688937.569164969j</v>
      </c>
      <c r="J255" t="str">
        <f t="shared" si="25"/>
        <v>-23.3511033297707-84.7661022308798j</v>
      </c>
      <c r="K255">
        <f t="shared" si="28"/>
        <v>38.882112987361616</v>
      </c>
      <c r="L255">
        <f t="shared" si="29"/>
        <v>-105.40165155230495</v>
      </c>
      <c r="M255">
        <f t="shared" si="30"/>
        <v>-23.351103329770702</v>
      </c>
      <c r="N255">
        <f t="shared" si="31"/>
        <v>-84.766102230879795</v>
      </c>
    </row>
    <row r="256" spans="7:14" x14ac:dyDescent="0.25">
      <c r="G256">
        <f t="shared" si="26"/>
        <v>4.0600000000000023</v>
      </c>
      <c r="H256">
        <f t="shared" si="24"/>
        <v>114815.36214968891</v>
      </c>
      <c r="I256" t="str">
        <f t="shared" si="27"/>
        <v>721406.196497429j</v>
      </c>
      <c r="J256" t="str">
        <f t="shared" si="25"/>
        <v>-23.193843268855-80.4034854330172j</v>
      </c>
      <c r="K256">
        <f t="shared" si="28"/>
        <v>38.452639606349386</v>
      </c>
      <c r="L256">
        <f t="shared" si="29"/>
        <v>-106.09116512266567</v>
      </c>
      <c r="M256">
        <f t="shared" si="30"/>
        <v>-23.193843268855002</v>
      </c>
      <c r="N256">
        <f t="shared" si="31"/>
        <v>-80.403485433017195</v>
      </c>
    </row>
    <row r="257" spans="7:14" x14ac:dyDescent="0.25">
      <c r="G257">
        <f t="shared" si="26"/>
        <v>4.0800000000000018</v>
      </c>
      <c r="H257">
        <f t="shared" si="24"/>
        <v>120226.44346174195</v>
      </c>
      <c r="I257" t="str">
        <f t="shared" si="27"/>
        <v>755405.023093274j</v>
      </c>
      <c r="J257" t="str">
        <f t="shared" si="25"/>
        <v>-23.0237143449067-76.219484748264j</v>
      </c>
      <c r="K257">
        <f t="shared" si="28"/>
        <v>38.020550936960092</v>
      </c>
      <c r="L257">
        <f t="shared" si="29"/>
        <v>-106.80805672103675</v>
      </c>
      <c r="M257">
        <f t="shared" si="30"/>
        <v>-23.023714344906701</v>
      </c>
      <c r="N257">
        <f t="shared" si="31"/>
        <v>-76.219484748263994</v>
      </c>
    </row>
    <row r="258" spans="7:14" x14ac:dyDescent="0.25">
      <c r="G258">
        <f t="shared" si="26"/>
        <v>4.1000000000000014</v>
      </c>
      <c r="H258">
        <f t="shared" si="24"/>
        <v>125892.54117941715</v>
      </c>
      <c r="I258" t="str">
        <f t="shared" si="27"/>
        <v>791006.165022015j</v>
      </c>
      <c r="J258" t="str">
        <f t="shared" si="25"/>
        <v>-22.8399156526542-72.2062173353079j</v>
      </c>
      <c r="K258">
        <f t="shared" si="28"/>
        <v>37.585636793464424</v>
      </c>
      <c r="L258">
        <f t="shared" si="29"/>
        <v>-107.55294860231109</v>
      </c>
      <c r="M258">
        <f t="shared" si="30"/>
        <v>-22.839915652654199</v>
      </c>
      <c r="N258">
        <f t="shared" si="31"/>
        <v>-72.206217335307898</v>
      </c>
    </row>
    <row r="259" spans="7:14" x14ac:dyDescent="0.25">
      <c r="G259">
        <f t="shared" si="26"/>
        <v>4.120000000000001</v>
      </c>
      <c r="H259">
        <f t="shared" ref="H259:H322" si="32">$B$3*10^G259</f>
        <v>131825.67385564116</v>
      </c>
      <c r="I259" t="str">
        <f t="shared" si="27"/>
        <v>828285.137078813j</v>
      </c>
      <c r="J259" t="str">
        <f t="shared" ref="J259:J322" si="33">IMDIV(Aolv,IMPRODUCT(IMSUM(1,IMDIV(I259,wc)),IMSUM(1,(IMPRODUCT(I259,R_O,C_L)))))</f>
        <v>-22.6416367896735-68.3562645735932j</v>
      </c>
      <c r="K259">
        <f t="shared" si="28"/>
        <v>37.147674071767689</v>
      </c>
      <c r="L259">
        <f t="shared" si="29"/>
        <v>-108.32641296982278</v>
      </c>
      <c r="M259">
        <f t="shared" si="30"/>
        <v>-22.641636789673498</v>
      </c>
      <c r="N259">
        <f t="shared" si="31"/>
        <v>-68.356264573593194</v>
      </c>
    </row>
    <row r="260" spans="7:14" x14ac:dyDescent="0.25">
      <c r="G260">
        <f t="shared" ref="G260:G323" si="34">G259+(1/ppd)</f>
        <v>4.1400000000000006</v>
      </c>
      <c r="H260">
        <f t="shared" si="32"/>
        <v>138038.4264602889</v>
      </c>
      <c r="I260" t="str">
        <f t="shared" ref="I260:I323" si="35">COMPLEX(0,H260*2*PI(),"j")</f>
        <v>867321.012961477j</v>
      </c>
      <c r="J260" t="str">
        <f t="shared" si="33"/>
        <v>-22.4280662563114-64.6626623696328j</v>
      </c>
      <c r="K260">
        <f t="shared" ref="K260:K323" si="36">20*LOG(IMABS(J260))</f>
        <v>36.706426670696132</v>
      </c>
      <c r="L260">
        <f t="shared" ref="L260:L323" si="37">DEGREES(IMARGUMENT(J260))</f>
        <v>-109.12896215126945</v>
      </c>
      <c r="M260">
        <f t="shared" ref="M260:M323" si="38">IMREAL(J260)</f>
        <v>-22.4280662563114</v>
      </c>
      <c r="N260">
        <f t="shared" ref="N260:N323" si="39">IMAGINARY(J260)</f>
        <v>-64.662662369632798</v>
      </c>
    </row>
    <row r="261" spans="7:14" x14ac:dyDescent="0.25">
      <c r="G261">
        <f t="shared" si="34"/>
        <v>4.16</v>
      </c>
      <c r="H261">
        <f t="shared" si="32"/>
        <v>144543.9770745929</v>
      </c>
      <c r="I261" t="str">
        <f t="shared" si="35"/>
        <v>908196.592996385j</v>
      </c>
      <c r="J261" t="str">
        <f t="shared" si="33"/>
        <v>-22.1984014016953-61.1188917515681j</v>
      </c>
      <c r="K261">
        <f t="shared" si="36"/>
        <v>36.261645558487032</v>
      </c>
      <c r="L261">
        <f t="shared" si="37"/>
        <v>-109.96103804643853</v>
      </c>
      <c r="M261">
        <f t="shared" si="38"/>
        <v>-22.1984014016953</v>
      </c>
      <c r="N261">
        <f t="shared" si="39"/>
        <v>-61.1188917515681</v>
      </c>
    </row>
    <row r="262" spans="7:14" x14ac:dyDescent="0.25">
      <c r="G262">
        <f t="shared" si="34"/>
        <v>4.18</v>
      </c>
      <c r="H262">
        <f t="shared" si="32"/>
        <v>151356.12484362096</v>
      </c>
      <c r="I262" t="str">
        <f t="shared" si="35"/>
        <v>950998.579769078j</v>
      </c>
      <c r="J262" t="str">
        <f t="shared" si="33"/>
        <v>-21.9518599883449-57.7188694434741j</v>
      </c>
      <c r="K262">
        <f t="shared" si="36"/>
        <v>35.813069009769379</v>
      </c>
      <c r="L262">
        <f t="shared" si="37"/>
        <v>-110.82300091009846</v>
      </c>
      <c r="M262">
        <f t="shared" si="38"/>
        <v>-21.9518599883449</v>
      </c>
      <c r="N262">
        <f t="shared" si="39"/>
        <v>-57.718869443474098</v>
      </c>
    </row>
    <row r="263" spans="7:14" x14ac:dyDescent="0.25">
      <c r="G263">
        <f t="shared" si="34"/>
        <v>4.1999999999999993</v>
      </c>
      <c r="H263">
        <f t="shared" si="32"/>
        <v>158489.3192461112</v>
      </c>
      <c r="I263" t="str">
        <f t="shared" si="35"/>
        <v>995817.762032061j</v>
      </c>
      <c r="J263" t="str">
        <f t="shared" si="33"/>
        <v>-21.6876934074163-54.4569380717865j</v>
      </c>
      <c r="K263">
        <f t="shared" si="36"/>
        <v>35.360423039167088</v>
      </c>
      <c r="L263">
        <f t="shared" si="37"/>
        <v>-111.71511756438048</v>
      </c>
      <c r="M263">
        <f t="shared" si="38"/>
        <v>-21.687693407416301</v>
      </c>
      <c r="N263">
        <f t="shared" si="39"/>
        <v>-54.456938071786503</v>
      </c>
    </row>
    <row r="264" spans="7:14" x14ac:dyDescent="0.25">
      <c r="G264">
        <f t="shared" si="34"/>
        <v>4.2199999999999989</v>
      </c>
      <c r="H264">
        <f t="shared" si="32"/>
        <v>165958.69074375587</v>
      </c>
      <c r="I264" t="str">
        <f t="shared" si="35"/>
        <v>1042749.20727993j</v>
      </c>
      <c r="J264" t="str">
        <f t="shared" si="33"/>
        <v>-21.4052015233677-51.3278556205962j</v>
      </c>
      <c r="K264">
        <f t="shared" si="36"/>
        <v>34.903422057752536</v>
      </c>
      <c r="L264">
        <f t="shared" si="37"/>
        <v>-112.63754917003935</v>
      </c>
      <c r="M264">
        <f t="shared" si="38"/>
        <v>-21.405201523367701</v>
      </c>
      <c r="N264">
        <f t="shared" si="39"/>
        <v>-51.327855620596203</v>
      </c>
    </row>
    <row r="265" spans="7:14" x14ac:dyDescent="0.25">
      <c r="G265">
        <f t="shared" si="34"/>
        <v>4.2399999999999984</v>
      </c>
      <c r="H265">
        <f t="shared" si="32"/>
        <v>173780.08287493698</v>
      </c>
      <c r="I265" t="str">
        <f t="shared" si="35"/>
        <v>1091892.46340025j</v>
      </c>
      <c r="J265" t="str">
        <f t="shared" si="33"/>
        <v>-21.1037490601752-48.3267837238519j</v>
      </c>
      <c r="K265">
        <f t="shared" si="36"/>
        <v>34.441769777727004</v>
      </c>
      <c r="L265">
        <f t="shared" si="37"/>
        <v>-113.5903387246079</v>
      </c>
      <c r="M265">
        <f t="shared" si="38"/>
        <v>-21.1037490601752</v>
      </c>
      <c r="N265">
        <f t="shared" si="39"/>
        <v>-48.326783723851896</v>
      </c>
    </row>
    <row r="266" spans="7:14" x14ac:dyDescent="0.25">
      <c r="G266">
        <f t="shared" si="34"/>
        <v>4.259999999999998</v>
      </c>
      <c r="H266">
        <f t="shared" si="32"/>
        <v>181970.08586099773</v>
      </c>
      <c r="I266" t="str">
        <f t="shared" si="35"/>
        <v>1143351.76982803j</v>
      </c>
      <c r="J266" t="str">
        <f t="shared" si="33"/>
        <v>-20.7827833611671-45.4492743646268j</v>
      </c>
      <c r="K266">
        <f t="shared" si="36"/>
        <v>33.975160388679441</v>
      </c>
      <c r="L266">
        <f t="shared" si="37"/>
        <v>-114.57339849671538</v>
      </c>
      <c r="M266">
        <f t="shared" si="38"/>
        <v>-20.782783361167098</v>
      </c>
      <c r="N266">
        <f t="shared" si="39"/>
        <v>-45.449274364626802</v>
      </c>
    </row>
    <row r="267" spans="7:14" x14ac:dyDescent="0.25">
      <c r="G267">
        <f t="shared" si="34"/>
        <v>4.2799999999999976</v>
      </c>
      <c r="H267">
        <f t="shared" si="32"/>
        <v>190546.0717963237</v>
      </c>
      <c r="I267" t="str">
        <f t="shared" si="35"/>
        <v>1197236.27865145j</v>
      </c>
      <c r="J267" t="str">
        <f t="shared" si="33"/>
        <v>-20.4418532622217-42.6912545490729j</v>
      </c>
      <c r="K267">
        <f t="shared" si="36"/>
        <v>33.503280025382416</v>
      </c>
      <c r="L267">
        <f t="shared" si="37"/>
        <v>-115.58649764833126</v>
      </c>
      <c r="M267">
        <f t="shared" si="38"/>
        <v>-20.441853262221699</v>
      </c>
      <c r="N267">
        <f t="shared" si="39"/>
        <v>-42.691254549072902</v>
      </c>
    </row>
    <row r="268" spans="7:14" x14ac:dyDescent="0.25">
      <c r="G268">
        <f t="shared" si="34"/>
        <v>4.2999999999999972</v>
      </c>
      <c r="H268">
        <f t="shared" si="32"/>
        <v>199526.23149688687</v>
      </c>
      <c r="I268" t="str">
        <f t="shared" si="35"/>
        <v>1253660.28613815j</v>
      </c>
      <c r="J268" t="str">
        <f t="shared" si="33"/>
        <v>-20.0806287159422-40.0490085400903j</v>
      </c>
      <c r="K268">
        <f t="shared" si="36"/>
        <v>33.025808542133156</v>
      </c>
      <c r="L268">
        <f t="shared" si="37"/>
        <v>-116.62925033860783</v>
      </c>
      <c r="M268">
        <f t="shared" si="38"/>
        <v>-20.080628715942201</v>
      </c>
      <c r="N268">
        <f t="shared" si="39"/>
        <v>-40.049008540090298</v>
      </c>
    </row>
    <row r="269" spans="7:14" x14ac:dyDescent="0.25">
      <c r="G269">
        <f t="shared" si="34"/>
        <v>4.3199999999999967</v>
      </c>
      <c r="H269">
        <f t="shared" si="32"/>
        <v>208929.61308540276</v>
      </c>
      <c r="I269" t="str">
        <f t="shared" si="35"/>
        <v>1312743.47517292j</v>
      </c>
      <c r="J269" t="str">
        <f t="shared" si="33"/>
        <v>-19.6989206964762-37.519157277717j</v>
      </c>
      <c r="K269">
        <f t="shared" si="36"/>
        <v>32.542421602025591</v>
      </c>
      <c r="L269">
        <f t="shared" si="37"/>
        <v>-117.70110464191085</v>
      </c>
      <c r="M269">
        <f t="shared" si="38"/>
        <v>-19.6989206964762</v>
      </c>
      <c r="N269">
        <f t="shared" si="39"/>
        <v>-37.519157277716999</v>
      </c>
    </row>
    <row r="270" spans="7:14" x14ac:dyDescent="0.25">
      <c r="G270">
        <f t="shared" si="34"/>
        <v>4.3399999999999963</v>
      </c>
      <c r="H270">
        <f t="shared" si="32"/>
        <v>218776.16239495357</v>
      </c>
      <c r="I270" t="str">
        <f t="shared" si="35"/>
        <v>1374611.16912111j</v>
      </c>
      <c r="J270" t="str">
        <f t="shared" si="33"/>
        <v>-19.296700806655-35.0986346835821j</v>
      </c>
      <c r="K270">
        <f t="shared" si="36"/>
        <v>32.052793081186849</v>
      </c>
      <c r="L270">
        <f t="shared" si="37"/>
        <v>-118.80133264583775</v>
      </c>
      <c r="M270">
        <f t="shared" si="38"/>
        <v>-19.296700806655</v>
      </c>
      <c r="N270">
        <f t="shared" si="39"/>
        <v>-35.098634683582098</v>
      </c>
    </row>
    <row r="271" spans="7:14" x14ac:dyDescent="0.25">
      <c r="G271">
        <f t="shared" si="34"/>
        <v>4.3599999999999959</v>
      </c>
      <c r="H271">
        <f t="shared" si="32"/>
        <v>229086.76527677546</v>
      </c>
      <c r="I271" t="str">
        <f t="shared" si="35"/>
        <v>1439394.59765633j</v>
      </c>
      <c r="J271" t="str">
        <f t="shared" si="33"/>
        <v>-18.8741199084572-32.7846606481402j</v>
      </c>
      <c r="K271">
        <f t="shared" si="36"/>
        <v>31.556597777985971</v>
      </c>
      <c r="L271">
        <f t="shared" si="37"/>
        <v>-119.92902211932368</v>
      </c>
      <c r="M271">
        <f t="shared" si="38"/>
        <v>-18.8741199084572</v>
      </c>
      <c r="N271">
        <f t="shared" si="39"/>
        <v>-32.784660648140203</v>
      </c>
    </row>
    <row r="272" spans="7:14" x14ac:dyDescent="0.25">
      <c r="G272">
        <f t="shared" si="34"/>
        <v>4.3799999999999955</v>
      </c>
      <c r="H272">
        <f t="shared" si="32"/>
        <v>239883.29190194668</v>
      </c>
      <c r="I272" t="str">
        <f t="shared" si="35"/>
        <v>1507231.17511618j</v>
      </c>
      <c r="J272" t="str">
        <f t="shared" si="33"/>
        <v>-18.4315250133865-30.5747106325466j</v>
      </c>
      <c r="K272">
        <f t="shared" si="36"/>
        <v>31.053514405719294</v>
      </c>
      <c r="L272">
        <f t="shared" si="37"/>
        <v>-121.08307015304251</v>
      </c>
      <c r="M272">
        <f t="shared" si="38"/>
        <v>-18.431525013386501</v>
      </c>
      <c r="N272">
        <f t="shared" si="39"/>
        <v>-30.574710632546601</v>
      </c>
    </row>
    <row r="273" spans="7:14" x14ac:dyDescent="0.25">
      <c r="G273">
        <f t="shared" si="34"/>
        <v>4.399999999999995</v>
      </c>
      <c r="H273">
        <f t="shared" si="32"/>
        <v>251188.64315095547</v>
      </c>
      <c r="I273" t="str">
        <f t="shared" si="35"/>
        <v>1578264.79197646j</v>
      </c>
      <c r="J273" t="str">
        <f t="shared" si="33"/>
        <v>-17.9694736110056-28.4664819800142j</v>
      </c>
      <c r="K273">
        <f t="shared" si="36"/>
        <v>30.543228834614517</v>
      </c>
      <c r="L273">
        <f t="shared" si="37"/>
        <v>-122.26217917093511</v>
      </c>
      <c r="M273">
        <f t="shared" si="38"/>
        <v>-17.969473611005601</v>
      </c>
      <c r="N273">
        <f t="shared" si="39"/>
        <v>-28.466481980014201</v>
      </c>
    </row>
    <row r="274" spans="7:14" x14ac:dyDescent="0.25">
      <c r="G274">
        <f t="shared" si="34"/>
        <v>4.4199999999999946</v>
      </c>
      <c r="H274">
        <f t="shared" si="32"/>
        <v>263026.79918953503</v>
      </c>
      <c r="I274" t="str">
        <f t="shared" si="35"/>
        <v>1652646.12006216j</v>
      </c>
      <c r="J274" t="str">
        <f t="shared" si="33"/>
        <v>-17.4887445917404-26.4578572193833j</v>
      </c>
      <c r="K274">
        <f t="shared" si="36"/>
        <v>30.025437535688756</v>
      </c>
      <c r="L274">
        <f t="shared" si="37"/>
        <v>-123.46485568997377</v>
      </c>
      <c r="M274">
        <f t="shared" si="38"/>
        <v>-17.488744591740399</v>
      </c>
      <c r="N274">
        <f t="shared" si="39"/>
        <v>-26.4578572193833</v>
      </c>
    </row>
    <row r="275" spans="7:14" x14ac:dyDescent="0.25">
      <c r="G275">
        <f t="shared" si="34"/>
        <v>4.4399999999999942</v>
      </c>
      <c r="H275">
        <f t="shared" si="32"/>
        <v>275422.87033381331</v>
      </c>
      <c r="I275" t="str">
        <f t="shared" si="35"/>
        <v>1730532.93214264j</v>
      </c>
      <c r="J275" t="str">
        <f t="shared" si="33"/>
        <v>-16.9903449433659-24.5468648479644j</v>
      </c>
      <c r="K275">
        <f t="shared" si="36"/>
        <v>29.499851165679495</v>
      </c>
      <c r="L275">
        <f t="shared" si="37"/>
        <v>-124.68941216292625</v>
      </c>
      <c r="M275">
        <f t="shared" si="38"/>
        <v>-16.990344943365901</v>
      </c>
      <c r="N275">
        <f t="shared" si="39"/>
        <v>-24.5468648479644</v>
      </c>
    </row>
    <row r="276" spans="7:14" x14ac:dyDescent="0.25">
      <c r="G276">
        <f t="shared" si="34"/>
        <v>4.4599999999999937</v>
      </c>
      <c r="H276">
        <f t="shared" si="32"/>
        <v>288403.15031265654</v>
      </c>
      <c r="I276" t="str">
        <f t="shared" si="35"/>
        <v>1812090.43658879j</v>
      </c>
      <c r="J276" t="str">
        <f t="shared" si="33"/>
        <v>-16.4755114766488-22.731638289669j</v>
      </c>
      <c r="K276">
        <f t="shared" si="36"/>
        <v>28.966198219741905</v>
      </c>
      <c r="L276">
        <f t="shared" si="37"/>
        <v>-125.93397217485322</v>
      </c>
      <c r="M276">
        <f t="shared" si="38"/>
        <v>-16.475511476648801</v>
      </c>
      <c r="N276">
        <f t="shared" si="39"/>
        <v>-22.731638289669</v>
      </c>
    </row>
    <row r="277" spans="7:14" x14ac:dyDescent="0.25">
      <c r="G277">
        <f t="shared" si="34"/>
        <v>4.4799999999999933</v>
      </c>
      <c r="H277">
        <f t="shared" si="32"/>
        <v>301995.1720401973</v>
      </c>
      <c r="I277" t="str">
        <f t="shared" si="35"/>
        <v>1897491.62780214j</v>
      </c>
      <c r="J277" t="str">
        <f t="shared" si="33"/>
        <v>-15.9457069683346-21.0103739232314j</v>
      </c>
      <c r="K277">
        <f t="shared" si="36"/>
        <v>28.424228667731729</v>
      </c>
      <c r="L277">
        <f t="shared" si="37"/>
        <v>-127.19647917855985</v>
      </c>
      <c r="M277">
        <f t="shared" si="38"/>
        <v>-15.9457069683346</v>
      </c>
      <c r="N277">
        <f t="shared" si="39"/>
        <v>-21.010373923231398</v>
      </c>
    </row>
    <row r="278" spans="7:14" x14ac:dyDescent="0.25">
      <c r="G278">
        <f t="shared" si="34"/>
        <v>4.4999999999999929</v>
      </c>
      <c r="H278">
        <f t="shared" si="32"/>
        <v>316227.76601683337</v>
      </c>
      <c r="I278" t="str">
        <f t="shared" si="35"/>
        <v>1986917.65315919j</v>
      </c>
      <c r="J278" t="str">
        <f t="shared" si="33"/>
        <v>-15.4026102985644-19.3812892472818j</v>
      </c>
      <c r="K278">
        <f t="shared" si="36"/>
        <v>27.87371748158786</v>
      </c>
      <c r="L278">
        <f t="shared" si="37"/>
        <v>-128.47470884920779</v>
      </c>
      <c r="M278">
        <f t="shared" si="38"/>
        <v>-15.402610298564399</v>
      </c>
      <c r="N278">
        <f t="shared" si="39"/>
        <v>-19.381289247281799</v>
      </c>
    </row>
    <row r="279" spans="7:14" x14ac:dyDescent="0.25">
      <c r="G279">
        <f t="shared" si="34"/>
        <v>4.5199999999999925</v>
      </c>
      <c r="H279">
        <f t="shared" si="32"/>
        <v>331131.12148258556</v>
      </c>
      <c r="I279" t="str">
        <f t="shared" si="35"/>
        <v>2080558.19724928j</v>
      </c>
      <c r="J279" t="str">
        <f t="shared" si="33"/>
        <v>-14.8481003989874-17.8425823770009j</v>
      </c>
      <c r="K279">
        <f t="shared" si="36"/>
        <v>27.314467956439579</v>
      </c>
      <c r="L279">
        <f t="shared" si="37"/>
        <v>-129.76628501743082</v>
      </c>
      <c r="M279">
        <f t="shared" si="38"/>
        <v>-14.8481003989874</v>
      </c>
      <c r="N279">
        <f t="shared" si="39"/>
        <v>-17.842582377000902</v>
      </c>
    </row>
    <row r="280" spans="7:14" x14ac:dyDescent="0.25">
      <c r="G280">
        <f t="shared" si="34"/>
        <v>4.539999999999992</v>
      </c>
      <c r="H280">
        <f t="shared" si="32"/>
        <v>346736.85045252583</v>
      </c>
      <c r="I280" t="str">
        <f t="shared" si="35"/>
        <v>2178611.88422104j</v>
      </c>
      <c r="J280" t="str">
        <f t="shared" si="33"/>
        <v>-14.2842341058275-16.3923941352976j</v>
      </c>
      <c r="K280">
        <f t="shared" si="36"/>
        <v>26.746314727307393</v>
      </c>
      <c r="L280">
        <f t="shared" si="37"/>
        <v>-131.06869900912776</v>
      </c>
      <c r="M280">
        <f t="shared" si="38"/>
        <v>-14.284234105827499</v>
      </c>
      <c r="N280">
        <f t="shared" si="39"/>
        <v>-16.3923941352976</v>
      </c>
    </row>
    <row r="281" spans="7:14" x14ac:dyDescent="0.25">
      <c r="G281">
        <f t="shared" si="34"/>
        <v>4.5599999999999916</v>
      </c>
      <c r="H281">
        <f t="shared" si="32"/>
        <v>363078.05477009452</v>
      </c>
      <c r="I281" t="str">
        <f t="shared" si="35"/>
        <v>2281286.6990908j</v>
      </c>
      <c r="J281" t="str">
        <f t="shared" si="33"/>
        <v>-13.7132183121595-15.0287739975861j</v>
      </c>
      <c r="K281">
        <f t="shared" si="36"/>
        <v>26.169126387138949</v>
      </c>
      <c r="L281">
        <f t="shared" si="37"/>
        <v>-132.37933208550828</v>
      </c>
      <c r="M281">
        <f t="shared" si="38"/>
        <v>-13.713218312159499</v>
      </c>
      <c r="N281">
        <f t="shared" si="39"/>
        <v>-15.0287739975861</v>
      </c>
    </row>
    <row r="282" spans="7:14" x14ac:dyDescent="0.25">
      <c r="G282">
        <f t="shared" si="34"/>
        <v>4.5799999999999912</v>
      </c>
      <c r="H282">
        <f t="shared" si="32"/>
        <v>380189.39632055402</v>
      </c>
      <c r="I282" t="str">
        <f t="shared" si="35"/>
        <v>2388800.42890678j</v>
      </c>
      <c r="J282" t="str">
        <f t="shared" si="33"/>
        <v>-13.1373771147345-13.7496510662022j</v>
      </c>
      <c r="K282">
        <f t="shared" si="36"/>
        <v>25.58280762060199</v>
      </c>
      <c r="L282">
        <f t="shared" si="37"/>
        <v>-133.6954805469891</v>
      </c>
      <c r="M282">
        <f t="shared" si="38"/>
        <v>-13.1373771147345</v>
      </c>
      <c r="N282">
        <f t="shared" si="39"/>
        <v>-13.749651066202199</v>
      </c>
    </row>
    <row r="283" spans="7:14" x14ac:dyDescent="0.25">
      <c r="G283">
        <f t="shared" si="34"/>
        <v>4.5999999999999908</v>
      </c>
      <c r="H283">
        <f t="shared" si="32"/>
        <v>398107.17055348901</v>
      </c>
      <c r="I283" t="str">
        <f t="shared" si="35"/>
        <v>2501381.12470452j</v>
      </c>
      <c r="J283" t="str">
        <f t="shared" si="33"/>
        <v>-12.5591149296734-12.5528110880155j</v>
      </c>
      <c r="K283">
        <f t="shared" si="36"/>
        <v>24.987300781390182</v>
      </c>
      <c r="L283">
        <f t="shared" si="37"/>
        <v>-135.01438294752361</v>
      </c>
      <c r="M283">
        <f t="shared" si="38"/>
        <v>-12.559114929673401</v>
      </c>
      <c r="N283">
        <f t="shared" si="39"/>
        <v>-12.552811088015501</v>
      </c>
    </row>
    <row r="284" spans="7:14" x14ac:dyDescent="0.25">
      <c r="G284">
        <f t="shared" si="34"/>
        <v>4.6199999999999903</v>
      </c>
      <c r="H284">
        <f t="shared" si="32"/>
        <v>416869.38347032666</v>
      </c>
      <c r="I284" t="str">
        <f t="shared" si="35"/>
        <v>2619267.58523377j</v>
      </c>
      <c r="J284" t="str">
        <f t="shared" si="33"/>
        <v>-11.9808767851355-11.4358802939975j</v>
      </c>
      <c r="K284">
        <f t="shared" si="36"/>
        <v>24.38258685823445</v>
      </c>
      <c r="L284">
        <f t="shared" si="37"/>
        <v>-136.33324876996741</v>
      </c>
      <c r="M284">
        <f t="shared" si="38"/>
        <v>-11.9808767851355</v>
      </c>
      <c r="N284">
        <f t="shared" si="39"/>
        <v>-11.435880293997499</v>
      </c>
    </row>
    <row r="285" spans="7:14" x14ac:dyDescent="0.25">
      <c r="G285">
        <f t="shared" si="34"/>
        <v>4.6399999999999899</v>
      </c>
      <c r="H285">
        <f t="shared" si="32"/>
        <v>436515.83224015596</v>
      </c>
      <c r="I285" t="str">
        <f t="shared" si="35"/>
        <v>2742709.86348262j</v>
      </c>
      <c r="J285" t="str">
        <f t="shared" si="33"/>
        <v>-11.4051071673427-10.3963165468768j</v>
      </c>
      <c r="K285">
        <f t="shared" si="36"/>
        <v>23.768685795479406</v>
      </c>
      <c r="L285">
        <f t="shared" si="37"/>
        <v>-137.64928784498267</v>
      </c>
      <c r="M285">
        <f t="shared" si="38"/>
        <v>-11.405107167342701</v>
      </c>
      <c r="N285">
        <f t="shared" si="39"/>
        <v>-10.3963165468768</v>
      </c>
    </row>
    <row r="286" spans="7:14" x14ac:dyDescent="0.25">
      <c r="G286">
        <f t="shared" si="34"/>
        <v>4.6599999999999895</v>
      </c>
      <c r="H286">
        <f t="shared" si="32"/>
        <v>457088.18961486447</v>
      </c>
      <c r="I286" t="str">
        <f t="shared" si="35"/>
        <v>2871969.79707343j</v>
      </c>
      <c r="J286" t="str">
        <f t="shared" si="33"/>
        <v>-10.8342088839479-9.43140795307165j</v>
      </c>
      <c r="K286">
        <f t="shared" si="36"/>
        <v>23.145656156798559</v>
      </c>
      <c r="L286">
        <f t="shared" si="37"/>
        <v>-138.9597397608301</v>
      </c>
      <c r="M286">
        <f t="shared" si="38"/>
        <v>-10.8342088839479</v>
      </c>
      <c r="N286">
        <f t="shared" si="39"/>
        <v>-9.4314079530716501</v>
      </c>
    </row>
    <row r="287" spans="7:14" x14ac:dyDescent="0.25">
      <c r="G287">
        <f t="shared" si="34"/>
        <v>4.6799999999999891</v>
      </c>
      <c r="H287">
        <f t="shared" si="32"/>
        <v>478630.0923226272</v>
      </c>
      <c r="I287" t="str">
        <f t="shared" si="35"/>
        <v>3007321.56365554j</v>
      </c>
      <c r="J287" t="str">
        <f t="shared" si="33"/>
        <v>-10.2705034076571-8.53827875244272j</v>
      </c>
      <c r="K287">
        <f t="shared" si="36"/>
        <v>22.513594144032965</v>
      </c>
      <c r="L287">
        <f t="shared" si="37"/>
        <v>-140.26190251183792</v>
      </c>
      <c r="M287">
        <f t="shared" si="38"/>
        <v>-10.270503407657101</v>
      </c>
      <c r="N287">
        <f t="shared" si="39"/>
        <v>-8.5382787524427197</v>
      </c>
    </row>
    <row r="288" spans="7:14" x14ac:dyDescent="0.25">
      <c r="G288">
        <f t="shared" si="34"/>
        <v>4.6999999999999886</v>
      </c>
      <c r="H288">
        <f t="shared" si="32"/>
        <v>501187.23362725956</v>
      </c>
      <c r="I288" t="str">
        <f t="shared" si="35"/>
        <v>3149052.26247278j</v>
      </c>
      <c r="J288" t="str">
        <f t="shared" si="33"/>
        <v>-9.7161940733335-7.71390197004383j</v>
      </c>
      <c r="K288">
        <f t="shared" si="36"/>
        <v>21.872632005820122</v>
      </c>
      <c r="L288">
        <f t="shared" si="37"/>
        <v>-141.55315966931053</v>
      </c>
      <c r="M288">
        <f t="shared" si="38"/>
        <v>-9.7161940733335008</v>
      </c>
      <c r="N288">
        <f t="shared" si="39"/>
        <v>-7.71390197004383</v>
      </c>
    </row>
    <row r="289" spans="7:14" x14ac:dyDescent="0.25">
      <c r="G289">
        <f t="shared" si="34"/>
        <v>4.7199999999999882</v>
      </c>
      <c r="H289">
        <f t="shared" si="32"/>
        <v>524807.46024975914</v>
      </c>
      <c r="I289" t="str">
        <f t="shared" si="35"/>
        <v>3297462.52333952j</v>
      </c>
      <c r="J289" t="str">
        <f t="shared" si="33"/>
        <v>-9.1733333317605-6.95511802248204j</v>
      </c>
      <c r="K289">
        <f t="shared" si="36"/>
        <v>21.222935891277054</v>
      </c>
      <c r="L289">
        <f t="shared" si="37"/>
        <v>-142.83100542747709</v>
      </c>
      <c r="M289">
        <f t="shared" si="38"/>
        <v>-9.1733333317604995</v>
      </c>
      <c r="N289">
        <f t="shared" si="39"/>
        <v>-6.9551180224820399</v>
      </c>
    </row>
    <row r="290" spans="7:14" x14ac:dyDescent="0.25">
      <c r="G290">
        <f t="shared" si="34"/>
        <v>4.7399999999999878</v>
      </c>
      <c r="H290">
        <f t="shared" si="32"/>
        <v>549540.87385760946</v>
      </c>
      <c r="I290" t="str">
        <f t="shared" si="35"/>
        <v>3452867.14431676j</v>
      </c>
      <c r="J290" t="str">
        <f t="shared" si="33"/>
        <v>-8.6437950281094-6.25865823816779j</v>
      </c>
      <c r="K290">
        <f t="shared" si="36"/>
        <v>20.564703221357405</v>
      </c>
      <c r="L290">
        <f t="shared" si="37"/>
        <v>-144.09306697365801</v>
      </c>
      <c r="M290">
        <f t="shared" si="38"/>
        <v>-8.6437950281094</v>
      </c>
      <c r="N290">
        <f t="shared" si="39"/>
        <v>-6.25865823816779</v>
      </c>
    </row>
    <row r="291" spans="7:14" x14ac:dyDescent="0.25">
      <c r="G291">
        <f t="shared" si="34"/>
        <v>4.7599999999999874</v>
      </c>
      <c r="H291">
        <f t="shared" si="32"/>
        <v>575439.93733714102</v>
      </c>
      <c r="I291" t="str">
        <f t="shared" si="35"/>
        <v>3615595.75944107j</v>
      </c>
      <c r="J291" t="str">
        <f t="shared" si="33"/>
        <v>-8.12925239336139-5.62117208990067j</v>
      </c>
      <c r="K291">
        <f t="shared" si="36"/>
        <v>19.89815966371992</v>
      </c>
      <c r="L291">
        <f t="shared" si="37"/>
        <v>-145.33712374924411</v>
      </c>
      <c r="M291">
        <f t="shared" si="38"/>
        <v>-8.1292523933613907</v>
      </c>
      <c r="N291">
        <f t="shared" si="39"/>
        <v>-5.6211720899006696</v>
      </c>
    </row>
    <row r="292" spans="7:14" x14ac:dyDescent="0.25">
      <c r="G292">
        <f t="shared" si="34"/>
        <v>4.7799999999999869</v>
      </c>
      <c r="H292">
        <f t="shared" si="32"/>
        <v>602559.58607433992</v>
      </c>
      <c r="I292" t="str">
        <f t="shared" si="35"/>
        <v>3785993.53792251j</v>
      </c>
      <c r="J292" t="str">
        <f t="shared" si="33"/>
        <v>-7.63116213560531-5.03925685690895j</v>
      </c>
      <c r="K292">
        <f t="shared" si="36"/>
        <v>19.223555805520022</v>
      </c>
      <c r="L292">
        <f t="shared" si="37"/>
        <v>-146.56112329827164</v>
      </c>
      <c r="M292">
        <f t="shared" si="38"/>
        <v>-7.6311621356053099</v>
      </c>
      <c r="N292">
        <f t="shared" si="39"/>
        <v>-5.03925685690895</v>
      </c>
    </row>
    <row r="293" spans="7:14" x14ac:dyDescent="0.25">
      <c r="G293">
        <f t="shared" si="34"/>
        <v>4.7999999999999865</v>
      </c>
      <c r="H293">
        <f t="shared" si="32"/>
        <v>630957.34448017448</v>
      </c>
      <c r="I293" t="str">
        <f t="shared" si="35"/>
        <v>3964421.91629488j</v>
      </c>
      <c r="J293" t="str">
        <f t="shared" si="33"/>
        <v>-7.15075471841877-4.50948843113117j</v>
      </c>
      <c r="K293">
        <f t="shared" si="36"/>
        <v>18.54116362228638</v>
      </c>
      <c r="L293">
        <f t="shared" si="37"/>
        <v>-147.76319353498067</v>
      </c>
      <c r="M293">
        <f t="shared" si="38"/>
        <v>-7.1507547184187699</v>
      </c>
      <c r="N293">
        <f t="shared" si="39"/>
        <v>-4.50948843113117</v>
      </c>
    </row>
    <row r="294" spans="7:14" x14ac:dyDescent="0.25">
      <c r="G294">
        <f t="shared" si="34"/>
        <v>4.8199999999999861</v>
      </c>
      <c r="H294">
        <f t="shared" si="32"/>
        <v>660693.44800757489</v>
      </c>
      <c r="I294" t="str">
        <f t="shared" si="35"/>
        <v>4151259.36507101j</v>
      </c>
      <c r="J294" t="str">
        <f t="shared" si="33"/>
        <v>-6.68903063630274-4.02845205201575j</v>
      </c>
      <c r="K294">
        <f t="shared" si="36"/>
        <v>17.851272840189335</v>
      </c>
      <c r="L294">
        <f t="shared" si="37"/>
        <v>-148.94165139274935</v>
      </c>
      <c r="M294">
        <f t="shared" si="38"/>
        <v>-6.6890306363027401</v>
      </c>
      <c r="N294">
        <f t="shared" si="39"/>
        <v>-4.0284520520157496</v>
      </c>
    </row>
    <row r="295" spans="7:14" x14ac:dyDescent="0.25">
      <c r="G295">
        <f t="shared" si="34"/>
        <v>4.8399999999999856</v>
      </c>
      <c r="H295">
        <f t="shared" si="32"/>
        <v>691830.97091891442</v>
      </c>
      <c r="I295" t="str">
        <f t="shared" si="35"/>
        <v>4346902.19152951j</v>
      </c>
      <c r="J295" t="str">
        <f t="shared" si="33"/>
        <v>-6.24676225903241-3.59277188293913j</v>
      </c>
      <c r="K295">
        <f t="shared" si="36"/>
        <v>17.154187284022871</v>
      </c>
      <c r="L295">
        <f t="shared" si="37"/>
        <v>-150.0950079373284</v>
      </c>
      <c r="M295">
        <f t="shared" si="38"/>
        <v>-6.2467622590324101</v>
      </c>
      <c r="N295">
        <f t="shared" si="39"/>
        <v>-3.5927718829391302</v>
      </c>
    </row>
    <row r="296" spans="7:14" x14ac:dyDescent="0.25">
      <c r="G296">
        <f t="shared" si="34"/>
        <v>4.8599999999999852</v>
      </c>
      <c r="H296">
        <f t="shared" si="32"/>
        <v>724435.96007496677</v>
      </c>
      <c r="I296" t="str">
        <f t="shared" si="35"/>
        <v>4551765.38033557j</v>
      </c>
      <c r="J296" t="str">
        <f t="shared" si="33"/>
        <v>-5.8245006291956-3.19913851471291j</v>
      </c>
      <c r="K296">
        <f t="shared" si="36"/>
        <v>16.450221294846468</v>
      </c>
      <c r="L296">
        <f t="shared" si="37"/>
        <v>-151.22197013188858</v>
      </c>
      <c r="M296">
        <f t="shared" si="38"/>
        <v>-5.8245006291956001</v>
      </c>
      <c r="N296">
        <f t="shared" si="39"/>
        <v>-3.1991385147129101</v>
      </c>
    </row>
    <row r="297" spans="7:14" x14ac:dyDescent="0.25">
      <c r="G297">
        <f t="shared" si="34"/>
        <v>4.8799999999999848</v>
      </c>
      <c r="H297">
        <f t="shared" si="32"/>
        <v>758577.57502915792</v>
      </c>
      <c r="I297" t="str">
        <f t="shared" si="35"/>
        <v>4766283.47377913j</v>
      </c>
      <c r="J297" t="str">
        <f t="shared" si="33"/>
        <v>-5.42258646582533-2.84433368039298j</v>
      </c>
      <c r="K297">
        <f t="shared" si="36"/>
        <v>15.739696290310274</v>
      </c>
      <c r="L297">
        <f t="shared" si="37"/>
        <v>-152.32143952640138</v>
      </c>
      <c r="M297">
        <f t="shared" si="38"/>
        <v>-5.4225864658253302</v>
      </c>
      <c r="N297">
        <f t="shared" si="39"/>
        <v>-2.84433368039298</v>
      </c>
    </row>
    <row r="298" spans="7:14" x14ac:dyDescent="0.25">
      <c r="G298">
        <f t="shared" si="34"/>
        <v>4.8999999999999844</v>
      </c>
      <c r="H298">
        <f t="shared" si="32"/>
        <v>794328.23472425411</v>
      </c>
      <c r="I298" t="str">
        <f t="shared" si="35"/>
        <v>4990911.49349733j</v>
      </c>
      <c r="J298" t="str">
        <f t="shared" si="33"/>
        <v>-5.04116455230439-2.52525167406393j</v>
      </c>
      <c r="K298">
        <f t="shared" si="36"/>
        <v>15.02293752812869</v>
      </c>
      <c r="L298">
        <f t="shared" si="37"/>
        <v>-153.39250820739463</v>
      </c>
      <c r="M298">
        <f t="shared" si="38"/>
        <v>-5.04116455230439</v>
      </c>
      <c r="N298">
        <f t="shared" si="39"/>
        <v>-2.5252516740639299</v>
      </c>
    </row>
    <row r="299" spans="7:14" x14ac:dyDescent="0.25">
      <c r="G299">
        <f t="shared" si="34"/>
        <v>4.9199999999999839</v>
      </c>
      <c r="H299">
        <f t="shared" si="32"/>
        <v>831763.77110264078</v>
      </c>
      <c r="I299" t="str">
        <f t="shared" si="35"/>
        <v>5226125.9056364j</v>
      </c>
      <c r="J299" t="str">
        <f t="shared" si="33"/>
        <v>-4.68020066457758-2.23891716974656j</v>
      </c>
      <c r="K299">
        <f t="shared" si="36"/>
        <v>14.300271119847794</v>
      </c>
      <c r="L299">
        <f t="shared" si="37"/>
        <v>-154.43445238593145</v>
      </c>
      <c r="M299">
        <f t="shared" si="38"/>
        <v>-4.6802006645775798</v>
      </c>
      <c r="N299">
        <f t="shared" si="39"/>
        <v>-2.2389171697465602</v>
      </c>
    </row>
    <row r="300" spans="7:14" x14ac:dyDescent="0.25">
      <c r="G300">
        <f t="shared" si="34"/>
        <v>4.9399999999999835</v>
      </c>
      <c r="H300">
        <f t="shared" si="32"/>
        <v>870963.58995604888</v>
      </c>
      <c r="I300" t="str">
        <f t="shared" si="35"/>
        <v>5472425.63150023j</v>
      </c>
      <c r="J300" t="str">
        <f t="shared" si="33"/>
        <v>-4.33950021882437-1.98249932329758j</v>
      </c>
      <c r="K300">
        <f t="shared" si="36"/>
        <v>13.57202132874788</v>
      </c>
      <c r="L300">
        <f t="shared" si="37"/>
        <v>-155.44672402293972</v>
      </c>
      <c r="M300">
        <f t="shared" si="38"/>
        <v>-4.3395002188243703</v>
      </c>
      <c r="N300">
        <f t="shared" si="39"/>
        <v>-1.9824993232975801</v>
      </c>
    </row>
    <row r="301" spans="7:14" x14ac:dyDescent="0.25">
      <c r="G301">
        <f t="shared" si="34"/>
        <v>4.9599999999999831</v>
      </c>
      <c r="H301">
        <f t="shared" si="32"/>
        <v>912010.83935587457</v>
      </c>
      <c r="I301" t="str">
        <f t="shared" si="35"/>
        <v>5730333.10582935j</v>
      </c>
      <c r="J301" t="str">
        <f t="shared" si="33"/>
        <v>-4.01872787680897-1.75332220179492j</v>
      </c>
      <c r="K301">
        <f t="shared" si="36"/>
        <v>12.838508173088705</v>
      </c>
      <c r="L301">
        <f t="shared" si="37"/>
        <v>-156.42894089397274</v>
      </c>
      <c r="M301">
        <f t="shared" si="38"/>
        <v>-4.0187278768089696</v>
      </c>
      <c r="N301">
        <f t="shared" si="39"/>
        <v>-1.7533222017949199</v>
      </c>
    </row>
    <row r="302" spans="7:14" x14ac:dyDescent="0.25">
      <c r="G302">
        <f t="shared" si="34"/>
        <v>4.9799999999999827</v>
      </c>
      <c r="H302">
        <f t="shared" si="32"/>
        <v>954992.58602139901</v>
      </c>
      <c r="I302" t="str">
        <f t="shared" si="35"/>
        <v>6000395.38495509j</v>
      </c>
      <c r="J302" t="str">
        <f t="shared" si="33"/>
        <v>-3.71742743204051-1.54887171651269j</v>
      </c>
      <c r="K302">
        <f t="shared" si="36"/>
        <v>12.100045344428365</v>
      </c>
      <c r="L302">
        <f t="shared" si="37"/>
        <v>-157.3808754830504</v>
      </c>
      <c r="M302">
        <f t="shared" si="38"/>
        <v>-3.7174274320405098</v>
      </c>
      <c r="N302">
        <f t="shared" si="39"/>
        <v>-1.54887171651269</v>
      </c>
    </row>
    <row r="303" spans="7:14" x14ac:dyDescent="0.25">
      <c r="G303">
        <f t="shared" si="34"/>
        <v>4.9999999999999822</v>
      </c>
      <c r="H303">
        <f t="shared" si="32"/>
        <v>999999.99999995937</v>
      </c>
      <c r="I303" t="str">
        <f t="shared" si="35"/>
        <v>6283185.30717933j</v>
      </c>
      <c r="J303" t="str">
        <f t="shared" si="33"/>
        <v>-3.43504140079461-1.36679933539025j</v>
      </c>
      <c r="K303">
        <f t="shared" si="36"/>
        <v>11.356938440762965</v>
      </c>
      <c r="L303">
        <f t="shared" si="37"/>
        <v>-158.30244307066405</v>
      </c>
      <c r="M303">
        <f t="shared" si="38"/>
        <v>-3.43504140079461</v>
      </c>
      <c r="N303">
        <f t="shared" si="39"/>
        <v>-1.3667993353902499</v>
      </c>
    </row>
    <row r="304" spans="7:14" x14ac:dyDescent="0.25">
      <c r="G304">
        <f t="shared" si="34"/>
        <v>5.0199999999999818</v>
      </c>
      <c r="H304">
        <f t="shared" si="32"/>
        <v>1047128.5480508568</v>
      </c>
      <c r="I304" t="str">
        <f t="shared" si="35"/>
        <v>6579302.70784144j</v>
      </c>
      <c r="J304" t="str">
        <f t="shared" si="33"/>
        <v>-3.17092985011448-1.20492291965039j</v>
      </c>
      <c r="K304">
        <f t="shared" si="36"/>
        <v>10.609483505922437</v>
      </c>
      <c r="L304">
        <f t="shared" si="37"/>
        <v>-159.19368934767098</v>
      </c>
      <c r="M304">
        <f t="shared" si="38"/>
        <v>-3.1709298501144798</v>
      </c>
      <c r="N304">
        <f t="shared" si="39"/>
        <v>-1.2049229196503899</v>
      </c>
    </row>
    <row r="305" spans="7:14" x14ac:dyDescent="0.25">
      <c r="G305">
        <f t="shared" si="34"/>
        <v>5.0399999999999814</v>
      </c>
      <c r="H305">
        <f t="shared" si="32"/>
        <v>1096478.1961431401</v>
      </c>
      <c r="I305" t="str">
        <f t="shared" si="35"/>
        <v>6889375.69164935j</v>
      </c>
      <c r="J305" t="str">
        <f t="shared" si="33"/>
        <v>-2.92438810274836-1.06122506959166j</v>
      </c>
      <c r="K305">
        <f t="shared" si="36"/>
        <v>9.8579658600761491</v>
      </c>
      <c r="L305">
        <f t="shared" si="37"/>
        <v>-160.05477784775263</v>
      </c>
      <c r="M305">
        <f t="shared" si="38"/>
        <v>-2.92438810274836</v>
      </c>
      <c r="N305">
        <f t="shared" si="39"/>
        <v>-1.0612250695916601</v>
      </c>
    </row>
    <row r="306" spans="7:14" x14ac:dyDescent="0.25">
      <c r="G306">
        <f t="shared" si="34"/>
        <v>5.059999999999981</v>
      </c>
      <c r="H306">
        <f t="shared" si="32"/>
        <v>1148153.6214968334</v>
      </c>
      <c r="I306" t="str">
        <f t="shared" si="35"/>
        <v>7214061.96497394j</v>
      </c>
      <c r="J306" t="str">
        <f t="shared" si="33"/>
        <v>-2.69466306090297-0.933849380468346j</v>
      </c>
      <c r="K306">
        <f t="shared" si="36"/>
        <v>9.1026592012903809</v>
      </c>
      <c r="L306">
        <f t="shared" si="37"/>
        <v>-160.88597744918869</v>
      </c>
      <c r="M306">
        <f t="shared" si="38"/>
        <v>-2.69466306090297</v>
      </c>
      <c r="N306">
        <f t="shared" si="39"/>
        <v>-0.93384938046834598</v>
      </c>
    </row>
    <row r="307" spans="7:14" x14ac:dyDescent="0.25">
      <c r="G307">
        <f t="shared" si="34"/>
        <v>5.0799999999999805</v>
      </c>
      <c r="H307">
        <f t="shared" si="32"/>
        <v>1202264.4346173611</v>
      </c>
      <c r="I307" t="str">
        <f t="shared" si="35"/>
        <v>7554050.23093238j</v>
      </c>
      <c r="J307" t="str">
        <f t="shared" si="33"/>
        <v>-2.48096798272374-0.821095005319613j</v>
      </c>
      <c r="K307">
        <f t="shared" si="36"/>
        <v>8.3438249547227556</v>
      </c>
      <c r="L307">
        <f t="shared" si="37"/>
        <v>-161.68765015419933</v>
      </c>
      <c r="M307">
        <f t="shared" si="38"/>
        <v>-2.4809679827237399</v>
      </c>
      <c r="N307">
        <f t="shared" si="39"/>
        <v>-0.82109500531961299</v>
      </c>
    </row>
    <row r="308" spans="7:14" x14ac:dyDescent="0.25">
      <c r="G308">
        <f t="shared" si="34"/>
        <v>5.0999999999999801</v>
      </c>
      <c r="H308">
        <f t="shared" si="32"/>
        <v>1258925.4117941104</v>
      </c>
      <c r="I308" t="str">
        <f t="shared" si="35"/>
        <v>7910061.65021976j</v>
      </c>
      <c r="J308" t="str">
        <f t="shared" si="33"/>
        <v>-2.28249562513056-0.721409902286156j</v>
      </c>
      <c r="K308">
        <f t="shared" si="36"/>
        <v>7.581711844043979</v>
      </c>
      <c r="L308">
        <f t="shared" si="37"/>
        <v>-162.46023931290847</v>
      </c>
      <c r="M308">
        <f t="shared" si="38"/>
        <v>-2.2824956251305601</v>
      </c>
      <c r="N308">
        <f t="shared" si="39"/>
        <v>-0.72140990228615598</v>
      </c>
    </row>
    <row r="309" spans="7:14" x14ac:dyDescent="0.25">
      <c r="G309">
        <f t="shared" si="34"/>
        <v>5.1199999999999797</v>
      </c>
      <c r="H309">
        <f t="shared" si="32"/>
        <v>1318256.7385563473</v>
      </c>
      <c r="I309" t="str">
        <f t="shared" si="35"/>
        <v>8282851.37078772j</v>
      </c>
      <c r="J309" t="str">
        <f t="shared" si="33"/>
        <v>-2.09842973295845-0.633383113801003j</v>
      </c>
      <c r="K309">
        <f t="shared" si="36"/>
        <v>6.8165556588500547</v>
      </c>
      <c r="L309">
        <f t="shared" si="37"/>
        <v>-163.20425842043082</v>
      </c>
      <c r="M309">
        <f t="shared" si="38"/>
        <v>-2.0984297329584498</v>
      </c>
      <c r="N309">
        <f t="shared" si="39"/>
        <v>-0.63338311380100298</v>
      </c>
    </row>
    <row r="310" spans="7:14" x14ac:dyDescent="0.25">
      <c r="G310">
        <f t="shared" si="34"/>
        <v>5.1399999999999793</v>
      </c>
      <c r="H310">
        <f t="shared" si="32"/>
        <v>1380384.2646028195</v>
      </c>
      <c r="I310" t="str">
        <f t="shared" si="35"/>
        <v>8673210.12961433j</v>
      </c>
      <c r="J310" t="str">
        <f t="shared" si="33"/>
        <v>-1.92795490723606-0.555736388018257j</v>
      </c>
      <c r="K310">
        <f t="shared" si="36"/>
        <v>6.048579191947093</v>
      </c>
      <c r="L310">
        <f t="shared" si="37"/>
        <v>-163.92028058060973</v>
      </c>
      <c r="M310">
        <f t="shared" si="38"/>
        <v>-1.92795490723606</v>
      </c>
      <c r="N310">
        <f t="shared" si="39"/>
        <v>-0.55573638801825698</v>
      </c>
    </row>
    <row r="311" spans="7:14" x14ac:dyDescent="0.25">
      <c r="G311">
        <f t="shared" si="34"/>
        <v>5.1599999999999788</v>
      </c>
      <c r="H311">
        <f t="shared" si="32"/>
        <v>1445439.7707458588</v>
      </c>
      <c r="I311" t="str">
        <f t="shared" si="35"/>
        <v>9081965.92996341j</v>
      </c>
      <c r="J311" t="str">
        <f t="shared" si="33"/>
        <v>-1.77026492561272-0.487315412289011j</v>
      </c>
      <c r="K311">
        <f t="shared" si="36"/>
        <v>5.2779923212476678</v>
      </c>
      <c r="L311">
        <f t="shared" si="37"/>
        <v>-164.60892869908335</v>
      </c>
      <c r="M311">
        <f t="shared" si="38"/>
        <v>-1.7702649256127201</v>
      </c>
      <c r="N311">
        <f t="shared" si="39"/>
        <v>-0.48731541228901099</v>
      </c>
    </row>
    <row r="312" spans="7:14" x14ac:dyDescent="0.25">
      <c r="G312">
        <f t="shared" si="34"/>
        <v>5.1799999999999784</v>
      </c>
      <c r="H312">
        <f t="shared" si="32"/>
        <v>1513561.2484361334</v>
      </c>
      <c r="I312" t="str">
        <f t="shared" si="35"/>
        <v>9509985.7976903j</v>
      </c>
      <c r="J312" t="str">
        <f t="shared" si="33"/>
        <v>-1.62456961665712-0.427080887080534j</v>
      </c>
      <c r="K312">
        <f t="shared" si="36"/>
        <v>4.5049922124249537</v>
      </c>
      <c r="L312">
        <f t="shared" si="37"/>
        <v>-165.27086644183211</v>
      </c>
      <c r="M312">
        <f t="shared" si="38"/>
        <v>-1.62456961665712</v>
      </c>
      <c r="N312">
        <f t="shared" si="39"/>
        <v>-0.42708088708053399</v>
      </c>
    </row>
    <row r="313" spans="7:14" x14ac:dyDescent="0.25">
      <c r="G313">
        <f t="shared" si="34"/>
        <v>5.199999999999978</v>
      </c>
      <c r="H313">
        <f t="shared" si="32"/>
        <v>1584893.1924610347</v>
      </c>
      <c r="I313" t="str">
        <f t="shared" si="35"/>
        <v>9958177.62032012j</v>
      </c>
      <c r="J313" t="str">
        <f t="shared" si="33"/>
        <v>-1.49010040852243-0.374099628479909j</v>
      </c>
      <c r="K313">
        <f t="shared" si="36"/>
        <v>3.7297636202489097</v>
      </c>
      <c r="L313">
        <f t="shared" si="37"/>
        <v>-165.90678997317264</v>
      </c>
      <c r="M313">
        <f t="shared" si="38"/>
        <v>-1.4901004085224301</v>
      </c>
      <c r="N313">
        <f t="shared" si="39"/>
        <v>-0.37409962847990902</v>
      </c>
    </row>
    <row r="314" spans="7:14" x14ac:dyDescent="0.25">
      <c r="G314">
        <f t="shared" si="34"/>
        <v>5.2199999999999775</v>
      </c>
      <c r="H314">
        <f t="shared" si="32"/>
        <v>1659586.9074374777</v>
      </c>
      <c r="I314" t="str">
        <f t="shared" si="35"/>
        <v>10427492.0727988j</v>
      </c>
      <c r="J314" t="str">
        <f t="shared" si="33"/>
        <v>-1.36611468294342-0.327535849754477j</v>
      </c>
      <c r="K314">
        <f t="shared" si="36"/>
        <v>2.9524792685403312</v>
      </c>
      <c r="L314">
        <f t="shared" si="37"/>
        <v>-166.51742046907353</v>
      </c>
      <c r="M314">
        <f t="shared" si="38"/>
        <v>-1.3661146829434201</v>
      </c>
      <c r="N314">
        <f t="shared" si="39"/>
        <v>-0.32753584975447703</v>
      </c>
    </row>
    <row r="315" spans="7:14" x14ac:dyDescent="0.25">
      <c r="G315">
        <f t="shared" si="34"/>
        <v>5.2399999999999771</v>
      </c>
      <c r="H315">
        <f t="shared" si="32"/>
        <v>1737800.8287492855</v>
      </c>
      <c r="I315" t="str">
        <f t="shared" si="35"/>
        <v>10918924.634002j</v>
      </c>
      <c r="J315" t="str">
        <f t="shared" si="33"/>
        <v>-1.25189906931913-0.286642738272208j</v>
      </c>
      <c r="K315">
        <f t="shared" si="36"/>
        <v>2.1733002908021133</v>
      </c>
      <c r="L315">
        <f t="shared" si="37"/>
        <v>-167.10349738738461</v>
      </c>
      <c r="M315">
        <f t="shared" si="38"/>
        <v>-1.2518990693191301</v>
      </c>
      <c r="N315">
        <f t="shared" si="39"/>
        <v>-0.28664273827220799</v>
      </c>
    </row>
    <row r="316" spans="7:14" x14ac:dyDescent="0.25">
      <c r="G316">
        <f t="shared" si="34"/>
        <v>5.2599999999999767</v>
      </c>
      <c r="H316">
        <f t="shared" si="32"/>
        <v>1819700.8586098887</v>
      </c>
      <c r="I316" t="str">
        <f t="shared" si="35"/>
        <v>11433517.6982797j</v>
      </c>
      <c r="J316" t="str">
        <f t="shared" si="33"/>
        <v>-1.14677181224921-0.250754413914748j</v>
      </c>
      <c r="K316">
        <f t="shared" si="36"/>
        <v>1.3923767157233824</v>
      </c>
      <c r="L316">
        <f t="shared" si="37"/>
        <v>-167.6657724656755</v>
      </c>
      <c r="M316">
        <f t="shared" si="38"/>
        <v>-1.1467718122492101</v>
      </c>
      <c r="N316">
        <f t="shared" si="39"/>
        <v>-0.25075441391474801</v>
      </c>
    </row>
    <row r="317" spans="7:14" x14ac:dyDescent="0.25">
      <c r="G317">
        <f t="shared" si="34"/>
        <v>5.2799999999999763</v>
      </c>
      <c r="H317">
        <f t="shared" si="32"/>
        <v>1905460.7179631444</v>
      </c>
      <c r="I317" t="str">
        <f t="shared" si="35"/>
        <v>11972362.7865139j</v>
      </c>
      <c r="J317" t="str">
        <f t="shared" si="33"/>
        <v>-1.0500843406825-0.219278329118212j</v>
      </c>
      <c r="K317">
        <f t="shared" si="36"/>
        <v>0.60984798384240269</v>
      </c>
      <c r="L317">
        <f t="shared" si="37"/>
        <v>-168.20500440944278</v>
      </c>
      <c r="M317">
        <f t="shared" si="38"/>
        <v>-1.0500843406825</v>
      </c>
      <c r="N317">
        <f t="shared" si="39"/>
        <v>-0.21927832911821199</v>
      </c>
    </row>
    <row r="318" spans="7:14" x14ac:dyDescent="0.25">
      <c r="G318">
        <f t="shared" si="34"/>
        <v>5.2999999999999758</v>
      </c>
      <c r="H318">
        <f t="shared" si="32"/>
        <v>1995262.3149687715</v>
      </c>
      <c r="I318" t="str">
        <f t="shared" si="35"/>
        <v>12536602.8613809j</v>
      </c>
      <c r="J318" t="str">
        <f t="shared" si="33"/>
        <v>-0.961222158957131-0.191688148785221j</v>
      </c>
      <c r="K318">
        <f t="shared" si="36"/>
        <v>-0.17415651637130689</v>
      </c>
      <c r="L318">
        <f t="shared" si="37"/>
        <v>-168.72195422804575</v>
      </c>
      <c r="M318">
        <f t="shared" si="38"/>
        <v>-0.96122215895713103</v>
      </c>
      <c r="N318">
        <f t="shared" si="39"/>
        <v>-0.191688148785221</v>
      </c>
    </row>
    <row r="319" spans="7:14" x14ac:dyDescent="0.25">
      <c r="G319">
        <f t="shared" si="34"/>
        <v>5.3199999999999754</v>
      </c>
      <c r="H319">
        <f t="shared" si="32"/>
        <v>2089296.1308539221</v>
      </c>
      <c r="I319" t="str">
        <f t="shared" si="35"/>
        <v>13127434.7517285j</v>
      </c>
      <c r="J319" t="str">
        <f t="shared" si="33"/>
        <v>-0.879605170426174-0.16751713029594j</v>
      </c>
      <c r="K319">
        <f t="shared" si="36"/>
        <v>-0.95951690291226388</v>
      </c>
      <c r="L319">
        <f t="shared" si="37"/>
        <v>-169.21738117242069</v>
      </c>
      <c r="M319">
        <f t="shared" si="38"/>
        <v>-0.87960517042617403</v>
      </c>
      <c r="N319">
        <f t="shared" si="39"/>
        <v>-0.16751713029594001</v>
      </c>
    </row>
    <row r="320" spans="7:14" x14ac:dyDescent="0.25">
      <c r="G320">
        <f t="shared" si="34"/>
        <v>5.339999999999975</v>
      </c>
      <c r="H320">
        <f t="shared" si="32"/>
        <v>2187761.623949429</v>
      </c>
      <c r="I320" t="str">
        <f t="shared" si="35"/>
        <v>13746111.6912104j</v>
      </c>
      <c r="J320" t="str">
        <f t="shared" si="33"/>
        <v>-0.804687533841753-0.146352009368149j</v>
      </c>
      <c r="K320">
        <f t="shared" si="36"/>
        <v>-1.7461222533302165</v>
      </c>
      <c r="L320">
        <f t="shared" si="37"/>
        <v>-169.69203922704102</v>
      </c>
      <c r="M320">
        <f t="shared" si="38"/>
        <v>-0.80468753384175296</v>
      </c>
      <c r="N320">
        <f t="shared" si="39"/>
        <v>-0.14635200936814899</v>
      </c>
    </row>
    <row r="321" spans="7:14" x14ac:dyDescent="0.25">
      <c r="G321">
        <f t="shared" si="34"/>
        <v>5.3599999999999746</v>
      </c>
      <c r="H321">
        <f t="shared" si="32"/>
        <v>2290867.6527676433</v>
      </c>
      <c r="I321" t="str">
        <f t="shared" si="35"/>
        <v>14393945.9765626j</v>
      </c>
      <c r="J321" t="str">
        <f t="shared" si="33"/>
        <v>-0.735957141814102-0.127827386183687j</v>
      </c>
      <c r="K321">
        <f t="shared" si="36"/>
        <v>-2.5338700632282665</v>
      </c>
      <c r="L321">
        <f t="shared" si="37"/>
        <v>-170.14667410836205</v>
      </c>
      <c r="M321">
        <f t="shared" si="38"/>
        <v>-0.73595714181410199</v>
      </c>
      <c r="N321">
        <f t="shared" si="39"/>
        <v>-0.127827386183687</v>
      </c>
    </row>
    <row r="322" spans="7:14" x14ac:dyDescent="0.25">
      <c r="G322">
        <f t="shared" si="34"/>
        <v>5.3799999999999741</v>
      </c>
      <c r="H322">
        <f t="shared" si="32"/>
        <v>2398832.9190193499</v>
      </c>
      <c r="I322" t="str">
        <f t="shared" si="35"/>
        <v>15072311.7511611j</v>
      </c>
      <c r="J322" t="str">
        <f t="shared" si="33"/>
        <v>-0.67293479991922-0.111620597596063j</v>
      </c>
      <c r="K322">
        <f t="shared" si="36"/>
        <v>-3.3226657155433879</v>
      </c>
      <c r="L322">
        <f t="shared" si="37"/>
        <v>-170.58202072282086</v>
      </c>
      <c r="M322">
        <f t="shared" si="38"/>
        <v>-0.67293479991922001</v>
      </c>
      <c r="N322">
        <f t="shared" si="39"/>
        <v>-0.11162059759606301</v>
      </c>
    </row>
    <row r="323" spans="7:14" x14ac:dyDescent="0.25">
      <c r="G323">
        <f t="shared" si="34"/>
        <v>5.3999999999999737</v>
      </c>
      <c r="H323">
        <f t="shared" ref="H323:H353" si="40">$B$3*10^G323</f>
        <v>2511886.4315094328</v>
      </c>
      <c r="I323" t="str">
        <f t="shared" si="35"/>
        <v>15782647.9197638j</v>
      </c>
      <c r="J323" t="str">
        <f t="shared" ref="J323:J353" si="41">IMDIV(Aolv,IMPRODUCT(IMSUM(1,IMDIV(I323,wc)),IMSUM(1,(IMPRODUCT(I323,R_O,C_L)))))</f>
        <v>-0.615173174720647-0.0974470549523887j</v>
      </c>
      <c r="K323">
        <f t="shared" si="36"/>
        <v>-4.1124219648161127</v>
      </c>
      <c r="L323">
        <f t="shared" si="37"/>
        <v>-170.99880103907424</v>
      </c>
      <c r="M323">
        <f t="shared" si="38"/>
        <v>-0.61517317472064703</v>
      </c>
      <c r="N323">
        <f t="shared" si="39"/>
        <v>-9.7447054952388701E-2</v>
      </c>
    </row>
    <row r="324" spans="7:14" x14ac:dyDescent="0.25">
      <c r="G324">
        <f t="shared" ref="G324:G353" si="42">G323+(1/ppd)</f>
        <v>5.4199999999999733</v>
      </c>
      <c r="H324">
        <f t="shared" si="40"/>
        <v>2630267.9918952221</v>
      </c>
      <c r="I324" t="str">
        <f t="shared" ref="I324:I353" si="43">COMPLEX(0,H324*2*PI(),"j")</f>
        <v>16526461.2006208j</v>
      </c>
      <c r="J324" t="str">
        <f t="shared" si="41"/>
        <v>-0.562255569313339-0.085056022714942j</v>
      </c>
      <c r="K324">
        <f t="shared" ref="K324:K353" si="44">20*LOG(IMABS(J324))</f>
        <v>-4.9030584396493433</v>
      </c>
      <c r="L324">
        <f t="shared" ref="L324:L353" si="45">DEGREES(IMARGUMENT(J324))</f>
        <v>-171.39772233134315</v>
      </c>
      <c r="M324">
        <f t="shared" ref="M324:M353" si="46">IMREAL(J324)</f>
        <v>-0.56225556931333898</v>
      </c>
      <c r="N324">
        <f t="shared" ref="N324:N353" si="47">IMAGINARY(J324)</f>
        <v>-8.5056022714942003E-2</v>
      </c>
    </row>
    <row r="325" spans="7:14" x14ac:dyDescent="0.25">
      <c r="G325">
        <f t="shared" si="42"/>
        <v>5.4399999999999729</v>
      </c>
      <c r="H325">
        <f t="shared" si="40"/>
        <v>2754228.7033379986</v>
      </c>
      <c r="I325" t="str">
        <f t="shared" si="43"/>
        <v>17305329.3214256j</v>
      </c>
      <c r="J325" t="str">
        <f t="shared" si="41"/>
        <v>-0.513794576123671-0.0742268103004138j</v>
      </c>
      <c r="K325">
        <f t="shared" si="44"/>
        <v>-5.6945011656928282</v>
      </c>
      <c r="L325">
        <f t="shared" si="45"/>
        <v>-171.77947575329003</v>
      </c>
      <c r="M325">
        <f t="shared" si="46"/>
        <v>-0.51379457612367097</v>
      </c>
      <c r="N325">
        <f t="shared" si="47"/>
        <v>-7.4226810300413795E-2</v>
      </c>
    </row>
    <row r="326" spans="7:14" x14ac:dyDescent="0.25">
      <c r="G326">
        <f t="shared" si="42"/>
        <v>5.4599999999999724</v>
      </c>
      <c r="H326">
        <f t="shared" si="40"/>
        <v>2884031.5031264247</v>
      </c>
      <c r="I326" t="str">
        <f t="shared" si="43"/>
        <v>18120904.365887j</v>
      </c>
      <c r="J326" t="str">
        <f t="shared" si="41"/>
        <v>-0.469430648676096-0.0647653480535134j</v>
      </c>
      <c r="K326">
        <f t="shared" si="44"/>
        <v>-6.4866821107657788</v>
      </c>
      <c r="L326">
        <f t="shared" si="45"/>
        <v>-172.14473520464972</v>
      </c>
      <c r="M326">
        <f t="shared" si="46"/>
        <v>-0.46943064867609602</v>
      </c>
      <c r="N326">
        <f t="shared" si="47"/>
        <v>-6.4765348053513402E-2</v>
      </c>
    </row>
    <row r="327" spans="7:14" x14ac:dyDescent="0.25">
      <c r="G327">
        <f t="shared" si="42"/>
        <v>5.479999999999972</v>
      </c>
      <c r="H327">
        <f t="shared" si="40"/>
        <v>3019951.7204018258</v>
      </c>
      <c r="I327" t="str">
        <f t="shared" si="43"/>
        <v>18974916.2780205j</v>
      </c>
      <c r="J327" t="str">
        <f t="shared" si="41"/>
        <v>-0.428830626883607-0.0565011177628111j</v>
      </c>
      <c r="K327">
        <f t="shared" si="44"/>
        <v>-7.2795387531227185</v>
      </c>
      <c r="L327">
        <f t="shared" si="45"/>
        <v>-172.49415645573609</v>
      </c>
      <c r="M327">
        <f t="shared" si="46"/>
        <v>-0.42883062688360701</v>
      </c>
      <c r="N327">
        <f t="shared" si="47"/>
        <v>-5.6501117762811102E-2</v>
      </c>
    </row>
    <row r="328" spans="7:14" x14ac:dyDescent="0.25">
      <c r="G328">
        <f t="shared" si="42"/>
        <v>5.4999999999999716</v>
      </c>
      <c r="H328">
        <f t="shared" si="40"/>
        <v>3162277.6601681737</v>
      </c>
      <c r="I328" t="str">
        <f t="shared" si="43"/>
        <v>19869176.5315909j</v>
      </c>
      <c r="J328" t="str">
        <f t="shared" si="41"/>
        <v>-0.391686244119184-0.0492844083770168j</v>
      </c>
      <c r="K328">
        <f t="shared" si="44"/>
        <v>-8.0730136733690436</v>
      </c>
      <c r="L328">
        <f t="shared" si="45"/>
        <v>-172.82837649787317</v>
      </c>
      <c r="M328">
        <f t="shared" si="46"/>
        <v>-0.39168624411918401</v>
      </c>
      <c r="N328">
        <f t="shared" si="47"/>
        <v>-4.9284408377016801E-2</v>
      </c>
    </row>
    <row r="329" spans="7:14" x14ac:dyDescent="0.25">
      <c r="G329">
        <f t="shared" si="42"/>
        <v>5.5199999999999712</v>
      </c>
      <c r="H329">
        <f t="shared" si="40"/>
        <v>3311311.2148256949</v>
      </c>
      <c r="I329" t="str">
        <f t="shared" si="43"/>
        <v>20805581.9724918j</v>
      </c>
      <c r="J329" t="str">
        <f t="shared" si="41"/>
        <v>-0.357712638838537-0.0429838683940557j</v>
      </c>
      <c r="K329">
        <f t="shared" si="44"/>
        <v>-8.8670541701296042</v>
      </c>
      <c r="L329">
        <f t="shared" si="45"/>
        <v>-173.14801309067172</v>
      </c>
      <c r="M329">
        <f t="shared" si="46"/>
        <v>-0.35771263883853699</v>
      </c>
      <c r="N329">
        <f t="shared" si="47"/>
        <v>-4.2983868394055699E-2</v>
      </c>
    </row>
    <row r="330" spans="7:14" x14ac:dyDescent="0.25">
      <c r="G330">
        <f t="shared" si="42"/>
        <v>5.5399999999999707</v>
      </c>
      <c r="H330">
        <f t="shared" si="40"/>
        <v>3467368.5045250896</v>
      </c>
      <c r="I330" t="str">
        <f t="shared" si="43"/>
        <v>21786118.8422093j</v>
      </c>
      <c r="J330" t="str">
        <f t="shared" si="41"/>
        <v>-0.326646888795021-0.0374843276122979j</v>
      </c>
      <c r="K330">
        <f t="shared" si="44"/>
        <v>-9.6616118992461235</v>
      </c>
      <c r="L330">
        <f t="shared" si="45"/>
        <v>-173.45366447984532</v>
      </c>
      <c r="M330">
        <f t="shared" si="46"/>
        <v>-0.32664688879502102</v>
      </c>
      <c r="N330">
        <f t="shared" si="47"/>
        <v>-3.7484327612297898E-2</v>
      </c>
    </row>
    <row r="331" spans="7:14" x14ac:dyDescent="0.25">
      <c r="G331">
        <f t="shared" si="42"/>
        <v>5.5599999999999703</v>
      </c>
      <c r="H331">
        <f t="shared" si="40"/>
        <v>3630780.5477007688</v>
      </c>
      <c r="I331" t="str">
        <f t="shared" si="43"/>
        <v>22812866.9909069j</v>
      </c>
      <c r="J331" t="str">
        <f t="shared" si="41"/>
        <v>-0.298246581850013-0.0326848624226676j</v>
      </c>
      <c r="K331">
        <f t="shared" si="44"/>
        <v>-10.456642536029738</v>
      </c>
      <c r="L331">
        <f t="shared" si="45"/>
        <v>-173.74590926190189</v>
      </c>
      <c r="M331">
        <f t="shared" si="46"/>
        <v>-0.29824658185001302</v>
      </c>
      <c r="N331">
        <f t="shared" si="47"/>
        <v>-3.2684862422667597E-2</v>
      </c>
    </row>
    <row r="332" spans="7:14" x14ac:dyDescent="0.25">
      <c r="G332">
        <f t="shared" si="42"/>
        <v>5.5799999999999699</v>
      </c>
      <c r="H332">
        <f t="shared" si="40"/>
        <v>3801893.9632053552</v>
      </c>
      <c r="I332" t="str">
        <f t="shared" si="43"/>
        <v>23888004.2890667j</v>
      </c>
      <c r="J332" t="str">
        <f t="shared" si="41"/>
        <v>-0.27228843396827-0.0284970804784439j</v>
      </c>
      <c r="K332">
        <f t="shared" si="44"/>
        <v>-11.252105459896617</v>
      </c>
      <c r="L332">
        <f t="shared" si="45"/>
        <v>-174.02530637452145</v>
      </c>
      <c r="M332">
        <f t="shared" si="46"/>
        <v>-0.27228843396827002</v>
      </c>
      <c r="N332">
        <f t="shared" si="47"/>
        <v>-2.84970804784439E-2</v>
      </c>
    </row>
    <row r="333" spans="7:14" x14ac:dyDescent="0.25">
      <c r="G333">
        <f t="shared" si="42"/>
        <v>5.5999999999999694</v>
      </c>
      <c r="H333">
        <f t="shared" si="40"/>
        <v>3981071.7055346956</v>
      </c>
      <c r="I333" t="str">
        <f t="shared" si="43"/>
        <v>25013811.247044j</v>
      </c>
      <c r="J333" t="str">
        <f t="shared" si="41"/>
        <v>-0.248566962128055-0.0248436023249831j</v>
      </c>
      <c r="K333">
        <f t="shared" si="44"/>
        <v>-12.047963460569999</v>
      </c>
      <c r="L333">
        <f t="shared" si="45"/>
        <v>-174.2923951937384</v>
      </c>
      <c r="M333">
        <f t="shared" si="46"/>
        <v>-0.24856696212805501</v>
      </c>
      <c r="N333">
        <f t="shared" si="47"/>
        <v>-2.4843602324983099E-2</v>
      </c>
    </row>
    <row r="334" spans="7:14" x14ac:dyDescent="0.25">
      <c r="G334">
        <f t="shared" si="42"/>
        <v>5.619999999999969</v>
      </c>
      <c r="H334">
        <f t="shared" si="40"/>
        <v>4168693.8347030636</v>
      </c>
      <c r="I334" t="str">
        <f t="shared" si="43"/>
        <v>26192675.8523364j</v>
      </c>
      <c r="J334" t="str">
        <f t="shared" si="41"/>
        <v>-0.226893217503352-0.0216567193422589j</v>
      </c>
      <c r="K334">
        <f t="shared" si="44"/>
        <v>-12.844182464931089</v>
      </c>
      <c r="L334">
        <f t="shared" si="45"/>
        <v>-174.54769572117581</v>
      </c>
      <c r="M334">
        <f t="shared" si="46"/>
        <v>-0.22689321750335201</v>
      </c>
      <c r="N334">
        <f t="shared" si="47"/>
        <v>-2.16567193422589E-2</v>
      </c>
    </row>
    <row r="335" spans="7:14" x14ac:dyDescent="0.25">
      <c r="G335">
        <f t="shared" si="42"/>
        <v>5.6399999999999686</v>
      </c>
      <c r="H335">
        <f t="shared" si="40"/>
        <v>4365158.3224013466</v>
      </c>
      <c r="I335" t="str">
        <f t="shared" si="43"/>
        <v>27427098.6348248j</v>
      </c>
      <c r="J335" t="str">
        <f t="shared" si="41"/>
        <v>-0.207093582327425-0.0188772091025215j</v>
      </c>
      <c r="K335">
        <f t="shared" si="44"/>
        <v>-13.640731283527593</v>
      </c>
      <c r="L335">
        <f t="shared" si="45"/>
        <v>-174.79170884652433</v>
      </c>
      <c r="M335">
        <f t="shared" si="46"/>
        <v>-0.207093582327425</v>
      </c>
      <c r="N335">
        <f t="shared" si="47"/>
        <v>-1.8877209102521501E-2</v>
      </c>
    </row>
    <row r="336" spans="7:14" x14ac:dyDescent="0.25">
      <c r="G336">
        <f t="shared" si="42"/>
        <v>5.6599999999999682</v>
      </c>
      <c r="H336">
        <f t="shared" si="40"/>
        <v>4570881.8961484218</v>
      </c>
      <c r="I336" t="str">
        <f t="shared" si="43"/>
        <v>28719697.9707329j</v>
      </c>
      <c r="J336" t="str">
        <f t="shared" si="41"/>
        <v>-0.189008632264535-0.01645329093973j</v>
      </c>
      <c r="K336">
        <f t="shared" si="44"/>
        <v>-14.437581375712568</v>
      </c>
      <c r="L336">
        <f t="shared" si="45"/>
        <v>-175.02491667223441</v>
      </c>
      <c r="M336">
        <f t="shared" si="46"/>
        <v>-0.18900863226453499</v>
      </c>
      <c r="N336">
        <f t="shared" si="47"/>
        <v>-1.6453290939730001E-2</v>
      </c>
    </row>
    <row r="337" spans="7:14" x14ac:dyDescent="0.25">
      <c r="G337">
        <f t="shared" si="42"/>
        <v>5.6799999999999677</v>
      </c>
      <c r="H337">
        <f t="shared" si="40"/>
        <v>4786300.9232260305</v>
      </c>
      <c r="I337" t="str">
        <f t="shared" si="43"/>
        <v>30073215.6365539j</v>
      </c>
      <c r="J337" t="str">
        <f t="shared" si="41"/>
        <v>-0.172492064847531-0.0143397061433783j</v>
      </c>
      <c r="K337">
        <f t="shared" si="44"/>
        <v>-15.234706632362007</v>
      </c>
      <c r="L337">
        <f t="shared" si="45"/>
        <v>-175.24778288899245</v>
      </c>
      <c r="M337">
        <f t="shared" si="46"/>
        <v>-0.17249206484753099</v>
      </c>
      <c r="N337">
        <f t="shared" si="47"/>
        <v>-1.4339706143378299E-2</v>
      </c>
    </row>
    <row r="338" spans="7:14" x14ac:dyDescent="0.25">
      <c r="G338">
        <f t="shared" si="42"/>
        <v>5.6999999999999673</v>
      </c>
      <c r="H338">
        <f t="shared" si="40"/>
        <v>5011872.3362723524</v>
      </c>
      <c r="I338" t="str">
        <f t="shared" si="43"/>
        <v>31490522.6247263j</v>
      </c>
      <c r="J338" t="str">
        <f t="shared" si="41"/>
        <v>-0.157409693535283-0.0124969087114632j</v>
      </c>
      <c r="K338">
        <f t="shared" si="44"/>
        <v>-16.032083175125194</v>
      </c>
      <c r="L338">
        <f t="shared" si="45"/>
        <v>-175.46075319199906</v>
      </c>
      <c r="M338">
        <f t="shared" si="46"/>
        <v>-0.157409693535283</v>
      </c>
      <c r="N338">
        <f t="shared" si="47"/>
        <v>-1.24969087114632E-2</v>
      </c>
    </row>
    <row r="339" spans="7:14" x14ac:dyDescent="0.25">
      <c r="G339">
        <f t="shared" si="42"/>
        <v>5.7199999999999669</v>
      </c>
      <c r="H339">
        <f t="shared" si="40"/>
        <v>5248074.6024973365</v>
      </c>
      <c r="I339" t="str">
        <f t="shared" si="43"/>
        <v>32974625.2333936j</v>
      </c>
      <c r="J339" t="str">
        <f t="shared" si="41"/>
        <v>-0.143638506164209-0.0108903540167675j</v>
      </c>
      <c r="K339">
        <f t="shared" si="44"/>
        <v>-16.82968917116975</v>
      </c>
      <c r="L339">
        <f t="shared" si="45"/>
        <v>-175.66425572936021</v>
      </c>
      <c r="M339">
        <f t="shared" si="46"/>
        <v>-0.14363850616420901</v>
      </c>
      <c r="N339">
        <f t="shared" si="47"/>
        <v>-1.08903540167675E-2</v>
      </c>
    </row>
    <row r="340" spans="7:14" x14ac:dyDescent="0.25">
      <c r="G340">
        <f t="shared" si="42"/>
        <v>5.7399999999999665</v>
      </c>
      <c r="H340">
        <f t="shared" si="40"/>
        <v>5495408.7385758273</v>
      </c>
      <c r="I340" t="str">
        <f t="shared" si="43"/>
        <v>34528671.4431659j</v>
      </c>
      <c r="J340" t="str">
        <f t="shared" si="41"/>
        <v>-0.131065785975187-0.00948987405308517j</v>
      </c>
      <c r="K340">
        <f t="shared" si="44"/>
        <v>-17.627504662411887</v>
      </c>
      <c r="L340">
        <f t="shared" si="45"/>
        <v>-175.85870157506116</v>
      </c>
      <c r="M340">
        <f t="shared" si="46"/>
        <v>-0.131065785975187</v>
      </c>
      <c r="N340">
        <f t="shared" si="47"/>
        <v>-9.4898740530851705E-3</v>
      </c>
    </row>
    <row r="341" spans="7:14" x14ac:dyDescent="0.25">
      <c r="G341">
        <f t="shared" si="42"/>
        <v>5.759999999999966</v>
      </c>
      <c r="H341">
        <f t="shared" si="40"/>
        <v>5754399.3733711299</v>
      </c>
      <c r="I341" t="str">
        <f t="shared" si="43"/>
        <v>36155957.5944089j</v>
      </c>
      <c r="J341" t="str">
        <f t="shared" si="41"/>
        <v>-0.119588292959404-0.00826912913306561j</v>
      </c>
      <c r="K341">
        <f t="shared" si="44"/>
        <v>-18.425511408252294</v>
      </c>
      <c r="L341">
        <f t="shared" si="45"/>
        <v>-176.04448522002133</v>
      </c>
      <c r="M341">
        <f t="shared" si="46"/>
        <v>-0.119588292959404</v>
      </c>
      <c r="N341">
        <f t="shared" si="47"/>
        <v>-8.2691291330656107E-3</v>
      </c>
    </row>
    <row r="342" spans="7:14" x14ac:dyDescent="0.25">
      <c r="G342">
        <f t="shared" si="42"/>
        <v>5.7799999999999656</v>
      </c>
      <c r="H342">
        <f t="shared" si="40"/>
        <v>6025595.8607431054</v>
      </c>
      <c r="I342" t="str">
        <f t="shared" si="43"/>
        <v>37859935.3792232j</v>
      </c>
      <c r="J342" t="str">
        <f t="shared" si="41"/>
        <v>-0.109111502956423-0.00720512700907872j</v>
      </c>
      <c r="K342">
        <f t="shared" si="44"/>
        <v>-19.223692740878391</v>
      </c>
      <c r="L342">
        <f t="shared" si="45"/>
        <v>-176.22198507564062</v>
      </c>
      <c r="M342">
        <f t="shared" si="46"/>
        <v>-0.109111502956423</v>
      </c>
      <c r="N342">
        <f t="shared" si="47"/>
        <v>-7.20512700907872E-3</v>
      </c>
    </row>
    <row r="343" spans="7:14" x14ac:dyDescent="0.25">
      <c r="G343">
        <f t="shared" si="42"/>
        <v>5.7999999999999652</v>
      </c>
      <c r="H343">
        <f t="shared" si="40"/>
        <v>6309573.4448014377</v>
      </c>
      <c r="I343" t="str">
        <f t="shared" si="43"/>
        <v>39644219.1629469j</v>
      </c>
      <c r="J343" t="str">
        <f t="shared" si="41"/>
        <v>-0.0995489017315397-0.00627780138693059j</v>
      </c>
      <c r="K343">
        <f t="shared" si="44"/>
        <v>-20.022033432236185</v>
      </c>
      <c r="L343">
        <f t="shared" si="45"/>
        <v>-176.39156398505503</v>
      </c>
      <c r="M343">
        <f t="shared" si="46"/>
        <v>-9.9548901731539699E-2</v>
      </c>
      <c r="N343">
        <f t="shared" si="47"/>
        <v>-6.2778013869305904E-3</v>
      </c>
    </row>
    <row r="344" spans="7:14" x14ac:dyDescent="0.25">
      <c r="G344">
        <f t="shared" si="42"/>
        <v>5.8199999999999648</v>
      </c>
      <c r="H344">
        <f t="shared" si="40"/>
        <v>6606934.4800754283</v>
      </c>
      <c r="I344" t="str">
        <f t="shared" si="43"/>
        <v>41512593.6507081j</v>
      </c>
      <c r="J344" t="str">
        <f t="shared" si="41"/>
        <v>-0.0908213311373343-0.00546964270464452j</v>
      </c>
      <c r="K344">
        <f t="shared" si="44"/>
        <v>-20.820519571817655</v>
      </c>
      <c r="L344">
        <f t="shared" si="45"/>
        <v>-176.55356973802915</v>
      </c>
      <c r="M344">
        <f t="shared" si="46"/>
        <v>-9.0821331137334302E-2</v>
      </c>
      <c r="N344">
        <f t="shared" si="47"/>
        <v>-5.4696427046445201E-3</v>
      </c>
    </row>
    <row r="345" spans="7:14" x14ac:dyDescent="0.25">
      <c r="G345">
        <f t="shared" si="42"/>
        <v>5.8399999999999643</v>
      </c>
      <c r="H345">
        <f t="shared" si="40"/>
        <v>6918309.7091888068</v>
      </c>
      <c r="I345" t="str">
        <f t="shared" si="43"/>
        <v>43469021.915293j</v>
      </c>
      <c r="J345" t="str">
        <f t="shared" si="41"/>
        <v>-0.0828563844091963-0.0047653748609062j</v>
      </c>
      <c r="K345">
        <f t="shared" si="44"/>
        <v>-21.61913845446055</v>
      </c>
      <c r="L345">
        <f t="shared" si="45"/>
        <v>-176.70833558603971</v>
      </c>
      <c r="M345">
        <f t="shared" si="46"/>
        <v>-8.2856384409196293E-2</v>
      </c>
      <c r="N345">
        <f t="shared" si="47"/>
        <v>-4.7653748609061998E-3</v>
      </c>
    </row>
    <row r="346" spans="7:14" x14ac:dyDescent="0.25">
      <c r="G346">
        <f t="shared" si="42"/>
        <v>5.8599999999999639</v>
      </c>
      <c r="H346">
        <f t="shared" si="40"/>
        <v>7244359.6007493027</v>
      </c>
      <c r="I346" t="str">
        <f t="shared" si="43"/>
        <v>45517653.8033534j</v>
      </c>
      <c r="J346" t="str">
        <f t="shared" si="41"/>
        <v>-0.0755878476425526-0.00415167230663047j</v>
      </c>
      <c r="K346">
        <f t="shared" si="44"/>
        <v>-22.417878477400023</v>
      </c>
      <c r="L346">
        <f t="shared" si="45"/>
        <v>-176.85618075464933</v>
      </c>
      <c r="M346">
        <f t="shared" si="46"/>
        <v>-7.5587847642552594E-2</v>
      </c>
      <c r="N346">
        <f t="shared" si="47"/>
        <v>-4.1516723066304696E-3</v>
      </c>
    </row>
    <row r="347" spans="7:14" x14ac:dyDescent="0.25">
      <c r="G347">
        <f t="shared" si="42"/>
        <v>5.8799999999999635</v>
      </c>
      <c r="H347">
        <f t="shared" si="40"/>
        <v>7585775.7502912087</v>
      </c>
      <c r="I347" t="str">
        <f t="shared" si="43"/>
        <v>47662834.7377889j</v>
      </c>
      <c r="J347" t="str">
        <f t="shared" si="41"/>
        <v>-0.0689551845385147-0.00361691256503632j</v>
      </c>
      <c r="K347">
        <f t="shared" si="44"/>
        <v>-23.216729045862262</v>
      </c>
      <c r="L347">
        <f t="shared" si="45"/>
        <v>-176.99741095075046</v>
      </c>
      <c r="M347">
        <f t="shared" si="46"/>
        <v>-6.8955184538514694E-2</v>
      </c>
      <c r="N347">
        <f t="shared" si="47"/>
        <v>-3.6169125650363202E-3</v>
      </c>
    </row>
    <row r="348" spans="7:14" x14ac:dyDescent="0.25">
      <c r="G348">
        <f t="shared" si="42"/>
        <v>5.8999999999999631</v>
      </c>
      <c r="H348">
        <f t="shared" si="40"/>
        <v>7943282.347242156</v>
      </c>
      <c r="I348" t="str">
        <f t="shared" si="43"/>
        <v>49909114.9349709j</v>
      </c>
      <c r="J348" t="str">
        <f t="shared" si="41"/>
        <v>-0.0629030615750898-0.00315095982719007j</v>
      </c>
      <c r="K348">
        <f t="shared" si="44"/>
        <v>-24.015680486532666</v>
      </c>
      <c r="L348">
        <f t="shared" si="45"/>
        <v>-177.13231886267522</v>
      </c>
      <c r="M348">
        <f t="shared" si="46"/>
        <v>-6.2903061575089805E-2</v>
      </c>
      <c r="N348">
        <f t="shared" si="47"/>
        <v>-3.15095982719007E-3</v>
      </c>
    </row>
    <row r="349" spans="7:14" x14ac:dyDescent="0.25">
      <c r="G349">
        <f t="shared" si="42"/>
        <v>5.9199999999999626</v>
      </c>
      <c r="H349">
        <f t="shared" si="40"/>
        <v>8317637.7110260036</v>
      </c>
      <c r="I349" t="str">
        <f t="shared" si="43"/>
        <v>52261259.0563614j</v>
      </c>
      <c r="J349" t="str">
        <f t="shared" si="41"/>
        <v>-0.0573809108547596-0.00274497578754493j</v>
      </c>
      <c r="K349">
        <f t="shared" si="44"/>
        <v>-24.8147239682778</v>
      </c>
      <c r="L349">
        <f t="shared" si="45"/>
        <v>-177.26118465152908</v>
      </c>
      <c r="M349">
        <f t="shared" si="46"/>
        <v>-5.7380910854759597E-2</v>
      </c>
      <c r="N349">
        <f t="shared" si="47"/>
        <v>-2.7449757875449301E-3</v>
      </c>
    </row>
    <row r="350" spans="7:14" x14ac:dyDescent="0.25">
      <c r="G350">
        <f t="shared" si="42"/>
        <v>5.9399999999999622</v>
      </c>
      <c r="H350">
        <f t="shared" si="40"/>
        <v>8709635.8995600641</v>
      </c>
      <c r="I350" t="str">
        <f t="shared" si="43"/>
        <v>54724256.3149997j</v>
      </c>
      <c r="J350" t="str">
        <f t="shared" si="41"/>
        <v>-0.0523425279896301-0.00239125434364384j</v>
      </c>
      <c r="K350">
        <f t="shared" si="44"/>
        <v>-25.61385142954293</v>
      </c>
      <c r="L350">
        <f t="shared" si="45"/>
        <v>-177.38427643242275</v>
      </c>
      <c r="M350">
        <f t="shared" si="46"/>
        <v>-5.23425279896301E-2</v>
      </c>
      <c r="N350">
        <f t="shared" si="47"/>
        <v>-2.3912543436438402E-3</v>
      </c>
    </row>
    <row r="351" spans="7:14" x14ac:dyDescent="0.25">
      <c r="G351">
        <f t="shared" si="42"/>
        <v>5.9599999999999618</v>
      </c>
      <c r="H351">
        <f t="shared" si="40"/>
        <v>9120108.3935583029</v>
      </c>
      <c r="I351" t="str">
        <f t="shared" si="43"/>
        <v>57303331.0582907j</v>
      </c>
      <c r="J351" t="str">
        <f t="shared" si="41"/>
        <v>-0.0477457025071166-0.00208307719157642j</v>
      </c>
      <c r="K351">
        <f t="shared" si="44"/>
        <v>-26.413055511887094</v>
      </c>
      <c r="L351">
        <f t="shared" si="45"/>
        <v>-177.50185074454549</v>
      </c>
      <c r="M351">
        <f t="shared" si="46"/>
        <v>-4.77457025071166E-2</v>
      </c>
      <c r="N351">
        <f t="shared" si="47"/>
        <v>-2.0830771915764201E-3</v>
      </c>
    </row>
    <row r="352" spans="7:14" x14ac:dyDescent="0.25">
      <c r="G352">
        <f t="shared" si="42"/>
        <v>5.9799999999999613</v>
      </c>
      <c r="H352">
        <f t="shared" si="40"/>
        <v>9549925.8602135256</v>
      </c>
      <c r="I352" t="str">
        <f t="shared" si="43"/>
        <v>60003953.849548j</v>
      </c>
      <c r="J352" t="str">
        <f t="shared" si="41"/>
        <v>-0.0435518783879442-0.00181458770930928j</v>
      </c>
      <c r="K352">
        <f t="shared" si="44"/>
        <v>-27.212329499157729</v>
      </c>
      <c r="L352">
        <f t="shared" si="45"/>
        <v>-177.61415300926004</v>
      </c>
      <c r="M352">
        <f t="shared" si="46"/>
        <v>-4.35518783879442E-2</v>
      </c>
      <c r="N352">
        <f t="shared" si="47"/>
        <v>-1.81458770930928E-3</v>
      </c>
    </row>
    <row r="353" spans="7:14" x14ac:dyDescent="0.25">
      <c r="G353">
        <f t="shared" si="42"/>
        <v>5.9999999999999609</v>
      </c>
      <c r="H353">
        <f t="shared" si="40"/>
        <v>9999999.9999991078</v>
      </c>
      <c r="I353" t="str">
        <f t="shared" si="43"/>
        <v>62831853.0717903j</v>
      </c>
      <c r="J353" t="str">
        <f t="shared" si="41"/>
        <v>-0.0397258424807142-0.00158068083855983j</v>
      </c>
      <c r="K353">
        <f t="shared" si="44"/>
        <v>-28.011667261843133</v>
      </c>
      <c r="L353">
        <f t="shared" si="45"/>
        <v>-177.72141797559829</v>
      </c>
      <c r="M353">
        <f t="shared" si="46"/>
        <v>-3.9725842480714202E-2</v>
      </c>
      <c r="N353">
        <f t="shared" si="47"/>
        <v>-1.58068083855983E-3</v>
      </c>
    </row>
  </sheetData>
  <conditionalFormatting sqref="B15">
    <cfRule type="cellIs" dxfId="6" priority="1" operator="lessThan">
      <formula>45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D5DC9-A936-4699-97E2-9F587D2A16CC}">
  <sheetPr codeName="Sheet6"/>
  <dimension ref="A1:N353"/>
  <sheetViews>
    <sheetView showGridLines="0" zoomScaleNormal="100" workbookViewId="0">
      <selection activeCell="E20" sqref="E20"/>
    </sheetView>
  </sheetViews>
  <sheetFormatPr defaultRowHeight="15" x14ac:dyDescent="0.25"/>
  <cols>
    <col min="1" max="1" width="27.85546875" customWidth="1"/>
    <col min="2" max="2" width="13.140625" customWidth="1"/>
    <col min="3" max="3" width="5.7109375" customWidth="1"/>
    <col min="4" max="4" width="86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43.5703125" customWidth="1"/>
  </cols>
  <sheetData>
    <row r="1" spans="1:14" ht="15" customHeight="1" x14ac:dyDescent="0.25">
      <c r="A1" s="1" t="s">
        <v>33</v>
      </c>
      <c r="F1" s="6" t="s">
        <v>46</v>
      </c>
      <c r="G1" s="5">
        <v>50</v>
      </c>
    </row>
    <row r="2" spans="1:14" ht="15" customHeight="1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3</v>
      </c>
      <c r="K2" s="3" t="s">
        <v>5</v>
      </c>
      <c r="L2" s="4" t="s">
        <v>6</v>
      </c>
      <c r="M2" s="3" t="s">
        <v>7</v>
      </c>
      <c r="N2" s="3" t="s">
        <v>8</v>
      </c>
    </row>
    <row r="3" spans="1:14" ht="15" customHeight="1" x14ac:dyDescent="0.35">
      <c r="A3" s="6" t="s">
        <v>22</v>
      </c>
      <c r="B3" s="5">
        <v>10</v>
      </c>
      <c r="C3" t="s">
        <v>10</v>
      </c>
      <c r="F3" s="6" t="s">
        <v>25</v>
      </c>
      <c r="G3" s="5">
        <v>-1</v>
      </c>
      <c r="H3">
        <f t="shared" ref="H3:H66" si="0">$B$3*10^G3</f>
        <v>1</v>
      </c>
      <c r="I3" t="str">
        <f>COMPLEX(0,H3*2*PI(),"j")</f>
        <v>6.28318530717959j</v>
      </c>
      <c r="J3" t="str">
        <f t="shared" ref="J3:J66" si="1">IMDIV(IMPRODUCT(Aolv,IMSUM(1,IMPRODUCT(I3,C_L,R_I))),IMPRODUCT(IMSUM(1,IMDIV(I3,wc)),IMSUM(1,(IMPRODUCT(I3,R_O+R_I,C_L)))))</f>
        <v>990098.76105415-99012.3893795382j</v>
      </c>
      <c r="K3">
        <f>20*LOG(IMABS(J3))</f>
        <v>119.95678626213243</v>
      </c>
      <c r="L3">
        <f>DEGREES(IMARGUMENT(J3))</f>
        <v>-5.7107371374996632</v>
      </c>
      <c r="M3">
        <f>IMREAL(J3)</f>
        <v>990098.76105414995</v>
      </c>
      <c r="N3">
        <f>IMAGINARY(J3)</f>
        <v>-99012.389379538203</v>
      </c>
    </row>
    <row r="4" spans="1:14" ht="15" customHeight="1" x14ac:dyDescent="0.35">
      <c r="A4" s="6" t="s">
        <v>27</v>
      </c>
      <c r="B4" s="5">
        <v>120</v>
      </c>
      <c r="C4" t="s">
        <v>17</v>
      </c>
      <c r="G4">
        <f t="shared" ref="G4:G67" si="2">G3+(1/ppd)</f>
        <v>-0.98</v>
      </c>
      <c r="H4">
        <f t="shared" si="0"/>
        <v>1.0471285480508996</v>
      </c>
      <c r="I4" t="str">
        <f t="shared" ref="I4:I67" si="3">COMPLEX(0,H4*2*PI(),"j")</f>
        <v>6.57930270784171j</v>
      </c>
      <c r="J4" t="str">
        <f t="shared" si="1"/>
        <v>989153.867928176-103579.757073339j</v>
      </c>
      <c r="K4">
        <f t="shared" ref="K4:K67" si="4">20*LOG(IMABS(J4))</f>
        <v>119.9526397325337</v>
      </c>
      <c r="L4">
        <f t="shared" ref="L4:L67" si="5">DEGREES(IMARGUMENT(J4))</f>
        <v>-5.9779704506096509</v>
      </c>
      <c r="M4">
        <f t="shared" ref="M4:M67" si="6">IMREAL(J4)</f>
        <v>989153.86792817595</v>
      </c>
      <c r="N4">
        <f t="shared" ref="N4:N67" si="7">IMAGINARY(J4)</f>
        <v>-103579.757073339</v>
      </c>
    </row>
    <row r="5" spans="1:14" ht="15" customHeight="1" x14ac:dyDescent="0.35">
      <c r="A5" s="6" t="s">
        <v>26</v>
      </c>
      <c r="B5" s="5">
        <v>40</v>
      </c>
      <c r="C5" t="s">
        <v>12</v>
      </c>
      <c r="G5">
        <f t="shared" si="2"/>
        <v>-0.96</v>
      </c>
      <c r="H5">
        <f t="shared" si="0"/>
        <v>1.0964781961431849</v>
      </c>
      <c r="I5" t="str">
        <f t="shared" si="3"/>
        <v>6.88937569164964j</v>
      </c>
      <c r="J5" t="str">
        <f t="shared" si="1"/>
        <v>988119.883893069-108347.946536706j</v>
      </c>
      <c r="K5">
        <f t="shared" si="4"/>
        <v>119.94809769897827</v>
      </c>
      <c r="L5">
        <f t="shared" si="5"/>
        <v>-6.2575184106109498</v>
      </c>
      <c r="M5">
        <f t="shared" si="6"/>
        <v>988119.883893069</v>
      </c>
      <c r="N5">
        <f t="shared" si="7"/>
        <v>-108347.946536706</v>
      </c>
    </row>
    <row r="6" spans="1:14" ht="15" customHeight="1" x14ac:dyDescent="0.35">
      <c r="A6" s="6" t="s">
        <v>28</v>
      </c>
      <c r="B6" s="13">
        <v>1E-8</v>
      </c>
      <c r="C6" t="s">
        <v>11</v>
      </c>
      <c r="G6">
        <f t="shared" si="2"/>
        <v>-0.94</v>
      </c>
      <c r="H6">
        <f t="shared" si="0"/>
        <v>1.148153621496883</v>
      </c>
      <c r="I6" t="str">
        <f t="shared" si="3"/>
        <v>7.21406196497425j</v>
      </c>
      <c r="J6" t="str">
        <f t="shared" si="1"/>
        <v>986988.624622664-113324.341998459j</v>
      </c>
      <c r="K6">
        <f t="shared" si="4"/>
        <v>119.94312291194844</v>
      </c>
      <c r="L6">
        <f t="shared" si="5"/>
        <v>-6.5499206271955588</v>
      </c>
      <c r="M6">
        <f t="shared" si="6"/>
        <v>986988.62462266395</v>
      </c>
      <c r="N6">
        <f t="shared" si="7"/>
        <v>-113324.341998459</v>
      </c>
    </row>
    <row r="7" spans="1:14" ht="15" customHeight="1" x14ac:dyDescent="0.35">
      <c r="A7" s="6" t="s">
        <v>31</v>
      </c>
      <c r="B7" s="5">
        <v>10</v>
      </c>
      <c r="C7" t="s">
        <v>12</v>
      </c>
      <c r="G7">
        <f t="shared" si="2"/>
        <v>-0.91999999999999993</v>
      </c>
      <c r="H7">
        <f t="shared" si="0"/>
        <v>1.2022644346174129</v>
      </c>
      <c r="I7" t="str">
        <f t="shared" si="3"/>
        <v>7.5540502309327j</v>
      </c>
      <c r="J7" t="str">
        <f t="shared" si="1"/>
        <v>985751.196869791-118516.382157901j</v>
      </c>
      <c r="K7">
        <f t="shared" si="4"/>
        <v>119.93767470821972</v>
      </c>
      <c r="L7">
        <f t="shared" si="5"/>
        <v>-6.8557362734318561</v>
      </c>
      <c r="M7">
        <f t="shared" si="6"/>
        <v>985751.19686979102</v>
      </c>
      <c r="N7">
        <f t="shared" si="7"/>
        <v>-118516.382157901</v>
      </c>
    </row>
    <row r="8" spans="1:14" ht="15" customHeight="1" x14ac:dyDescent="0.25">
      <c r="G8">
        <f t="shared" si="2"/>
        <v>-0.89999999999999991</v>
      </c>
      <c r="H8">
        <f t="shared" si="0"/>
        <v>1.2589254117941673</v>
      </c>
      <c r="I8" t="str">
        <f t="shared" si="3"/>
        <v>7.91006165022012j</v>
      </c>
      <c r="J8" t="str">
        <f t="shared" si="1"/>
        <v>984397.945633312-123931.522932235j</v>
      </c>
      <c r="K8">
        <f t="shared" si="4"/>
        <v>119.93170871681025</v>
      </c>
      <c r="L8">
        <f t="shared" si="5"/>
        <v>-7.1755441817689993</v>
      </c>
      <c r="M8">
        <f t="shared" si="6"/>
        <v>984397.94563331199</v>
      </c>
      <c r="N8">
        <f t="shared" si="7"/>
        <v>-123931.52293223501</v>
      </c>
    </row>
    <row r="9" spans="1:14" ht="15" customHeight="1" x14ac:dyDescent="0.25">
      <c r="B9" s="2" t="s">
        <v>13</v>
      </c>
      <c r="G9">
        <f t="shared" si="2"/>
        <v>-0.87999999999999989</v>
      </c>
      <c r="H9">
        <f t="shared" si="0"/>
        <v>1.318256738556407</v>
      </c>
      <c r="I9" t="str">
        <f t="shared" si="3"/>
        <v>8.2828513707881j</v>
      </c>
      <c r="J9" t="str">
        <f t="shared" si="1"/>
        <v>982918.399143056-129577.193452689j</v>
      </c>
      <c r="K9">
        <f t="shared" si="4"/>
        <v>119.92517654335232</v>
      </c>
      <c r="L9">
        <f t="shared" si="5"/>
        <v>-7.5099428330235849</v>
      </c>
      <c r="M9">
        <f t="shared" si="6"/>
        <v>982918.39914305601</v>
      </c>
      <c r="N9">
        <f t="shared" si="7"/>
        <v>-129577.193452689</v>
      </c>
    </row>
    <row r="10" spans="1:14" ht="15" customHeight="1" x14ac:dyDescent="0.35">
      <c r="A10" s="6" t="s">
        <v>27</v>
      </c>
      <c r="B10" s="20">
        <f>10^(B4/20)</f>
        <v>1000000</v>
      </c>
      <c r="C10" t="s">
        <v>14</v>
      </c>
      <c r="G10">
        <f t="shared" si="2"/>
        <v>-0.85999999999999988</v>
      </c>
      <c r="H10">
        <f t="shared" si="0"/>
        <v>1.380384264602885</v>
      </c>
      <c r="I10" t="str">
        <f t="shared" si="3"/>
        <v>8.67321012961474j</v>
      </c>
      <c r="J10" t="str">
        <f t="shared" si="1"/>
        <v>981301.21197143-135460.744468162j</v>
      </c>
      <c r="K10">
        <f t="shared" si="4"/>
        <v>119.91802543207163</v>
      </c>
      <c r="L10">
        <f t="shared" si="5"/>
        <v>-7.8595502194399751</v>
      </c>
      <c r="M10">
        <f t="shared" si="6"/>
        <v>981301.21197142999</v>
      </c>
      <c r="N10">
        <f t="shared" si="7"/>
        <v>-135460.74446816201</v>
      </c>
    </row>
    <row r="11" spans="1:14" ht="15" customHeight="1" x14ac:dyDescent="0.35">
      <c r="A11" s="6" t="s">
        <v>23</v>
      </c>
      <c r="B11" s="20">
        <f>2*PI()*B3</f>
        <v>62.831853071795862</v>
      </c>
      <c r="C11" t="s">
        <v>15</v>
      </c>
      <c r="G11">
        <f t="shared" si="2"/>
        <v>-0.83999999999999986</v>
      </c>
      <c r="H11">
        <f t="shared" si="0"/>
        <v>1.4454397707459279</v>
      </c>
      <c r="I11" t="str">
        <f t="shared" si="3"/>
        <v>9.08196592996384j</v>
      </c>
      <c r="J11" t="str">
        <f t="shared" si="1"/>
        <v>979534.106694549-141589.388248211j</v>
      </c>
      <c r="K11">
        <f t="shared" si="4"/>
        <v>119.91019790470573</v>
      </c>
      <c r="L11">
        <f t="shared" si="5"/>
        <v>-8.2250035606068224</v>
      </c>
      <c r="M11">
        <f t="shared" si="6"/>
        <v>979534.10669454897</v>
      </c>
      <c r="N11">
        <f t="shared" si="7"/>
        <v>-141589.38824821101</v>
      </c>
    </row>
    <row r="12" spans="1:14" ht="15" customHeight="1" x14ac:dyDescent="0.25">
      <c r="A12" s="6" t="s">
        <v>24</v>
      </c>
      <c r="B12" s="20">
        <f>1/(2*PI()*(R_O+R_I)*C_L)</f>
        <v>318309.88618379069</v>
      </c>
      <c r="C12" s="8" t="s">
        <v>10</v>
      </c>
      <c r="G12">
        <f t="shared" si="2"/>
        <v>-0.81999999999999984</v>
      </c>
      <c r="H12">
        <f t="shared" si="0"/>
        <v>1.5135612484362084</v>
      </c>
      <c r="I12" t="str">
        <f t="shared" si="3"/>
        <v>9.50998579769078j</v>
      </c>
      <c r="J12" t="str">
        <f t="shared" si="1"/>
        <v>977603.814661763-147970.129013865j</v>
      </c>
      <c r="K12">
        <f t="shared" si="4"/>
        <v>119.90163137588765</v>
      </c>
      <c r="L12">
        <f t="shared" si="5"/>
        <v>-8.6069588485338322</v>
      </c>
      <c r="M12">
        <f t="shared" si="6"/>
        <v>977603.81466176303</v>
      </c>
      <c r="N12">
        <f t="shared" si="7"/>
        <v>-147970.12901386499</v>
      </c>
    </row>
    <row r="13" spans="1:14" ht="15" customHeight="1" x14ac:dyDescent="0.25">
      <c r="A13" s="6" t="s">
        <v>32</v>
      </c>
      <c r="B13" s="20">
        <f>1/(2*PI()*R_I*C_L)</f>
        <v>1591549.4309189534</v>
      </c>
      <c r="G13">
        <f t="shared" si="2"/>
        <v>-0.79999999999999982</v>
      </c>
      <c r="H13">
        <f t="shared" si="0"/>
        <v>1.584893192461114</v>
      </c>
      <c r="I13" t="str">
        <f t="shared" si="3"/>
        <v>9.95817762032062j</v>
      </c>
      <c r="J13" t="str">
        <f t="shared" si="1"/>
        <v>975496.016593521-154609.682868248j</v>
      </c>
      <c r="K13">
        <f t="shared" si="4"/>
        <v>119.89225774477705</v>
      </c>
      <c r="L13">
        <f t="shared" si="5"/>
        <v>-9.0060901955511898</v>
      </c>
      <c r="M13">
        <f t="shared" si="6"/>
        <v>975496.016593521</v>
      </c>
      <c r="N13">
        <f t="shared" si="7"/>
        <v>-154609.682868248</v>
      </c>
    </row>
    <row r="14" spans="1:14" ht="15" customHeight="1" x14ac:dyDescent="0.25">
      <c r="A14" s="6" t="s">
        <v>29</v>
      </c>
      <c r="B14" s="16" cm="1">
        <f t="array" ref="B14">INDEX(K4:K353,MATCH(MIN(ABS(K4:K353)),ABS(K4:K353),0))</f>
        <v>-7.1005332179612857E-2</v>
      </c>
      <c r="C14" s="8" t="s">
        <v>17</v>
      </c>
      <c r="G14">
        <f t="shared" si="2"/>
        <v>-0.7799999999999998</v>
      </c>
      <c r="H14">
        <f t="shared" si="0"/>
        <v>1.6595869074375613</v>
      </c>
      <c r="I14" t="str">
        <f t="shared" si="3"/>
        <v>10.4274920727993j</v>
      </c>
      <c r="J14" t="str">
        <f t="shared" si="1"/>
        <v>973195.283915935-161514.386153515j</v>
      </c>
      <c r="K14">
        <f t="shared" si="4"/>
        <v>119.88200296304448</v>
      </c>
      <c r="L14">
        <f t="shared" si="5"/>
        <v>-9.4230889559190718</v>
      </c>
      <c r="M14">
        <f t="shared" si="6"/>
        <v>973195.28391593497</v>
      </c>
      <c r="N14">
        <f t="shared" si="7"/>
        <v>-161514.38615351499</v>
      </c>
    </row>
    <row r="15" spans="1:14" ht="15" customHeight="1" x14ac:dyDescent="0.25">
      <c r="A15" s="6" t="s">
        <v>18</v>
      </c>
      <c r="B15" s="15">
        <f>_xlfn.XLOOKUP(B14,K4:K353,H4:H353)</f>
        <v>2398832.9190193499</v>
      </c>
      <c r="C15" s="8" t="s">
        <v>10</v>
      </c>
      <c r="G15">
        <f t="shared" si="2"/>
        <v>-0.75999999999999979</v>
      </c>
      <c r="H15">
        <f t="shared" si="0"/>
        <v>1.7378008287493762</v>
      </c>
      <c r="I15" t="str">
        <f t="shared" si="3"/>
        <v>10.9189246340026j</v>
      </c>
      <c r="J15" t="str">
        <f t="shared" si="1"/>
        <v>970685.021959164-168690.091131378j</v>
      </c>
      <c r="K15">
        <f t="shared" si="4"/>
        <v>119.87078657972113</v>
      </c>
      <c r="L15">
        <f t="shared" si="5"/>
        <v>-9.8586625891596373</v>
      </c>
      <c r="M15">
        <f t="shared" si="6"/>
        <v>970685.02195916395</v>
      </c>
      <c r="N15">
        <f t="shared" si="7"/>
        <v>-168690.09113137799</v>
      </c>
    </row>
    <row r="16" spans="1:14" ht="15" customHeight="1" x14ac:dyDescent="0.25">
      <c r="A16" s="6" t="s">
        <v>19</v>
      </c>
      <c r="B16" s="17">
        <f>_xlfn.XLOOKUP(B14,K4:K353,L4:L353)</f>
        <v>-116.00414197718878</v>
      </c>
      <c r="C16" s="7" t="s">
        <v>21</v>
      </c>
      <c r="G16">
        <f t="shared" si="2"/>
        <v>-0.73999999999999977</v>
      </c>
      <c r="H16">
        <f t="shared" si="0"/>
        <v>1.8197008586099841</v>
      </c>
      <c r="I16" t="str">
        <f t="shared" si="3"/>
        <v>11.4335176982803j</v>
      </c>
      <c r="J16" t="str">
        <f t="shared" si="1"/>
        <v>967947.416397779-176142.047877914j</v>
      </c>
      <c r="K16">
        <f t="shared" si="4"/>
        <v>119.85852126392683</v>
      </c>
      <c r="L16">
        <f t="shared" si="5"/>
        <v>-10.313533230199914</v>
      </c>
      <c r="M16">
        <f t="shared" si="6"/>
        <v>967947.41639777902</v>
      </c>
      <c r="N16">
        <f t="shared" si="7"/>
        <v>-176142.04787791401</v>
      </c>
    </row>
    <row r="17" spans="1:14" ht="15" customHeight="1" x14ac:dyDescent="0.25">
      <c r="A17" s="14" t="s">
        <v>20</v>
      </c>
      <c r="B17" s="17">
        <f>B16-(-180)</f>
        <v>63.99585802281122</v>
      </c>
      <c r="C17" s="7" t="s">
        <v>21</v>
      </c>
      <c r="G17">
        <f t="shared" si="2"/>
        <v>-0.71999999999999975</v>
      </c>
      <c r="H17">
        <f t="shared" si="0"/>
        <v>1.9054607179632479</v>
      </c>
      <c r="I17" t="str">
        <f t="shared" si="3"/>
        <v>11.9723627865145j</v>
      </c>
      <c r="J17" t="str">
        <f t="shared" si="1"/>
        <v>964963.384596294-183874.771307224j</v>
      </c>
      <c r="K17">
        <f t="shared" si="4"/>
        <v>119.84511230709474</v>
      </c>
      <c r="L17">
        <f t="shared" si="5"/>
        <v>-10.788435928511568</v>
      </c>
      <c r="M17">
        <f t="shared" si="6"/>
        <v>964963.38459629402</v>
      </c>
      <c r="N17">
        <f t="shared" si="7"/>
        <v>-183874.771307224</v>
      </c>
    </row>
    <row r="18" spans="1:14" ht="15" customHeight="1" x14ac:dyDescent="0.25">
      <c r="A18" s="6"/>
      <c r="C18" s="8"/>
      <c r="G18">
        <f t="shared" si="2"/>
        <v>-0.69999999999999973</v>
      </c>
      <c r="H18">
        <f t="shared" si="0"/>
        <v>1.9952623149688806</v>
      </c>
      <c r="I18" t="str">
        <f t="shared" si="3"/>
        <v>12.5366028613816j</v>
      </c>
      <c r="J18" t="str">
        <f t="shared" si="1"/>
        <v>961712.53384272-191891.892302106j</v>
      </c>
      <c r="K18">
        <f t="shared" si="4"/>
        <v>119.83045710704084</v>
      </c>
      <c r="L18">
        <f t="shared" si="5"/>
        <v>-11.284116515641189</v>
      </c>
      <c r="M18">
        <f t="shared" si="6"/>
        <v>961712.53384271997</v>
      </c>
      <c r="N18">
        <f t="shared" si="7"/>
        <v>-191891.89230210599</v>
      </c>
    </row>
    <row r="19" spans="1:14" ht="15" customHeight="1" x14ac:dyDescent="0.25">
      <c r="G19">
        <f t="shared" si="2"/>
        <v>-0.67999999999999972</v>
      </c>
      <c r="H19">
        <f t="shared" si="0"/>
        <v>2.0892961308540405</v>
      </c>
      <c r="I19" t="str">
        <f t="shared" si="3"/>
        <v>13.1274347517293j</v>
      </c>
      <c r="J19" t="str">
        <f t="shared" si="1"/>
        <v>958173.128806476-200195.99204427j</v>
      </c>
      <c r="K19">
        <f t="shared" si="4"/>
        <v>119.81444463708785</v>
      </c>
      <c r="L19">
        <f t="shared" si="5"/>
        <v>-11.801329057970701</v>
      </c>
      <c r="M19">
        <f t="shared" si="6"/>
        <v>958173.12880647602</v>
      </c>
      <c r="N19">
        <f t="shared" si="7"/>
        <v>-200195.99204427001</v>
      </c>
    </row>
    <row r="20" spans="1:14" x14ac:dyDescent="0.25">
      <c r="A20" s="8"/>
      <c r="G20">
        <f t="shared" si="2"/>
        <v>-0.6599999999999997</v>
      </c>
      <c r="H20">
        <f t="shared" si="0"/>
        <v>2.1877616239495539</v>
      </c>
      <c r="I20" t="str">
        <f t="shared" si="3"/>
        <v>13.7461116912112j</v>
      </c>
      <c r="J20" t="str">
        <f t="shared" si="1"/>
        <v>954322.070941554-208788.418814077j</v>
      </c>
      <c r="K20">
        <f t="shared" si="4"/>
        <v>119.79695490446414</v>
      </c>
      <c r="L20">
        <f t="shared" si="5"/>
        <v>-12.340832849368816</v>
      </c>
      <c r="M20">
        <f t="shared" si="6"/>
        <v>954322.07094155403</v>
      </c>
      <c r="N20">
        <f t="shared" si="7"/>
        <v>-208788.41881407701</v>
      </c>
    </row>
    <row r="21" spans="1:14" x14ac:dyDescent="0.25">
      <c r="A21" s="8"/>
      <c r="G21">
        <f t="shared" si="2"/>
        <v>-0.63999999999999968</v>
      </c>
      <c r="H21">
        <f t="shared" si="0"/>
        <v>2.2908676527677745</v>
      </c>
      <c r="I21" t="str">
        <f t="shared" si="3"/>
        <v>14.3939459765635j</v>
      </c>
      <c r="J21" t="str">
        <f t="shared" si="1"/>
        <v>950134.892966319-217669.086784642j</v>
      </c>
      <c r="K21">
        <f t="shared" si="4"/>
        <v>119.7778584033682</v>
      </c>
      <c r="L21">
        <f t="shared" si="5"/>
        <v>-12.903388896787783</v>
      </c>
      <c r="M21">
        <f t="shared" si="6"/>
        <v>950134.89296631899</v>
      </c>
      <c r="N21">
        <f t="shared" si="7"/>
        <v>-217669.08678464199</v>
      </c>
    </row>
    <row r="22" spans="1:14" x14ac:dyDescent="0.25">
      <c r="G22">
        <f t="shared" si="2"/>
        <v>-0.61999999999999966</v>
      </c>
      <c r="H22">
        <f t="shared" si="0"/>
        <v>2.3988329190194917</v>
      </c>
      <c r="I22" t="str">
        <f t="shared" si="3"/>
        <v>15.072311751162j</v>
      </c>
      <c r="J22" t="str">
        <f t="shared" si="1"/>
        <v>945585.771978821-226836.256682626j</v>
      </c>
      <c r="K22">
        <f t="shared" si="4"/>
        <v>119.75701556942596</v>
      </c>
      <c r="L22">
        <f t="shared" si="5"/>
        <v>-13.489755851040663</v>
      </c>
      <c r="M22">
        <f t="shared" si="6"/>
        <v>945585.77197882102</v>
      </c>
      <c r="N22">
        <f t="shared" si="7"/>
        <v>-226836.256682626</v>
      </c>
    </row>
    <row r="23" spans="1:14" x14ac:dyDescent="0.25">
      <c r="A23" s="6"/>
      <c r="G23">
        <f t="shared" si="2"/>
        <v>-0.59999999999999964</v>
      </c>
      <c r="H23">
        <f t="shared" si="0"/>
        <v>2.5118864315095819</v>
      </c>
      <c r="I23" t="str">
        <f t="shared" si="3"/>
        <v>15.7826479197648j</v>
      </c>
      <c r="J23" t="str">
        <f t="shared" si="1"/>
        <v>940647.565198475-236286.298644626j</v>
      </c>
      <c r="K23">
        <f t="shared" si="4"/>
        <v>119.73427624377933</v>
      </c>
      <c r="L23">
        <f t="shared" si="5"/>
        <v>-14.100685335235406</v>
      </c>
      <c r="M23">
        <f t="shared" si="6"/>
        <v>940647.56519847503</v>
      </c>
      <c r="N23">
        <f t="shared" si="7"/>
        <v>-236286.29864462599</v>
      </c>
    </row>
    <row r="24" spans="1:14" x14ac:dyDescent="0.25">
      <c r="A24" s="6"/>
      <c r="G24">
        <f t="shared" si="2"/>
        <v>-0.57999999999999963</v>
      </c>
      <c r="H24">
        <f t="shared" si="0"/>
        <v>2.6302679918953835</v>
      </c>
      <c r="I24" t="str">
        <f t="shared" si="3"/>
        <v>16.5264612006218j</v>
      </c>
      <c r="J24" t="str">
        <f t="shared" si="1"/>
        <v>935291.872743244-246013.438180124j</v>
      </c>
      <c r="K24">
        <f t="shared" si="4"/>
        <v>119.70947915672427</v>
      </c>
      <c r="L24">
        <f t="shared" si="5"/>
        <v>-14.736916624947675</v>
      </c>
      <c r="M24">
        <f t="shared" si="6"/>
        <v>935291.87274324405</v>
      </c>
      <c r="N24">
        <f t="shared" si="7"/>
        <v>-246013.43818012401</v>
      </c>
    </row>
    <row r="25" spans="1:14" x14ac:dyDescent="0.25">
      <c r="A25" s="6"/>
      <c r="G25">
        <f t="shared" si="2"/>
        <v>-0.55999999999999961</v>
      </c>
      <c r="H25">
        <f t="shared" si="0"/>
        <v>2.7542287033381685</v>
      </c>
      <c r="I25" t="str">
        <f t="shared" si="3"/>
        <v>17.3053293214267j</v>
      </c>
      <c r="J25" t="str">
        <f t="shared" si="1"/>
        <v>929489.132232244-256009.486875222j</v>
      </c>
      <c r="K25">
        <f t="shared" si="4"/>
        <v>119.68245144265865</v>
      </c>
      <c r="L25">
        <f t="shared" si="5"/>
        <v>-15.399170637540347</v>
      </c>
      <c r="M25">
        <f t="shared" si="6"/>
        <v>929489.13223224401</v>
      </c>
      <c r="N25">
        <f t="shared" si="7"/>
        <v>-256009.48687522201</v>
      </c>
    </row>
    <row r="26" spans="1:14" x14ac:dyDescent="0.25">
      <c r="A26" s="6"/>
      <c r="G26">
        <f t="shared" si="2"/>
        <v>-0.53999999999999959</v>
      </c>
      <c r="H26">
        <f t="shared" si="0"/>
        <v>2.8840315031266077</v>
      </c>
      <c r="I26" t="str">
        <f t="shared" si="3"/>
        <v>18.1209043658882j</v>
      </c>
      <c r="J26" t="str">
        <f t="shared" si="1"/>
        <v>923208.750316168-266263.560349144j</v>
      </c>
      <c r="K26">
        <f t="shared" si="4"/>
        <v>119.65300820008132</v>
      </c>
      <c r="L26">
        <f t="shared" si="5"/>
        <v>-16.088143193469364</v>
      </c>
      <c r="M26">
        <f t="shared" si="6"/>
        <v>923208.75031616795</v>
      </c>
      <c r="N26">
        <f t="shared" si="7"/>
        <v>-266263.56034914398</v>
      </c>
    </row>
    <row r="27" spans="1:14" x14ac:dyDescent="0.25">
      <c r="A27" s="6"/>
      <c r="G27">
        <f t="shared" si="2"/>
        <v>-0.51999999999999957</v>
      </c>
      <c r="H27">
        <f t="shared" si="0"/>
        <v>3.0199517204020192</v>
      </c>
      <c r="I27" t="str">
        <f t="shared" si="3"/>
        <v>18.9749162780217j</v>
      </c>
      <c r="J27" t="str">
        <f t="shared" si="1"/>
        <v>916419.27644362-276761.787017059j</v>
      </c>
      <c r="K27">
        <f t="shared" si="4"/>
        <v>119.62095211247015</v>
      </c>
      <c r="L27">
        <f t="shared" si="5"/>
        <v>-16.804497520386285</v>
      </c>
      <c r="M27">
        <f t="shared" si="6"/>
        <v>916419.27644361998</v>
      </c>
      <c r="N27">
        <f t="shared" si="7"/>
        <v>-276761.78701705899</v>
      </c>
    </row>
    <row r="28" spans="1:14" x14ac:dyDescent="0.25">
      <c r="A28" s="6"/>
      <c r="G28">
        <f t="shared" si="2"/>
        <v>-0.49999999999999956</v>
      </c>
      <c r="H28">
        <f t="shared" si="0"/>
        <v>3.1622776601683826</v>
      </c>
      <c r="I28" t="str">
        <f t="shared" si="3"/>
        <v>19.8691765315922j</v>
      </c>
      <c r="J28" t="str">
        <f t="shared" si="1"/>
        <v>909088.624224473-287487.012420438j</v>
      </c>
      <c r="K28">
        <f t="shared" si="4"/>
        <v>119.58607314800628</v>
      </c>
      <c r="L28">
        <f t="shared" si="5"/>
        <v>-17.548855981775365</v>
      </c>
      <c r="M28">
        <f t="shared" si="6"/>
        <v>909088.62422447302</v>
      </c>
      <c r="N28">
        <f t="shared" si="7"/>
        <v>-287487.012420438</v>
      </c>
    </row>
    <row r="29" spans="1:14" x14ac:dyDescent="0.25">
      <c r="D29" s="9"/>
      <c r="G29">
        <f t="shared" si="2"/>
        <v>-0.47999999999999954</v>
      </c>
      <c r="H29">
        <f t="shared" si="0"/>
        <v>3.3113112148259143</v>
      </c>
      <c r="I29" t="str">
        <f t="shared" si="3"/>
        <v>20.8055819724932j</v>
      </c>
      <c r="J29" t="str">
        <f t="shared" si="1"/>
        <v>901184.345597794-298418.505253141j</v>
      </c>
      <c r="K29">
        <f t="shared" si="4"/>
        <v>119.54814835823385</v>
      </c>
      <c r="L29">
        <f t="shared" si="5"/>
        <v>-18.321791026198827</v>
      </c>
      <c r="M29">
        <f t="shared" si="6"/>
        <v>901184.34559779405</v>
      </c>
      <c r="N29">
        <f t="shared" si="7"/>
        <v>-298418.50525314099</v>
      </c>
    </row>
    <row r="30" spans="1:14" x14ac:dyDescent="0.25">
      <c r="G30">
        <f t="shared" si="2"/>
        <v>-0.45999999999999952</v>
      </c>
      <c r="H30">
        <f t="shared" si="0"/>
        <v>3.4673685045253198</v>
      </c>
      <c r="I30" t="str">
        <f t="shared" si="3"/>
        <v>21.7861188422107j</v>
      </c>
      <c r="J30" t="str">
        <f t="shared" si="1"/>
        <v>892673.962591684-309531.672717556j</v>
      </c>
      <c r="K30">
        <f t="shared" si="4"/>
        <v>119.50694179775304</v>
      </c>
      <c r="L30">
        <f t="shared" si="5"/>
        <v>-19.123815371352173</v>
      </c>
      <c r="M30">
        <f t="shared" si="6"/>
        <v>892673.96259168396</v>
      </c>
      <c r="N30">
        <f t="shared" si="7"/>
        <v>-309531.67271755601</v>
      </c>
    </row>
    <row r="31" spans="1:14" x14ac:dyDescent="0.25">
      <c r="B31" s="10"/>
      <c r="G31">
        <f t="shared" si="2"/>
        <v>-0.4399999999999995</v>
      </c>
      <c r="H31">
        <f t="shared" si="0"/>
        <v>3.6307805477010175</v>
      </c>
      <c r="I31" t="str">
        <f t="shared" si="3"/>
        <v>22.8128669909085j</v>
      </c>
      <c r="J31" t="str">
        <f t="shared" si="1"/>
        <v>883525.36071108-320797.794453826j</v>
      </c>
      <c r="K31">
        <f t="shared" si="4"/>
        <v>119.46220458882078</v>
      </c>
      <c r="L31">
        <f t="shared" si="5"/>
        <v>-19.955371459379666</v>
      </c>
      <c r="M31">
        <f t="shared" si="6"/>
        <v>883525.36071108002</v>
      </c>
      <c r="N31">
        <f t="shared" si="7"/>
        <v>-320797.79445382598</v>
      </c>
    </row>
    <row r="32" spans="1:14" x14ac:dyDescent="0.25">
      <c r="B32" s="10"/>
      <c r="G32">
        <f t="shared" si="2"/>
        <v>-0.41999999999999948</v>
      </c>
      <c r="H32">
        <f t="shared" si="0"/>
        <v>3.8018939632056159</v>
      </c>
      <c r="I32" t="str">
        <f t="shared" si="3"/>
        <v>23.8880042890683j</v>
      </c>
      <c r="J32" t="str">
        <f t="shared" si="1"/>
        <v>873707.246842057-332183.785939496j</v>
      </c>
      <c r="K32">
        <f t="shared" si="4"/>
        <v>119.41367515613317</v>
      </c>
      <c r="L32">
        <f t="shared" si="5"/>
        <v>-20.81682024646636</v>
      </c>
      <c r="M32">
        <f t="shared" si="6"/>
        <v>873707.24684205698</v>
      </c>
      <c r="N32">
        <f t="shared" si="7"/>
        <v>-332183.78593949601</v>
      </c>
    </row>
    <row r="33" spans="7:14" x14ac:dyDescent="0.25">
      <c r="G33">
        <f t="shared" si="2"/>
        <v>-0.39999999999999947</v>
      </c>
      <c r="H33">
        <f t="shared" si="0"/>
        <v>3.9810717055349776</v>
      </c>
      <c r="I33" t="str">
        <f t="shared" si="3"/>
        <v>25.0138112470457j</v>
      </c>
      <c r="J33" t="str">
        <f t="shared" si="1"/>
        <v>863189.672956642-343652.003876265j</v>
      </c>
      <c r="K33">
        <f t="shared" si="4"/>
        <v>119.36107965791405</v>
      </c>
      <c r="L33">
        <f t="shared" si="5"/>
        <v>-21.708429420634655</v>
      </c>
      <c r="M33">
        <f t="shared" si="6"/>
        <v>863189.672956642</v>
      </c>
      <c r="N33">
        <f t="shared" si="7"/>
        <v>-343652.00387626502</v>
      </c>
    </row>
    <row r="34" spans="7:14" x14ac:dyDescent="0.25">
      <c r="G34">
        <f t="shared" si="2"/>
        <v>-0.37999999999999945</v>
      </c>
      <c r="H34">
        <f t="shared" si="0"/>
        <v>4.1686938347033582</v>
      </c>
      <c r="I34" t="str">
        <f t="shared" si="3"/>
        <v>26.1926758523383j</v>
      </c>
      <c r="J34" t="str">
        <f t="shared" si="1"/>
        <v>851944.624791765-355160.107558149j</v>
      </c>
      <c r="K34">
        <f t="shared" si="4"/>
        <v>119.30413263954291</v>
      </c>
      <c r="L34">
        <f t="shared" si="5"/>
        <v>-22.630361176687995</v>
      </c>
      <c r="M34">
        <f t="shared" si="6"/>
        <v>851944.624791765</v>
      </c>
      <c r="N34">
        <f t="shared" si="7"/>
        <v>-355160.10755814897</v>
      </c>
    </row>
    <row r="35" spans="7:14" x14ac:dyDescent="0.25">
      <c r="G35">
        <f t="shared" si="2"/>
        <v>-0.35999999999999943</v>
      </c>
      <c r="H35">
        <f t="shared" si="0"/>
        <v>4.3651583224016655</v>
      </c>
      <c r="I35" t="str">
        <f t="shared" si="3"/>
        <v>27.4270986348268j</v>
      </c>
      <c r="J35" t="str">
        <f t="shared" si="1"/>
        <v>839946.672030609-366660.99141825j</v>
      </c>
      <c r="K35">
        <f t="shared" si="4"/>
        <v>119.24253793511427</v>
      </c>
      <c r="L35">
        <f t="shared" si="5"/>
        <v>-23.582659715834556</v>
      </c>
      <c r="M35">
        <f t="shared" si="6"/>
        <v>839946.67203060898</v>
      </c>
      <c r="N35">
        <f t="shared" si="7"/>
        <v>-366660.99141825002</v>
      </c>
    </row>
    <row r="36" spans="7:14" x14ac:dyDescent="0.25">
      <c r="G36">
        <f t="shared" si="2"/>
        <v>-0.33999999999999941</v>
      </c>
      <c r="H36">
        <f t="shared" si="0"/>
        <v>4.5708818961487561</v>
      </c>
      <c r="I36" t="str">
        <f t="shared" si="3"/>
        <v>28.719697970735j</v>
      </c>
      <c r="J36" t="str">
        <f t="shared" si="1"/>
        <v>827173.673336508-378102.804721656j</v>
      </c>
      <c r="K36">
        <f t="shared" si="4"/>
        <v>119.17598984031322</v>
      </c>
      <c r="L36">
        <f t="shared" si="5"/>
        <v>-24.565238678752525</v>
      </c>
      <c r="M36">
        <f t="shared" si="6"/>
        <v>827173.67333650799</v>
      </c>
      <c r="N36">
        <f t="shared" si="7"/>
        <v>-378102.80472165602</v>
      </c>
    </row>
    <row r="37" spans="7:14" x14ac:dyDescent="0.25">
      <c r="G37">
        <f t="shared" si="2"/>
        <v>-0.3199999999999994</v>
      </c>
      <c r="H37">
        <f t="shared" si="0"/>
        <v>4.7863009232263893</v>
      </c>
      <c r="I37" t="str">
        <f t="shared" si="3"/>
        <v>30.0732156365561j</v>
      </c>
      <c r="J37" t="str">
        <f t="shared" si="1"/>
        <v>813607.525922341-389429.074532854j</v>
      </c>
      <c r="K37">
        <f t="shared" si="4"/>
        <v>119.10417457661381</v>
      </c>
      <c r="L37">
        <f t="shared" si="5"/>
        <v>-25.577868763352342</v>
      </c>
      <c r="M37">
        <f t="shared" si="6"/>
        <v>813607.52592234104</v>
      </c>
      <c r="N37">
        <f t="shared" si="7"/>
        <v>-389429.07453285402</v>
      </c>
    </row>
    <row r="38" spans="7:14" x14ac:dyDescent="0.25">
      <c r="G38">
        <f t="shared" si="2"/>
        <v>-0.29999999999999938</v>
      </c>
      <c r="H38">
        <f t="shared" si="0"/>
        <v>5.0118723362727291</v>
      </c>
      <c r="I38" t="str">
        <f t="shared" si="3"/>
        <v>31.4905226247286j</v>
      </c>
      <c r="J38" t="str">
        <f t="shared" si="1"/>
        <v>799234.945279033-400578.947451689j</v>
      </c>
      <c r="K38">
        <f t="shared" si="4"/>
        <v>119.02677206187944</v>
      </c>
      <c r="L38">
        <f t="shared" si="5"/>
        <v>-26.62016582040917</v>
      </c>
      <c r="M38">
        <f t="shared" si="6"/>
        <v>799234.94527903304</v>
      </c>
      <c r="N38">
        <f t="shared" si="7"/>
        <v>-400578.94745168899</v>
      </c>
    </row>
    <row r="39" spans="7:14" x14ac:dyDescent="0.25">
      <c r="G39">
        <f t="shared" si="2"/>
        <v>-0.27999999999999936</v>
      </c>
      <c r="H39">
        <f t="shared" si="0"/>
        <v>5.2480746024977343</v>
      </c>
      <c r="I39" t="str">
        <f t="shared" si="3"/>
        <v>32.9746252333961j</v>
      </c>
      <c r="J39" t="str">
        <f t="shared" si="1"/>
        <v>784048.25639443-411487.564001714j</v>
      </c>
      <c r="K39">
        <f t="shared" si="4"/>
        <v>118.94345799583931</v>
      </c>
      <c r="L39">
        <f t="shared" si="5"/>
        <v>-27.691579759223231</v>
      </c>
      <c r="M39">
        <f t="shared" si="6"/>
        <v>784048.25639442995</v>
      </c>
      <c r="N39">
        <f t="shared" si="7"/>
        <v>-411487.564001714</v>
      </c>
    </row>
    <row r="40" spans="7:14" x14ac:dyDescent="0.25">
      <c r="G40">
        <f t="shared" si="2"/>
        <v>-0.25999999999999934</v>
      </c>
      <c r="H40">
        <f t="shared" si="0"/>
        <v>5.4954087385762538</v>
      </c>
      <c r="I40" t="str">
        <f t="shared" si="3"/>
        <v>34.5286714431686j</v>
      </c>
      <c r="J40" t="str">
        <f t="shared" si="1"/>
        <v>768046.173495463-422086.576814275j</v>
      </c>
      <c r="K40">
        <f t="shared" si="4"/>
        <v>118.85390626058449</v>
      </c>
      <c r="L40">
        <f t="shared" si="5"/>
        <v>-28.791384628750247</v>
      </c>
      <c r="M40">
        <f t="shared" si="6"/>
        <v>768046.17349546298</v>
      </c>
      <c r="N40">
        <f t="shared" si="7"/>
        <v>-422086.576814275</v>
      </c>
    </row>
    <row r="41" spans="7:14" x14ac:dyDescent="0.25">
      <c r="G41">
        <f t="shared" si="2"/>
        <v>-0.23999999999999935</v>
      </c>
      <c r="H41">
        <f t="shared" si="0"/>
        <v>5.7543993733715784</v>
      </c>
      <c r="I41" t="str">
        <f t="shared" si="3"/>
        <v>36.1559575944117j</v>
      </c>
      <c r="J41" t="str">
        <f t="shared" si="1"/>
        <v>751234.541336535-432304.819775237j</v>
      </c>
      <c r="K41">
        <f t="shared" si="4"/>
        <v>118.75779162622283</v>
      </c>
      <c r="L41">
        <f t="shared" si="5"/>
        <v>-29.91867026407634</v>
      </c>
      <c r="M41">
        <f t="shared" si="6"/>
        <v>751234.54133653501</v>
      </c>
      <c r="N41">
        <f t="shared" si="7"/>
        <v>-432304.819775237</v>
      </c>
    </row>
    <row r="42" spans="7:14" x14ac:dyDescent="0.25">
      <c r="G42">
        <f t="shared" si="2"/>
        <v>-0.21999999999999936</v>
      </c>
      <c r="H42">
        <f t="shared" si="0"/>
        <v>6.0255958607435867</v>
      </c>
      <c r="I42" t="str">
        <f t="shared" si="3"/>
        <v>37.8599353792262j</v>
      </c>
      <c r="J42" t="str">
        <f t="shared" si="1"/>
        <v>733627.007688266-442069.130059758j</v>
      </c>
      <c r="K42">
        <f t="shared" si="4"/>
        <v>118.65479274034017</v>
      </c>
      <c r="L42">
        <f t="shared" si="5"/>
        <v>-31.072335900380519</v>
      </c>
      <c r="M42">
        <f t="shared" si="6"/>
        <v>733627.00768826599</v>
      </c>
      <c r="N42">
        <f t="shared" si="7"/>
        <v>-442069.13005975803</v>
      </c>
    </row>
    <row r="43" spans="7:14" x14ac:dyDescent="0.25">
      <c r="G43">
        <f t="shared" si="2"/>
        <v>-0.19999999999999937</v>
      </c>
      <c r="H43">
        <f t="shared" si="0"/>
        <v>6.3095734448019414</v>
      </c>
      <c r="I43" t="str">
        <f t="shared" si="3"/>
        <v>39.64421916295j</v>
      </c>
      <c r="J43" t="str">
        <f t="shared" si="1"/>
        <v>715245.59434545-451305.318547022j</v>
      </c>
      <c r="K43">
        <f t="shared" si="4"/>
        <v>118.54459536726891</v>
      </c>
      <c r="L43">
        <f t="shared" si="5"/>
        <v>-32.251086153369386</v>
      </c>
      <c r="M43">
        <f t="shared" si="6"/>
        <v>715245.59434545005</v>
      </c>
      <c r="N43">
        <f t="shared" si="7"/>
        <v>-451305.31854702201</v>
      </c>
    </row>
    <row r="44" spans="7:14" x14ac:dyDescent="0.25">
      <c r="G44">
        <f t="shared" si="2"/>
        <v>-0.17999999999999938</v>
      </c>
      <c r="H44">
        <f t="shared" si="0"/>
        <v>6.60693448007597</v>
      </c>
      <c r="I44" t="str">
        <f t="shared" si="3"/>
        <v>41.5125936507115j</v>
      </c>
      <c r="J44" t="str">
        <f t="shared" si="1"/>
        <v>696121.133072697-459939.276678207j</v>
      </c>
      <c r="K44">
        <f t="shared" si="4"/>
        <v>118.42689582985871</v>
      </c>
      <c r="L44">
        <f t="shared" si="5"/>
        <v>-33.453429743659171</v>
      </c>
      <c r="M44">
        <f t="shared" si="6"/>
        <v>696121.13307269698</v>
      </c>
      <c r="N44">
        <f t="shared" si="7"/>
        <v>-459939.27667820698</v>
      </c>
    </row>
    <row r="45" spans="7:14" x14ac:dyDescent="0.25">
      <c r="G45">
        <f t="shared" si="2"/>
        <v>-0.15999999999999939</v>
      </c>
      <c r="H45">
        <f t="shared" si="0"/>
        <v>6.9183097091893755</v>
      </c>
      <c r="I45" t="str">
        <f t="shared" si="3"/>
        <v>43.4690219152966j</v>
      </c>
      <c r="J45" t="str">
        <f t="shared" si="1"/>
        <v>676293.533810781-467898.19973127j</v>
      </c>
      <c r="K45">
        <f t="shared" si="4"/>
        <v>118.30140459312658</v>
      </c>
      <c r="L45">
        <f t="shared" si="5"/>
        <v>-34.67768130051315</v>
      </c>
      <c r="M45">
        <f t="shared" si="6"/>
        <v>676293.53381078097</v>
      </c>
      <c r="N45">
        <f t="shared" si="7"/>
        <v>-467898.19973127003</v>
      </c>
    </row>
    <row r="46" spans="7:14" x14ac:dyDescent="0.25">
      <c r="G46">
        <f t="shared" si="2"/>
        <v>-0.1399999999999994</v>
      </c>
      <c r="H46">
        <f t="shared" si="0"/>
        <v>7.2443596007499096</v>
      </c>
      <c r="I46" t="str">
        <f t="shared" si="3"/>
        <v>45.5176538033572j</v>
      </c>
      <c r="J46" t="str">
        <f t="shared" si="1"/>
        <v>655811.855466484-475111.898204936j</v>
      </c>
      <c r="K46">
        <f t="shared" si="4"/>
        <v>118.16784991662027</v>
      </c>
      <c r="L46">
        <f t="shared" si="5"/>
        <v>-35.92196651655749</v>
      </c>
      <c r="M46">
        <f t="shared" si="6"/>
        <v>655811.85546648398</v>
      </c>
      <c r="N46">
        <f t="shared" si="7"/>
        <v>-475111.89820493601</v>
      </c>
    </row>
    <row r="47" spans="7:14" x14ac:dyDescent="0.25">
      <c r="G47">
        <f t="shared" si="2"/>
        <v>-0.1199999999999994</v>
      </c>
      <c r="H47">
        <f t="shared" si="0"/>
        <v>7.585775750291849</v>
      </c>
      <c r="I47" t="str">
        <f t="shared" si="3"/>
        <v>47.6628347377929j</v>
      </c>
      <c r="J47" t="str">
        <f t="shared" si="1"/>
        <v>634734.154862684-481514.161117818j</v>
      </c>
      <c r="K47">
        <f t="shared" si="4"/>
        <v>118.02598149143243</v>
      </c>
      <c r="L47">
        <f t="shared" si="5"/>
        <v>-37.18423083985148</v>
      </c>
      <c r="M47">
        <f t="shared" si="6"/>
        <v>634734.15486268396</v>
      </c>
      <c r="N47">
        <f t="shared" si="7"/>
        <v>-481514.16111781797</v>
      </c>
    </row>
    <row r="48" spans="7:14" x14ac:dyDescent="0.25">
      <c r="G48">
        <f t="shared" si="2"/>
        <v>-9.9999999999999395E-2</v>
      </c>
      <c r="H48">
        <f t="shared" si="0"/>
        <v>7.9432823472428264</v>
      </c>
      <c r="I48" t="str">
        <f t="shared" si="3"/>
        <v>49.9091149349751j</v>
      </c>
      <c r="J48" t="str">
        <f t="shared" si="1"/>
        <v>613127.096915503-487044.128200478j</v>
      </c>
      <c r="K48">
        <f t="shared" si="4"/>
        <v>117.87557396946029</v>
      </c>
      <c r="L48">
        <f t="shared" si="5"/>
        <v>-38.462251784867725</v>
      </c>
      <c r="M48">
        <f t="shared" si="6"/>
        <v>613127.09691550303</v>
      </c>
      <c r="N48">
        <f t="shared" si="7"/>
        <v>-487044.12820047798</v>
      </c>
    </row>
    <row r="49" spans="7:14" x14ac:dyDescent="0.25">
      <c r="G49">
        <f t="shared" si="2"/>
        <v>-7.9999999999999391E-2</v>
      </c>
      <c r="H49">
        <f t="shared" si="0"/>
        <v>8.3176377110267214</v>
      </c>
      <c r="I49" t="str">
        <f t="shared" si="3"/>
        <v>52.2612590563659j</v>
      </c>
      <c r="J49" t="str">
        <f t="shared" si="1"/>
        <v>591065.318600856-491647.622871059j</v>
      </c>
      <c r="K49">
        <f t="shared" si="4"/>
        <v>117.71643028757082</v>
      </c>
      <c r="L49">
        <f t="shared" si="5"/>
        <v>-39.753654823260973</v>
      </c>
      <c r="M49">
        <f t="shared" si="6"/>
        <v>591065.318600856</v>
      </c>
      <c r="N49">
        <f t="shared" si="7"/>
        <v>-491647.62287105899</v>
      </c>
    </row>
    <row r="50" spans="7:14" x14ac:dyDescent="0.25">
      <c r="G50">
        <f t="shared" si="2"/>
        <v>-5.9999999999999387E-2</v>
      </c>
      <c r="H50">
        <f t="shared" si="0"/>
        <v>8.7096358995608192</v>
      </c>
      <c r="I50" t="str">
        <f t="shared" si="3"/>
        <v>54.7242563150044j</v>
      </c>
      <c r="J50" t="str">
        <f t="shared" si="1"/>
        <v>568630.550318814-495278.395166886j</v>
      </c>
      <c r="K50">
        <f t="shared" si="4"/>
        <v>117.54838468852344</v>
      </c>
      <c r="L50">
        <f t="shared" si="5"/>
        <v>-41.055932684199313</v>
      </c>
      <c r="M50">
        <f t="shared" si="6"/>
        <v>568630.550318814</v>
      </c>
      <c r="N50">
        <f t="shared" si="7"/>
        <v>-495278.39516688598</v>
      </c>
    </row>
    <row r="51" spans="7:14" x14ac:dyDescent="0.25">
      <c r="G51">
        <f t="shared" si="2"/>
        <v>-3.9999999999999383E-2</v>
      </c>
      <c r="H51">
        <f t="shared" si="0"/>
        <v>9.1201083935591107</v>
      </c>
      <c r="I51" t="str">
        <f t="shared" si="3"/>
        <v>57.3033310582958j</v>
      </c>
      <c r="J51" t="str">
        <f t="shared" si="1"/>
        <v>545910.510195154-497899.223948701j</v>
      </c>
      <c r="K51">
        <f t="shared" si="4"/>
        <v>117.37130534431593</v>
      </c>
      <c r="L51">
        <f t="shared" si="5"/>
        <v>-42.366467759439871</v>
      </c>
      <c r="M51">
        <f t="shared" si="6"/>
        <v>545910.510195154</v>
      </c>
      <c r="N51">
        <f t="shared" si="7"/>
        <v>-497899.22394870099</v>
      </c>
    </row>
    <row r="52" spans="7:14" x14ac:dyDescent="0.25">
      <c r="G52">
        <f t="shared" si="2"/>
        <v>-1.9999999999999383E-2</v>
      </c>
      <c r="H52">
        <f t="shared" si="0"/>
        <v>9.5499258602143726</v>
      </c>
      <c r="I52" t="str">
        <f t="shared" si="3"/>
        <v>60.0039538495533j</v>
      </c>
      <c r="J52" t="str">
        <f t="shared" si="1"/>
        <v>522997.598844345-499482.830984881j</v>
      </c>
      <c r="K52">
        <f t="shared" si="4"/>
        <v>117.18509649624431</v>
      </c>
      <c r="L52">
        <f t="shared" si="5"/>
        <v>-43.682557178241694</v>
      </c>
      <c r="M52">
        <f t="shared" si="6"/>
        <v>522997.59884434502</v>
      </c>
      <c r="N52">
        <f t="shared" si="7"/>
        <v>-499482.83098488097</v>
      </c>
    </row>
    <row r="53" spans="7:14" x14ac:dyDescent="0.25">
      <c r="G53">
        <f t="shared" si="2"/>
        <v>6.1756155744774333E-16</v>
      </c>
      <c r="H53">
        <f t="shared" si="0"/>
        <v>10.000000000000014</v>
      </c>
      <c r="I53" t="str">
        <f t="shared" si="3"/>
        <v>62.831853071796j</v>
      </c>
      <c r="J53" t="str">
        <f t="shared" si="1"/>
        <v>499987.433234612-500012.565975818j</v>
      </c>
      <c r="K53">
        <f t="shared" si="4"/>
        <v>116.98970003924531</v>
      </c>
      <c r="L53">
        <f t="shared" si="5"/>
        <v>-45.001439999999533</v>
      </c>
      <c r="M53">
        <f t="shared" si="6"/>
        <v>499987.43323461199</v>
      </c>
      <c r="N53">
        <f t="shared" si="7"/>
        <v>-500012.56597581803</v>
      </c>
    </row>
    <row r="54" spans="7:14" x14ac:dyDescent="0.25">
      <c r="G54">
        <f t="shared" si="2"/>
        <v>2.0000000000000618E-2</v>
      </c>
      <c r="H54">
        <f t="shared" si="0"/>
        <v>10.47128548050901</v>
      </c>
      <c r="I54" t="str">
        <f t="shared" si="3"/>
        <v>65.7930270784172j</v>
      </c>
      <c r="J54" t="str">
        <f t="shared" si="1"/>
        <v>476977.267624882-499482.830912131j</v>
      </c>
      <c r="K54">
        <f t="shared" si="4"/>
        <v>116.78509649548525</v>
      </c>
      <c r="L54">
        <f t="shared" si="5"/>
        <v>-46.320325876190203</v>
      </c>
      <c r="M54">
        <f t="shared" si="6"/>
        <v>476977.26762488199</v>
      </c>
      <c r="N54">
        <f t="shared" si="7"/>
        <v>-499482.830912131</v>
      </c>
    </row>
    <row r="55" spans="7:14" x14ac:dyDescent="0.25">
      <c r="G55">
        <f t="shared" si="2"/>
        <v>4.0000000000000618E-2</v>
      </c>
      <c r="H55">
        <f t="shared" si="0"/>
        <v>10.964781961431866</v>
      </c>
      <c r="I55" t="str">
        <f t="shared" si="3"/>
        <v>68.8937569164965j</v>
      </c>
      <c r="J55" t="str">
        <f t="shared" si="1"/>
        <v>454064.35627407-497899.223803046j</v>
      </c>
      <c r="K55">
        <f t="shared" si="4"/>
        <v>116.57130534279133</v>
      </c>
      <c r="L55">
        <f t="shared" si="5"/>
        <v>-47.636424464770293</v>
      </c>
      <c r="M55">
        <f t="shared" si="6"/>
        <v>454064.35627406999</v>
      </c>
      <c r="N55">
        <f t="shared" si="7"/>
        <v>-497899.22380304598</v>
      </c>
    </row>
    <row r="56" spans="7:14" x14ac:dyDescent="0.25">
      <c r="G56">
        <f t="shared" si="2"/>
        <v>6.0000000000000622E-2</v>
      </c>
      <c r="H56">
        <f t="shared" si="0"/>
        <v>11.481536214968845</v>
      </c>
      <c r="I56" t="str">
        <f t="shared" si="3"/>
        <v>72.1406196497426j</v>
      </c>
      <c r="J56" t="str">
        <f t="shared" si="1"/>
        <v>431344.316150415-495278.394948018j</v>
      </c>
      <c r="K56">
        <f t="shared" si="4"/>
        <v>116.34838468622043</v>
      </c>
      <c r="L56">
        <f t="shared" si="5"/>
        <v>-48.946974844583949</v>
      </c>
      <c r="M56">
        <f t="shared" si="6"/>
        <v>431344.31615041499</v>
      </c>
      <c r="N56">
        <f t="shared" si="7"/>
        <v>-495278.39494801802</v>
      </c>
    </row>
    <row r="57" spans="7:14" x14ac:dyDescent="0.25">
      <c r="G57">
        <f t="shared" si="2"/>
        <v>8.0000000000000626E-2</v>
      </c>
      <c r="H57">
        <f t="shared" si="0"/>
        <v>12.022644346174147</v>
      </c>
      <c r="I57" t="str">
        <f t="shared" si="3"/>
        <v>75.5405023093271j</v>
      </c>
      <c r="J57" t="str">
        <f t="shared" si="1"/>
        <v>408909.547868377-491647.622578514j</v>
      </c>
      <c r="K57">
        <f t="shared" si="4"/>
        <v>116.11643028446984</v>
      </c>
      <c r="L57">
        <f t="shared" si="5"/>
        <v>-50.249274177353797</v>
      </c>
      <c r="M57">
        <f t="shared" si="6"/>
        <v>408909.54786837701</v>
      </c>
      <c r="N57">
        <f t="shared" si="7"/>
        <v>-491647.62257851398</v>
      </c>
    </row>
    <row r="58" spans="7:14" x14ac:dyDescent="0.25">
      <c r="G58">
        <f t="shared" si="2"/>
        <v>0.10000000000000063</v>
      </c>
      <c r="H58">
        <f t="shared" si="0"/>
        <v>12.589254117941691</v>
      </c>
      <c r="I58" t="str">
        <f t="shared" si="3"/>
        <v>79.1006165022013j</v>
      </c>
      <c r="J58" t="str">
        <f t="shared" si="1"/>
        <v>386847.769553728-487044.127833635j</v>
      </c>
      <c r="K58">
        <f t="shared" si="4"/>
        <v>115.87557396553498</v>
      </c>
      <c r="L58">
        <f t="shared" si="5"/>
        <v>-51.540704900381968</v>
      </c>
      <c r="M58">
        <f t="shared" si="6"/>
        <v>386847.76955372799</v>
      </c>
      <c r="N58">
        <f t="shared" si="7"/>
        <v>-487044.12783363502</v>
      </c>
    </row>
    <row r="59" spans="7:14" x14ac:dyDescent="0.25">
      <c r="G59">
        <f t="shared" si="2"/>
        <v>0.12000000000000063</v>
      </c>
      <c r="H59">
        <f t="shared" si="0"/>
        <v>13.18256738556409</v>
      </c>
      <c r="I59" t="str">
        <f t="shared" si="3"/>
        <v>82.8285137078811j</v>
      </c>
      <c r="J59" t="str">
        <f t="shared" si="1"/>
        <v>365240.711606551-481514.160675899j</v>
      </c>
      <c r="K59">
        <f t="shared" si="4"/>
        <v>115.62598148664948</v>
      </c>
      <c r="L59">
        <f t="shared" si="5"/>
        <v>-52.818759801558478</v>
      </c>
      <c r="M59">
        <f t="shared" si="6"/>
        <v>365240.71160655102</v>
      </c>
      <c r="N59">
        <f t="shared" si="7"/>
        <v>-481514.16067589901</v>
      </c>
    </row>
    <row r="60" spans="7:14" x14ac:dyDescent="0.25">
      <c r="G60">
        <f t="shared" si="2"/>
        <v>0.14000000000000062</v>
      </c>
      <c r="H60">
        <f t="shared" si="0"/>
        <v>13.803842646028869</v>
      </c>
      <c r="I60" t="str">
        <f t="shared" si="3"/>
        <v>86.7321012961476j</v>
      </c>
      <c r="J60" t="str">
        <f t="shared" si="1"/>
        <v>344163.011002751-475111.897687003j</v>
      </c>
      <c r="K60">
        <f t="shared" si="4"/>
        <v>115.36784991093904</v>
      </c>
      <c r="L60">
        <f t="shared" si="5"/>
        <v>-54.081064424564509</v>
      </c>
      <c r="M60">
        <f t="shared" si="6"/>
        <v>344163.01100275101</v>
      </c>
      <c r="N60">
        <f t="shared" si="7"/>
        <v>-475111.89768700302</v>
      </c>
    </row>
    <row r="61" spans="7:14" x14ac:dyDescent="0.25">
      <c r="G61">
        <f t="shared" si="2"/>
        <v>0.16000000000000061</v>
      </c>
      <c r="H61">
        <f t="shared" si="0"/>
        <v>14.454397707459297</v>
      </c>
      <c r="I61" t="str">
        <f t="shared" si="3"/>
        <v>90.8196592996385j</v>
      </c>
      <c r="J61" t="str">
        <f t="shared" si="1"/>
        <v>323681.332658459-467898.199136225j</v>
      </c>
      <c r="K61">
        <f t="shared" si="4"/>
        <v>115.10140458649889</v>
      </c>
      <c r="L61">
        <f t="shared" si="5"/>
        <v>-55.32539636935298</v>
      </c>
      <c r="M61">
        <f t="shared" si="6"/>
        <v>323681.33265845902</v>
      </c>
      <c r="N61">
        <f t="shared" si="7"/>
        <v>-467898.19913622498</v>
      </c>
    </row>
    <row r="62" spans="7:14" x14ac:dyDescent="0.25">
      <c r="G62">
        <f t="shared" si="2"/>
        <v>0.1800000000000006</v>
      </c>
      <c r="H62">
        <f t="shared" si="0"/>
        <v>15.135612484362104</v>
      </c>
      <c r="I62" t="str">
        <f t="shared" si="3"/>
        <v>95.0998579769079j</v>
      </c>
      <c r="J62" t="str">
        <f t="shared" si="1"/>
        <v>303853.733396548-459939.276004789j</v>
      </c>
      <c r="K62">
        <f t="shared" si="4"/>
        <v>114.82689582222829</v>
      </c>
      <c r="L62">
        <f t="shared" si="5"/>
        <v>-56.549701183101583</v>
      </c>
      <c r="M62">
        <f t="shared" si="6"/>
        <v>303853.73339654802</v>
      </c>
      <c r="N62">
        <f t="shared" si="7"/>
        <v>-459939.27600478899</v>
      </c>
    </row>
    <row r="63" spans="7:14" x14ac:dyDescent="0.25">
      <c r="G63">
        <f t="shared" si="2"/>
        <v>0.20000000000000059</v>
      </c>
      <c r="H63">
        <f t="shared" si="0"/>
        <v>15.848931924611158</v>
      </c>
      <c r="I63" t="str">
        <f t="shared" si="3"/>
        <v>99.5817762032063j</v>
      </c>
      <c r="J63" t="str">
        <f t="shared" si="1"/>
        <v>284729.272123799-451305.3177938j</v>
      </c>
      <c r="K63">
        <f t="shared" si="4"/>
        <v>114.54459535857097</v>
      </c>
      <c r="L63">
        <f t="shared" si="5"/>
        <v>-57.752104671401376</v>
      </c>
      <c r="M63">
        <f t="shared" si="6"/>
        <v>284729.27212379902</v>
      </c>
      <c r="N63">
        <f t="shared" si="7"/>
        <v>-451305.31779379997</v>
      </c>
    </row>
    <row r="64" spans="7:14" x14ac:dyDescent="0.25">
      <c r="G64">
        <f t="shared" si="2"/>
        <v>0.22000000000000058</v>
      </c>
      <c r="H64">
        <f t="shared" si="0"/>
        <v>16.595869074375628</v>
      </c>
      <c r="I64" t="str">
        <f t="shared" si="3"/>
        <v>104.274920727993j</v>
      </c>
      <c r="J64" t="str">
        <f t="shared" si="1"/>
        <v>266347.85878099-442069.129225137j</v>
      </c>
      <c r="K64">
        <f t="shared" si="4"/>
        <v>114.25479273050094</v>
      </c>
      <c r="L64">
        <f t="shared" si="5"/>
        <v>-58.930921590567351</v>
      </c>
      <c r="M64">
        <f t="shared" si="6"/>
        <v>266347.85878099001</v>
      </c>
      <c r="N64">
        <f t="shared" si="7"/>
        <v>-442069.129225137</v>
      </c>
    </row>
    <row r="65" spans="7:14" x14ac:dyDescent="0.25">
      <c r="G65">
        <f t="shared" si="2"/>
        <v>0.24000000000000057</v>
      </c>
      <c r="H65">
        <f t="shared" si="0"/>
        <v>17.378008287493778</v>
      </c>
      <c r="I65" t="str">
        <f t="shared" si="3"/>
        <v>109.189246340026j</v>
      </c>
      <c r="J65" t="str">
        <f t="shared" si="1"/>
        <v>248740.325132724-432304.818857444j</v>
      </c>
      <c r="K65">
        <f t="shared" si="4"/>
        <v>113.9577916151587</v>
      </c>
      <c r="L65">
        <f t="shared" si="5"/>
        <v>-60.084660802623731</v>
      </c>
      <c r="M65">
        <f t="shared" si="6"/>
        <v>248740.32513272401</v>
      </c>
      <c r="N65">
        <f t="shared" si="7"/>
        <v>-432304.81885744398</v>
      </c>
    </row>
    <row r="66" spans="7:14" x14ac:dyDescent="0.25">
      <c r="G66">
        <f t="shared" si="2"/>
        <v>0.26000000000000056</v>
      </c>
      <c r="H66">
        <f t="shared" si="0"/>
        <v>18.197008586099862</v>
      </c>
      <c r="I66" t="str">
        <f t="shared" si="3"/>
        <v>114.335176982803j</v>
      </c>
      <c r="J66" t="str">
        <f t="shared" si="1"/>
        <v>231928.692973805-422086.575811366j</v>
      </c>
      <c r="K66">
        <f t="shared" si="4"/>
        <v>113.65390624820159</v>
      </c>
      <c r="L66">
        <f t="shared" si="5"/>
        <v>-61.212027079340793</v>
      </c>
      <c r="M66">
        <f t="shared" si="6"/>
        <v>231928.69297380501</v>
      </c>
      <c r="N66">
        <f t="shared" si="7"/>
        <v>-422086.57581136603</v>
      </c>
    </row>
    <row r="67" spans="7:14" x14ac:dyDescent="0.25">
      <c r="G67">
        <f t="shared" si="2"/>
        <v>0.28000000000000058</v>
      </c>
      <c r="H67">
        <f t="shared" ref="H67:H130" si="8">$B$3*10^G67</f>
        <v>19.054607179632498</v>
      </c>
      <c r="I67" t="str">
        <f t="shared" si="3"/>
        <v>119.723627865146j</v>
      </c>
      <c r="J67" t="str">
        <f t="shared" ref="J67:J130" si="9">IMDIV(IMPRODUCT(Aolv,IMSUM(1,IMPRODUCT(I67,C_L,R_I))),IMPRODUCT(IMSUM(1,IMDIV(I67,wc)),IMSUM(1,(IMPRODUCT(I67,R_O+R_I,C_L)))))</f>
        <v>215926.610074843-411487.562911558j</v>
      </c>
      <c r="K67">
        <f t="shared" si="4"/>
        <v>113.34345798203245</v>
      </c>
      <c r="L67">
        <f t="shared" si="5"/>
        <v>-62.311919826949485</v>
      </c>
      <c r="M67">
        <f t="shared" si="6"/>
        <v>215926.61007484299</v>
      </c>
      <c r="N67">
        <f t="shared" si="7"/>
        <v>-411487.56291155802</v>
      </c>
    </row>
    <row r="68" spans="7:14" x14ac:dyDescent="0.25">
      <c r="G68">
        <f t="shared" ref="G68:G131" si="10">G67+(1/ppd)</f>
        <v>0.3000000000000006</v>
      </c>
      <c r="H68">
        <f t="shared" si="8"/>
        <v>19.952623149688826</v>
      </c>
      <c r="I68" t="str">
        <f t="shared" ref="I68:I131" si="11">COMPLEX(0,H68*2*PI(),"j")</f>
        <v>125.366028613816j</v>
      </c>
      <c r="J68" t="str">
        <f t="shared" si="9"/>
        <v>200739.92119025-400578.946271978j</v>
      </c>
      <c r="K68">
        <f t="shared" ref="K68:K131" si="12">20*LOG(IMABS(J68))</f>
        <v>113.02677204653149</v>
      </c>
      <c r="L68">
        <f t="shared" ref="L68:L131" si="13">DEGREES(IMARGUMENT(J68))</f>
        <v>-63.383429066936081</v>
      </c>
      <c r="M68">
        <f t="shared" ref="M68:M131" si="14">IMREAL(J68)</f>
        <v>200739.92119025</v>
      </c>
      <c r="N68">
        <f t="shared" ref="N68:N131" si="15">IMAGINARY(J68)</f>
        <v>-400578.94627197803</v>
      </c>
    </row>
    <row r="69" spans="7:14" x14ac:dyDescent="0.25">
      <c r="G69">
        <f t="shared" si="10"/>
        <v>0.32000000000000062</v>
      </c>
      <c r="H69">
        <f t="shared" si="8"/>
        <v>20.892961308540428</v>
      </c>
      <c r="I69" t="str">
        <f t="shared" si="11"/>
        <v>131.274347517293j</v>
      </c>
      <c r="J69" t="str">
        <f t="shared" si="9"/>
        <v>186367.34054695-389429.073261083j</v>
      </c>
      <c r="K69">
        <f t="shared" si="12"/>
        <v>112.70417455959441</v>
      </c>
      <c r="L69">
        <f t="shared" si="13"/>
        <v>-64.425829050403678</v>
      </c>
      <c r="M69">
        <f t="shared" si="14"/>
        <v>186367.34054695</v>
      </c>
      <c r="N69">
        <f t="shared" si="15"/>
        <v>-389429.07326108299</v>
      </c>
    </row>
    <row r="70" spans="7:14" x14ac:dyDescent="0.25">
      <c r="G70">
        <f t="shared" si="10"/>
        <v>0.34000000000000064</v>
      </c>
      <c r="H70">
        <f t="shared" si="8"/>
        <v>21.877616239495559</v>
      </c>
      <c r="I70" t="str">
        <f t="shared" si="11"/>
        <v>137.461116912112j</v>
      </c>
      <c r="J70" t="str">
        <f t="shared" si="9"/>
        <v>172801.193132793-378102.803355127j</v>
      </c>
      <c r="K70">
        <f t="shared" si="12"/>
        <v>112.37598982147793</v>
      </c>
      <c r="L70">
        <f t="shared" si="13"/>
        <v>-65.438569904972923</v>
      </c>
      <c r="M70">
        <f t="shared" si="14"/>
        <v>172801.19313279301</v>
      </c>
      <c r="N70">
        <f t="shared" si="15"/>
        <v>-378102.80335512699</v>
      </c>
    </row>
    <row r="71" spans="7:14" x14ac:dyDescent="0.25">
      <c r="G71">
        <f t="shared" si="10"/>
        <v>0.36000000000000065</v>
      </c>
      <c r="H71">
        <f t="shared" si="8"/>
        <v>22.908676527677766</v>
      </c>
      <c r="I71" t="str">
        <f t="shared" si="11"/>
        <v>143.939459765635j</v>
      </c>
      <c r="J71" t="str">
        <f t="shared" si="9"/>
        <v>160028.194438704-366660.989954067j</v>
      </c>
      <c r="K71">
        <f t="shared" si="12"/>
        <v>112.04253791430324</v>
      </c>
      <c r="L71">
        <f t="shared" si="13"/>
        <v>-66.421267716376718</v>
      </c>
      <c r="M71">
        <f t="shared" si="14"/>
        <v>160028.194438704</v>
      </c>
      <c r="N71">
        <f t="shared" si="15"/>
        <v>-366660.98995406699</v>
      </c>
    </row>
    <row r="72" spans="7:14" x14ac:dyDescent="0.25">
      <c r="G72">
        <f t="shared" si="10"/>
        <v>0.38000000000000067</v>
      </c>
      <c r="H72">
        <f t="shared" si="8"/>
        <v>23.988329190194943</v>
      </c>
      <c r="I72" t="str">
        <f t="shared" si="11"/>
        <v>150.72311751162j</v>
      </c>
      <c r="J72" t="str">
        <f t="shared" si="9"/>
        <v>148030.241677559-355160.105993203j</v>
      </c>
      <c r="K72">
        <f t="shared" si="12"/>
        <v>111.70413261657941</v>
      </c>
      <c r="L72">
        <f t="shared" si="13"/>
        <v>-67.37369343461954</v>
      </c>
      <c r="M72">
        <f t="shared" si="14"/>
        <v>148030.24167755901</v>
      </c>
      <c r="N72">
        <f t="shared" si="15"/>
        <v>-355160.105993203</v>
      </c>
    </row>
    <row r="73" spans="7:14" x14ac:dyDescent="0.25">
      <c r="G73">
        <f t="shared" si="10"/>
        <v>0.40000000000000069</v>
      </c>
      <c r="H73">
        <f t="shared" si="8"/>
        <v>25.118864315095841</v>
      </c>
      <c r="I73" t="str">
        <f t="shared" si="11"/>
        <v>157.826479197648j</v>
      </c>
      <c r="J73" t="str">
        <f t="shared" si="9"/>
        <v>136785.193512695-343652.002207238j</v>
      </c>
      <c r="K73">
        <f t="shared" si="12"/>
        <v>111.36107963260315</v>
      </c>
      <c r="L73">
        <f t="shared" si="13"/>
        <v>-68.295760970143064</v>
      </c>
      <c r="M73">
        <f t="shared" si="14"/>
        <v>136785.193512695</v>
      </c>
      <c r="N73">
        <f t="shared" si="15"/>
        <v>-343652.00220723799</v>
      </c>
    </row>
    <row r="74" spans="7:14" x14ac:dyDescent="0.25">
      <c r="G74">
        <f t="shared" si="10"/>
        <v>0.42000000000000071</v>
      </c>
      <c r="H74">
        <f t="shared" si="8"/>
        <v>26.302679918953867</v>
      </c>
      <c r="I74" t="str">
        <f t="shared" si="11"/>
        <v>165.264612006218j</v>
      </c>
      <c r="J74" t="str">
        <f t="shared" si="9"/>
        <v>126267.619627296-332183.784162849j</v>
      </c>
      <c r="K74">
        <f t="shared" si="12"/>
        <v>111.01367512826005</v>
      </c>
      <c r="L74">
        <f t="shared" si="13"/>
        <v>-69.187514812161993</v>
      </c>
      <c r="M74">
        <f t="shared" si="14"/>
        <v>126267.61962729599</v>
      </c>
      <c r="N74">
        <f t="shared" si="15"/>
        <v>-332183.78416284901</v>
      </c>
    </row>
    <row r="75" spans="7:14" x14ac:dyDescent="0.25">
      <c r="G75">
        <f t="shared" si="10"/>
        <v>0.44000000000000072</v>
      </c>
      <c r="H75">
        <f t="shared" si="8"/>
        <v>27.542287033381715</v>
      </c>
      <c r="I75" t="str">
        <f t="shared" si="11"/>
        <v>173.053293214267j</v>
      </c>
      <c r="J75" t="str">
        <f t="shared" si="9"/>
        <v>116449.505758289-320797.79256579j</v>
      </c>
      <c r="K75">
        <f t="shared" si="12"/>
        <v>110.6622045581488</v>
      </c>
      <c r="L75">
        <f t="shared" si="13"/>
        <v>-70.049117462339694</v>
      </c>
      <c r="M75">
        <f t="shared" si="14"/>
        <v>116449.505758289</v>
      </c>
      <c r="N75">
        <f t="shared" si="15"/>
        <v>-320797.79256579001</v>
      </c>
    </row>
    <row r="76" spans="7:14" x14ac:dyDescent="0.25">
      <c r="G76">
        <f t="shared" si="10"/>
        <v>0.46000000000000074</v>
      </c>
      <c r="H76">
        <f t="shared" si="8"/>
        <v>28.840315031266112</v>
      </c>
      <c r="I76" t="str">
        <f t="shared" si="11"/>
        <v>181.209043658882j</v>
      </c>
      <c r="J76" t="str">
        <f t="shared" si="9"/>
        <v>107300.903877704-309531.670714126j</v>
      </c>
      <c r="K76">
        <f t="shared" si="12"/>
        <v>110.30694176402181</v>
      </c>
      <c r="L76">
        <f t="shared" si="13"/>
        <v>-70.880836935062746</v>
      </c>
      <c r="M76">
        <f t="shared" si="14"/>
        <v>107300.903877704</v>
      </c>
      <c r="N76">
        <f t="shared" si="15"/>
        <v>-309531.67071412603</v>
      </c>
    </row>
    <row r="77" spans="7:14" x14ac:dyDescent="0.25">
      <c r="G77">
        <f t="shared" si="10"/>
        <v>0.48000000000000076</v>
      </c>
      <c r="H77">
        <f t="shared" si="8"/>
        <v>30.199517204020218</v>
      </c>
      <c r="I77" t="str">
        <f t="shared" si="11"/>
        <v>189.749162780217j</v>
      </c>
      <c r="J77" t="str">
        <f t="shared" si="9"/>
        <v>98790.5208716123-298418.503130066j</v>
      </c>
      <c r="K77">
        <f t="shared" si="12"/>
        <v>109.94814832115702</v>
      </c>
      <c r="L77">
        <f t="shared" si="13"/>
        <v>-71.683034533077318</v>
      </c>
      <c r="M77">
        <f t="shared" si="14"/>
        <v>98790.520871612302</v>
      </c>
      <c r="N77">
        <f t="shared" si="15"/>
        <v>-298418.50313006598</v>
      </c>
    </row>
    <row r="78" spans="7:14" x14ac:dyDescent="0.25">
      <c r="G78">
        <f t="shared" si="10"/>
        <v>0.50000000000000078</v>
      </c>
      <c r="H78">
        <f t="shared" si="8"/>
        <v>31.622776601683853</v>
      </c>
      <c r="I78" t="str">
        <f t="shared" si="11"/>
        <v>198.691765315922j</v>
      </c>
      <c r="J78" t="str">
        <f t="shared" si="9"/>
        <v>90886.2422449553-287487.010173216j</v>
      </c>
      <c r="K78">
        <f t="shared" si="12"/>
        <v>109.58607310726912</v>
      </c>
      <c r="L78">
        <f t="shared" si="13"/>
        <v>-72.45615306601978</v>
      </c>
      <c r="M78">
        <f t="shared" si="14"/>
        <v>90886.242244955298</v>
      </c>
      <c r="N78">
        <f t="shared" si="15"/>
        <v>-287487.010173216</v>
      </c>
    </row>
    <row r="79" spans="7:14" x14ac:dyDescent="0.25">
      <c r="G79">
        <f t="shared" si="10"/>
        <v>0.52000000000000079</v>
      </c>
      <c r="H79">
        <f t="shared" si="8"/>
        <v>33.113112148259177</v>
      </c>
      <c r="I79" t="str">
        <f t="shared" si="11"/>
        <v>208.055819724932j</v>
      </c>
      <c r="J79" t="str">
        <f t="shared" si="9"/>
        <v>83555.5900258319-276761.784640923j</v>
      </c>
      <c r="K79">
        <f t="shared" si="12"/>
        <v>109.22095206772684</v>
      </c>
      <c r="L79">
        <f t="shared" si="13"/>
        <v>-73.200705640789508</v>
      </c>
      <c r="M79">
        <f t="shared" si="14"/>
        <v>83555.590025831902</v>
      </c>
      <c r="N79">
        <f t="shared" si="15"/>
        <v>-276761.78464092303</v>
      </c>
    </row>
    <row r="80" spans="7:14" x14ac:dyDescent="0.25">
      <c r="G80">
        <f t="shared" si="10"/>
        <v>0.54000000000000081</v>
      </c>
      <c r="H80">
        <f t="shared" si="8"/>
        <v>34.673685045253237</v>
      </c>
      <c r="I80" t="str">
        <f t="shared" si="11"/>
        <v>217.861188422108j</v>
      </c>
      <c r="J80" t="str">
        <f t="shared" si="9"/>
        <v>76766.1161533094-266263.557839053j</v>
      </c>
      <c r="K80">
        <f t="shared" si="12"/>
        <v>108.85300815095204</v>
      </c>
      <c r="L80">
        <f t="shared" si="13"/>
        <v>-73.917265117689226</v>
      </c>
      <c r="M80">
        <f t="shared" si="14"/>
        <v>76766.116153309398</v>
      </c>
      <c r="N80">
        <f t="shared" si="15"/>
        <v>-266263.55783905298</v>
      </c>
    </row>
    <row r="81" spans="7:14" x14ac:dyDescent="0.25">
      <c r="G81">
        <f t="shared" si="10"/>
        <v>0.56000000000000083</v>
      </c>
      <c r="H81">
        <f t="shared" si="8"/>
        <v>36.307805477010206</v>
      </c>
      <c r="I81" t="str">
        <f t="shared" si="11"/>
        <v>228.128669909085j</v>
      </c>
      <c r="J81" t="str">
        <f t="shared" si="9"/>
        <v>70485.7342372628-256009.484225854j</v>
      </c>
      <c r="K81">
        <f t="shared" si="12"/>
        <v>108.48245138872635</v>
      </c>
      <c r="L81">
        <f t="shared" si="13"/>
        <v>-74.606454295353572</v>
      </c>
      <c r="M81">
        <f t="shared" si="14"/>
        <v>70485.734237262805</v>
      </c>
      <c r="N81">
        <f t="shared" si="15"/>
        <v>-256009.48422585399</v>
      </c>
    </row>
    <row r="82" spans="7:14" x14ac:dyDescent="0.25">
      <c r="G82">
        <f t="shared" si="10"/>
        <v>0.58000000000000085</v>
      </c>
      <c r="H82">
        <f t="shared" si="8"/>
        <v>38.018939632056195</v>
      </c>
      <c r="I82" t="str">
        <f t="shared" si="11"/>
        <v>238.880042890683j</v>
      </c>
      <c r="J82" t="str">
        <f t="shared" si="9"/>
        <v>64682.9937262941-246013.435385858j</v>
      </c>
      <c r="K82">
        <f t="shared" si="12"/>
        <v>108.10947909753108</v>
      </c>
      <c r="L82">
        <f t="shared" si="13"/>
        <v>-75.268936860917933</v>
      </c>
      <c r="M82">
        <f t="shared" si="14"/>
        <v>64682.993726294102</v>
      </c>
      <c r="N82">
        <f t="shared" si="15"/>
        <v>-246013.435385858</v>
      </c>
    </row>
    <row r="83" spans="7:14" x14ac:dyDescent="0.25">
      <c r="G83">
        <f t="shared" si="10"/>
        <v>0.60000000000000087</v>
      </c>
      <c r="H83">
        <f t="shared" si="8"/>
        <v>39.810717055349805</v>
      </c>
      <c r="I83" t="str">
        <f t="shared" si="11"/>
        <v>250.138112470458j</v>
      </c>
      <c r="J83" t="str">
        <f t="shared" si="9"/>
        <v>59327.301271096-236286.295699534j</v>
      </c>
      <c r="K83">
        <f t="shared" si="12"/>
        <v>107.73427617882277</v>
      </c>
      <c r="L83">
        <f t="shared" si="13"/>
        <v>-75.905409119629795</v>
      </c>
      <c r="M83">
        <f t="shared" si="14"/>
        <v>59327.301271096003</v>
      </c>
      <c r="N83">
        <f t="shared" si="15"/>
        <v>-236286.29569953401</v>
      </c>
    </row>
    <row r="84" spans="7:14" x14ac:dyDescent="0.25">
      <c r="G84">
        <f t="shared" si="10"/>
        <v>0.62000000000000088</v>
      </c>
      <c r="H84">
        <f t="shared" si="8"/>
        <v>41.686938347033625</v>
      </c>
      <c r="I84" t="str">
        <f t="shared" si="11"/>
        <v>261.926758523383j</v>
      </c>
      <c r="J84" t="str">
        <f t="shared" si="9"/>
        <v>54389.0944907892-226836.253580463j</v>
      </c>
      <c r="K84">
        <f t="shared" si="12"/>
        <v>107.35701549815461</v>
      </c>
      <c r="L84">
        <f t="shared" si="13"/>
        <v>-76.516592499979097</v>
      </c>
      <c r="M84">
        <f t="shared" si="14"/>
        <v>54389.094490789197</v>
      </c>
      <c r="N84">
        <f t="shared" si="15"/>
        <v>-226836.253580463</v>
      </c>
    </row>
    <row r="85" spans="7:14" x14ac:dyDescent="0.25">
      <c r="G85">
        <f t="shared" si="10"/>
        <v>0.6400000000000009</v>
      </c>
      <c r="H85">
        <f t="shared" si="8"/>
        <v>43.651583224016697</v>
      </c>
      <c r="I85" t="str">
        <f t="shared" si="11"/>
        <v>274.270986348269j</v>
      </c>
      <c r="J85" t="str">
        <f t="shared" si="9"/>
        <v>49839.9735033325-217669.083518827j</v>
      </c>
      <c r="K85">
        <f t="shared" si="12"/>
        <v>106.97785832517704</v>
      </c>
      <c r="L85">
        <f t="shared" si="13"/>
        <v>-77.103226816089688</v>
      </c>
      <c r="M85">
        <f t="shared" si="14"/>
        <v>49839.973503332498</v>
      </c>
      <c r="N85">
        <f t="shared" si="15"/>
        <v>-217669.08351882701</v>
      </c>
    </row>
    <row r="86" spans="7:14" x14ac:dyDescent="0.25">
      <c r="G86">
        <f t="shared" si="10"/>
        <v>0.66000000000000092</v>
      </c>
      <c r="H86">
        <f t="shared" si="8"/>
        <v>45.708818961487616</v>
      </c>
      <c r="I86" t="str">
        <f t="shared" si="11"/>
        <v>287.196979707351j</v>
      </c>
      <c r="J86" t="str">
        <f t="shared" si="9"/>
        <v>45652.7955281426-208788.415377682j</v>
      </c>
      <c r="K86">
        <f t="shared" si="12"/>
        <v>106.5969548186894</v>
      </c>
      <c r="L86">
        <f t="shared" si="13"/>
        <v>-77.666064258179475</v>
      </c>
      <c r="M86">
        <f t="shared" si="14"/>
        <v>45652.795528142597</v>
      </c>
      <c r="N86">
        <f t="shared" si="15"/>
        <v>-208788.41537768199</v>
      </c>
    </row>
    <row r="87" spans="7:14" x14ac:dyDescent="0.25">
      <c r="G87">
        <f t="shared" si="10"/>
        <v>0.68000000000000094</v>
      </c>
      <c r="H87">
        <f t="shared" si="8"/>
        <v>47.863009232263948</v>
      </c>
      <c r="I87" t="str">
        <f t="shared" si="11"/>
        <v>300.732156365562j</v>
      </c>
      <c r="J87" t="str">
        <f t="shared" si="9"/>
        <v>41801.7376632708-200195.988430007j</v>
      </c>
      <c r="K87">
        <f t="shared" si="12"/>
        <v>106.21444454300141</v>
      </c>
      <c r="L87">
        <f t="shared" si="13"/>
        <v>-78.205864073937306</v>
      </c>
      <c r="M87">
        <f t="shared" si="14"/>
        <v>41801.737663270796</v>
      </c>
      <c r="N87">
        <f t="shared" si="15"/>
        <v>-200195.98843000701</v>
      </c>
    </row>
    <row r="88" spans="7:14" x14ac:dyDescent="0.25">
      <c r="G88">
        <f t="shared" si="10"/>
        <v>0.70000000000000095</v>
      </c>
      <c r="H88">
        <f t="shared" si="8"/>
        <v>50.118723362727351</v>
      </c>
      <c r="I88" t="str">
        <f t="shared" si="11"/>
        <v>314.905226247287j</v>
      </c>
      <c r="J88" t="str">
        <f t="shared" si="9"/>
        <v>38262.3326270812-191891.88850231j</v>
      </c>
      <c r="K88">
        <f t="shared" si="12"/>
        <v>105.830457003844</v>
      </c>
      <c r="L88">
        <f t="shared" si="13"/>
        <v>-78.723387898222484</v>
      </c>
      <c r="M88">
        <f t="shared" si="14"/>
        <v>38262.332627081203</v>
      </c>
      <c r="N88">
        <f t="shared" si="15"/>
        <v>-191891.88850231</v>
      </c>
    </row>
    <row r="89" spans="7:14" x14ac:dyDescent="0.25">
      <c r="G89">
        <f t="shared" si="10"/>
        <v>0.72000000000000097</v>
      </c>
      <c r="H89">
        <f t="shared" si="8"/>
        <v>52.480746024977385</v>
      </c>
      <c r="I89" t="str">
        <f t="shared" si="11"/>
        <v>329.746252333961j</v>
      </c>
      <c r="J89" t="str">
        <f t="shared" si="9"/>
        <v>35011.4818735688-183874.767313834j</v>
      </c>
      <c r="K89">
        <f t="shared" si="12"/>
        <v>105.44511219391141</v>
      </c>
      <c r="L89">
        <f t="shared" si="13"/>
        <v>-79.219395685174476</v>
      </c>
      <c r="M89">
        <f t="shared" si="14"/>
        <v>35011.481873568802</v>
      </c>
      <c r="N89">
        <f t="shared" si="15"/>
        <v>-183874.76731383399</v>
      </c>
    </row>
    <row r="90" spans="7:14" x14ac:dyDescent="0.25">
      <c r="G90">
        <f t="shared" si="10"/>
        <v>0.74000000000000099</v>
      </c>
      <c r="H90">
        <f t="shared" si="8"/>
        <v>54.954087385762591</v>
      </c>
      <c r="I90" t="str">
        <f t="shared" si="11"/>
        <v>345.286714431687j</v>
      </c>
      <c r="J90" t="str">
        <f t="shared" si="9"/>
        <v>32027.450072149-176142.043682459j</v>
      </c>
      <c r="K90">
        <f t="shared" si="12"/>
        <v>105.0585211397962</v>
      </c>
      <c r="L90">
        <f t="shared" si="13"/>
        <v>-79.694642195209809</v>
      </c>
      <c r="M90">
        <f t="shared" si="14"/>
        <v>32027.450072149</v>
      </c>
      <c r="N90">
        <f t="shared" si="15"/>
        <v>-176142.04368245901</v>
      </c>
    </row>
    <row r="91" spans="7:14" x14ac:dyDescent="0.25">
      <c r="G91">
        <f t="shared" si="10"/>
        <v>0.76000000000000101</v>
      </c>
      <c r="H91">
        <f t="shared" si="8"/>
        <v>57.543993733715837</v>
      </c>
      <c r="I91" t="str">
        <f t="shared" si="11"/>
        <v>361.559575944118j</v>
      </c>
      <c r="J91" t="str">
        <f t="shared" si="9"/>
        <v>29289.8445108362-168690.086724958j</v>
      </c>
      <c r="K91">
        <f t="shared" si="12"/>
        <v>104.67078644358948</v>
      </c>
      <c r="L91">
        <f t="shared" si="13"/>
        <v>-80.149873989145462</v>
      </c>
      <c r="M91">
        <f t="shared" si="14"/>
        <v>29289.844510836199</v>
      </c>
      <c r="N91">
        <f t="shared" si="15"/>
        <v>-168690.086724958</v>
      </c>
    </row>
    <row r="92" spans="7:14" x14ac:dyDescent="0.25">
      <c r="G92">
        <f t="shared" si="10"/>
        <v>0.78000000000000103</v>
      </c>
      <c r="H92">
        <f t="shared" si="8"/>
        <v>60.255958607435929</v>
      </c>
      <c r="I92" t="str">
        <f t="shared" si="11"/>
        <v>378.599353792263j</v>
      </c>
      <c r="J92" t="str">
        <f t="shared" si="9"/>
        <v>26779.5825541446-161514.381526786j</v>
      </c>
      <c r="K92">
        <f t="shared" si="12"/>
        <v>104.28200281375618</v>
      </c>
      <c r="L92">
        <f t="shared" si="13"/>
        <v>-80.585826882506595</v>
      </c>
      <c r="M92">
        <f t="shared" si="14"/>
        <v>26779.582554144599</v>
      </c>
      <c r="N92">
        <f t="shared" si="15"/>
        <v>-161514.38152678599</v>
      </c>
    </row>
    <row r="93" spans="7:14" x14ac:dyDescent="0.25">
      <c r="G93">
        <f t="shared" si="10"/>
        <v>0.80000000000000104</v>
      </c>
      <c r="H93">
        <f t="shared" si="8"/>
        <v>63.095734448019485</v>
      </c>
      <c r="I93" t="str">
        <f t="shared" si="11"/>
        <v>396.442191629501j</v>
      </c>
      <c r="J93" t="str">
        <f t="shared" si="9"/>
        <v>24478.8498766451-154609.678011394j</v>
      </c>
      <c r="K93">
        <f t="shared" si="12"/>
        <v>103.89225758106477</v>
      </c>
      <c r="L93">
        <f t="shared" si="13"/>
        <v>-81.003223814681448</v>
      </c>
      <c r="M93">
        <f t="shared" si="14"/>
        <v>24478.849876645101</v>
      </c>
      <c r="N93">
        <f t="shared" si="15"/>
        <v>-154609.67801139399</v>
      </c>
    </row>
    <row r="94" spans="7:14" x14ac:dyDescent="0.25">
      <c r="G94">
        <f t="shared" si="10"/>
        <v>0.82000000000000106</v>
      </c>
      <c r="H94">
        <f t="shared" si="8"/>
        <v>66.069344800759765</v>
      </c>
      <c r="I94" t="str">
        <f t="shared" si="11"/>
        <v>415.125936507116j</v>
      </c>
      <c r="J94" t="str">
        <f t="shared" si="9"/>
        <v>22371.0518084986-147970.123916584j</v>
      </c>
      <c r="K94">
        <f t="shared" si="12"/>
        <v>103.50163119636164</v>
      </c>
      <c r="L94">
        <f t="shared" si="13"/>
        <v>-81.402773089767848</v>
      </c>
      <c r="M94">
        <f t="shared" si="14"/>
        <v>22371.0518084986</v>
      </c>
      <c r="N94">
        <f t="shared" si="15"/>
        <v>-147970.12391658401</v>
      </c>
    </row>
    <row r="95" spans="7:14" x14ac:dyDescent="0.25">
      <c r="G95">
        <f t="shared" si="10"/>
        <v>0.84000000000000108</v>
      </c>
      <c r="H95">
        <f t="shared" si="8"/>
        <v>69.183097091893842</v>
      </c>
      <c r="I95" t="str">
        <f t="shared" si="11"/>
        <v>434.690219152966j</v>
      </c>
      <c r="J95" t="str">
        <f t="shared" si="9"/>
        <v>20440.7597758172-141589.382899691j</v>
      </c>
      <c r="K95">
        <f t="shared" si="12"/>
        <v>103.11019770784198</v>
      </c>
      <c r="L95">
        <f t="shared" si="13"/>
        <v>-81.785166948506912</v>
      </c>
      <c r="M95">
        <f t="shared" si="14"/>
        <v>20440.759775817201</v>
      </c>
      <c r="N95">
        <f t="shared" si="15"/>
        <v>-141589.382899691</v>
      </c>
    </row>
    <row r="96" spans="7:14" x14ac:dyDescent="0.25">
      <c r="G96">
        <f t="shared" si="10"/>
        <v>0.8600000000000011</v>
      </c>
      <c r="H96">
        <f t="shared" si="8"/>
        <v>72.443596007499195</v>
      </c>
      <c r="I96" t="str">
        <f t="shared" si="11"/>
        <v>455.176538033573j</v>
      </c>
      <c r="J96" t="str">
        <f t="shared" si="9"/>
        <v>18673.6544990495-135460.738857059j</v>
      </c>
      <c r="K96">
        <f t="shared" si="12"/>
        <v>102.71802521619897</v>
      </c>
      <c r="L96">
        <f t="shared" si="13"/>
        <v>-82.151080433495892</v>
      </c>
      <c r="M96">
        <f t="shared" si="14"/>
        <v>18673.654499049499</v>
      </c>
      <c r="N96">
        <f t="shared" si="15"/>
        <v>-135460.73885705901</v>
      </c>
    </row>
    <row r="97" spans="7:14" x14ac:dyDescent="0.25">
      <c r="G97">
        <f t="shared" si="10"/>
        <v>0.88000000000000111</v>
      </c>
      <c r="H97">
        <f t="shared" si="8"/>
        <v>75.857757502918574</v>
      </c>
      <c r="I97" t="str">
        <f t="shared" si="11"/>
        <v>476.62834737793j</v>
      </c>
      <c r="J97" t="str">
        <f t="shared" si="9"/>
        <v>17056.4673275505-129577.187567101j</v>
      </c>
      <c r="K97">
        <f t="shared" si="12"/>
        <v>102.3251763066382</v>
      </c>
      <c r="L97">
        <f t="shared" si="13"/>
        <v>-82.501170512770742</v>
      </c>
      <c r="M97">
        <f t="shared" si="14"/>
        <v>17056.467327550501</v>
      </c>
      <c r="N97">
        <f t="shared" si="15"/>
        <v>-129577.18756710101</v>
      </c>
    </row>
    <row r="98" spans="7:14" x14ac:dyDescent="0.25">
      <c r="G98">
        <f t="shared" si="10"/>
        <v>0.90000000000000113</v>
      </c>
      <c r="H98">
        <f t="shared" si="8"/>
        <v>79.432823472428396</v>
      </c>
      <c r="I98" t="str">
        <f t="shared" si="11"/>
        <v>499.091149349752j</v>
      </c>
      <c r="J98" t="str">
        <f t="shared" si="9"/>
        <v>15576.9208374316-123931.516759678j</v>
      </c>
      <c r="K98">
        <f t="shared" si="12"/>
        <v>101.93170845724524</v>
      </c>
      <c r="L98">
        <f t="shared" si="13"/>
        <v>-82.83607542977596</v>
      </c>
      <c r="M98">
        <f t="shared" si="14"/>
        <v>15576.9208374316</v>
      </c>
      <c r="N98">
        <f t="shared" si="15"/>
        <v>-123931.51675967799</v>
      </c>
    </row>
    <row r="99" spans="7:14" x14ac:dyDescent="0.25">
      <c r="G99">
        <f t="shared" si="10"/>
        <v>0.92000000000000115</v>
      </c>
      <c r="H99">
        <f t="shared" si="8"/>
        <v>83.176377110267339</v>
      </c>
      <c r="I99" t="str">
        <f t="shared" si="11"/>
        <v>522.61259056366j</v>
      </c>
      <c r="J99" t="str">
        <f t="shared" si="9"/>
        <v>14223.6696011044-118516.375685282j</v>
      </c>
      <c r="K99">
        <f t="shared" si="12"/>
        <v>101.53767442360024</v>
      </c>
      <c r="L99">
        <f t="shared" si="13"/>
        <v>-83.156414250612514</v>
      </c>
      <c r="M99">
        <f t="shared" si="14"/>
        <v>14223.6696011044</v>
      </c>
      <c r="N99">
        <f t="shared" si="15"/>
        <v>-118516.37568528199</v>
      </c>
    </row>
    <row r="100" spans="7:14" x14ac:dyDescent="0.25">
      <c r="G100">
        <f t="shared" si="10"/>
        <v>0.94000000000000117</v>
      </c>
      <c r="H100">
        <f t="shared" si="8"/>
        <v>87.096358995608341</v>
      </c>
      <c r="I100" t="str">
        <f t="shared" si="11"/>
        <v>547.242563150045j</v>
      </c>
      <c r="J100" t="str">
        <f t="shared" si="9"/>
        <v>12986.2418483969-113324.335212048j</v>
      </c>
      <c r="K100">
        <f t="shared" si="12"/>
        <v>101.1431225998584</v>
      </c>
      <c r="L100">
        <f t="shared" si="13"/>
        <v>-83.462786582233136</v>
      </c>
      <c r="M100">
        <f t="shared" si="14"/>
        <v>12986.2418483969</v>
      </c>
      <c r="N100">
        <f t="shared" si="15"/>
        <v>-113324.335212048</v>
      </c>
    </row>
    <row r="101" spans="7:14" x14ac:dyDescent="0.25">
      <c r="G101">
        <f t="shared" si="10"/>
        <v>0.96000000000000119</v>
      </c>
      <c r="H101">
        <f t="shared" si="8"/>
        <v>91.201083935591228</v>
      </c>
      <c r="I101" t="str">
        <f t="shared" si="11"/>
        <v>573.033310582959j</v>
      </c>
      <c r="J101" t="str">
        <f t="shared" si="9"/>
        <v>11854.9825781728-108347.939422108j</v>
      </c>
      <c r="K101">
        <f t="shared" si="12"/>
        <v>100.74809735676845</v>
      </c>
      <c r="L101">
        <f t="shared" si="13"/>
        <v>-83.755772437890485</v>
      </c>
      <c r="M101">
        <f t="shared" si="14"/>
        <v>11854.9825781728</v>
      </c>
      <c r="N101">
        <f t="shared" si="15"/>
        <v>-108347.939422108</v>
      </c>
    </row>
    <row r="102" spans="7:14" x14ac:dyDescent="0.25">
      <c r="G102">
        <f t="shared" si="10"/>
        <v>0.9800000000000012</v>
      </c>
      <c r="H102">
        <f t="shared" si="8"/>
        <v>95.499258602143883</v>
      </c>
      <c r="I102" t="str">
        <f t="shared" si="11"/>
        <v>600.039538495534j</v>
      </c>
      <c r="J102" t="str">
        <f t="shared" si="9"/>
        <v>10820.9985432651-103579.749615464j</v>
      </c>
      <c r="K102">
        <f t="shared" si="12"/>
        <v>100.3526393572989</v>
      </c>
      <c r="L102">
        <f t="shared" si="13"/>
        <v>-84.035932228628369</v>
      </c>
      <c r="M102">
        <f t="shared" si="14"/>
        <v>10820.998543265099</v>
      </c>
      <c r="N102">
        <f t="shared" si="15"/>
        <v>-103579.749615464</v>
      </c>
    </row>
    <row r="103" spans="7:14" x14ac:dyDescent="0.25">
      <c r="G103">
        <f t="shared" si="10"/>
        <v>1.0000000000000011</v>
      </c>
      <c r="H103">
        <f t="shared" si="8"/>
        <v>100.00000000000028</v>
      </c>
      <c r="I103" t="str">
        <f t="shared" si="11"/>
        <v>628.31853071796j</v>
      </c>
      <c r="J103" t="str">
        <f t="shared" si="9"/>
        <v>9876.10541750834-99012.381562566j</v>
      </c>
      <c r="K103">
        <f t="shared" si="12"/>
        <v>99.956785850687339</v>
      </c>
      <c r="L103">
        <f t="shared" si="13"/>
        <v>-84.303806861912946</v>
      </c>
      <c r="M103">
        <f t="shared" si="14"/>
        <v>9876.1054175083409</v>
      </c>
      <c r="N103">
        <f t="shared" si="15"/>
        <v>-99012.381562566006</v>
      </c>
    </row>
    <row r="104" spans="7:14" x14ac:dyDescent="0.25">
      <c r="G104">
        <f t="shared" si="10"/>
        <v>1.0200000000000011</v>
      </c>
      <c r="H104">
        <f t="shared" si="8"/>
        <v>104.71285480509023</v>
      </c>
      <c r="I104" t="str">
        <f t="shared" si="11"/>
        <v>657.930270784172j</v>
      </c>
      <c r="J104" t="str">
        <f t="shared" si="9"/>
        <v>9012.77735904044-94638.5367786142j</v>
      </c>
      <c r="K104">
        <f t="shared" si="12"/>
        <v>99.560570945829099</v>
      </c>
      <c r="L104">
        <f t="shared" si="13"/>
        <v>-84.559917930630718</v>
      </c>
      <c r="M104">
        <f t="shared" si="14"/>
        <v>9012.7773590404395</v>
      </c>
      <c r="N104">
        <f t="shared" si="15"/>
        <v>-94638.536778614201</v>
      </c>
    </row>
    <row r="105" spans="7:14" x14ac:dyDescent="0.25">
      <c r="G105">
        <f t="shared" si="10"/>
        <v>1.0400000000000011</v>
      </c>
      <c r="H105">
        <f t="shared" si="8"/>
        <v>109.64781961431882</v>
      </c>
      <c r="I105" t="str">
        <f t="shared" si="11"/>
        <v>688.937569164966j</v>
      </c>
      <c r="J105" t="str">
        <f t="shared" si="9"/>
        <v>8224.09910634569-90451.0285252542j</v>
      </c>
      <c r="K105">
        <f t="shared" si="12"/>
        <v>99.164025864995281</v>
      </c>
      <c r="L105">
        <f t="shared" si="13"/>
        <v>-84.804767977631315</v>
      </c>
      <c r="M105">
        <f t="shared" si="14"/>
        <v>8224.0991063456895</v>
      </c>
      <c r="N105">
        <f t="shared" si="15"/>
        <v>-90451.028525254194</v>
      </c>
    </row>
    <row r="106" spans="7:14" x14ac:dyDescent="0.25">
      <c r="G106">
        <f t="shared" si="10"/>
        <v>1.0600000000000012</v>
      </c>
      <c r="H106">
        <f t="shared" si="8"/>
        <v>114.81536214968858</v>
      </c>
      <c r="I106" t="str">
        <f t="shared" si="11"/>
        <v>721.406196497426j</v>
      </c>
      <c r="J106" t="str">
        <f t="shared" si="9"/>
        <v>7503.72068039051-86442.8031799694j</v>
      </c>
      <c r="K106">
        <f t="shared" si="12"/>
        <v>98.767179178909345</v>
      </c>
      <c r="L106">
        <f t="shared" si="13"/>
        <v>-85.038840822768151</v>
      </c>
      <c r="M106">
        <f t="shared" si="14"/>
        <v>7503.7206803905101</v>
      </c>
      <c r="N106">
        <f t="shared" si="15"/>
        <v>-86442.8031799694</v>
      </c>
    </row>
    <row r="107" spans="7:14" x14ac:dyDescent="0.25">
      <c r="G107">
        <f t="shared" si="10"/>
        <v>1.0800000000000012</v>
      </c>
      <c r="H107">
        <f t="shared" si="8"/>
        <v>120.22644346174164</v>
      </c>
      <c r="I107" t="str">
        <f t="shared" si="11"/>
        <v>755.405023093272j</v>
      </c>
      <c r="J107" t="str">
        <f t="shared" si="9"/>
        <v>6845.8147155638-82606.9575511601j</v>
      </c>
      <c r="K107">
        <f t="shared" si="12"/>
        <v>98.370057024229695</v>
      </c>
      <c r="L107">
        <f t="shared" si="13"/>
        <v>-85.262601940997484</v>
      </c>
      <c r="M107">
        <f t="shared" si="14"/>
        <v>6845.8147155637998</v>
      </c>
      <c r="N107">
        <f t="shared" si="15"/>
        <v>-82606.9575511601</v>
      </c>
    </row>
    <row r="108" spans="7:14" x14ac:dyDescent="0.25">
      <c r="G108">
        <f t="shared" si="10"/>
        <v>1.1000000000000012</v>
      </c>
      <c r="H108">
        <f t="shared" si="8"/>
        <v>125.89254117941708</v>
      </c>
      <c r="I108" t="str">
        <f t="shared" si="11"/>
        <v>791.006165022014j</v>
      </c>
      <c r="J108" t="str">
        <f t="shared" si="9"/>
        <v>6245.03640209184-78936.7526582467j</v>
      </c>
      <c r="K108">
        <f t="shared" si="12"/>
        <v>97.972683304488953</v>
      </c>
      <c r="L108">
        <f t="shared" si="13"/>
        <v>-85.476498881541858</v>
      </c>
      <c r="M108">
        <f t="shared" si="14"/>
        <v>6245.0364020918396</v>
      </c>
      <c r="N108">
        <f t="shared" si="15"/>
        <v>-78936.752658246696</v>
      </c>
    </row>
    <row r="109" spans="7:14" x14ac:dyDescent="0.25">
      <c r="G109">
        <f t="shared" si="10"/>
        <v>1.1200000000000012</v>
      </c>
      <c r="H109">
        <f t="shared" si="8"/>
        <v>131.8256738556411</v>
      </c>
      <c r="I109" t="str">
        <f t="shared" si="11"/>
        <v>828.285137078812j</v>
      </c>
      <c r="J109" t="str">
        <f t="shared" si="9"/>
        <v>5696.48599146555-75425.6244414228j</v>
      </c>
      <c r="K109">
        <f t="shared" si="12"/>
        <v>97.575079875524509</v>
      </c>
      <c r="L109">
        <f t="shared" si="13"/>
        <v>-85.680961719423635</v>
      </c>
      <c r="M109">
        <f t="shared" si="14"/>
        <v>5696.4859914655499</v>
      </c>
      <c r="N109">
        <f t="shared" si="15"/>
        <v>-75425.624441422799</v>
      </c>
    </row>
    <row r="110" spans="7:14" x14ac:dyDescent="0.25">
      <c r="G110">
        <f t="shared" si="10"/>
        <v>1.1400000000000012</v>
      </c>
      <c r="H110">
        <f t="shared" si="8"/>
        <v>138.03842646028889</v>
      </c>
      <c r="I110" t="str">
        <f t="shared" si="11"/>
        <v>867.321012961477j</v>
      </c>
      <c r="J110" t="str">
        <f t="shared" si="9"/>
        <v>5195.67379275264-72067.1918151945j</v>
      </c>
      <c r="K110">
        <f t="shared" si="12"/>
        <v>97.177266716412134</v>
      </c>
      <c r="L110">
        <f t="shared" si="13"/>
        <v>-85.876403531831329</v>
      </c>
      <c r="M110">
        <f t="shared" si="14"/>
        <v>5195.6737927526401</v>
      </c>
      <c r="N110">
        <f t="shared" si="15"/>
        <v>-72067.191815194499</v>
      </c>
    </row>
    <row r="111" spans="7:14" x14ac:dyDescent="0.25">
      <c r="G111">
        <f t="shared" si="10"/>
        <v>1.1600000000000013</v>
      </c>
      <c r="H111">
        <f t="shared" si="8"/>
        <v>144.54397707459319</v>
      </c>
      <c r="I111" t="str">
        <f t="shared" si="11"/>
        <v>908.196592996387j</v>
      </c>
      <c r="J111" t="str">
        <f t="shared" si="9"/>
        <v>4738.48757018011-68855.2624335244j</v>
      </c>
      <c r="K111">
        <f t="shared" si="12"/>
        <v>96.779262086881843</v>
      </c>
      <c r="L111">
        <f t="shared" si="13"/>
        <v>-86.063220892812865</v>
      </c>
      <c r="M111">
        <f t="shared" si="14"/>
        <v>4738.4875701801102</v>
      </c>
      <c r="N111">
        <f t="shared" si="15"/>
        <v>-68855.262433524404</v>
      </c>
    </row>
    <row r="112" spans="7:14" x14ac:dyDescent="0.25">
      <c r="G112">
        <f t="shared" si="10"/>
        <v>1.1800000000000013</v>
      </c>
      <c r="H112">
        <f t="shared" si="8"/>
        <v>151.35612484362133</v>
      </c>
      <c r="I112" t="str">
        <f t="shared" si="11"/>
        <v>950.998579769081j</v>
      </c>
      <c r="J112" t="str">
        <f t="shared" si="9"/>
        <v>4321.16223997298-65783.8364921888j</v>
      </c>
      <c r="K112">
        <f t="shared" si="12"/>
        <v>96.381082672155571</v>
      </c>
      <c r="L112">
        <f t="shared" si="13"/>
        <v>-86.241794380705358</v>
      </c>
      <c r="M112">
        <f t="shared" si="14"/>
        <v>4321.1622399729804</v>
      </c>
      <c r="N112">
        <f t="shared" si="15"/>
        <v>-65783.836492188799</v>
      </c>
    </row>
    <row r="113" spans="7:14" x14ac:dyDescent="0.25">
      <c r="G113">
        <f t="shared" si="10"/>
        <v>1.2000000000000013</v>
      </c>
      <c r="H113">
        <f t="shared" si="8"/>
        <v>158.48931924611185</v>
      </c>
      <c r="I113" t="str">
        <f t="shared" si="11"/>
        <v>995.817762032065j</v>
      </c>
      <c r="J113" t="str">
        <f t="shared" si="9"/>
        <v>3940.25175618956-62847.1088557403j</v>
      </c>
      <c r="K113">
        <f t="shared" si="12"/>
        <v>95.982743716105546</v>
      </c>
      <c r="L113">
        <f t="shared" si="13"/>
        <v>-86.412489093516868</v>
      </c>
      <c r="M113">
        <f t="shared" si="14"/>
        <v>3940.2517561895602</v>
      </c>
      <c r="N113">
        <f t="shared" si="15"/>
        <v>-62847.108855740298</v>
      </c>
    </row>
    <row r="114" spans="7:14" x14ac:dyDescent="0.25">
      <c r="G114">
        <f t="shared" si="10"/>
        <v>1.2200000000000013</v>
      </c>
      <c r="H114">
        <f t="shared" si="8"/>
        <v>165.95869074375662</v>
      </c>
      <c r="I114" t="str">
        <f t="shared" si="11"/>
        <v>1042.74920727993j</v>
      </c>
      <c r="J114" t="str">
        <f t="shared" si="9"/>
        <v>3592.60307039246-60039.469761964j</v>
      </c>
      <c r="K114">
        <f t="shared" si="12"/>
        <v>95.584259143585058</v>
      </c>
      <c r="L114">
        <f t="shared" si="13"/>
        <v>-86.575655168190593</v>
      </c>
      <c r="M114">
        <f t="shared" si="14"/>
        <v>3592.6030703924598</v>
      </c>
      <c r="N114">
        <f t="shared" si="15"/>
        <v>-60039.469761963999</v>
      </c>
    </row>
    <row r="115" spans="7:14" x14ac:dyDescent="0.25">
      <c r="G115">
        <f t="shared" si="10"/>
        <v>1.2400000000000013</v>
      </c>
      <c r="H115">
        <f t="shared" si="8"/>
        <v>173.7800828749381</v>
      </c>
      <c r="I115" t="str">
        <f t="shared" si="11"/>
        <v>1091.89246340026j</v>
      </c>
      <c r="J115" t="str">
        <f t="shared" si="9"/>
        <v>3275.33204777797-57355.5043257611j</v>
      </c>
      <c r="K115">
        <f t="shared" si="12"/>
        <v>95.185641672737802</v>
      </c>
      <c r="L115">
        <f t="shared" si="13"/>
        <v>-86.731628300306099</v>
      </c>
      <c r="M115">
        <f t="shared" si="14"/>
        <v>3275.3320477779698</v>
      </c>
      <c r="N115">
        <f t="shared" si="15"/>
        <v>-57355.504325761103</v>
      </c>
    </row>
    <row r="116" spans="7:14" x14ac:dyDescent="0.25">
      <c r="G116">
        <f t="shared" si="10"/>
        <v>1.2600000000000013</v>
      </c>
      <c r="H116">
        <f t="shared" si="8"/>
        <v>181.97008586099898</v>
      </c>
      <c r="I116" t="str">
        <f t="shared" si="11"/>
        <v>1143.35176982804j</v>
      </c>
      <c r="J116" t="str">
        <f t="shared" si="9"/>
        <v>2985.80122228086-54789.9910366989j</v>
      </c>
      <c r="K116">
        <f t="shared" si="12"/>
        <v>94.786902918045698</v>
      </c>
      <c r="L116">
        <f t="shared" si="13"/>
        <v>-86.880730261321744</v>
      </c>
      <c r="M116">
        <f t="shared" si="14"/>
        <v>2985.8012222808602</v>
      </c>
      <c r="N116">
        <f t="shared" si="15"/>
        <v>-54789.991036698899</v>
      </c>
    </row>
    <row r="117" spans="7:14" x14ac:dyDescent="0.25">
      <c r="G117">
        <f t="shared" si="10"/>
        <v>1.2800000000000014</v>
      </c>
      <c r="H117">
        <f t="shared" si="8"/>
        <v>190.54607179632535</v>
      </c>
      <c r="I117" t="str">
        <f t="shared" si="11"/>
        <v>1197.23627865146j</v>
      </c>
      <c r="J117" t="str">
        <f t="shared" si="9"/>
        <v>2721.59927470613-52337.89941975j</v>
      </c>
      <c r="K117">
        <f t="shared" si="12"/>
        <v>94.388053484825917</v>
      </c>
      <c r="L117">
        <f t="shared" si="13"/>
        <v>-87.02326941094239</v>
      </c>
      <c r="M117">
        <f t="shared" si="14"/>
        <v>2721.59927470613</v>
      </c>
      <c r="N117">
        <f t="shared" si="15"/>
        <v>-52337.89941975</v>
      </c>
    </row>
    <row r="118" spans="7:14" x14ac:dyDescent="0.25">
      <c r="G118">
        <f t="shared" si="10"/>
        <v>1.3000000000000014</v>
      </c>
      <c r="H118">
        <f t="shared" si="8"/>
        <v>199.52623149688867</v>
      </c>
      <c r="I118" t="str">
        <f t="shared" si="11"/>
        <v>1253.66028613816j</v>
      </c>
      <c r="J118" t="str">
        <f t="shared" si="9"/>
        <v>2480.52212072974-49994.3870068096j</v>
      </c>
      <c r="K118">
        <f t="shared" si="12"/>
        <v>93.989103055844581</v>
      </c>
      <c r="L118">
        <f t="shared" si="13"/>
        <v>-87.159541202614363</v>
      </c>
      <c r="M118">
        <f t="shared" si="14"/>
        <v>2480.52212072974</v>
      </c>
      <c r="N118">
        <f t="shared" si="15"/>
        <v>-49994.3870068096</v>
      </c>
    </row>
    <row r="119" spans="7:14" x14ac:dyDescent="0.25">
      <c r="G119">
        <f t="shared" si="10"/>
        <v>1.3200000000000014</v>
      </c>
      <c r="H119">
        <f t="shared" si="8"/>
        <v>208.92961308540464</v>
      </c>
      <c r="I119" t="str">
        <f t="shared" si="11"/>
        <v>1312.74347517293j</v>
      </c>
      <c r="J119" t="str">
        <f t="shared" si="9"/>
        <v>2260.5554993281-47754.7957471153j</v>
      </c>
      <c r="K119">
        <f t="shared" si="12"/>
        <v>93.590060470668703</v>
      </c>
      <c r="L119">
        <f t="shared" si="13"/>
        <v>-87.289828680513139</v>
      </c>
      <c r="M119">
        <f t="shared" si="14"/>
        <v>2260.5554993280998</v>
      </c>
      <c r="N119">
        <f t="shared" si="15"/>
        <v>-47754.795747115299</v>
      </c>
    </row>
    <row r="120" spans="7:14" x14ac:dyDescent="0.25">
      <c r="G120">
        <f t="shared" si="10"/>
        <v>1.3400000000000014</v>
      </c>
      <c r="H120">
        <f t="shared" si="8"/>
        <v>218.77616239495606</v>
      </c>
      <c r="I120" t="str">
        <f t="shared" si="11"/>
        <v>1374.61116912112j</v>
      </c>
      <c r="J120" t="str">
        <f t="shared" si="9"/>
        <v>2059.85895658165-45614.6479674894j</v>
      </c>
      <c r="K120">
        <f t="shared" si="12"/>
        <v>93.190933798335465</v>
      </c>
      <c r="L120">
        <f t="shared" si="13"/>
        <v>-87.414402966705453</v>
      </c>
      <c r="M120">
        <f t="shared" si="14"/>
        <v>2059.8589565816501</v>
      </c>
      <c r="N120">
        <f t="shared" si="15"/>
        <v>-45614.6479674894</v>
      </c>
    </row>
    <row r="121" spans="7:14" x14ac:dyDescent="0.25">
      <c r="G121">
        <f t="shared" si="10"/>
        <v>1.3600000000000014</v>
      </c>
      <c r="H121">
        <f t="shared" si="8"/>
        <v>229.0867652767781</v>
      </c>
      <c r="I121" t="str">
        <f t="shared" si="11"/>
        <v>1439.39459765635j</v>
      </c>
      <c r="J121" t="str">
        <f t="shared" si="9"/>
        <v>1876.75112463904-43569.641978152j</v>
      </c>
      <c r="K121">
        <f t="shared" si="12"/>
        <v>92.791730403876059</v>
      </c>
      <c r="L121">
        <f t="shared" si="13"/>
        <v>-87.533523737439339</v>
      </c>
      <c r="M121">
        <f t="shared" si="14"/>
        <v>1876.75112463904</v>
      </c>
      <c r="N121">
        <f t="shared" si="15"/>
        <v>-43569.641978152002</v>
      </c>
    </row>
    <row r="122" spans="7:14" x14ac:dyDescent="0.25">
      <c r="G122">
        <f t="shared" si="10"/>
        <v>1.3800000000000014</v>
      </c>
      <c r="H122">
        <f t="shared" si="8"/>
        <v>239.88329190194992</v>
      </c>
      <c r="I122" t="str">
        <f t="shared" si="11"/>
        <v>1507.2311751162j</v>
      </c>
      <c r="J122" t="str">
        <f t="shared" si="9"/>
        <v>1709.69620075196-41615.6474065058j</v>
      </c>
      <c r="K122">
        <f t="shared" si="12"/>
        <v>92.392457009193322</v>
      </c>
      <c r="L122">
        <f t="shared" si="13"/>
        <v>-87.647439687751913</v>
      </c>
      <c r="M122">
        <f t="shared" si="14"/>
        <v>1709.6962007519601</v>
      </c>
      <c r="N122">
        <f t="shared" si="15"/>
        <v>-41615.647406505799</v>
      </c>
    </row>
    <row r="123" spans="7:14" x14ac:dyDescent="0.25">
      <c r="G123">
        <f t="shared" si="10"/>
        <v>1.4000000000000015</v>
      </c>
      <c r="H123">
        <f t="shared" si="8"/>
        <v>251.18864315095888</v>
      </c>
      <c r="I123" t="str">
        <f t="shared" si="11"/>
        <v>1578.26479197648j</v>
      </c>
      <c r="J123" t="str">
        <f t="shared" si="9"/>
        <v>1557.29153656045-39748.7003295669j</v>
      </c>
      <c r="K123">
        <f t="shared" si="12"/>
        <v>91.993119748755134</v>
      </c>
      <c r="L123">
        <f t="shared" si="13"/>
        <v>-87.75638898378557</v>
      </c>
      <c r="M123">
        <f t="shared" si="14"/>
        <v>1557.2915365604499</v>
      </c>
      <c r="N123">
        <f t="shared" si="15"/>
        <v>-39748.700329566898</v>
      </c>
    </row>
    <row r="124" spans="7:14" x14ac:dyDescent="0.25">
      <c r="G124">
        <f t="shared" si="10"/>
        <v>1.4200000000000015</v>
      </c>
      <c r="H124">
        <f t="shared" si="8"/>
        <v>263.02679918953919</v>
      </c>
      <c r="I124" t="str">
        <f t="shared" si="11"/>
        <v>1652.64612006219j</v>
      </c>
      <c r="J124" t="str">
        <f t="shared" si="9"/>
        <v>1418.2562531169-37964.9982654366j</v>
      </c>
      <c r="K124">
        <f t="shared" si="12"/>
        <v>91.593724220530163</v>
      </c>
      <c r="L124">
        <f t="shared" si="13"/>
        <v>-87.860599702377883</v>
      </c>
      <c r="M124">
        <f t="shared" si="14"/>
        <v>1418.2562531169001</v>
      </c>
      <c r="N124">
        <f t="shared" si="15"/>
        <v>-37964.998265436603</v>
      </c>
    </row>
    <row r="125" spans="7:14" x14ac:dyDescent="0.25">
      <c r="G125">
        <f t="shared" si="10"/>
        <v>1.4400000000000015</v>
      </c>
      <c r="H125">
        <f t="shared" si="8"/>
        <v>275.42287033381763</v>
      </c>
      <c r="I125" t="str">
        <f t="shared" si="11"/>
        <v>1730.53293214267j</v>
      </c>
      <c r="J125" t="str">
        <f t="shared" si="9"/>
        <v>1291.42080240136-36260.8950752256j</v>
      </c>
      <c r="K125">
        <f t="shared" si="12"/>
        <v>91.194275532559629</v>
      </c>
      <c r="L125">
        <f t="shared" si="13"/>
        <v>-87.96029025763761</v>
      </c>
      <c r="M125">
        <f t="shared" si="14"/>
        <v>1291.4208024013601</v>
      </c>
      <c r="N125">
        <f t="shared" si="15"/>
        <v>-36260.895075225599</v>
      </c>
    </row>
    <row r="126" spans="7:14" x14ac:dyDescent="0.25">
      <c r="G126">
        <f t="shared" si="10"/>
        <v>1.4600000000000015</v>
      </c>
      <c r="H126">
        <f t="shared" si="8"/>
        <v>288.40315031266169</v>
      </c>
      <c r="I126" t="str">
        <f t="shared" si="11"/>
        <v>1812.09043658882j</v>
      </c>
      <c r="J126" t="str">
        <f t="shared" si="9"/>
        <v>1175.71740123622-34632.8958189991j</v>
      </c>
      <c r="K126">
        <f t="shared" si="12"/>
        <v>90.794778345529892</v>
      </c>
      <c r="L126">
        <f t="shared" si="13"/>
        <v>-88.055669814344995</v>
      </c>
      <c r="M126">
        <f t="shared" si="14"/>
        <v>1175.71740123622</v>
      </c>
      <c r="N126">
        <f t="shared" si="15"/>
        <v>-34632.895818999103</v>
      </c>
    </row>
    <row r="127" spans="7:14" x14ac:dyDescent="0.25">
      <c r="G127">
        <f t="shared" si="10"/>
        <v>1.4800000000000015</v>
      </c>
      <c r="H127">
        <f t="shared" si="8"/>
        <v>301.99517204020287</v>
      </c>
      <c r="I127" t="str">
        <f t="shared" si="11"/>
        <v>1897.49162780217j</v>
      </c>
      <c r="J127" t="str">
        <f t="shared" si="9"/>
        <v>1070.17126850719-33077.6516024656j</v>
      </c>
      <c r="K127">
        <f t="shared" si="12"/>
        <v>90.395236911679007</v>
      </c>
      <c r="L127">
        <f t="shared" si="13"/>
        <v>-88.146938688121296</v>
      </c>
      <c r="M127">
        <f t="shared" si="14"/>
        <v>1070.17126850719</v>
      </c>
      <c r="N127">
        <f t="shared" si="15"/>
        <v>-33077.651602465601</v>
      </c>
    </row>
    <row r="128" spans="7:14" x14ac:dyDescent="0.25">
      <c r="G128">
        <f t="shared" si="10"/>
        <v>1.5000000000000016</v>
      </c>
      <c r="H128">
        <f t="shared" si="8"/>
        <v>316.22776601683915</v>
      </c>
      <c r="I128" t="str">
        <f t="shared" si="11"/>
        <v>1986.91765315923j</v>
      </c>
      <c r="J128" t="str">
        <f t="shared" si="9"/>
        <v>973.892601407291-31591.9544451964j</v>
      </c>
      <c r="K128">
        <f t="shared" si="12"/>
        <v>89.99565511034676</v>
      </c>
      <c r="L128">
        <f t="shared" si="13"/>
        <v>-88.234288732402035</v>
      </c>
      <c r="M128">
        <f t="shared" si="14"/>
        <v>973.89260140729095</v>
      </c>
      <c r="N128">
        <f t="shared" si="15"/>
        <v>-31591.954445196399</v>
      </c>
    </row>
    <row r="129" spans="7:14" x14ac:dyDescent="0.25">
      <c r="G129">
        <f t="shared" si="10"/>
        <v>1.5200000000000016</v>
      </c>
      <c r="H129">
        <f t="shared" si="8"/>
        <v>331.13112148259245</v>
      </c>
      <c r="I129" t="str">
        <f t="shared" si="11"/>
        <v>2080.55819724932j</v>
      </c>
      <c r="J129" t="str">
        <f t="shared" si="9"/>
        <v>886.069231014721-30172.732195997j</v>
      </c>
      <c r="K129">
        <f t="shared" si="12"/>
        <v>89.596036480450891</v>
      </c>
      <c r="L129">
        <f t="shared" si="13"/>
        <v>-88.317903712323272</v>
      </c>
      <c r="M129">
        <f t="shared" si="14"/>
        <v>886.06923101472103</v>
      </c>
      <c r="N129">
        <f t="shared" si="15"/>
        <v>-30172.732195997</v>
      </c>
    </row>
    <row r="130" spans="7:14" x14ac:dyDescent="0.25">
      <c r="G130">
        <f t="shared" si="10"/>
        <v>1.5400000000000016</v>
      </c>
      <c r="H130">
        <f t="shared" si="8"/>
        <v>346.73685045253302</v>
      </c>
      <c r="I130" t="str">
        <f t="shared" si="11"/>
        <v>2178.61188422108j</v>
      </c>
      <c r="J130" t="str">
        <f t="shared" si="9"/>
        <v>805.959901881344-28817.0435165813j</v>
      </c>
      <c r="K130">
        <f t="shared" si="12"/>
        <v>89.196384250149606</v>
      </c>
      <c r="L130">
        <f t="shared" si="13"/>
        <v>-88.397959665693008</v>
      </c>
      <c r="M130">
        <f t="shared" si="14"/>
        <v>805.95990188134397</v>
      </c>
      <c r="N130">
        <f t="shared" si="15"/>
        <v>-28817.0435165813</v>
      </c>
    </row>
    <row r="131" spans="7:14" x14ac:dyDescent="0.25">
      <c r="G131">
        <f t="shared" si="10"/>
        <v>1.5600000000000016</v>
      </c>
      <c r="H131">
        <f t="shared" ref="H131:H194" si="16">$B$3*10^G131</f>
        <v>363.07805477010282</v>
      </c>
      <c r="I131" t="str">
        <f t="shared" si="11"/>
        <v>2281.28669909086j</v>
      </c>
      <c r="J131" t="str">
        <f t="shared" ref="J131:J194" si="17">IMDIV(IMPRODUCT(Aolv,IMSUM(1,IMPRODUCT(I131,C_L,R_I))),IMPRODUCT(IMSUM(1,IMDIV(I131,wc)),IMSUM(1,(IMPRODUCT(I131,R_O+R_I,C_L)))))</f>
        <v>732.888124436273-27522.0729508381j</v>
      </c>
      <c r="K131">
        <f t="shared" si="12"/>
        <v>88.796701363929955</v>
      </c>
      <c r="L131">
        <f t="shared" si="13"/>
        <v>-88.474625251270822</v>
      </c>
      <c r="M131">
        <f t="shared" si="14"/>
        <v>732.88812443627296</v>
      </c>
      <c r="N131">
        <f t="shared" si="15"/>
        <v>-27522.072950838101</v>
      </c>
    </row>
    <row r="132" spans="7:14" x14ac:dyDescent="0.25">
      <c r="G132">
        <f t="shared" ref="G132:G195" si="18">G131+(1/ppd)</f>
        <v>1.5800000000000016</v>
      </c>
      <c r="H132">
        <f t="shared" si="16"/>
        <v>380.18939632056276</v>
      </c>
      <c r="I132" t="str">
        <f t="shared" ref="I132:I195" si="19">COMPLEX(0,H132*2*PI(),"j")</f>
        <v>2388.80042890684j</v>
      </c>
      <c r="J132" t="str">
        <f t="shared" si="17"/>
        <v>666.236552895845-26285.1260936438j</v>
      </c>
      <c r="K132">
        <f t="shared" ref="K132:K195" si="20">20*LOG(IMABS(J132))</f>
        <v>88.396990507341087</v>
      </c>
      <c r="L132">
        <f t="shared" ref="L132:L195" si="21">DEGREES(IMARGUMENT(J132))</f>
        <v>-88.548062084621421</v>
      </c>
      <c r="M132">
        <f t="shared" ref="M132:M195" si="22">IMREAL(J132)</f>
        <v>666.23655289584497</v>
      </c>
      <c r="N132">
        <f t="shared" ref="N132:N195" si="23">IMAGINARY(J132)</f>
        <v>-26285.126093643801</v>
      </c>
    </row>
    <row r="133" spans="7:14" x14ac:dyDescent="0.25">
      <c r="G133">
        <f t="shared" si="18"/>
        <v>1.6000000000000016</v>
      </c>
      <c r="H133">
        <f t="shared" si="16"/>
        <v>398.10717055349897</v>
      </c>
      <c r="I133" t="str">
        <f t="shared" si="19"/>
        <v>2501.38112470458j</v>
      </c>
      <c r="J133" t="str">
        <f t="shared" si="17"/>
        <v>605.441845018832-25103.6248703069j</v>
      </c>
      <c r="K133">
        <f t="shared" si="20"/>
        <v>87.997254129573307</v>
      </c>
      <c r="L133">
        <f t="shared" si="21"/>
        <v>-88.61842506184118</v>
      </c>
      <c r="M133">
        <f t="shared" si="22"/>
        <v>605.44184501883205</v>
      </c>
      <c r="N133">
        <f t="shared" si="23"/>
        <v>-25103.6248703069</v>
      </c>
    </row>
    <row r="134" spans="7:14" x14ac:dyDescent="0.25">
      <c r="G134">
        <f t="shared" si="18"/>
        <v>1.6200000000000017</v>
      </c>
      <c r="H134">
        <f t="shared" si="16"/>
        <v>416.86938347033708</v>
      </c>
      <c r="I134" t="str">
        <f t="shared" si="19"/>
        <v>2619.26758523383j</v>
      </c>
      <c r="J134" t="str">
        <f t="shared" si="17"/>
        <v>549.989963457444-23975.1029352694j</v>
      </c>
      <c r="K134">
        <f t="shared" si="20"/>
        <v>87.597494464067381</v>
      </c>
      <c r="L134">
        <f t="shared" si="21"/>
        <v>-88.685862671483918</v>
      </c>
      <c r="M134">
        <f t="shared" si="22"/>
        <v>549.98996345744399</v>
      </c>
      <c r="N134">
        <f t="shared" si="23"/>
        <v>-23975.102935269399</v>
      </c>
    </row>
    <row r="135" spans="7:14" x14ac:dyDescent="0.25">
      <c r="G135">
        <f t="shared" si="18"/>
        <v>1.6400000000000017</v>
      </c>
      <c r="H135">
        <f t="shared" si="16"/>
        <v>436.51583224016781</v>
      </c>
      <c r="I135" t="str">
        <f t="shared" si="19"/>
        <v>2742.70986348269j</v>
      </c>
      <c r="J135" t="str">
        <f t="shared" si="17"/>
        <v>499.411881637867-22897.2011965833j</v>
      </c>
      <c r="K135">
        <f t="shared" si="20"/>
        <v>87.197713547322991</v>
      </c>
      <c r="L135">
        <f t="shared" si="21"/>
        <v>-88.750517295033177</v>
      </c>
      <c r="M135">
        <f t="shared" si="22"/>
        <v>499.411881637867</v>
      </c>
      <c r="N135">
        <f t="shared" si="23"/>
        <v>-22897.201196583301</v>
      </c>
    </row>
    <row r="136" spans="7:14" x14ac:dyDescent="0.25">
      <c r="G136">
        <f t="shared" si="18"/>
        <v>1.6600000000000017</v>
      </c>
      <c r="H136">
        <f t="shared" si="16"/>
        <v>457.08818961487691</v>
      </c>
      <c r="I136" t="str">
        <f t="shared" si="19"/>
        <v>2871.96979707351j</v>
      </c>
      <c r="J136" t="str">
        <f t="shared" si="17"/>
        <v>453.279660066575-21867.6634708809j</v>
      </c>
      <c r="K136">
        <f t="shared" si="20"/>
        <v>86.797913236060879</v>
      </c>
      <c r="L136">
        <f t="shared" si="21"/>
        <v>-88.812525496283854</v>
      </c>
      <c r="M136">
        <f t="shared" si="22"/>
        <v>453.27966006657499</v>
      </c>
      <c r="N136">
        <f t="shared" si="23"/>
        <v>-21867.6634708809</v>
      </c>
    </row>
    <row r="137" spans="7:14" x14ac:dyDescent="0.25">
      <c r="G137">
        <f t="shared" si="18"/>
        <v>1.6800000000000017</v>
      </c>
      <c r="H137">
        <f t="shared" si="16"/>
        <v>478.63009232264039</v>
      </c>
      <c r="I137" t="str">
        <f t="shared" si="19"/>
        <v>3007.32156365562j</v>
      </c>
      <c r="J137" t="str">
        <f t="shared" si="17"/>
        <v>411.202861710372-20884.3322720288j</v>
      </c>
      <c r="K137">
        <f t="shared" si="20"/>
        <v>86.398095222879604</v>
      </c>
      <c r="L137">
        <f t="shared" si="21"/>
        <v>-88.872018300008051</v>
      </c>
      <c r="M137">
        <f t="shared" si="22"/>
        <v>411.20286171037202</v>
      </c>
      <c r="N137">
        <f t="shared" si="23"/>
        <v>-20884.332272028802</v>
      </c>
    </row>
    <row r="138" spans="7:14" x14ac:dyDescent="0.25">
      <c r="G138">
        <f t="shared" si="18"/>
        <v>1.7000000000000017</v>
      </c>
      <c r="H138">
        <f t="shared" si="16"/>
        <v>501.1872336272744</v>
      </c>
      <c r="I138" t="str">
        <f t="shared" si="19"/>
        <v>3149.05226247287j</v>
      </c>
      <c r="J138" t="str">
        <f t="shared" si="17"/>
        <v>372.825277649228-19945.1447353634j</v>
      </c>
      <c r="K138">
        <f t="shared" si="20"/>
        <v>85.99826105053701</v>
      </c>
      <c r="L138">
        <f t="shared" si="21"/>
        <v>-88.929121460287348</v>
      </c>
      <c r="M138">
        <f t="shared" si="22"/>
        <v>372.82527764922798</v>
      </c>
      <c r="N138">
        <f t="shared" si="23"/>
        <v>-19945.144735363399</v>
      </c>
    </row>
    <row r="139" spans="7:14" x14ac:dyDescent="0.25">
      <c r="G139">
        <f t="shared" si="18"/>
        <v>1.7200000000000017</v>
      </c>
      <c r="H139">
        <f t="shared" si="16"/>
        <v>524.80746024977498</v>
      </c>
      <c r="I139" t="str">
        <f t="shared" si="19"/>
        <v>3297.46252333962j</v>
      </c>
      <c r="J139" t="str">
        <f t="shared" si="17"/>
        <v>337.821936562104-19048.128678311j</v>
      </c>
      <c r="K139">
        <f t="shared" si="20"/>
        <v>85.598412124974232</v>
      </c>
      <c r="L139">
        <f t="shared" si="21"/>
        <v>-88.983955718898684</v>
      </c>
      <c r="M139">
        <f t="shared" si="22"/>
        <v>337.82193656210399</v>
      </c>
      <c r="N139">
        <f t="shared" si="23"/>
        <v>-19048.128678311001</v>
      </c>
    </row>
    <row r="140" spans="7:14" x14ac:dyDescent="0.25">
      <c r="G140">
        <f t="shared" si="18"/>
        <v>1.7400000000000018</v>
      </c>
      <c r="H140">
        <f t="shared" si="16"/>
        <v>549.54087385762716</v>
      </c>
      <c r="I140" t="str">
        <f t="shared" si="19"/>
        <v>3452.86714431687j</v>
      </c>
      <c r="J140" t="str">
        <f t="shared" si="17"/>
        <v>305.896373788304-18191.3987972806j</v>
      </c>
      <c r="K140">
        <f t="shared" si="20"/>
        <v>85.198549727190439</v>
      </c>
      <c r="L140">
        <f t="shared" si="21"/>
        <v>-89.036637054143611</v>
      </c>
      <c r="M140">
        <f t="shared" si="22"/>
        <v>305.896373788304</v>
      </c>
      <c r="N140">
        <f t="shared" si="23"/>
        <v>-18191.398797280599</v>
      </c>
    </row>
    <row r="141" spans="7:14" x14ac:dyDescent="0.25">
      <c r="G141">
        <f t="shared" si="18"/>
        <v>1.7600000000000018</v>
      </c>
      <c r="H141">
        <f t="shared" si="16"/>
        <v>575.43993733715956</v>
      </c>
      <c r="I141" t="str">
        <f t="shared" si="19"/>
        <v>3615.59575944118j</v>
      </c>
      <c r="J141" t="str">
        <f t="shared" si="17"/>
        <v>276.778137721268-17373.1529999548j</v>
      </c>
      <c r="K141">
        <f t="shared" si="20"/>
        <v>84.798675024066981</v>
      </c>
      <c r="L141">
        <f t="shared" si="21"/>
        <v>-89.087276920510007</v>
      </c>
      <c r="M141">
        <f t="shared" si="22"/>
        <v>276.77813772126802</v>
      </c>
      <c r="N141">
        <f t="shared" si="23"/>
        <v>-17373.1529999548</v>
      </c>
    </row>
    <row r="142" spans="7:14" x14ac:dyDescent="0.25">
      <c r="G142">
        <f t="shared" si="18"/>
        <v>1.7800000000000018</v>
      </c>
      <c r="H142">
        <f t="shared" si="16"/>
        <v>602.55958607436037</v>
      </c>
      <c r="I142" t="str">
        <f t="shared" si="19"/>
        <v>3785.99353792263j</v>
      </c>
      <c r="J142" t="str">
        <f t="shared" si="17"/>
        <v>250.220513148892-16591.6688714721j</v>
      </c>
      <c r="K142">
        <f t="shared" si="20"/>
        <v>84.398789078231403</v>
      </c>
      <c r="L142">
        <f t="shared" si="21"/>
        <v>-89.135982479554343</v>
      </c>
      <c r="M142">
        <f t="shared" si="22"/>
        <v>250.220513148892</v>
      </c>
      <c r="N142">
        <f t="shared" si="23"/>
        <v>-16591.668871472099</v>
      </c>
    </row>
    <row r="143" spans="7:14" x14ac:dyDescent="0.25">
      <c r="G143">
        <f t="shared" si="18"/>
        <v>1.8000000000000018</v>
      </c>
      <c r="H143">
        <f t="shared" si="16"/>
        <v>630.95734448019641</v>
      </c>
      <c r="I143" t="str">
        <f t="shared" si="19"/>
        <v>3964.42191629502j</v>
      </c>
      <c r="J143" t="str">
        <f t="shared" si="17"/>
        <v>225.99844286495-15845.3002724757j</v>
      </c>
      <c r="K143">
        <f t="shared" si="20"/>
        <v>83.998892857043529</v>
      </c>
      <c r="L143">
        <f t="shared" si="21"/>
        <v>-89.182856822388956</v>
      </c>
      <c r="M143">
        <f t="shared" si="22"/>
        <v>225.99844286494999</v>
      </c>
      <c r="N143">
        <f t="shared" si="23"/>
        <v>-15845.300272475701</v>
      </c>
    </row>
    <row r="144" spans="7:14" x14ac:dyDescent="0.25">
      <c r="G144">
        <f t="shared" si="18"/>
        <v>1.8200000000000018</v>
      </c>
      <c r="H144">
        <f t="shared" si="16"/>
        <v>660.69344800759927</v>
      </c>
      <c r="I144" t="str">
        <f t="shared" si="19"/>
        <v>4151.25936507117j</v>
      </c>
      <c r="J144" t="str">
        <f t="shared" si="17"/>
        <v>203.906630450097-15132.4740665816j</v>
      </c>
      <c r="K144">
        <f t="shared" si="20"/>
        <v>83.598987240778214</v>
      </c>
      <c r="L144">
        <f t="shared" si="21"/>
        <v>-89.227999184154456</v>
      </c>
      <c r="M144">
        <f t="shared" si="22"/>
        <v>203.906630450097</v>
      </c>
      <c r="N144">
        <f t="shared" si="23"/>
        <v>-15132.474066581601</v>
      </c>
    </row>
    <row r="145" spans="7:14" x14ac:dyDescent="0.25">
      <c r="G145">
        <f t="shared" si="18"/>
        <v>1.8400000000000019</v>
      </c>
      <c r="H145">
        <f t="shared" si="16"/>
        <v>691.83097091893967</v>
      </c>
      <c r="I145" t="str">
        <f t="shared" si="19"/>
        <v>4346.90219152967j</v>
      </c>
      <c r="J145" t="str">
        <f t="shared" si="17"/>
        <v>183.757808567951-14451.6869744864j</v>
      </c>
      <c r="K145">
        <f t="shared" si="20"/>
        <v>83.199073030074189</v>
      </c>
      <c r="L145">
        <f t="shared" si="21"/>
        <v>-89.271505150852761</v>
      </c>
      <c r="M145">
        <f t="shared" si="22"/>
        <v>183.757808567951</v>
      </c>
      <c r="N145">
        <f t="shared" si="23"/>
        <v>-14451.6869744864</v>
      </c>
    </row>
    <row r="146" spans="7:14" x14ac:dyDescent="0.25">
      <c r="G146">
        <f t="shared" si="18"/>
        <v>1.8600000000000019</v>
      </c>
      <c r="H146">
        <f t="shared" si="16"/>
        <v>724.4359600749932</v>
      </c>
      <c r="I146" t="str">
        <f t="shared" si="19"/>
        <v>4551.76538033573j</v>
      </c>
      <c r="J146" t="str">
        <f t="shared" si="17"/>
        <v>165.381158451179-13801.5025516665j</v>
      </c>
      <c r="K146">
        <f t="shared" si="20"/>
        <v>82.799150952710761</v>
      </c>
      <c r="L146">
        <f t="shared" si="21"/>
        <v>-89.313466858909237</v>
      </c>
      <c r="M146">
        <f t="shared" si="22"/>
        <v>165.381158451179</v>
      </c>
      <c r="N146">
        <f t="shared" si="23"/>
        <v>-13801.502551666499</v>
      </c>
    </row>
    <row r="147" spans="7:14" x14ac:dyDescent="0.25">
      <c r="G147">
        <f t="shared" si="18"/>
        <v>1.8800000000000019</v>
      </c>
      <c r="H147">
        <f t="shared" si="16"/>
        <v>758.57757502918776</v>
      </c>
      <c r="I147" t="str">
        <f t="shared" si="19"/>
        <v>4766.28347377931j</v>
      </c>
      <c r="J147" t="str">
        <f t="shared" si="17"/>
        <v>148.620867472872-13180.5482864192j</v>
      </c>
      <c r="K147">
        <f t="shared" si="20"/>
        <v>82.399221669768991</v>
      </c>
      <c r="L147">
        <f t="shared" si="21"/>
        <v>-89.353973187827009</v>
      </c>
      <c r="M147">
        <f t="shared" si="22"/>
        <v>148.62086747287199</v>
      </c>
      <c r="N147">
        <f t="shared" si="23"/>
        <v>-13180.5482864192</v>
      </c>
    </row>
    <row r="148" spans="7:14" x14ac:dyDescent="0.25">
      <c r="G148">
        <f t="shared" si="18"/>
        <v>1.9000000000000019</v>
      </c>
      <c r="H148">
        <f t="shared" si="16"/>
        <v>794.32823472428538</v>
      </c>
      <c r="I148" t="str">
        <f t="shared" si="19"/>
        <v>4990.91149349753j</v>
      </c>
      <c r="J148" t="str">
        <f t="shared" si="17"/>
        <v>133.33481281837-12587.5128148473j</v>
      </c>
      <c r="K148">
        <f t="shared" si="20"/>
        <v>81.999285781230412</v>
      </c>
      <c r="L148">
        <f t="shared" si="21"/>
        <v>-89.393109946288732</v>
      </c>
      <c r="M148">
        <f t="shared" si="22"/>
        <v>133.33481281837001</v>
      </c>
      <c r="N148">
        <f t="shared" si="23"/>
        <v>-12587.5128148473</v>
      </c>
    </row>
    <row r="149" spans="7:14" x14ac:dyDescent="0.25">
      <c r="G149">
        <f t="shared" si="18"/>
        <v>1.9200000000000019</v>
      </c>
      <c r="H149">
        <f t="shared" si="16"/>
        <v>831.76377110267492</v>
      </c>
      <c r="I149" t="str">
        <f t="shared" si="19"/>
        <v>5226.12590563661j</v>
      </c>
      <c r="J149" t="str">
        <f t="shared" si="17"/>
        <v>119.393360299427-12021.1432492793j</v>
      </c>
      <c r="K149">
        <f t="shared" si="20"/>
        <v>81.599343831058079</v>
      </c>
      <c r="L149">
        <f t="shared" si="21"/>
        <v>-89.430960052054743</v>
      </c>
      <c r="M149">
        <f t="shared" si="22"/>
        <v>119.393360299427</v>
      </c>
      <c r="N149">
        <f t="shared" si="23"/>
        <v>-12021.143249279299</v>
      </c>
    </row>
    <row r="150" spans="7:14" x14ac:dyDescent="0.25">
      <c r="G150">
        <f t="shared" si="18"/>
        <v>1.9400000000000019</v>
      </c>
      <c r="H150">
        <f t="shared" si="16"/>
        <v>870.96358995608455</v>
      </c>
      <c r="I150" t="str">
        <f t="shared" si="19"/>
        <v>5472.42563150046j</v>
      </c>
      <c r="J150" t="str">
        <f t="shared" si="17"/>
        <v>106.678268293797-11480.2426165542j</v>
      </c>
      <c r="K150">
        <f t="shared" si="20"/>
        <v>81.199396311805287</v>
      </c>
      <c r="L150">
        <f t="shared" si="21"/>
        <v>-89.467603705998457</v>
      </c>
      <c r="M150">
        <f t="shared" si="22"/>
        <v>106.678268293797</v>
      </c>
      <c r="N150">
        <f t="shared" si="23"/>
        <v>-11480.2426165542</v>
      </c>
    </row>
    <row r="151" spans="7:14" x14ac:dyDescent="0.25">
      <c r="G151">
        <f t="shared" si="18"/>
        <v>1.960000000000002</v>
      </c>
      <c r="H151">
        <f t="shared" si="16"/>
        <v>912.01083935591453</v>
      </c>
      <c r="I151" t="str">
        <f t="shared" si="19"/>
        <v>5730.3331058296j</v>
      </c>
      <c r="J151" t="str">
        <f t="shared" si="17"/>
        <v>95.0816876554935-10963.6674025597j</v>
      </c>
      <c r="K151">
        <f t="shared" si="20"/>
        <v>80.799443668788612</v>
      </c>
      <c r="L151">
        <f t="shared" si="21"/>
        <v>-89.503118560613458</v>
      </c>
      <c r="M151">
        <f t="shared" si="22"/>
        <v>95.081687655493496</v>
      </c>
      <c r="N151">
        <f t="shared" si="23"/>
        <v>-10963.6674025597</v>
      </c>
    </row>
    <row r="152" spans="7:14" x14ac:dyDescent="0.25">
      <c r="G152">
        <f t="shared" si="18"/>
        <v>1.980000000000002</v>
      </c>
      <c r="H152">
        <f t="shared" si="16"/>
        <v>954.99258602144084</v>
      </c>
      <c r="I152" t="str">
        <f t="shared" si="19"/>
        <v>6000.39538495535j</v>
      </c>
      <c r="J152" t="str">
        <f t="shared" si="17"/>
        <v>84.505249230477-10470.3251994061j</v>
      </c>
      <c r="K152">
        <f t="shared" si="20"/>
        <v>80.399486303861664</v>
      </c>
      <c r="L152">
        <f t="shared" si="21"/>
        <v>-89.537579883318642</v>
      </c>
      <c r="M152">
        <f t="shared" si="22"/>
        <v>84.505249230477006</v>
      </c>
      <c r="N152">
        <f t="shared" si="23"/>
        <v>-10470.325199406099</v>
      </c>
    </row>
    <row r="153" spans="7:14" x14ac:dyDescent="0.25">
      <c r="G153">
        <f t="shared" si="18"/>
        <v>2.0000000000000018</v>
      </c>
      <c r="H153">
        <f t="shared" si="16"/>
        <v>1000.0000000000048</v>
      </c>
      <c r="I153" t="str">
        <f t="shared" si="19"/>
        <v>6283.18530717962j</v>
      </c>
      <c r="J153" t="str">
        <f t="shared" si="17"/>
        <v>74.8592313353515-9999.17245163056j</v>
      </c>
      <c r="K153">
        <f t="shared" si="20"/>
        <v>79.999524578821024</v>
      </c>
      <c r="L153">
        <f t="shared" si="21"/>
        <v>-89.57106071488117</v>
      </c>
      <c r="M153">
        <f t="shared" si="22"/>
        <v>74.859231335351495</v>
      </c>
      <c r="N153">
        <f t="shared" si="23"/>
        <v>-9999.1724516305603</v>
      </c>
    </row>
    <row r="154" spans="7:14" x14ac:dyDescent="0.25">
      <c r="G154">
        <f t="shared" si="18"/>
        <v>2.0200000000000018</v>
      </c>
      <c r="H154">
        <f t="shared" si="16"/>
        <v>1047.1285480509046</v>
      </c>
      <c r="I154" t="str">
        <f t="shared" si="19"/>
        <v>6579.30270784174j</v>
      </c>
      <c r="J154" t="str">
        <f t="shared" si="17"/>
        <v>66.0618002179839-9549.21229785849j</v>
      </c>
      <c r="K154">
        <f t="shared" si="20"/>
        <v>79.599558818473085</v>
      </c>
      <c r="L154">
        <f t="shared" si="21"/>
        <v>-89.603632023269668</v>
      </c>
      <c r="M154">
        <f t="shared" si="22"/>
        <v>66.061800217983901</v>
      </c>
      <c r="N154">
        <f t="shared" si="23"/>
        <v>-9549.2122978584903</v>
      </c>
    </row>
    <row r="155" spans="7:14" x14ac:dyDescent="0.25">
      <c r="G155">
        <f t="shared" si="18"/>
        <v>2.0400000000000018</v>
      </c>
      <c r="H155">
        <f t="shared" si="16"/>
        <v>1096.47819614319</v>
      </c>
      <c r="I155" t="str">
        <f t="shared" si="19"/>
        <v>6889.37569164967j</v>
      </c>
      <c r="J155" t="str">
        <f t="shared" si="17"/>
        <v>58.0383171240235-9119.49250439492j</v>
      </c>
      <c r="K155">
        <f t="shared" si="20"/>
        <v>79.199589313387193</v>
      </c>
      <c r="L155">
        <f t="shared" si="21"/>
        <v>-89.635362853243691</v>
      </c>
      <c r="M155">
        <f t="shared" si="22"/>
        <v>58.0383171240235</v>
      </c>
      <c r="N155">
        <f t="shared" si="23"/>
        <v>-9119.4925043949206</v>
      </c>
    </row>
    <row r="156" spans="7:14" x14ac:dyDescent="0.25">
      <c r="G156">
        <f t="shared" si="18"/>
        <v>2.0600000000000018</v>
      </c>
      <c r="H156">
        <f t="shared" si="16"/>
        <v>1148.1536214968876</v>
      </c>
      <c r="I156" t="str">
        <f t="shared" si="19"/>
        <v>7214.06196497428j</v>
      </c>
      <c r="J156" t="str">
        <f t="shared" si="17"/>
        <v>50.7207061467038-8709.10348728086j</v>
      </c>
      <c r="K156">
        <f t="shared" si="20"/>
        <v>78.799616322359483</v>
      </c>
      <c r="L156">
        <f t="shared" si="21"/>
        <v>-89.66632047197848</v>
      </c>
      <c r="M156">
        <f t="shared" si="22"/>
        <v>50.720706146703797</v>
      </c>
      <c r="N156">
        <f t="shared" si="23"/>
        <v>-8709.1034872808596</v>
      </c>
    </row>
    <row r="157" spans="7:14" x14ac:dyDescent="0.25">
      <c r="G157">
        <f t="shared" si="18"/>
        <v>2.0800000000000018</v>
      </c>
      <c r="H157">
        <f t="shared" si="16"/>
        <v>1202.2644346174188</v>
      </c>
      <c r="I157" t="str">
        <f t="shared" si="19"/>
        <v>7554.05023093274j</v>
      </c>
      <c r="J157" t="str">
        <f t="shared" si="17"/>
        <v>44.0468775432096-8317.17641941635j</v>
      </c>
      <c r="K157">
        <f t="shared" si="20"/>
        <v>78.399640074607063</v>
      </c>
      <c r="L157">
        <f t="shared" si="21"/>
        <v>-89.696570511018393</v>
      </c>
      <c r="M157">
        <f t="shared" si="22"/>
        <v>44.046877543209597</v>
      </c>
      <c r="N157">
        <f t="shared" si="23"/>
        <v>-8317.1764194163497</v>
      </c>
    </row>
    <row r="158" spans="7:14" x14ac:dyDescent="0.25">
      <c r="G158">
        <f t="shared" si="18"/>
        <v>2.1000000000000019</v>
      </c>
      <c r="H158">
        <f t="shared" si="16"/>
        <v>1258.9254117941732</v>
      </c>
      <c r="I158" t="str">
        <f t="shared" si="19"/>
        <v>7910.06165022016j</v>
      </c>
      <c r="J158" t="str">
        <f t="shared" si="17"/>
        <v>37.9602016634406-7942.88141943158j</v>
      </c>
      <c r="K158">
        <f t="shared" si="20"/>
        <v>77.999660771711902</v>
      </c>
      <c r="L158">
        <f t="shared" si="21"/>
        <v>-89.726177104845775</v>
      </c>
      <c r="M158">
        <f t="shared" si="22"/>
        <v>37.9602016634406</v>
      </c>
      <c r="N158">
        <f t="shared" si="23"/>
        <v>-7942.8814194315801</v>
      </c>
    </row>
    <row r="159" spans="7:14" x14ac:dyDescent="0.25">
      <c r="G159">
        <f t="shared" si="18"/>
        <v>2.1200000000000019</v>
      </c>
      <c r="H159">
        <f t="shared" si="16"/>
        <v>1318.2567385564132</v>
      </c>
      <c r="I159" t="str">
        <f t="shared" si="19"/>
        <v>8282.85137078814j</v>
      </c>
      <c r="J159" t="str">
        <f t="shared" si="17"/>
        <v>32.4090290596953-7585.42581907022j</v>
      </c>
      <c r="K159">
        <f t="shared" si="20"/>
        <v>77.599678589330068</v>
      </c>
      <c r="L159">
        <f t="shared" si="21"/>
        <v>-89.755203026347459</v>
      </c>
      <c r="M159">
        <f t="shared" si="22"/>
        <v>32.4090290596953</v>
      </c>
      <c r="N159">
        <f t="shared" si="23"/>
        <v>-7585.4258190702203</v>
      </c>
    </row>
    <row r="160" spans="7:14" x14ac:dyDescent="0.25">
      <c r="G160">
        <f t="shared" si="18"/>
        <v>2.1400000000000019</v>
      </c>
      <c r="H160">
        <f t="shared" si="16"/>
        <v>1380.3842646028909</v>
      </c>
      <c r="I160" t="str">
        <f t="shared" si="19"/>
        <v>8673.21012961478j</v>
      </c>
      <c r="J160" t="str">
        <f t="shared" si="17"/>
        <v>27.3462527320597-7244.05250593809j</v>
      </c>
      <c r="K160">
        <f t="shared" si="20"/>
        <v>77.199693678681484</v>
      </c>
      <c r="L160">
        <f t="shared" si="21"/>
        <v>-89.783709819454714</v>
      </c>
      <c r="M160">
        <f t="shared" si="22"/>
        <v>27.3462527320597</v>
      </c>
      <c r="N160">
        <f t="shared" si="23"/>
        <v>-7244.0525059380898</v>
      </c>
    </row>
    <row r="161" spans="7:14" x14ac:dyDescent="0.25">
      <c r="G161">
        <f t="shared" si="18"/>
        <v>2.1600000000000019</v>
      </c>
      <c r="H161">
        <f t="shared" si="16"/>
        <v>1445.439770745935</v>
      </c>
      <c r="I161" t="str">
        <f t="shared" si="19"/>
        <v>9081.96592996389j</v>
      </c>
      <c r="J161" t="str">
        <f t="shared" si="17"/>
        <v>22.728908817166-6918.03833856229j</v>
      </c>
      <c r="K161">
        <f t="shared" si="20"/>
        <v>76.799706167832682</v>
      </c>
      <c r="L161">
        <f t="shared" si="21"/>
        <v>-89.811757929228605</v>
      </c>
      <c r="M161">
        <f t="shared" si="22"/>
        <v>22.728908817166001</v>
      </c>
      <c r="N161">
        <f t="shared" si="23"/>
        <v>-6918.0383385622899</v>
      </c>
    </row>
    <row r="162" spans="7:14" x14ac:dyDescent="0.25">
      <c r="G162">
        <f t="shared" si="18"/>
        <v>2.1800000000000019</v>
      </c>
      <c r="H162">
        <f t="shared" si="16"/>
        <v>1513.5612484362155</v>
      </c>
      <c r="I162" t="str">
        <f t="shared" si="19"/>
        <v>9509.98579769082j</v>
      </c>
      <c r="J162" t="str">
        <f t="shared" si="17"/>
        <v>18.5178123503327-6606.69263079888j</v>
      </c>
      <c r="K162">
        <f t="shared" si="20"/>
        <v>76.399716162782795</v>
      </c>
      <c r="L162">
        <f t="shared" si="21"/>
        <v>-89.839406829658046</v>
      </c>
      <c r="M162">
        <f t="shared" si="22"/>
        <v>18.517812350332701</v>
      </c>
      <c r="N162">
        <f t="shared" si="23"/>
        <v>-6606.6926307988797</v>
      </c>
    </row>
    <row r="163" spans="7:14" x14ac:dyDescent="0.25">
      <c r="G163">
        <f t="shared" si="18"/>
        <v>2.200000000000002</v>
      </c>
      <c r="H163">
        <f t="shared" si="16"/>
        <v>1584.8931924611211</v>
      </c>
      <c r="I163" t="str">
        <f t="shared" si="19"/>
        <v>9958.17762032066j</v>
      </c>
      <c r="J163" t="str">
        <f t="shared" si="17"/>
        <v>14.6772250255193-6309.35570272429j</v>
      </c>
      <c r="K163">
        <f t="shared" si="20"/>
        <v>75.999723748362712</v>
      </c>
      <c r="L163">
        <f t="shared" si="21"/>
        <v>-89.866715149433404</v>
      </c>
      <c r="M163">
        <f t="shared" si="22"/>
        <v>14.6772250255193</v>
      </c>
      <c r="N163">
        <f t="shared" si="23"/>
        <v>-6309.3557027242896</v>
      </c>
    </row>
    <row r="164" spans="7:14" x14ac:dyDescent="0.25">
      <c r="G164">
        <f t="shared" si="18"/>
        <v>2.220000000000002</v>
      </c>
      <c r="H164">
        <f t="shared" si="16"/>
        <v>1659.5869074375696</v>
      </c>
      <c r="I164" t="str">
        <f t="shared" si="19"/>
        <v>10427.4920727993j</v>
      </c>
      <c r="J164" t="str">
        <f t="shared" si="17"/>
        <v>11.1745521463835-6025.39749524034j</v>
      </c>
      <c r="K164">
        <f t="shared" si="20"/>
        <v>75.59972898895461</v>
      </c>
      <c r="L164">
        <f t="shared" si="21"/>
        <v>-89.893740795955324</v>
      </c>
      <c r="M164">
        <f t="shared" si="22"/>
        <v>11.174552146383499</v>
      </c>
      <c r="N164">
        <f t="shared" si="23"/>
        <v>-6025.3974952403396</v>
      </c>
    </row>
    <row r="165" spans="7:14" x14ac:dyDescent="0.25">
      <c r="G165">
        <f t="shared" si="18"/>
        <v>2.240000000000002</v>
      </c>
      <c r="H165">
        <f t="shared" si="16"/>
        <v>1737.8008287493847</v>
      </c>
      <c r="I165" t="str">
        <f t="shared" si="19"/>
        <v>10918.9246340026j</v>
      </c>
      <c r="J165" t="str">
        <f t="shared" si="17"/>
        <v>7.98006620723626-5754.21624571947j</v>
      </c>
      <c r="K165">
        <f t="shared" si="20"/>
        <v>75.199731929038009</v>
      </c>
      <c r="L165">
        <f t="shared" si="21"/>
        <v>-89.920541077835225</v>
      </c>
      <c r="M165">
        <f t="shared" si="22"/>
        <v>7.98006620723626</v>
      </c>
      <c r="N165">
        <f t="shared" si="23"/>
        <v>-5754.21624571947</v>
      </c>
    </row>
    <row r="166" spans="7:14" x14ac:dyDescent="0.25">
      <c r="G166">
        <f t="shared" si="18"/>
        <v>2.260000000000002</v>
      </c>
      <c r="H166">
        <f t="shared" si="16"/>
        <v>1819.7008586099926</v>
      </c>
      <c r="I166" t="str">
        <f t="shared" si="19"/>
        <v>11433.5176982804j</v>
      </c>
      <c r="J166" t="str">
        <f t="shared" si="17"/>
        <v>5.06665476683573-5495.23722211193j</v>
      </c>
      <c r="K166">
        <f t="shared" si="20"/>
        <v>74.799732593567512</v>
      </c>
      <c r="L166">
        <f t="shared" si="21"/>
        <v>-89.947172826141014</v>
      </c>
      <c r="M166">
        <f t="shared" si="22"/>
        <v>5.0666547668357298</v>
      </c>
      <c r="N166">
        <f t="shared" si="23"/>
        <v>-5495.2372221119304</v>
      </c>
    </row>
    <row r="167" spans="7:14" x14ac:dyDescent="0.25">
      <c r="G167">
        <f t="shared" si="18"/>
        <v>2.280000000000002</v>
      </c>
      <c r="H167">
        <f t="shared" si="16"/>
        <v>1905.4607179632562</v>
      </c>
      <c r="I167" t="str">
        <f t="shared" si="19"/>
        <v>11972.3627865146j</v>
      </c>
      <c r="J167" t="str">
        <f t="shared" si="17"/>
        <v>2.40959048258885-5247.91151303024j</v>
      </c>
      <c r="K167">
        <f t="shared" si="20"/>
        <v>74.399730988184075</v>
      </c>
      <c r="L167">
        <f t="shared" si="21"/>
        <v>-89.973692514638913</v>
      </c>
      <c r="M167">
        <f t="shared" si="22"/>
        <v>2.4095904825888499</v>
      </c>
      <c r="N167">
        <f t="shared" si="23"/>
        <v>-5247.9115130302398</v>
      </c>
    </row>
    <row r="168" spans="7:14" x14ac:dyDescent="0.25">
      <c r="G168">
        <f t="shared" si="18"/>
        <v>2.300000000000002</v>
      </c>
      <c r="H168">
        <f t="shared" si="16"/>
        <v>1995.2623149688907</v>
      </c>
      <c r="I168" t="str">
        <f t="shared" si="19"/>
        <v>12536.6028613817j</v>
      </c>
      <c r="J168" t="str">
        <f t="shared" si="17"/>
        <v>-0.0136786404738541-5011.7148714202j</v>
      </c>
      <c r="K168">
        <f t="shared" si="20"/>
        <v>73.99972709926287</v>
      </c>
      <c r="L168">
        <f t="shared" si="21"/>
        <v>-90.000156379281094</v>
      </c>
      <c r="M168">
        <f t="shared" si="22"/>
        <v>-1.3678640473854101E-2</v>
      </c>
      <c r="N168">
        <f t="shared" si="23"/>
        <v>-5011.7148714202003</v>
      </c>
    </row>
    <row r="169" spans="7:14" x14ac:dyDescent="0.25">
      <c r="G169">
        <f t="shared" si="18"/>
        <v>2.3200000000000021</v>
      </c>
      <c r="H169">
        <f t="shared" si="16"/>
        <v>2089.2961308540507</v>
      </c>
      <c r="I169" t="str">
        <f t="shared" si="19"/>
        <v>13127.4347517293j</v>
      </c>
      <c r="J169" t="str">
        <f t="shared" si="17"/>
        <v>-2.22372056107592-4786.14660951857j</v>
      </c>
      <c r="K169">
        <f t="shared" si="20"/>
        <v>73.599720893798207</v>
      </c>
      <c r="L169">
        <f t="shared" si="21"/>
        <v>-90.026620537186389</v>
      </c>
      <c r="M169">
        <f t="shared" si="22"/>
        <v>-2.2237205610759201</v>
      </c>
      <c r="N169">
        <f t="shared" si="23"/>
        <v>-4786.1466095185697</v>
      </c>
    </row>
    <row r="170" spans="7:14" x14ac:dyDescent="0.25">
      <c r="G170">
        <f t="shared" si="18"/>
        <v>2.3400000000000021</v>
      </c>
      <c r="H170">
        <f t="shared" si="16"/>
        <v>2187.7616239495642</v>
      </c>
      <c r="I170" t="str">
        <f t="shared" si="19"/>
        <v>13746.1116912113j</v>
      </c>
      <c r="J170" t="str">
        <f t="shared" si="17"/>
        <v>-4.23929369295047-4570.72854288508j</v>
      </c>
      <c r="K170">
        <f t="shared" si="20"/>
        <v>73.199712319122838</v>
      </c>
      <c r="L170">
        <f t="shared" si="21"/>
        <v>-90.053141105361021</v>
      </c>
      <c r="M170">
        <f t="shared" si="22"/>
        <v>-4.2392936929504703</v>
      </c>
      <c r="N170">
        <f t="shared" si="23"/>
        <v>-4570.7285428850801</v>
      </c>
    </row>
    <row r="171" spans="7:14" x14ac:dyDescent="0.25">
      <c r="G171">
        <f t="shared" si="18"/>
        <v>2.3600000000000021</v>
      </c>
      <c r="H171">
        <f t="shared" si="16"/>
        <v>2290.8676527677844</v>
      </c>
      <c r="I171" t="str">
        <f t="shared" si="19"/>
        <v>14393.9459765635j</v>
      </c>
      <c r="J171" t="str">
        <f t="shared" si="17"/>
        <v>-6.07750605345198-4365.00398138647j</v>
      </c>
      <c r="K171">
        <f t="shared" si="20"/>
        <v>72.799701302462182</v>
      </c>
      <c r="L171">
        <f t="shared" si="21"/>
        <v>-90.079774319404933</v>
      </c>
      <c r="M171">
        <f t="shared" si="22"/>
        <v>-6.0775060534519803</v>
      </c>
      <c r="N171">
        <f t="shared" si="23"/>
        <v>-4365.0039813864696</v>
      </c>
    </row>
    <row r="172" spans="7:14" x14ac:dyDescent="0.25">
      <c r="G172">
        <f t="shared" si="18"/>
        <v>2.3800000000000021</v>
      </c>
      <c r="H172">
        <f t="shared" si="16"/>
        <v>2398.8329190195041</v>
      </c>
      <c r="I172" t="str">
        <f t="shared" si="19"/>
        <v>15072.3117511621j</v>
      </c>
      <c r="J172" t="str">
        <f t="shared" si="17"/>
        <v>-7.75396041741731-4168.53676509117j</v>
      </c>
      <c r="K172">
        <f t="shared" si="20"/>
        <v>72.399687750316033</v>
      </c>
      <c r="L172">
        <f t="shared" si="21"/>
        <v>-90.106576652449391</v>
      </c>
      <c r="M172">
        <f t="shared" si="22"/>
        <v>-7.7539604174173098</v>
      </c>
      <c r="N172">
        <f t="shared" si="23"/>
        <v>-4168.5367650911703</v>
      </c>
    </row>
    <row r="173" spans="7:14" x14ac:dyDescent="0.25">
      <c r="G173">
        <f t="shared" si="18"/>
        <v>2.4000000000000021</v>
      </c>
      <c r="H173">
        <f t="shared" si="16"/>
        <v>2511.8864315095939</v>
      </c>
      <c r="I173" t="str">
        <f t="shared" si="19"/>
        <v>15782.6479197648j</v>
      </c>
      <c r="J173" t="str">
        <f t="shared" si="17"/>
        <v>-9.28288670587132-3980.9103431194j</v>
      </c>
      <c r="K173">
        <f t="shared" si="20"/>
        <v>71.999671547666679</v>
      </c>
      <c r="L173">
        <f t="shared" si="21"/>
        <v>-90.133604934571707</v>
      </c>
      <c r="M173">
        <f t="shared" si="22"/>
        <v>-9.28288670587132</v>
      </c>
      <c r="N173">
        <f t="shared" si="23"/>
        <v>-3980.9103431193998</v>
      </c>
    </row>
    <row r="174" spans="7:14" x14ac:dyDescent="0.25">
      <c r="G174">
        <f t="shared" si="18"/>
        <v>2.4200000000000021</v>
      </c>
      <c r="H174">
        <f t="shared" si="16"/>
        <v>2630.2679918953959</v>
      </c>
      <c r="I174" t="str">
        <f t="shared" si="19"/>
        <v>16526.4612006219j</v>
      </c>
      <c r="J174" t="str">
        <f t="shared" si="17"/>
        <v>-10.6772627312687-3801.7268935694j</v>
      </c>
      <c r="K174">
        <f t="shared" si="20"/>
        <v>71.5996525570024</v>
      </c>
      <c r="L174">
        <f t="shared" si="21"/>
        <v>-90.160916472933081</v>
      </c>
      <c r="M174">
        <f t="shared" si="22"/>
        <v>-10.6772627312687</v>
      </c>
      <c r="N174">
        <f t="shared" si="23"/>
        <v>-3801.7268935694001</v>
      </c>
    </row>
    <row r="175" spans="7:14" x14ac:dyDescent="0.25">
      <c r="G175">
        <f t="shared" si="18"/>
        <v>2.4400000000000022</v>
      </c>
      <c r="H175">
        <f t="shared" si="16"/>
        <v>2754.2287033381804</v>
      </c>
      <c r="I175" t="str">
        <f t="shared" si="19"/>
        <v>17305.3293214267j</v>
      </c>
      <c r="J175" t="str">
        <f t="shared" si="17"/>
        <v>-11.9489243224691-3630.60648272124j</v>
      </c>
      <c r="K175">
        <f t="shared" si="20"/>
        <v>71.199630617151854</v>
      </c>
      <c r="L175">
        <f t="shared" si="21"/>
        <v>-90.18856917288646</v>
      </c>
      <c r="M175">
        <f t="shared" si="22"/>
        <v>-11.9489243224691</v>
      </c>
      <c r="N175">
        <f t="shared" si="23"/>
        <v>-3630.6064827212399</v>
      </c>
    </row>
    <row r="176" spans="7:14" x14ac:dyDescent="0.25">
      <c r="G176">
        <f t="shared" si="18"/>
        <v>2.4600000000000022</v>
      </c>
      <c r="H176">
        <f t="shared" si="16"/>
        <v>2884.0315031266227</v>
      </c>
      <c r="I176" t="str">
        <f t="shared" si="19"/>
        <v>18120.9043658883j</v>
      </c>
      <c r="J176" t="str">
        <f t="shared" si="17"/>
        <v>-13.1086657628061-3467.18626179188j</v>
      </c>
      <c r="K176">
        <f t="shared" si="20"/>
        <v>70.799605541917131</v>
      </c>
      <c r="L176">
        <f t="shared" si="21"/>
        <v>-90.216621660303289</v>
      </c>
      <c r="M176">
        <f t="shared" si="22"/>
        <v>-13.108665762806099</v>
      </c>
      <c r="N176">
        <f t="shared" si="23"/>
        <v>-3467.18626179188</v>
      </c>
    </row>
    <row r="177" spans="7:14" x14ac:dyDescent="0.25">
      <c r="G177">
        <f t="shared" si="18"/>
        <v>2.4800000000000022</v>
      </c>
      <c r="H177">
        <f t="shared" si="16"/>
        <v>3019.9517204020331</v>
      </c>
      <c r="I177" t="str">
        <f t="shared" si="19"/>
        <v>18974.9162780218j</v>
      </c>
      <c r="J177" t="str">
        <f t="shared" si="17"/>
        <v>-14.1663313926166-3311.11969958859j</v>
      </c>
      <c r="K177">
        <f t="shared" si="20"/>
        <v>70.399577118494847</v>
      </c>
      <c r="L177">
        <f t="shared" si="21"/>
        <v>-90.245133405368449</v>
      </c>
      <c r="M177">
        <f t="shared" si="22"/>
        <v>-14.1663313926166</v>
      </c>
      <c r="N177">
        <f t="shared" si="23"/>
        <v>-3311.1196995885898</v>
      </c>
    </row>
    <row r="178" spans="7:14" x14ac:dyDescent="0.25">
      <c r="G178">
        <f t="shared" si="18"/>
        <v>2.5000000000000022</v>
      </c>
      <c r="H178">
        <f t="shared" si="16"/>
        <v>3162.2776601683968</v>
      </c>
      <c r="I178" t="str">
        <f t="shared" si="19"/>
        <v>19869.1765315923j</v>
      </c>
      <c r="J178" t="str">
        <f t="shared" si="17"/>
        <v>-15.1308991528166-3162.07584947697j</v>
      </c>
      <c r="K178">
        <f t="shared" si="20"/>
        <v>69.999545105671714</v>
      </c>
      <c r="L178">
        <f t="shared" si="21"/>
        <v>-90.274164848095864</v>
      </c>
      <c r="M178">
        <f t="shared" si="22"/>
        <v>-15.1308991528166</v>
      </c>
      <c r="N178">
        <f t="shared" si="23"/>
        <v>-3162.0758494769698</v>
      </c>
    </row>
    <row r="179" spans="7:14" x14ac:dyDescent="0.25">
      <c r="G179">
        <f t="shared" si="18"/>
        <v>2.5200000000000022</v>
      </c>
      <c r="H179">
        <f t="shared" si="16"/>
        <v>3311.3112148259315</v>
      </c>
      <c r="I179" t="str">
        <f t="shared" si="19"/>
        <v>20805.5819724933j</v>
      </c>
      <c r="J179" t="str">
        <f t="shared" si="17"/>
        <v>-16.0105567778574-3019.73864914719j</v>
      </c>
      <c r="K179">
        <f t="shared" si="20"/>
        <v>69.599509231779223</v>
      </c>
      <c r="L179">
        <f t="shared" si="21"/>
        <v>-90.303777525818546</v>
      </c>
      <c r="M179">
        <f t="shared" si="22"/>
        <v>-16.010556777857399</v>
      </c>
      <c r="N179">
        <f t="shared" si="23"/>
        <v>-3019.7386491471898</v>
      </c>
    </row>
    <row r="180" spans="7:14" x14ac:dyDescent="0.25">
      <c r="G180">
        <f t="shared" si="18"/>
        <v>2.5400000000000023</v>
      </c>
      <c r="H180">
        <f t="shared" si="16"/>
        <v>3467.3685045253369</v>
      </c>
      <c r="I180" t="str">
        <f t="shared" si="19"/>
        <v>21786.1188422108j</v>
      </c>
      <c r="J180" t="str">
        <f t="shared" si="17"/>
        <v>-16.8127712841535-2883.80625172665j</v>
      </c>
      <c r="K180">
        <f t="shared" si="20"/>
        <v>69.199469192390836</v>
      </c>
      <c r="L180">
        <f t="shared" si="21"/>
        <v>-90.334034202910303</v>
      </c>
      <c r="M180">
        <f t="shared" si="22"/>
        <v>-16.812771284153499</v>
      </c>
      <c r="N180">
        <f t="shared" si="23"/>
        <v>-2883.8062517266499</v>
      </c>
    </row>
    <row r="181" spans="7:14" x14ac:dyDescent="0.25">
      <c r="G181">
        <f t="shared" si="18"/>
        <v>2.5600000000000023</v>
      </c>
      <c r="H181">
        <f t="shared" si="16"/>
        <v>3630.7805477010343</v>
      </c>
      <c r="I181" t="str">
        <f t="shared" si="19"/>
        <v>22812.8669909086j</v>
      </c>
      <c r="J181" t="str">
        <f t="shared" si="17"/>
        <v>-17.5443523432733-2753.99038684906j</v>
      </c>
      <c r="K181">
        <f t="shared" si="20"/>
        <v>68.799424647741048</v>
      </c>
      <c r="L181">
        <f t="shared" si="21"/>
        <v>-90.36499900299863</v>
      </c>
      <c r="M181">
        <f t="shared" si="22"/>
        <v>-17.5443523432733</v>
      </c>
      <c r="N181">
        <f t="shared" si="23"/>
        <v>-2753.9903868490601</v>
      </c>
    </row>
    <row r="182" spans="7:14" x14ac:dyDescent="0.25">
      <c r="G182">
        <f t="shared" si="18"/>
        <v>2.5800000000000023</v>
      </c>
      <c r="H182">
        <f t="shared" si="16"/>
        <v>3801.8939632056336</v>
      </c>
      <c r="I182" t="str">
        <f t="shared" si="19"/>
        <v>23888.0042890684j</v>
      </c>
      <c r="J182" t="str">
        <f t="shared" si="17"/>
        <v>-18.2115100773741-2630.01575035039j</v>
      </c>
      <c r="K182">
        <f t="shared" si="20"/>
        <v>68.399375219845766</v>
      </c>
      <c r="L182">
        <f t="shared" si="21"/>
        <v>-90.396737543931678</v>
      </c>
      <c r="M182">
        <f t="shared" si="22"/>
        <v>-18.211510077374101</v>
      </c>
      <c r="N182">
        <f t="shared" si="23"/>
        <v>-2630.0157503503901</v>
      </c>
    </row>
    <row r="183" spans="7:14" x14ac:dyDescent="0.25">
      <c r="G183">
        <f t="shared" si="18"/>
        <v>2.6000000000000023</v>
      </c>
      <c r="H183">
        <f t="shared" si="16"/>
        <v>3981.0717055349969</v>
      </c>
      <c r="I183" t="str">
        <f t="shared" si="19"/>
        <v>25013.8112470459j</v>
      </c>
      <c r="J183" t="str">
        <f t="shared" si="17"/>
        <v>-18.8199077670975-2511.61942131901j</v>
      </c>
      <c r="K183">
        <f t="shared" si="20"/>
        <v>67.999320489298754</v>
      </c>
      <c r="L183">
        <f t="shared" si="21"/>
        <v>-90.429317075765795</v>
      </c>
      <c r="M183">
        <f t="shared" si="22"/>
        <v>-18.819907767097501</v>
      </c>
      <c r="N183">
        <f t="shared" si="23"/>
        <v>-2511.6194213190101</v>
      </c>
    </row>
    <row r="184" spans="7:14" x14ac:dyDescent="0.25">
      <c r="G184">
        <f t="shared" si="18"/>
        <v>2.6200000000000023</v>
      </c>
      <c r="H184">
        <f t="shared" si="16"/>
        <v>4168.6938347033793</v>
      </c>
      <c r="I184" t="str">
        <f t="shared" si="19"/>
        <v>26192.6758523384j</v>
      </c>
      <c r="J184" t="str">
        <f t="shared" si="17"/>
        <v>-19.3747099190215-2398.55030528292j</v>
      </c>
      <c r="K184">
        <f t="shared" si="20"/>
        <v>67.599259991717915</v>
      </c>
      <c r="L184">
        <f t="shared" si="21"/>
        <v>-90.462806622043232</v>
      </c>
      <c r="M184">
        <f t="shared" si="22"/>
        <v>-19.374709919021502</v>
      </c>
      <c r="N184">
        <f t="shared" si="23"/>
        <v>-2398.5503052829199</v>
      </c>
    </row>
    <row r="185" spans="7:14" x14ac:dyDescent="0.25">
      <c r="G185">
        <f t="shared" si="18"/>
        <v>2.6400000000000023</v>
      </c>
      <c r="H185">
        <f t="shared" si="16"/>
        <v>4365.1583224016858</v>
      </c>
      <c r="I185" t="str">
        <f t="shared" si="19"/>
        <v>27427.098634827j</v>
      </c>
      <c r="J185" t="str">
        <f t="shared" si="17"/>
        <v>-19.8806261004317-2290.56860236958j</v>
      </c>
      <c r="K185">
        <f t="shared" si="20"/>
        <v>67.199193213810616</v>
      </c>
      <c r="L185">
        <f t="shared" si="21"/>
        <v>-90.497277124633698</v>
      </c>
      <c r="M185">
        <f t="shared" si="22"/>
        <v>-19.880626100431702</v>
      </c>
      <c r="N185">
        <f t="shared" si="23"/>
        <v>-2290.5686023695798</v>
      </c>
    </row>
    <row r="186" spans="7:14" x14ac:dyDescent="0.25">
      <c r="G186">
        <f t="shared" si="18"/>
        <v>2.6600000000000024</v>
      </c>
      <c r="H186">
        <f t="shared" si="16"/>
        <v>4570.8818961487768</v>
      </c>
      <c r="I186" t="str">
        <f t="shared" si="19"/>
        <v>28719.6979707352j</v>
      </c>
      <c r="J186" t="str">
        <f t="shared" si="17"/>
        <v>-20.3419509132933-2187.4452993251j</v>
      </c>
      <c r="K186">
        <f t="shared" si="20"/>
        <v>66.79911958902585</v>
      </c>
      <c r="L186">
        <f t="shared" si="21"/>
        <v>-90.532801592417215</v>
      </c>
      <c r="M186">
        <f t="shared" si="22"/>
        <v>-20.341950913293299</v>
      </c>
      <c r="N186">
        <f t="shared" si="23"/>
        <v>-2187.4452993251002</v>
      </c>
    </row>
    <row r="187" spans="7:14" x14ac:dyDescent="0.25">
      <c r="G187">
        <f t="shared" si="18"/>
        <v>2.6800000000000024</v>
      </c>
      <c r="H187">
        <f t="shared" si="16"/>
        <v>4786.3009232264139</v>
      </c>
      <c r="I187" t="str">
        <f t="shared" si="19"/>
        <v>30073.2156365563j</v>
      </c>
      <c r="J187" t="str">
        <f t="shared" si="17"/>
        <v>-20.7626004465684-2088.96168432779j</v>
      </c>
      <c r="K187">
        <f t="shared" si="20"/>
        <v>66.39903849275575</v>
      </c>
      <c r="L187">
        <f t="shared" si="21"/>
        <v>-90.569455254089206</v>
      </c>
      <c r="M187">
        <f t="shared" si="22"/>
        <v>-20.762600446568399</v>
      </c>
      <c r="N187">
        <f t="shared" si="23"/>
        <v>-2088.96168432779</v>
      </c>
    </row>
    <row r="188" spans="7:14" x14ac:dyDescent="0.25">
      <c r="G188">
        <f t="shared" si="18"/>
        <v>2.7000000000000024</v>
      </c>
      <c r="H188">
        <f t="shared" si="16"/>
        <v>5011.8723362727533</v>
      </c>
      <c r="I188" t="str">
        <f t="shared" si="19"/>
        <v>31490.5226247288j</v>
      </c>
      <c r="J188" t="str">
        <f t="shared" si="17"/>
        <v>-21.1461455161633-1994.90888357829j</v>
      </c>
      <c r="K188">
        <f t="shared" si="20"/>
        <v>65.998949237046972</v>
      </c>
      <c r="L188">
        <f t="shared" si="21"/>
        <v>-90.607315715372835</v>
      </c>
      <c r="M188">
        <f t="shared" si="22"/>
        <v>-21.146145516163301</v>
      </c>
      <c r="N188">
        <f t="shared" si="23"/>
        <v>-1994.90888357829</v>
      </c>
    </row>
    <row r="189" spans="7:14" x14ac:dyDescent="0.25">
      <c r="G189">
        <f t="shared" si="18"/>
        <v>2.7200000000000024</v>
      </c>
      <c r="H189">
        <f t="shared" si="16"/>
        <v>5248.074602497758</v>
      </c>
      <c r="I189" t="str">
        <f t="shared" si="19"/>
        <v>32974.6252333963j</v>
      </c>
      <c r="J189" t="str">
        <f t="shared" si="17"/>
        <v>-21.4958419745486-1905.08741869273j</v>
      </c>
      <c r="K189">
        <f t="shared" si="20"/>
        <v>65.598851064776554</v>
      </c>
      <c r="L189">
        <f t="shared" si="21"/>
        <v>-90.646463120927223</v>
      </c>
      <c r="M189">
        <f t="shared" si="22"/>
        <v>-21.4958419745486</v>
      </c>
      <c r="N189">
        <f t="shared" si="23"/>
        <v>-1905.0874186927299</v>
      </c>
    </row>
    <row r="190" spans="7:14" x14ac:dyDescent="0.25">
      <c r="G190">
        <f t="shared" si="18"/>
        <v>2.7400000000000024</v>
      </c>
      <c r="H190">
        <f t="shared" si="16"/>
        <v>5495.4087385762778</v>
      </c>
      <c r="I190" t="str">
        <f t="shared" si="19"/>
        <v>34528.6714431688j</v>
      </c>
      <c r="J190" t="str">
        <f t="shared" si="17"/>
        <v>-21.8146583472478-1819.30678396887j</v>
      </c>
      <c r="K190">
        <f t="shared" si="20"/>
        <v>65.198743143244371</v>
      </c>
      <c r="L190">
        <f t="shared" si="21"/>
        <v>-90.686980321243283</v>
      </c>
      <c r="M190">
        <f t="shared" si="22"/>
        <v>-21.8146583472478</v>
      </c>
      <c r="N190">
        <f t="shared" si="23"/>
        <v>-1819.3067839688699</v>
      </c>
    </row>
    <row r="191" spans="7:14" x14ac:dyDescent="0.25">
      <c r="G191">
        <f t="shared" si="18"/>
        <v>2.7600000000000025</v>
      </c>
      <c r="H191">
        <f t="shared" si="16"/>
        <v>5754.399373371607</v>
      </c>
      <c r="I191" t="str">
        <f t="shared" si="19"/>
        <v>36155.9575944119j</v>
      </c>
      <c r="J191" t="str">
        <f t="shared" si="17"/>
        <v>-22.1053010307075-1737.38504263561j</v>
      </c>
      <c r="K191">
        <f t="shared" si="20"/>
        <v>64.798624557127368</v>
      </c>
      <c r="L191">
        <f t="shared" si="21"/>
        <v>-90.728953044822163</v>
      </c>
      <c r="M191">
        <f t="shared" si="22"/>
        <v>-22.105301030707501</v>
      </c>
      <c r="N191">
        <f t="shared" si="23"/>
        <v>-1737.38504263561</v>
      </c>
    </row>
    <row r="192" spans="7:14" x14ac:dyDescent="0.25">
      <c r="G192">
        <f t="shared" si="18"/>
        <v>2.7800000000000025</v>
      </c>
      <c r="H192">
        <f t="shared" si="16"/>
        <v>6025.595860743615</v>
      </c>
      <c r="I192" t="str">
        <f t="shared" si="19"/>
        <v>37859.9353792264j</v>
      </c>
      <c r="J192" t="str">
        <f t="shared" si="17"/>
        <v>-22.3702372653932-1659.14844123625j</v>
      </c>
      <c r="K192">
        <f t="shared" si="20"/>
        <v>64.398494300737894</v>
      </c>
      <c r="L192">
        <f t="shared" si="21"/>
        <v>-90.772470075933782</v>
      </c>
      <c r="M192">
        <f t="shared" si="22"/>
        <v>-22.3702372653932</v>
      </c>
      <c r="N192">
        <f t="shared" si="23"/>
        <v>-1659.1484412362499</v>
      </c>
    </row>
    <row r="193" spans="7:14" x14ac:dyDescent="0.25">
      <c r="G193">
        <f t="shared" si="18"/>
        <v>2.8000000000000025</v>
      </c>
      <c r="H193">
        <f t="shared" si="16"/>
        <v>6309.5734448019712</v>
      </c>
      <c r="I193" t="str">
        <f t="shared" si="19"/>
        <v>39644.2191629502j</v>
      </c>
      <c r="J193" t="str">
        <f t="shared" si="17"/>
        <v>-22.6117160790672-1584.43104133285j</v>
      </c>
      <c r="K193">
        <f t="shared" si="20"/>
        <v>63.998351269519695</v>
      </c>
      <c r="L193">
        <f t="shared" si="21"/>
        <v>-90.817623438254756</v>
      </c>
      <c r="M193">
        <f t="shared" si="22"/>
        <v>-22.6117160790672</v>
      </c>
      <c r="N193">
        <f t="shared" si="23"/>
        <v>-1584.4310413328501</v>
      </c>
    </row>
    <row r="194" spans="7:14" x14ac:dyDescent="0.25">
      <c r="G194">
        <f t="shared" si="18"/>
        <v>2.8200000000000025</v>
      </c>
      <c r="H194">
        <f t="shared" si="16"/>
        <v>6606.9344800760055</v>
      </c>
      <c r="I194" t="str">
        <f t="shared" si="19"/>
        <v>41512.5936507118j</v>
      </c>
      <c r="J194" t="str">
        <f t="shared" si="17"/>
        <v>-22.8317873780044-1513.07436775575j</v>
      </c>
      <c r="K194">
        <f t="shared" si="20"/>
        <v>63.59819425071224</v>
      </c>
      <c r="L194">
        <f t="shared" si="21"/>
        <v>-90.86450858468605</v>
      </c>
      <c r="M194">
        <f t="shared" si="22"/>
        <v>-22.8317873780044</v>
      </c>
      <c r="N194">
        <f t="shared" si="23"/>
        <v>-1513.07436775575</v>
      </c>
    </row>
    <row r="195" spans="7:14" x14ac:dyDescent="0.25">
      <c r="G195">
        <f t="shared" si="18"/>
        <v>2.8400000000000025</v>
      </c>
      <c r="H195">
        <f t="shared" ref="H195:H258" si="24">$B$3*10^G195</f>
        <v>6918.3097091894106</v>
      </c>
      <c r="I195" t="str">
        <f t="shared" si="19"/>
        <v>43469.0219152968j</v>
      </c>
      <c r="J195" t="str">
        <f t="shared" ref="J195:J258" si="25">IMDIV(IMPRODUCT(Aolv,IMSUM(1,IMPRODUCT(I195,C_L,R_I))),IMPRODUCT(IMSUM(1,IMDIV(I195,wc)),IMSUM(1,(IMPRODUCT(I195,R_O+R_I,C_L)))))</f>
        <v>-23.0323193481742-1444.9270726563j</v>
      </c>
      <c r="K195">
        <f t="shared" si="20"/>
        <v>63.198021913104412</v>
      </c>
      <c r="L195">
        <f t="shared" si="21"/>
        <v>-90.913224593650781</v>
      </c>
      <c r="M195">
        <f t="shared" si="22"/>
        <v>-23.032319348174202</v>
      </c>
      <c r="N195">
        <f t="shared" si="23"/>
        <v>-1444.9270726563</v>
      </c>
    </row>
    <row r="196" spans="7:14" x14ac:dyDescent="0.25">
      <c r="G196">
        <f t="shared" ref="G196:G259" si="26">G195+(1/ppd)</f>
        <v>2.8600000000000025</v>
      </c>
      <c r="H196">
        <f t="shared" si="24"/>
        <v>7244.3596007499473</v>
      </c>
      <c r="I196" t="str">
        <f t="shared" ref="I196:I259" si="27">COMPLEX(0,H196*2*PI(),"j")</f>
        <v>45517.6538033574j</v>
      </c>
      <c r="J196" t="str">
        <f t="shared" si="25"/>
        <v>-23.2150143140947-1379.844614654j</v>
      </c>
      <c r="K196">
        <f t="shared" ref="K196:K259" si="28">20*LOG(IMABS(J196))</f>
        <v>62.797832795792139</v>
      </c>
      <c r="L196">
        <f t="shared" ref="L196:L259" si="29">DEGREES(IMARGUMENT(J196))</f>
        <v>-90.963874372171205</v>
      </c>
      <c r="M196">
        <f t="shared" ref="M196:M259" si="30">IMREAL(J196)</f>
        <v>-23.215014314094699</v>
      </c>
      <c r="N196">
        <f t="shared" ref="N196:N259" si="31">IMAGINARY(J196)</f>
        <v>-1379.844614654</v>
      </c>
    </row>
    <row r="197" spans="7:14" x14ac:dyDescent="0.25">
      <c r="G197">
        <f t="shared" si="26"/>
        <v>2.8800000000000026</v>
      </c>
      <c r="H197">
        <f t="shared" si="24"/>
        <v>7585.7757502918857</v>
      </c>
      <c r="I197" t="str">
        <f t="shared" si="27"/>
        <v>47662.8347377932j</v>
      </c>
      <c r="J197" t="str">
        <f t="shared" si="25"/>
        <v>-23.3814231899763-1317.68895240103j</v>
      </c>
      <c r="K197">
        <f t="shared" si="28"/>
        <v>62.397625295847604</v>
      </c>
      <c r="L197">
        <f t="shared" si="29"/>
        <v>-91.016564866021255</v>
      </c>
      <c r="M197">
        <f t="shared" si="30"/>
        <v>-23.381423189976299</v>
      </c>
      <c r="N197">
        <f t="shared" si="31"/>
        <v>-1317.6889524010301</v>
      </c>
    </row>
    <row r="198" spans="7:14" x14ac:dyDescent="0.25">
      <c r="G198">
        <f t="shared" si="26"/>
        <v>2.9000000000000026</v>
      </c>
      <c r="H198">
        <f t="shared" si="24"/>
        <v>7943.2823472428699</v>
      </c>
      <c r="I198" t="str">
        <f t="shared" si="27"/>
        <v>49909.1149349754j</v>
      </c>
      <c r="J198" t="str">
        <f t="shared" si="25"/>
        <v>-23.5329586458294-1258.32825191699j</v>
      </c>
      <c r="K198">
        <f t="shared" si="28"/>
        <v>61.997397654796657</v>
      </c>
      <c r="L198">
        <f t="shared" si="29"/>
        <v>-91.071407277245598</v>
      </c>
      <c r="M198">
        <f t="shared" si="30"/>
        <v>-23.5329586458294</v>
      </c>
      <c r="N198">
        <f t="shared" si="31"/>
        <v>-1258.32825191699</v>
      </c>
    </row>
    <row r="199" spans="7:14" x14ac:dyDescent="0.25">
      <c r="G199">
        <f t="shared" si="26"/>
        <v>2.9200000000000026</v>
      </c>
      <c r="H199">
        <f t="shared" si="24"/>
        <v>8317.6377110267658</v>
      </c>
      <c r="I199" t="str">
        <f t="shared" si="27"/>
        <v>52261.2590563662j</v>
      </c>
      <c r="J199" t="str">
        <f t="shared" si="25"/>
        <v>-23.6709071003195-1201.63660707574j</v>
      </c>
      <c r="K199">
        <f t="shared" si="28"/>
        <v>61.59714794379272</v>
      </c>
      <c r="L199">
        <f t="shared" si="29"/>
        <v>-91.128517289330404</v>
      </c>
      <c r="M199">
        <f t="shared" si="30"/>
        <v>-23.6709071003195</v>
      </c>
      <c r="N199">
        <f t="shared" si="31"/>
        <v>-1201.6366070757399</v>
      </c>
    </row>
    <row r="200" spans="7:14" x14ac:dyDescent="0.25">
      <c r="G200">
        <f t="shared" si="26"/>
        <v>2.9400000000000026</v>
      </c>
      <c r="H200">
        <f t="shared" si="24"/>
        <v>8709.6358995608643</v>
      </c>
      <c r="I200" t="str">
        <f t="shared" si="27"/>
        <v>54724.2563150047j</v>
      </c>
      <c r="J200" t="str">
        <f t="shared" si="25"/>
        <v>-23.7964396421971-1147.49377265398j</v>
      </c>
      <c r="K200">
        <f t="shared" si="28"/>
        <v>61.196874047365654</v>
      </c>
      <c r="L200">
        <f t="shared" si="29"/>
        <v>-91.18801530029981</v>
      </c>
      <c r="M200">
        <f t="shared" si="30"/>
        <v>-23.7964396421971</v>
      </c>
      <c r="N200">
        <f t="shared" si="31"/>
        <v>-1147.4937726539799</v>
      </c>
    </row>
    <row r="201" spans="7:14" x14ac:dyDescent="0.25">
      <c r="G201">
        <f t="shared" si="26"/>
        <v>2.9600000000000026</v>
      </c>
      <c r="H201">
        <f t="shared" si="24"/>
        <v>9120.108393559156</v>
      </c>
      <c r="I201" t="str">
        <f t="shared" si="27"/>
        <v>57303.3310582961j</v>
      </c>
      <c r="J201" t="str">
        <f t="shared" si="25"/>
        <v>-23.9106219730469-1095.78490937725j</v>
      </c>
      <c r="K201">
        <f t="shared" si="28"/>
        <v>60.796573645610351</v>
      </c>
      <c r="L201">
        <f t="shared" si="29"/>
        <v>-91.250026663999989</v>
      </c>
      <c r="M201">
        <f t="shared" si="30"/>
        <v>-23.910621973046901</v>
      </c>
      <c r="N201">
        <f t="shared" si="31"/>
        <v>-1095.78490937725</v>
      </c>
    </row>
    <row r="202" spans="7:14" x14ac:dyDescent="0.25">
      <c r="G202">
        <f t="shared" si="26"/>
        <v>2.9800000000000026</v>
      </c>
      <c r="H202">
        <f t="shared" si="24"/>
        <v>9549.9258602144273</v>
      </c>
      <c r="I202" t="str">
        <f t="shared" si="27"/>
        <v>60003.9538495537j</v>
      </c>
      <c r="J202" t="str">
        <f t="shared" si="25"/>
        <v>-24.0144234558075-1046.40034042465j</v>
      </c>
      <c r="K202">
        <f t="shared" si="28"/>
        <v>60.396244194669777</v>
      </c>
      <c r="L202">
        <f t="shared" si="29"/>
        <v>-91.314681939816026</v>
      </c>
      <c r="M202">
        <f t="shared" si="30"/>
        <v>-24.014423455807499</v>
      </c>
      <c r="N202">
        <f t="shared" si="31"/>
        <v>-1046.40034042465</v>
      </c>
    </row>
    <row r="203" spans="7:14" x14ac:dyDescent="0.25">
      <c r="G203">
        <f t="shared" si="26"/>
        <v>3.0000000000000027</v>
      </c>
      <c r="H203">
        <f t="shared" si="24"/>
        <v>10000.000000000069</v>
      </c>
      <c r="I203" t="str">
        <f t="shared" si="27"/>
        <v>62831.8530717963j</v>
      </c>
      <c r="J203" t="str">
        <f t="shared" si="25"/>
        <v>-24.1087253459324-999.23531887762j</v>
      </c>
      <c r="K203">
        <f t="shared" si="28"/>
        <v>59.995882905353035</v>
      </c>
      <c r="L203">
        <f t="shared" si="29"/>
        <v>-91.382117151045037</v>
      </c>
      <c r="M203">
        <f t="shared" si="30"/>
        <v>-24.108725345932399</v>
      </c>
      <c r="N203">
        <f t="shared" si="31"/>
        <v>-999.23531887761999</v>
      </c>
    </row>
    <row r="204" spans="7:14" x14ac:dyDescent="0.25">
      <c r="G204">
        <f t="shared" si="26"/>
        <v>3.0200000000000027</v>
      </c>
      <c r="H204">
        <f t="shared" si="24"/>
        <v>10471.285480509066</v>
      </c>
      <c r="I204" t="str">
        <f t="shared" si="27"/>
        <v>65793.0270784175j</v>
      </c>
      <c r="J204" t="str">
        <f t="shared" si="25"/>
        <v>-24.1943282751429-954.189805621042j</v>
      </c>
      <c r="K204">
        <f t="shared" si="28"/>
        <v>59.595486719713129</v>
      </c>
      <c r="L204">
        <f t="shared" si="29"/>
        <v>-91.452474052123151</v>
      </c>
      <c r="M204">
        <f t="shared" si="30"/>
        <v>-24.194328275142901</v>
      </c>
      <c r="N204">
        <f t="shared" si="31"/>
        <v>-954.18980562104196</v>
      </c>
    </row>
    <row r="205" spans="7:14" x14ac:dyDescent="0.25">
      <c r="G205">
        <f t="shared" si="26"/>
        <v>3.0400000000000027</v>
      </c>
      <c r="H205">
        <f t="shared" si="24"/>
        <v>10964.781961431923</v>
      </c>
      <c r="I205" t="str">
        <f t="shared" si="27"/>
        <v>68893.7569164968j</v>
      </c>
      <c r="J205" t="str">
        <f t="shared" si="25"/>
        <v>-24.2719590513902-911.168257227234j</v>
      </c>
      <c r="K205">
        <f t="shared" si="28"/>
        <v>59.195052285394837</v>
      </c>
      <c r="L205">
        <f t="shared" si="29"/>
        <v>-91.525900404871308</v>
      </c>
      <c r="M205">
        <f t="shared" si="30"/>
        <v>-24.271959051390201</v>
      </c>
      <c r="N205">
        <f t="shared" si="31"/>
        <v>-911.16825722723399</v>
      </c>
    </row>
    <row r="206" spans="7:14" x14ac:dyDescent="0.25">
      <c r="G206">
        <f t="shared" si="26"/>
        <v>3.0600000000000027</v>
      </c>
      <c r="H206">
        <f t="shared" si="24"/>
        <v>11481.53621496891</v>
      </c>
      <c r="I206" t="str">
        <f t="shared" si="27"/>
        <v>72140.619649743j</v>
      </c>
      <c r="J206" t="str">
        <f t="shared" si="25"/>
        <v>-24.3422768328721-870.07942337444j</v>
      </c>
      <c r="K206">
        <f t="shared" si="28"/>
        <v>58.794575927545367</v>
      </c>
      <c r="L206">
        <f t="shared" si="29"/>
        <v>-91.602550263885206</v>
      </c>
      <c r="M206">
        <f t="shared" si="30"/>
        <v>-24.342276832872098</v>
      </c>
      <c r="N206">
        <f t="shared" si="31"/>
        <v>-870.07942337444001</v>
      </c>
    </row>
    <row r="207" spans="7:14" x14ac:dyDescent="0.25">
      <c r="G207">
        <f t="shared" si="26"/>
        <v>3.0800000000000027</v>
      </c>
      <c r="H207">
        <f t="shared" si="24"/>
        <v>12022.644346174213</v>
      </c>
      <c r="I207" t="str">
        <f t="shared" si="27"/>
        <v>75540.5023093275j</v>
      </c>
      <c r="J207" t="str">
        <f t="shared" si="25"/>
        <v>-24.4058787286509-830.836153371609j</v>
      </c>
      <c r="K207">
        <f t="shared" si="28"/>
        <v>58.394053618062031</v>
      </c>
      <c r="L207">
        <f t="shared" si="29"/>
        <v>-91.682584271147491</v>
      </c>
      <c r="M207">
        <f t="shared" si="30"/>
        <v>-24.405878728650901</v>
      </c>
      <c r="N207">
        <f t="shared" si="31"/>
        <v>-830.83615337160904</v>
      </c>
    </row>
    <row r="208" spans="7:14" x14ac:dyDescent="0.25">
      <c r="G208">
        <f t="shared" si="26"/>
        <v>3.1000000000000028</v>
      </c>
      <c r="H208">
        <f t="shared" si="24"/>
        <v>12589.254117941757</v>
      </c>
      <c r="I208" t="str">
        <f t="shared" si="27"/>
        <v>79100.6165022018j</v>
      </c>
      <c r="J208" t="str">
        <f t="shared" si="25"/>
        <v>-24.4633048735796-793.355211380421j</v>
      </c>
      <c r="K208">
        <f t="shared" si="28"/>
        <v>57.993480941929299</v>
      </c>
      <c r="L208">
        <f t="shared" si="29"/>
        <v>-91.766169959882347</v>
      </c>
      <c r="M208">
        <f t="shared" si="30"/>
        <v>-24.463304873579599</v>
      </c>
      <c r="N208">
        <f t="shared" si="31"/>
        <v>-793.355211380421</v>
      </c>
    </row>
    <row r="209" spans="7:14" x14ac:dyDescent="0.25">
      <c r="G209">
        <f t="shared" si="26"/>
        <v>3.1200000000000028</v>
      </c>
      <c r="H209">
        <f t="shared" si="24"/>
        <v>13182.567385564171</v>
      </c>
      <c r="I209" t="str">
        <f t="shared" si="27"/>
        <v>82828.5137078816j</v>
      </c>
      <c r="J209" t="str">
        <f t="shared" si="25"/>
        <v>-24.5150430208325-757.557099944416j</v>
      </c>
      <c r="K209">
        <f t="shared" si="28"/>
        <v>57.592853060380364</v>
      </c>
      <c r="L209">
        <f t="shared" si="29"/>
        <v>-91.853482067605668</v>
      </c>
      <c r="M209">
        <f t="shared" si="30"/>
        <v>-24.515043020832501</v>
      </c>
      <c r="N209">
        <f t="shared" si="31"/>
        <v>-757.557099944416</v>
      </c>
    </row>
    <row r="210" spans="7:14" x14ac:dyDescent="0.25">
      <c r="G210">
        <f t="shared" si="26"/>
        <v>3.1400000000000028</v>
      </c>
      <c r="H210">
        <f t="shared" si="24"/>
        <v>13803.84264602895</v>
      </c>
      <c r="I210" t="str">
        <f t="shared" si="27"/>
        <v>86732.1012961481j</v>
      </c>
      <c r="J210" t="str">
        <f t="shared" si="25"/>
        <v>-24.5615326912555-723.365891452109j</v>
      </c>
      <c r="K210">
        <f t="shared" si="28"/>
        <v>57.192164670588291</v>
      </c>
      <c r="L210">
        <f t="shared" si="29"/>
        <v>-91.944702858241811</v>
      </c>
      <c r="M210">
        <f t="shared" si="30"/>
        <v>-24.561532691255501</v>
      </c>
      <c r="N210">
        <f t="shared" si="31"/>
        <v>-723.36589145210905</v>
      </c>
    </row>
    <row r="211" spans="7:14" x14ac:dyDescent="0.25">
      <c r="G211">
        <f t="shared" si="26"/>
        <v>3.1600000000000028</v>
      </c>
      <c r="H211">
        <f t="shared" si="24"/>
        <v>14454.397707459377</v>
      </c>
      <c r="I211" t="str">
        <f t="shared" si="27"/>
        <v>90819.6592996391j</v>
      </c>
      <c r="J211" t="str">
        <f t="shared" si="25"/>
        <v>-24.6031689150695-690.709067178577j</v>
      </c>
      <c r="K211">
        <f t="shared" si="28"/>
        <v>56.791409961574182</v>
      </c>
      <c r="L211">
        <f t="shared" si="29"/>
        <v>-92.040022453084191</v>
      </c>
      <c r="M211">
        <f t="shared" si="30"/>
        <v>-24.603168915069499</v>
      </c>
      <c r="N211">
        <f t="shared" si="31"/>
        <v>-690.70906717857702</v>
      </c>
    </row>
    <row r="212" spans="7:14" x14ac:dyDescent="0.25">
      <c r="G212">
        <f t="shared" si="26"/>
        <v>3.1800000000000028</v>
      </c>
      <c r="H212">
        <f t="shared" si="24"/>
        <v>15135.612484362187</v>
      </c>
      <c r="I212" t="str">
        <f t="shared" si="27"/>
        <v>95099.8579769084j</v>
      </c>
      <c r="J212" t="str">
        <f t="shared" si="25"/>
        <v>-24.6403055980304-659.517363565573j</v>
      </c>
      <c r="K212">
        <f t="shared" si="28"/>
        <v>56.390582565985817</v>
      </c>
      <c r="L212">
        <f t="shared" si="29"/>
        <v>-92.13963917026345</v>
      </c>
      <c r="M212">
        <f t="shared" si="30"/>
        <v>-24.640305598030402</v>
      </c>
      <c r="N212">
        <f t="shared" si="31"/>
        <v>-659.51736356557296</v>
      </c>
    </row>
    <row r="213" spans="7:14" x14ac:dyDescent="0.25">
      <c r="G213">
        <f t="shared" si="26"/>
        <v>3.2000000000000028</v>
      </c>
      <c r="H213">
        <f t="shared" si="24"/>
        <v>15848.931924611257</v>
      </c>
      <c r="I213" t="str">
        <f t="shared" si="27"/>
        <v>99581.7762032069j</v>
      </c>
      <c r="J213" t="str">
        <f t="shared" si="25"/>
        <v>-24.6732585410579-629.724625416186j</v>
      </c>
      <c r="K213">
        <f t="shared" si="28"/>
        <v>55.989675507377214</v>
      </c>
      <c r="L213">
        <f t="shared" si="29"/>
        <v>-92.243759872257087</v>
      </c>
      <c r="M213">
        <f t="shared" si="30"/>
        <v>-24.673258541057901</v>
      </c>
      <c r="N213">
        <f t="shared" si="31"/>
        <v>-629.72462541618597</v>
      </c>
    </row>
    <row r="214" spans="7:14" x14ac:dyDescent="0.25">
      <c r="G214">
        <f t="shared" si="26"/>
        <v>3.2200000000000029</v>
      </c>
      <c r="H214">
        <f t="shared" si="24"/>
        <v>16595.869074375729</v>
      </c>
      <c r="I214" t="str">
        <f t="shared" si="27"/>
        <v>104274.920727994j</v>
      </c>
      <c r="J214" t="str">
        <f t="shared" si="25"/>
        <v>-24.7023081394663-601.267665694585j</v>
      </c>
      <c r="K214">
        <f t="shared" si="28"/>
        <v>55.588681142584591</v>
      </c>
      <c r="L214">
        <f t="shared" si="29"/>
        <v>-92.352600320820329</v>
      </c>
      <c r="M214">
        <f t="shared" si="30"/>
        <v>-24.7023081394663</v>
      </c>
      <c r="N214">
        <f t="shared" si="31"/>
        <v>-601.26766569458505</v>
      </c>
    </row>
    <row r="215" spans="7:14" x14ac:dyDescent="0.25">
      <c r="G215">
        <f t="shared" si="26"/>
        <v>3.2400000000000029</v>
      </c>
      <c r="H215">
        <f t="shared" si="24"/>
        <v>17378.008287493882</v>
      </c>
      <c r="I215" t="str">
        <f t="shared" si="27"/>
        <v>109189.246340027j</v>
      </c>
      <c r="J215" t="str">
        <f t="shared" si="25"/>
        <v>-24.7277017853277-574.086131635751j</v>
      </c>
      <c r="K215">
        <f t="shared" si="28"/>
        <v>55.18759109876359</v>
      </c>
      <c r="L215">
        <f t="shared" si="29"/>
        <v>-92.466385538540422</v>
      </c>
      <c r="M215">
        <f t="shared" si="30"/>
        <v>-24.727701785327699</v>
      </c>
      <c r="N215">
        <f t="shared" si="31"/>
        <v>-574.08613163575103</v>
      </c>
    </row>
    <row r="216" spans="7:14" x14ac:dyDescent="0.25">
      <c r="G216">
        <f t="shared" si="26"/>
        <v>3.2600000000000029</v>
      </c>
      <c r="H216">
        <f t="shared" si="24"/>
        <v>18197.008586099961</v>
      </c>
      <c r="I216" t="str">
        <f t="shared" si="27"/>
        <v>114335.176982804j</v>
      </c>
      <c r="J216" t="str">
        <f t="shared" si="25"/>
        <v>-24.749655994089-548.122376883704j</v>
      </c>
      <c r="K216">
        <f t="shared" si="28"/>
        <v>54.786396204617603</v>
      </c>
      <c r="L216">
        <f t="shared" si="29"/>
        <v>-92.585350176009285</v>
      </c>
      <c r="M216">
        <f t="shared" si="30"/>
        <v>-24.749655994089</v>
      </c>
      <c r="N216">
        <f t="shared" si="31"/>
        <v>-548.12237688370396</v>
      </c>
    </row>
    <row r="217" spans="7:14" x14ac:dyDescent="0.25">
      <c r="G217">
        <f t="shared" si="26"/>
        <v>3.2800000000000029</v>
      </c>
      <c r="H217">
        <f t="shared" si="24"/>
        <v>19054.607179632618</v>
      </c>
      <c r="I217" t="str">
        <f t="shared" si="27"/>
        <v>119723.627865146j</v>
      </c>
      <c r="J217" t="str">
        <f t="shared" si="25"/>
        <v>-24.7683582743729-523.321339389782j</v>
      </c>
      <c r="K217">
        <f t="shared" si="28"/>
        <v>54.385086415310262</v>
      </c>
      <c r="L217">
        <f t="shared" si="29"/>
        <v>-92.709738883370207</v>
      </c>
      <c r="M217">
        <f t="shared" si="30"/>
        <v>-24.7683582743729</v>
      </c>
      <c r="N217">
        <f t="shared" si="31"/>
        <v>-523.321339389782</v>
      </c>
    </row>
    <row r="218" spans="7:14" x14ac:dyDescent="0.25">
      <c r="G218">
        <f t="shared" si="26"/>
        <v>3.3000000000000029</v>
      </c>
      <c r="H218">
        <f t="shared" si="24"/>
        <v>19952.623149688949</v>
      </c>
      <c r="I218" t="str">
        <f t="shared" si="27"/>
        <v>125366.028613817j</v>
      </c>
      <c r="J218" t="str">
        <f t="shared" si="25"/>
        <v>-24.7839687578783-499.630424815053j</v>
      </c>
      <c r="K218">
        <f t="shared" si="28"/>
        <v>53.983650730516217</v>
      </c>
      <c r="L218">
        <f t="shared" si="29"/>
        <v>-92.839806684717729</v>
      </c>
      <c r="M218">
        <f t="shared" si="30"/>
        <v>-24.783968757878299</v>
      </c>
      <c r="N218">
        <f t="shared" si="31"/>
        <v>-499.630424815053</v>
      </c>
    </row>
    <row r="219" spans="7:14" x14ac:dyDescent="0.25">
      <c r="G219">
        <f t="shared" si="26"/>
        <v>3.3200000000000029</v>
      </c>
      <c r="H219">
        <f t="shared" si="24"/>
        <v>20892.961308540547</v>
      </c>
      <c r="I219" t="str">
        <f t="shared" si="27"/>
        <v>131274.347517294j</v>
      </c>
      <c r="J219" t="str">
        <f t="shared" si="25"/>
        <v>-24.7966216044766-476.999395193084j</v>
      </c>
      <c r="K219">
        <f t="shared" si="28"/>
        <v>53.582077105026407</v>
      </c>
      <c r="L219">
        <f t="shared" si="29"/>
        <v>-92.975819353511724</v>
      </c>
      <c r="M219">
        <f t="shared" si="30"/>
        <v>-24.796621604476599</v>
      </c>
      <c r="N219">
        <f t="shared" si="31"/>
        <v>-476.99939519308401</v>
      </c>
    </row>
    <row r="220" spans="7:14" x14ac:dyDescent="0.25">
      <c r="G220">
        <f t="shared" si="26"/>
        <v>3.340000000000003</v>
      </c>
      <c r="H220">
        <f t="shared" si="24"/>
        <v>21877.616239495685</v>
      </c>
      <c r="I220" t="str">
        <f t="shared" si="27"/>
        <v>137461.116912113j</v>
      </c>
      <c r="J220" t="str">
        <f t="shared" si="25"/>
        <v>-24.8064261959155-455.380262620691j</v>
      </c>
      <c r="K220">
        <f t="shared" si="28"/>
        <v>53.180352351278771</v>
      </c>
      <c r="L220">
        <f t="shared" si="29"/>
        <v>-93.11805378679955</v>
      </c>
      <c r="M220">
        <f t="shared" si="30"/>
        <v>-24.806426195915499</v>
      </c>
      <c r="N220">
        <f t="shared" si="31"/>
        <v>-455.38026262069098</v>
      </c>
    </row>
    <row r="221" spans="7:14" x14ac:dyDescent="0.25">
      <c r="G221">
        <f t="shared" si="26"/>
        <v>3.360000000000003</v>
      </c>
      <c r="H221">
        <f t="shared" si="24"/>
        <v>22908.676527677912</v>
      </c>
      <c r="I221" t="str">
        <f t="shared" si="27"/>
        <v>143939.459765636j</v>
      </c>
      <c r="J221" t="str">
        <f t="shared" si="25"/>
        <v>-24.8134681300616-434.727187755683j</v>
      </c>
      <c r="K221">
        <f t="shared" si="28"/>
        <v>52.778462033147605</v>
      </c>
      <c r="L221">
        <f t="shared" si="29"/>
        <v>-93.266798375622059</v>
      </c>
      <c r="M221">
        <f t="shared" si="30"/>
        <v>-24.813468130061601</v>
      </c>
      <c r="N221">
        <f t="shared" si="31"/>
        <v>-434.72718775568302</v>
      </c>
    </row>
    <row r="222" spans="7:14" x14ac:dyDescent="0.25">
      <c r="G222">
        <f t="shared" si="26"/>
        <v>3.380000000000003</v>
      </c>
      <c r="H222">
        <f t="shared" si="24"/>
        <v>23988.329190195091</v>
      </c>
      <c r="I222" t="str">
        <f t="shared" si="27"/>
        <v>150723.117511621j</v>
      </c>
      <c r="J222" t="str">
        <f t="shared" si="25"/>
        <v>-24.8178100262435-414.996382911135j</v>
      </c>
      <c r="K222">
        <f t="shared" si="28"/>
        <v>52.376390350277511</v>
      </c>
      <c r="L222">
        <f t="shared" si="29"/>
        <v>-93.422353368497269</v>
      </c>
      <c r="M222">
        <f t="shared" si="30"/>
        <v>-24.8178100262435</v>
      </c>
      <c r="N222">
        <f t="shared" si="31"/>
        <v>-414.99638291113502</v>
      </c>
    </row>
    <row r="223" spans="7:14" x14ac:dyDescent="0.25">
      <c r="G223">
        <f t="shared" si="26"/>
        <v>3.400000000000003</v>
      </c>
      <c r="H223">
        <f t="shared" si="24"/>
        <v>25118.864315095991</v>
      </c>
      <c r="I223" t="str">
        <f t="shared" si="27"/>
        <v>157826.479197649j</v>
      </c>
      <c r="J223" t="str">
        <f t="shared" si="25"/>
        <v>-24.8194921510807-396.146019546202j</v>
      </c>
      <c r="K223">
        <f t="shared" si="28"/>
        <v>51.974120012206669</v>
      </c>
      <c r="L223">
        <f t="shared" si="29"/>
        <v>-93.585031224329256</v>
      </c>
      <c r="M223">
        <f t="shared" si="30"/>
        <v>-24.819492151080699</v>
      </c>
      <c r="N223">
        <f t="shared" si="31"/>
        <v>-396.14601954620201</v>
      </c>
    </row>
    <row r="224" spans="7:14" x14ac:dyDescent="0.25">
      <c r="G224">
        <f t="shared" si="26"/>
        <v>3.420000000000003</v>
      </c>
      <c r="H224">
        <f t="shared" si="24"/>
        <v>26302.679918954014</v>
      </c>
      <c r="I224" t="str">
        <f t="shared" si="27"/>
        <v>165264.612006219j</v>
      </c>
      <c r="J224" t="str">
        <f t="shared" si="25"/>
        <v>-24.8185328731319-378.136139963477j</v>
      </c>
      <c r="K224">
        <f t="shared" si="28"/>
        <v>51.571632101481633</v>
      </c>
      <c r="L224">
        <f t="shared" si="29"/>
        <v>-93.755156950463856</v>
      </c>
      <c r="M224">
        <f t="shared" si="30"/>
        <v>-24.8185328731319</v>
      </c>
      <c r="N224">
        <f t="shared" si="31"/>
        <v>-378.13613996347698</v>
      </c>
    </row>
    <row r="225" spans="7:14" x14ac:dyDescent="0.25">
      <c r="G225">
        <f t="shared" si="26"/>
        <v>3.4400000000000031</v>
      </c>
      <c r="H225">
        <f t="shared" si="24"/>
        <v>27542.287033381886</v>
      </c>
      <c r="I225" t="str">
        <f t="shared" si="27"/>
        <v>173053.293214268j</v>
      </c>
      <c r="J225" t="str">
        <f t="shared" si="25"/>
        <v>-24.8149289538304-360.928573032527j</v>
      </c>
      <c r="K225">
        <f t="shared" si="28"/>
        <v>51.168905924923664</v>
      </c>
      <c r="L225">
        <f t="shared" si="29"/>
        <v>-93.93306842090611</v>
      </c>
      <c r="M225">
        <f t="shared" si="30"/>
        <v>-24.8149289538304</v>
      </c>
      <c r="N225">
        <f t="shared" si="31"/>
        <v>-360.92857303252703</v>
      </c>
    </row>
    <row r="226" spans="7:14" x14ac:dyDescent="0.25">
      <c r="G226">
        <f t="shared" si="26"/>
        <v>3.4600000000000031</v>
      </c>
      <c r="H226">
        <f t="shared" si="24"/>
        <v>28840.315031266287</v>
      </c>
      <c r="I226" t="str">
        <f t="shared" si="27"/>
        <v>181209.043658883j</v>
      </c>
      <c r="J226" t="str">
        <f t="shared" si="25"/>
        <v>-24.8086556814619-344.486853768723j</v>
      </c>
      <c r="K226">
        <f t="shared" si="28"/>
        <v>50.765918852170977</v>
      </c>
      <c r="L226">
        <f t="shared" si="29"/>
        <v>-94.119116668909768</v>
      </c>
      <c r="M226">
        <f t="shared" si="30"/>
        <v>-24.8086556814619</v>
      </c>
      <c r="N226">
        <f t="shared" si="31"/>
        <v>-344.48685376872299</v>
      </c>
    </row>
    <row r="227" spans="7:14" x14ac:dyDescent="0.25">
      <c r="G227">
        <f t="shared" si="26"/>
        <v>3.4800000000000031</v>
      </c>
      <c r="H227">
        <f t="shared" si="24"/>
        <v>30199.517204020391</v>
      </c>
      <c r="I227" t="str">
        <f t="shared" si="27"/>
        <v>189749.162780218j</v>
      </c>
      <c r="J227" t="str">
        <f t="shared" si="25"/>
        <v>-24.7996668544059-328.776146605392j</v>
      </c>
      <c r="K227">
        <f t="shared" si="28"/>
        <v>50.362646140583564</v>
      </c>
      <c r="L227">
        <f t="shared" si="29"/>
        <v>-94.313666147243055</v>
      </c>
      <c r="M227">
        <f t="shared" si="30"/>
        <v>-24.799666854405899</v>
      </c>
      <c r="N227">
        <f t="shared" si="31"/>
        <v>-328.776146605392</v>
      </c>
    </row>
    <row r="228" spans="7:14" x14ac:dyDescent="0.25">
      <c r="G228">
        <f t="shared" si="26"/>
        <v>3.5000000000000031</v>
      </c>
      <c r="H228">
        <f t="shared" si="24"/>
        <v>31622.776601684025</v>
      </c>
      <c r="I228" t="str">
        <f t="shared" si="27"/>
        <v>198691.765315923j</v>
      </c>
      <c r="J228" t="str">
        <f t="shared" si="25"/>
        <v>-24.7878946195454-313.763172206397j</v>
      </c>
      <c r="K228">
        <f t="shared" si="28"/>
        <v>49.959060745574639</v>
      </c>
      <c r="L228">
        <f t="shared" si="29"/>
        <v>-94.517094948413387</v>
      </c>
      <c r="M228">
        <f t="shared" si="30"/>
        <v>-24.787894619545401</v>
      </c>
      <c r="N228">
        <f t="shared" si="31"/>
        <v>-313.76317220639697</v>
      </c>
    </row>
    <row r="229" spans="7:14" x14ac:dyDescent="0.25">
      <c r="G229">
        <f t="shared" si="26"/>
        <v>3.5200000000000031</v>
      </c>
      <c r="H229">
        <f t="shared" si="24"/>
        <v>33113.112148259344</v>
      </c>
      <c r="I229" t="str">
        <f t="shared" si="27"/>
        <v>208055.819724933j</v>
      </c>
      <c r="J229" t="str">
        <f t="shared" si="25"/>
        <v>-24.7732491716206-299.416137674634j</v>
      </c>
      <c r="K229">
        <f t="shared" si="28"/>
        <v>49.555133115409333</v>
      </c>
      <c r="L229">
        <f t="shared" si="29"/>
        <v>-94.729794975986195</v>
      </c>
      <c r="M229">
        <f t="shared" si="30"/>
        <v>-24.773249171620598</v>
      </c>
      <c r="N229">
        <f t="shared" si="31"/>
        <v>-299.416137674634</v>
      </c>
    </row>
    <row r="230" spans="7:14" x14ac:dyDescent="0.25">
      <c r="G230">
        <f t="shared" si="26"/>
        <v>3.5400000000000031</v>
      </c>
      <c r="H230">
        <f t="shared" si="24"/>
        <v>34673.685045253471</v>
      </c>
      <c r="I230" t="str">
        <f t="shared" si="27"/>
        <v>217861.188422109j</v>
      </c>
      <c r="J230" t="str">
        <f t="shared" si="25"/>
        <v>-24.7556183194414-285.704670020447j</v>
      </c>
      <c r="K230">
        <f t="shared" si="28"/>
        <v>49.150830969505883</v>
      </c>
      <c r="L230">
        <f t="shared" si="29"/>
        <v>-94.95217205685023</v>
      </c>
      <c r="M230">
        <f t="shared" si="30"/>
        <v>-24.7556183194414</v>
      </c>
      <c r="N230">
        <f t="shared" si="31"/>
        <v>-285.704670020447</v>
      </c>
    </row>
    <row r="231" spans="7:14" x14ac:dyDescent="0.25">
      <c r="G231">
        <f t="shared" si="26"/>
        <v>3.5600000000000032</v>
      </c>
      <c r="H231">
        <f t="shared" si="24"/>
        <v>36307.80547701045</v>
      </c>
      <c r="I231" t="str">
        <f t="shared" si="27"/>
        <v>228128.669909087j</v>
      </c>
      <c r="J231" t="str">
        <f t="shared" si="25"/>
        <v>-24.7348669252746-272.599752762033j</v>
      </c>
      <c r="K231">
        <f t="shared" si="28"/>
        <v>48.74611905927884</v>
      </c>
      <c r="L231">
        <f t="shared" si="29"/>
        <v>-95.184645982852572</v>
      </c>
      <c r="M231">
        <f t="shared" si="30"/>
        <v>-24.734866925274599</v>
      </c>
      <c r="N231">
        <f t="shared" si="31"/>
        <v>-272.59975276203301</v>
      </c>
    </row>
    <row r="232" spans="7:14" x14ac:dyDescent="0.25">
      <c r="G232">
        <f t="shared" si="26"/>
        <v>3.5800000000000032</v>
      </c>
      <c r="H232">
        <f t="shared" si="24"/>
        <v>38018.939632056441</v>
      </c>
      <c r="I232" t="str">
        <f t="shared" si="27"/>
        <v>238880.042890685j</v>
      </c>
      <c r="J232" t="str">
        <f t="shared" si="25"/>
        <v>-24.710836224426-260.073665537944j</v>
      </c>
      <c r="K232">
        <f t="shared" si="28"/>
        <v>48.340958910590516</v>
      </c>
      <c r="L232">
        <f t="shared" si="29"/>
        <v>-95.427650468636898</v>
      </c>
      <c r="M232">
        <f t="shared" si="30"/>
        <v>-24.710836224426</v>
      </c>
      <c r="N232">
        <f t="shared" si="31"/>
        <v>-260.07366553794401</v>
      </c>
    </row>
    <row r="233" spans="7:14" x14ac:dyDescent="0.25">
      <c r="G233">
        <f t="shared" si="26"/>
        <v>3.6000000000000032</v>
      </c>
      <c r="H233">
        <f t="shared" si="24"/>
        <v>39810.717055350047</v>
      </c>
      <c r="I233" t="str">
        <f t="shared" si="27"/>
        <v>250138.112470459j</v>
      </c>
      <c r="J233" t="str">
        <f t="shared" si="25"/>
        <v>-24.68334303312-248.09992661945j</v>
      </c>
      <c r="K233">
        <f t="shared" si="28"/>
        <v>47.935308546921775</v>
      </c>
      <c r="L233">
        <f t="shared" si="29"/>
        <v>-95.681633010770554</v>
      </c>
      <c r="M233">
        <f t="shared" si="30"/>
        <v>-24.68334303312</v>
      </c>
      <c r="N233">
        <f t="shared" si="31"/>
        <v>-248.09992661945</v>
      </c>
    </row>
    <row r="234" spans="7:14" x14ac:dyDescent="0.25">
      <c r="G234">
        <f t="shared" si="26"/>
        <v>3.6200000000000032</v>
      </c>
      <c r="H234">
        <f t="shared" si="24"/>
        <v>41686.938347033873</v>
      </c>
      <c r="I234" t="str">
        <f t="shared" si="27"/>
        <v>261926.758523384j</v>
      </c>
      <c r="J234" t="str">
        <f t="shared" si="25"/>
        <v>-24.6521788542228-236.653238218105j</v>
      </c>
      <c r="K234">
        <f t="shared" si="28"/>
        <v>47.529122192449627</v>
      </c>
      <c r="L234">
        <f t="shared" si="29"/>
        <v>-95.947054631316448</v>
      </c>
      <c r="M234">
        <f t="shared" si="30"/>
        <v>-24.6521788542228</v>
      </c>
      <c r="N234">
        <f t="shared" si="31"/>
        <v>-236.653238218105</v>
      </c>
    </row>
    <row r="235" spans="7:14" x14ac:dyDescent="0.25">
      <c r="G235">
        <f t="shared" si="26"/>
        <v>3.6400000000000032</v>
      </c>
      <c r="H235">
        <f t="shared" si="24"/>
        <v>43651.58322401694</v>
      </c>
      <c r="I235" t="str">
        <f t="shared" si="27"/>
        <v>274270.98634827j</v>
      </c>
      <c r="J235" t="str">
        <f t="shared" si="25"/>
        <v>-24.6171088922941-225.709434491144j</v>
      </c>
      <c r="K235">
        <f t="shared" si="28"/>
        <v>47.122349954329792</v>
      </c>
      <c r="L235">
        <f t="shared" si="29"/>
        <v>-96.224389486908223</v>
      </c>
      <c r="M235">
        <f t="shared" si="30"/>
        <v>-24.617108892294102</v>
      </c>
      <c r="N235">
        <f t="shared" si="31"/>
        <v>-225.70943449114401</v>
      </c>
    </row>
    <row r="236" spans="7:14" x14ac:dyDescent="0.25">
      <c r="G236">
        <f t="shared" si="26"/>
        <v>3.6600000000000033</v>
      </c>
      <c r="H236">
        <f t="shared" si="24"/>
        <v>45708.81896148785</v>
      </c>
      <c r="I236" t="str">
        <f t="shared" si="27"/>
        <v>287196.979707352j</v>
      </c>
      <c r="J236" t="str">
        <f t="shared" si="25"/>
        <v>-24.5778709918726-215.245432154314j</v>
      </c>
      <c r="K236">
        <f t="shared" si="28"/>
        <v>46.714937483631047</v>
      </c>
      <c r="L236">
        <f t="shared" si="29"/>
        <v>-96.514124322108401</v>
      </c>
      <c r="M236">
        <f t="shared" si="30"/>
        <v>-24.577870991872601</v>
      </c>
      <c r="N236">
        <f t="shared" si="31"/>
        <v>-215.24543215431399</v>
      </c>
    </row>
    <row r="237" spans="7:14" x14ac:dyDescent="0.25">
      <c r="G237">
        <f t="shared" si="26"/>
        <v>3.6800000000000033</v>
      </c>
      <c r="H237">
        <f t="shared" si="24"/>
        <v>47863.009232264194</v>
      </c>
      <c r="I237" t="str">
        <f t="shared" si="27"/>
        <v>300732.156365563j</v>
      </c>
      <c r="J237" t="str">
        <f t="shared" si="25"/>
        <v>-24.5341745159173-205.239183618467j</v>
      </c>
      <c r="K237">
        <f t="shared" si="28"/>
        <v>46.306825614571238</v>
      </c>
      <c r="L237">
        <f t="shared" si="29"/>
        <v>-96.816757743382595</v>
      </c>
      <c r="M237">
        <f t="shared" si="30"/>
        <v>-24.5341745159173</v>
      </c>
      <c r="N237">
        <f t="shared" si="31"/>
        <v>-205.239183618467</v>
      </c>
    </row>
    <row r="238" spans="7:14" x14ac:dyDescent="0.25">
      <c r="G238">
        <f t="shared" si="26"/>
        <v>3.7000000000000033</v>
      </c>
      <c r="H238">
        <f t="shared" si="24"/>
        <v>50118.72336272768</v>
      </c>
      <c r="I238" t="str">
        <f t="shared" si="27"/>
        <v>314905.226247289j</v>
      </c>
      <c r="J238" t="str">
        <f t="shared" si="25"/>
        <v>-24.485699184977-195.669632572534j</v>
      </c>
      <c r="K238">
        <f t="shared" si="28"/>
        <v>45.897949981963428</v>
      </c>
      <c r="L238">
        <f t="shared" si="29"/>
        <v>-97.132799287418806</v>
      </c>
      <c r="M238">
        <f t="shared" si="30"/>
        <v>-24.485699184977001</v>
      </c>
      <c r="N238">
        <f t="shared" si="31"/>
        <v>-195.669632572534</v>
      </c>
    </row>
    <row r="239" spans="7:14" x14ac:dyDescent="0.25">
      <c r="G239">
        <f t="shared" si="26"/>
        <v>3.7200000000000033</v>
      </c>
      <c r="H239">
        <f t="shared" si="24"/>
        <v>52480.746024977721</v>
      </c>
      <c r="I239" t="str">
        <f t="shared" si="27"/>
        <v>329746.252333963j</v>
      </c>
      <c r="J239" t="str">
        <f t="shared" si="25"/>
        <v>-24.4320939020215-186.516671941347j</v>
      </c>
      <c r="K239">
        <f t="shared" si="28"/>
        <v>45.4882406171116</v>
      </c>
      <c r="L239">
        <f t="shared" si="29"/>
        <v>-97.462768254779959</v>
      </c>
      <c r="M239">
        <f t="shared" si="30"/>
        <v>-24.432093902021499</v>
      </c>
      <c r="N239">
        <f t="shared" si="31"/>
        <v>-186.516671941347</v>
      </c>
    </row>
    <row r="240" spans="7:14" x14ac:dyDescent="0.25">
      <c r="G240">
        <f t="shared" si="26"/>
        <v>3.7400000000000033</v>
      </c>
      <c r="H240">
        <f t="shared" si="24"/>
        <v>54954.087385762934</v>
      </c>
      <c r="I240" t="str">
        <f t="shared" si="27"/>
        <v>345286.714431689j</v>
      </c>
      <c r="J240" t="str">
        <f t="shared" si="25"/>
        <v>-24.3729755930128-177.761104151951j</v>
      </c>
      <c r="K240">
        <f t="shared" si="28"/>
        <v>45.077621522803035</v>
      </c>
      <c r="L240">
        <f t="shared" si="29"/>
        <v>-97.807192277044209</v>
      </c>
      <c r="M240">
        <f t="shared" si="30"/>
        <v>-24.3729755930128</v>
      </c>
      <c r="N240">
        <f t="shared" si="31"/>
        <v>-177.761104151951</v>
      </c>
    </row>
    <row r="241" spans="7:14" x14ac:dyDescent="0.25">
      <c r="G241">
        <f t="shared" si="26"/>
        <v>3.7600000000000033</v>
      </c>
      <c r="H241">
        <f t="shared" si="24"/>
        <v>57543.993733716183</v>
      </c>
      <c r="I241" t="str">
        <f t="shared" si="27"/>
        <v>361559.57594412j</v>
      </c>
      <c r="J241" t="str">
        <f t="shared" si="25"/>
        <v>-24.3079280992431-169.38460364661j</v>
      </c>
      <c r="K241">
        <f t="shared" si="28"/>
        <v>44.666010228551656</v>
      </c>
      <c r="L241">
        <f t="shared" si="29"/>
        <v>-98.166605582691318</v>
      </c>
      <c r="M241">
        <f t="shared" si="30"/>
        <v>-24.307928099243099</v>
      </c>
      <c r="N241">
        <f t="shared" si="31"/>
        <v>-169.38460364661</v>
      </c>
    </row>
    <row r="242" spans="7:14" x14ac:dyDescent="0.25">
      <c r="G242">
        <f t="shared" si="26"/>
        <v>3.7800000000000034</v>
      </c>
      <c r="H242">
        <f t="shared" si="24"/>
        <v>60255.958607436274</v>
      </c>
      <c r="I242" t="str">
        <f t="shared" si="27"/>
        <v>378599.353792265j</v>
      </c>
      <c r="J242" t="str">
        <f t="shared" si="25"/>
        <v>-24.2365011643191-161.369681584196j</v>
      </c>
      <c r="K242">
        <f t="shared" si="28"/>
        <v>44.253317327853885</v>
      </c>
      <c r="L242">
        <f t="shared" si="29"/>
        <v>-98.541546924130543</v>
      </c>
      <c r="M242">
        <f t="shared" si="30"/>
        <v>-24.236501164319101</v>
      </c>
      <c r="N242">
        <f t="shared" si="31"/>
        <v>-161.369681584196</v>
      </c>
    </row>
    <row r="243" spans="7:14" x14ac:dyDescent="0.25">
      <c r="G243">
        <f t="shared" si="26"/>
        <v>3.8000000000000034</v>
      </c>
      <c r="H243">
        <f t="shared" si="24"/>
        <v>63095.734448019837</v>
      </c>
      <c r="I243" t="str">
        <f t="shared" si="27"/>
        <v>396442.191629503j</v>
      </c>
      <c r="J243" t="str">
        <f t="shared" si="25"/>
        <v>-24.158209566376-153.699652674132j</v>
      </c>
      <c r="K243">
        <f t="shared" si="28"/>
        <v>43.839445999952716</v>
      </c>
      <c r="L243">
        <f t="shared" si="29"/>
        <v>-98.932557125494469</v>
      </c>
      <c r="M243">
        <f t="shared" si="30"/>
        <v>-24.158209566376001</v>
      </c>
      <c r="N243">
        <f t="shared" si="31"/>
        <v>-153.69965267413201</v>
      </c>
    </row>
    <row r="244" spans="7:14" x14ac:dyDescent="0.25">
      <c r="G244">
        <f t="shared" si="26"/>
        <v>3.8200000000000034</v>
      </c>
      <c r="H244">
        <f t="shared" si="24"/>
        <v>66069.344800760126</v>
      </c>
      <c r="I244" t="str">
        <f t="shared" si="27"/>
        <v>415125.936507118j</v>
      </c>
      <c r="J244" t="str">
        <f t="shared" si="25"/>
        <v>-24.0725324547125-146.358604088013j</v>
      </c>
      <c r="K244">
        <f t="shared" si="28"/>
        <v>43.424291519468426</v>
      </c>
      <c r="L244">
        <f t="shared" si="29"/>
        <v>-99.340176208291496</v>
      </c>
      <c r="M244">
        <f t="shared" si="30"/>
        <v>-24.072532454712501</v>
      </c>
      <c r="N244">
        <f t="shared" si="31"/>
        <v>-146.35860408801301</v>
      </c>
    </row>
    <row r="245" spans="7:14" x14ac:dyDescent="0.25">
      <c r="G245">
        <f t="shared" si="26"/>
        <v>3.8400000000000034</v>
      </c>
      <c r="H245">
        <f t="shared" si="24"/>
        <v>69183.097091894306</v>
      </c>
      <c r="I245" t="str">
        <f t="shared" si="27"/>
        <v>434690.219152969j</v>
      </c>
      <c r="J245" t="str">
        <f t="shared" si="25"/>
        <v>-23.9789129594318-139.331366393373j</v>
      </c>
      <c r="K245">
        <f t="shared" si="28"/>
        <v>43.007740758269748</v>
      </c>
      <c r="L245">
        <f t="shared" si="29"/>
        <v>-99.764940049836</v>
      </c>
      <c r="M245">
        <f t="shared" si="30"/>
        <v>-23.978912959431799</v>
      </c>
      <c r="N245">
        <f t="shared" si="31"/>
        <v>-139.331366393373</v>
      </c>
    </row>
    <row r="246" spans="7:14" x14ac:dyDescent="0.25">
      <c r="G246">
        <f t="shared" si="26"/>
        <v>3.8600000000000034</v>
      </c>
      <c r="H246">
        <f t="shared" si="24"/>
        <v>72443.596007499684</v>
      </c>
      <c r="I246" t="str">
        <f t="shared" si="27"/>
        <v>455176.538033576j</v>
      </c>
      <c r="J246" t="str">
        <f t="shared" si="25"/>
        <v>-23.8767581527703-132.603486451301j</v>
      </c>
      <c r="K246">
        <f t="shared" si="28"/>
        <v>42.589671685131222</v>
      </c>
      <c r="L246">
        <f t="shared" si="29"/>
        <v>-100.20737652776408</v>
      </c>
      <c r="M246">
        <f t="shared" si="30"/>
        <v>-23.8767581527703</v>
      </c>
      <c r="N246">
        <f t="shared" si="31"/>
        <v>-132.60348645130099</v>
      </c>
    </row>
    <row r="247" spans="7:14" x14ac:dyDescent="0.25">
      <c r="G247">
        <f t="shared" si="26"/>
        <v>3.8800000000000034</v>
      </c>
      <c r="H247">
        <f t="shared" si="24"/>
        <v>75857.757502919063</v>
      </c>
      <c r="I247" t="str">
        <f t="shared" si="27"/>
        <v>476628.347377933j</v>
      </c>
      <c r="J247" t="str">
        <f t="shared" si="25"/>
        <v>-23.7654394513654-126.161202214442j</v>
      </c>
      <c r="K247">
        <f t="shared" si="28"/>
        <v>42.169952870064272</v>
      </c>
      <c r="L247">
        <f t="shared" si="29"/>
        <v>-100.66800110310011</v>
      </c>
      <c r="M247">
        <f t="shared" si="30"/>
        <v>-23.765439451365399</v>
      </c>
      <c r="N247">
        <f t="shared" si="31"/>
        <v>-126.161202214442</v>
      </c>
    </row>
    <row r="248" spans="7:14" x14ac:dyDescent="0.25">
      <c r="G248">
        <f t="shared" si="26"/>
        <v>3.9000000000000035</v>
      </c>
      <c r="H248">
        <f t="shared" si="24"/>
        <v>79432.823472428863</v>
      </c>
      <c r="I248" t="str">
        <f t="shared" si="27"/>
        <v>499091.149349755j</v>
      </c>
      <c r="J248" t="str">
        <f t="shared" si="25"/>
        <v>-23.6442935594581-119.991419353924j</v>
      </c>
      <c r="K248">
        <f t="shared" si="28"/>
        <v>41.748443001725335</v>
      </c>
      <c r="L248">
        <f t="shared" si="29"/>
        <v>-101.14731179453354</v>
      </c>
      <c r="M248">
        <f t="shared" si="30"/>
        <v>-23.644293559458099</v>
      </c>
      <c r="N248">
        <f t="shared" si="31"/>
        <v>-119.991419353924</v>
      </c>
    </row>
    <row r="249" spans="7:14" x14ac:dyDescent="0.25">
      <c r="G249">
        <f t="shared" si="26"/>
        <v>3.9200000000000035</v>
      </c>
      <c r="H249">
        <f t="shared" si="24"/>
        <v>83176.377110267815</v>
      </c>
      <c r="I249" t="str">
        <f t="shared" si="27"/>
        <v>522612.590563663j</v>
      </c>
      <c r="J249" t="str">
        <f t="shared" si="25"/>
        <v>-23.5126240635115-114.081689632537j</v>
      </c>
      <c r="K249">
        <f t="shared" si="28"/>
        <v>41.324990427994891</v>
      </c>
      <c r="L249">
        <f t="shared" si="29"/>
        <v>-101.64578349809929</v>
      </c>
      <c r="M249">
        <f t="shared" si="30"/>
        <v>-23.512624063511499</v>
      </c>
      <c r="N249">
        <f t="shared" si="31"/>
        <v>-114.08168963253701</v>
      </c>
    </row>
    <row r="250" spans="7:14" x14ac:dyDescent="0.25">
      <c r="G250">
        <f t="shared" si="26"/>
        <v>3.9400000000000035</v>
      </c>
      <c r="H250">
        <f t="shared" si="24"/>
        <v>87096.358995608811</v>
      </c>
      <c r="I250" t="str">
        <f t="shared" si="27"/>
        <v>547242.563150048j</v>
      </c>
      <c r="J250" t="str">
        <f t="shared" si="25"/>
        <v>-23.3697037983815-108.420190926597j</v>
      </c>
      <c r="K250">
        <f t="shared" si="28"/>
        <v>40.899432731672846</v>
      </c>
      <c r="L250">
        <f t="shared" si="29"/>
        <v>-102.16386160968854</v>
      </c>
      <c r="M250">
        <f t="shared" si="30"/>
        <v>-23.369703798381501</v>
      </c>
      <c r="N250">
        <f t="shared" si="31"/>
        <v>-108.420190926597</v>
      </c>
    </row>
    <row r="251" spans="7:14" x14ac:dyDescent="0.25">
      <c r="G251">
        <f t="shared" si="26"/>
        <v>3.9600000000000035</v>
      </c>
      <c r="H251">
        <f t="shared" si="24"/>
        <v>91201.083935591741</v>
      </c>
      <c r="I251" t="str">
        <f t="shared" si="27"/>
        <v>573033.310582962j</v>
      </c>
      <c r="J251" t="str">
        <f t="shared" si="25"/>
        <v>-23.2147781132274-102.995708780164j</v>
      </c>
      <c r="K251">
        <f t="shared" si="28"/>
        <v>40.471596355239548</v>
      </c>
      <c r="L251">
        <f t="shared" si="29"/>
        <v>-102.70195491311425</v>
      </c>
      <c r="M251">
        <f t="shared" si="30"/>
        <v>-23.2147781132274</v>
      </c>
      <c r="N251">
        <f t="shared" si="31"/>
        <v>-102.99570878016399</v>
      </c>
    </row>
    <row r="252" spans="7:14" x14ac:dyDescent="0.25">
      <c r="G252">
        <f t="shared" si="26"/>
        <v>3.9800000000000035</v>
      </c>
      <c r="H252">
        <f t="shared" si="24"/>
        <v>95499.258602144386</v>
      </c>
      <c r="I252" t="str">
        <f t="shared" si="27"/>
        <v>600039.538495537j</v>
      </c>
      <c r="J252" t="str">
        <f t="shared" si="25"/>
        <v>-23.0470691708958-97.7976193521824j</v>
      </c>
      <c r="K252">
        <f t="shared" si="28"/>
        <v>40.041296290740235</v>
      </c>
      <c r="L252">
        <f t="shared" si="29"/>
        <v>-103.26042770427586</v>
      </c>
      <c r="M252">
        <f t="shared" si="30"/>
        <v>-23.047069170895799</v>
      </c>
      <c r="N252">
        <f t="shared" si="31"/>
        <v>-97.797619352182394</v>
      </c>
    </row>
    <row r="253" spans="7:14" x14ac:dyDescent="0.25">
      <c r="G253">
        <f t="shared" si="26"/>
        <v>4.0000000000000036</v>
      </c>
      <c r="H253">
        <f t="shared" si="24"/>
        <v>100000.00000000099</v>
      </c>
      <c r="I253" t="str">
        <f t="shared" si="27"/>
        <v>628318.530717965j</v>
      </c>
      <c r="J253" t="str">
        <f t="shared" si="25"/>
        <v>-22.8657814163892-92.8158735898423j</v>
      </c>
      <c r="K253">
        <f t="shared" si="28"/>
        <v>39.608335853031484</v>
      </c>
      <c r="L253">
        <f t="shared" si="29"/>
        <v>-103.83959113271153</v>
      </c>
      <c r="M253">
        <f t="shared" si="30"/>
        <v>-22.865781416389201</v>
      </c>
      <c r="N253">
        <f t="shared" si="31"/>
        <v>-92.815873589842298</v>
      </c>
    </row>
    <row r="254" spans="7:14" x14ac:dyDescent="0.25">
      <c r="G254">
        <f t="shared" si="26"/>
        <v>4.0200000000000031</v>
      </c>
      <c r="H254">
        <f t="shared" si="24"/>
        <v>104712.85480509077</v>
      </c>
      <c r="I254" t="str">
        <f t="shared" si="27"/>
        <v>657930.270784176j</v>
      </c>
      <c r="J254" t="str">
        <f t="shared" si="25"/>
        <v>-22.6701083469323-88.0409824299441j</v>
      </c>
      <c r="K254">
        <f t="shared" si="28"/>
        <v>39.172506556798183</v>
      </c>
      <c r="L254">
        <f t="shared" si="29"/>
        <v>-104.43969375596322</v>
      </c>
      <c r="M254">
        <f t="shared" si="30"/>
        <v>-22.670108346932299</v>
      </c>
      <c r="N254">
        <f t="shared" si="31"/>
        <v>-88.040982429944094</v>
      </c>
    </row>
    <row r="255" spans="7:14" x14ac:dyDescent="0.25">
      <c r="G255">
        <f t="shared" si="26"/>
        <v>4.0400000000000027</v>
      </c>
      <c r="H255">
        <f t="shared" si="24"/>
        <v>109647.81961431933</v>
      </c>
      <c r="I255" t="str">
        <f t="shared" si="27"/>
        <v>688937.569164969j</v>
      </c>
      <c r="J255" t="str">
        <f t="shared" si="25"/>
        <v>-22.4592407065767-83.4640027948671j</v>
      </c>
      <c r="K255">
        <f t="shared" si="28"/>
        <v>38.733588119825377</v>
      </c>
      <c r="L255">
        <f t="shared" si="29"/>
        <v>-105.06091132010386</v>
      </c>
      <c r="M255">
        <f t="shared" si="30"/>
        <v>-22.459240706576701</v>
      </c>
      <c r="N255">
        <f t="shared" si="31"/>
        <v>-83.464002794867099</v>
      </c>
    </row>
    <row r="256" spans="7:14" x14ac:dyDescent="0.25">
      <c r="G256">
        <f t="shared" si="26"/>
        <v>4.0600000000000023</v>
      </c>
      <c r="H256">
        <f t="shared" si="24"/>
        <v>114815.36214968891</v>
      </c>
      <c r="I256" t="str">
        <f t="shared" si="27"/>
        <v>721406.196497429j</v>
      </c>
      <c r="J256" t="str">
        <f t="shared" si="25"/>
        <v>-22.2323762106367-79.076524111747j</v>
      </c>
      <c r="K256">
        <f t="shared" si="28"/>
        <v>38.291348616875105</v>
      </c>
      <c r="L256">
        <f t="shared" si="29"/>
        <v>-105.70333580183323</v>
      </c>
      <c r="M256">
        <f t="shared" si="30"/>
        <v>-22.232376210636701</v>
      </c>
      <c r="N256">
        <f t="shared" si="31"/>
        <v>-79.076524111747005</v>
      </c>
    </row>
    <row r="257" spans="7:14" x14ac:dyDescent="0.25">
      <c r="G257">
        <f t="shared" si="26"/>
        <v>4.0800000000000018</v>
      </c>
      <c r="H257">
        <f t="shared" si="24"/>
        <v>120226.44346174195</v>
      </c>
      <c r="I257" t="str">
        <f t="shared" si="27"/>
        <v>755405.023093274j</v>
      </c>
      <c r="J257" t="str">
        <f t="shared" si="25"/>
        <v>-21.9887308778689-74.8706550439465j</v>
      </c>
      <c r="K257">
        <f t="shared" si="28"/>
        <v>37.845544810026254</v>
      </c>
      <c r="L257">
        <f t="shared" si="29"/>
        <v>-106.36696377396957</v>
      </c>
      <c r="M257">
        <f t="shared" si="30"/>
        <v>-21.9887308778689</v>
      </c>
      <c r="N257">
        <f t="shared" si="31"/>
        <v>-74.870655043946499</v>
      </c>
    </row>
    <row r="258" spans="7:14" x14ac:dyDescent="0.25">
      <c r="G258">
        <f t="shared" si="26"/>
        <v>4.1000000000000014</v>
      </c>
      <c r="H258">
        <f t="shared" si="24"/>
        <v>125892.54117941715</v>
      </c>
      <c r="I258" t="str">
        <f t="shared" si="27"/>
        <v>791006.165022015j</v>
      </c>
      <c r="J258" t="str">
        <f t="shared" si="25"/>
        <v>-21.7275520096501-70.8390100848598j</v>
      </c>
      <c r="K258">
        <f t="shared" si="28"/>
        <v>37.395922682321554</v>
      </c>
      <c r="L258">
        <f t="shared" si="29"/>
        <v>-107.05168418699813</v>
      </c>
      <c r="M258">
        <f t="shared" si="30"/>
        <v>-21.7275520096501</v>
      </c>
      <c r="N258">
        <f t="shared" si="31"/>
        <v>-70.839010084859794</v>
      </c>
    </row>
    <row r="259" spans="7:14" x14ac:dyDescent="0.25">
      <c r="G259">
        <f t="shared" si="26"/>
        <v>4.120000000000001</v>
      </c>
      <c r="H259">
        <f t="shared" ref="H259:H322" si="32">$B$3*10^G259</f>
        <v>131825.67385564116</v>
      </c>
      <c r="I259" t="str">
        <f t="shared" si="27"/>
        <v>828285.137078813j</v>
      </c>
      <c r="J259" t="str">
        <f t="shared" ref="J259:J322" si="33">IMDIV(IMPRODUCT(Aolv,IMSUM(1,IMPRODUCT(I259,C_L,R_I))),IMPRODUCT(IMSUM(1,IMDIV(I259,wc)),IMSUM(1,(IMPRODUCT(I259,R_O+R_I,C_L)))))</f>
        <v>-21.4481328042206-66.9746956281437j</v>
      </c>
      <c r="K259">
        <f t="shared" si="28"/>
        <v>36.942218201844675</v>
      </c>
      <c r="L259">
        <f t="shared" si="29"/>
        <v>-107.75726569442584</v>
      </c>
      <c r="M259">
        <f t="shared" si="30"/>
        <v>-21.448132804220599</v>
      </c>
      <c r="N259">
        <f t="shared" si="31"/>
        <v>-66.974695628143706</v>
      </c>
    </row>
    <row r="260" spans="7:14" x14ac:dyDescent="0.25">
      <c r="G260">
        <f t="shared" ref="G260:G323" si="34">G259+(1/ppd)</f>
        <v>4.1400000000000006</v>
      </c>
      <c r="H260">
        <f t="shared" si="32"/>
        <v>138038.4264602889</v>
      </c>
      <c r="I260" t="str">
        <f t="shared" ref="I260:I323" si="35">COMPLEX(0,H260*2*PI(),"j")</f>
        <v>867321.012961477j</v>
      </c>
      <c r="J260" t="str">
        <f t="shared" si="33"/>
        <v>-21.1498285294244-63.2712950987226j</v>
      </c>
      <c r="K260">
        <f t="shared" ref="K260:K323" si="36">20*LOG(IMABS(J260))</f>
        <v>36.484158342694862</v>
      </c>
      <c r="L260">
        <f t="shared" ref="L260:L323" si="37">DEGREES(IMARGUMENT(J260))</f>
        <v>-108.48334368850118</v>
      </c>
      <c r="M260">
        <f t="shared" ref="M260:M323" si="38">IMREAL(J260)</f>
        <v>-21.149828529424401</v>
      </c>
      <c r="N260">
        <f t="shared" ref="N260:N323" si="39">IMAGINARY(J260)</f>
        <v>-63.271295098722597</v>
      </c>
    </row>
    <row r="261" spans="7:14" x14ac:dyDescent="0.25">
      <c r="G261">
        <f t="shared" si="34"/>
        <v>4.16</v>
      </c>
      <c r="H261">
        <f t="shared" si="32"/>
        <v>144543.9770745929</v>
      </c>
      <c r="I261" t="str">
        <f t="shared" si="35"/>
        <v>908196.592996385j</v>
      </c>
      <c r="J261" t="str">
        <f t="shared" si="33"/>
        <v>-20.8320740993853-59.7228527094903j</v>
      </c>
      <c r="K261">
        <f t="shared" si="36"/>
        <v>36.021462387549683</v>
      </c>
      <c r="L261">
        <f t="shared" si="37"/>
        <v>-109.22940725460501</v>
      </c>
      <c r="M261">
        <f t="shared" si="38"/>
        <v>-20.832074099385299</v>
      </c>
      <c r="N261">
        <f t="shared" si="39"/>
        <v>-59.722852709490297</v>
      </c>
    </row>
    <row r="262" spans="7:14" x14ac:dyDescent="0.25">
      <c r="G262">
        <f t="shared" si="34"/>
        <v>4.18</v>
      </c>
      <c r="H262">
        <f t="shared" si="32"/>
        <v>151356.12484362096</v>
      </c>
      <c r="I262" t="str">
        <f t="shared" si="35"/>
        <v>950998.579769078j</v>
      </c>
      <c r="J262" t="str">
        <f t="shared" si="33"/>
        <v>-20.4944028099538-56.3238554036809j</v>
      </c>
      <c r="K262">
        <f t="shared" si="36"/>
        <v>35.553843533367917</v>
      </c>
      <c r="L262">
        <f t="shared" si="37"/>
        <v>-109.99478629592045</v>
      </c>
      <c r="M262">
        <f t="shared" si="38"/>
        <v>-20.494402809953801</v>
      </c>
      <c r="N262">
        <f t="shared" si="39"/>
        <v>-56.323855403680902</v>
      </c>
    </row>
    <row r="263" spans="7:14" x14ac:dyDescent="0.25">
      <c r="G263">
        <f t="shared" si="34"/>
        <v>4.1999999999999993</v>
      </c>
      <c r="H263">
        <f t="shared" si="32"/>
        <v>158489.3192461112</v>
      </c>
      <c r="I263" t="str">
        <f t="shared" si="35"/>
        <v>995817.762032061j</v>
      </c>
      <c r="J263" t="str">
        <f t="shared" si="33"/>
        <v>-20.1364658869322-53.0692125572609j</v>
      </c>
      <c r="K263">
        <f t="shared" si="36"/>
        <v>35.081010817124529</v>
      </c>
      <c r="L263">
        <f t="shared" si="37"/>
        <v>-110.77863912314962</v>
      </c>
      <c r="M263">
        <f t="shared" si="38"/>
        <v>-20.1364658869322</v>
      </c>
      <c r="N263">
        <f t="shared" si="39"/>
        <v>-53.069212557260897</v>
      </c>
    </row>
    <row r="264" spans="7:14" x14ac:dyDescent="0.25">
      <c r="G264">
        <f t="shared" si="34"/>
        <v>4.2199999999999989</v>
      </c>
      <c r="H264">
        <f t="shared" si="32"/>
        <v>165958.69074375587</v>
      </c>
      <c r="I264" t="str">
        <f t="shared" si="35"/>
        <v>1042749.20727993j</v>
      </c>
      <c r="J264" t="str">
        <f t="shared" si="33"/>
        <v>-19.7580523936885-49.9542330538504j</v>
      </c>
      <c r="K264">
        <f t="shared" si="36"/>
        <v>34.602671372131383</v>
      </c>
      <c r="L264">
        <f t="shared" si="37"/>
        <v>-111.57994084475155</v>
      </c>
      <c r="M264">
        <f t="shared" si="38"/>
        <v>-19.758052393688502</v>
      </c>
      <c r="N264">
        <f t="shared" si="39"/>
        <v>-49.954233053850402</v>
      </c>
    </row>
    <row r="265" spans="7:14" x14ac:dyDescent="0.25">
      <c r="G265">
        <f t="shared" si="34"/>
        <v>4.2399999999999984</v>
      </c>
      <c r="H265">
        <f t="shared" si="32"/>
        <v>173780.08287493698</v>
      </c>
      <c r="I265" t="str">
        <f t="shared" si="35"/>
        <v>1091892.46340025j</v>
      </c>
      <c r="J265" t="str">
        <f t="shared" si="33"/>
        <v>-19.359108936334-46.9745994107316j</v>
      </c>
      <c r="K265">
        <f t="shared" si="36"/>
        <v>34.118533017428298</v>
      </c>
      <c r="L265">
        <f t="shared" si="37"/>
        <v>-112.3974729287423</v>
      </c>
      <c r="M265">
        <f t="shared" si="38"/>
        <v>-19.359108936334</v>
      </c>
      <c r="N265">
        <f t="shared" si="39"/>
        <v>-46.974599410731599</v>
      </c>
    </row>
    <row r="266" spans="7:14" x14ac:dyDescent="0.25">
      <c r="G266">
        <f t="shared" si="34"/>
        <v>4.259999999999998</v>
      </c>
      <c r="H266">
        <f t="shared" si="32"/>
        <v>181970.08586099773</v>
      </c>
      <c r="I266" t="str">
        <f t="shared" si="35"/>
        <v>1143351.76982803j</v>
      </c>
      <c r="J266" t="str">
        <f t="shared" si="33"/>
        <v>-18.9397585022817-44.1263387312409j</v>
      </c>
      <c r="K266">
        <f t="shared" si="36"/>
        <v>33.628307172954528</v>
      </c>
      <c r="L266">
        <f t="shared" si="37"/>
        <v>-113.22981433442496</v>
      </c>
      <c r="M266">
        <f t="shared" si="38"/>
        <v>-18.939758502281698</v>
      </c>
      <c r="N266">
        <f t="shared" si="39"/>
        <v>-44.126338731240899</v>
      </c>
    </row>
    <row r="267" spans="7:14" x14ac:dyDescent="0.25">
      <c r="G267">
        <f t="shared" si="34"/>
        <v>4.2799999999999976</v>
      </c>
      <c r="H267">
        <f t="shared" si="32"/>
        <v>190546.0717963237</v>
      </c>
      <c r="I267" t="str">
        <f t="shared" si="35"/>
        <v>1197236.27865145j</v>
      </c>
      <c r="J267" t="str">
        <f t="shared" si="33"/>
        <v>-18.5003176804368-41.4057903873842j</v>
      </c>
      <c r="K267">
        <f t="shared" si="36"/>
        <v>33.131712081899536</v>
      </c>
      <c r="L267">
        <f t="shared" si="37"/>
        <v>-114.0753346282125</v>
      </c>
      <c r="M267">
        <f t="shared" si="38"/>
        <v>-18.500317680436801</v>
      </c>
      <c r="N267">
        <f t="shared" si="39"/>
        <v>-41.405790387384201</v>
      </c>
    </row>
    <row r="268" spans="7:14" x14ac:dyDescent="0.25">
      <c r="G268">
        <f t="shared" si="34"/>
        <v>4.2999999999999972</v>
      </c>
      <c r="H268">
        <f t="shared" si="32"/>
        <v>199526.23149688687</v>
      </c>
      <c r="I268" t="str">
        <f t="shared" si="35"/>
        <v>1253660.28613815j</v>
      </c>
      <c r="J268" t="str">
        <f t="shared" si="33"/>
        <v>-18.0413114482335-38.8095704953598j</v>
      </c>
      <c r="K268">
        <f t="shared" si="36"/>
        <v>32.628476309080533</v>
      </c>
      <c r="L268">
        <f t="shared" si="37"/>
        <v>-114.93218949870172</v>
      </c>
      <c r="M268">
        <f t="shared" si="38"/>
        <v>-18.0413114482335</v>
      </c>
      <c r="N268">
        <f t="shared" si="39"/>
        <v>-38.8095704953598</v>
      </c>
    </row>
    <row r="269" spans="7:14" x14ac:dyDescent="0.25">
      <c r="G269">
        <f t="shared" si="34"/>
        <v>4.3199999999999967</v>
      </c>
      <c r="H269">
        <f t="shared" si="32"/>
        <v>208929.61308540276</v>
      </c>
      <c r="I269" t="str">
        <f t="shared" si="35"/>
        <v>1312743.47517292j</v>
      </c>
      <c r="J269" t="str">
        <f t="shared" si="33"/>
        <v>-17.56348468235-36.3345334314333j</v>
      </c>
      <c r="K269">
        <f t="shared" si="36"/>
        <v>32.118342470883334</v>
      </c>
      <c r="L269">
        <f t="shared" si="37"/>
        <v>-115.79831906934407</v>
      </c>
      <c r="M269">
        <f t="shared" si="38"/>
        <v>-17.563484682350001</v>
      </c>
      <c r="N269">
        <f t="shared" si="39"/>
        <v>-36.3345334314333</v>
      </c>
    </row>
    <row r="270" spans="7:14" x14ac:dyDescent="0.25">
      <c r="G270">
        <f t="shared" si="34"/>
        <v>4.3399999999999963</v>
      </c>
      <c r="H270">
        <f t="shared" si="32"/>
        <v>218776.16239495357</v>
      </c>
      <c r="I270" t="str">
        <f t="shared" si="35"/>
        <v>1374611.16912111j</v>
      </c>
      <c r="J270" t="str">
        <f t="shared" si="33"/>
        <v>-17.0678095656809-33.9777308383008j</v>
      </c>
      <c r="K270">
        <f t="shared" si="36"/>
        <v>31.601071138839032</v>
      </c>
      <c r="L270">
        <f t="shared" si="37"/>
        <v>-116.67144937013914</v>
      </c>
      <c r="M270">
        <f t="shared" si="38"/>
        <v>-17.0678095656809</v>
      </c>
      <c r="N270">
        <f t="shared" si="39"/>
        <v>-33.977730838300801</v>
      </c>
    </row>
    <row r="271" spans="7:14" x14ac:dyDescent="0.25">
      <c r="G271">
        <f t="shared" si="34"/>
        <v>4.3599999999999959</v>
      </c>
      <c r="H271">
        <f t="shared" si="32"/>
        <v>229086.76527677546</v>
      </c>
      <c r="I271" t="str">
        <f t="shared" si="35"/>
        <v>1439394.59765633j</v>
      </c>
      <c r="J271" t="str">
        <f t="shared" si="33"/>
        <v>-16.5554881306819-31.7363687814213j</v>
      </c>
      <c r="K271">
        <f t="shared" si="36"/>
        <v>31.076444846060944</v>
      </c>
      <c r="L271">
        <f t="shared" si="37"/>
        <v>-117.54909727139952</v>
      </c>
      <c r="M271">
        <f t="shared" si="38"/>
        <v>-16.555488130681901</v>
      </c>
      <c r="N271">
        <f t="shared" si="39"/>
        <v>-31.736368781421302</v>
      </c>
    </row>
    <row r="272" spans="7:14" x14ac:dyDescent="0.25">
      <c r="G272">
        <f t="shared" si="34"/>
        <v>4.3799999999999955</v>
      </c>
      <c r="H272">
        <f t="shared" si="32"/>
        <v>239883.29190194668</v>
      </c>
      <c r="I272" t="str">
        <f t="shared" si="35"/>
        <v>1507231.17511618j</v>
      </c>
      <c r="J272" t="str">
        <f t="shared" si="33"/>
        <v>-16.027949303082-29.607763916439j</v>
      </c>
      <c r="K272">
        <f t="shared" si="36"/>
        <v>30.54427211439225</v>
      </c>
      <c r="L272">
        <f t="shared" si="37"/>
        <v>-118.42857910283249</v>
      </c>
      <c r="M272">
        <f t="shared" si="38"/>
        <v>-16.027949303082</v>
      </c>
      <c r="N272">
        <f t="shared" si="39"/>
        <v>-29.607763916439001</v>
      </c>
    </row>
    <row r="273" spans="7:14" x14ac:dyDescent="0.25">
      <c r="G273">
        <f t="shared" si="34"/>
        <v>4.399999999999995</v>
      </c>
      <c r="H273">
        <f t="shared" si="32"/>
        <v>251188.64315095547</v>
      </c>
      <c r="I273" t="str">
        <f t="shared" si="35"/>
        <v>1578264.79197646j</v>
      </c>
      <c r="J273" t="str">
        <f t="shared" si="33"/>
        <v>-15.4868399904028-27.5892997062294j</v>
      </c>
      <c r="K273">
        <f t="shared" si="36"/>
        <v>30.004391411102105</v>
      </c>
      <c r="L273">
        <f t="shared" si="37"/>
        <v>-119.30702308160038</v>
      </c>
      <c r="M273">
        <f t="shared" si="38"/>
        <v>-15.4868399904028</v>
      </c>
      <c r="N273">
        <f t="shared" si="39"/>
        <v>-27.589299706229401</v>
      </c>
    </row>
    <row r="274" spans="7:14" x14ac:dyDescent="0.25">
      <c r="G274">
        <f t="shared" si="34"/>
        <v>4.4199999999999946</v>
      </c>
      <c r="H274">
        <f t="shared" si="32"/>
        <v>263026.79918953503</v>
      </c>
      <c r="I274" t="str">
        <f t="shared" si="35"/>
        <v>1652646.12006216j</v>
      </c>
      <c r="J274" t="str">
        <f t="shared" si="33"/>
        <v>-14.9340099917512-25.6783838621414j</v>
      </c>
      <c r="K274">
        <f t="shared" si="36"/>
        <v>29.456674938182637</v>
      </c>
      <c r="L274">
        <f t="shared" si="37"/>
        <v>-120.1813855570724</v>
      </c>
      <c r="M274">
        <f t="shared" si="38"/>
        <v>-14.9340099917512</v>
      </c>
      <c r="N274">
        <f t="shared" si="39"/>
        <v>-25.678383862141398</v>
      </c>
    </row>
    <row r="275" spans="7:14" x14ac:dyDescent="0.25">
      <c r="G275">
        <f t="shared" si="34"/>
        <v>4.4399999999999942</v>
      </c>
      <c r="H275">
        <f t="shared" si="32"/>
        <v>275422.87033381331</v>
      </c>
      <c r="I275" t="str">
        <f t="shared" si="35"/>
        <v>1730532.93214264j</v>
      </c>
      <c r="J275" t="str">
        <f t="shared" si="33"/>
        <v>-14.3714907783143-23.8724082625494j</v>
      </c>
      <c r="K275">
        <f t="shared" si="36"/>
        <v>28.901032155467963</v>
      </c>
      <c r="L275">
        <f t="shared" si="37"/>
        <v>-121.04847095283567</v>
      </c>
      <c r="M275">
        <f t="shared" si="38"/>
        <v>-14.3714907783143</v>
      </c>
      <c r="N275">
        <f t="shared" si="39"/>
        <v>-23.872408262549399</v>
      </c>
    </row>
    <row r="276" spans="7:14" x14ac:dyDescent="0.25">
      <c r="G276">
        <f t="shared" si="34"/>
        <v>4.4599999999999937</v>
      </c>
      <c r="H276">
        <f t="shared" si="32"/>
        <v>288403.15031265654</v>
      </c>
      <c r="I276" t="str">
        <f t="shared" si="35"/>
        <v>1812090.43658879j</v>
      </c>
      <c r="J276" t="str">
        <f t="shared" si="33"/>
        <v>-13.8014684918671-22.1687126098815j</v>
      </c>
      <c r="K276">
        <f t="shared" si="36"/>
        <v>28.337412941442949</v>
      </c>
      <c r="L276">
        <f t="shared" si="37"/>
        <v>-121.90495515489559</v>
      </c>
      <c r="M276">
        <f t="shared" si="38"/>
        <v>-13.8014684918671</v>
      </c>
      <c r="N276">
        <f t="shared" si="39"/>
        <v>-22.168712609881499</v>
      </c>
    </row>
    <row r="277" spans="7:14" x14ac:dyDescent="0.25">
      <c r="G277">
        <f t="shared" si="34"/>
        <v>4.4799999999999933</v>
      </c>
      <c r="H277">
        <f t="shared" si="32"/>
        <v>301995.1720401973</v>
      </c>
      <c r="I277" t="str">
        <f t="shared" si="35"/>
        <v>1897491.62780214j</v>
      </c>
      <c r="J277" t="str">
        <f t="shared" si="33"/>
        <v>-13.2262518109962-20.5645530168482j</v>
      </c>
      <c r="K277">
        <f t="shared" si="36"/>
        <v>27.76581030295123</v>
      </c>
      <c r="L277">
        <f t="shared" si="37"/>
        <v>-122.74741196665276</v>
      </c>
      <c r="M277">
        <f t="shared" si="38"/>
        <v>-13.2262518109962</v>
      </c>
      <c r="N277">
        <f t="shared" si="39"/>
        <v>-20.564553016848201</v>
      </c>
    </row>
    <row r="278" spans="7:14" x14ac:dyDescent="0.25">
      <c r="G278">
        <f t="shared" si="34"/>
        <v>4.4999999999999929</v>
      </c>
      <c r="H278">
        <f t="shared" si="32"/>
        <v>316227.76601683337</v>
      </c>
      <c r="I278" t="str">
        <f t="shared" si="35"/>
        <v>1986917.65315919j</v>
      </c>
      <c r="J278" t="str">
        <f t="shared" si="33"/>
        <v>-12.6482356186826-19.0570765622577j</v>
      </c>
      <c r="K278">
        <f t="shared" si="36"/>
        <v>27.186262556934967</v>
      </c>
      <c r="L278">
        <f t="shared" si="37"/>
        <v>-123.57234213450906</v>
      </c>
      <c r="M278">
        <f t="shared" si="38"/>
        <v>-12.6482356186826</v>
      </c>
      <c r="N278">
        <f t="shared" si="39"/>
        <v>-19.057076562257699</v>
      </c>
    </row>
    <row r="279" spans="7:14" x14ac:dyDescent="0.25">
      <c r="G279">
        <f t="shared" si="34"/>
        <v>4.5199999999999925</v>
      </c>
      <c r="H279">
        <f t="shared" si="32"/>
        <v>331131.12148258556</v>
      </c>
      <c r="I279" t="str">
        <f t="shared" si="35"/>
        <v>2080558.19724928j</v>
      </c>
      <c r="J279" t="str">
        <f t="shared" si="33"/>
        <v>-12.0698616470805-17.6433026325667j</v>
      </c>
      <c r="K279">
        <f t="shared" si="36"/>
        <v>26.598854923345012</v>
      </c>
      <c r="L279">
        <f t="shared" si="37"/>
        <v>-124.37620435079974</v>
      </c>
      <c r="M279">
        <f t="shared" si="38"/>
        <v>-12.069861647080501</v>
      </c>
      <c r="N279">
        <f t="shared" si="39"/>
        <v>-17.643302632566702</v>
      </c>
    </row>
    <row r="280" spans="7:14" x14ac:dyDescent="0.25">
      <c r="G280">
        <f t="shared" si="34"/>
        <v>4.539999999999992</v>
      </c>
      <c r="H280">
        <f t="shared" si="32"/>
        <v>346736.85045252583</v>
      </c>
      <c r="I280" t="str">
        <f t="shared" si="35"/>
        <v>2178611.88422104j</v>
      </c>
      <c r="J280" t="str">
        <f t="shared" si="33"/>
        <v>-11.4935774548664-16.3201115805412j</v>
      </c>
      <c r="K280">
        <f t="shared" si="36"/>
        <v>26.00372048759791</v>
      </c>
      <c r="L280">
        <f t="shared" si="37"/>
        <v>-125.15544757018866</v>
      </c>
      <c r="M280">
        <f t="shared" si="38"/>
        <v>-11.493577454866401</v>
      </c>
      <c r="N280">
        <f t="shared" si="39"/>
        <v>-16.320111580541202</v>
      </c>
    </row>
    <row r="281" spans="7:14" x14ac:dyDescent="0.25">
      <c r="G281">
        <f t="shared" si="34"/>
        <v>4.5599999999999916</v>
      </c>
      <c r="H281">
        <f t="shared" si="32"/>
        <v>363078.05477009452</v>
      </c>
      <c r="I281" t="str">
        <f t="shared" si="35"/>
        <v>2281286.6990908j</v>
      </c>
      <c r="J281" t="str">
        <f t="shared" si="33"/>
        <v>-10.9217951933281-15.0842409068296j</v>
      </c>
      <c r="K281">
        <f t="shared" si="36"/>
        <v>25.401040512287359</v>
      </c>
      <c r="L281">
        <f t="shared" si="37"/>
        <v>-125.90654393685269</v>
      </c>
      <c r="M281">
        <f t="shared" si="38"/>
        <v>-10.9217951933281</v>
      </c>
      <c r="N281">
        <f t="shared" si="39"/>
        <v>-15.084240906829599</v>
      </c>
    </row>
    <row r="282" spans="7:14" x14ac:dyDescent="0.25">
      <c r="G282">
        <f t="shared" si="34"/>
        <v>4.5799999999999912</v>
      </c>
      <c r="H282">
        <f t="shared" si="32"/>
        <v>380189.39632055402</v>
      </c>
      <c r="I282" t="str">
        <f t="shared" si="35"/>
        <v>2388800.42890678j</v>
      </c>
      <c r="J282" t="str">
        <f t="shared" si="33"/>
        <v>-10.356851630181-13.9322888279953j</v>
      </c>
      <c r="K282">
        <f t="shared" si="36"/>
        <v>24.791044099929888</v>
      </c>
      <c r="L282">
        <f t="shared" si="37"/>
        <v>-126.62602161554504</v>
      </c>
      <c r="M282">
        <f t="shared" si="38"/>
        <v>-10.356851630181</v>
      </c>
      <c r="N282">
        <f t="shared" si="39"/>
        <v>-13.932288827995301</v>
      </c>
    </row>
    <row r="283" spans="7:14" x14ac:dyDescent="0.25">
      <c r="G283">
        <f t="shared" si="34"/>
        <v>4.5999999999999908</v>
      </c>
      <c r="H283">
        <f t="shared" si="32"/>
        <v>398107.17055348901</v>
      </c>
      <c r="I283" t="str">
        <f t="shared" si="35"/>
        <v>2501381.12470452j</v>
      </c>
      <c r="J283" t="str">
        <f t="shared" si="33"/>
        <v>-9.80097082377021-12.8607247615891j</v>
      </c>
      <c r="K283">
        <f t="shared" si="36"/>
        <v>24.174007229918402</v>
      </c>
      <c r="L283">
        <f t="shared" si="37"/>
        <v>-127.31049685010073</v>
      </c>
      <c r="M283">
        <f t="shared" si="38"/>
        <v>-9.8009708237702107</v>
      </c>
      <c r="N283">
        <f t="shared" si="39"/>
        <v>-12.8607247615891</v>
      </c>
    </row>
    <row r="284" spans="7:14" x14ac:dyDescent="0.25">
      <c r="G284">
        <f t="shared" si="34"/>
        <v>4.6199999999999903</v>
      </c>
      <c r="H284">
        <f t="shared" si="32"/>
        <v>416869.38347032666</v>
      </c>
      <c r="I284" t="str">
        <f t="shared" si="35"/>
        <v>2619267.58523377j</v>
      </c>
      <c r="J284" t="str">
        <f t="shared" si="33"/>
        <v>-9.25623068183737-11.8659059600827j</v>
      </c>
      <c r="K284">
        <f t="shared" si="36"/>
        <v>23.550251212191746</v>
      </c>
      <c r="L284">
        <f t="shared" si="37"/>
        <v>-127.95670463551302</v>
      </c>
      <c r="M284">
        <f t="shared" si="38"/>
        <v>-9.2562306818373692</v>
      </c>
      <c r="N284">
        <f t="shared" si="39"/>
        <v>-11.865905960082699</v>
      </c>
    </row>
    <row r="285" spans="7:14" x14ac:dyDescent="0.25">
      <c r="G285">
        <f t="shared" si="34"/>
        <v>4.6399999999999899</v>
      </c>
      <c r="H285">
        <f t="shared" si="32"/>
        <v>436515.83224015596</v>
      </c>
      <c r="I285" t="str">
        <f t="shared" si="35"/>
        <v>2742709.86348262j</v>
      </c>
      <c r="J285" t="str">
        <f t="shared" si="33"/>
        <v>-8.72453441272077-10.9440992821645j</v>
      </c>
      <c r="K285">
        <f t="shared" si="36"/>
        <v>22.920140616223456</v>
      </c>
      <c r="L285">
        <f t="shared" si="37"/>
        <v>-128.56152747926353</v>
      </c>
      <c r="M285">
        <f t="shared" si="38"/>
        <v>-8.7245344127207698</v>
      </c>
      <c r="N285">
        <f t="shared" si="39"/>
        <v>-10.944099282164499</v>
      </c>
    </row>
    <row r="286" spans="7:14" x14ac:dyDescent="0.25">
      <c r="G286">
        <f t="shared" si="34"/>
        <v>4.6599999999999895</v>
      </c>
      <c r="H286">
        <f t="shared" si="32"/>
        <v>457088.18961486447</v>
      </c>
      <c r="I286" t="str">
        <f t="shared" si="35"/>
        <v>2871969.79707343j</v>
      </c>
      <c r="J286" t="str">
        <f t="shared" si="33"/>
        <v>-8.2075876024864-10.0915069173203j</v>
      </c>
      <c r="K286">
        <f t="shared" si="36"/>
        <v>22.284080745864408</v>
      </c>
      <c r="L286">
        <f t="shared" si="37"/>
        <v>-129.12202183706296</v>
      </c>
      <c r="M286">
        <f t="shared" si="38"/>
        <v>-8.2075876024864005</v>
      </c>
      <c r="N286">
        <f t="shared" si="39"/>
        <v>-10.0915069173203</v>
      </c>
    </row>
    <row r="287" spans="7:14" x14ac:dyDescent="0.25">
      <c r="G287">
        <f t="shared" si="34"/>
        <v>4.6799999999999891</v>
      </c>
      <c r="H287">
        <f t="shared" si="32"/>
        <v>478630.0923226272</v>
      </c>
      <c r="I287" t="str">
        <f t="shared" si="35"/>
        <v>3007321.56365554j</v>
      </c>
      <c r="J287" t="str">
        <f t="shared" si="33"/>
        <v>-7.70688135194177-9.3042947859587j</v>
      </c>
      <c r="K287">
        <f t="shared" si="36"/>
        <v>21.642514737805406</v>
      </c>
      <c r="L287">
        <f t="shared" si="37"/>
        <v>-129.6354419292164</v>
      </c>
      <c r="M287">
        <f t="shared" si="38"/>
        <v>-7.70688135194177</v>
      </c>
      <c r="N287">
        <f t="shared" si="39"/>
        <v>-9.3042947859586995</v>
      </c>
    </row>
    <row r="288" spans="7:14" x14ac:dyDescent="0.25">
      <c r="G288">
        <f t="shared" si="34"/>
        <v>4.6999999999999886</v>
      </c>
      <c r="H288">
        <f t="shared" si="32"/>
        <v>501187.23362725956</v>
      </c>
      <c r="I288" t="str">
        <f t="shared" si="35"/>
        <v>3149052.26247278j</v>
      </c>
      <c r="J288" t="str">
        <f t="shared" si="33"/>
        <v>-7.22368160607363-8.57862232322286j</v>
      </c>
      <c r="K288">
        <f t="shared" si="36"/>
        <v>20.995920363782034</v>
      </c>
      <c r="L288">
        <f t="shared" si="37"/>
        <v>-130.09926076762588</v>
      </c>
      <c r="M288">
        <f t="shared" si="38"/>
        <v>-7.2236816060736304</v>
      </c>
      <c r="N288">
        <f t="shared" si="39"/>
        <v>-8.5786223232228593</v>
      </c>
    </row>
    <row r="289" spans="7:14" x14ac:dyDescent="0.25">
      <c r="G289">
        <f t="shared" si="34"/>
        <v>4.7199999999999882</v>
      </c>
      <c r="H289">
        <f t="shared" si="32"/>
        <v>524807.46024975914</v>
      </c>
      <c r="I289" t="str">
        <f t="shared" si="35"/>
        <v>3297462.52333952j</v>
      </c>
      <c r="J289" t="str">
        <f t="shared" si="33"/>
        <v>-6.75902452652585-7.91067241381101j</v>
      </c>
      <c r="K289">
        <f t="shared" si="36"/>
        <v>20.344806614343767</v>
      </c>
      <c r="L289">
        <f t="shared" si="37"/>
        <v>-130.51118834150199</v>
      </c>
      <c r="M289">
        <f t="shared" si="38"/>
        <v>-6.7590245265258497</v>
      </c>
      <c r="N289">
        <f t="shared" si="39"/>
        <v>-7.9106724138110103</v>
      </c>
    </row>
    <row r="290" spans="7:14" x14ac:dyDescent="0.25">
      <c r="G290">
        <f t="shared" si="34"/>
        <v>4.7399999999999878</v>
      </c>
      <c r="H290">
        <f t="shared" si="32"/>
        <v>549540.87385760946</v>
      </c>
      <c r="I290" t="str">
        <f t="shared" si="35"/>
        <v>3452867.14431676j</v>
      </c>
      <c r="J290" t="str">
        <f t="shared" si="33"/>
        <v>-6.3137175126972-7.29668036585306j</v>
      </c>
      <c r="K290">
        <f t="shared" si="36"/>
        <v>19.689710135601043</v>
      </c>
      <c r="L290">
        <f t="shared" si="37"/>
        <v>-130.86918701461974</v>
      </c>
      <c r="M290">
        <f t="shared" si="38"/>
        <v>-6.3137175126971998</v>
      </c>
      <c r="N290">
        <f t="shared" si="39"/>
        <v>-7.2966803658530601</v>
      </c>
    </row>
    <row r="291" spans="7:14" x14ac:dyDescent="0.25">
      <c r="G291">
        <f t="shared" si="34"/>
        <v>4.7599999999999874</v>
      </c>
      <c r="H291">
        <f t="shared" si="32"/>
        <v>575439.93733714102</v>
      </c>
      <c r="I291" t="str">
        <f t="shared" si="35"/>
        <v>3615595.75944107j</v>
      </c>
      <c r="J291" t="str">
        <f t="shared" si="33"/>
        <v>-5.88834528112299-6.73296097872329j</v>
      </c>
      <c r="K291">
        <f t="shared" si="36"/>
        <v>19.031191580651424</v>
      </c>
      <c r="L291">
        <f t="shared" si="37"/>
        <v>-131.17148427243441</v>
      </c>
      <c r="M291">
        <f t="shared" si="38"/>
        <v>-5.8883452811229899</v>
      </c>
      <c r="N291">
        <f t="shared" si="39"/>
        <v>-6.7329609787232902</v>
      </c>
    </row>
    <row r="292" spans="7:14" x14ac:dyDescent="0.25">
      <c r="G292">
        <f t="shared" si="34"/>
        <v>4.7799999999999869</v>
      </c>
      <c r="H292">
        <f t="shared" si="32"/>
        <v>602559.58607433992</v>
      </c>
      <c r="I292" t="str">
        <f t="shared" si="35"/>
        <v>3785993.53792251j</v>
      </c>
      <c r="J292" t="str">
        <f t="shared" si="33"/>
        <v>-5.48328027260102-6.21593295554175j</v>
      </c>
      <c r="K292">
        <f t="shared" si="36"/>
        <v>18.369831925360046</v>
      </c>
      <c r="L292">
        <f t="shared" si="37"/>
        <v>-131.41658301940231</v>
      </c>
      <c r="M292">
        <f t="shared" si="38"/>
        <v>-5.4832802726010197</v>
      </c>
      <c r="N292">
        <f t="shared" si="39"/>
        <v>-6.2159329555417502</v>
      </c>
    </row>
    <row r="293" spans="7:14" x14ac:dyDescent="0.25">
      <c r="G293">
        <f t="shared" si="34"/>
        <v>4.7999999999999865</v>
      </c>
      <c r="H293">
        <f t="shared" si="32"/>
        <v>630957.34448017448</v>
      </c>
      <c r="I293" t="str">
        <f t="shared" si="35"/>
        <v>3964421.91629488j</v>
      </c>
      <c r="J293" t="str">
        <f t="shared" si="33"/>
        <v>-5.09869657320591-5.74214011917681j</v>
      </c>
      <c r="K293">
        <f t="shared" si="36"/>
        <v>17.706228784895849</v>
      </c>
      <c r="L293">
        <f t="shared" si="37"/>
        <v>-131.60326966322339</v>
      </c>
      <c r="M293">
        <f t="shared" si="38"/>
        <v>-5.0986965732059097</v>
      </c>
      <c r="N293">
        <f t="shared" si="39"/>
        <v>-5.7421401191768098</v>
      </c>
    </row>
    <row r="294" spans="7:14" x14ac:dyDescent="0.25">
      <c r="G294">
        <f t="shared" si="34"/>
        <v>4.8199999999999861</v>
      </c>
      <c r="H294">
        <f t="shared" si="32"/>
        <v>660693.44800757489</v>
      </c>
      <c r="I294" t="str">
        <f t="shared" si="35"/>
        <v>4151259.36507101j</v>
      </c>
      <c r="J294" t="str">
        <f t="shared" si="33"/>
        <v>-4.73458650547992-5.30826909573108j</v>
      </c>
      <c r="K294">
        <f t="shared" si="36"/>
        <v>17.040992753983893</v>
      </c>
      <c r="L294">
        <f t="shared" si="37"/>
        <v>-131.73062023318562</v>
      </c>
      <c r="M294">
        <f t="shared" si="38"/>
        <v>-4.7345865054799203</v>
      </c>
      <c r="N294">
        <f t="shared" si="39"/>
        <v>-5.3082690957310801</v>
      </c>
    </row>
    <row r="295" spans="7:14" x14ac:dyDescent="0.25">
      <c r="G295">
        <f t="shared" si="34"/>
        <v>4.8399999999999856</v>
      </c>
      <c r="H295">
        <f t="shared" si="32"/>
        <v>691830.97091891442</v>
      </c>
      <c r="I295" t="str">
        <f t="shared" si="35"/>
        <v>4346902.19152951j</v>
      </c>
      <c r="J295" t="str">
        <f t="shared" si="33"/>
        <v>-4.39077906278549-4.9111633195085j</v>
      </c>
      <c r="K295">
        <f t="shared" si="36"/>
        <v>16.374743781228787</v>
      </c>
      <c r="L295">
        <f t="shared" si="37"/>
        <v>-131.79800476581539</v>
      </c>
      <c r="M295">
        <f t="shared" si="38"/>
        <v>-4.3907790627854899</v>
      </c>
      <c r="N295">
        <f t="shared" si="39"/>
        <v>-4.9111633195084998</v>
      </c>
    </row>
    <row r="296" spans="7:14" x14ac:dyDescent="0.25">
      <c r="G296">
        <f t="shared" si="34"/>
        <v>4.8599999999999852</v>
      </c>
      <c r="H296">
        <f t="shared" si="32"/>
        <v>724435.96007496677</v>
      </c>
      <c r="I296" t="str">
        <f t="shared" si="35"/>
        <v>4551765.38033557j</v>
      </c>
      <c r="J296" t="str">
        <f t="shared" si="33"/>
        <v>-4.06695941396748-4.54783337943421j</v>
      </c>
      <c r="K296">
        <f t="shared" si="36"/>
        <v>15.708107576981442</v>
      </c>
      <c r="L296">
        <f t="shared" si="37"/>
        <v>-131.80509015561299</v>
      </c>
      <c r="M296">
        <f t="shared" si="38"/>
        <v>-4.0669594139674796</v>
      </c>
      <c r="N296">
        <f t="shared" si="39"/>
        <v>-4.5478333794342101</v>
      </c>
    </row>
    <row r="297" spans="7:14" x14ac:dyDescent="0.25">
      <c r="G297">
        <f t="shared" si="34"/>
        <v>4.8799999999999848</v>
      </c>
      <c r="H297">
        <f t="shared" si="32"/>
        <v>758577.57502915792</v>
      </c>
      <c r="I297" t="str">
        <f t="shared" si="35"/>
        <v>4766283.47377913j</v>
      </c>
      <c r="J297" t="str">
        <f t="shared" si="33"/>
        <v>-3.7626887870549-4.215463863403j</v>
      </c>
      <c r="K297">
        <f t="shared" si="36"/>
        <v>15.041712045787467</v>
      </c>
      <c r="L297">
        <f t="shared" si="37"/>
        <v>-131.75184161593415</v>
      </c>
      <c r="M297">
        <f t="shared" si="38"/>
        <v>-3.7626887870549002</v>
      </c>
      <c r="N297">
        <f t="shared" si="39"/>
        <v>-4.2154638634030004</v>
      </c>
    </row>
    <row r="298" spans="7:14" x14ac:dyDescent="0.25">
      <c r="G298">
        <f t="shared" si="34"/>
        <v>4.8999999999999844</v>
      </c>
      <c r="H298">
        <f t="shared" si="32"/>
        <v>794328.23472425411</v>
      </c>
      <c r="I298" t="str">
        <f t="shared" si="35"/>
        <v>4990911.49349733j</v>
      </c>
      <c r="J298" t="str">
        <f t="shared" si="33"/>
        <v>-3.47742413978767-3.91141696181469j</v>
      </c>
      <c r="K298">
        <f t="shared" si="36"/>
        <v>14.376183729003763</v>
      </c>
      <c r="L298">
        <f t="shared" si="37"/>
        <v>-131.63852283012042</v>
      </c>
      <c r="M298">
        <f t="shared" si="38"/>
        <v>-3.47742413978767</v>
      </c>
      <c r="N298">
        <f t="shared" si="39"/>
        <v>-3.9114169618146901</v>
      </c>
    </row>
    <row r="299" spans="7:14" x14ac:dyDescent="0.25">
      <c r="G299">
        <f t="shared" si="34"/>
        <v>4.9199999999999839</v>
      </c>
      <c r="H299">
        <f t="shared" si="32"/>
        <v>831763.77110264078</v>
      </c>
      <c r="I299" t="str">
        <f t="shared" si="35"/>
        <v>5226125.9056364j</v>
      </c>
      <c r="J299" t="str">
        <f t="shared" si="33"/>
        <v>-3.21053713224055-3.6332331650295j</v>
      </c>
      <c r="K299">
        <f t="shared" si="36"/>
        <v>13.712144241044971</v>
      </c>
      <c r="L299">
        <f t="shared" si="37"/>
        <v>-131.46569480139408</v>
      </c>
      <c r="M299">
        <f t="shared" si="38"/>
        <v>-3.21053713224055</v>
      </c>
      <c r="N299">
        <f t="shared" si="39"/>
        <v>-3.6332331650295</v>
      </c>
    </row>
    <row r="300" spans="7:14" x14ac:dyDescent="0.25">
      <c r="G300">
        <f t="shared" si="34"/>
        <v>4.9399999999999835</v>
      </c>
      <c r="H300">
        <f t="shared" si="32"/>
        <v>870963.58995604888</v>
      </c>
      <c r="I300" t="str">
        <f t="shared" si="35"/>
        <v>5472425.63150023j</v>
      </c>
      <c r="J300" t="str">
        <f t="shared" si="33"/>
        <v>-2.9613320251044-3.37862943405415j</v>
      </c>
      <c r="K300">
        <f t="shared" si="36"/>
        <v>13.050206684044827</v>
      </c>
      <c r="L300">
        <f t="shared" si="37"/>
        <v>-131.23421333775798</v>
      </c>
      <c r="M300">
        <f t="shared" si="38"/>
        <v>-2.9613320251044</v>
      </c>
      <c r="N300">
        <f t="shared" si="39"/>
        <v>-3.3786294340541501</v>
      </c>
    </row>
    <row r="301" spans="7:14" x14ac:dyDescent="0.25">
      <c r="G301">
        <f t="shared" si="34"/>
        <v>4.9599999999999831</v>
      </c>
      <c r="H301">
        <f t="shared" si="32"/>
        <v>912010.83935587457</v>
      </c>
      <c r="I301" t="str">
        <f t="shared" si="35"/>
        <v>5730333.10582935j</v>
      </c>
      <c r="J301" t="str">
        <f t="shared" si="33"/>
        <v>-2.72906223032466-3.14549524320819j</v>
      </c>
      <c r="K301">
        <f t="shared" si="36"/>
        <v>12.390972030414124</v>
      </c>
      <c r="L301">
        <f t="shared" si="37"/>
        <v>-130.94522504111035</v>
      </c>
      <c r="M301">
        <f t="shared" si="38"/>
        <v>-2.7290622303246601</v>
      </c>
      <c r="N301">
        <f t="shared" si="39"/>
        <v>-3.14549524320819</v>
      </c>
    </row>
    <row r="302" spans="7:14" x14ac:dyDescent="0.25">
      <c r="G302">
        <f t="shared" si="34"/>
        <v>4.9799999999999827</v>
      </c>
      <c r="H302">
        <f t="shared" si="32"/>
        <v>954992.58602139901</v>
      </c>
      <c r="I302" t="str">
        <f t="shared" si="35"/>
        <v>6000395.38495509j</v>
      </c>
      <c r="J302" t="str">
        <f t="shared" si="33"/>
        <v>-2.51294533455085-2.9318868922925j</v>
      </c>
      <c r="K302">
        <f t="shared" si="36"/>
        <v>11.735025470556453</v>
      </c>
      <c r="L302">
        <f t="shared" si="37"/>
        <v>-130.60016161373528</v>
      </c>
      <c r="M302">
        <f t="shared" si="38"/>
        <v>-2.5129453345508499</v>
      </c>
      <c r="N302">
        <f t="shared" si="39"/>
        <v>-2.9318868922924999</v>
      </c>
    </row>
    <row r="303" spans="7:14" x14ac:dyDescent="0.25">
      <c r="G303">
        <f t="shared" si="34"/>
        <v>4.9999999999999822</v>
      </c>
      <c r="H303">
        <f t="shared" si="32"/>
        <v>999999.99999995937</v>
      </c>
      <c r="I303" t="str">
        <f t="shared" si="35"/>
        <v>6283185.30717933j</v>
      </c>
      <c r="J303" t="str">
        <f t="shared" si="33"/>
        <v>-2.31217649757338-2.73602046856815j</v>
      </c>
      <c r="K303">
        <f t="shared" si="36"/>
        <v>11.082932733372621</v>
      </c>
      <c r="L303">
        <f t="shared" si="37"/>
        <v>-130.20073225545033</v>
      </c>
      <c r="M303">
        <f t="shared" si="38"/>
        <v>-2.3121764975733798</v>
      </c>
      <c r="N303">
        <f t="shared" si="39"/>
        <v>-2.73602046856815</v>
      </c>
    </row>
    <row r="304" spans="7:14" x14ac:dyDescent="0.25">
      <c r="G304">
        <f t="shared" si="34"/>
        <v>5.0199999999999818</v>
      </c>
      <c r="H304">
        <f t="shared" si="32"/>
        <v>1047128.5480508568</v>
      </c>
      <c r="I304" t="str">
        <f t="shared" si="35"/>
        <v>6579302.70784144j</v>
      </c>
      <c r="J304" t="str">
        <f t="shared" si="33"/>
        <v>-2.12594019633944-2.55626381014739j</v>
      </c>
      <c r="K304">
        <f t="shared" si="36"/>
        <v>10.435236399458683</v>
      </c>
      <c r="L304">
        <f t="shared" si="37"/>
        <v>-129.74891390539958</v>
      </c>
      <c r="M304">
        <f t="shared" si="38"/>
        <v>-2.1259401963394402</v>
      </c>
      <c r="N304">
        <f t="shared" si="39"/>
        <v>-2.55626381014739</v>
      </c>
    </row>
    <row r="305" spans="7:14" x14ac:dyDescent="0.25">
      <c r="G305">
        <f t="shared" si="34"/>
        <v>5.0399999999999814</v>
      </c>
      <c r="H305">
        <f t="shared" si="32"/>
        <v>1096478.1961431401</v>
      </c>
      <c r="I305" t="str">
        <f t="shared" si="35"/>
        <v>6889375.69164935j</v>
      </c>
      <c r="J305" t="str">
        <f t="shared" si="33"/>
        <v>-1.95342034006878-2.3911277862482j</v>
      </c>
      <c r="K305">
        <f t="shared" si="36"/>
        <v>9.792452240239589</v>
      </c>
      <c r="L305">
        <f t="shared" si="37"/>
        <v>-129.24693908704003</v>
      </c>
      <c r="M305">
        <f t="shared" si="38"/>
        <v>-1.95342034006878</v>
      </c>
      <c r="N305">
        <f t="shared" si="39"/>
        <v>-2.3911277862481999</v>
      </c>
    </row>
    <row r="306" spans="7:14" x14ac:dyDescent="0.25">
      <c r="G306">
        <f t="shared" si="34"/>
        <v>5.059999999999981</v>
      </c>
      <c r="H306">
        <f t="shared" si="32"/>
        <v>1148153.6214968334</v>
      </c>
      <c r="I306" t="str">
        <f t="shared" si="35"/>
        <v>7214061.96497394j</v>
      </c>
      <c r="J306" t="str">
        <f t="shared" si="33"/>
        <v>-1.7938088240591-2.23925716960452j</v>
      </c>
      <c r="K306">
        <f t="shared" si="36"/>
        <v>9.1550656296828379</v>
      </c>
      <c r="L306">
        <f t="shared" si="37"/>
        <v>-128.69728114514771</v>
      </c>
      <c r="M306">
        <f t="shared" si="38"/>
        <v>-1.7938088240590999</v>
      </c>
      <c r="N306">
        <f t="shared" si="39"/>
        <v>-2.23925716960452</v>
      </c>
    </row>
    <row r="307" spans="7:14" x14ac:dyDescent="0.25">
      <c r="G307">
        <f t="shared" si="34"/>
        <v>5.0799999999999805</v>
      </c>
      <c r="H307">
        <f t="shared" si="32"/>
        <v>1202264.4346173611</v>
      </c>
      <c r="I307" t="str">
        <f t="shared" si="35"/>
        <v>7554050.23093238j</v>
      </c>
      <c r="J307" t="str">
        <f t="shared" si="33"/>
        <v>-1.64631262016061-2.099421334937j</v>
      </c>
      <c r="K307">
        <f t="shared" si="36"/>
        <v>8.523528087655718</v>
      </c>
      <c r="L307">
        <f t="shared" si="37"/>
        <v>-128.10263671983321</v>
      </c>
      <c r="M307">
        <f t="shared" si="38"/>
        <v>-1.64631262016061</v>
      </c>
      <c r="N307">
        <f t="shared" si="39"/>
        <v>-2.0994213349369999</v>
      </c>
    </row>
    <row r="308" spans="7:14" x14ac:dyDescent="0.25">
      <c r="G308">
        <f t="shared" si="34"/>
        <v>5.0999999999999801</v>
      </c>
      <c r="H308">
        <f t="shared" si="32"/>
        <v>1258925.4117941104</v>
      </c>
      <c r="I308" t="str">
        <f t="shared" si="35"/>
        <v>7910061.65021976j</v>
      </c>
      <c r="J308" t="str">
        <f t="shared" si="33"/>
        <v>-1.5101595221005-1.97050497688639j</v>
      </c>
      <c r="K308">
        <f t="shared" si="36"/>
        <v>7.8982540243325863</v>
      </c>
      <c r="L308">
        <f t="shared" si="37"/>
        <v>-127.4659053828577</v>
      </c>
      <c r="M308">
        <f t="shared" si="38"/>
        <v>-1.5101595221005</v>
      </c>
      <c r="N308">
        <f t="shared" si="39"/>
        <v>-1.97050497688639</v>
      </c>
    </row>
    <row r="309" spans="7:14" x14ac:dyDescent="0.25">
      <c r="G309">
        <f t="shared" si="34"/>
        <v>5.1199999999999797</v>
      </c>
      <c r="H309">
        <f t="shared" si="32"/>
        <v>1318256.7385563473</v>
      </c>
      <c r="I309" t="str">
        <f t="shared" si="35"/>
        <v>8282851.37078772j</v>
      </c>
      <c r="J309" t="str">
        <f t="shared" si="33"/>
        <v>-1.38460267548366-1.85149900270785j</v>
      </c>
      <c r="K309">
        <f t="shared" si="36"/>
        <v>7.2796177623182556</v>
      </c>
      <c r="L309">
        <f t="shared" si="37"/>
        <v>-126.79016646228131</v>
      </c>
      <c r="M309">
        <f t="shared" si="38"/>
        <v>-1.38460267548366</v>
      </c>
      <c r="N309">
        <f t="shared" si="39"/>
        <v>-1.85149900270785</v>
      </c>
    </row>
    <row r="310" spans="7:14" x14ac:dyDescent="0.25">
      <c r="G310">
        <f t="shared" si="34"/>
        <v>5.1399999999999793</v>
      </c>
      <c r="H310">
        <f t="shared" si="32"/>
        <v>1380384.2646028195</v>
      </c>
      <c r="I310" t="str">
        <f t="shared" si="35"/>
        <v>8673210.12961433j</v>
      </c>
      <c r="J310" t="str">
        <f t="shared" si="33"/>
        <v>-1.26892402701471-1.74149172030873j</v>
      </c>
      <c r="K310">
        <f t="shared" si="36"/>
        <v>6.6679509164768822</v>
      </c>
      <c r="L310">
        <f t="shared" si="37"/>
        <v>-126.07865319704784</v>
      </c>
      <c r="M310">
        <f t="shared" si="38"/>
        <v>-1.26892402701471</v>
      </c>
      <c r="N310">
        <f t="shared" si="39"/>
        <v>-1.7414917203087299</v>
      </c>
    </row>
    <row r="311" spans="7:14" x14ac:dyDescent="0.25">
      <c r="G311">
        <f t="shared" si="34"/>
        <v>5.1599999999999788</v>
      </c>
      <c r="H311">
        <f t="shared" si="32"/>
        <v>1445439.7707458588</v>
      </c>
      <c r="I311" t="str">
        <f t="shared" si="35"/>
        <v>9081965.92996341j</v>
      </c>
      <c r="J311" t="str">
        <f t="shared" si="33"/>
        <v>-1.16243682680713-1.63966041143808j</v>
      </c>
      <c r="K311">
        <f t="shared" si="36"/>
        <v>6.0635402102135512</v>
      </c>
      <c r="L311">
        <f t="shared" si="37"/>
        <v>-125.33472448630994</v>
      </c>
      <c r="M311">
        <f t="shared" si="38"/>
        <v>-1.1624368268071299</v>
      </c>
      <c r="N311">
        <f t="shared" si="39"/>
        <v>-1.6396604114380799</v>
      </c>
    </row>
    <row r="312" spans="7:14" x14ac:dyDescent="0.25">
      <c r="G312">
        <f t="shared" si="34"/>
        <v>5.1799999999999784</v>
      </c>
      <c r="H312">
        <f t="shared" si="32"/>
        <v>1513561.2484361334</v>
      </c>
      <c r="I312" t="str">
        <f t="shared" si="35"/>
        <v>9509985.7976903j</v>
      </c>
      <c r="J312" t="str">
        <f t="shared" si="33"/>
        <v>-1.06448731294588-1.54526335322582j</v>
      </c>
      <c r="K312">
        <f t="shared" si="36"/>
        <v>5.4666258008682922</v>
      </c>
      <c r="L312">
        <f t="shared" si="37"/>
        <v>-124.56183462077864</v>
      </c>
      <c r="M312">
        <f t="shared" si="38"/>
        <v>-1.0644873129458801</v>
      </c>
      <c r="N312">
        <f t="shared" si="39"/>
        <v>-1.54526335322582</v>
      </c>
    </row>
    <row r="313" spans="7:14" x14ac:dyDescent="0.25">
      <c r="G313">
        <f t="shared" si="34"/>
        <v>5.199999999999978</v>
      </c>
      <c r="H313">
        <f t="shared" si="32"/>
        <v>1584893.1924610347</v>
      </c>
      <c r="I313" t="str">
        <f t="shared" si="35"/>
        <v>9958177.62032012j</v>
      </c>
      <c r="J313" t="str">
        <f t="shared" si="33"/>
        <v>-0.974455699935724-1.45763232878526j</v>
      </c>
      <c r="K313">
        <f t="shared" si="36"/>
        <v>4.8774001760079404</v>
      </c>
      <c r="L313">
        <f t="shared" si="37"/>
        <v>-123.76350149634904</v>
      </c>
      <c r="M313">
        <f t="shared" si="38"/>
        <v>-0.97445569993572401</v>
      </c>
      <c r="N313">
        <f t="shared" si="39"/>
        <v>-1.4576323287852599</v>
      </c>
    </row>
    <row r="314" spans="7:14" x14ac:dyDescent="0.25">
      <c r="G314">
        <f t="shared" si="34"/>
        <v>5.2199999999999775</v>
      </c>
      <c r="H314">
        <f t="shared" si="32"/>
        <v>1659586.9074374777</v>
      </c>
      <c r="I314" t="str">
        <f t="shared" si="35"/>
        <v>10427492.0727988j</v>
      </c>
      <c r="J314" t="str">
        <f t="shared" si="33"/>
        <v>-0.89175658329014-1.37616564902768j</v>
      </c>
      <c r="K314">
        <f t="shared" si="36"/>
        <v>4.296007667213245</v>
      </c>
      <c r="L314">
        <f t="shared" si="37"/>
        <v>-122.94327390513938</v>
      </c>
      <c r="M314">
        <f t="shared" si="38"/>
        <v>-0.89175658329013996</v>
      </c>
      <c r="N314">
        <f t="shared" si="39"/>
        <v>-1.3761656490276799</v>
      </c>
    </row>
    <row r="315" spans="7:14" x14ac:dyDescent="0.25">
      <c r="G315">
        <f t="shared" si="34"/>
        <v>5.2399999999999771</v>
      </c>
      <c r="H315">
        <f t="shared" si="32"/>
        <v>1737800.8287492855</v>
      </c>
      <c r="I315" t="str">
        <f t="shared" si="35"/>
        <v>10918924.634002j</v>
      </c>
      <c r="J315" t="str">
        <f t="shared" si="33"/>
        <v>-0.815838862095978-1.30032169286578j</v>
      </c>
      <c r="K315">
        <f t="shared" si="36"/>
        <v>3.7225446092807672</v>
      </c>
      <c r="L315">
        <f t="shared" si="37"/>
        <v>-122.10469856849733</v>
      </c>
      <c r="M315">
        <f t="shared" si="38"/>
        <v>-0.815838862095978</v>
      </c>
      <c r="N315">
        <f t="shared" si="39"/>
        <v>-1.3003216928657799</v>
      </c>
    </row>
    <row r="316" spans="7:14" x14ac:dyDescent="0.25">
      <c r="G316">
        <f t="shared" si="34"/>
        <v>5.2599999999999767</v>
      </c>
      <c r="H316">
        <f t="shared" si="32"/>
        <v>1819700.8586098887</v>
      </c>
      <c r="I316" t="str">
        <f t="shared" si="35"/>
        <v>11433517.6982797j</v>
      </c>
      <c r="J316" t="str">
        <f t="shared" si="33"/>
        <v>-0.746185270551216-1.22961296121769j</v>
      </c>
      <c r="K316">
        <f t="shared" si="36"/>
        <v>3.1570601517274093</v>
      </c>
      <c r="L316">
        <f t="shared" si="37"/>
        <v>-121.25128761481787</v>
      </c>
      <c r="M316">
        <f t="shared" si="38"/>
        <v>-0.74618527055121597</v>
      </c>
      <c r="N316">
        <f t="shared" si="39"/>
        <v>-1.22961296121769</v>
      </c>
    </row>
    <row r="317" spans="7:14" x14ac:dyDescent="0.25">
      <c r="G317">
        <f t="shared" si="34"/>
        <v>5.2799999999999763</v>
      </c>
      <c r="H317">
        <f t="shared" si="32"/>
        <v>1905460.7179631444</v>
      </c>
      <c r="I317" t="str">
        <f t="shared" si="35"/>
        <v>11972362.7865139j</v>
      </c>
      <c r="J317" t="str">
        <f t="shared" si="33"/>
        <v>-0.682311598689125-1.16360063125199j</v>
      </c>
      <c r="K317">
        <f t="shared" si="36"/>
        <v>2.5995577074466873</v>
      </c>
      <c r="L317">
        <f t="shared" si="37"/>
        <v>-120.38648720898435</v>
      </c>
      <c r="M317">
        <f t="shared" si="38"/>
        <v>-0.68231159868912505</v>
      </c>
      <c r="N317">
        <f t="shared" si="39"/>
        <v>-1.16360063125199</v>
      </c>
    </row>
    <row r="318" spans="7:14" x14ac:dyDescent="0.25">
      <c r="G318">
        <f t="shared" si="34"/>
        <v>5.2999999999999758</v>
      </c>
      <c r="H318">
        <f t="shared" si="32"/>
        <v>1995262.3149687715</v>
      </c>
      <c r="I318" t="str">
        <f t="shared" si="35"/>
        <v>12536602.8613809j</v>
      </c>
      <c r="J318" t="str">
        <f t="shared" si="33"/>
        <v>-0.623765672109705-1.10188959072362j</v>
      </c>
      <c r="K318">
        <f t="shared" si="36"/>
        <v>2.0499970017331091</v>
      </c>
      <c r="L318">
        <f t="shared" si="37"/>
        <v>-119.51364800934724</v>
      </c>
      <c r="M318">
        <f t="shared" si="38"/>
        <v>-0.62376567210970502</v>
      </c>
      <c r="N318">
        <f t="shared" si="39"/>
        <v>-1.1018895907236199</v>
      </c>
    </row>
    <row r="319" spans="7:14" x14ac:dyDescent="0.25">
      <c r="G319">
        <f t="shared" si="34"/>
        <v>5.3199999999999754</v>
      </c>
      <c r="H319">
        <f t="shared" si="32"/>
        <v>2089296.1308539221</v>
      </c>
      <c r="I319" t="str">
        <f t="shared" si="35"/>
        <v>13127434.7517285j</v>
      </c>
      <c r="J319" t="str">
        <f t="shared" si="33"/>
        <v>-0.570126150770918-1.0441239276517j</v>
      </c>
      <c r="K319">
        <f t="shared" si="36"/>
        <v>1.5082966650539338</v>
      </c>
      <c r="L319">
        <f t="shared" si="37"/>
        <v>-118.6359980646203</v>
      </c>
      <c r="M319">
        <f t="shared" si="38"/>
        <v>-0.57012615077091799</v>
      </c>
      <c r="N319">
        <f t="shared" si="39"/>
        <v>-1.0441239276517</v>
      </c>
    </row>
    <row r="320" spans="7:14" x14ac:dyDescent="0.25">
      <c r="G320">
        <f t="shared" si="34"/>
        <v>5.339999999999975</v>
      </c>
      <c r="H320">
        <f t="shared" si="32"/>
        <v>2187761.623949429</v>
      </c>
      <c r="I320" t="str">
        <f t="shared" si="35"/>
        <v>13746111.6912104j</v>
      </c>
      <c r="J320" t="str">
        <f t="shared" si="33"/>
        <v>-0.521001197891141-0.989982847622505j</v>
      </c>
      <c r="K320">
        <f t="shared" si="36"/>
        <v>0.97433729609913711</v>
      </c>
      <c r="L320">
        <f t="shared" si="37"/>
        <v>-117.75661867156782</v>
      </c>
      <c r="M320">
        <f t="shared" si="38"/>
        <v>-0.52100119789114097</v>
      </c>
      <c r="N320">
        <f t="shared" si="39"/>
        <v>-0.98998284762250499</v>
      </c>
    </row>
    <row r="321" spans="7:14" x14ac:dyDescent="0.25">
      <c r="G321">
        <f t="shared" si="34"/>
        <v>5.3599999999999746</v>
      </c>
      <c r="H321">
        <f t="shared" si="32"/>
        <v>2290867.6527676433</v>
      </c>
      <c r="I321" t="str">
        <f t="shared" si="35"/>
        <v>14393945.9765626j</v>
      </c>
      <c r="J321" t="str">
        <f t="shared" si="33"/>
        <v>-0.476027061857051-0.939176989343994j</v>
      </c>
      <c r="K321">
        <f t="shared" si="36"/>
        <v>0.44796490870658601</v>
      </c>
      <c r="L321">
        <f t="shared" si="37"/>
        <v>-116.87842360149658</v>
      </c>
      <c r="M321">
        <f t="shared" si="38"/>
        <v>-0.47602706185705101</v>
      </c>
      <c r="N321">
        <f t="shared" si="39"/>
        <v>-0.93917698934399396</v>
      </c>
    </row>
    <row r="322" spans="7:14" x14ac:dyDescent="0.25">
      <c r="G322">
        <f t="shared" si="34"/>
        <v>5.3799999999999741</v>
      </c>
      <c r="H322">
        <f t="shared" si="32"/>
        <v>2398832.9190193499</v>
      </c>
      <c r="I322" t="str">
        <f t="shared" si="35"/>
        <v>15072311.7511611j</v>
      </c>
      <c r="J322" t="str">
        <f t="shared" si="33"/>
        <v>-0.434866606743364-0.891445108452527j</v>
      </c>
      <c r="K322">
        <f t="shared" si="36"/>
        <v>-7.1005332179612857E-2</v>
      </c>
      <c r="L322">
        <f t="shared" si="37"/>
        <v>-116.00414197718878</v>
      </c>
      <c r="M322">
        <f t="shared" si="38"/>
        <v>-0.43486660674336403</v>
      </c>
      <c r="N322">
        <f t="shared" si="39"/>
        <v>-0.891445108452527</v>
      </c>
    </row>
    <row r="323" spans="7:14" x14ac:dyDescent="0.25">
      <c r="G323">
        <f t="shared" si="34"/>
        <v>5.3999999999999737</v>
      </c>
      <c r="H323">
        <f t="shared" ref="H323:H353" si="40">$B$3*10^G323</f>
        <v>2511886.4315094328</v>
      </c>
      <c r="I323" t="str">
        <f t="shared" si="35"/>
        <v>15782647.9197638j</v>
      </c>
      <c r="J323" t="str">
        <f t="shared" ref="J323:J353" si="41">IMDIV(IMPRODUCT(Aolv,IMSUM(1,IMPRODUCT(I323,C_L,R_I))),IMPRODUCT(IMSUM(1,IMDIV(I323,wc)),IMSUM(1,(IMPRODUCT(I323,R_O+R_I,C_L)))))</f>
        <v>-0.39720782062139-0.846551099738819j</v>
      </c>
      <c r="K323">
        <f t="shared" si="36"/>
        <v>-0.58278518409024971</v>
      </c>
      <c r="L323">
        <f t="shared" si="37"/>
        <v>-115.1363049503228</v>
      </c>
      <c r="M323">
        <f t="shared" si="38"/>
        <v>-0.39720782062138998</v>
      </c>
      <c r="N323">
        <f t="shared" si="39"/>
        <v>-0.84655109973881904</v>
      </c>
    </row>
    <row r="324" spans="7:14" x14ac:dyDescent="0.25">
      <c r="G324">
        <f t="shared" ref="G324:G353" si="42">G323+(1/ppd)</f>
        <v>5.4199999999999733</v>
      </c>
      <c r="H324">
        <f t="shared" si="40"/>
        <v>2630267.9918952221</v>
      </c>
      <c r="I324" t="str">
        <f t="shared" ref="I324:I353" si="43">COMPLEX(0,H324*2*PI(),"j")</f>
        <v>16526461.2006208j</v>
      </c>
      <c r="J324" t="str">
        <f t="shared" si="41"/>
        <v>-0.362762325223899-0.804281328716726j</v>
      </c>
      <c r="K324">
        <f t="shared" ref="K324:K353" si="44">20*LOG(IMABS(J324))</f>
        <v>-1.0876093079056361</v>
      </c>
      <c r="L324">
        <f t="shared" ref="L324:L353" si="45">DEGREES(IMARGUMENT(J324))</f>
        <v>-114.27723620057949</v>
      </c>
      <c r="M324">
        <f t="shared" ref="M324:M353" si="46">IMREAL(J324)</f>
        <v>-0.36276232522389901</v>
      </c>
      <c r="N324">
        <f t="shared" ref="N324:N353" si="47">IMAGINARY(J324)</f>
        <v>-0.80428132871672597</v>
      </c>
    </row>
    <row r="325" spans="7:14" x14ac:dyDescent="0.25">
      <c r="G325">
        <f t="shared" si="42"/>
        <v>5.4399999999999729</v>
      </c>
      <c r="H325">
        <f t="shared" si="40"/>
        <v>2754228.7033379986</v>
      </c>
      <c r="I325" t="str">
        <f t="shared" si="43"/>
        <v>17305329.3214256j</v>
      </c>
      <c r="J325" t="str">
        <f t="shared" si="41"/>
        <v>-0.331263905691441-0.764442244640358j</v>
      </c>
      <c r="K325">
        <f t="shared" si="44"/>
        <v>-1.5857312488537105</v>
      </c>
      <c r="L325">
        <f t="shared" si="45"/>
        <v>-113.42904615854916</v>
      </c>
      <c r="M325">
        <f t="shared" si="46"/>
        <v>-0.33126390569144099</v>
      </c>
      <c r="N325">
        <f t="shared" si="47"/>
        <v>-0.76444224464035804</v>
      </c>
    </row>
    <row r="326" spans="7:14" x14ac:dyDescent="0.25">
      <c r="G326">
        <f t="shared" si="42"/>
        <v>5.4599999999999724</v>
      </c>
      <c r="H326">
        <f t="shared" si="40"/>
        <v>2884031.5031264247</v>
      </c>
      <c r="I326" t="str">
        <f t="shared" si="43"/>
        <v>18120904.365887j</v>
      </c>
      <c r="J326" t="str">
        <f t="shared" si="41"/>
        <v>-0.302467074985235-0.726858248546501j</v>
      </c>
      <c r="K326">
        <f t="shared" si="44"/>
        <v>-2.0774195021317263</v>
      </c>
      <c r="L326">
        <f t="shared" si="45"/>
        <v>-112.59362975077475</v>
      </c>
      <c r="M326">
        <f t="shared" si="46"/>
        <v>-0.30246707498523501</v>
      </c>
      <c r="N326">
        <f t="shared" si="47"/>
        <v>-0.72685824854650105</v>
      </c>
    </row>
    <row r="327" spans="7:14" x14ac:dyDescent="0.25">
      <c r="G327">
        <f t="shared" si="42"/>
        <v>5.479999999999972</v>
      </c>
      <c r="H327">
        <f t="shared" si="40"/>
        <v>3019951.7204018258</v>
      </c>
      <c r="I327" t="str">
        <f t="shared" si="43"/>
        <v>18974916.2780205j</v>
      </c>
      <c r="J327" t="str">
        <f t="shared" si="41"/>
        <v>-0.276145684045969-0.691369791553346j</v>
      </c>
      <c r="K327">
        <f t="shared" si="44"/>
        <v>-2.5629537367467989</v>
      </c>
      <c r="L327">
        <f t="shared" si="45"/>
        <v>-111.77266738063214</v>
      </c>
      <c r="M327">
        <f t="shared" si="46"/>
        <v>-0.27614568404596901</v>
      </c>
      <c r="N327">
        <f t="shared" si="47"/>
        <v>-0.69136979155334599</v>
      </c>
    </row>
    <row r="328" spans="7:14" x14ac:dyDescent="0.25">
      <c r="G328">
        <f t="shared" si="42"/>
        <v>5.4999999999999716</v>
      </c>
      <c r="H328">
        <f t="shared" si="40"/>
        <v>3162277.6601681737</v>
      </c>
      <c r="I328" t="str">
        <f t="shared" si="43"/>
        <v>19869176.5315909j</v>
      </c>
      <c r="J328" t="str">
        <f t="shared" si="41"/>
        <v>-0.252091585837008-0.657831680398331j</v>
      </c>
      <c r="K328">
        <f t="shared" si="44"/>
        <v>-3.0426212385872842</v>
      </c>
      <c r="L328">
        <f t="shared" si="45"/>
        <v>-110.96762879531619</v>
      </c>
      <c r="M328">
        <f t="shared" si="46"/>
        <v>-0.25209158583700803</v>
      </c>
      <c r="N328">
        <f t="shared" si="47"/>
        <v>-0.65783168039833095</v>
      </c>
    </row>
    <row r="329" spans="7:14" x14ac:dyDescent="0.25">
      <c r="G329">
        <f t="shared" si="42"/>
        <v>5.5199999999999712</v>
      </c>
      <c r="H329">
        <f t="shared" si="40"/>
        <v>3311311.2148256949</v>
      </c>
      <c r="I329" t="str">
        <f t="shared" si="43"/>
        <v>20805581.9724918j</v>
      </c>
      <c r="J329" t="str">
        <f t="shared" si="41"/>
        <v>-0.230113358966904-0.626111568982705j</v>
      </c>
      <c r="K329">
        <f t="shared" si="44"/>
        <v>-3.5167136203480363</v>
      </c>
      <c r="L329">
        <f t="shared" si="45"/>
        <v>-110.17977944733536</v>
      </c>
      <c r="M329">
        <f t="shared" si="46"/>
        <v>-0.23011335896690399</v>
      </c>
      <c r="N329">
        <f t="shared" si="47"/>
        <v>-0.62611156898270504</v>
      </c>
    </row>
    <row r="330" spans="7:14" x14ac:dyDescent="0.25">
      <c r="G330">
        <f t="shared" si="42"/>
        <v>5.5399999999999707</v>
      </c>
      <c r="H330">
        <f t="shared" si="40"/>
        <v>3467368.5045250896</v>
      </c>
      <c r="I330" t="str">
        <f t="shared" si="43"/>
        <v>21786118.8422093j</v>
      </c>
      <c r="J330" t="str">
        <f t="shared" si="41"/>
        <v>-0.210035094576447-0.596088616459878j</v>
      </c>
      <c r="K330">
        <f t="shared" si="44"/>
        <v>-3.9855238325184912</v>
      </c>
      <c r="L330">
        <f t="shared" si="45"/>
        <v>-109.41018893759924</v>
      </c>
      <c r="M330">
        <f t="shared" si="46"/>
        <v>-0.21003509457644701</v>
      </c>
      <c r="N330">
        <f t="shared" si="47"/>
        <v>-0.59608861645987798</v>
      </c>
    </row>
    <row r="331" spans="7:14" x14ac:dyDescent="0.25">
      <c r="G331">
        <f t="shared" si="42"/>
        <v>5.5599999999999703</v>
      </c>
      <c r="H331">
        <f t="shared" si="40"/>
        <v>3630780.5477007688</v>
      </c>
      <c r="I331" t="str">
        <f t="shared" si="43"/>
        <v>22812866.9909069j</v>
      </c>
      <c r="J331" t="str">
        <f t="shared" si="41"/>
        <v>-0.191695248539991-0.567652294122302j</v>
      </c>
      <c r="K331">
        <f t="shared" si="44"/>
        <v>-4.4493434968733734</v>
      </c>
      <c r="L331">
        <f t="shared" si="45"/>
        <v>-108.65974112425785</v>
      </c>
      <c r="M331">
        <f t="shared" si="46"/>
        <v>-0.19169524853999101</v>
      </c>
      <c r="N331">
        <f t="shared" si="47"/>
        <v>-0.567652294122302</v>
      </c>
    </row>
    <row r="332" spans="7:14" x14ac:dyDescent="0.25">
      <c r="G332">
        <f t="shared" si="42"/>
        <v>5.5799999999999699</v>
      </c>
      <c r="H332">
        <f t="shared" si="40"/>
        <v>3801893.9632053552</v>
      </c>
      <c r="I332" t="str">
        <f t="shared" si="43"/>
        <v>23888004.2890667j</v>
      </c>
      <c r="J332" t="str">
        <f t="shared" si="41"/>
        <v>-0.174945559716632-0.540701324984132j</v>
      </c>
      <c r="K332">
        <f t="shared" si="44"/>
        <v>-4.9084605722644463</v>
      </c>
      <c r="L332">
        <f t="shared" si="45"/>
        <v>-107.9291454940854</v>
      </c>
      <c r="M332">
        <f t="shared" si="46"/>
        <v>-0.174945559716632</v>
      </c>
      <c r="N332">
        <f t="shared" si="47"/>
        <v>-0.54070132498413204</v>
      </c>
    </row>
    <row r="333" spans="7:14" x14ac:dyDescent="0.25">
      <c r="G333">
        <f t="shared" si="42"/>
        <v>5.5999999999999694</v>
      </c>
      <c r="H333">
        <f t="shared" si="40"/>
        <v>3981071.7055346956</v>
      </c>
      <c r="I333" t="str">
        <f t="shared" si="43"/>
        <v>25013811.247044j</v>
      </c>
      <c r="J333" t="str">
        <f t="shared" si="41"/>
        <v>-0.159650033944821-0.515142741506022j</v>
      </c>
      <c r="K333">
        <f t="shared" si="44"/>
        <v>-5.3631573523668239</v>
      </c>
      <c r="L333">
        <f t="shared" si="45"/>
        <v>-107.2189494181342</v>
      </c>
      <c r="M333">
        <f t="shared" si="46"/>
        <v>-0.159650033944821</v>
      </c>
      <c r="N333">
        <f t="shared" si="47"/>
        <v>-0.51514274150602202</v>
      </c>
    </row>
    <row r="334" spans="7:14" x14ac:dyDescent="0.25">
      <c r="G334">
        <f t="shared" si="42"/>
        <v>5.619999999999969</v>
      </c>
      <c r="H334">
        <f t="shared" si="40"/>
        <v>4168693.8347030636</v>
      </c>
      <c r="I334" t="str">
        <f t="shared" si="43"/>
        <v>26192675.8523364j</v>
      </c>
      <c r="J334" t="str">
        <f t="shared" si="41"/>
        <v>-0.145683992662218-0.490891048356296j</v>
      </c>
      <c r="K334">
        <f t="shared" si="44"/>
        <v>-5.8137087865497001</v>
      </c>
      <c r="L334">
        <f t="shared" si="45"/>
        <v>-106.52955094730616</v>
      </c>
      <c r="M334">
        <f t="shared" si="46"/>
        <v>-0.14568399266221799</v>
      </c>
      <c r="N334">
        <f t="shared" si="47"/>
        <v>-0.49089104835629599</v>
      </c>
    </row>
    <row r="335" spans="7:14" x14ac:dyDescent="0.25">
      <c r="G335">
        <f t="shared" si="42"/>
        <v>5.6399999999999686</v>
      </c>
      <c r="H335">
        <f t="shared" si="40"/>
        <v>4365158.3224013466</v>
      </c>
      <c r="I335" t="str">
        <f t="shared" si="43"/>
        <v>27427098.6348248j</v>
      </c>
      <c r="J335" t="str">
        <f t="shared" si="41"/>
        <v>-0.132933184412936-0.467867478442466j</v>
      </c>
      <c r="K335">
        <f t="shared" si="44"/>
        <v>-6.2603811083110728</v>
      </c>
      <c r="L335">
        <f t="shared" si="45"/>
        <v>-105.86121184326657</v>
      </c>
      <c r="M335">
        <f t="shared" si="46"/>
        <v>-0.132933184412936</v>
      </c>
      <c r="N335">
        <f t="shared" si="47"/>
        <v>-0.46786747844246601</v>
      </c>
    </row>
    <row r="336" spans="7:14" x14ac:dyDescent="0.25">
      <c r="G336">
        <f t="shared" si="42"/>
        <v>5.6599999999999682</v>
      </c>
      <c r="H336">
        <f t="shared" si="40"/>
        <v>4570881.8961484218</v>
      </c>
      <c r="I336" t="str">
        <f t="shared" si="43"/>
        <v>28719697.9707329j</v>
      </c>
      <c r="J336" t="str">
        <f t="shared" si="41"/>
        <v>-0.121292957044519-0.445999331679705j</v>
      </c>
      <c r="K336">
        <f t="shared" si="44"/>
        <v>-6.7034307506652926</v>
      </c>
      <c r="L336">
        <f t="shared" si="45"/>
        <v>-105.21407058291764</v>
      </c>
      <c r="M336">
        <f t="shared" si="46"/>
        <v>-0.12129295704451901</v>
      </c>
      <c r="N336">
        <f t="shared" si="47"/>
        <v>-0.44599933167970501</v>
      </c>
    </row>
    <row r="337" spans="7:14" x14ac:dyDescent="0.25">
      <c r="G337">
        <f t="shared" si="42"/>
        <v>5.6799999999999677</v>
      </c>
      <c r="H337">
        <f t="shared" si="40"/>
        <v>4786300.9232260305</v>
      </c>
      <c r="I337" t="str">
        <f t="shared" si="43"/>
        <v>30073215.6365539j</v>
      </c>
      <c r="J337" t="str">
        <f t="shared" si="41"/>
        <v>-0.110667488068624-0.425219387088583j</v>
      </c>
      <c r="K337">
        <f t="shared" si="44"/>
        <v>-7.1431035244013144</v>
      </c>
      <c r="L337">
        <f t="shared" si="45"/>
        <v>-104.58815511810985</v>
      </c>
      <c r="M337">
        <f t="shared" si="46"/>
        <v>-0.110667488068624</v>
      </c>
      <c r="N337">
        <f t="shared" si="47"/>
        <v>-0.42521938708858298</v>
      </c>
    </row>
    <row r="338" spans="7:14" x14ac:dyDescent="0.25">
      <c r="G338">
        <f t="shared" si="42"/>
        <v>5.6999999999999673</v>
      </c>
      <c r="H338">
        <f t="shared" si="40"/>
        <v>5011872.3362723524</v>
      </c>
      <c r="I338" t="str">
        <f t="shared" si="43"/>
        <v>31490522.6247263j</v>
      </c>
      <c r="J338" t="str">
        <f t="shared" si="41"/>
        <v>-0.100969070438482-0.405465379837929j</v>
      </c>
      <c r="K338">
        <f t="shared" si="44"/>
        <v>-7.5796340330471565</v>
      </c>
      <c r="L338">
        <f t="shared" si="45"/>
        <v>-103.98339521449724</v>
      </c>
      <c r="M338">
        <f t="shared" si="46"/>
        <v>-0.10096907043848199</v>
      </c>
      <c r="N338">
        <f t="shared" si="47"/>
        <v>-0.40546537983792902</v>
      </c>
    </row>
    <row r="339" spans="7:14" x14ac:dyDescent="0.25">
      <c r="G339">
        <f t="shared" si="42"/>
        <v>5.7199999999999669</v>
      </c>
      <c r="H339">
        <f t="shared" si="40"/>
        <v>5248074.6024973365</v>
      </c>
      <c r="I339" t="str">
        <f t="shared" si="43"/>
        <v>32974625.2333936j</v>
      </c>
      <c r="J339" t="str">
        <f t="shared" si="41"/>
        <v>-0.0921174508622311-0.386679535774875j</v>
      </c>
      <c r="K339">
        <f t="shared" si="44"/>
        <v>-8.013245297480605</v>
      </c>
      <c r="L339">
        <f t="shared" si="45"/>
        <v>-103.39963423304276</v>
      </c>
      <c r="M339">
        <f t="shared" si="46"/>
        <v>-9.2117450862231096E-2</v>
      </c>
      <c r="N339">
        <f t="shared" si="47"/>
        <v>-0.38667953577487502</v>
      </c>
    </row>
    <row r="340" spans="7:14" x14ac:dyDescent="0.25">
      <c r="G340">
        <f t="shared" si="42"/>
        <v>5.7399999999999665</v>
      </c>
      <c r="H340">
        <f t="shared" si="40"/>
        <v>5495408.7385758273</v>
      </c>
      <c r="I340" t="str">
        <f t="shared" si="43"/>
        <v>34528671.4431659j</v>
      </c>
      <c r="J340" t="str">
        <f t="shared" si="41"/>
        <v>-0.0840392177067006-0.368808156818727j</v>
      </c>
      <c r="K340">
        <f t="shared" si="44"/>
        <v>-8.4441485632069977</v>
      </c>
      <c r="L340">
        <f t="shared" si="45"/>
        <v>-102.83664025368702</v>
      </c>
      <c r="M340">
        <f t="shared" si="46"/>
        <v>-8.40392177067006E-2</v>
      </c>
      <c r="N340">
        <f t="shared" si="47"/>
        <v>-0.36880815681872697</v>
      </c>
    </row>
    <row r="341" spans="7:14" x14ac:dyDescent="0.25">
      <c r="G341">
        <f t="shared" si="42"/>
        <v>5.759999999999966</v>
      </c>
      <c r="H341">
        <f t="shared" si="40"/>
        <v>5754399.3733711299</v>
      </c>
      <c r="I341" t="str">
        <f t="shared" si="43"/>
        <v>36155957.5944089j</v>
      </c>
      <c r="J341" t="str">
        <f t="shared" si="41"/>
        <v>-0.0766672355367912-0.351801251345233j</v>
      </c>
      <c r="K341">
        <f t="shared" si="44"/>
        <v>-8.8725432641607842</v>
      </c>
      <c r="L341">
        <f t="shared" si="45"/>
        <v>-102.29411647254793</v>
      </c>
      <c r="M341">
        <f t="shared" si="46"/>
        <v>-7.6667235536791195E-2</v>
      </c>
      <c r="N341">
        <f t="shared" si="47"/>
        <v>-0.35180125134523299</v>
      </c>
    </row>
    <row r="342" spans="7:14" x14ac:dyDescent="0.25">
      <c r="G342">
        <f t="shared" si="42"/>
        <v>5.7799999999999656</v>
      </c>
      <c r="H342">
        <f t="shared" si="40"/>
        <v>6025595.8607431054</v>
      </c>
      <c r="I342" t="str">
        <f t="shared" si="43"/>
        <v>37859935.3792232j</v>
      </c>
      <c r="J342" t="str">
        <f t="shared" si="41"/>
        <v>-0.0699401233689567-0.335612204359252j</v>
      </c>
      <c r="K342">
        <f t="shared" si="44"/>
        <v>-9.2986171182915687</v>
      </c>
      <c r="L342">
        <f t="shared" si="45"/>
        <v>-101.77171083147462</v>
      </c>
      <c r="M342">
        <f t="shared" si="46"/>
        <v>-6.9940123368956705E-2</v>
      </c>
      <c r="N342">
        <f t="shared" si="47"/>
        <v>-0.33561220435925199</v>
      </c>
    </row>
    <row r="343" spans="7:14" x14ac:dyDescent="0.25">
      <c r="G343">
        <f t="shared" si="42"/>
        <v>5.7999999999999652</v>
      </c>
      <c r="H343">
        <f t="shared" si="40"/>
        <v>6309573.4448014377</v>
      </c>
      <c r="I343" t="str">
        <f t="shared" si="43"/>
        <v>39644219.1629469j</v>
      </c>
      <c r="J343" t="str">
        <f t="shared" si="41"/>
        <v>-0.0638017737833609-0.320197482853478j</v>
      </c>
      <c r="K343">
        <f t="shared" si="44"/>
        <v>-9.7225463319922607</v>
      </c>
      <c r="L343">
        <f t="shared" si="45"/>
        <v>-101.26902486183801</v>
      </c>
      <c r="M343">
        <f t="shared" si="46"/>
        <v>-6.3801773783360896E-2</v>
      </c>
      <c r="N343">
        <f t="shared" si="47"/>
        <v>-0.32019748285347799</v>
      </c>
    </row>
    <row r="344" spans="7:14" x14ac:dyDescent="0.25">
      <c r="G344">
        <f t="shared" si="42"/>
        <v>5.8199999999999648</v>
      </c>
      <c r="H344">
        <f t="shared" si="40"/>
        <v>6606934.4800754283</v>
      </c>
      <c r="I344" t="str">
        <f t="shared" si="43"/>
        <v>41512593.6507081j</v>
      </c>
      <c r="J344" t="str">
        <f t="shared" si="41"/>
        <v>-0.0582009101298821-0.305516372285476j</v>
      </c>
      <c r="K344">
        <f t="shared" si="44"/>
        <v>-10.144495892460551</v>
      </c>
      <c r="L344">
        <f t="shared" si="45"/>
        <v>-100.7856217433047</v>
      </c>
      <c r="M344">
        <f t="shared" si="46"/>
        <v>-5.82009101298821E-2</v>
      </c>
      <c r="N344">
        <f t="shared" si="47"/>
        <v>-0.30551637228547601</v>
      </c>
    </row>
    <row r="345" spans="7:14" x14ac:dyDescent="0.25">
      <c r="G345">
        <f t="shared" si="42"/>
        <v>5.8399999999999643</v>
      </c>
      <c r="H345">
        <f t="shared" si="40"/>
        <v>6918309.7091888068</v>
      </c>
      <c r="I345" t="str">
        <f t="shared" si="43"/>
        <v>43469021.915293j</v>
      </c>
      <c r="J345" t="str">
        <f t="shared" si="41"/>
        <v>-0.0530906791712658-0.291530740580325j</v>
      </c>
      <c r="K345">
        <f t="shared" si="44"/>
        <v>-10.56461992924865</v>
      </c>
      <c r="L345">
        <f t="shared" si="45"/>
        <v>-100.32103359332352</v>
      </c>
      <c r="M345">
        <f t="shared" si="46"/>
        <v>-5.3090679171265802E-2</v>
      </c>
      <c r="N345">
        <f t="shared" si="47"/>
        <v>-0.29153074058032502</v>
      </c>
    </row>
    <row r="346" spans="7:14" x14ac:dyDescent="0.25">
      <c r="G346">
        <f t="shared" si="42"/>
        <v>5.8599999999999639</v>
      </c>
      <c r="H346">
        <f t="shared" si="40"/>
        <v>7244359.6007493027</v>
      </c>
      <c r="I346" t="str">
        <f t="shared" si="43"/>
        <v>45517653.8033534j</v>
      </c>
      <c r="J346" t="str">
        <f t="shared" si="41"/>
        <v>-0.0484282766270727-0.278204826488177j</v>
      </c>
      <c r="K346">
        <f t="shared" si="44"/>
        <v>-10.983062128434991</v>
      </c>
      <c r="L346">
        <f t="shared" si="45"/>
        <v>-99.8747680145582</v>
      </c>
      <c r="M346">
        <f t="shared" si="46"/>
        <v>-4.8428276627072699E-2</v>
      </c>
      <c r="N346">
        <f t="shared" si="47"/>
        <v>-0.27820482648817701</v>
      </c>
    </row>
    <row r="347" spans="7:14" x14ac:dyDescent="0.25">
      <c r="G347">
        <f t="shared" si="42"/>
        <v>5.8799999999999635</v>
      </c>
      <c r="H347">
        <f t="shared" si="40"/>
        <v>7585775.7502912087</v>
      </c>
      <c r="I347" t="str">
        <f t="shared" si="43"/>
        <v>47662834.7377889j</v>
      </c>
      <c r="J347" t="str">
        <f t="shared" si="41"/>
        <v>-0.0441746032100087-0.265505049499833j</v>
      </c>
      <c r="K347">
        <f t="shared" si="44"/>
        <v>-11.399956184986237</v>
      </c>
      <c r="L347">
        <f t="shared" si="45"/>
        <v>-99.446313935954237</v>
      </c>
      <c r="M347">
        <f t="shared" si="46"/>
        <v>-4.4174603210008698E-2</v>
      </c>
      <c r="N347">
        <f t="shared" si="47"/>
        <v>-0.265505049499833</v>
      </c>
    </row>
    <row r="348" spans="7:14" x14ac:dyDescent="0.25">
      <c r="G348">
        <f t="shared" si="42"/>
        <v>5.8999999999999631</v>
      </c>
      <c r="H348">
        <f t="shared" si="40"/>
        <v>7943282.347242156</v>
      </c>
      <c r="I348" t="str">
        <f t="shared" si="43"/>
        <v>49909114.9349709j</v>
      </c>
      <c r="J348" t="str">
        <f t="shared" si="41"/>
        <v>-0.0402939488783347-0.253399838854298j</v>
      </c>
      <c r="K348">
        <f t="shared" si="44"/>
        <v>-11.815426280907843</v>
      </c>
      <c r="L348">
        <f t="shared" si="45"/>
        <v>-99.035146788984378</v>
      </c>
      <c r="M348">
        <f t="shared" si="46"/>
        <v>-4.02939488783347E-2</v>
      </c>
      <c r="N348">
        <f t="shared" si="47"/>
        <v>-0.25339983885429801</v>
      </c>
    </row>
    <row r="349" spans="7:14" x14ac:dyDescent="0.25">
      <c r="G349">
        <f t="shared" si="42"/>
        <v>5.9199999999999626</v>
      </c>
      <c r="H349">
        <f t="shared" si="40"/>
        <v>8317637.7110260036</v>
      </c>
      <c r="I349" t="str">
        <f t="shared" si="43"/>
        <v>52261259.0563614j</v>
      </c>
      <c r="J349" t="str">
        <f t="shared" si="41"/>
        <v>-0.036753703161459-0.24185947946474j</v>
      </c>
      <c r="K349">
        <f t="shared" si="44"/>
        <v>-12.229587578671248</v>
      </c>
      <c r="L349">
        <f t="shared" si="45"/>
        <v>-98.64073306429151</v>
      </c>
      <c r="M349">
        <f t="shared" si="46"/>
        <v>-3.6753703161458998E-2</v>
      </c>
      <c r="N349">
        <f t="shared" si="47"/>
        <v>-0.24185947946474001</v>
      </c>
    </row>
    <row r="350" spans="7:14" x14ac:dyDescent="0.25">
      <c r="G350">
        <f t="shared" si="42"/>
        <v>5.9399999999999622</v>
      </c>
      <c r="H350">
        <f t="shared" si="40"/>
        <v>8709635.8995600641</v>
      </c>
      <c r="I350" t="str">
        <f t="shared" si="43"/>
        <v>54724256.3149997j</v>
      </c>
      <c r="J350" t="str">
        <f t="shared" si="41"/>
        <v>-0.0335240895483716-0.230855972847457j</v>
      </c>
      <c r="K350">
        <f t="shared" si="44"/>
        <v>-12.642546721135627</v>
      </c>
      <c r="L350">
        <f t="shared" si="45"/>
        <v>-98.262534295847189</v>
      </c>
      <c r="M350">
        <f t="shared" si="46"/>
        <v>-3.3524089548371598E-2</v>
      </c>
      <c r="N350">
        <f t="shared" si="47"/>
        <v>-0.23085597284745701</v>
      </c>
    </row>
    <row r="351" spans="7:14" x14ac:dyDescent="0.25">
      <c r="G351">
        <f t="shared" si="42"/>
        <v>5.9599999999999618</v>
      </c>
      <c r="H351">
        <f t="shared" si="40"/>
        <v>9120108.3935583029</v>
      </c>
      <c r="I351" t="str">
        <f t="shared" si="43"/>
        <v>57303331.0582907j</v>
      </c>
      <c r="J351" t="str">
        <f t="shared" si="41"/>
        <v>-0.030577922058625-0.22036291136627j</v>
      </c>
      <c r="K351">
        <f t="shared" si="44"/>
        <v>-13.054402330736728</v>
      </c>
      <c r="L351">
        <f t="shared" si="45"/>
        <v>-97.900010520222565</v>
      </c>
      <c r="M351">
        <f t="shared" si="46"/>
        <v>-3.0577922058625001E-2</v>
      </c>
      <c r="N351">
        <f t="shared" si="47"/>
        <v>-0.22036291136627001</v>
      </c>
    </row>
    <row r="352" spans="7:14" x14ac:dyDescent="0.25">
      <c r="G352">
        <f t="shared" si="42"/>
        <v>5.9799999999999613</v>
      </c>
      <c r="H352">
        <f t="shared" si="40"/>
        <v>9549925.8602135256</v>
      </c>
      <c r="I352" t="str">
        <f t="shared" si="43"/>
        <v>60003953.849548j</v>
      </c>
      <c r="J352" t="str">
        <f t="shared" si="41"/>
        <v>-0.0278903822418045-0.210355364305388j</v>
      </c>
      <c r="K352">
        <f t="shared" si="44"/>
        <v>-13.465245502100981</v>
      </c>
      <c r="L352">
        <f t="shared" si="45"/>
        <v>-97.55262325794304</v>
      </c>
      <c r="M352">
        <f t="shared" si="46"/>
        <v>-2.7890382241804498E-2</v>
      </c>
      <c r="N352">
        <f t="shared" si="47"/>
        <v>-0.21035536430538801</v>
      </c>
    </row>
    <row r="353" spans="7:14" x14ac:dyDescent="0.25">
      <c r="G353">
        <f t="shared" si="42"/>
        <v>5.9999999999999609</v>
      </c>
      <c r="H353">
        <f t="shared" si="40"/>
        <v>9999999.9999991078</v>
      </c>
      <c r="I353" t="str">
        <f t="shared" si="43"/>
        <v>62831853.0717903j</v>
      </c>
      <c r="J353" t="str">
        <f t="shared" si="41"/>
        <v>-0.0254388149730352-0.200809774460678j</v>
      </c>
      <c r="K353">
        <f t="shared" si="44"/>
        <v>-13.875160283451219</v>
      </c>
      <c r="L353">
        <f t="shared" si="45"/>
        <v>-97.21983806244468</v>
      </c>
      <c r="M353">
        <f t="shared" si="46"/>
        <v>-2.5438814973035202E-2</v>
      </c>
      <c r="N353">
        <f t="shared" si="47"/>
        <v>-0.20080977446067799</v>
      </c>
    </row>
  </sheetData>
  <conditionalFormatting sqref="B17">
    <cfRule type="cellIs" dxfId="5" priority="1" operator="lessThan">
      <formula>45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C368B-E6A4-4D2F-9E16-00E72B920289}">
  <sheetPr codeName="Sheet7"/>
  <dimension ref="A1:S353"/>
  <sheetViews>
    <sheetView showGridLines="0" zoomScaleNormal="100" workbookViewId="0">
      <selection activeCell="D22" sqref="D22"/>
    </sheetView>
  </sheetViews>
  <sheetFormatPr defaultRowHeight="15" x14ac:dyDescent="0.25"/>
  <cols>
    <col min="1" max="1" width="27.85546875" customWidth="1"/>
    <col min="2" max="2" width="13.140625" customWidth="1"/>
    <col min="3" max="3" width="5.7109375" customWidth="1"/>
    <col min="4" max="4" width="86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28.28515625" customWidth="1"/>
    <col min="11" max="11" width="0" hidden="1" customWidth="1"/>
    <col min="12" max="12" width="9.140625" hidden="1" customWidth="1"/>
    <col min="15" max="15" width="39.42578125" bestFit="1" customWidth="1"/>
    <col min="16" max="16" width="0" hidden="1" customWidth="1"/>
    <col min="17" max="17" width="9.140625" hidden="1" customWidth="1"/>
    <col min="19" max="19" width="15" customWidth="1"/>
  </cols>
  <sheetData>
    <row r="1" spans="1:19" ht="15" customHeight="1" x14ac:dyDescent="0.25">
      <c r="A1" s="1" t="s">
        <v>43</v>
      </c>
      <c r="F1" s="6" t="s">
        <v>46</v>
      </c>
      <c r="G1" s="5">
        <v>50</v>
      </c>
    </row>
    <row r="2" spans="1:19" ht="15" customHeight="1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37</v>
      </c>
      <c r="K2" s="3" t="s">
        <v>5</v>
      </c>
      <c r="L2" s="18" t="s">
        <v>39</v>
      </c>
      <c r="M2" s="3" t="s">
        <v>7</v>
      </c>
      <c r="N2" s="3" t="s">
        <v>8</v>
      </c>
      <c r="O2" s="3" t="s">
        <v>38</v>
      </c>
      <c r="P2" s="3" t="s">
        <v>5</v>
      </c>
      <c r="Q2" s="18" t="s">
        <v>40</v>
      </c>
      <c r="R2" s="18" t="s">
        <v>42</v>
      </c>
      <c r="S2" s="18" t="s">
        <v>41</v>
      </c>
    </row>
    <row r="3" spans="1:19" ht="15" customHeight="1" x14ac:dyDescent="0.35">
      <c r="A3" s="6" t="s">
        <v>22</v>
      </c>
      <c r="B3" s="5">
        <v>10</v>
      </c>
      <c r="C3" t="s">
        <v>10</v>
      </c>
      <c r="F3" s="6" t="s">
        <v>25</v>
      </c>
      <c r="G3" s="5">
        <v>-1</v>
      </c>
      <c r="H3">
        <f t="shared" ref="H3:H66" si="0">$B$3*10^G3</f>
        <v>1</v>
      </c>
      <c r="I3" t="str">
        <f>COMPLEX(0,H3*2*PI(),"j")</f>
        <v>6.28318530717959j</v>
      </c>
      <c r="J3" t="str">
        <f t="shared" ref="J3:J66" si="1">IMSUM(1,IMDIV(IMPRODUCT(R_f,IMSUM(1,IMPRODUCT(I3,C_s,R_1))),R_1))</f>
        <v>5+7.53982236861552E-06j</v>
      </c>
      <c r="K3">
        <f>20*LOG(IMABS(J3))</f>
        <v>13.979400086730251</v>
      </c>
      <c r="L3">
        <f>DEGREES(IMARGUMENT(J3))</f>
        <v>8.639999999993469E-5</v>
      </c>
      <c r="M3">
        <f>IMREAL(J3)</f>
        <v>5</v>
      </c>
      <c r="N3">
        <f>IMAGINARY(J3)</f>
        <v>7.5398223686155202E-6</v>
      </c>
      <c r="O3" t="str">
        <f t="shared" ref="O3:O66" si="2">IMDIV(Aolv,IMSUM(1,IMDIV(I3,wc)))</f>
        <v>990099.00990099-99009.900990099j</v>
      </c>
      <c r="P3">
        <f>20*LOG(IMABS(O3))</f>
        <v>119.95678626217357</v>
      </c>
      <c r="Q3">
        <f>DEGREES(IMARGUMENT(O3))</f>
        <v>-5.710593137499643</v>
      </c>
      <c r="R3">
        <f t="shared" ref="R3:R66" si="3">P3-K3</f>
        <v>105.97738617544331</v>
      </c>
      <c r="S3">
        <f>(Q3-L3)-(-180)</f>
        <v>174.28932046250037</v>
      </c>
    </row>
    <row r="4" spans="1:19" ht="15" customHeight="1" x14ac:dyDescent="0.35">
      <c r="A4" s="6" t="s">
        <v>27</v>
      </c>
      <c r="B4" s="5">
        <v>120</v>
      </c>
      <c r="C4" t="s">
        <v>17</v>
      </c>
      <c r="G4">
        <f t="shared" ref="G4:G11" si="4">G3+(1/ppd)</f>
        <v>-0.98</v>
      </c>
      <c r="H4">
        <f t="shared" si="0"/>
        <v>1.0471285480508996</v>
      </c>
      <c r="I4" t="str">
        <f t="shared" ref="I4:I67" si="5">COMPLEX(0,H4*2*PI(),"j")</f>
        <v>6.57930270784171j</v>
      </c>
      <c r="J4" t="str">
        <f t="shared" si="1"/>
        <v>5+7.89516324941004E-06j</v>
      </c>
      <c r="K4">
        <f t="shared" ref="K4:K67" si="6">20*LOG(IMABS(J4))</f>
        <v>13.979400086731204</v>
      </c>
      <c r="L4">
        <f t="shared" ref="L4:L67" si="7">DEGREES(IMARGUMENT(J4))</f>
        <v>9.0471906551522458E-5</v>
      </c>
      <c r="M4">
        <f t="shared" ref="M4:M67" si="8">IMREAL(J4)</f>
        <v>5</v>
      </c>
      <c r="N4">
        <f t="shared" ref="N4:N67" si="9">IMAGINARY(J4)</f>
        <v>7.8951632494100396E-6</v>
      </c>
      <c r="O4" t="str">
        <f t="shared" si="2"/>
        <v>989154.140522919-103577.15389643j</v>
      </c>
      <c r="P4">
        <f t="shared" ref="P4:P67" si="10">20*LOG(IMABS(O4))</f>
        <v>119.9526397325788</v>
      </c>
      <c r="Q4">
        <f t="shared" ref="Q4:Q67" si="11">DEGREES(IMARGUMENT(O4))</f>
        <v>-5.9778196640987522</v>
      </c>
      <c r="R4">
        <f t="shared" si="3"/>
        <v>105.9732396458476</v>
      </c>
      <c r="S4">
        <f t="shared" ref="S4:S67" si="12">(Q4-L4)-(-180)</f>
        <v>174.02208986399469</v>
      </c>
    </row>
    <row r="5" spans="1:19" ht="15" customHeight="1" x14ac:dyDescent="0.35">
      <c r="A5" s="6" t="s">
        <v>35</v>
      </c>
      <c r="B5" s="13">
        <v>4000</v>
      </c>
      <c r="C5" t="s">
        <v>12</v>
      </c>
      <c r="G5">
        <f t="shared" si="4"/>
        <v>-0.96</v>
      </c>
      <c r="H5">
        <f t="shared" si="0"/>
        <v>1.0964781961431849</v>
      </c>
      <c r="I5" t="str">
        <f t="shared" si="5"/>
        <v>6.88937569164964j</v>
      </c>
      <c r="J5" t="str">
        <f t="shared" si="1"/>
        <v>5+8.26725082997956E-06j</v>
      </c>
      <c r="K5">
        <f t="shared" si="6"/>
        <v>13.97940008673225</v>
      </c>
      <c r="L5">
        <f t="shared" si="7"/>
        <v>9.4735716146684807E-5</v>
      </c>
      <c r="M5">
        <f t="shared" si="8"/>
        <v>5</v>
      </c>
      <c r="N5">
        <f t="shared" si="9"/>
        <v>8.2672508299795596E-6</v>
      </c>
      <c r="O5" t="str">
        <f t="shared" si="2"/>
        <v>988120.182474828-108345.223525268j</v>
      </c>
      <c r="P5">
        <f t="shared" si="10"/>
        <v>119.94809769902774</v>
      </c>
      <c r="Q5">
        <f t="shared" si="11"/>
        <v>-6.2573605177506941</v>
      </c>
      <c r="R5">
        <f t="shared" si="3"/>
        <v>105.96869761229549</v>
      </c>
      <c r="S5">
        <f t="shared" si="12"/>
        <v>173.74254474653316</v>
      </c>
    </row>
    <row r="6" spans="1:19" ht="15" customHeight="1" x14ac:dyDescent="0.35">
      <c r="A6" s="6" t="s">
        <v>36</v>
      </c>
      <c r="B6" s="13">
        <v>3E-10</v>
      </c>
      <c r="C6" t="s">
        <v>11</v>
      </c>
      <c r="G6">
        <f t="shared" si="4"/>
        <v>-0.94</v>
      </c>
      <c r="H6">
        <f t="shared" si="0"/>
        <v>1.148153621496883</v>
      </c>
      <c r="I6" t="str">
        <f t="shared" si="5"/>
        <v>7.21406196497425j</v>
      </c>
      <c r="J6" t="str">
        <f t="shared" si="1"/>
        <v>5+8.65687435796908E-06j</v>
      </c>
      <c r="K6">
        <f t="shared" si="6"/>
        <v>13.979400086733396</v>
      </c>
      <c r="L6">
        <f t="shared" si="7"/>
        <v>9.9200472897231383E-5</v>
      </c>
      <c r="M6">
        <f t="shared" si="8"/>
        <v>5</v>
      </c>
      <c r="N6">
        <f t="shared" si="9"/>
        <v>8.6568743579690804E-6</v>
      </c>
      <c r="O6" t="str">
        <f t="shared" si="2"/>
        <v>986988.951636248-113321.493919857j</v>
      </c>
      <c r="P6">
        <f t="shared" si="10"/>
        <v>119.94312291200268</v>
      </c>
      <c r="Q6">
        <f t="shared" si="11"/>
        <v>-6.5497552930741145</v>
      </c>
      <c r="R6">
        <f t="shared" si="3"/>
        <v>105.96372282526929</v>
      </c>
      <c r="S6">
        <f t="shared" si="12"/>
        <v>173.450145506453</v>
      </c>
    </row>
    <row r="7" spans="1:19" ht="15" customHeight="1" x14ac:dyDescent="0.25">
      <c r="A7" s="6" t="s">
        <v>34</v>
      </c>
      <c r="B7" s="13">
        <v>1000</v>
      </c>
      <c r="C7" t="s">
        <v>12</v>
      </c>
      <c r="G7">
        <f t="shared" si="4"/>
        <v>-0.91999999999999993</v>
      </c>
      <c r="H7">
        <f t="shared" si="0"/>
        <v>1.2022644346174129</v>
      </c>
      <c r="I7" t="str">
        <f t="shared" si="5"/>
        <v>7.5540502309327j</v>
      </c>
      <c r="J7" t="str">
        <f t="shared" si="1"/>
        <v>5+9.06486027711924E-06j</v>
      </c>
      <c r="K7">
        <f t="shared" si="6"/>
        <v>13.97940008673465</v>
      </c>
      <c r="L7">
        <f t="shared" si="7"/>
        <v>1.0387564715083066E-4</v>
      </c>
      <c r="M7">
        <f t="shared" si="8"/>
        <v>5</v>
      </c>
      <c r="N7">
        <f t="shared" si="9"/>
        <v>9.0648602771192402E-6</v>
      </c>
      <c r="O7" t="str">
        <f t="shared" si="2"/>
        <v>985751.554983522-118513.40359255j</v>
      </c>
      <c r="P7">
        <f t="shared" si="10"/>
        <v>119.93767470827919</v>
      </c>
      <c r="Q7">
        <f t="shared" si="11"/>
        <v>-6.8555631473533358</v>
      </c>
      <c r="R7">
        <f t="shared" si="3"/>
        <v>105.95827462154455</v>
      </c>
      <c r="S7">
        <f t="shared" si="12"/>
        <v>173.14433297699952</v>
      </c>
    </row>
    <row r="8" spans="1:19" ht="15" customHeight="1" x14ac:dyDescent="0.25">
      <c r="G8">
        <f t="shared" si="4"/>
        <v>-0.89999999999999991</v>
      </c>
      <c r="H8">
        <f t="shared" si="0"/>
        <v>1.2589254117941673</v>
      </c>
      <c r="I8" t="str">
        <f t="shared" si="5"/>
        <v>7.91006165022012j</v>
      </c>
      <c r="J8" t="str">
        <f t="shared" si="1"/>
        <v>5+9.49207398026416E-06j</v>
      </c>
      <c r="K8">
        <f t="shared" si="6"/>
        <v>13.979400086736028</v>
      </c>
      <c r="L8">
        <f t="shared" si="7"/>
        <v>1.0877115557888554E-4</v>
      </c>
      <c r="M8">
        <f t="shared" si="8"/>
        <v>5</v>
      </c>
      <c r="N8">
        <f t="shared" si="9"/>
        <v>9.4920739802641601E-6</v>
      </c>
      <c r="O8" t="str">
        <f t="shared" si="2"/>
        <v>984398.33775817-123928.40827317j</v>
      </c>
      <c r="P8">
        <f t="shared" si="10"/>
        <v>119.93170871687546</v>
      </c>
      <c r="Q8">
        <f t="shared" si="11"/>
        <v>-7.1753628965097134</v>
      </c>
      <c r="R8">
        <f t="shared" si="3"/>
        <v>105.95230863013944</v>
      </c>
      <c r="S8">
        <f t="shared" si="12"/>
        <v>172.82452833233469</v>
      </c>
    </row>
    <row r="9" spans="1:19" ht="15" customHeight="1" x14ac:dyDescent="0.25">
      <c r="B9" s="2" t="s">
        <v>13</v>
      </c>
      <c r="G9">
        <f t="shared" si="4"/>
        <v>-0.87999999999999989</v>
      </c>
      <c r="H9">
        <f t="shared" si="0"/>
        <v>1.318256738556407</v>
      </c>
      <c r="I9" t="str">
        <f t="shared" si="5"/>
        <v>8.2828513707881j</v>
      </c>
      <c r="J9" t="str">
        <f t="shared" si="1"/>
        <v>5+9.93942164494572E-06j</v>
      </c>
      <c r="K9">
        <f t="shared" si="6"/>
        <v>13.979400086737536</v>
      </c>
      <c r="L9">
        <f t="shared" si="7"/>
        <v>1.1389738221112356E-4</v>
      </c>
      <c r="M9">
        <f t="shared" si="8"/>
        <v>5</v>
      </c>
      <c r="N9">
        <f t="shared" si="9"/>
        <v>9.9394216449457201E-6</v>
      </c>
      <c r="O9" t="str">
        <f t="shared" si="2"/>
        <v>982918.828453206-129573.936906241j</v>
      </c>
      <c r="P9">
        <f t="shared" si="10"/>
        <v>119.92517654342382</v>
      </c>
      <c r="Q9">
        <f t="shared" si="11"/>
        <v>-7.5097530040532607</v>
      </c>
      <c r="R9">
        <f t="shared" si="3"/>
        <v>105.94577645668627</v>
      </c>
      <c r="S9">
        <f t="shared" si="12"/>
        <v>172.49013309856454</v>
      </c>
    </row>
    <row r="10" spans="1:19" ht="15" customHeight="1" x14ac:dyDescent="0.35">
      <c r="A10" s="6" t="s">
        <v>27</v>
      </c>
      <c r="B10" s="11">
        <f>10^(B4/20)</f>
        <v>1000000</v>
      </c>
      <c r="C10" t="s">
        <v>14</v>
      </c>
      <c r="G10">
        <f t="shared" si="4"/>
        <v>-0.85999999999999988</v>
      </c>
      <c r="H10">
        <f t="shared" si="0"/>
        <v>1.380384264602885</v>
      </c>
      <c r="I10" t="str">
        <f t="shared" si="5"/>
        <v>8.67321012961474j</v>
      </c>
      <c r="J10" t="str">
        <f t="shared" si="1"/>
        <v>5+0.0000104078521555377j</v>
      </c>
      <c r="K10">
        <f t="shared" si="6"/>
        <v>13.979400086739194</v>
      </c>
      <c r="L10">
        <f t="shared" si="7"/>
        <v>1.1926520046151706E-4</v>
      </c>
      <c r="M10">
        <f t="shared" si="8"/>
        <v>5</v>
      </c>
      <c r="N10">
        <f t="shared" si="9"/>
        <v>1.04078521555377E-5</v>
      </c>
      <c r="O10" t="str">
        <f t="shared" si="2"/>
        <v>981301.681926184-135457.340055924j</v>
      </c>
      <c r="P10">
        <f t="shared" si="10"/>
        <v>119.91802543215003</v>
      </c>
      <c r="Q10">
        <f t="shared" si="11"/>
        <v>-7.8593514441058181</v>
      </c>
      <c r="R10">
        <f t="shared" si="3"/>
        <v>105.93862534541084</v>
      </c>
      <c r="S10">
        <f t="shared" si="12"/>
        <v>172.14052929069373</v>
      </c>
    </row>
    <row r="11" spans="1:19" ht="15" customHeight="1" x14ac:dyDescent="0.35">
      <c r="A11" s="6" t="s">
        <v>23</v>
      </c>
      <c r="B11" s="11">
        <f>2*PI()*B3</f>
        <v>62.831853071795862</v>
      </c>
      <c r="C11" t="s">
        <v>15</v>
      </c>
      <c r="G11">
        <f t="shared" si="4"/>
        <v>-0.83999999999999986</v>
      </c>
      <c r="H11">
        <f t="shared" si="0"/>
        <v>1.4454397707459279</v>
      </c>
      <c r="I11" t="str">
        <f t="shared" si="5"/>
        <v>9.08196592996384j</v>
      </c>
      <c r="J11" t="str">
        <f t="shared" si="1"/>
        <v>5+0.0000108983591159566j</v>
      </c>
      <c r="K11">
        <f t="shared" si="6"/>
        <v>13.979400086741007</v>
      </c>
      <c r="L11">
        <f t="shared" si="7"/>
        <v>1.2488599619225025E-4</v>
      </c>
      <c r="M11">
        <f t="shared" si="8"/>
        <v>5</v>
      </c>
      <c r="N11">
        <f t="shared" si="9"/>
        <v>1.08983591159566E-5</v>
      </c>
      <c r="O11" t="str">
        <f t="shared" si="2"/>
        <v>979534.62106178-141585.829810524j</v>
      </c>
      <c r="P11">
        <f t="shared" si="10"/>
        <v>119.91019790479169</v>
      </c>
      <c r="Q11">
        <f t="shared" si="11"/>
        <v>-8.2247954172798181</v>
      </c>
      <c r="R11">
        <f t="shared" si="3"/>
        <v>105.93079781805068</v>
      </c>
      <c r="S11">
        <f t="shared" si="12"/>
        <v>171.77507969672399</v>
      </c>
    </row>
    <row r="12" spans="1:19" ht="15" customHeight="1" x14ac:dyDescent="0.25">
      <c r="A12" s="6" t="s">
        <v>44</v>
      </c>
      <c r="B12" s="11">
        <f>1/(2*PI()*R_O*C_L)</f>
        <v>3978.8735772973841</v>
      </c>
      <c r="C12" s="8" t="s">
        <v>10</v>
      </c>
      <c r="G12">
        <f t="shared" ref="G12:G67" si="13">G11+(1/ppd)</f>
        <v>-0.81999999999999984</v>
      </c>
      <c r="H12">
        <f t="shared" si="0"/>
        <v>1.5135612484362084</v>
      </c>
      <c r="I12" t="str">
        <f t="shared" si="5"/>
        <v>9.50998579769078j</v>
      </c>
      <c r="J12" t="str">
        <f t="shared" si="1"/>
        <v>5+0.0000114119829572289j</v>
      </c>
      <c r="K12">
        <f t="shared" si="6"/>
        <v>13.979400086742999</v>
      </c>
      <c r="L12">
        <f t="shared" si="7"/>
        <v>1.3077169186466098E-4</v>
      </c>
      <c r="M12">
        <f t="shared" si="8"/>
        <v>5</v>
      </c>
      <c r="N12">
        <f t="shared" si="9"/>
        <v>1.1411982957228901E-5</v>
      </c>
      <c r="O12" t="str">
        <f t="shared" si="2"/>
        <v>977604.377542829-147966.410215043j</v>
      </c>
      <c r="P12">
        <f t="shared" si="10"/>
        <v>119.90163137598191</v>
      </c>
      <c r="Q12">
        <f t="shared" si="11"/>
        <v>-8.6067408957140668</v>
      </c>
      <c r="R12">
        <f t="shared" si="3"/>
        <v>105.92223128923891</v>
      </c>
      <c r="S12">
        <f t="shared" si="12"/>
        <v>171.39312833259407</v>
      </c>
    </row>
    <row r="13" spans="1:19" ht="15" customHeight="1" x14ac:dyDescent="0.25">
      <c r="A13" s="6" t="s">
        <v>29</v>
      </c>
      <c r="B13" s="16" cm="1">
        <f t="array" ref="B13">INDEX(R4:R353,MATCH(MIN(ABS(R4:R353)),ABS(R4:R353),0))</f>
        <v>0.18818623672522605</v>
      </c>
      <c r="C13" s="8" t="s">
        <v>17</v>
      </c>
      <c r="G13">
        <f t="shared" si="13"/>
        <v>-0.79999999999999982</v>
      </c>
      <c r="H13">
        <f t="shared" si="0"/>
        <v>1.584893192461114</v>
      </c>
      <c r="I13" t="str">
        <f t="shared" si="5"/>
        <v>9.95817762032062j</v>
      </c>
      <c r="J13" t="str">
        <f t="shared" si="1"/>
        <v>5+0.0000119498131443848j</v>
      </c>
      <c r="K13">
        <f t="shared" si="6"/>
        <v>13.979400086745184</v>
      </c>
      <c r="L13">
        <f t="shared" si="7"/>
        <v>1.3693477182838017E-4</v>
      </c>
      <c r="M13">
        <f t="shared" si="8"/>
        <v>5</v>
      </c>
      <c r="N13">
        <f t="shared" si="9"/>
        <v>1.19498131443848E-5</v>
      </c>
      <c r="O13" t="str">
        <f t="shared" si="2"/>
        <v>975496.632449664-154605.797203821j</v>
      </c>
      <c r="P13">
        <f t="shared" si="10"/>
        <v>119.89225774488042</v>
      </c>
      <c r="Q13">
        <f t="shared" si="11"/>
        <v>-9.0058619709314893</v>
      </c>
      <c r="R13">
        <f t="shared" si="3"/>
        <v>105.91285765813524</v>
      </c>
      <c r="S13">
        <f t="shared" si="12"/>
        <v>170.99400109429669</v>
      </c>
    </row>
    <row r="14" spans="1:19" ht="15" customHeight="1" x14ac:dyDescent="0.25">
      <c r="A14" s="6" t="s">
        <v>18</v>
      </c>
      <c r="B14" s="19">
        <f>_xlfn.XLOOKUP(B13,R4:R353,H4:H353)</f>
        <v>1047128.5480508568</v>
      </c>
      <c r="C14" s="8" t="s">
        <v>10</v>
      </c>
      <c r="G14">
        <f t="shared" si="13"/>
        <v>-0.7799999999999998</v>
      </c>
      <c r="H14">
        <f t="shared" si="0"/>
        <v>1.6595869074375613</v>
      </c>
      <c r="I14" t="str">
        <f t="shared" si="5"/>
        <v>10.4274920727993j</v>
      </c>
      <c r="J14" t="str">
        <f t="shared" si="1"/>
        <v>5+0.0000125129904873592j</v>
      </c>
      <c r="K14">
        <f t="shared" si="6"/>
        <v>13.979400086747575</v>
      </c>
      <c r="L14">
        <f t="shared" si="7"/>
        <v>1.433883088023065E-4</v>
      </c>
      <c r="M14">
        <f t="shared" si="8"/>
        <v>5</v>
      </c>
      <c r="N14">
        <f t="shared" si="9"/>
        <v>1.25129904873592E-5</v>
      </c>
      <c r="O14" t="str">
        <f t="shared" si="2"/>
        <v>973195.95759616-161510.326959775j</v>
      </c>
      <c r="P14">
        <f t="shared" si="10"/>
        <v>119.88200296315782</v>
      </c>
      <c r="Q14">
        <f t="shared" si="11"/>
        <v>-9.4228499754044535</v>
      </c>
      <c r="R14">
        <f t="shared" si="3"/>
        <v>105.90260287641024</v>
      </c>
      <c r="S14">
        <f t="shared" si="12"/>
        <v>170.57700663628674</v>
      </c>
    </row>
    <row r="15" spans="1:19" ht="15" customHeight="1" x14ac:dyDescent="0.25">
      <c r="A15" s="14" t="s">
        <v>20</v>
      </c>
      <c r="B15" s="17">
        <f>_xlfn.XLOOKUP(B13,R4:R353,S4:S353)</f>
        <v>32.346591879505951</v>
      </c>
      <c r="C15" s="7" t="s">
        <v>21</v>
      </c>
      <c r="G15">
        <f t="shared" si="13"/>
        <v>-0.75999999999999979</v>
      </c>
      <c r="H15">
        <f t="shared" si="0"/>
        <v>1.7378008287493762</v>
      </c>
      <c r="I15" t="str">
        <f t="shared" si="5"/>
        <v>10.9189246340026j</v>
      </c>
      <c r="J15" t="str">
        <f t="shared" si="1"/>
        <v>5+0.0000131027095608031j</v>
      </c>
      <c r="K15">
        <f t="shared" si="6"/>
        <v>13.9794000867502</v>
      </c>
      <c r="L15">
        <f t="shared" si="7"/>
        <v>1.5014599160360234E-4</v>
      </c>
      <c r="M15">
        <f t="shared" si="8"/>
        <v>5</v>
      </c>
      <c r="N15">
        <f t="shared" si="9"/>
        <v>1.31027095608031E-5</v>
      </c>
      <c r="O15" t="str">
        <f t="shared" si="2"/>
        <v>970685.758729549-168685.851597543j</v>
      </c>
      <c r="P15">
        <f t="shared" si="10"/>
        <v>119.8707865798454</v>
      </c>
      <c r="Q15">
        <f t="shared" si="11"/>
        <v>-9.8584123458402946</v>
      </c>
      <c r="R15">
        <f t="shared" si="3"/>
        <v>105.8913864930952</v>
      </c>
      <c r="S15">
        <f t="shared" si="12"/>
        <v>170.14143750816811</v>
      </c>
    </row>
    <row r="16" spans="1:19" ht="15" customHeight="1" x14ac:dyDescent="0.25">
      <c r="A16" s="14"/>
      <c r="C16" s="7"/>
      <c r="G16">
        <f t="shared" si="13"/>
        <v>-0.73999999999999977</v>
      </c>
      <c r="H16">
        <f t="shared" si="0"/>
        <v>1.8197008586099841</v>
      </c>
      <c r="I16" t="str">
        <f t="shared" si="5"/>
        <v>11.4335176982803j</v>
      </c>
      <c r="J16" t="str">
        <f t="shared" si="1"/>
        <v>5+0.0000137202212379364j</v>
      </c>
      <c r="K16">
        <f t="shared" si="6"/>
        <v>13.979400086753078</v>
      </c>
      <c r="L16">
        <f t="shared" si="7"/>
        <v>1.5722215418350808E-4</v>
      </c>
      <c r="M16">
        <f t="shared" si="8"/>
        <v>5</v>
      </c>
      <c r="N16">
        <f t="shared" si="9"/>
        <v>1.37202212379364E-5</v>
      </c>
      <c r="O16" t="str">
        <f t="shared" si="2"/>
        <v>967948.221972129-176137.621061269j</v>
      </c>
      <c r="P16">
        <f t="shared" si="10"/>
        <v>119.85852126406309</v>
      </c>
      <c r="Q16">
        <f t="shared" si="11"/>
        <v>-10.313271193276307</v>
      </c>
      <c r="R16">
        <f t="shared" si="3"/>
        <v>105.87912117731001</v>
      </c>
      <c r="S16">
        <f t="shared" si="12"/>
        <v>169.68657158456952</v>
      </c>
    </row>
    <row r="17" spans="1:19" ht="15" customHeight="1" x14ac:dyDescent="0.25">
      <c r="A17" s="6"/>
      <c r="C17" s="8"/>
      <c r="G17">
        <f t="shared" si="13"/>
        <v>-0.71999999999999975</v>
      </c>
      <c r="H17">
        <f t="shared" si="0"/>
        <v>1.9054607179632479</v>
      </c>
      <c r="I17" t="str">
        <f t="shared" si="5"/>
        <v>11.9723627865145j</v>
      </c>
      <c r="J17" t="str">
        <f t="shared" si="1"/>
        <v>5+0.0000143668353438174j</v>
      </c>
      <c r="K17">
        <f t="shared" si="6"/>
        <v>13.979400086756232</v>
      </c>
      <c r="L17">
        <f t="shared" si="7"/>
        <v>1.6463180603157093E-4</v>
      </c>
      <c r="M17">
        <f t="shared" si="8"/>
        <v>5</v>
      </c>
      <c r="N17">
        <f t="shared" si="9"/>
        <v>1.4366835343817401E-5</v>
      </c>
      <c r="O17" t="str">
        <f t="shared" si="2"/>
        <v>964964.265168014-183870.150151591j</v>
      </c>
      <c r="P17">
        <f t="shared" si="10"/>
        <v>119.84511230724415</v>
      </c>
      <c r="Q17">
        <f t="shared" si="11"/>
        <v>-10.788161542168142</v>
      </c>
      <c r="R17">
        <f t="shared" si="3"/>
        <v>105.86571222048792</v>
      </c>
      <c r="S17">
        <f t="shared" si="12"/>
        <v>169.21167382602582</v>
      </c>
    </row>
    <row r="18" spans="1:19" ht="15" customHeight="1" x14ac:dyDescent="0.25">
      <c r="A18" s="6"/>
      <c r="C18" s="8"/>
      <c r="G18">
        <f t="shared" si="13"/>
        <v>-0.69999999999999973</v>
      </c>
      <c r="H18">
        <f t="shared" si="0"/>
        <v>1.9952623149688806</v>
      </c>
      <c r="I18" t="str">
        <f t="shared" si="5"/>
        <v>12.5366028613816j</v>
      </c>
      <c r="J18" t="str">
        <f t="shared" si="1"/>
        <v>5+0.0000150439234336579j</v>
      </c>
      <c r="K18">
        <f t="shared" si="6"/>
        <v>13.979400086759693</v>
      </c>
      <c r="L18">
        <f t="shared" si="7"/>
        <v>1.7239066401279087E-4</v>
      </c>
      <c r="M18">
        <f t="shared" si="8"/>
        <v>5</v>
      </c>
      <c r="N18">
        <f t="shared" si="9"/>
        <v>1.5043923433657901E-5</v>
      </c>
      <c r="O18" t="str">
        <f t="shared" si="2"/>
        <v>961713.496117745-191887.069660071j</v>
      </c>
      <c r="P18">
        <f t="shared" si="10"/>
        <v>119.83045710720467</v>
      </c>
      <c r="Q18">
        <f t="shared" si="11"/>
        <v>-11.283829197867838</v>
      </c>
      <c r="R18">
        <f t="shared" si="3"/>
        <v>105.85105702044497</v>
      </c>
      <c r="S18">
        <f t="shared" si="12"/>
        <v>168.71599841146815</v>
      </c>
    </row>
    <row r="19" spans="1:19" ht="15" customHeight="1" x14ac:dyDescent="0.25">
      <c r="G19">
        <f t="shared" si="13"/>
        <v>-0.67999999999999972</v>
      </c>
      <c r="H19">
        <f t="shared" si="0"/>
        <v>2.0892961308540405</v>
      </c>
      <c r="I19" t="str">
        <f t="shared" si="5"/>
        <v>13.1274347517293j</v>
      </c>
      <c r="J19" t="str">
        <f t="shared" si="1"/>
        <v>5+0.0000157529217020752j</v>
      </c>
      <c r="K19">
        <f t="shared" si="6"/>
        <v>13.979400086763485</v>
      </c>
      <c r="L19">
        <f t="shared" si="7"/>
        <v>1.8051518570519275E-4</v>
      </c>
      <c r="M19">
        <f t="shared" si="8"/>
        <v>5</v>
      </c>
      <c r="N19">
        <f t="shared" si="9"/>
        <v>1.5752921702075198E-5</v>
      </c>
      <c r="O19" t="str">
        <f t="shared" si="2"/>
        <v>958174.18003701-200190.960703558j</v>
      </c>
      <c r="P19">
        <f t="shared" si="10"/>
        <v>119.81444463726747</v>
      </c>
      <c r="Q19">
        <f t="shared" si="11"/>
        <v>-11.801028199327847</v>
      </c>
      <c r="R19">
        <f t="shared" si="3"/>
        <v>105.83504455050398</v>
      </c>
      <c r="S19">
        <f t="shared" si="12"/>
        <v>168.19879128548644</v>
      </c>
    </row>
    <row r="20" spans="1:19" x14ac:dyDescent="0.25">
      <c r="A20" s="8"/>
      <c r="G20">
        <f t="shared" si="13"/>
        <v>-0.6599999999999997</v>
      </c>
      <c r="H20">
        <f t="shared" si="0"/>
        <v>2.1877616239495539</v>
      </c>
      <c r="I20" t="str">
        <f t="shared" si="5"/>
        <v>13.7461116912112j</v>
      </c>
      <c r="J20" t="str">
        <f t="shared" si="1"/>
        <v>5+0.0000164953340294534j</v>
      </c>
      <c r="K20">
        <f t="shared" si="6"/>
        <v>13.979400086767644</v>
      </c>
      <c r="L20">
        <f t="shared" si="7"/>
        <v>1.8902260430855538E-4</v>
      </c>
      <c r="M20">
        <f t="shared" si="8"/>
        <v>5</v>
      </c>
      <c r="N20">
        <f t="shared" si="9"/>
        <v>1.64953340294534E-5</v>
      </c>
      <c r="O20" t="str">
        <f t="shared" si="2"/>
        <v>954323.218960337-208783.171528544j</v>
      </c>
      <c r="P20">
        <f t="shared" si="10"/>
        <v>119.79695490466108</v>
      </c>
      <c r="Q20">
        <f t="shared" si="11"/>
        <v>-12.340517811694946</v>
      </c>
      <c r="R20">
        <f t="shared" si="3"/>
        <v>105.81755481789344</v>
      </c>
      <c r="S20">
        <f t="shared" si="12"/>
        <v>167.65929316570075</v>
      </c>
    </row>
    <row r="21" spans="1:19" x14ac:dyDescent="0.25">
      <c r="A21" s="8"/>
      <c r="G21">
        <f t="shared" si="13"/>
        <v>-0.63999999999999968</v>
      </c>
      <c r="H21">
        <f t="shared" si="0"/>
        <v>2.2908676527677745</v>
      </c>
      <c r="I21" t="str">
        <f t="shared" si="5"/>
        <v>14.3939459765635j</v>
      </c>
      <c r="J21" t="str">
        <f t="shared" si="1"/>
        <v>5+0.0000172727351718762j</v>
      </c>
      <c r="K21">
        <f t="shared" si="6"/>
        <v>13.979400086772202</v>
      </c>
      <c r="L21">
        <f t="shared" si="7"/>
        <v>1.9793096519834879E-4</v>
      </c>
      <c r="M21">
        <f t="shared" si="8"/>
        <v>5</v>
      </c>
      <c r="N21">
        <f t="shared" si="9"/>
        <v>1.7272735171876199E-5</v>
      </c>
      <c r="O21" t="str">
        <f t="shared" si="2"/>
        <v>950136.146221023-217663.616310318j</v>
      </c>
      <c r="P21">
        <f t="shared" si="10"/>
        <v>119.77785840358415</v>
      </c>
      <c r="Q21">
        <f t="shared" si="11"/>
        <v>-12.903059011845798</v>
      </c>
      <c r="R21">
        <f t="shared" si="3"/>
        <v>105.79845831681195</v>
      </c>
      <c r="S21">
        <f t="shared" si="12"/>
        <v>167.096743057189</v>
      </c>
    </row>
    <row r="22" spans="1:19" x14ac:dyDescent="0.25">
      <c r="G22">
        <f t="shared" si="13"/>
        <v>-0.61999999999999966</v>
      </c>
      <c r="H22">
        <f t="shared" si="0"/>
        <v>2.3988329190194917</v>
      </c>
      <c r="I22" t="str">
        <f t="shared" si="5"/>
        <v>15.072311751162j</v>
      </c>
      <c r="J22" t="str">
        <f t="shared" si="1"/>
        <v>5+0.0000180867741013944j</v>
      </c>
      <c r="K22">
        <f t="shared" si="6"/>
        <v>13.979400086777204</v>
      </c>
      <c r="L22">
        <f t="shared" si="7"/>
        <v>2.0725916420238021E-4</v>
      </c>
      <c r="M22">
        <f t="shared" si="8"/>
        <v>5</v>
      </c>
      <c r="N22">
        <f t="shared" si="9"/>
        <v>1.8086774101394401E-5</v>
      </c>
      <c r="O22" t="str">
        <f t="shared" si="2"/>
        <v>945587.139566125-226830.55581927j</v>
      </c>
      <c r="P22">
        <f t="shared" si="10"/>
        <v>119.75701556966277</v>
      </c>
      <c r="Q22">
        <f t="shared" si="11"/>
        <v>-13.489410419100313</v>
      </c>
      <c r="R22">
        <f t="shared" si="3"/>
        <v>105.77761548288557</v>
      </c>
      <c r="S22">
        <f t="shared" si="12"/>
        <v>166.51038232173548</v>
      </c>
    </row>
    <row r="23" spans="1:19" x14ac:dyDescent="0.25">
      <c r="A23" s="6"/>
      <c r="G23">
        <f t="shared" si="13"/>
        <v>-0.59999999999999964</v>
      </c>
      <c r="H23">
        <f t="shared" si="0"/>
        <v>2.5118864315095819</v>
      </c>
      <c r="I23" t="str">
        <f t="shared" si="5"/>
        <v>15.7826479197648j</v>
      </c>
      <c r="J23" t="str">
        <f t="shared" si="1"/>
        <v>5+0.0000189391775037178j</v>
      </c>
      <c r="K23">
        <f t="shared" si="6"/>
        <v>13.979400086782688</v>
      </c>
      <c r="L23">
        <f t="shared" si="7"/>
        <v>2.1702698768139085E-4</v>
      </c>
      <c r="M23">
        <f t="shared" si="8"/>
        <v>5</v>
      </c>
      <c r="N23">
        <f t="shared" si="9"/>
        <v>1.8939177503717799E-5</v>
      </c>
      <c r="O23" t="str">
        <f t="shared" si="2"/>
        <v>940649.056897232-236280.360283245j</v>
      </c>
      <c r="P23">
        <f t="shared" si="10"/>
        <v>119.73427624403897</v>
      </c>
      <c r="Q23">
        <f t="shared" si="11"/>
        <v>-14.100323623589263</v>
      </c>
      <c r="R23">
        <f t="shared" si="3"/>
        <v>105.75487615725628</v>
      </c>
      <c r="S23">
        <f t="shared" si="12"/>
        <v>165.89945934942307</v>
      </c>
    </row>
    <row r="24" spans="1:19" x14ac:dyDescent="0.25">
      <c r="A24" s="6"/>
      <c r="G24">
        <f t="shared" si="13"/>
        <v>-0.57999999999999963</v>
      </c>
      <c r="H24">
        <f t="shared" si="0"/>
        <v>2.6302679918953835</v>
      </c>
      <c r="I24" t="str">
        <f t="shared" si="5"/>
        <v>16.5264612006218j</v>
      </c>
      <c r="J24" t="str">
        <f t="shared" si="1"/>
        <v>5+0.0000198317534407462j</v>
      </c>
      <c r="K24">
        <f t="shared" si="6"/>
        <v>13.979400086788697</v>
      </c>
      <c r="L24">
        <f t="shared" si="7"/>
        <v>2.2725515449856947E-4</v>
      </c>
      <c r="M24">
        <f t="shared" si="8"/>
        <v>5</v>
      </c>
      <c r="N24">
        <f t="shared" si="9"/>
        <v>1.9831753440746201E-5</v>
      </c>
      <c r="O24" t="str">
        <f t="shared" si="2"/>
        <v>935293.499046078-246007.255356873j</v>
      </c>
      <c r="P24">
        <f t="shared" si="10"/>
        <v>119.70947915700896</v>
      </c>
      <c r="Q24">
        <f t="shared" si="11"/>
        <v>-14.736537866356848</v>
      </c>
      <c r="R24">
        <f t="shared" si="3"/>
        <v>105.73007907022026</v>
      </c>
      <c r="S24">
        <f t="shared" si="12"/>
        <v>165.26323487848865</v>
      </c>
    </row>
    <row r="25" spans="1:19" x14ac:dyDescent="0.25">
      <c r="A25" s="6"/>
      <c r="G25">
        <f t="shared" si="13"/>
        <v>-0.55999999999999961</v>
      </c>
      <c r="H25">
        <f t="shared" si="0"/>
        <v>2.7542287033381685</v>
      </c>
      <c r="I25" t="str">
        <f t="shared" si="5"/>
        <v>17.3053293214267j</v>
      </c>
      <c r="J25" t="str">
        <f t="shared" si="1"/>
        <v>5+0.000020766395185712j</v>
      </c>
      <c r="K25">
        <f t="shared" si="6"/>
        <v>13.979400086795291</v>
      </c>
      <c r="L25">
        <f t="shared" si="7"/>
        <v>2.3796535996704947E-4</v>
      </c>
      <c r="M25">
        <f t="shared" si="8"/>
        <v>5</v>
      </c>
      <c r="N25">
        <f t="shared" si="9"/>
        <v>2.0766395185711999E-5</v>
      </c>
      <c r="O25" t="str">
        <f t="shared" si="2"/>
        <v>929490.90437477-256003.052832075j</v>
      </c>
      <c r="P25">
        <f t="shared" si="10"/>
        <v>119.68245144297079</v>
      </c>
      <c r="Q25">
        <f t="shared" si="11"/>
        <v>-15.398774028607072</v>
      </c>
      <c r="R25">
        <f t="shared" si="3"/>
        <v>105.70305135617549</v>
      </c>
      <c r="S25">
        <f t="shared" si="12"/>
        <v>164.60098800603296</v>
      </c>
    </row>
    <row r="26" spans="1:19" x14ac:dyDescent="0.25">
      <c r="A26" s="6"/>
      <c r="G26">
        <f t="shared" si="13"/>
        <v>-0.53999999999999959</v>
      </c>
      <c r="H26">
        <f t="shared" si="0"/>
        <v>2.8840315031266077</v>
      </c>
      <c r="I26" t="str">
        <f t="shared" si="5"/>
        <v>18.1209043658882j</v>
      </c>
      <c r="J26" t="str">
        <f t="shared" si="1"/>
        <v>5+0.0000217450852390658j</v>
      </c>
      <c r="K26">
        <f t="shared" si="6"/>
        <v>13.979400086802517</v>
      </c>
      <c r="L26">
        <f t="shared" si="7"/>
        <v>2.4918032186856798E-4</v>
      </c>
      <c r="M26">
        <f t="shared" si="8"/>
        <v>5</v>
      </c>
      <c r="N26">
        <f t="shared" si="9"/>
        <v>2.1745085239065802E-5</v>
      </c>
      <c r="O26" t="str">
        <f t="shared" si="2"/>
        <v>923210.6803029-266256.868601651j</v>
      </c>
      <c r="P26">
        <f t="shared" si="10"/>
        <v>119.65300820042359</v>
      </c>
      <c r="Q26">
        <f t="shared" si="11"/>
        <v>-16.087727892932879</v>
      </c>
      <c r="R26">
        <f t="shared" si="3"/>
        <v>105.67360811362107</v>
      </c>
      <c r="S26">
        <f t="shared" si="12"/>
        <v>163.91202292674524</v>
      </c>
    </row>
    <row r="27" spans="1:19" x14ac:dyDescent="0.25">
      <c r="A27" s="6"/>
      <c r="G27">
        <f t="shared" si="13"/>
        <v>-0.51999999999999957</v>
      </c>
      <c r="H27">
        <f t="shared" si="0"/>
        <v>3.0199517204020192</v>
      </c>
      <c r="I27" t="str">
        <f t="shared" si="5"/>
        <v>18.9749162780217j</v>
      </c>
      <c r="J27" t="str">
        <f t="shared" si="1"/>
        <v>5+0.000022769899533626j</v>
      </c>
      <c r="K27">
        <f t="shared" si="6"/>
        <v>13.979400086810445</v>
      </c>
      <c r="L27">
        <f t="shared" si="7"/>
        <v>2.6092382864093054E-4</v>
      </c>
      <c r="M27">
        <f t="shared" si="8"/>
        <v>5</v>
      </c>
      <c r="N27">
        <f t="shared" si="9"/>
        <v>2.2769899533626001E-5</v>
      </c>
      <c r="O27" t="str">
        <f t="shared" si="2"/>
        <v>916421.377069513-276754.831429427j</v>
      </c>
      <c r="P27">
        <f t="shared" si="10"/>
        <v>119.62095211284543</v>
      </c>
      <c r="Q27">
        <f t="shared" si="11"/>
        <v>-16.804062647338601</v>
      </c>
      <c r="R27">
        <f t="shared" si="3"/>
        <v>105.64155202603499</v>
      </c>
      <c r="S27">
        <f t="shared" si="12"/>
        <v>163.19567642883277</v>
      </c>
    </row>
    <row r="28" spans="1:19" x14ac:dyDescent="0.25">
      <c r="A28" s="6"/>
      <c r="G28">
        <f t="shared" si="13"/>
        <v>-0.49999999999999956</v>
      </c>
      <c r="H28">
        <f t="shared" si="0"/>
        <v>3.1622776601683826</v>
      </c>
      <c r="I28" t="str">
        <f t="shared" si="5"/>
        <v>19.8691765315922j</v>
      </c>
      <c r="J28" t="str">
        <f t="shared" si="1"/>
        <v>5+0.0000238430118379106j</v>
      </c>
      <c r="K28">
        <f t="shared" si="6"/>
        <v>13.979400086819131</v>
      </c>
      <c r="L28">
        <f t="shared" si="7"/>
        <v>2.7322078983647651E-4</v>
      </c>
      <c r="M28">
        <f t="shared" si="8"/>
        <v>5</v>
      </c>
      <c r="N28">
        <f t="shared" si="9"/>
        <v>2.3843011837910601E-5</v>
      </c>
      <c r="O28" t="str">
        <f t="shared" si="2"/>
        <v>909090.909090909-287479.787288035j</v>
      </c>
      <c r="P28">
        <f t="shared" si="10"/>
        <v>119.58607314841774</v>
      </c>
      <c r="Q28">
        <f t="shared" si="11"/>
        <v>-17.548400613792332</v>
      </c>
      <c r="R28">
        <f t="shared" si="3"/>
        <v>105.60667306159861</v>
      </c>
      <c r="S28">
        <f t="shared" si="12"/>
        <v>162.45132616541784</v>
      </c>
    </row>
    <row r="29" spans="1:19" x14ac:dyDescent="0.25">
      <c r="D29" s="9"/>
      <c r="G29">
        <f t="shared" si="13"/>
        <v>-0.47999999999999954</v>
      </c>
      <c r="H29">
        <f t="shared" si="0"/>
        <v>3.3113112148259143</v>
      </c>
      <c r="I29" t="str">
        <f t="shared" si="5"/>
        <v>20.8055819724932j</v>
      </c>
      <c r="J29" t="str">
        <f t="shared" si="1"/>
        <v>5+0.0000249666983669918j</v>
      </c>
      <c r="K29">
        <f t="shared" si="6"/>
        <v>13.97940008682866</v>
      </c>
      <c r="L29">
        <f t="shared" si="7"/>
        <v>2.8609728895858115E-4</v>
      </c>
      <c r="M29">
        <f t="shared" si="8"/>
        <v>5</v>
      </c>
      <c r="N29">
        <f t="shared" si="9"/>
        <v>2.4966698366991801E-5</v>
      </c>
      <c r="O29" t="str">
        <f t="shared" si="2"/>
        <v>901186.829121667-298411.005392399j</v>
      </c>
      <c r="P29">
        <f t="shared" si="10"/>
        <v>119.54814835868504</v>
      </c>
      <c r="Q29">
        <f t="shared" si="11"/>
        <v>-18.321314197383963</v>
      </c>
      <c r="R29">
        <f t="shared" si="3"/>
        <v>105.56874827185638</v>
      </c>
      <c r="S29">
        <f t="shared" si="12"/>
        <v>161.67839970532708</v>
      </c>
    </row>
    <row r="30" spans="1:19" x14ac:dyDescent="0.25">
      <c r="G30">
        <f t="shared" si="13"/>
        <v>-0.45999999999999952</v>
      </c>
      <c r="H30">
        <f t="shared" si="0"/>
        <v>3.4673685045253198</v>
      </c>
      <c r="I30" t="str">
        <f t="shared" si="5"/>
        <v>21.7861188422107j</v>
      </c>
      <c r="J30" t="str">
        <f t="shared" si="1"/>
        <v>5+0.0000261433426106528j</v>
      </c>
      <c r="K30">
        <f t="shared" si="6"/>
        <v>13.979400086839107</v>
      </c>
      <c r="L30">
        <f t="shared" si="7"/>
        <v>2.9958063878825648E-4</v>
      </c>
      <c r="M30">
        <f t="shared" si="8"/>
        <v>5</v>
      </c>
      <c r="N30">
        <f t="shared" si="9"/>
        <v>2.61433426106528E-5</v>
      </c>
      <c r="O30" t="str">
        <f t="shared" si="2"/>
        <v>892676.660006154-309523.893563019j</v>
      </c>
      <c r="P30">
        <f t="shared" si="10"/>
        <v>119.50694179824777</v>
      </c>
      <c r="Q30">
        <f t="shared" si="11"/>
        <v>-19.123316070287611</v>
      </c>
      <c r="R30">
        <f t="shared" si="3"/>
        <v>105.52754171140866</v>
      </c>
      <c r="S30">
        <f t="shared" si="12"/>
        <v>160.87638434907359</v>
      </c>
    </row>
    <row r="31" spans="1:19" x14ac:dyDescent="0.25">
      <c r="B31" s="10"/>
      <c r="G31">
        <f t="shared" si="13"/>
        <v>-0.4399999999999995</v>
      </c>
      <c r="H31">
        <f t="shared" si="0"/>
        <v>3.6307805477010175</v>
      </c>
      <c r="I31" t="str">
        <f t="shared" si="5"/>
        <v>22.8128669909085j</v>
      </c>
      <c r="J31" t="str">
        <f t="shared" si="1"/>
        <v>5+0.0000273754403890902j</v>
      </c>
      <c r="K31">
        <f t="shared" si="6"/>
        <v>13.979400086850564</v>
      </c>
      <c r="L31">
        <f t="shared" si="7"/>
        <v>3.1369943931823356E-4</v>
      </c>
      <c r="M31">
        <f t="shared" si="8"/>
        <v>5</v>
      </c>
      <c r="N31">
        <f t="shared" si="9"/>
        <v>2.73754403890902E-5</v>
      </c>
      <c r="O31" t="str">
        <f t="shared" si="2"/>
        <v>883528.288056439-320789.73216189j</v>
      </c>
      <c r="P31">
        <f t="shared" si="10"/>
        <v>119.46220458936322</v>
      </c>
      <c r="Q31">
        <f t="shared" si="11"/>
        <v>-19.954848626980858</v>
      </c>
      <c r="R31">
        <f t="shared" si="3"/>
        <v>105.48280450251266</v>
      </c>
      <c r="S31">
        <f t="shared" si="12"/>
        <v>160.04483767357982</v>
      </c>
    </row>
    <row r="32" spans="1:19" x14ac:dyDescent="0.25">
      <c r="B32" s="10"/>
      <c r="G32">
        <f t="shared" si="13"/>
        <v>-0.41999999999999948</v>
      </c>
      <c r="H32">
        <f t="shared" si="0"/>
        <v>3.8018939632056159</v>
      </c>
      <c r="I32" t="str">
        <f t="shared" si="5"/>
        <v>23.8880042890683j</v>
      </c>
      <c r="J32" t="str">
        <f t="shared" si="1"/>
        <v>5+0.000028665605146882j</v>
      </c>
      <c r="K32">
        <f t="shared" si="6"/>
        <v>13.979400086863125</v>
      </c>
      <c r="L32">
        <f t="shared" si="7"/>
        <v>3.2848363841736684E-4</v>
      </c>
      <c r="M32">
        <f t="shared" si="8"/>
        <v>5</v>
      </c>
      <c r="N32">
        <f t="shared" si="9"/>
        <v>2.8665605146882E-5</v>
      </c>
      <c r="O32" t="str">
        <f t="shared" si="2"/>
        <v>873710.420945081-332175.437498094j</v>
      </c>
      <c r="P32">
        <f t="shared" si="10"/>
        <v>119.41367515672795</v>
      </c>
      <c r="Q32">
        <f t="shared" si="11"/>
        <v>-20.816272773735669</v>
      </c>
      <c r="R32">
        <f t="shared" si="3"/>
        <v>105.43427506986482</v>
      </c>
      <c r="S32">
        <f t="shared" si="12"/>
        <v>159.18339874262591</v>
      </c>
    </row>
    <row r="33" spans="7:19" x14ac:dyDescent="0.25">
      <c r="G33">
        <f t="shared" si="13"/>
        <v>-0.39999999999999947</v>
      </c>
      <c r="H33">
        <f t="shared" si="0"/>
        <v>3.9810717055349776</v>
      </c>
      <c r="I33" t="str">
        <f t="shared" si="5"/>
        <v>25.0138112470457j</v>
      </c>
      <c r="J33" t="str">
        <f t="shared" si="1"/>
        <v>5+0.0000300165734964548j</v>
      </c>
      <c r="K33">
        <f t="shared" si="6"/>
        <v>13.979400086876893</v>
      </c>
      <c r="L33">
        <f t="shared" si="7"/>
        <v>3.4396459535408877E-4</v>
      </c>
      <c r="M33">
        <f t="shared" si="8"/>
        <v>5</v>
      </c>
      <c r="N33">
        <f t="shared" si="9"/>
        <v>3.0016573496454799E-5</v>
      </c>
      <c r="O33" t="str">
        <f t="shared" si="2"/>
        <v>863193.11139679-343643.367219446j</v>
      </c>
      <c r="P33">
        <f t="shared" si="10"/>
        <v>119.36107965856621</v>
      </c>
      <c r="Q33">
        <f t="shared" si="11"/>
        <v>-21.70785614630908</v>
      </c>
      <c r="R33">
        <f t="shared" si="3"/>
        <v>105.38167957168932</v>
      </c>
      <c r="S33">
        <f t="shared" si="12"/>
        <v>158.29179988909556</v>
      </c>
    </row>
    <row r="34" spans="7:19" x14ac:dyDescent="0.25">
      <c r="G34">
        <f t="shared" si="13"/>
        <v>-0.37999999999999945</v>
      </c>
      <c r="H34">
        <f t="shared" si="0"/>
        <v>4.1686938347033582</v>
      </c>
      <c r="I34" t="str">
        <f t="shared" si="5"/>
        <v>26.1926758523383j</v>
      </c>
      <c r="J34" t="str">
        <f t="shared" si="1"/>
        <v>5+0.000031431211022806j</v>
      </c>
      <c r="K34">
        <f t="shared" si="6"/>
        <v>13.979400086891996</v>
      </c>
      <c r="L34">
        <f t="shared" si="7"/>
        <v>3.601751473136267E-4</v>
      </c>
      <c r="M34">
        <f t="shared" si="8"/>
        <v>5</v>
      </c>
      <c r="N34">
        <f t="shared" si="9"/>
        <v>3.1431211022805998E-5</v>
      </c>
      <c r="O34" t="str">
        <f t="shared" si="2"/>
        <v>851948.345852573-355151.181684135j</v>
      </c>
      <c r="P34">
        <f t="shared" si="10"/>
        <v>119.30413264025799</v>
      </c>
      <c r="Q34">
        <f t="shared" si="11"/>
        <v>-22.629760884775852</v>
      </c>
      <c r="R34">
        <f t="shared" si="3"/>
        <v>105.32473255336599</v>
      </c>
      <c r="S34">
        <f t="shared" si="12"/>
        <v>157.36987894007683</v>
      </c>
    </row>
    <row r="35" spans="7:19" x14ac:dyDescent="0.25">
      <c r="G35">
        <f t="shared" si="13"/>
        <v>-0.35999999999999943</v>
      </c>
      <c r="H35">
        <f t="shared" si="0"/>
        <v>4.3651583224016655</v>
      </c>
      <c r="I35" t="str">
        <f t="shared" si="5"/>
        <v>27.4270986348268j</v>
      </c>
      <c r="J35" t="str">
        <f t="shared" si="1"/>
        <v>5+0.0000329125183617922j</v>
      </c>
      <c r="K35">
        <f t="shared" si="6"/>
        <v>13.979400086908553</v>
      </c>
      <c r="L35">
        <f t="shared" si="7"/>
        <v>3.7714967905005665E-4</v>
      </c>
      <c r="M35">
        <f t="shared" si="8"/>
        <v>5</v>
      </c>
      <c r="N35">
        <f t="shared" si="9"/>
        <v>3.2912518361792203E-5</v>
      </c>
      <c r="O35" t="str">
        <f t="shared" si="2"/>
        <v>839950.694634753-366651.776509195j</v>
      </c>
      <c r="P35">
        <f t="shared" si="10"/>
        <v>119.24253793589835</v>
      </c>
      <c r="Q35">
        <f t="shared" si="11"/>
        <v>-23.582031133036242</v>
      </c>
      <c r="R35">
        <f t="shared" si="3"/>
        <v>105.2631378489898</v>
      </c>
      <c r="S35">
        <f t="shared" si="12"/>
        <v>156.41759171728472</v>
      </c>
    </row>
    <row r="36" spans="7:19" x14ac:dyDescent="0.25">
      <c r="G36">
        <f t="shared" si="13"/>
        <v>-0.33999999999999941</v>
      </c>
      <c r="H36">
        <f t="shared" si="0"/>
        <v>4.5708818961487561</v>
      </c>
      <c r="I36" t="str">
        <f t="shared" si="5"/>
        <v>28.719697970735j</v>
      </c>
      <c r="J36" t="str">
        <f t="shared" si="1"/>
        <v>5+0.000034463637564882j</v>
      </c>
      <c r="K36">
        <f t="shared" si="6"/>
        <v>13.979400086926708</v>
      </c>
      <c r="L36">
        <f t="shared" si="7"/>
        <v>3.9492419582099782E-4</v>
      </c>
      <c r="M36">
        <f t="shared" si="8"/>
        <v>5</v>
      </c>
      <c r="N36">
        <f t="shared" si="9"/>
        <v>3.4463637564881998E-5</v>
      </c>
      <c r="O36" t="str">
        <f t="shared" si="2"/>
        <v>827178.01696314-378093.302262904j</v>
      </c>
      <c r="P36">
        <f t="shared" si="10"/>
        <v>119.17598984117294</v>
      </c>
      <c r="Q36">
        <f t="shared" si="11"/>
        <v>-24.564580471759552</v>
      </c>
      <c r="R36">
        <f t="shared" si="3"/>
        <v>105.19658975424623</v>
      </c>
      <c r="S36">
        <f t="shared" si="12"/>
        <v>155.43502460404463</v>
      </c>
    </row>
    <row r="37" spans="7:19" x14ac:dyDescent="0.25">
      <c r="G37">
        <f t="shared" si="13"/>
        <v>-0.3199999999999994</v>
      </c>
      <c r="H37">
        <f t="shared" si="0"/>
        <v>4.7863009232263893</v>
      </c>
      <c r="I37" t="str">
        <f t="shared" si="5"/>
        <v>30.0732156365561j</v>
      </c>
      <c r="J37" t="str">
        <f t="shared" si="1"/>
        <v>5+0.0000360878587638673j</v>
      </c>
      <c r="K37">
        <f t="shared" si="6"/>
        <v>13.979400086946614</v>
      </c>
      <c r="L37">
        <f t="shared" si="7"/>
        <v>4.1353639975957841E-4</v>
      </c>
      <c r="M37">
        <f t="shared" si="8"/>
        <v>5</v>
      </c>
      <c r="N37">
        <f t="shared" si="9"/>
        <v>3.6087858763867297E-5</v>
      </c>
      <c r="O37" t="str">
        <f t="shared" si="2"/>
        <v>813612.210505587-389419.287429115j</v>
      </c>
      <c r="P37">
        <f t="shared" si="10"/>
        <v>119.10417457755648</v>
      </c>
      <c r="Q37">
        <f t="shared" si="11"/>
        <v>-25.577179536019539</v>
      </c>
      <c r="R37">
        <f t="shared" si="3"/>
        <v>105.12477449060987</v>
      </c>
      <c r="S37">
        <f t="shared" si="12"/>
        <v>154.42240692758071</v>
      </c>
    </row>
    <row r="38" spans="7:19" x14ac:dyDescent="0.25">
      <c r="G38">
        <f t="shared" si="13"/>
        <v>-0.29999999999999938</v>
      </c>
      <c r="H38">
        <f t="shared" si="0"/>
        <v>5.0118723362727291</v>
      </c>
      <c r="I38" t="str">
        <f t="shared" si="5"/>
        <v>31.4905226247286j</v>
      </c>
      <c r="J38" t="str">
        <f t="shared" si="1"/>
        <v>5+0.0000377886271496743j</v>
      </c>
      <c r="K38">
        <f t="shared" si="6"/>
        <v>13.979400086968441</v>
      </c>
      <c r="L38">
        <f t="shared" si="7"/>
        <v>4.3302576984571828E-4</v>
      </c>
      <c r="M38">
        <f t="shared" si="8"/>
        <v>5</v>
      </c>
      <c r="N38">
        <f t="shared" si="9"/>
        <v>3.77886271496743E-5</v>
      </c>
      <c r="O38" t="str">
        <f t="shared" si="2"/>
        <v>799239.991086898-400568.880137128j</v>
      </c>
      <c r="P38">
        <f t="shared" si="10"/>
        <v>119.02677206291304</v>
      </c>
      <c r="Q38">
        <f t="shared" si="11"/>
        <v>-26.619444110792848</v>
      </c>
      <c r="R38">
        <f t="shared" si="3"/>
        <v>105.0473719759446</v>
      </c>
      <c r="S38">
        <f t="shared" si="12"/>
        <v>153.38012286343729</v>
      </c>
    </row>
    <row r="39" spans="7:19" x14ac:dyDescent="0.25">
      <c r="G39">
        <f t="shared" si="13"/>
        <v>-0.27999999999999936</v>
      </c>
      <c r="H39">
        <f t="shared" si="0"/>
        <v>5.2480746024977343</v>
      </c>
      <c r="I39" t="str">
        <f t="shared" si="5"/>
        <v>32.9746252333961j</v>
      </c>
      <c r="J39" t="str">
        <f t="shared" si="1"/>
        <v>5+0.0000395695502800753j</v>
      </c>
      <c r="K39">
        <f t="shared" si="6"/>
        <v>13.979400086992374</v>
      </c>
      <c r="L39">
        <f t="shared" si="7"/>
        <v>4.5343364564633766E-4</v>
      </c>
      <c r="M39">
        <f t="shared" si="8"/>
        <v>5</v>
      </c>
      <c r="N39">
        <f t="shared" si="9"/>
        <v>3.9569550280075298E-5</v>
      </c>
      <c r="O39" t="str">
        <f t="shared" si="2"/>
        <v>784053.683887815-411477.222540642j</v>
      </c>
      <c r="P39">
        <f t="shared" si="10"/>
        <v>118.94345799697264</v>
      </c>
      <c r="Q39">
        <f t="shared" si="11"/>
        <v>-27.690824036480493</v>
      </c>
      <c r="R39">
        <f t="shared" si="3"/>
        <v>104.96405790998027</v>
      </c>
      <c r="S39">
        <f t="shared" si="12"/>
        <v>152.30872252987388</v>
      </c>
    </row>
    <row r="40" spans="7:19" x14ac:dyDescent="0.25">
      <c r="G40">
        <f t="shared" si="13"/>
        <v>-0.25999999999999934</v>
      </c>
      <c r="H40">
        <f t="shared" si="0"/>
        <v>5.4954087385762538</v>
      </c>
      <c r="I40" t="str">
        <f t="shared" si="5"/>
        <v>34.5286714431686j</v>
      </c>
      <c r="J40" t="str">
        <f t="shared" si="1"/>
        <v>5+0.0000414344057318024j</v>
      </c>
      <c r="K40">
        <f t="shared" si="6"/>
        <v>13.979400087018616</v>
      </c>
      <c r="L40">
        <f t="shared" si="7"/>
        <v>4.748033150021203E-4</v>
      </c>
      <c r="M40">
        <f t="shared" si="8"/>
        <v>5</v>
      </c>
      <c r="N40">
        <f t="shared" si="9"/>
        <v>4.14344057318024E-5</v>
      </c>
      <c r="O40" t="str">
        <f t="shared" si="2"/>
        <v>768052.003167584-422075.968988813j</v>
      </c>
      <c r="P40">
        <f t="shared" si="10"/>
        <v>118.85390626182718</v>
      </c>
      <c r="Q40">
        <f t="shared" si="11"/>
        <v>-28.790593289891955</v>
      </c>
      <c r="R40">
        <f t="shared" si="3"/>
        <v>104.87450617480856</v>
      </c>
      <c r="S40">
        <f t="shared" si="12"/>
        <v>151.20893190679305</v>
      </c>
    </row>
    <row r="41" spans="7:19" x14ac:dyDescent="0.25">
      <c r="G41">
        <f t="shared" si="13"/>
        <v>-0.23999999999999935</v>
      </c>
      <c r="H41">
        <f t="shared" si="0"/>
        <v>5.7543993733715784</v>
      </c>
      <c r="I41" t="str">
        <f t="shared" si="5"/>
        <v>36.1559575944117j</v>
      </c>
      <c r="J41" t="str">
        <f t="shared" si="1"/>
        <v>5+0.000043387149113294j</v>
      </c>
      <c r="K41">
        <f t="shared" si="6"/>
        <v>13.979400087047392</v>
      </c>
      <c r="L41">
        <f t="shared" si="7"/>
        <v>4.9718010584682475E-4</v>
      </c>
      <c r="M41">
        <f t="shared" si="8"/>
        <v>5</v>
      </c>
      <c r="N41">
        <f t="shared" si="9"/>
        <v>4.3387149113294002E-5</v>
      </c>
      <c r="O41" t="str">
        <f t="shared" si="2"/>
        <v>751240.79353371-432293.955156155j</v>
      </c>
      <c r="P41">
        <f t="shared" si="10"/>
        <v>118.75779162758541</v>
      </c>
      <c r="Q41">
        <f t="shared" si="11"/>
        <v>-29.917841630566709</v>
      </c>
      <c r="R41">
        <f t="shared" si="3"/>
        <v>104.77839154053801</v>
      </c>
      <c r="S41">
        <f t="shared" si="12"/>
        <v>150.08166118932743</v>
      </c>
    </row>
    <row r="42" spans="7:19" x14ac:dyDescent="0.25">
      <c r="G42">
        <f t="shared" si="13"/>
        <v>-0.21999999999999936</v>
      </c>
      <c r="H42">
        <f t="shared" si="0"/>
        <v>6.0255958607435867</v>
      </c>
      <c r="I42" t="str">
        <f t="shared" si="5"/>
        <v>37.8599353792262j</v>
      </c>
      <c r="J42" t="str">
        <f t="shared" si="1"/>
        <v>5+0.0000454319224550716j</v>
      </c>
      <c r="K42">
        <f t="shared" si="6"/>
        <v>13.97940008707894</v>
      </c>
      <c r="L42">
        <f t="shared" si="7"/>
        <v>5.2061148235391964E-4</v>
      </c>
      <c r="M42">
        <f t="shared" si="8"/>
        <v>5</v>
      </c>
      <c r="N42">
        <f t="shared" si="9"/>
        <v>4.5431922455071603E-5</v>
      </c>
      <c r="O42" t="str">
        <f t="shared" si="2"/>
        <v>733633.702413807-442058.020056662j</v>
      </c>
      <c r="P42">
        <f t="shared" si="10"/>
        <v>118.65479274183417</v>
      </c>
      <c r="Q42">
        <f t="shared" si="11"/>
        <v>-31.071468214576662</v>
      </c>
      <c r="R42">
        <f t="shared" si="3"/>
        <v>104.67539265475523</v>
      </c>
      <c r="S42">
        <f t="shared" si="12"/>
        <v>148.92801117394097</v>
      </c>
    </row>
    <row r="43" spans="7:19" x14ac:dyDescent="0.25">
      <c r="G43">
        <f t="shared" si="13"/>
        <v>-0.19999999999999937</v>
      </c>
      <c r="H43">
        <f t="shared" si="0"/>
        <v>6.3095734448019414</v>
      </c>
      <c r="I43" t="str">
        <f t="shared" si="5"/>
        <v>39.64421916295j</v>
      </c>
      <c r="J43" t="str">
        <f t="shared" si="1"/>
        <v>5+0.00004757306299554j</v>
      </c>
      <c r="K43">
        <f t="shared" si="6"/>
        <v>13.979400087113532</v>
      </c>
      <c r="L43">
        <f t="shared" si="7"/>
        <v>5.451471456144368E-4</v>
      </c>
      <c r="M43">
        <f t="shared" si="8"/>
        <v>5</v>
      </c>
      <c r="N43">
        <f t="shared" si="9"/>
        <v>4.7573062995539998E-5</v>
      </c>
      <c r="O43" t="str">
        <f t="shared" si="2"/>
        <v>715252.751049199-451293.976434155j</v>
      </c>
      <c r="P43">
        <f t="shared" si="10"/>
        <v>118.54459536890707</v>
      </c>
      <c r="Q43">
        <f t="shared" si="11"/>
        <v>-32.25017757479344</v>
      </c>
      <c r="R43">
        <f t="shared" si="3"/>
        <v>104.56519528179354</v>
      </c>
      <c r="S43">
        <f t="shared" si="12"/>
        <v>147.74927727806096</v>
      </c>
    </row>
    <row r="44" spans="7:19" x14ac:dyDescent="0.25">
      <c r="G44">
        <f t="shared" si="13"/>
        <v>-0.17999999999999938</v>
      </c>
      <c r="H44">
        <f t="shared" si="0"/>
        <v>6.60693448007597</v>
      </c>
      <c r="I44" t="str">
        <f t="shared" si="5"/>
        <v>41.5125936507115j</v>
      </c>
      <c r="J44" t="str">
        <f t="shared" si="1"/>
        <v>5+0.0000498151123808536j</v>
      </c>
      <c r="K44">
        <f t="shared" si="6"/>
        <v>13.979400087151465</v>
      </c>
      <c r="L44">
        <f t="shared" si="7"/>
        <v>5.7083913905967357E-4</v>
      </c>
      <c r="M44">
        <f t="shared" si="8"/>
        <v>5</v>
      </c>
      <c r="N44">
        <f t="shared" si="9"/>
        <v>4.9815112380853602E-5</v>
      </c>
      <c r="O44" t="str">
        <f t="shared" si="2"/>
        <v>696128.7704296-459927.717592421j</v>
      </c>
      <c r="P44">
        <f t="shared" si="10"/>
        <v>118.42689583165492</v>
      </c>
      <c r="Q44">
        <f t="shared" si="11"/>
        <v>-33.452478345094278</v>
      </c>
      <c r="R44">
        <f t="shared" si="3"/>
        <v>104.44749574450346</v>
      </c>
      <c r="S44">
        <f t="shared" si="12"/>
        <v>146.54695081576665</v>
      </c>
    </row>
    <row r="45" spans="7:19" x14ac:dyDescent="0.25">
      <c r="G45">
        <f t="shared" si="13"/>
        <v>-0.15999999999999939</v>
      </c>
      <c r="H45">
        <f t="shared" si="0"/>
        <v>6.9183097091893755</v>
      </c>
      <c r="I45" t="str">
        <f t="shared" si="5"/>
        <v>43.4690219152966j</v>
      </c>
      <c r="J45" t="str">
        <f t="shared" si="1"/>
        <v>5+0.000052162826298356j</v>
      </c>
      <c r="K45">
        <f t="shared" si="6"/>
        <v>13.979400087193055</v>
      </c>
      <c r="L45">
        <f t="shared" si="7"/>
        <v>5.9774195885227768E-4</v>
      </c>
      <c r="M45">
        <f t="shared" si="8"/>
        <v>5</v>
      </c>
      <c r="N45">
        <f t="shared" si="9"/>
        <v>5.2162826298355998E-5</v>
      </c>
      <c r="O45" t="str">
        <f t="shared" si="2"/>
        <v>676301.669492736-467886.440639258j</v>
      </c>
      <c r="P45">
        <f t="shared" si="10"/>
        <v>118.30140459509607</v>
      </c>
      <c r="Q45">
        <f t="shared" si="11"/>
        <v>-34.676685063915208</v>
      </c>
      <c r="R45">
        <f t="shared" si="3"/>
        <v>104.32200450790302</v>
      </c>
      <c r="S45">
        <f t="shared" si="12"/>
        <v>145.32271719412594</v>
      </c>
    </row>
    <row r="46" spans="7:19" x14ac:dyDescent="0.25">
      <c r="G46">
        <f t="shared" si="13"/>
        <v>-0.1399999999999994</v>
      </c>
      <c r="H46">
        <f t="shared" si="0"/>
        <v>7.2443596007499096</v>
      </c>
      <c r="I46" t="str">
        <f t="shared" si="5"/>
        <v>45.5176538033572j</v>
      </c>
      <c r="J46" t="str">
        <f t="shared" si="1"/>
        <v>5+0.0000546211845640288j</v>
      </c>
      <c r="K46">
        <f t="shared" si="6"/>
        <v>13.979400087238661</v>
      </c>
      <c r="L46">
        <f t="shared" si="7"/>
        <v>6.2591266947989541E-4</v>
      </c>
      <c r="M46">
        <f t="shared" si="8"/>
        <v>5</v>
      </c>
      <c r="N46">
        <f t="shared" si="9"/>
        <v>5.4621184564028798E-5</v>
      </c>
      <c r="O46" t="str">
        <f t="shared" si="2"/>
        <v>655820.505912394-475099.957837512j</v>
      </c>
      <c r="P46">
        <f t="shared" si="10"/>
        <v>118.16784991877979</v>
      </c>
      <c r="Q46">
        <f t="shared" si="11"/>
        <v>-35.92092332877521</v>
      </c>
      <c r="R46">
        <f t="shared" si="3"/>
        <v>104.18844983154113</v>
      </c>
      <c r="S46">
        <f t="shared" si="12"/>
        <v>144.07845075855531</v>
      </c>
    </row>
    <row r="47" spans="7:19" x14ac:dyDescent="0.25">
      <c r="G47">
        <f t="shared" si="13"/>
        <v>-0.1199999999999994</v>
      </c>
      <c r="H47">
        <f t="shared" si="0"/>
        <v>7.585775750291849</v>
      </c>
      <c r="I47" t="str">
        <f t="shared" si="5"/>
        <v>47.6628347377929j</v>
      </c>
      <c r="J47" t="str">
        <f t="shared" si="1"/>
        <v>5+0.0000571954016853516j</v>
      </c>
      <c r="K47">
        <f t="shared" si="6"/>
        <v>13.979400087288663</v>
      </c>
      <c r="L47">
        <f t="shared" si="7"/>
        <v>6.55411024796629E-4</v>
      </c>
      <c r="M47">
        <f t="shared" si="8"/>
        <v>5</v>
      </c>
      <c r="N47">
        <f t="shared" si="9"/>
        <v>5.7195401685351597E-5</v>
      </c>
      <c r="O47" t="str">
        <f t="shared" si="2"/>
        <v>634743.335052317-481502.059869923j</v>
      </c>
      <c r="P47">
        <f t="shared" si="10"/>
        <v>118.0259814938003</v>
      </c>
      <c r="Q47">
        <f t="shared" si="11"/>
        <v>-37.183138488143648</v>
      </c>
      <c r="R47">
        <f t="shared" si="3"/>
        <v>104.04658140651163</v>
      </c>
      <c r="S47">
        <f t="shared" si="12"/>
        <v>142.81620610083155</v>
      </c>
    </row>
    <row r="48" spans="7:19" x14ac:dyDescent="0.25">
      <c r="G48">
        <f t="shared" si="13"/>
        <v>-9.9999999999999395E-2</v>
      </c>
      <c r="H48">
        <f t="shared" si="0"/>
        <v>7.9432823472428264</v>
      </c>
      <c r="I48" t="str">
        <f t="shared" si="5"/>
        <v>49.9091149349751j</v>
      </c>
      <c r="J48" t="str">
        <f t="shared" si="1"/>
        <v>5+0.00005989093792197j</v>
      </c>
      <c r="K48">
        <f t="shared" si="6"/>
        <v>13.979400087343489</v>
      </c>
      <c r="L48">
        <f t="shared" si="7"/>
        <v>6.8629959476895601E-4</v>
      </c>
      <c r="M48">
        <f t="shared" si="8"/>
        <v>5</v>
      </c>
      <c r="N48">
        <f t="shared" si="9"/>
        <v>5.989093792197E-5</v>
      </c>
      <c r="O48" t="str">
        <f t="shared" si="2"/>
        <v>613136.820153142-487031.887996706j</v>
      </c>
      <c r="P48">
        <f t="shared" si="10"/>
        <v>117.8755739720566</v>
      </c>
      <c r="Q48">
        <f t="shared" si="11"/>
        <v>-38.461107952210021</v>
      </c>
      <c r="R48">
        <f t="shared" si="3"/>
        <v>103.89617388471311</v>
      </c>
      <c r="S48">
        <f t="shared" si="12"/>
        <v>141.5382057481952</v>
      </c>
    </row>
    <row r="49" spans="7:19" x14ac:dyDescent="0.25">
      <c r="G49">
        <f t="shared" si="13"/>
        <v>-7.9999999999999391E-2</v>
      </c>
      <c r="H49">
        <f t="shared" si="0"/>
        <v>8.3176377110267214</v>
      </c>
      <c r="I49" t="str">
        <f t="shared" si="5"/>
        <v>52.2612590563659j</v>
      </c>
      <c r="J49" t="str">
        <f t="shared" si="1"/>
        <v>5+0.0000627135108676392j</v>
      </c>
      <c r="K49">
        <f t="shared" si="6"/>
        <v>13.979400087403606</v>
      </c>
      <c r="L49">
        <f t="shared" si="7"/>
        <v>7.1864389819502404E-4</v>
      </c>
      <c r="M49">
        <f t="shared" si="8"/>
        <v>5</v>
      </c>
      <c r="N49">
        <f t="shared" si="9"/>
        <v>6.2713510867639201E-5</v>
      </c>
      <c r="O49" t="str">
        <f t="shared" si="2"/>
        <v>591075.596314943-491635.266997677j</v>
      </c>
      <c r="P49">
        <f t="shared" si="10"/>
        <v>117.71643029041761</v>
      </c>
      <c r="Q49">
        <f t="shared" si="11"/>
        <v>-39.752457083430862</v>
      </c>
      <c r="R49">
        <f t="shared" si="3"/>
        <v>103.737030203014</v>
      </c>
      <c r="S49">
        <f t="shared" si="12"/>
        <v>140.24682427267095</v>
      </c>
    </row>
    <row r="50" spans="7:19" x14ac:dyDescent="0.25">
      <c r="G50">
        <f t="shared" si="13"/>
        <v>-5.9999999999999387E-2</v>
      </c>
      <c r="H50">
        <f t="shared" si="0"/>
        <v>8.7096358995608192</v>
      </c>
      <c r="I50" t="str">
        <f t="shared" si="5"/>
        <v>54.7242563150044j</v>
      </c>
      <c r="J50" t="str">
        <f t="shared" si="1"/>
        <v>5+0.0000656691075780052j</v>
      </c>
      <c r="K50">
        <f t="shared" si="6"/>
        <v>13.979400087469525</v>
      </c>
      <c r="L50">
        <f t="shared" si="7"/>
        <v>7.5251254167878515E-4</v>
      </c>
      <c r="M50">
        <f t="shared" si="8"/>
        <v>5</v>
      </c>
      <c r="N50">
        <f t="shared" si="9"/>
        <v>6.5669107578005204E-5</v>
      </c>
      <c r="O50" t="str">
        <f t="shared" si="2"/>
        <v>568641.391883667-495265.948072622j</v>
      </c>
      <c r="P50">
        <f t="shared" si="10"/>
        <v>117.54838469164488</v>
      </c>
      <c r="Q50">
        <f t="shared" si="11"/>
        <v>-41.054678496630203</v>
      </c>
      <c r="R50">
        <f t="shared" si="3"/>
        <v>103.56898460417536</v>
      </c>
      <c r="S50">
        <f t="shared" si="12"/>
        <v>138.94456899082812</v>
      </c>
    </row>
    <row r="51" spans="7:19" x14ac:dyDescent="0.25">
      <c r="G51">
        <f t="shared" si="13"/>
        <v>-3.9999999999999383E-2</v>
      </c>
      <c r="H51">
        <f t="shared" si="0"/>
        <v>9.1201083935591107</v>
      </c>
      <c r="I51" t="str">
        <f t="shared" si="5"/>
        <v>57.3033310582958j</v>
      </c>
      <c r="J51" t="str">
        <f t="shared" si="1"/>
        <v>5+0.0000687639972699548j</v>
      </c>
      <c r="K51">
        <f t="shared" si="6"/>
        <v>13.979400087541798</v>
      </c>
      <c r="L51">
        <f t="shared" si="7"/>
        <v>7.8797736515382583E-4</v>
      </c>
      <c r="M51">
        <f t="shared" si="8"/>
        <v>5</v>
      </c>
      <c r="N51">
        <f t="shared" si="9"/>
        <v>6.87639972699548E-5</v>
      </c>
      <c r="O51" t="str">
        <f t="shared" si="2"/>
        <v>545921.922780483-497886.711017821j</v>
      </c>
      <c r="P51">
        <f t="shared" si="10"/>
        <v>117.37130534773851</v>
      </c>
      <c r="Q51">
        <f t="shared" si="11"/>
        <v>-42.365154463831608</v>
      </c>
      <c r="R51">
        <f t="shared" si="3"/>
        <v>103.39190526019672</v>
      </c>
      <c r="S51">
        <f t="shared" si="12"/>
        <v>137.63405755880325</v>
      </c>
    </row>
    <row r="52" spans="7:19" x14ac:dyDescent="0.25">
      <c r="G52">
        <f t="shared" si="13"/>
        <v>-1.9999999999999383E-2</v>
      </c>
      <c r="H52">
        <f t="shared" si="0"/>
        <v>9.5499258602143726</v>
      </c>
      <c r="I52" t="str">
        <f t="shared" si="5"/>
        <v>60.0039538495533j</v>
      </c>
      <c r="J52" t="str">
        <f t="shared" si="1"/>
        <v>5+0.000072004744619464j</v>
      </c>
      <c r="K52">
        <f t="shared" si="6"/>
        <v>13.979400087621048</v>
      </c>
      <c r="L52">
        <f t="shared" si="7"/>
        <v>8.2511359426548257E-4</v>
      </c>
      <c r="M52">
        <f t="shared" si="8"/>
        <v>5</v>
      </c>
      <c r="N52">
        <f t="shared" si="9"/>
        <v>7.2004744619463999E-5</v>
      </c>
      <c r="O52" t="str">
        <f t="shared" si="2"/>
        <v>523009.587297562-499470.278287303j</v>
      </c>
      <c r="P52">
        <f t="shared" si="10"/>
        <v>117.18509649999712</v>
      </c>
      <c r="Q52">
        <f t="shared" si="11"/>
        <v>-43.681181988918347</v>
      </c>
      <c r="R52">
        <f t="shared" si="3"/>
        <v>103.20569641237607</v>
      </c>
      <c r="S52">
        <f t="shared" si="12"/>
        <v>136.31799289748739</v>
      </c>
    </row>
    <row r="53" spans="7:19" x14ac:dyDescent="0.25">
      <c r="G53">
        <f t="shared" si="13"/>
        <v>6.1756155744774333E-16</v>
      </c>
      <c r="H53">
        <f t="shared" si="0"/>
        <v>10.000000000000014</v>
      </c>
      <c r="I53" t="str">
        <f t="shared" si="5"/>
        <v>62.831853071796j</v>
      </c>
      <c r="J53" t="str">
        <f t="shared" si="1"/>
        <v>5+0.0000753982236861552j</v>
      </c>
      <c r="K53">
        <f t="shared" si="6"/>
        <v>13.979400087707942</v>
      </c>
      <c r="L53">
        <f t="shared" si="7"/>
        <v>8.6399999993451188E-4</v>
      </c>
      <c r="M53">
        <f t="shared" si="8"/>
        <v>5</v>
      </c>
      <c r="N53">
        <f t="shared" si="9"/>
        <v>7.5398223686155196E-5</v>
      </c>
      <c r="O53" t="str">
        <f t="shared" si="2"/>
        <v>500000-500000j</v>
      </c>
      <c r="P53">
        <f t="shared" si="10"/>
        <v>116.98970004336019</v>
      </c>
      <c r="Q53">
        <f t="shared" si="11"/>
        <v>-45</v>
      </c>
      <c r="R53">
        <f t="shared" si="3"/>
        <v>103.01029995565224</v>
      </c>
      <c r="S53">
        <f t="shared" si="12"/>
        <v>134.99913600000008</v>
      </c>
    </row>
    <row r="54" spans="7:19" x14ac:dyDescent="0.25">
      <c r="G54">
        <f t="shared" si="13"/>
        <v>2.0000000000000618E-2</v>
      </c>
      <c r="H54">
        <f t="shared" si="0"/>
        <v>10.47128548050901</v>
      </c>
      <c r="I54" t="str">
        <f t="shared" si="5"/>
        <v>65.7930270784172j</v>
      </c>
      <c r="J54" t="str">
        <f t="shared" si="1"/>
        <v>5+0.0000789516324941008j</v>
      </c>
      <c r="K54">
        <f t="shared" si="6"/>
        <v>13.979400087803223</v>
      </c>
      <c r="L54">
        <f t="shared" si="7"/>
        <v>9.0471906544078865E-4</v>
      </c>
      <c r="M54">
        <f t="shared" si="8"/>
        <v>5</v>
      </c>
      <c r="N54">
        <f t="shared" si="9"/>
        <v>7.8951632494100806E-5</v>
      </c>
      <c r="O54" t="str">
        <f t="shared" si="2"/>
        <v>476990.412702438-499470.278287303j</v>
      </c>
      <c r="P54">
        <f t="shared" si="10"/>
        <v>116.78509649999712</v>
      </c>
      <c r="Q54">
        <f t="shared" si="11"/>
        <v>-46.31881801108166</v>
      </c>
      <c r="R54">
        <f t="shared" si="3"/>
        <v>102.8056964121939</v>
      </c>
      <c r="S54">
        <f t="shared" si="12"/>
        <v>133.68027726985289</v>
      </c>
    </row>
    <row r="55" spans="7:19" x14ac:dyDescent="0.25">
      <c r="G55">
        <f t="shared" si="13"/>
        <v>4.0000000000000618E-2</v>
      </c>
      <c r="H55">
        <f t="shared" si="0"/>
        <v>10.964781961431866</v>
      </c>
      <c r="I55" t="str">
        <f t="shared" si="5"/>
        <v>68.8937569164965j</v>
      </c>
      <c r="J55" t="str">
        <f t="shared" si="1"/>
        <v>5+0.000082672508299796j</v>
      </c>
      <c r="K55">
        <f t="shared" si="6"/>
        <v>13.979400087907694</v>
      </c>
      <c r="L55">
        <f t="shared" si="7"/>
        <v>9.4735716138138353E-4</v>
      </c>
      <c r="M55">
        <f t="shared" si="8"/>
        <v>5</v>
      </c>
      <c r="N55">
        <f t="shared" si="9"/>
        <v>8.2672508299795996E-5</v>
      </c>
      <c r="O55" t="str">
        <f t="shared" si="2"/>
        <v>454078.077219514-497886.711017821j</v>
      </c>
      <c r="P55">
        <f t="shared" si="10"/>
        <v>116.5713053477385</v>
      </c>
      <c r="Q55">
        <f t="shared" si="11"/>
        <v>-47.634845536168555</v>
      </c>
      <c r="R55">
        <f t="shared" si="3"/>
        <v>102.59190525983081</v>
      </c>
      <c r="S55">
        <f t="shared" si="12"/>
        <v>132.36420710667005</v>
      </c>
    </row>
    <row r="56" spans="7:19" x14ac:dyDescent="0.25">
      <c r="G56">
        <f t="shared" si="13"/>
        <v>6.0000000000000622E-2</v>
      </c>
      <c r="H56">
        <f t="shared" si="0"/>
        <v>11.481536214968845</v>
      </c>
      <c r="I56" t="str">
        <f t="shared" si="5"/>
        <v>72.1406196497426j</v>
      </c>
      <c r="J56" t="str">
        <f t="shared" si="1"/>
        <v>5+0.0000865687435796912j</v>
      </c>
      <c r="K56">
        <f t="shared" si="6"/>
        <v>13.979400088022242</v>
      </c>
      <c r="L56">
        <f t="shared" si="7"/>
        <v>9.9200472887418659E-4</v>
      </c>
      <c r="M56">
        <f t="shared" si="8"/>
        <v>5</v>
      </c>
      <c r="N56">
        <f t="shared" si="9"/>
        <v>8.6568743579691203E-5</v>
      </c>
      <c r="O56" t="str">
        <f t="shared" si="2"/>
        <v>431358.608116329-495265.948072621j</v>
      </c>
      <c r="P56">
        <f t="shared" si="10"/>
        <v>116.34838469164485</v>
      </c>
      <c r="Q56">
        <f t="shared" si="11"/>
        <v>-48.945321503370039</v>
      </c>
      <c r="R56">
        <f t="shared" si="3"/>
        <v>102.36898460362261</v>
      </c>
      <c r="S56">
        <f t="shared" si="12"/>
        <v>131.05368649190109</v>
      </c>
    </row>
    <row r="57" spans="7:19" x14ac:dyDescent="0.25">
      <c r="G57">
        <f t="shared" si="13"/>
        <v>8.0000000000000626E-2</v>
      </c>
      <c r="H57">
        <f t="shared" si="0"/>
        <v>12.022644346174147</v>
      </c>
      <c r="I57" t="str">
        <f t="shared" si="5"/>
        <v>75.5405023093271j</v>
      </c>
      <c r="J57" t="str">
        <f t="shared" si="1"/>
        <v>5+0.0000906486027711924j</v>
      </c>
      <c r="K57">
        <f t="shared" si="6"/>
        <v>13.979400088147845</v>
      </c>
      <c r="L57">
        <f t="shared" si="7"/>
        <v>1.0387564713956361E-3</v>
      </c>
      <c r="M57">
        <f t="shared" si="8"/>
        <v>5</v>
      </c>
      <c r="N57">
        <f t="shared" si="9"/>
        <v>9.0648602771192406E-5</v>
      </c>
      <c r="O57" t="str">
        <f t="shared" si="2"/>
        <v>408924.403685058-491635.266997678j</v>
      </c>
      <c r="P57">
        <f t="shared" si="10"/>
        <v>116.11643029041764</v>
      </c>
      <c r="Q57">
        <f t="shared" si="11"/>
        <v>-50.247542916569081</v>
      </c>
      <c r="R57">
        <f t="shared" si="3"/>
        <v>102.1370302022698</v>
      </c>
      <c r="S57">
        <f t="shared" si="12"/>
        <v>129.75141832695954</v>
      </c>
    </row>
    <row r="58" spans="7:19" x14ac:dyDescent="0.25">
      <c r="G58">
        <f t="shared" si="13"/>
        <v>0.10000000000000063</v>
      </c>
      <c r="H58">
        <f t="shared" si="0"/>
        <v>12.589254117941691</v>
      </c>
      <c r="I58" t="str">
        <f t="shared" si="5"/>
        <v>79.1006165022013j</v>
      </c>
      <c r="J58" t="str">
        <f t="shared" si="1"/>
        <v>5+0.0000949207398026416j</v>
      </c>
      <c r="K58">
        <f t="shared" si="6"/>
        <v>13.979400088285566</v>
      </c>
      <c r="L58">
        <f t="shared" si="7"/>
        <v>1.0877115556594925E-3</v>
      </c>
      <c r="M58">
        <f t="shared" si="8"/>
        <v>5</v>
      </c>
      <c r="N58">
        <f t="shared" si="9"/>
        <v>9.4920739802641598E-5</v>
      </c>
      <c r="O58" t="str">
        <f t="shared" si="2"/>
        <v>386863.179846856-487031.887996705j</v>
      </c>
      <c r="P58">
        <f t="shared" si="10"/>
        <v>115.87557397205659</v>
      </c>
      <c r="Q58">
        <f t="shared" si="11"/>
        <v>-51.538892047790121</v>
      </c>
      <c r="R58">
        <f t="shared" si="3"/>
        <v>101.89617388377101</v>
      </c>
      <c r="S58">
        <f t="shared" si="12"/>
        <v>128.46002024065422</v>
      </c>
    </row>
    <row r="59" spans="7:19" x14ac:dyDescent="0.25">
      <c r="G59">
        <f t="shared" si="13"/>
        <v>0.12000000000000063</v>
      </c>
      <c r="H59">
        <f t="shared" si="0"/>
        <v>13.18256738556409</v>
      </c>
      <c r="I59" t="str">
        <f t="shared" si="5"/>
        <v>82.8285137078811j</v>
      </c>
      <c r="J59" t="str">
        <f t="shared" si="1"/>
        <v>5+0.0000993942164494572j</v>
      </c>
      <c r="K59">
        <f t="shared" si="6"/>
        <v>13.97940008843657</v>
      </c>
      <c r="L59">
        <f t="shared" si="7"/>
        <v>1.138973821962707E-3</v>
      </c>
      <c r="M59">
        <f t="shared" si="8"/>
        <v>5</v>
      </c>
      <c r="N59">
        <f t="shared" si="9"/>
        <v>9.9394216449457198E-5</v>
      </c>
      <c r="O59" t="str">
        <f t="shared" si="2"/>
        <v>365256.664947682-481502.059869923j</v>
      </c>
      <c r="P59">
        <f t="shared" si="10"/>
        <v>115.62598149380028</v>
      </c>
      <c r="Q59">
        <f t="shared" si="11"/>
        <v>-52.816861511856409</v>
      </c>
      <c r="R59">
        <f t="shared" si="3"/>
        <v>101.64658140536372</v>
      </c>
      <c r="S59">
        <f t="shared" si="12"/>
        <v>127.18199951432163</v>
      </c>
    </row>
    <row r="60" spans="7:19" x14ac:dyDescent="0.25">
      <c r="G60">
        <f t="shared" si="13"/>
        <v>0.14000000000000062</v>
      </c>
      <c r="H60">
        <f t="shared" si="0"/>
        <v>13.803842646028869</v>
      </c>
      <c r="I60" t="str">
        <f t="shared" si="5"/>
        <v>86.7321012961476j</v>
      </c>
      <c r="J60" t="str">
        <f t="shared" si="1"/>
        <v>5+0.000104078521555377j</v>
      </c>
      <c r="K60">
        <f t="shared" si="6"/>
        <v>13.979400088602144</v>
      </c>
      <c r="L60">
        <f t="shared" si="7"/>
        <v>1.1926520044446371E-3</v>
      </c>
      <c r="M60">
        <f t="shared" si="8"/>
        <v>5</v>
      </c>
      <c r="N60">
        <f t="shared" si="9"/>
        <v>1.04078521555377E-4</v>
      </c>
      <c r="O60" t="str">
        <f t="shared" si="2"/>
        <v>344179.494087603-475099.957837511j</v>
      </c>
      <c r="P60">
        <f t="shared" si="10"/>
        <v>115.36784991877977</v>
      </c>
      <c r="Q60">
        <f t="shared" si="11"/>
        <v>-54.079076671224982</v>
      </c>
      <c r="R60">
        <f t="shared" si="3"/>
        <v>101.38844983017762</v>
      </c>
      <c r="S60">
        <f t="shared" si="12"/>
        <v>125.91973067677057</v>
      </c>
    </row>
    <row r="61" spans="7:19" x14ac:dyDescent="0.25">
      <c r="G61">
        <f t="shared" si="13"/>
        <v>0.16000000000000061</v>
      </c>
      <c r="H61">
        <f t="shared" si="0"/>
        <v>14.454397707459297</v>
      </c>
      <c r="I61" t="str">
        <f t="shared" si="5"/>
        <v>90.8196592996385j</v>
      </c>
      <c r="J61" t="str">
        <f t="shared" si="1"/>
        <v>5+0.000108983591159566j</v>
      </c>
      <c r="K61">
        <f t="shared" si="6"/>
        <v>13.979400088783695</v>
      </c>
      <c r="L61">
        <f t="shared" si="7"/>
        <v>1.2488599617267036E-3</v>
      </c>
      <c r="M61">
        <f t="shared" si="8"/>
        <v>5</v>
      </c>
      <c r="N61">
        <f t="shared" si="9"/>
        <v>1.08983591159566E-4</v>
      </c>
      <c r="O61" t="str">
        <f t="shared" si="2"/>
        <v>323698.330507262-467886.440639258j</v>
      </c>
      <c r="P61">
        <f t="shared" si="10"/>
        <v>115.10140459509607</v>
      </c>
      <c r="Q61">
        <f t="shared" si="11"/>
        <v>-55.323314936084941</v>
      </c>
      <c r="R61">
        <f t="shared" si="3"/>
        <v>101.12200450631238</v>
      </c>
      <c r="S61">
        <f t="shared" si="12"/>
        <v>124.67543620395332</v>
      </c>
    </row>
    <row r="62" spans="7:19" x14ac:dyDescent="0.25">
      <c r="G62">
        <f t="shared" si="13"/>
        <v>0.1800000000000006</v>
      </c>
      <c r="H62">
        <f t="shared" si="0"/>
        <v>15.135612484362104</v>
      </c>
      <c r="I62" t="str">
        <f t="shared" si="5"/>
        <v>95.0998579769079j</v>
      </c>
      <c r="J62" t="str">
        <f t="shared" si="1"/>
        <v>5+0.00011411982957229j</v>
      </c>
      <c r="K62">
        <f t="shared" si="6"/>
        <v>13.979400088982763</v>
      </c>
      <c r="L62">
        <f t="shared" si="7"/>
        <v>1.3077169184218139E-3</v>
      </c>
      <c r="M62">
        <f t="shared" si="8"/>
        <v>5</v>
      </c>
      <c r="N62">
        <f t="shared" si="9"/>
        <v>1.1411982957229E-4</v>
      </c>
      <c r="O62" t="str">
        <f t="shared" si="2"/>
        <v>303871.2295704-459927.71759242j</v>
      </c>
      <c r="P62">
        <f t="shared" si="10"/>
        <v>114.82689583165489</v>
      </c>
      <c r="Q62">
        <f t="shared" si="11"/>
        <v>-56.547521654905722</v>
      </c>
      <c r="R62">
        <f t="shared" si="3"/>
        <v>100.84749574267214</v>
      </c>
      <c r="S62">
        <f t="shared" si="12"/>
        <v>123.45117062817586</v>
      </c>
    </row>
    <row r="63" spans="7:19" x14ac:dyDescent="0.25">
      <c r="G63">
        <f t="shared" si="13"/>
        <v>0.20000000000000059</v>
      </c>
      <c r="H63">
        <f t="shared" si="0"/>
        <v>15.848931924611158</v>
      </c>
      <c r="I63" t="str">
        <f t="shared" si="5"/>
        <v>99.5817762032063j</v>
      </c>
      <c r="J63" t="str">
        <f t="shared" si="1"/>
        <v>5+0.000119498131443848j</v>
      </c>
      <c r="K63">
        <f t="shared" si="6"/>
        <v>13.979400089201031</v>
      </c>
      <c r="L63">
        <f t="shared" si="7"/>
        <v>1.3693477180256887E-3</v>
      </c>
      <c r="M63">
        <f t="shared" si="8"/>
        <v>5</v>
      </c>
      <c r="N63">
        <f t="shared" si="9"/>
        <v>1.1949813144384799E-4</v>
      </c>
      <c r="O63" t="str">
        <f t="shared" si="2"/>
        <v>284747.2489508-451293.976434154j</v>
      </c>
      <c r="P63">
        <f t="shared" si="10"/>
        <v>114.54459536890704</v>
      </c>
      <c r="Q63">
        <f t="shared" si="11"/>
        <v>-57.749822425206617</v>
      </c>
      <c r="R63">
        <f t="shared" si="3"/>
        <v>100.565195279706</v>
      </c>
      <c r="S63">
        <f t="shared" si="12"/>
        <v>122.24880822707536</v>
      </c>
    </row>
    <row r="64" spans="7:19" x14ac:dyDescent="0.25">
      <c r="G64">
        <f t="shared" si="13"/>
        <v>0.22000000000000058</v>
      </c>
      <c r="H64">
        <f t="shared" si="0"/>
        <v>16.595869074375628</v>
      </c>
      <c r="I64" t="str">
        <f t="shared" si="5"/>
        <v>104.274920727993j</v>
      </c>
      <c r="J64" t="str">
        <f t="shared" si="1"/>
        <v>5+0.000125129904873592j</v>
      </c>
      <c r="K64">
        <f t="shared" si="6"/>
        <v>13.979400089440364</v>
      </c>
      <c r="L64">
        <f t="shared" si="7"/>
        <v>1.4338830877267117E-3</v>
      </c>
      <c r="M64">
        <f t="shared" si="8"/>
        <v>5</v>
      </c>
      <c r="N64">
        <f t="shared" si="9"/>
        <v>1.2512990487359199E-4</v>
      </c>
      <c r="O64" t="str">
        <f t="shared" si="2"/>
        <v>266366.297586193-442058.020056662j</v>
      </c>
      <c r="P64">
        <f t="shared" si="10"/>
        <v>114.25479274183418</v>
      </c>
      <c r="Q64">
        <f t="shared" si="11"/>
        <v>-58.928531785423274</v>
      </c>
      <c r="R64">
        <f t="shared" si="3"/>
        <v>100.27539265239382</v>
      </c>
      <c r="S64">
        <f t="shared" si="12"/>
        <v>121.070034331489</v>
      </c>
    </row>
    <row r="65" spans="7:19" x14ac:dyDescent="0.25">
      <c r="G65">
        <f t="shared" si="13"/>
        <v>0.24000000000000057</v>
      </c>
      <c r="H65">
        <f t="shared" si="0"/>
        <v>17.378008287493778</v>
      </c>
      <c r="I65" t="str">
        <f t="shared" si="5"/>
        <v>109.189246340026j</v>
      </c>
      <c r="J65" t="str">
        <f t="shared" si="1"/>
        <v>5+0.000131027095608031j</v>
      </c>
      <c r="K65">
        <f t="shared" si="6"/>
        <v>13.97940008970278</v>
      </c>
      <c r="L65">
        <f t="shared" si="7"/>
        <v>1.5014599156957641E-3</v>
      </c>
      <c r="M65">
        <f t="shared" si="8"/>
        <v>5</v>
      </c>
      <c r="N65">
        <f t="shared" si="9"/>
        <v>1.3102709560803099E-4</v>
      </c>
      <c r="O65" t="str">
        <f t="shared" si="2"/>
        <v>248759.206466288-432293.955156154j</v>
      </c>
      <c r="P65">
        <f t="shared" si="10"/>
        <v>113.95779162758538</v>
      </c>
      <c r="Q65">
        <f t="shared" si="11"/>
        <v>-60.082158369433451</v>
      </c>
      <c r="R65">
        <f t="shared" si="3"/>
        <v>99.978391537882601</v>
      </c>
      <c r="S65">
        <f t="shared" si="12"/>
        <v>119.91634017065086</v>
      </c>
    </row>
    <row r="66" spans="7:19" x14ac:dyDescent="0.25">
      <c r="G66">
        <f t="shared" si="13"/>
        <v>0.26000000000000056</v>
      </c>
      <c r="H66">
        <f t="shared" si="0"/>
        <v>18.197008586099862</v>
      </c>
      <c r="I66" t="str">
        <f t="shared" si="5"/>
        <v>114.335176982803j</v>
      </c>
      <c r="J66" t="str">
        <f t="shared" si="1"/>
        <v>5+0.000137202212379364j</v>
      </c>
      <c r="K66">
        <f t="shared" si="6"/>
        <v>13.979400089990516</v>
      </c>
      <c r="L66">
        <f t="shared" si="7"/>
        <v>1.5722215414444105E-3</v>
      </c>
      <c r="M66">
        <f t="shared" si="8"/>
        <v>5</v>
      </c>
      <c r="N66">
        <f t="shared" si="9"/>
        <v>1.3720221237936399E-4</v>
      </c>
      <c r="O66" t="str">
        <f t="shared" si="2"/>
        <v>231947.996832417-422075.968988814j</v>
      </c>
      <c r="P66">
        <f t="shared" si="10"/>
        <v>113.65390626182719</v>
      </c>
      <c r="Q66">
        <f t="shared" si="11"/>
        <v>-61.209406710107977</v>
      </c>
      <c r="R66">
        <f t="shared" si="3"/>
        <v>99.674506171836668</v>
      </c>
      <c r="S66">
        <f t="shared" si="12"/>
        <v>118.78902106835058</v>
      </c>
    </row>
    <row r="67" spans="7:19" x14ac:dyDescent="0.25">
      <c r="G67">
        <f t="shared" si="13"/>
        <v>0.28000000000000058</v>
      </c>
      <c r="H67">
        <f t="shared" ref="H67:H130" si="14">$B$3*10^G67</f>
        <v>19.054607179632498</v>
      </c>
      <c r="I67" t="str">
        <f t="shared" si="5"/>
        <v>119.723627865146j</v>
      </c>
      <c r="J67" t="str">
        <f t="shared" ref="J67:J130" si="15">IMSUM(1,IMDIV(IMPRODUCT(R_f,IMSUM(1,IMPRODUCT(I67,C_s,R_1))),R_1))</f>
        <v>5+0.000143668353438175j</v>
      </c>
      <c r="K67">
        <f t="shared" si="6"/>
        <v>13.979400090306013</v>
      </c>
      <c r="L67">
        <f t="shared" si="7"/>
        <v>1.6463180598671719E-3</v>
      </c>
      <c r="M67">
        <f t="shared" si="8"/>
        <v>5</v>
      </c>
      <c r="N67">
        <f t="shared" si="9"/>
        <v>1.43668353438175E-4</v>
      </c>
      <c r="O67" t="str">
        <f t="shared" ref="O67:O130" si="16">IMDIV(Aolv,IMSUM(1,IMDIV(I67,wc)))</f>
        <v>215946.316112183-411477.222540641j</v>
      </c>
      <c r="P67">
        <f t="shared" si="10"/>
        <v>113.3434579969726</v>
      </c>
      <c r="Q67">
        <f t="shared" si="11"/>
        <v>-62.309175963519642</v>
      </c>
      <c r="R67">
        <f t="shared" ref="R67:R130" si="17">P67-K67</f>
        <v>99.364057906666588</v>
      </c>
      <c r="S67">
        <f t="shared" si="12"/>
        <v>117.6891777184205</v>
      </c>
    </row>
    <row r="68" spans="7:19" x14ac:dyDescent="0.25">
      <c r="G68">
        <f t="shared" ref="G68:G131" si="18">G67+(1/ppd)</f>
        <v>0.3000000000000006</v>
      </c>
      <c r="H68">
        <f t="shared" si="14"/>
        <v>19.952623149688826</v>
      </c>
      <c r="I68" t="str">
        <f t="shared" ref="I68:I131" si="19">COMPLEX(0,H68*2*PI(),"j")</f>
        <v>125.366028613816j</v>
      </c>
      <c r="J68" t="str">
        <f t="shared" si="15"/>
        <v>5+0.000150439234336579j</v>
      </c>
      <c r="K68">
        <f t="shared" ref="K68:K131" si="20">20*LOG(IMABS(J68))</f>
        <v>13.97940009065195</v>
      </c>
      <c r="L68">
        <f t="shared" ref="L68:L131" si="21">DEGREES(IMARGUMENT(J68))</f>
        <v>1.7239066396129053E-3</v>
      </c>
      <c r="M68">
        <f t="shared" ref="M68:M131" si="22">IMREAL(J68)</f>
        <v>5</v>
      </c>
      <c r="N68">
        <f t="shared" ref="N68:N131" si="23">IMAGINARY(J68)</f>
        <v>1.5043923433657899E-4</v>
      </c>
      <c r="O68" t="str">
        <f t="shared" si="16"/>
        <v>200760.008913102-400568.880137128j</v>
      </c>
      <c r="P68">
        <f t="shared" ref="P68:P131" si="24">20*LOG(IMABS(O68))</f>
        <v>113.02677206291305</v>
      </c>
      <c r="Q68">
        <f t="shared" ref="Q68:Q131" si="25">DEGREES(IMARGUMENT(O68))</f>
        <v>-63.380555889207095</v>
      </c>
      <c r="R68">
        <f t="shared" si="17"/>
        <v>99.047371972261104</v>
      </c>
      <c r="S68">
        <f t="shared" ref="S68:S131" si="26">(Q68-L68)-(-180)</f>
        <v>116.6177202041533</v>
      </c>
    </row>
    <row r="69" spans="7:19" x14ac:dyDescent="0.25">
      <c r="G69">
        <f t="shared" si="18"/>
        <v>0.32000000000000062</v>
      </c>
      <c r="H69">
        <f t="shared" si="14"/>
        <v>20.892961308540428</v>
      </c>
      <c r="I69" t="str">
        <f t="shared" si="19"/>
        <v>131.274347517293j</v>
      </c>
      <c r="J69" t="str">
        <f t="shared" si="15"/>
        <v>5+0.000157529217020752j</v>
      </c>
      <c r="K69">
        <f t="shared" si="20"/>
        <v>13.979400091031259</v>
      </c>
      <c r="L69">
        <f t="shared" si="21"/>
        <v>1.8051518564606251E-3</v>
      </c>
      <c r="M69">
        <f t="shared" si="22"/>
        <v>5</v>
      </c>
      <c r="N69">
        <f t="shared" si="23"/>
        <v>1.5752921702075201E-4</v>
      </c>
      <c r="O69" t="str">
        <f t="shared" si="16"/>
        <v>186387.789494412-389419.287429114j</v>
      </c>
      <c r="P69">
        <f t="shared" si="24"/>
        <v>112.70417457755644</v>
      </c>
      <c r="Q69">
        <f t="shared" si="25"/>
        <v>-64.422820463980571</v>
      </c>
      <c r="R69">
        <f t="shared" si="17"/>
        <v>98.724774486525178</v>
      </c>
      <c r="S69">
        <f t="shared" si="26"/>
        <v>115.57537438416297</v>
      </c>
    </row>
    <row r="70" spans="7:19" x14ac:dyDescent="0.25">
      <c r="G70">
        <f t="shared" si="18"/>
        <v>0.34000000000000064</v>
      </c>
      <c r="H70">
        <f t="shared" si="14"/>
        <v>21.877616239495559</v>
      </c>
      <c r="I70" t="str">
        <f t="shared" si="19"/>
        <v>137.461116912112j</v>
      </c>
      <c r="J70" t="str">
        <f t="shared" si="15"/>
        <v>5+0.000164953340294534j</v>
      </c>
      <c r="K70">
        <f t="shared" si="20"/>
        <v>13.97940009144717</v>
      </c>
      <c r="L70">
        <f t="shared" si="21"/>
        <v>1.8902260424066475E-3</v>
      </c>
      <c r="M70">
        <f t="shared" si="22"/>
        <v>5</v>
      </c>
      <c r="N70">
        <f t="shared" si="23"/>
        <v>1.64953340294534E-4</v>
      </c>
      <c r="O70" t="str">
        <f t="shared" si="16"/>
        <v>172821.983036859-378093.302262903j</v>
      </c>
      <c r="P70">
        <f t="shared" si="24"/>
        <v>112.37598984117291</v>
      </c>
      <c r="Q70">
        <f t="shared" si="25"/>
        <v>-65.435419528240587</v>
      </c>
      <c r="R70">
        <f t="shared" si="17"/>
        <v>98.396589749725734</v>
      </c>
      <c r="S70">
        <f t="shared" si="26"/>
        <v>114.56269024571701</v>
      </c>
    </row>
    <row r="71" spans="7:19" x14ac:dyDescent="0.25">
      <c r="G71">
        <f t="shared" si="18"/>
        <v>0.36000000000000065</v>
      </c>
      <c r="H71">
        <f t="shared" si="14"/>
        <v>22.908676527677766</v>
      </c>
      <c r="I71" t="str">
        <f t="shared" si="19"/>
        <v>143.939459765635j</v>
      </c>
      <c r="J71" t="str">
        <f t="shared" si="15"/>
        <v>5+0.000172727351718762j</v>
      </c>
      <c r="K71">
        <f t="shared" si="20"/>
        <v>13.9794000919032</v>
      </c>
      <c r="L71">
        <f t="shared" si="21"/>
        <v>1.9793096512039994E-3</v>
      </c>
      <c r="M71">
        <f t="shared" si="22"/>
        <v>5</v>
      </c>
      <c r="N71">
        <f t="shared" si="23"/>
        <v>1.7272735171876201E-4</v>
      </c>
      <c r="O71" t="str">
        <f t="shared" si="16"/>
        <v>160049.305365246-366651.776509194j</v>
      </c>
      <c r="P71">
        <f t="shared" si="24"/>
        <v>112.04253793589834</v>
      </c>
      <c r="Q71">
        <f t="shared" si="25"/>
        <v>-66.417968866963804</v>
      </c>
      <c r="R71">
        <f t="shared" si="17"/>
        <v>98.063137843995136</v>
      </c>
      <c r="S71">
        <f t="shared" si="26"/>
        <v>113.58005182338499</v>
      </c>
    </row>
    <row r="72" spans="7:19" x14ac:dyDescent="0.25">
      <c r="G72">
        <f t="shared" si="18"/>
        <v>0.38000000000000067</v>
      </c>
      <c r="H72">
        <f t="shared" si="14"/>
        <v>23.988329190194943</v>
      </c>
      <c r="I72" t="str">
        <f t="shared" si="19"/>
        <v>150.72311751162j</v>
      </c>
      <c r="J72" t="str">
        <f t="shared" si="15"/>
        <v>5+0.000180867741013944j</v>
      </c>
      <c r="K72">
        <f t="shared" si="20"/>
        <v>13.979400092403228</v>
      </c>
      <c r="L72">
        <f t="shared" si="21"/>
        <v>2.0725916411288296E-3</v>
      </c>
      <c r="M72">
        <f t="shared" si="22"/>
        <v>5</v>
      </c>
      <c r="N72">
        <f t="shared" si="23"/>
        <v>1.80867741013944E-4</v>
      </c>
      <c r="O72" t="str">
        <f t="shared" si="16"/>
        <v>148051.654147426-355151.181684135j</v>
      </c>
      <c r="P72">
        <f t="shared" si="24"/>
        <v>111.704132640258</v>
      </c>
      <c r="Q72">
        <f t="shared" si="25"/>
        <v>-67.370239115224251</v>
      </c>
      <c r="R72">
        <f t="shared" si="17"/>
        <v>97.724732547854771</v>
      </c>
      <c r="S72">
        <f t="shared" si="26"/>
        <v>112.62768829313463</v>
      </c>
    </row>
    <row r="73" spans="7:19" x14ac:dyDescent="0.25">
      <c r="G73">
        <f t="shared" si="18"/>
        <v>0.40000000000000069</v>
      </c>
      <c r="H73">
        <f t="shared" si="14"/>
        <v>25.118864315095841</v>
      </c>
      <c r="I73" t="str">
        <f t="shared" si="19"/>
        <v>157.826479197648j</v>
      </c>
      <c r="J73" t="str">
        <f t="shared" si="15"/>
        <v>5+0.000189391775037178j</v>
      </c>
      <c r="K73">
        <f t="shared" si="20"/>
        <v>13.979400092951501</v>
      </c>
      <c r="L73">
        <f t="shared" si="21"/>
        <v>2.1702698757863422E-3</v>
      </c>
      <c r="M73">
        <f t="shared" si="22"/>
        <v>5</v>
      </c>
      <c r="N73">
        <f t="shared" si="23"/>
        <v>1.8939177503717801E-4</v>
      </c>
      <c r="O73" t="str">
        <f t="shared" si="16"/>
        <v>136806.888603209-343643.367219445j</v>
      </c>
      <c r="P73">
        <f t="shared" si="24"/>
        <v>111.36107965856618</v>
      </c>
      <c r="Q73">
        <f t="shared" si="25"/>
        <v>-68.29214385369103</v>
      </c>
      <c r="R73">
        <f t="shared" si="17"/>
        <v>97.381679565614689</v>
      </c>
      <c r="S73">
        <f t="shared" si="26"/>
        <v>111.70568587643318</v>
      </c>
    </row>
    <row r="74" spans="7:19" x14ac:dyDescent="0.25">
      <c r="G74">
        <f t="shared" si="18"/>
        <v>0.42000000000000071</v>
      </c>
      <c r="H74">
        <f t="shared" si="14"/>
        <v>26.302679918953867</v>
      </c>
      <c r="I74" t="str">
        <f t="shared" si="19"/>
        <v>165.264612006218j</v>
      </c>
      <c r="J74" t="str">
        <f t="shared" si="15"/>
        <v>5+0.000198317534407462j</v>
      </c>
      <c r="K74">
        <f t="shared" si="20"/>
        <v>13.97940009355267</v>
      </c>
      <c r="L74">
        <f t="shared" si="21"/>
        <v>2.2725515438058903E-3</v>
      </c>
      <c r="M74">
        <f t="shared" si="22"/>
        <v>5</v>
      </c>
      <c r="N74">
        <f t="shared" si="23"/>
        <v>1.9831753440746199E-4</v>
      </c>
      <c r="O74" t="str">
        <f t="shared" si="16"/>
        <v>126289.579054919-332175.437498094j</v>
      </c>
      <c r="P74">
        <f t="shared" si="24"/>
        <v>111.01367515672794</v>
      </c>
      <c r="Q74">
        <f t="shared" si="25"/>
        <v>-69.183727226264295</v>
      </c>
      <c r="R74">
        <f t="shared" si="17"/>
        <v>97.034275063175272</v>
      </c>
      <c r="S74">
        <f t="shared" si="26"/>
        <v>110.81400022219189</v>
      </c>
    </row>
    <row r="75" spans="7:19" x14ac:dyDescent="0.25">
      <c r="G75">
        <f t="shared" si="18"/>
        <v>0.44000000000000072</v>
      </c>
      <c r="H75">
        <f t="shared" si="14"/>
        <v>27.542287033381715</v>
      </c>
      <c r="I75" t="str">
        <f t="shared" si="19"/>
        <v>173.053293214267j</v>
      </c>
      <c r="J75" t="str">
        <f t="shared" si="15"/>
        <v>5+0.00020766395185712j</v>
      </c>
      <c r="K75">
        <f t="shared" si="20"/>
        <v>13.979400094211837</v>
      </c>
      <c r="L75">
        <f t="shared" si="21"/>
        <v>2.3796535983158988E-3</v>
      </c>
      <c r="M75">
        <f t="shared" si="22"/>
        <v>5</v>
      </c>
      <c r="N75">
        <f t="shared" si="23"/>
        <v>2.0766395185712E-4</v>
      </c>
      <c r="O75" t="str">
        <f t="shared" si="16"/>
        <v>116471.71194356-320789.732161889j</v>
      </c>
      <c r="P75">
        <f t="shared" si="24"/>
        <v>110.6622045893632</v>
      </c>
      <c r="Q75">
        <f t="shared" si="25"/>
        <v>-70.045151373019237</v>
      </c>
      <c r="R75">
        <f t="shared" si="17"/>
        <v>96.682804495151359</v>
      </c>
      <c r="S75">
        <f t="shared" si="26"/>
        <v>109.95246897338245</v>
      </c>
    </row>
    <row r="76" spans="7:19" x14ac:dyDescent="0.25">
      <c r="G76">
        <f t="shared" si="18"/>
        <v>0.46000000000000074</v>
      </c>
      <c r="H76">
        <f t="shared" si="14"/>
        <v>28.840315031266112</v>
      </c>
      <c r="I76" t="str">
        <f t="shared" si="19"/>
        <v>181.209043658882j</v>
      </c>
      <c r="J76" t="str">
        <f t="shared" si="15"/>
        <v>5+0.000217450852390658j</v>
      </c>
      <c r="K76">
        <f t="shared" si="20"/>
        <v>13.979400094934597</v>
      </c>
      <c r="L76">
        <f t="shared" si="21"/>
        <v>2.4918032171303956E-3</v>
      </c>
      <c r="M76">
        <f t="shared" si="22"/>
        <v>5</v>
      </c>
      <c r="N76">
        <f t="shared" si="23"/>
        <v>2.17450852390658E-4</v>
      </c>
      <c r="O76" t="str">
        <f t="shared" si="16"/>
        <v>107323.339993846-309523.893563019j</v>
      </c>
      <c r="P76">
        <f t="shared" si="24"/>
        <v>110.30694179824776</v>
      </c>
      <c r="Q76">
        <f t="shared" si="25"/>
        <v>-70.876683929712343</v>
      </c>
      <c r="R76">
        <f t="shared" si="17"/>
        <v>96.327541703313159</v>
      </c>
      <c r="S76">
        <f t="shared" si="26"/>
        <v>109.12082426707053</v>
      </c>
    </row>
    <row r="77" spans="7:19" x14ac:dyDescent="0.25">
      <c r="G77">
        <f t="shared" si="18"/>
        <v>0.48000000000000076</v>
      </c>
      <c r="H77">
        <f t="shared" si="14"/>
        <v>30.199517204020218</v>
      </c>
      <c r="I77" t="str">
        <f t="shared" si="19"/>
        <v>189.749162780217j</v>
      </c>
      <c r="J77" t="str">
        <f t="shared" si="15"/>
        <v>5+0.00022769899533626j</v>
      </c>
      <c r="K77">
        <f t="shared" si="20"/>
        <v>13.979400095727092</v>
      </c>
      <c r="L77">
        <f t="shared" si="21"/>
        <v>2.6092382846235993E-3</v>
      </c>
      <c r="M77">
        <f t="shared" si="22"/>
        <v>5</v>
      </c>
      <c r="N77">
        <f t="shared" si="23"/>
        <v>2.2769899533626E-4</v>
      </c>
      <c r="O77" t="str">
        <f t="shared" si="16"/>
        <v>98813.1708783321-298411.005392398j</v>
      </c>
      <c r="P77">
        <f t="shared" si="24"/>
        <v>109.94814835868503</v>
      </c>
      <c r="Q77">
        <f t="shared" si="25"/>
        <v>-71.678685802616144</v>
      </c>
      <c r="R77">
        <f t="shared" si="17"/>
        <v>95.968748262957945</v>
      </c>
      <c r="S77">
        <f t="shared" si="26"/>
        <v>108.31870495909924</v>
      </c>
    </row>
    <row r="78" spans="7:19" x14ac:dyDescent="0.25">
      <c r="G78">
        <f t="shared" si="18"/>
        <v>0.50000000000000078</v>
      </c>
      <c r="H78">
        <f t="shared" si="14"/>
        <v>31.622776601683853</v>
      </c>
      <c r="I78" t="str">
        <f t="shared" si="19"/>
        <v>198.691765315922j</v>
      </c>
      <c r="J78" t="str">
        <f t="shared" si="15"/>
        <v>5+0.000238430118379106j</v>
      </c>
      <c r="K78">
        <f t="shared" si="20"/>
        <v>13.979400096596045</v>
      </c>
      <c r="L78">
        <f t="shared" si="21"/>
        <v>2.7322078963145004E-3</v>
      </c>
      <c r="M78">
        <f t="shared" si="22"/>
        <v>5</v>
      </c>
      <c r="N78">
        <f t="shared" si="23"/>
        <v>2.38430118379106E-4</v>
      </c>
      <c r="O78" t="str">
        <f t="shared" si="16"/>
        <v>90909.0909090909-287479.787288034j</v>
      </c>
      <c r="P78">
        <f t="shared" si="24"/>
        <v>109.58607314841773</v>
      </c>
      <c r="Q78">
        <f t="shared" si="25"/>
        <v>-72.451599386207675</v>
      </c>
      <c r="R78">
        <f t="shared" si="17"/>
        <v>95.606673051821673</v>
      </c>
      <c r="S78">
        <f t="shared" si="26"/>
        <v>107.54566840589601</v>
      </c>
    </row>
    <row r="79" spans="7:19" x14ac:dyDescent="0.25">
      <c r="G79">
        <f t="shared" si="18"/>
        <v>0.52000000000000079</v>
      </c>
      <c r="H79">
        <f t="shared" si="14"/>
        <v>33.113112148259177</v>
      </c>
      <c r="I79" t="str">
        <f t="shared" si="19"/>
        <v>208.055819724932j</v>
      </c>
      <c r="J79" t="str">
        <f t="shared" si="15"/>
        <v>5+0.000249666983669918j</v>
      </c>
      <c r="K79">
        <f t="shared" si="20"/>
        <v>13.979400097548833</v>
      </c>
      <c r="L79">
        <f t="shared" si="21"/>
        <v>2.8609728872317926E-3</v>
      </c>
      <c r="M79">
        <f t="shared" si="22"/>
        <v>5</v>
      </c>
      <c r="N79">
        <f t="shared" si="23"/>
        <v>2.4966698366991799E-4</v>
      </c>
      <c r="O79" t="str">
        <f t="shared" si="16"/>
        <v>83578.6229304861-276754.831429426j</v>
      </c>
      <c r="P79">
        <f t="shared" si="24"/>
        <v>109.22095211284542</v>
      </c>
      <c r="Q79">
        <f t="shared" si="25"/>
        <v>-73.195937352661531</v>
      </c>
      <c r="R79">
        <f t="shared" si="17"/>
        <v>95.241552015296591</v>
      </c>
      <c r="S79">
        <f t="shared" si="26"/>
        <v>106.80120167445124</v>
      </c>
    </row>
    <row r="80" spans="7:19" x14ac:dyDescent="0.25">
      <c r="G80">
        <f t="shared" si="18"/>
        <v>0.54000000000000081</v>
      </c>
      <c r="H80">
        <f t="shared" si="14"/>
        <v>34.673685045253237</v>
      </c>
      <c r="I80" t="str">
        <f t="shared" si="19"/>
        <v>217.861188422108j</v>
      </c>
      <c r="J80" t="str">
        <f t="shared" si="15"/>
        <v>5+0.00026143342610653j</v>
      </c>
      <c r="K80">
        <f t="shared" si="20"/>
        <v>13.979400098593544</v>
      </c>
      <c r="L80">
        <f t="shared" si="21"/>
        <v>2.9958063851798131E-3</v>
      </c>
      <c r="M80">
        <f t="shared" si="22"/>
        <v>5</v>
      </c>
      <c r="N80">
        <f t="shared" si="23"/>
        <v>2.6143342610652999E-4</v>
      </c>
      <c r="O80" t="str">
        <f t="shared" si="16"/>
        <v>76789.3196970997-266256.86860165j</v>
      </c>
      <c r="P80">
        <f t="shared" si="24"/>
        <v>108.85300820042355</v>
      </c>
      <c r="Q80">
        <f t="shared" si="25"/>
        <v>-73.912272107067182</v>
      </c>
      <c r="R80">
        <f t="shared" si="17"/>
        <v>94.873608101830001</v>
      </c>
      <c r="S80">
        <f t="shared" si="26"/>
        <v>106.08473208654763</v>
      </c>
    </row>
    <row r="81" spans="7:19" x14ac:dyDescent="0.25">
      <c r="G81">
        <f t="shared" si="18"/>
        <v>0.56000000000000083</v>
      </c>
      <c r="H81">
        <f t="shared" si="14"/>
        <v>36.307805477010206</v>
      </c>
      <c r="I81" t="str">
        <f t="shared" si="19"/>
        <v>228.128669909085j</v>
      </c>
      <c r="J81" t="str">
        <f t="shared" si="15"/>
        <v>5+0.000273754403890902j</v>
      </c>
      <c r="K81">
        <f t="shared" si="20"/>
        <v>13.979400099739044</v>
      </c>
      <c r="L81">
        <f t="shared" si="21"/>
        <v>3.1369943900791345E-3</v>
      </c>
      <c r="M81">
        <f t="shared" si="22"/>
        <v>5</v>
      </c>
      <c r="N81">
        <f t="shared" si="23"/>
        <v>2.7375440389090197E-4</v>
      </c>
      <c r="O81" t="str">
        <f t="shared" si="16"/>
        <v>70509.0956252294-256003.052832074j</v>
      </c>
      <c r="P81">
        <f t="shared" si="24"/>
        <v>108.48245144297078</v>
      </c>
      <c r="Q81">
        <f t="shared" si="25"/>
        <v>-74.601225971393006</v>
      </c>
      <c r="R81">
        <f t="shared" si="17"/>
        <v>94.503051343231746</v>
      </c>
      <c r="S81">
        <f t="shared" si="26"/>
        <v>105.39563703421692</v>
      </c>
    </row>
    <row r="82" spans="7:19" x14ac:dyDescent="0.25">
      <c r="G82">
        <f t="shared" si="18"/>
        <v>0.58000000000000085</v>
      </c>
      <c r="H82">
        <f t="shared" si="14"/>
        <v>38.018939632056195</v>
      </c>
      <c r="I82" t="str">
        <f t="shared" si="19"/>
        <v>238.880042890683j</v>
      </c>
      <c r="J82" t="str">
        <f t="shared" si="15"/>
        <v>5+0.00028665605146882j</v>
      </c>
      <c r="K82">
        <f t="shared" si="20"/>
        <v>13.979400100995061</v>
      </c>
      <c r="L82">
        <f t="shared" si="21"/>
        <v>3.2848363806107172E-3</v>
      </c>
      <c r="M82">
        <f t="shared" si="22"/>
        <v>5</v>
      </c>
      <c r="N82">
        <f t="shared" si="23"/>
        <v>2.8665605146882002E-4</v>
      </c>
      <c r="O82" t="str">
        <f t="shared" si="16"/>
        <v>64706.5009539215-246007.255356873j</v>
      </c>
      <c r="P82">
        <f t="shared" si="24"/>
        <v>108.10947915700895</v>
      </c>
      <c r="Q82">
        <f t="shared" si="25"/>
        <v>-75.263462133643174</v>
      </c>
      <c r="R82">
        <f t="shared" si="17"/>
        <v>94.130079056013884</v>
      </c>
      <c r="S82">
        <f t="shared" si="26"/>
        <v>104.73325302997621</v>
      </c>
    </row>
    <row r="83" spans="7:19" x14ac:dyDescent="0.25">
      <c r="G83">
        <f t="shared" si="18"/>
        <v>0.60000000000000087</v>
      </c>
      <c r="H83">
        <f t="shared" si="14"/>
        <v>39.810717055349805</v>
      </c>
      <c r="I83" t="str">
        <f t="shared" si="19"/>
        <v>250.138112470458j</v>
      </c>
      <c r="J83" t="str">
        <f t="shared" si="15"/>
        <v>5+0.00030016573496455j</v>
      </c>
      <c r="K83">
        <f t="shared" si="20"/>
        <v>13.979400102372256</v>
      </c>
      <c r="L83">
        <f t="shared" si="21"/>
        <v>3.4396459494500957E-3</v>
      </c>
      <c r="M83">
        <f t="shared" si="22"/>
        <v>5</v>
      </c>
      <c r="N83">
        <f t="shared" si="23"/>
        <v>3.0016573496455002E-4</v>
      </c>
      <c r="O83" t="str">
        <f t="shared" si="16"/>
        <v>59350.9431027671-236280.360283243j</v>
      </c>
      <c r="P83">
        <f t="shared" si="24"/>
        <v>107.73427624403894</v>
      </c>
      <c r="Q83">
        <f t="shared" si="25"/>
        <v>-75.899676376410852</v>
      </c>
      <c r="R83">
        <f t="shared" si="17"/>
        <v>93.754876141666685</v>
      </c>
      <c r="S83">
        <f t="shared" si="26"/>
        <v>104.09688397763969</v>
      </c>
    </row>
    <row r="84" spans="7:19" x14ac:dyDescent="0.25">
      <c r="G84">
        <f t="shared" si="18"/>
        <v>0.62000000000000088</v>
      </c>
      <c r="H84">
        <f t="shared" si="14"/>
        <v>41.686938347033625</v>
      </c>
      <c r="I84" t="str">
        <f t="shared" si="19"/>
        <v>261.926758523383j</v>
      </c>
      <c r="J84" t="str">
        <f t="shared" si="15"/>
        <v>5+0.00031431211022806j</v>
      </c>
      <c r="K84">
        <f t="shared" si="20"/>
        <v>13.97940010388232</v>
      </c>
      <c r="L84">
        <f t="shared" si="21"/>
        <v>3.6017514684393826E-3</v>
      </c>
      <c r="M84">
        <f t="shared" si="22"/>
        <v>5</v>
      </c>
      <c r="N84">
        <f t="shared" si="23"/>
        <v>3.1431211022805999E-4</v>
      </c>
      <c r="O84" t="str">
        <f t="shared" si="16"/>
        <v>54412.8604338751-226830.555819269j</v>
      </c>
      <c r="P84">
        <f t="shared" si="24"/>
        <v>107.35701556966274</v>
      </c>
      <c r="Q84">
        <f t="shared" si="25"/>
        <v>-76.510589580899691</v>
      </c>
      <c r="R84">
        <f t="shared" si="17"/>
        <v>93.377615465780423</v>
      </c>
      <c r="S84">
        <f t="shared" si="26"/>
        <v>103.48580866763187</v>
      </c>
    </row>
    <row r="85" spans="7:19" x14ac:dyDescent="0.25">
      <c r="G85">
        <f t="shared" si="18"/>
        <v>0.6400000000000009</v>
      </c>
      <c r="H85">
        <f t="shared" si="14"/>
        <v>43.651583224016697</v>
      </c>
      <c r="I85" t="str">
        <f t="shared" si="19"/>
        <v>274.270986348269j</v>
      </c>
      <c r="J85" t="str">
        <f t="shared" si="15"/>
        <v>5+0.000329125183617923j</v>
      </c>
      <c r="K85">
        <f t="shared" si="20"/>
        <v>13.979400105538076</v>
      </c>
      <c r="L85">
        <f t="shared" si="21"/>
        <v>3.771496785107833E-3</v>
      </c>
      <c r="M85">
        <f t="shared" si="22"/>
        <v>5</v>
      </c>
      <c r="N85">
        <f t="shared" si="23"/>
        <v>3.2912518361792299E-4</v>
      </c>
      <c r="O85" t="str">
        <f t="shared" si="16"/>
        <v>49863.8537789758-217663.616310317j</v>
      </c>
      <c r="P85">
        <f t="shared" si="24"/>
        <v>106.97785840358414</v>
      </c>
      <c r="Q85">
        <f t="shared" si="25"/>
        <v>-77.096940988154316</v>
      </c>
      <c r="R85">
        <f t="shared" si="17"/>
        <v>92.99845829804606</v>
      </c>
      <c r="S85">
        <f t="shared" si="26"/>
        <v>102.89928751506058</v>
      </c>
    </row>
    <row r="86" spans="7:19" x14ac:dyDescent="0.25">
      <c r="G86">
        <f t="shared" si="18"/>
        <v>0.66000000000000092</v>
      </c>
      <c r="H86">
        <f t="shared" si="14"/>
        <v>45.708818961487616</v>
      </c>
      <c r="I86" t="str">
        <f t="shared" si="19"/>
        <v>287.196979707351j</v>
      </c>
      <c r="J86" t="str">
        <f t="shared" si="15"/>
        <v>5+0.000344636375648821j</v>
      </c>
      <c r="K86">
        <f t="shared" si="20"/>
        <v>13.979400107353573</v>
      </c>
      <c r="L86">
        <f t="shared" si="21"/>
        <v>3.9492419520182898E-3</v>
      </c>
      <c r="M86">
        <f t="shared" si="22"/>
        <v>5</v>
      </c>
      <c r="N86">
        <f t="shared" si="23"/>
        <v>3.4463637564882102E-4</v>
      </c>
      <c r="O86" t="str">
        <f t="shared" si="16"/>
        <v>45676.781039662-208783.171528542j</v>
      </c>
      <c r="P86">
        <f t="shared" si="24"/>
        <v>106.59695490466105</v>
      </c>
      <c r="Q86">
        <f t="shared" si="25"/>
        <v>-77.659482188305134</v>
      </c>
      <c r="R86">
        <f t="shared" si="17"/>
        <v>92.617554797307477</v>
      </c>
      <c r="S86">
        <f t="shared" si="26"/>
        <v>102.33656856974285</v>
      </c>
    </row>
    <row r="87" spans="7:19" x14ac:dyDescent="0.25">
      <c r="G87">
        <f t="shared" si="18"/>
        <v>0.68000000000000094</v>
      </c>
      <c r="H87">
        <f t="shared" si="14"/>
        <v>47.863009232263948</v>
      </c>
      <c r="I87" t="str">
        <f t="shared" si="19"/>
        <v>300.732156365562j</v>
      </c>
      <c r="J87" t="str">
        <f t="shared" si="15"/>
        <v>5+0.000360878587638674j</v>
      </c>
      <c r="K87">
        <f t="shared" si="20"/>
        <v>13.979400109344226</v>
      </c>
      <c r="L87">
        <f t="shared" si="21"/>
        <v>4.1353639904867729E-3</v>
      </c>
      <c r="M87">
        <f t="shared" si="22"/>
        <v>5</v>
      </c>
      <c r="N87">
        <f t="shared" si="23"/>
        <v>3.6087858763867402E-4</v>
      </c>
      <c r="O87" t="str">
        <f t="shared" si="16"/>
        <v>41825.8199629892-200190.960703556j</v>
      </c>
      <c r="P87">
        <f t="shared" si="24"/>
        <v>106.21444463726743</v>
      </c>
      <c r="Q87">
        <f t="shared" si="25"/>
        <v>-78.198971800672254</v>
      </c>
      <c r="R87">
        <f t="shared" si="17"/>
        <v>92.235044527923208</v>
      </c>
      <c r="S87">
        <f t="shared" si="26"/>
        <v>101.79689283533726</v>
      </c>
    </row>
    <row r="88" spans="7:19" x14ac:dyDescent="0.25">
      <c r="G88">
        <f t="shared" si="18"/>
        <v>0.70000000000000095</v>
      </c>
      <c r="H88">
        <f t="shared" si="14"/>
        <v>50.118723362727351</v>
      </c>
      <c r="I88" t="str">
        <f t="shared" si="19"/>
        <v>314.905226247287j</v>
      </c>
      <c r="J88" t="str">
        <f t="shared" si="15"/>
        <v>5+0.000377886271496744j</v>
      </c>
      <c r="K88">
        <f t="shared" si="20"/>
        <v>13.979400111526934</v>
      </c>
      <c r="L88">
        <f t="shared" si="21"/>
        <v>4.330257690294945E-3</v>
      </c>
      <c r="M88">
        <f t="shared" si="22"/>
        <v>5</v>
      </c>
      <c r="N88">
        <f t="shared" si="23"/>
        <v>3.77886271496744E-4</v>
      </c>
      <c r="O88" t="str">
        <f t="shared" si="16"/>
        <v>38286.5038822545-191887.06966007j</v>
      </c>
      <c r="P88">
        <f t="shared" si="24"/>
        <v>105.83045710720464</v>
      </c>
      <c r="Q88">
        <f t="shared" si="25"/>
        <v>-78.716170802132211</v>
      </c>
      <c r="R88">
        <f t="shared" si="17"/>
        <v>91.851056995677709</v>
      </c>
      <c r="S88">
        <f t="shared" si="26"/>
        <v>101.27949894017749</v>
      </c>
    </row>
    <row r="89" spans="7:19" x14ac:dyDescent="0.25">
      <c r="G89">
        <f t="shared" si="18"/>
        <v>0.72000000000000097</v>
      </c>
      <c r="H89">
        <f t="shared" si="14"/>
        <v>52.480746024977385</v>
      </c>
      <c r="I89" t="str">
        <f t="shared" si="19"/>
        <v>329.746252333961j</v>
      </c>
      <c r="J89" t="str">
        <f t="shared" si="15"/>
        <v>5+0.000395695502800753j</v>
      </c>
      <c r="K89">
        <f t="shared" si="20"/>
        <v>13.979400113920228</v>
      </c>
      <c r="L89">
        <f t="shared" si="21"/>
        <v>4.53433644709186E-3</v>
      </c>
      <c r="M89">
        <f t="shared" si="22"/>
        <v>5</v>
      </c>
      <c r="N89">
        <f t="shared" si="23"/>
        <v>3.9569550280075302E-4</v>
      </c>
      <c r="O89" t="str">
        <f t="shared" si="16"/>
        <v>35035.7348319862-183870.150151592j</v>
      </c>
      <c r="P89">
        <f t="shared" si="24"/>
        <v>105.44511230724413</v>
      </c>
      <c r="Q89">
        <f t="shared" si="25"/>
        <v>-79.211838457831817</v>
      </c>
      <c r="R89">
        <f t="shared" si="17"/>
        <v>91.465712193323895</v>
      </c>
      <c r="S89">
        <f t="shared" si="26"/>
        <v>100.78362720572109</v>
      </c>
    </row>
    <row r="90" spans="7:19" x14ac:dyDescent="0.25">
      <c r="G90">
        <f t="shared" si="18"/>
        <v>0.74000000000000099</v>
      </c>
      <c r="H90">
        <f t="shared" si="14"/>
        <v>54.954087385762591</v>
      </c>
      <c r="I90" t="str">
        <f t="shared" si="19"/>
        <v>345.286714431687j</v>
      </c>
      <c r="J90" t="str">
        <f t="shared" si="15"/>
        <v>5+0.000414344057318024j</v>
      </c>
      <c r="K90">
        <f t="shared" si="20"/>
        <v>13.979400116544419</v>
      </c>
      <c r="L90">
        <f t="shared" si="21"/>
        <v>4.7480331392612618E-3</v>
      </c>
      <c r="M90">
        <f t="shared" si="22"/>
        <v>5</v>
      </c>
      <c r="N90">
        <f t="shared" si="23"/>
        <v>4.14344057318024E-4</v>
      </c>
      <c r="O90" t="str">
        <f t="shared" si="16"/>
        <v>32051.7780278708-176137.621061268j</v>
      </c>
      <c r="P90">
        <f t="shared" si="24"/>
        <v>105.05852126406303</v>
      </c>
      <c r="Q90">
        <f t="shared" si="25"/>
        <v>-79.686728806723735</v>
      </c>
      <c r="R90">
        <f t="shared" si="17"/>
        <v>91.079121147518606</v>
      </c>
      <c r="S90">
        <f t="shared" si="26"/>
        <v>100.308523160137</v>
      </c>
    </row>
    <row r="91" spans="7:19" x14ac:dyDescent="0.25">
      <c r="G91">
        <f t="shared" si="18"/>
        <v>0.76000000000000101</v>
      </c>
      <c r="H91">
        <f t="shared" si="14"/>
        <v>57.543993733715837</v>
      </c>
      <c r="I91" t="str">
        <f t="shared" si="19"/>
        <v>361.559575944118j</v>
      </c>
      <c r="J91" t="str">
        <f t="shared" si="15"/>
        <v>5+0.00043387149113294j</v>
      </c>
      <c r="K91">
        <f t="shared" si="20"/>
        <v>13.979400119421788</v>
      </c>
      <c r="L91">
        <f t="shared" si="21"/>
        <v>4.9718010461141824E-3</v>
      </c>
      <c r="M91">
        <f t="shared" si="22"/>
        <v>5</v>
      </c>
      <c r="N91">
        <f t="shared" si="23"/>
        <v>4.3387149113293999E-4</v>
      </c>
      <c r="O91" t="str">
        <f t="shared" si="16"/>
        <v>29314.2412704502-168685.851597542j</v>
      </c>
      <c r="P91">
        <f t="shared" si="24"/>
        <v>104.67078657984536</v>
      </c>
      <c r="Q91">
        <f t="shared" si="25"/>
        <v>-80.14158765415975</v>
      </c>
      <c r="R91">
        <f t="shared" si="17"/>
        <v>90.691386460423573</v>
      </c>
      <c r="S91">
        <f t="shared" si="26"/>
        <v>99.85344054479414</v>
      </c>
    </row>
    <row r="92" spans="7:19" x14ac:dyDescent="0.25">
      <c r="G92">
        <f t="shared" si="18"/>
        <v>0.78000000000000103</v>
      </c>
      <c r="H92">
        <f t="shared" si="14"/>
        <v>60.255958607435929</v>
      </c>
      <c r="I92" t="str">
        <f t="shared" si="19"/>
        <v>378.599353792263j</v>
      </c>
      <c r="J92" t="str">
        <f t="shared" si="15"/>
        <v>5+0.000454319224550716j</v>
      </c>
      <c r="K92">
        <f t="shared" si="20"/>
        <v>13.979400122576763</v>
      </c>
      <c r="L92">
        <f t="shared" si="21"/>
        <v>5.2061148093548301E-3</v>
      </c>
      <c r="M92">
        <f t="shared" si="22"/>
        <v>5</v>
      </c>
      <c r="N92">
        <f t="shared" si="23"/>
        <v>4.5431922455071598E-4</v>
      </c>
      <c r="O92" t="str">
        <f t="shared" si="16"/>
        <v>26804.04240384-161510.326959774j</v>
      </c>
      <c r="P92">
        <f t="shared" si="24"/>
        <v>104.28200296315778</v>
      </c>
      <c r="Q92">
        <f t="shared" si="25"/>
        <v>-80.577150024595582</v>
      </c>
      <c r="R92">
        <f t="shared" si="17"/>
        <v>90.302602840581017</v>
      </c>
      <c r="S92">
        <f t="shared" si="26"/>
        <v>99.417643860595064</v>
      </c>
    </row>
    <row r="93" spans="7:19" x14ac:dyDescent="0.25">
      <c r="G93">
        <f t="shared" si="18"/>
        <v>0.80000000000000104</v>
      </c>
      <c r="H93">
        <f t="shared" si="14"/>
        <v>63.095734448019485</v>
      </c>
      <c r="I93" t="str">
        <f t="shared" si="19"/>
        <v>396.442191629501j</v>
      </c>
      <c r="J93" t="str">
        <f t="shared" si="15"/>
        <v>5+0.0004757306299554j</v>
      </c>
      <c r="K93">
        <f t="shared" si="20"/>
        <v>13.979400126036124</v>
      </c>
      <c r="L93">
        <f t="shared" si="21"/>
        <v>5.4514714398585379E-3</v>
      </c>
      <c r="M93">
        <f t="shared" si="22"/>
        <v>5</v>
      </c>
      <c r="N93">
        <f t="shared" si="23"/>
        <v>4.7573062995540002E-4</v>
      </c>
      <c r="O93" t="str">
        <f t="shared" si="16"/>
        <v>24503.3675503359-154605.797203821j</v>
      </c>
      <c r="P93">
        <f t="shared" si="24"/>
        <v>103.89225774488041</v>
      </c>
      <c r="Q93">
        <f t="shared" si="25"/>
        <v>-80.994138029068509</v>
      </c>
      <c r="R93">
        <f t="shared" si="17"/>
        <v>89.912857618844285</v>
      </c>
      <c r="S93">
        <f t="shared" si="26"/>
        <v>99.000410499491636</v>
      </c>
    </row>
    <row r="94" spans="7:19" x14ac:dyDescent="0.25">
      <c r="G94">
        <f t="shared" si="18"/>
        <v>0.82000000000000106</v>
      </c>
      <c r="H94">
        <f t="shared" si="14"/>
        <v>66.069344800759765</v>
      </c>
      <c r="I94" t="str">
        <f t="shared" si="19"/>
        <v>415.125936507116j</v>
      </c>
      <c r="J94" t="str">
        <f t="shared" si="15"/>
        <v>5+0.00049815112380854j</v>
      </c>
      <c r="K94">
        <f t="shared" si="20"/>
        <v>13.979400129829235</v>
      </c>
      <c r="L94">
        <f t="shared" si="21"/>
        <v>5.7083913718981461E-3</v>
      </c>
      <c r="M94">
        <f t="shared" si="22"/>
        <v>5</v>
      </c>
      <c r="N94">
        <f t="shared" si="23"/>
        <v>4.9815112380853998E-4</v>
      </c>
      <c r="O94" t="str">
        <f t="shared" si="16"/>
        <v>22395.6224571703-147966.410215042j</v>
      </c>
      <c r="P94">
        <f t="shared" si="24"/>
        <v>103.50163137598187</v>
      </c>
      <c r="Q94">
        <f t="shared" si="25"/>
        <v>-81.39325910428596</v>
      </c>
      <c r="R94">
        <f t="shared" si="17"/>
        <v>89.522231246152643</v>
      </c>
      <c r="S94">
        <f t="shared" si="26"/>
        <v>98.601032504342143</v>
      </c>
    </row>
    <row r="95" spans="7:19" x14ac:dyDescent="0.25">
      <c r="G95">
        <f t="shared" si="18"/>
        <v>0.84000000000000108</v>
      </c>
      <c r="H95">
        <f t="shared" si="14"/>
        <v>69.183097091893842</v>
      </c>
      <c r="I95" t="str">
        <f t="shared" si="19"/>
        <v>434.690219152966j</v>
      </c>
      <c r="J95" t="str">
        <f t="shared" si="15"/>
        <v>5+0.00052162826298356j</v>
      </c>
      <c r="K95">
        <f t="shared" si="20"/>
        <v>13.9794001339883</v>
      </c>
      <c r="L95">
        <f t="shared" si="21"/>
        <v>5.977419567053872E-3</v>
      </c>
      <c r="M95">
        <f t="shared" si="22"/>
        <v>5</v>
      </c>
      <c r="N95">
        <f t="shared" si="23"/>
        <v>5.2162826298355995E-4</v>
      </c>
      <c r="O95" t="str">
        <f t="shared" si="16"/>
        <v>20465.3789382195-141585.829810524j</v>
      </c>
      <c r="P95">
        <f t="shared" si="24"/>
        <v>103.1101979047917</v>
      </c>
      <c r="Q95">
        <f t="shared" si="25"/>
        <v>-81.775204582720221</v>
      </c>
      <c r="R95">
        <f t="shared" si="17"/>
        <v>89.130797770803412</v>
      </c>
      <c r="S95">
        <f t="shared" si="26"/>
        <v>98.218817997712719</v>
      </c>
    </row>
    <row r="96" spans="7:19" x14ac:dyDescent="0.25">
      <c r="G96">
        <f t="shared" si="18"/>
        <v>0.8600000000000011</v>
      </c>
      <c r="H96">
        <f t="shared" si="14"/>
        <v>72.443596007499195</v>
      </c>
      <c r="I96" t="str">
        <f t="shared" si="19"/>
        <v>455.176538033573j</v>
      </c>
      <c r="J96" t="str">
        <f t="shared" si="15"/>
        <v>5+0.000546211845640288j</v>
      </c>
      <c r="K96">
        <f t="shared" si="20"/>
        <v>13.979400138548625</v>
      </c>
      <c r="L96">
        <f t="shared" si="21"/>
        <v>6.259126670149353E-3</v>
      </c>
      <c r="M96">
        <f t="shared" si="22"/>
        <v>5</v>
      </c>
      <c r="N96">
        <f t="shared" si="23"/>
        <v>5.4621184564028805E-4</v>
      </c>
      <c r="O96" t="str">
        <f t="shared" si="16"/>
        <v>18698.318073816-135457.340055925j</v>
      </c>
      <c r="P96">
        <f t="shared" si="24"/>
        <v>102.71802543215004</v>
      </c>
      <c r="Q96">
        <f t="shared" si="25"/>
        <v>-82.14064855589416</v>
      </c>
      <c r="R96">
        <f t="shared" si="17"/>
        <v>88.738625293601416</v>
      </c>
      <c r="S96">
        <f t="shared" si="26"/>
        <v>97.853092317435696</v>
      </c>
    </row>
    <row r="97" spans="7:19" x14ac:dyDescent="0.25">
      <c r="G97">
        <f t="shared" si="18"/>
        <v>0.88000000000000111</v>
      </c>
      <c r="H97">
        <f t="shared" si="14"/>
        <v>75.857757502918574</v>
      </c>
      <c r="I97" t="str">
        <f t="shared" si="19"/>
        <v>476.62834737793j</v>
      </c>
      <c r="J97" t="str">
        <f t="shared" si="15"/>
        <v>5+0.000571954016853516j</v>
      </c>
      <c r="K97">
        <f t="shared" si="20"/>
        <v>13.979400143548922</v>
      </c>
      <c r="L97">
        <f t="shared" si="21"/>
        <v>6.5541102196647622E-3</v>
      </c>
      <c r="M97">
        <f t="shared" si="22"/>
        <v>5</v>
      </c>
      <c r="N97">
        <f t="shared" si="23"/>
        <v>5.7195401685351604E-4</v>
      </c>
      <c r="O97" t="str">
        <f t="shared" si="16"/>
        <v>17081.1715467934-129573.93690624j</v>
      </c>
      <c r="P97">
        <f t="shared" si="24"/>
        <v>102.32517654342377</v>
      </c>
      <c r="Q97">
        <f t="shared" si="25"/>
        <v>-82.490246995946734</v>
      </c>
      <c r="R97">
        <f t="shared" si="17"/>
        <v>88.345776399874836</v>
      </c>
      <c r="S97">
        <f t="shared" si="26"/>
        <v>97.503198893833599</v>
      </c>
    </row>
    <row r="98" spans="7:19" x14ac:dyDescent="0.25">
      <c r="G98">
        <f t="shared" si="18"/>
        <v>0.90000000000000113</v>
      </c>
      <c r="H98">
        <f t="shared" si="14"/>
        <v>79.432823472428396</v>
      </c>
      <c r="I98" t="str">
        <f t="shared" si="19"/>
        <v>499.091149349752j</v>
      </c>
      <c r="J98" t="str">
        <f t="shared" si="15"/>
        <v>5+0.000598909379219704j</v>
      </c>
      <c r="K98">
        <f t="shared" si="20"/>
        <v>13.979400149031635</v>
      </c>
      <c r="L98">
        <f t="shared" si="21"/>
        <v>6.8629959151951039E-3</v>
      </c>
      <c r="M98">
        <f t="shared" si="22"/>
        <v>5</v>
      </c>
      <c r="N98">
        <f t="shared" si="23"/>
        <v>5.9890937921970404E-4</v>
      </c>
      <c r="O98" t="str">
        <f t="shared" si="16"/>
        <v>15601.6622418295-123928.408273169j</v>
      </c>
      <c r="P98">
        <f t="shared" si="24"/>
        <v>101.93170871687542</v>
      </c>
      <c r="Q98">
        <f t="shared" si="25"/>
        <v>-82.824637103490304</v>
      </c>
      <c r="R98">
        <f t="shared" si="17"/>
        <v>87.952308567843787</v>
      </c>
      <c r="S98">
        <f t="shared" si="26"/>
        <v>97.168499900594497</v>
      </c>
    </row>
    <row r="99" spans="7:19" x14ac:dyDescent="0.25">
      <c r="G99">
        <f t="shared" si="18"/>
        <v>0.92000000000000115</v>
      </c>
      <c r="H99">
        <f t="shared" si="14"/>
        <v>83.176377110267339</v>
      </c>
      <c r="I99" t="str">
        <f t="shared" si="19"/>
        <v>522.61259056366j</v>
      </c>
      <c r="J99" t="str">
        <f t="shared" si="15"/>
        <v>5+0.000627135108676392j</v>
      </c>
      <c r="K99">
        <f t="shared" si="20"/>
        <v>13.979400155043313</v>
      </c>
      <c r="L99">
        <f t="shared" si="21"/>
        <v>7.1864389446415584E-3</v>
      </c>
      <c r="M99">
        <f t="shared" si="22"/>
        <v>5</v>
      </c>
      <c r="N99">
        <f t="shared" si="23"/>
        <v>6.2713510867639201E-4</v>
      </c>
      <c r="O99" t="str">
        <f t="shared" si="16"/>
        <v>14248.4450164782-118513.40359255j</v>
      </c>
      <c r="P99">
        <f t="shared" si="24"/>
        <v>101.53767470827918</v>
      </c>
      <c r="Q99">
        <f t="shared" si="25"/>
        <v>-83.144436852646692</v>
      </c>
      <c r="R99">
        <f t="shared" si="17"/>
        <v>87.558274553235876</v>
      </c>
      <c r="S99">
        <f t="shared" si="26"/>
        <v>96.848376708408665</v>
      </c>
    </row>
    <row r="100" spans="7:19" x14ac:dyDescent="0.25">
      <c r="G100">
        <f t="shared" si="18"/>
        <v>0.94000000000000117</v>
      </c>
      <c r="H100">
        <f t="shared" si="14"/>
        <v>87.096358995608341</v>
      </c>
      <c r="I100" t="str">
        <f t="shared" si="19"/>
        <v>547.242563150045j</v>
      </c>
      <c r="J100" t="str">
        <f t="shared" si="15"/>
        <v>5+0.000656691075780056j</v>
      </c>
      <c r="K100">
        <f t="shared" si="20"/>
        <v>13.979400161634988</v>
      </c>
      <c r="L100">
        <f t="shared" si="21"/>
        <v>7.5251253739517998E-3</v>
      </c>
      <c r="M100">
        <f t="shared" si="22"/>
        <v>5</v>
      </c>
      <c r="N100">
        <f t="shared" si="23"/>
        <v>6.56691075780056E-4</v>
      </c>
      <c r="O100" t="str">
        <f t="shared" si="16"/>
        <v>13011.048363752-113321.493919857j</v>
      </c>
      <c r="P100">
        <f t="shared" si="24"/>
        <v>101.14312291200267</v>
      </c>
      <c r="Q100">
        <f t="shared" si="25"/>
        <v>-83.450244706925929</v>
      </c>
      <c r="R100">
        <f t="shared" si="17"/>
        <v>87.163722750367683</v>
      </c>
      <c r="S100">
        <f t="shared" si="26"/>
        <v>96.542230167700126</v>
      </c>
    </row>
    <row r="101" spans="7:19" x14ac:dyDescent="0.25">
      <c r="G101">
        <f t="shared" si="18"/>
        <v>0.96000000000000119</v>
      </c>
      <c r="H101">
        <f t="shared" si="14"/>
        <v>91.201083935591228</v>
      </c>
      <c r="I101" t="str">
        <f t="shared" si="19"/>
        <v>573.033310582959j</v>
      </c>
      <c r="J101" t="str">
        <f t="shared" si="15"/>
        <v>5+0.000687639972699552j</v>
      </c>
      <c r="K101">
        <f t="shared" si="20"/>
        <v>13.979400168862613</v>
      </c>
      <c r="L101">
        <f t="shared" si="21"/>
        <v>7.8797736023558818E-3</v>
      </c>
      <c r="M101">
        <f t="shared" si="22"/>
        <v>5</v>
      </c>
      <c r="N101">
        <f t="shared" si="23"/>
        <v>6.8763997269955196E-4</v>
      </c>
      <c r="O101" t="str">
        <f t="shared" si="16"/>
        <v>11879.8175251715-108345.223525267j</v>
      </c>
      <c r="P101">
        <f t="shared" si="24"/>
        <v>100.74809769902771</v>
      </c>
      <c r="Q101">
        <f t="shared" si="25"/>
        <v>-83.742639482249331</v>
      </c>
      <c r="R101">
        <f t="shared" si="17"/>
        <v>86.768697530165099</v>
      </c>
      <c r="S101">
        <f t="shared" si="26"/>
        <v>96.249480744148315</v>
      </c>
    </row>
    <row r="102" spans="7:19" x14ac:dyDescent="0.25">
      <c r="G102">
        <f t="shared" si="18"/>
        <v>0.9800000000000012</v>
      </c>
      <c r="H102">
        <f t="shared" si="14"/>
        <v>95.499258602143883</v>
      </c>
      <c r="I102" t="str">
        <f t="shared" si="19"/>
        <v>600.039538495534j</v>
      </c>
      <c r="J102" t="str">
        <f t="shared" si="15"/>
        <v>5+0.00072004744619464j</v>
      </c>
      <c r="K102">
        <f t="shared" si="20"/>
        <v>13.979400176787548</v>
      </c>
      <c r="L102">
        <f t="shared" si="21"/>
        <v>8.2511358861858536E-3</v>
      </c>
      <c r="M102">
        <f t="shared" si="22"/>
        <v>5</v>
      </c>
      <c r="N102">
        <f t="shared" si="23"/>
        <v>7.2004744619463996E-4</v>
      </c>
      <c r="O102" t="str">
        <f t="shared" si="16"/>
        <v>10845.8594770813-103577.15389643j</v>
      </c>
      <c r="P102">
        <f t="shared" si="24"/>
        <v>100.35263973257882</v>
      </c>
      <c r="Q102">
        <f t="shared" si="25"/>
        <v>-84.022180335901268</v>
      </c>
      <c r="R102">
        <f t="shared" si="17"/>
        <v>86.373239555791272</v>
      </c>
      <c r="S102">
        <f t="shared" si="26"/>
        <v>95.969568528212548</v>
      </c>
    </row>
    <row r="103" spans="7:19" x14ac:dyDescent="0.25">
      <c r="G103">
        <f t="shared" si="18"/>
        <v>1.0000000000000011</v>
      </c>
      <c r="H103">
        <f t="shared" si="14"/>
        <v>100.00000000000028</v>
      </c>
      <c r="I103" t="str">
        <f t="shared" si="19"/>
        <v>628.31853071796j</v>
      </c>
      <c r="J103" t="str">
        <f t="shared" si="15"/>
        <v>5+0.000753982236861552j</v>
      </c>
      <c r="K103">
        <f t="shared" si="20"/>
        <v>13.979400185477067</v>
      </c>
      <c r="L103">
        <f t="shared" si="21"/>
        <v>8.639999934510062E-3</v>
      </c>
      <c r="M103">
        <f t="shared" si="22"/>
        <v>5</v>
      </c>
      <c r="N103">
        <f t="shared" si="23"/>
        <v>7.5398223686155201E-4</v>
      </c>
      <c r="O103" t="str">
        <f t="shared" si="16"/>
        <v>9900.9900990099-99009.900990099j</v>
      </c>
      <c r="P103">
        <f t="shared" si="24"/>
        <v>99.956786262173566</v>
      </c>
      <c r="Q103">
        <f t="shared" si="25"/>
        <v>-84.289406862500371</v>
      </c>
      <c r="R103">
        <f t="shared" si="17"/>
        <v>85.977386076696504</v>
      </c>
      <c r="S103">
        <f t="shared" si="26"/>
        <v>95.701953137565113</v>
      </c>
    </row>
    <row r="104" spans="7:19" x14ac:dyDescent="0.25">
      <c r="G104">
        <f t="shared" si="18"/>
        <v>1.0200000000000011</v>
      </c>
      <c r="H104">
        <f t="shared" si="14"/>
        <v>104.71285480509023</v>
      </c>
      <c r="I104" t="str">
        <f t="shared" si="19"/>
        <v>657.930270784172j</v>
      </c>
      <c r="J104" t="str">
        <f t="shared" si="15"/>
        <v>5+0.000789516324941008j</v>
      </c>
      <c r="K104">
        <f t="shared" si="20"/>
        <v>13.979400195004935</v>
      </c>
      <c r="L104">
        <f t="shared" si="21"/>
        <v>9.0471905799672809E-3</v>
      </c>
      <c r="M104">
        <f t="shared" si="22"/>
        <v>5</v>
      </c>
      <c r="N104">
        <f t="shared" si="23"/>
        <v>7.89516324941008E-4</v>
      </c>
      <c r="O104" t="str">
        <f t="shared" si="16"/>
        <v>9037.68373823964-94636.166505661j</v>
      </c>
      <c r="P104">
        <f t="shared" si="24"/>
        <v>99.560571397014741</v>
      </c>
      <c r="Q104">
        <f t="shared" si="25"/>
        <v>-84.544839280213253</v>
      </c>
      <c r="R104">
        <f t="shared" si="17"/>
        <v>85.581171202009813</v>
      </c>
      <c r="S104">
        <f t="shared" si="26"/>
        <v>95.446113529206784</v>
      </c>
    </row>
    <row r="105" spans="7:19" x14ac:dyDescent="0.25">
      <c r="G105">
        <f t="shared" si="18"/>
        <v>1.0400000000000011</v>
      </c>
      <c r="H105">
        <f t="shared" si="14"/>
        <v>109.64781961431882</v>
      </c>
      <c r="I105" t="str">
        <f t="shared" si="19"/>
        <v>688.937569164966j</v>
      </c>
      <c r="J105" t="str">
        <f t="shared" si="15"/>
        <v>5+0.00082672508299796j</v>
      </c>
      <c r="K105">
        <f t="shared" si="20"/>
        <v>13.979400205452031</v>
      </c>
      <c r="L105">
        <f t="shared" si="21"/>
        <v>9.4735715283445834E-3</v>
      </c>
      <c r="M105">
        <f t="shared" si="22"/>
        <v>5</v>
      </c>
      <c r="N105">
        <f t="shared" si="23"/>
        <v>8.2672508299796001E-4</v>
      </c>
      <c r="O105" t="str">
        <f t="shared" si="16"/>
        <v>8249.02530705347-90448.7638861752j</v>
      </c>
      <c r="P105">
        <f t="shared" si="24"/>
        <v>99.164026359710505</v>
      </c>
      <c r="Q105">
        <f t="shared" si="25"/>
        <v>-84.788978692381249</v>
      </c>
      <c r="R105">
        <f t="shared" si="17"/>
        <v>85.184626154258467</v>
      </c>
      <c r="S105">
        <f t="shared" si="26"/>
        <v>95.201547736090404</v>
      </c>
    </row>
    <row r="106" spans="7:19" x14ac:dyDescent="0.25">
      <c r="G106">
        <f t="shared" si="18"/>
        <v>1.0600000000000012</v>
      </c>
      <c r="H106">
        <f t="shared" si="14"/>
        <v>114.81536214968858</v>
      </c>
      <c r="I106" t="str">
        <f t="shared" si="19"/>
        <v>721.406196497426j</v>
      </c>
      <c r="J106" t="str">
        <f t="shared" si="15"/>
        <v>5+0.000865687435796912j</v>
      </c>
      <c r="K106">
        <f t="shared" si="20"/>
        <v>13.979400216907049</v>
      </c>
      <c r="L106">
        <f t="shared" si="21"/>
        <v>9.920047190610036E-3</v>
      </c>
      <c r="M106">
        <f t="shared" si="22"/>
        <v>5</v>
      </c>
      <c r="N106">
        <f t="shared" si="23"/>
        <v>8.6568743579691198E-4</v>
      </c>
      <c r="O106" t="str">
        <f t="shared" si="16"/>
        <v>7528.66498600881-86440.6396872284j</v>
      </c>
      <c r="P106">
        <f t="shared" si="24"/>
        <v>98.767179721353742</v>
      </c>
      <c r="Q106">
        <f t="shared" si="25"/>
        <v>-85.022307411507754</v>
      </c>
      <c r="R106">
        <f t="shared" si="17"/>
        <v>84.787779504446689</v>
      </c>
      <c r="S106">
        <f t="shared" si="26"/>
        <v>94.967772541301642</v>
      </c>
    </row>
    <row r="107" spans="7:19" x14ac:dyDescent="0.25">
      <c r="G107">
        <f t="shared" si="18"/>
        <v>1.0800000000000012</v>
      </c>
      <c r="H107">
        <f t="shared" si="14"/>
        <v>120.22644346174164</v>
      </c>
      <c r="I107" t="str">
        <f t="shared" si="19"/>
        <v>755.405023093272j</v>
      </c>
      <c r="J107" t="str">
        <f t="shared" si="15"/>
        <v>5+0.000906486027711928j</v>
      </c>
      <c r="K107">
        <f t="shared" si="20"/>
        <v>13.979400229467222</v>
      </c>
      <c r="L107">
        <f t="shared" si="21"/>
        <v>1.0387564601285992E-2</v>
      </c>
      <c r="M107">
        <f t="shared" si="22"/>
        <v>5</v>
      </c>
      <c r="N107">
        <f t="shared" si="23"/>
        <v>9.0648602771192799E-4</v>
      </c>
      <c r="O107" t="str">
        <f t="shared" si="16"/>
        <v>6870.77555595089-82604.8908915848j</v>
      </c>
      <c r="P107">
        <f t="shared" si="24"/>
        <v>98.370057619008136</v>
      </c>
      <c r="Q107">
        <f t="shared" si="25"/>
        <v>-85.245289334159864</v>
      </c>
      <c r="R107">
        <f t="shared" si="17"/>
        <v>84.39065738954092</v>
      </c>
      <c r="S107">
        <f t="shared" si="26"/>
        <v>94.744323101238848</v>
      </c>
    </row>
    <row r="108" spans="7:19" x14ac:dyDescent="0.25">
      <c r="G108">
        <f t="shared" si="18"/>
        <v>1.1000000000000012</v>
      </c>
      <c r="H108">
        <f t="shared" si="14"/>
        <v>125.89254117941708</v>
      </c>
      <c r="I108" t="str">
        <f t="shared" si="19"/>
        <v>791.006165022014j</v>
      </c>
      <c r="J108" t="str">
        <f t="shared" si="15"/>
        <v>5+0.000949207398026416j</v>
      </c>
      <c r="K108">
        <f t="shared" si="20"/>
        <v>13.979400243239182</v>
      </c>
      <c r="L108">
        <f t="shared" si="21"/>
        <v>1.0877115427231979E-2</v>
      </c>
      <c r="M108">
        <f t="shared" si="22"/>
        <v>5</v>
      </c>
      <c r="N108">
        <f t="shared" si="23"/>
        <v>9.4920739802641595E-4</v>
      </c>
      <c r="O108" t="str">
        <f t="shared" si="16"/>
        <v>6270.01234143381-78934.7786889409j</v>
      </c>
      <c r="P108">
        <f t="shared" si="24"/>
        <v>97.972683956650584</v>
      </c>
      <c r="Q108">
        <f t="shared" si="25"/>
        <v>-85.45837035678413</v>
      </c>
      <c r="R108">
        <f t="shared" si="17"/>
        <v>83.993283713411401</v>
      </c>
      <c r="S108">
        <f t="shared" si="26"/>
        <v>94.530752527788636</v>
      </c>
    </row>
    <row r="109" spans="7:19" x14ac:dyDescent="0.25">
      <c r="G109">
        <f t="shared" si="18"/>
        <v>1.1200000000000012</v>
      </c>
      <c r="H109">
        <f t="shared" si="14"/>
        <v>131.8256738556411</v>
      </c>
      <c r="I109" t="str">
        <f t="shared" si="19"/>
        <v>828.285137078812j</v>
      </c>
      <c r="J109" t="str">
        <f t="shared" si="15"/>
        <v>5+0.000993942164494576j</v>
      </c>
      <c r="K109">
        <f t="shared" si="20"/>
        <v>13.979400258339833</v>
      </c>
      <c r="L109">
        <f t="shared" si="21"/>
        <v>1.1389738071098584E-2</v>
      </c>
      <c r="M109">
        <f t="shared" si="22"/>
        <v>5</v>
      </c>
      <c r="N109">
        <f t="shared" si="23"/>
        <v>9.9394216449457599E-4</v>
      </c>
      <c r="O109" t="str">
        <f t="shared" si="16"/>
        <v>5721.47571709036-75423.7391854123j</v>
      </c>
      <c r="P109">
        <f t="shared" si="24"/>
        <v>97.575080590605523</v>
      </c>
      <c r="Q109">
        <f t="shared" si="25"/>
        <v>-85.661978823734188</v>
      </c>
      <c r="R109">
        <f t="shared" si="17"/>
        <v>83.595680332265687</v>
      </c>
      <c r="S109">
        <f t="shared" si="26"/>
        <v>94.32663143819471</v>
      </c>
    </row>
    <row r="110" spans="7:19" x14ac:dyDescent="0.25">
      <c r="G110">
        <f t="shared" si="18"/>
        <v>1.1400000000000012</v>
      </c>
      <c r="H110">
        <f t="shared" si="14"/>
        <v>138.03842646028889</v>
      </c>
      <c r="I110" t="str">
        <f t="shared" si="19"/>
        <v>867.321012961477j</v>
      </c>
      <c r="J110" t="str">
        <f t="shared" si="15"/>
        <v>5+0.00104078521555377j</v>
      </c>
      <c r="K110">
        <f t="shared" si="20"/>
        <v>13.979400274897367</v>
      </c>
      <c r="L110">
        <f t="shared" si="21"/>
        <v>1.1926519873912798E-2</v>
      </c>
      <c r="M110">
        <f t="shared" si="22"/>
        <v>5</v>
      </c>
      <c r="N110">
        <f t="shared" si="23"/>
        <v>1.0407852155537699E-3</v>
      </c>
      <c r="O110" t="str">
        <f t="shared" si="16"/>
        <v>5220.67610482409-72065.3914568749j</v>
      </c>
      <c r="P110">
        <f t="shared" si="24"/>
        <v>97.17726750048287</v>
      </c>
      <c r="Q110">
        <f t="shared" si="25"/>
        <v>-85.856525999966166</v>
      </c>
      <c r="R110">
        <f t="shared" si="17"/>
        <v>83.197867225585497</v>
      </c>
      <c r="S110">
        <f t="shared" si="26"/>
        <v>94.131547480159924</v>
      </c>
    </row>
    <row r="111" spans="7:19" x14ac:dyDescent="0.25">
      <c r="G111">
        <f t="shared" si="18"/>
        <v>1.1600000000000013</v>
      </c>
      <c r="H111">
        <f t="shared" si="14"/>
        <v>144.54397707459319</v>
      </c>
      <c r="I111" t="str">
        <f t="shared" si="19"/>
        <v>908.196592996387j</v>
      </c>
      <c r="J111" t="str">
        <f t="shared" si="15"/>
        <v>5+0.00108983591159566j</v>
      </c>
      <c r="K111">
        <f t="shared" si="20"/>
        <v>13.979400293052343</v>
      </c>
      <c r="L111">
        <f t="shared" si="21"/>
        <v>1.2488599421468299E-2</v>
      </c>
      <c r="M111">
        <f t="shared" si="22"/>
        <v>5</v>
      </c>
      <c r="N111">
        <f t="shared" si="23"/>
        <v>1.08983591159566E-3</v>
      </c>
      <c r="O111" t="str">
        <f t="shared" si="16"/>
        <v>4763.50137221076-68853.5433139625j</v>
      </c>
      <c r="P111">
        <f t="shared" si="24"/>
        <v>96.779262946598294</v>
      </c>
      <c r="Q111">
        <f t="shared" si="25"/>
        <v>-86.042406561888171</v>
      </c>
      <c r="R111">
        <f t="shared" si="17"/>
        <v>82.799862653545944</v>
      </c>
      <c r="S111">
        <f t="shared" si="26"/>
        <v>93.945104838690355</v>
      </c>
    </row>
    <row r="112" spans="7:19" x14ac:dyDescent="0.25">
      <c r="G112">
        <f t="shared" si="18"/>
        <v>1.1800000000000013</v>
      </c>
      <c r="H112">
        <f t="shared" si="14"/>
        <v>151.35612484362133</v>
      </c>
      <c r="I112" t="str">
        <f t="shared" si="19"/>
        <v>950.998579769081j</v>
      </c>
      <c r="J112" t="str">
        <f t="shared" si="15"/>
        <v>5+0.0011411982957229j</v>
      </c>
      <c r="K112">
        <f t="shared" si="20"/>
        <v>13.979400312958878</v>
      </c>
      <c r="L112">
        <f t="shared" si="21"/>
        <v>1.307716895941111E-2</v>
      </c>
      <c r="M112">
        <f t="shared" si="22"/>
        <v>5</v>
      </c>
      <c r="N112">
        <f t="shared" si="23"/>
        <v>1.1411982957228999E-3</v>
      </c>
      <c r="O112" t="str">
        <f t="shared" si="16"/>
        <v>4346.18653009908-65782.195104334j</v>
      </c>
      <c r="P112">
        <f t="shared" si="24"/>
        <v>96.381083614815921</v>
      </c>
      <c r="Q112">
        <f t="shared" si="25"/>
        <v>-86.219999100764738</v>
      </c>
      <c r="R112">
        <f t="shared" si="17"/>
        <v>82.401683301857048</v>
      </c>
      <c r="S112">
        <f t="shared" si="26"/>
        <v>93.766923730275849</v>
      </c>
    </row>
    <row r="113" spans="7:19" x14ac:dyDescent="0.25">
      <c r="G113">
        <f t="shared" si="18"/>
        <v>1.2000000000000013</v>
      </c>
      <c r="H113">
        <f t="shared" si="14"/>
        <v>158.48931924611185</v>
      </c>
      <c r="I113" t="str">
        <f t="shared" si="19"/>
        <v>995.817762032065j</v>
      </c>
      <c r="J113" t="str">
        <f t="shared" si="15"/>
        <v>5+0.00119498131443848j</v>
      </c>
      <c r="K113">
        <f t="shared" si="20"/>
        <v>13.979400334785963</v>
      </c>
      <c r="L113">
        <f t="shared" si="21"/>
        <v>1.3693476922143882E-2</v>
      </c>
      <c r="M113">
        <f t="shared" si="22"/>
        <v>5</v>
      </c>
      <c r="N113">
        <f t="shared" si="23"/>
        <v>1.1949813144384799E-3</v>
      </c>
      <c r="O113" t="str">
        <f t="shared" si="16"/>
        <v>3965.28561915217-62845.5418395825j</v>
      </c>
      <c r="P113">
        <f t="shared" si="24"/>
        <v>95.98274474971204</v>
      </c>
      <c r="Q113">
        <f t="shared" si="25"/>
        <v>-86.389666633884076</v>
      </c>
      <c r="R113">
        <f t="shared" si="17"/>
        <v>82.003344414926076</v>
      </c>
      <c r="S113">
        <f t="shared" si="26"/>
        <v>93.596639889193781</v>
      </c>
    </row>
    <row r="114" spans="7:19" x14ac:dyDescent="0.25">
      <c r="G114">
        <f t="shared" si="18"/>
        <v>1.2200000000000013</v>
      </c>
      <c r="H114">
        <f t="shared" si="14"/>
        <v>165.95869074375662</v>
      </c>
      <c r="I114" t="str">
        <f t="shared" si="19"/>
        <v>1042.74920727993j</v>
      </c>
      <c r="J114" t="str">
        <f t="shared" si="15"/>
        <v>5+0.00125129904873592j</v>
      </c>
      <c r="K114">
        <f t="shared" si="20"/>
        <v>13.979400358718884</v>
      </c>
      <c r="L114">
        <f t="shared" si="21"/>
        <v>1.4338830580913734E-2</v>
      </c>
      <c r="M114">
        <f t="shared" si="22"/>
        <v>5</v>
      </c>
      <c r="N114">
        <f t="shared" si="23"/>
        <v>1.25129904873592E-3</v>
      </c>
      <c r="O114" t="str">
        <f t="shared" si="16"/>
        <v>3617.64567017328-60037.9738996775j</v>
      </c>
      <c r="P114">
        <f t="shared" si="24"/>
        <v>95.584260276912005</v>
      </c>
      <c r="Q114">
        <f t="shared" si="25"/>
        <v>-86.55175711940862</v>
      </c>
      <c r="R114">
        <f t="shared" si="17"/>
        <v>81.604859918193114</v>
      </c>
      <c r="S114">
        <f t="shared" si="26"/>
        <v>93.433904050010469</v>
      </c>
    </row>
    <row r="115" spans="7:19" x14ac:dyDescent="0.25">
      <c r="G115">
        <f t="shared" si="18"/>
        <v>1.2400000000000013</v>
      </c>
      <c r="H115">
        <f t="shared" si="14"/>
        <v>173.7800828749381</v>
      </c>
      <c r="I115" t="str">
        <f t="shared" si="19"/>
        <v>1091.89246340026j</v>
      </c>
      <c r="J115" t="str">
        <f t="shared" si="15"/>
        <v>5+0.00131027095608031j</v>
      </c>
      <c r="K115">
        <f t="shared" si="20"/>
        <v>13.979400384960805</v>
      </c>
      <c r="L115">
        <f t="shared" si="21"/>
        <v>1.5014598816698437E-2</v>
      </c>
      <c r="M115">
        <f t="shared" si="22"/>
        <v>5</v>
      </c>
      <c r="N115">
        <f t="shared" si="23"/>
        <v>1.3102709560803101E-3</v>
      </c>
      <c r="O115" t="str">
        <f t="shared" si="16"/>
        <v>3300.38262084029-57354.076536863j</v>
      </c>
      <c r="P115">
        <f t="shared" si="24"/>
        <v>95.185642915406106</v>
      </c>
      <c r="Q115">
        <f t="shared" si="25"/>
        <v>-86.706603971455039</v>
      </c>
      <c r="R115">
        <f t="shared" si="17"/>
        <v>81.206242530445309</v>
      </c>
      <c r="S115">
        <f t="shared" si="26"/>
        <v>93.278381429728256</v>
      </c>
    </row>
    <row r="116" spans="7:19" x14ac:dyDescent="0.25">
      <c r="G116">
        <f t="shared" si="18"/>
        <v>1.2600000000000013</v>
      </c>
      <c r="H116">
        <f t="shared" si="14"/>
        <v>181.97008586099898</v>
      </c>
      <c r="I116" t="str">
        <f t="shared" si="19"/>
        <v>1143.35176982804j</v>
      </c>
      <c r="J116" t="str">
        <f t="shared" si="15"/>
        <v>5+0.00137202212379365j</v>
      </c>
      <c r="K116">
        <f t="shared" si="20"/>
        <v>13.979400413734504</v>
      </c>
      <c r="L116">
        <f t="shared" si="21"/>
        <v>1.5722215023774383E-2</v>
      </c>
      <c r="M116">
        <f t="shared" si="22"/>
        <v>5</v>
      </c>
      <c r="N116">
        <f t="shared" si="23"/>
        <v>1.3720221237936499E-3</v>
      </c>
      <c r="O116" t="str">
        <f t="shared" si="16"/>
        <v>3010.85907136949-54788.6283732477j</v>
      </c>
      <c r="P116">
        <f t="shared" si="24"/>
        <v>94.786904280604375</v>
      </c>
      <c r="Q116">
        <f t="shared" si="25"/>
        <v>-86.854526572497434</v>
      </c>
      <c r="R116">
        <f t="shared" si="17"/>
        <v>80.807503866869865</v>
      </c>
      <c r="S116">
        <f t="shared" si="26"/>
        <v>93.129751212478794</v>
      </c>
    </row>
    <row r="117" spans="7:19" x14ac:dyDescent="0.25">
      <c r="G117">
        <f t="shared" si="18"/>
        <v>1.2800000000000014</v>
      </c>
      <c r="H117">
        <f t="shared" si="14"/>
        <v>190.54607179632535</v>
      </c>
      <c r="I117" t="str">
        <f t="shared" si="19"/>
        <v>1197.23627865146j</v>
      </c>
      <c r="J117" t="str">
        <f t="shared" si="15"/>
        <v>5+0.00143668353438175j</v>
      </c>
      <c r="K117">
        <f t="shared" si="20"/>
        <v>13.979400445284236</v>
      </c>
      <c r="L117">
        <f t="shared" si="21"/>
        <v>1.6463180150122728E-2</v>
      </c>
      <c r="M117">
        <f t="shared" si="22"/>
        <v>5</v>
      </c>
      <c r="N117">
        <f t="shared" si="23"/>
        <v>1.43668353438175E-3</v>
      </c>
      <c r="O117" t="str">
        <f t="shared" si="16"/>
        <v>2746.66376316321-52336.5990616063j</v>
      </c>
      <c r="P117">
        <f t="shared" si="24"/>
        <v>94.388054978841765</v>
      </c>
      <c r="Q117">
        <f t="shared" si="25"/>
        <v>-86.995830780667802</v>
      </c>
      <c r="R117">
        <f t="shared" si="17"/>
        <v>80.408654533557524</v>
      </c>
      <c r="S117">
        <f t="shared" si="26"/>
        <v>92.987706039182072</v>
      </c>
    </row>
    <row r="118" spans="7:19" x14ac:dyDescent="0.25">
      <c r="G118">
        <f t="shared" si="18"/>
        <v>1.3000000000000014</v>
      </c>
      <c r="H118">
        <f t="shared" si="14"/>
        <v>199.52623149688867</v>
      </c>
      <c r="I118" t="str">
        <f t="shared" si="19"/>
        <v>1253.66028613816j</v>
      </c>
      <c r="J118" t="str">
        <f t="shared" si="15"/>
        <v>5+0.00150439234336579j</v>
      </c>
      <c r="K118">
        <f t="shared" si="20"/>
        <v>13.97940047987783</v>
      </c>
      <c r="L118">
        <f t="shared" si="21"/>
        <v>1.7239065881125913E-2</v>
      </c>
      <c r="M118">
        <f t="shared" si="22"/>
        <v>5</v>
      </c>
      <c r="N118">
        <f t="shared" si="23"/>
        <v>1.50439234336579E-3</v>
      </c>
      <c r="O118" t="str">
        <f t="shared" si="16"/>
        <v>2505.59266728573-49993.1462569759j</v>
      </c>
      <c r="P118">
        <f t="shared" si="24"/>
        <v>93.989104694000389</v>
      </c>
      <c r="Q118">
        <f t="shared" si="25"/>
        <v>-87.130809429944989</v>
      </c>
      <c r="R118">
        <f t="shared" si="17"/>
        <v>80.009704214122564</v>
      </c>
      <c r="S118">
        <f t="shared" si="26"/>
        <v>92.851951504173883</v>
      </c>
    </row>
    <row r="119" spans="7:19" x14ac:dyDescent="0.25">
      <c r="G119">
        <f t="shared" si="18"/>
        <v>1.3200000000000014</v>
      </c>
      <c r="H119">
        <f t="shared" si="14"/>
        <v>208.92961308540464</v>
      </c>
      <c r="I119" t="str">
        <f t="shared" si="19"/>
        <v>1312.74347517293j</v>
      </c>
      <c r="J119" t="str">
        <f t="shared" si="15"/>
        <v>5+0.00157529217020752j</v>
      </c>
      <c r="K119">
        <f t="shared" si="20"/>
        <v>13.979400517808948</v>
      </c>
      <c r="L119">
        <f t="shared" si="21"/>
        <v>1.8051517973303528E-2</v>
      </c>
      <c r="M119">
        <f t="shared" si="22"/>
        <v>5</v>
      </c>
      <c r="N119">
        <f t="shared" si="23"/>
        <v>1.57529217020752E-3</v>
      </c>
      <c r="O119" t="str">
        <f t="shared" si="16"/>
        <v>2285.63157333026-47753.6120271677j</v>
      </c>
      <c r="P119">
        <f t="shared" si="24"/>
        <v>93.590062266870774</v>
      </c>
      <c r="Q119">
        <f t="shared" si="25"/>
        <v>-87.259742821586343</v>
      </c>
      <c r="R119">
        <f t="shared" si="17"/>
        <v>79.610661749061819</v>
      </c>
      <c r="S119">
        <f t="shared" si="26"/>
        <v>92.722205660440352</v>
      </c>
    </row>
    <row r="120" spans="7:19" x14ac:dyDescent="0.25">
      <c r="G120">
        <f t="shared" si="18"/>
        <v>1.3400000000000014</v>
      </c>
      <c r="H120">
        <f t="shared" si="14"/>
        <v>218.77616239495606</v>
      </c>
      <c r="I120" t="str">
        <f t="shared" si="19"/>
        <v>1374.61116912112j</v>
      </c>
      <c r="J120" t="str">
        <f t="shared" si="15"/>
        <v>5+0.00164953340294534j</v>
      </c>
      <c r="K120">
        <f t="shared" si="20"/>
        <v>13.97940055939959</v>
      </c>
      <c r="L120">
        <f t="shared" si="21"/>
        <v>1.8902259745160122E-2</v>
      </c>
      <c r="M120">
        <f t="shared" si="22"/>
        <v>5</v>
      </c>
      <c r="N120">
        <f t="shared" si="23"/>
        <v>1.64953340294534E-3</v>
      </c>
      <c r="O120" t="str">
        <f t="shared" si="16"/>
        <v>2084.94007362514-45613.5188131165j</v>
      </c>
      <c r="P120">
        <f t="shared" si="24"/>
        <v>93.190935767831874</v>
      </c>
      <c r="Q120">
        <f t="shared" si="25"/>
        <v>-87.382899205471787</v>
      </c>
      <c r="R120">
        <f t="shared" si="17"/>
        <v>79.211535208432281</v>
      </c>
      <c r="S120">
        <f t="shared" si="26"/>
        <v>92.598198534783052</v>
      </c>
    </row>
    <row r="121" spans="7:19" x14ac:dyDescent="0.25">
      <c r="G121">
        <f t="shared" si="18"/>
        <v>1.3600000000000014</v>
      </c>
      <c r="H121">
        <f t="shared" si="14"/>
        <v>229.0867652767781</v>
      </c>
      <c r="I121" t="str">
        <f t="shared" si="19"/>
        <v>1439.39459765635j</v>
      </c>
      <c r="J121" t="str">
        <f t="shared" si="15"/>
        <v>5+0.00172727351718762j</v>
      </c>
      <c r="K121">
        <f t="shared" si="20"/>
        <v>13.97940060500283</v>
      </c>
      <c r="L121">
        <f t="shared" si="21"/>
        <v>1.9793095732551207E-2</v>
      </c>
      <c r="M121">
        <f t="shared" si="22"/>
        <v>5</v>
      </c>
      <c r="N121">
        <f t="shared" si="23"/>
        <v>1.7272735171876201E-3</v>
      </c>
      <c r="O121" t="str">
        <f t="shared" si="16"/>
        <v>1901.83684256775-43568.5650348046j</v>
      </c>
      <c r="P121">
        <f t="shared" si="24"/>
        <v>92.791732563385821</v>
      </c>
      <c r="Q121">
        <f t="shared" si="25"/>
        <v>-87.50053525030205</v>
      </c>
      <c r="R121">
        <f t="shared" si="17"/>
        <v>78.812331958382998</v>
      </c>
      <c r="S121">
        <f t="shared" si="26"/>
        <v>92.479671653965397</v>
      </c>
    </row>
    <row r="122" spans="7:19" x14ac:dyDescent="0.25">
      <c r="G122">
        <f t="shared" si="18"/>
        <v>1.3800000000000014</v>
      </c>
      <c r="H122">
        <f t="shared" si="14"/>
        <v>239.88329190194992</v>
      </c>
      <c r="I122" t="str">
        <f t="shared" si="19"/>
        <v>1507.2311751162j</v>
      </c>
      <c r="J122" t="str">
        <f t="shared" si="15"/>
        <v>5+0.00180867741013944j</v>
      </c>
      <c r="K122">
        <f t="shared" si="20"/>
        <v>13.979400655005783</v>
      </c>
      <c r="L122">
        <f t="shared" si="21"/>
        <v>2.0725915516315429E-2</v>
      </c>
      <c r="M122">
        <f t="shared" si="22"/>
        <v>5</v>
      </c>
      <c r="N122">
        <f t="shared" si="23"/>
        <v>1.8086774101394401E-3</v>
      </c>
      <c r="O122" t="str">
        <f t="shared" si="16"/>
        <v>1734.78611599929-41614.6204251706j</v>
      </c>
      <c r="P122">
        <f t="shared" si="24"/>
        <v>92.392459377048638</v>
      </c>
      <c r="Q122">
        <f t="shared" si="25"/>
        <v>-87.612896501826938</v>
      </c>
      <c r="R122">
        <f t="shared" si="17"/>
        <v>78.413058722042848</v>
      </c>
      <c r="S122">
        <f t="shared" si="26"/>
        <v>92.366377582656753</v>
      </c>
    </row>
    <row r="123" spans="7:19" x14ac:dyDescent="0.25">
      <c r="G123">
        <f t="shared" si="18"/>
        <v>1.4000000000000015</v>
      </c>
      <c r="H123">
        <f t="shared" si="14"/>
        <v>251.18864315095888</v>
      </c>
      <c r="I123" t="str">
        <f t="shared" si="19"/>
        <v>1578.26479197648j</v>
      </c>
      <c r="J123" t="str">
        <f t="shared" si="15"/>
        <v>5+0.00189391775037178j</v>
      </c>
      <c r="K123">
        <f t="shared" si="20"/>
        <v>13.979400709832927</v>
      </c>
      <c r="L123">
        <f t="shared" si="21"/>
        <v>2.1702697730297094E-2</v>
      </c>
      <c r="M123">
        <f t="shared" si="22"/>
        <v>5</v>
      </c>
      <c r="N123">
        <f t="shared" si="23"/>
        <v>1.8939177503717801E-3</v>
      </c>
      <c r="O123" t="str">
        <f t="shared" si="16"/>
        <v>1582.38528080171-39747.721162663j</v>
      </c>
      <c r="P123">
        <f t="shared" si="24"/>
        <v>91.993122345056776</v>
      </c>
      <c r="Q123">
        <f t="shared" si="25"/>
        <v>-87.720217828482106</v>
      </c>
      <c r="R123">
        <f t="shared" si="17"/>
        <v>78.013721635223845</v>
      </c>
      <c r="S123">
        <f t="shared" si="26"/>
        <v>92.258079473787603</v>
      </c>
    </row>
    <row r="124" spans="7:19" x14ac:dyDescent="0.25">
      <c r="G124">
        <f t="shared" si="18"/>
        <v>1.4200000000000015</v>
      </c>
      <c r="H124">
        <f t="shared" si="14"/>
        <v>263.02679918953919</v>
      </c>
      <c r="I124" t="str">
        <f t="shared" si="19"/>
        <v>1652.64612006219j</v>
      </c>
      <c r="J124" t="str">
        <f t="shared" si="15"/>
        <v>5+0.00198317534407463j</v>
      </c>
      <c r="K124">
        <f t="shared" si="20"/>
        <v>13.979400769949699</v>
      </c>
      <c r="L124">
        <f t="shared" si="21"/>
        <v>2.2725514258255031E-2</v>
      </c>
      <c r="M124">
        <f t="shared" si="22"/>
        <v>5</v>
      </c>
      <c r="N124">
        <f t="shared" si="23"/>
        <v>1.9831753440746301E-3</v>
      </c>
      <c r="O124" t="str">
        <f t="shared" si="16"/>
        <v>1443.35349020793-37964.0648628441j</v>
      </c>
      <c r="P124">
        <f t="shared" si="24"/>
        <v>91.593727067318213</v>
      </c>
      <c r="Q124">
        <f t="shared" si="25"/>
        <v>-87.822723853984215</v>
      </c>
      <c r="R124">
        <f t="shared" si="17"/>
        <v>77.614326297368507</v>
      </c>
      <c r="S124">
        <f t="shared" si="26"/>
        <v>92.15455063175753</v>
      </c>
    </row>
    <row r="125" spans="7:19" x14ac:dyDescent="0.25">
      <c r="G125">
        <f t="shared" si="18"/>
        <v>1.4400000000000015</v>
      </c>
      <c r="H125">
        <f t="shared" si="14"/>
        <v>275.42287033381763</v>
      </c>
      <c r="I125" t="str">
        <f t="shared" si="19"/>
        <v>1730.53293214267j</v>
      </c>
      <c r="J125" t="str">
        <f t="shared" si="15"/>
        <v>5+0.0020766395185712j</v>
      </c>
      <c r="K125">
        <f t="shared" si="20"/>
        <v>13.979400835866425</v>
      </c>
      <c r="L125">
        <f t="shared" si="21"/>
        <v>2.3796534628562772E-2</v>
      </c>
      <c r="M125">
        <f t="shared" si="22"/>
        <v>5</v>
      </c>
      <c r="N125">
        <f t="shared" si="23"/>
        <v>2.0766395185711998E-3</v>
      </c>
      <c r="O125" t="str">
        <f t="shared" si="16"/>
        <v>1316.52122557933-36260.0054804454j</v>
      </c>
      <c r="P125">
        <f t="shared" si="24"/>
        <v>91.19427865400057</v>
      </c>
      <c r="Q125">
        <f t="shared" si="25"/>
        <v>-87.920629376582866</v>
      </c>
      <c r="R125">
        <f t="shared" si="17"/>
        <v>77.214877818134141</v>
      </c>
      <c r="S125">
        <f t="shared" si="26"/>
        <v>92.055574088788575</v>
      </c>
    </row>
    <row r="126" spans="7:19" x14ac:dyDescent="0.25">
      <c r="G126">
        <f t="shared" si="18"/>
        <v>1.4600000000000015</v>
      </c>
      <c r="H126">
        <f t="shared" si="14"/>
        <v>288.40315031266169</v>
      </c>
      <c r="I126" t="str">
        <f t="shared" si="19"/>
        <v>1812.09043658882j</v>
      </c>
      <c r="J126" t="str">
        <f t="shared" si="15"/>
        <v>5+0.00217450852390658j</v>
      </c>
      <c r="K126">
        <f t="shared" si="20"/>
        <v>13.979400908142679</v>
      </c>
      <c r="L126">
        <f t="shared" si="21"/>
        <v>2.4918030616019424E-2</v>
      </c>
      <c r="M126">
        <f t="shared" si="22"/>
        <v>5</v>
      </c>
      <c r="N126">
        <f t="shared" si="23"/>
        <v>2.1745085239065799E-3</v>
      </c>
      <c r="O126" t="str">
        <f t="shared" si="16"/>
        <v>1200.8207305607-34632.0481654458j</v>
      </c>
      <c r="P126">
        <f t="shared" si="24"/>
        <v>90.794781768121666</v>
      </c>
      <c r="Q126">
        <f t="shared" si="25"/>
        <v>-88.01413977479163</v>
      </c>
      <c r="R126">
        <f t="shared" si="17"/>
        <v>76.815380859978987</v>
      </c>
      <c r="S126">
        <f t="shared" si="26"/>
        <v>91.960942194592349</v>
      </c>
    </row>
    <row r="127" spans="7:19" x14ac:dyDescent="0.25">
      <c r="G127">
        <f t="shared" si="18"/>
        <v>1.4800000000000015</v>
      </c>
      <c r="H127">
        <f t="shared" si="14"/>
        <v>301.99517204020287</v>
      </c>
      <c r="I127" t="str">
        <f t="shared" si="19"/>
        <v>1897.49162780217j</v>
      </c>
      <c r="J127" t="str">
        <f t="shared" si="15"/>
        <v>5+0.0022769899533626j</v>
      </c>
      <c r="K127">
        <f t="shared" si="20"/>
        <v>13.979400987392015</v>
      </c>
      <c r="L127">
        <f t="shared" si="21"/>
        <v>2.6092381060530447E-2</v>
      </c>
      <c r="M127">
        <f t="shared" si="22"/>
        <v>5</v>
      </c>
      <c r="N127">
        <f t="shared" si="23"/>
        <v>2.2769899533625999E-3</v>
      </c>
      <c r="O127" t="str">
        <f t="shared" si="16"/>
        <v>1095.27724852145-33076.8441098953j</v>
      </c>
      <c r="P127">
        <f t="shared" si="24"/>
        <v>90.395240664476106</v>
      </c>
      <c r="Q127">
        <f t="shared" si="25"/>
        <v>-88.10345139952689</v>
      </c>
      <c r="R127">
        <f t="shared" si="17"/>
        <v>76.415839677084094</v>
      </c>
      <c r="S127">
        <f t="shared" si="26"/>
        <v>91.870456219412574</v>
      </c>
    </row>
    <row r="128" spans="7:19" x14ac:dyDescent="0.25">
      <c r="G128">
        <f t="shared" si="18"/>
        <v>1.5000000000000016</v>
      </c>
      <c r="H128">
        <f t="shared" si="14"/>
        <v>316.22776601683915</v>
      </c>
      <c r="I128" t="str">
        <f t="shared" si="19"/>
        <v>1986.91765315923j</v>
      </c>
      <c r="J128" t="str">
        <f t="shared" si="15"/>
        <v>5+0.00238430118379108j</v>
      </c>
      <c r="K128">
        <f t="shared" si="20"/>
        <v>13.979401074287177</v>
      </c>
      <c r="L128">
        <f t="shared" si="21"/>
        <v>2.7322076912880969E-2</v>
      </c>
      <c r="M128">
        <f t="shared" si="22"/>
        <v>5</v>
      </c>
      <c r="N128">
        <f t="shared" si="23"/>
        <v>2.3843011837910801E-3</v>
      </c>
      <c r="O128" t="str">
        <f t="shared" si="16"/>
        <v>999.000999000992-31591.1854162674j</v>
      </c>
      <c r="P128">
        <f t="shared" si="24"/>
        <v>89.995659225206765</v>
      </c>
      <c r="Q128">
        <f t="shared" si="25"/>
        <v>-88.188751952672035</v>
      </c>
      <c r="R128">
        <f t="shared" si="17"/>
        <v>76.016258150919583</v>
      </c>
      <c r="S128">
        <f t="shared" si="26"/>
        <v>91.783925970415083</v>
      </c>
    </row>
    <row r="129" spans="7:19" x14ac:dyDescent="0.25">
      <c r="G129">
        <f t="shared" si="18"/>
        <v>1.5200000000000016</v>
      </c>
      <c r="H129">
        <f t="shared" si="14"/>
        <v>331.13112148259245</v>
      </c>
      <c r="I129" t="str">
        <f t="shared" si="19"/>
        <v>2080.55819724932j</v>
      </c>
      <c r="J129" t="str">
        <f t="shared" si="15"/>
        <v>5+0.00249666983669918j</v>
      </c>
      <c r="K129">
        <f t="shared" si="20"/>
        <v>13.979401169565829</v>
      </c>
      <c r="L129">
        <f t="shared" si="21"/>
        <v>2.8609726518299614E-2</v>
      </c>
      <c r="M129">
        <f t="shared" si="22"/>
        <v>5</v>
      </c>
      <c r="N129">
        <f t="shared" si="23"/>
        <v>2.49666983669918E-3</v>
      </c>
      <c r="O129" t="str">
        <f t="shared" si="16"/>
        <v>911.179833471177-30172.0000129632j</v>
      </c>
      <c r="P129">
        <f t="shared" si="24"/>
        <v>89.596040992304964</v>
      </c>
      <c r="Q129">
        <f t="shared" si="25"/>
        <v>-88.270220852158374</v>
      </c>
      <c r="R129">
        <f t="shared" si="17"/>
        <v>75.616639822739131</v>
      </c>
      <c r="S129">
        <f t="shared" si="26"/>
        <v>91.701169421323328</v>
      </c>
    </row>
    <row r="130" spans="7:19" x14ac:dyDescent="0.25">
      <c r="G130">
        <f t="shared" si="18"/>
        <v>1.5400000000000016</v>
      </c>
      <c r="H130">
        <f t="shared" si="14"/>
        <v>346.73685045253302</v>
      </c>
      <c r="I130" t="str">
        <f t="shared" si="19"/>
        <v>2178.61188422108j</v>
      </c>
      <c r="J130" t="str">
        <f t="shared" si="15"/>
        <v>5+0.0026143342610653j</v>
      </c>
      <c r="K130">
        <f t="shared" si="20"/>
        <v>13.979401274036791</v>
      </c>
      <c r="L130">
        <f t="shared" si="21"/>
        <v>2.995806114902352E-2</v>
      </c>
      <c r="M130">
        <f t="shared" si="22"/>
        <v>5</v>
      </c>
      <c r="N130">
        <f t="shared" si="23"/>
        <v>2.6143342610652999E-3</v>
      </c>
      <c r="O130" t="str">
        <f t="shared" si="16"/>
        <v>831.072515093451-28816.3466381168j</v>
      </c>
      <c r="P130">
        <f t="shared" si="24"/>
        <v>89.196389197298927</v>
      </c>
      <c r="Q130">
        <f t="shared" si="25"/>
        <v>-88.34802958371634</v>
      </c>
      <c r="R130">
        <f t="shared" si="17"/>
        <v>75.216987923262138</v>
      </c>
      <c r="S130">
        <f t="shared" si="26"/>
        <v>91.622012355134643</v>
      </c>
    </row>
    <row r="131" spans="7:19" x14ac:dyDescent="0.25">
      <c r="G131">
        <f t="shared" si="18"/>
        <v>1.5600000000000016</v>
      </c>
      <c r="H131">
        <f t="shared" ref="H131:H194" si="27">$B$3*10^G131</f>
        <v>363.07805477010282</v>
      </c>
      <c r="I131" t="str">
        <f t="shared" si="19"/>
        <v>2281.28669909086j</v>
      </c>
      <c r="J131" t="str">
        <f t="shared" ref="J131:J194" si="28">IMSUM(1,IMDIV(IMPRODUCT(R_f,IMSUM(1,IMPRODUCT(I131,C_s,R_1))),R_1))</f>
        <v>5+0.00273754403890903j</v>
      </c>
      <c r="K131">
        <f t="shared" si="20"/>
        <v>13.97940138858692</v>
      </c>
      <c r="L131">
        <f t="shared" si="21"/>
        <v>3.1369940797591055E-2</v>
      </c>
      <c r="M131">
        <f t="shared" si="22"/>
        <v>5</v>
      </c>
      <c r="N131">
        <f t="shared" si="23"/>
        <v>2.7375440389090298E-3</v>
      </c>
      <c r="O131" t="str">
        <f t="shared" ref="O131:O194" si="29">IMDIV(Aolv,IMSUM(1,IMDIV(I131,wc)))</f>
        <v>758.002571276788-27521.4099089913j</v>
      </c>
      <c r="P131">
        <f t="shared" si="24"/>
        <v>88.796706788371011</v>
      </c>
      <c r="Q131">
        <f t="shared" si="25"/>
        <v>-88.422342039500492</v>
      </c>
      <c r="R131">
        <f t="shared" ref="R131:R194" si="30">P131-K131</f>
        <v>74.81730539978409</v>
      </c>
      <c r="S131">
        <f t="shared" si="26"/>
        <v>91.546288019701919</v>
      </c>
    </row>
    <row r="132" spans="7:19" x14ac:dyDescent="0.25">
      <c r="G132">
        <f t="shared" ref="G132:G195" si="31">G131+(1/ppd)</f>
        <v>1.5800000000000016</v>
      </c>
      <c r="H132">
        <f t="shared" si="27"/>
        <v>380.18939632056276</v>
      </c>
      <c r="I132" t="str">
        <f t="shared" ref="I132:I195" si="32">COMPLEX(0,H132*2*PI(),"j")</f>
        <v>2388.80042890684j</v>
      </c>
      <c r="J132" t="str">
        <f t="shared" si="28"/>
        <v>5+0.00286656051468821j</v>
      </c>
      <c r="K132">
        <f t="shared" ref="K132:K195" si="33">20*LOG(IMABS(J132))</f>
        <v>13.979401514188634</v>
      </c>
      <c r="L132">
        <f t="shared" ref="L132:L195" si="34">DEGREES(IMARGUMENT(J132))</f>
        <v>3.2848360243156557E-2</v>
      </c>
      <c r="M132">
        <f t="shared" ref="M132:M195" si="35">IMREAL(J132)</f>
        <v>5</v>
      </c>
      <c r="N132">
        <f t="shared" ref="N132:N195" si="36">IMAGINARY(J132)</f>
        <v>2.8665605146882098E-3</v>
      </c>
      <c r="O132" t="str">
        <f t="shared" si="29"/>
        <v>691.3526717288-26284.4954909181j</v>
      </c>
      <c r="P132">
        <f t="shared" ref="P132:P195" si="37">20*LOG(IMABS(O132))</f>
        <v>88.396996455122093</v>
      </c>
      <c r="Q132">
        <f t="shared" ref="Q132:Q195" si="38">DEGREES(IMARGUMENT(O132))</f>
        <v>-88.493314843833403</v>
      </c>
      <c r="R132">
        <f t="shared" si="30"/>
        <v>74.417594940933455</v>
      </c>
      <c r="S132">
        <f t="shared" ref="S132:S195" si="39">(Q132-L132)-(-180)</f>
        <v>91.473836795923447</v>
      </c>
    </row>
    <row r="133" spans="7:19" x14ac:dyDescent="0.25">
      <c r="G133">
        <f t="shared" si="31"/>
        <v>1.6000000000000016</v>
      </c>
      <c r="H133">
        <f t="shared" si="27"/>
        <v>398.10717055349897</v>
      </c>
      <c r="I133" t="str">
        <f t="shared" si="32"/>
        <v>2501.38112470458j</v>
      </c>
      <c r="J133" t="str">
        <f t="shared" si="28"/>
        <v>5+0.0030016573496455j</v>
      </c>
      <c r="K133">
        <f t="shared" si="33"/>
        <v>13.979401651908173</v>
      </c>
      <c r="L133">
        <f t="shared" si="34"/>
        <v>3.4396455403686264E-2</v>
      </c>
      <c r="M133">
        <f t="shared" si="35"/>
        <v>5</v>
      </c>
      <c r="N133">
        <f t="shared" si="36"/>
        <v>3.0016573496455001E-3</v>
      </c>
      <c r="O133" t="str">
        <f t="shared" si="29"/>
        <v>630.559488339888-25103.0253768655j</v>
      </c>
      <c r="P133">
        <f t="shared" si="37"/>
        <v>87.997260651185002</v>
      </c>
      <c r="Q133">
        <f t="shared" si="38"/>
        <v>-88.561097666346328</v>
      </c>
      <c r="R133">
        <f t="shared" si="30"/>
        <v>74.017858999276825</v>
      </c>
      <c r="S133">
        <f t="shared" si="39"/>
        <v>91.404505878249992</v>
      </c>
    </row>
    <row r="134" spans="7:19" x14ac:dyDescent="0.25">
      <c r="G134">
        <f t="shared" si="31"/>
        <v>1.6200000000000017</v>
      </c>
      <c r="H134">
        <f t="shared" si="27"/>
        <v>416.86938347033708</v>
      </c>
      <c r="I134" t="str">
        <f t="shared" si="32"/>
        <v>2619.26758523383j</v>
      </c>
      <c r="J134" t="str">
        <f t="shared" si="28"/>
        <v>5+0.0031431211022806j</v>
      </c>
      <c r="K134">
        <f t="shared" si="33"/>
        <v>13.979401802914637</v>
      </c>
      <c r="L134">
        <f t="shared" si="34"/>
        <v>3.6017509987510216E-2</v>
      </c>
      <c r="M134">
        <f t="shared" si="35"/>
        <v>5</v>
      </c>
      <c r="N134">
        <f t="shared" si="36"/>
        <v>3.1431211022805998E-3</v>
      </c>
      <c r="O134" t="str">
        <f t="shared" si="29"/>
        <v>575.10899665216-23974.5332862629j</v>
      </c>
      <c r="P134">
        <f t="shared" si="37"/>
        <v>87.597501614871817</v>
      </c>
      <c r="Q134">
        <f t="shared" si="38"/>
        <v>-88.625833522820344</v>
      </c>
      <c r="R134">
        <f t="shared" si="30"/>
        <v>73.61809981195718</v>
      </c>
      <c r="S134">
        <f t="shared" si="39"/>
        <v>91.33814896719214</v>
      </c>
    </row>
    <row r="135" spans="7:19" x14ac:dyDescent="0.25">
      <c r="G135">
        <f t="shared" si="31"/>
        <v>1.6400000000000017</v>
      </c>
      <c r="H135">
        <f t="shared" si="27"/>
        <v>436.51583224016781</v>
      </c>
      <c r="I135" t="str">
        <f t="shared" si="32"/>
        <v>2742.70986348269j</v>
      </c>
      <c r="J135" t="str">
        <f t="shared" si="28"/>
        <v>5+0.00329125183617923j</v>
      </c>
      <c r="K135">
        <f t="shared" si="33"/>
        <v>13.979401968489928</v>
      </c>
      <c r="L135">
        <f t="shared" si="34"/>
        <v>3.7714962458334528E-2</v>
      </c>
      <c r="M135">
        <f t="shared" si="35"/>
        <v>5</v>
      </c>
      <c r="N135">
        <f t="shared" si="36"/>
        <v>3.2912518361792298E-3</v>
      </c>
      <c r="O135" t="str">
        <f t="shared" si="29"/>
        <v>524.532181847593-22896.6601895953j</v>
      </c>
      <c r="P135">
        <f t="shared" si="37"/>
        <v>87.197721388023467</v>
      </c>
      <c r="Q135">
        <f t="shared" si="38"/>
        <v>-88.687659064051573</v>
      </c>
      <c r="R135">
        <f t="shared" si="30"/>
        <v>73.218319419533543</v>
      </c>
      <c r="S135">
        <f t="shared" si="39"/>
        <v>91.274625973490089</v>
      </c>
    </row>
    <row r="136" spans="7:19" x14ac:dyDescent="0.25">
      <c r="G136">
        <f t="shared" si="31"/>
        <v>1.6600000000000017</v>
      </c>
      <c r="H136">
        <f t="shared" si="27"/>
        <v>457.08818961487691</v>
      </c>
      <c r="I136" t="str">
        <f t="shared" si="32"/>
        <v>2871.96979707351j</v>
      </c>
      <c r="J136" t="str">
        <f t="shared" si="28"/>
        <v>5+0.00344636375648821j</v>
      </c>
      <c r="K136">
        <f t="shared" si="33"/>
        <v>13.979402150039617</v>
      </c>
      <c r="L136">
        <f t="shared" si="34"/>
        <v>3.949241332848473E-2</v>
      </c>
      <c r="M136">
        <f t="shared" si="35"/>
        <v>5</v>
      </c>
      <c r="N136">
        <f t="shared" si="36"/>
        <v>3.4463637564882102E-3</v>
      </c>
      <c r="O136" t="str">
        <f t="shared" si="29"/>
        <v>478.401115152721-21867.1499634896j</v>
      </c>
      <c r="P136">
        <f t="shared" si="37"/>
        <v>86.797921833217202</v>
      </c>
      <c r="Q136">
        <f t="shared" si="38"/>
        <v>-88.746704853079208</v>
      </c>
      <c r="R136">
        <f t="shared" si="30"/>
        <v>72.818519683177584</v>
      </c>
      <c r="S136">
        <f t="shared" si="39"/>
        <v>91.213802733592303</v>
      </c>
    </row>
    <row r="137" spans="7:19" x14ac:dyDescent="0.25">
      <c r="G137">
        <f t="shared" si="31"/>
        <v>1.6800000000000017</v>
      </c>
      <c r="H137">
        <f t="shared" si="27"/>
        <v>478.63009232264039</v>
      </c>
      <c r="I137" t="str">
        <f t="shared" si="32"/>
        <v>3007.32156365562j</v>
      </c>
      <c r="J137" t="str">
        <f t="shared" si="28"/>
        <v>5+0.00360878587638674j</v>
      </c>
      <c r="K137">
        <f t="shared" si="33"/>
        <v>13.979402349104884</v>
      </c>
      <c r="L137">
        <f t="shared" si="34"/>
        <v>4.135363279584725E-2</v>
      </c>
      <c r="M137">
        <f t="shared" si="35"/>
        <v>5</v>
      </c>
      <c r="N137">
        <f t="shared" si="36"/>
        <v>3.6087858763867399E-3</v>
      </c>
      <c r="O137" t="str">
        <f t="shared" si="29"/>
        <v>436.325369308452-20883.8451794814j</v>
      </c>
      <c r="P137">
        <f t="shared" si="37"/>
        <v>86.398104649473083</v>
      </c>
      <c r="Q137">
        <f t="shared" si="38"/>
        <v>-88.80309563112489</v>
      </c>
      <c r="R137">
        <f t="shared" si="30"/>
        <v>72.418702300368196</v>
      </c>
      <c r="S137">
        <f t="shared" si="39"/>
        <v>91.155550736079263</v>
      </c>
    </row>
    <row r="138" spans="7:19" x14ac:dyDescent="0.25">
      <c r="G138">
        <f t="shared" si="31"/>
        <v>1.7000000000000017</v>
      </c>
      <c r="H138">
        <f t="shared" si="27"/>
        <v>501.1872336272744</v>
      </c>
      <c r="I138" t="str">
        <f t="shared" si="32"/>
        <v>3149.05226247287j</v>
      </c>
      <c r="J138" t="str">
        <f t="shared" si="28"/>
        <v>5+0.00377886271496744j</v>
      </c>
      <c r="K138">
        <f t="shared" si="33"/>
        <v>13.979402567375597</v>
      </c>
      <c r="L138">
        <f t="shared" si="34"/>
        <v>4.330256874070209E-2</v>
      </c>
      <c r="M138">
        <f t="shared" si="35"/>
        <v>5</v>
      </c>
      <c r="N138">
        <f t="shared" si="36"/>
        <v>3.7788627149674399E-3</v>
      </c>
      <c r="O138" t="str">
        <f t="shared" si="29"/>
        <v>397.948744304874-19944.6830283607j</v>
      </c>
      <c r="P138">
        <f t="shared" si="37"/>
        <v>85.998271386590062</v>
      </c>
      <c r="Q138">
        <f t="shared" si="38"/>
        <v>-88.856950572599075</v>
      </c>
      <c r="R138">
        <f t="shared" si="30"/>
        <v>72.018868819214461</v>
      </c>
      <c r="S138">
        <f t="shared" si="39"/>
        <v>91.099746858660225</v>
      </c>
    </row>
    <row r="139" spans="7:19" x14ac:dyDescent="0.25">
      <c r="G139">
        <f t="shared" si="31"/>
        <v>1.7200000000000017</v>
      </c>
      <c r="H139">
        <f t="shared" si="27"/>
        <v>524.80746024977498</v>
      </c>
      <c r="I139" t="str">
        <f t="shared" si="32"/>
        <v>3297.46252333962j</v>
      </c>
      <c r="J139" t="str">
        <f t="shared" si="28"/>
        <v>5+0.00395695502800754j</v>
      </c>
      <c r="K139">
        <f t="shared" si="33"/>
        <v>13.979402806704664</v>
      </c>
      <c r="L139">
        <f t="shared" si="34"/>
        <v>4.5343355099405153E-2</v>
      </c>
      <c r="M139">
        <f t="shared" si="35"/>
        <v>5</v>
      </c>
      <c r="N139">
        <f t="shared" si="36"/>
        <v>3.9569550280075397E-3</v>
      </c>
      <c r="O139" t="str">
        <f t="shared" si="29"/>
        <v>362.94627694188-19047.6913808979j</v>
      </c>
      <c r="P139">
        <f t="shared" si="37"/>
        <v>85.598423458229604</v>
      </c>
      <c r="Q139">
        <f t="shared" si="38"/>
        <v>-88.908383529533324</v>
      </c>
      <c r="R139">
        <f t="shared" si="30"/>
        <v>71.619020651524934</v>
      </c>
      <c r="S139">
        <f t="shared" si="39"/>
        <v>91.046273115367271</v>
      </c>
    </row>
    <row r="140" spans="7:19" x14ac:dyDescent="0.25">
      <c r="G140">
        <f t="shared" si="31"/>
        <v>1.7400000000000018</v>
      </c>
      <c r="H140">
        <f t="shared" si="27"/>
        <v>549.54087385762716</v>
      </c>
      <c r="I140" t="str">
        <f t="shared" si="32"/>
        <v>3452.86714431687j</v>
      </c>
      <c r="J140" t="str">
        <f t="shared" si="28"/>
        <v>5+0.00414344057318024j</v>
      </c>
      <c r="K140">
        <f t="shared" si="33"/>
        <v>13.979403069123755</v>
      </c>
      <c r="L140">
        <f t="shared" si="34"/>
        <v>4.7480320632675786E-2</v>
      </c>
      <c r="M140">
        <f t="shared" si="35"/>
        <v>5</v>
      </c>
      <c r="N140">
        <f t="shared" si="36"/>
        <v>4.1434405731802402E-3</v>
      </c>
      <c r="O140" t="str">
        <f t="shared" si="29"/>
        <v>331.021509958761-18190.9849848409j</v>
      </c>
      <c r="P140">
        <f t="shared" si="37"/>
        <v>85.198562153856187</v>
      </c>
      <c r="Q140">
        <f t="shared" si="38"/>
        <v>-88.957503265798508</v>
      </c>
      <c r="R140">
        <f t="shared" si="30"/>
        <v>71.219159084732439</v>
      </c>
      <c r="S140">
        <f t="shared" si="39"/>
        <v>90.99501641356882</v>
      </c>
    </row>
    <row r="141" spans="7:19" x14ac:dyDescent="0.25">
      <c r="G141">
        <f t="shared" si="31"/>
        <v>1.7600000000000018</v>
      </c>
      <c r="H141">
        <f t="shared" si="27"/>
        <v>575.43993733715956</v>
      </c>
      <c r="I141" t="str">
        <f t="shared" si="32"/>
        <v>3615.59575944118j</v>
      </c>
      <c r="J141" t="str">
        <f t="shared" si="28"/>
        <v>5+0.0043387149113294j</v>
      </c>
      <c r="K141">
        <f t="shared" si="33"/>
        <v>13.979403356860541</v>
      </c>
      <c r="L141">
        <f t="shared" si="34"/>
        <v>4.9717998107081884E-2</v>
      </c>
      <c r="M141">
        <f t="shared" si="35"/>
        <v>5</v>
      </c>
      <c r="N141">
        <f t="shared" si="36"/>
        <v>4.3387149113294004E-3</v>
      </c>
      <c r="O141" t="str">
        <f t="shared" si="29"/>
        <v>301.903998490236-17372.7617973059j</v>
      </c>
      <c r="P141">
        <f t="shared" si="37"/>
        <v>84.79868864963295</v>
      </c>
      <c r="Q141">
        <f t="shared" si="38"/>
        <v>-89.004413681467398</v>
      </c>
      <c r="R141">
        <f t="shared" si="30"/>
        <v>70.819285292772406</v>
      </c>
      <c r="S141">
        <f t="shared" si="39"/>
        <v>90.945868320425518</v>
      </c>
    </row>
    <row r="142" spans="7:19" x14ac:dyDescent="0.25">
      <c r="G142">
        <f t="shared" si="31"/>
        <v>1.7800000000000018</v>
      </c>
      <c r="H142">
        <f t="shared" si="27"/>
        <v>602.55958607436037</v>
      </c>
      <c r="I142" t="str">
        <f t="shared" si="32"/>
        <v>3785.99353792263j</v>
      </c>
      <c r="J142" t="str">
        <f t="shared" si="28"/>
        <v>5+0.00454319224550716j</v>
      </c>
      <c r="K142">
        <f t="shared" si="33"/>
        <v>13.979403672357636</v>
      </c>
      <c r="L142">
        <f t="shared" si="34"/>
        <v>5.2061133909190267E-2</v>
      </c>
      <c r="M142">
        <f t="shared" si="35"/>
        <v>5</v>
      </c>
      <c r="N142">
        <f t="shared" si="36"/>
        <v>4.5431922455071603E-3</v>
      </c>
      <c r="O142" t="str">
        <f t="shared" si="29"/>
        <v>275.34703346352-16591.2994510582j</v>
      </c>
      <c r="P142">
        <f t="shared" si="37"/>
        <v>84.398804018365013</v>
      </c>
      <c r="Q142">
        <f t="shared" si="38"/>
        <v>-89.049214027676982</v>
      </c>
      <c r="R142">
        <f t="shared" si="30"/>
        <v>70.419400346007379</v>
      </c>
      <c r="S142">
        <f t="shared" si="39"/>
        <v>90.898724838413827</v>
      </c>
    </row>
    <row r="143" spans="7:19" x14ac:dyDescent="0.25">
      <c r="G143">
        <f t="shared" si="31"/>
        <v>1.8000000000000018</v>
      </c>
      <c r="H143">
        <f t="shared" si="27"/>
        <v>630.95734448019641</v>
      </c>
      <c r="I143" t="str">
        <f t="shared" si="32"/>
        <v>3964.42191629502j</v>
      </c>
      <c r="J143" t="str">
        <f t="shared" si="28"/>
        <v>5+0.00475730629955404j</v>
      </c>
      <c r="K143">
        <f t="shared" si="33"/>
        <v>13.979404018293293</v>
      </c>
      <c r="L143">
        <f t="shared" si="34"/>
        <v>5.4514698112764569E-2</v>
      </c>
      <c r="M143">
        <f t="shared" si="35"/>
        <v>5</v>
      </c>
      <c r="N143">
        <f t="shared" si="36"/>
        <v>4.7573062995540398E-3</v>
      </c>
      <c r="O143" t="str">
        <f t="shared" si="29"/>
        <v>251.125563261459-15844.9518526544j</v>
      </c>
      <c r="P143">
        <f t="shared" si="37"/>
        <v>83.998909238571287</v>
      </c>
      <c r="Q143">
        <f t="shared" si="38"/>
        <v>-89.091999112341426</v>
      </c>
      <c r="R143">
        <f t="shared" si="30"/>
        <v>70.019505220277992</v>
      </c>
      <c r="S143">
        <f t="shared" si="39"/>
        <v>90.853486189545805</v>
      </c>
    </row>
    <row r="144" spans="7:19" x14ac:dyDescent="0.25">
      <c r="G144">
        <f t="shared" si="31"/>
        <v>1.8200000000000018</v>
      </c>
      <c r="H144">
        <f t="shared" si="27"/>
        <v>660.69344800759927</v>
      </c>
      <c r="I144" t="str">
        <f t="shared" si="32"/>
        <v>4151.25936507117j</v>
      </c>
      <c r="J144" t="str">
        <f t="shared" si="28"/>
        <v>5+0.0049815112380854j</v>
      </c>
      <c r="K144">
        <f t="shared" si="33"/>
        <v>13.979404397604169</v>
      </c>
      <c r="L144">
        <f t="shared" si="34"/>
        <v>5.7083895020357781E-2</v>
      </c>
      <c r="M144">
        <f t="shared" si="35"/>
        <v>5</v>
      </c>
      <c r="N144">
        <f t="shared" si="36"/>
        <v>4.9815112380853996E-3</v>
      </c>
      <c r="O144" t="str">
        <f t="shared" si="29"/>
        <v>229.03429655064-15132.1459100038j</v>
      </c>
      <c r="P144">
        <f t="shared" si="37"/>
        <v>83.599005202762683</v>
      </c>
      <c r="Q144">
        <f t="shared" si="38"/>
        <v>-89.132859497060153</v>
      </c>
      <c r="R144">
        <f t="shared" si="30"/>
        <v>69.619600805158512</v>
      </c>
      <c r="S144">
        <f t="shared" si="39"/>
        <v>90.810056607919492</v>
      </c>
    </row>
    <row r="145" spans="7:19" x14ac:dyDescent="0.25">
      <c r="G145">
        <f t="shared" si="31"/>
        <v>1.8400000000000019</v>
      </c>
      <c r="H145">
        <f t="shared" si="27"/>
        <v>691.83097091893967</v>
      </c>
      <c r="I145" t="str">
        <f t="shared" si="32"/>
        <v>4346.90219152967j</v>
      </c>
      <c r="J145" t="str">
        <f t="shared" si="28"/>
        <v>5+0.0052162826298356j</v>
      </c>
      <c r="K145">
        <f t="shared" si="33"/>
        <v>13.979404813510234</v>
      </c>
      <c r="L145">
        <f t="shared" si="34"/>
        <v>5.9774174201647483E-2</v>
      </c>
      <c r="M145">
        <f t="shared" si="35"/>
        <v>5</v>
      </c>
      <c r="N145">
        <f t="shared" si="36"/>
        <v>5.2162826298356004E-3</v>
      </c>
      <c r="O145" t="str">
        <f t="shared" si="29"/>
        <v>208.885970620381-14451.3783865643j</v>
      </c>
      <c r="P145">
        <f t="shared" si="37"/>
        <v>83.199092724994244</v>
      </c>
      <c r="Q145">
        <f t="shared" si="38"/>
        <v>-89.171881685559157</v>
      </c>
      <c r="R145">
        <f t="shared" si="30"/>
        <v>69.219687911484016</v>
      </c>
      <c r="S145">
        <f t="shared" si="39"/>
        <v>90.768344140239194</v>
      </c>
    </row>
    <row r="146" spans="7:19" x14ac:dyDescent="0.25">
      <c r="G146">
        <f t="shared" si="31"/>
        <v>1.8600000000000019</v>
      </c>
      <c r="H146">
        <f t="shared" si="27"/>
        <v>724.4359600749932</v>
      </c>
      <c r="I146" t="str">
        <f t="shared" si="32"/>
        <v>4551.76538033573j</v>
      </c>
      <c r="J146" t="str">
        <f t="shared" si="28"/>
        <v>5+0.00546211845640288j</v>
      </c>
      <c r="K146">
        <f t="shared" si="33"/>
        <v>13.979405269542122</v>
      </c>
      <c r="L146">
        <f t="shared" si="34"/>
        <v>6.2591242051909871E-2</v>
      </c>
      <c r="M146">
        <f t="shared" si="35"/>
        <v>5</v>
      </c>
      <c r="N146">
        <f t="shared" si="36"/>
        <v>5.4621184564028801E-3</v>
      </c>
      <c r="O146" t="str">
        <f t="shared" si="29"/>
        <v>190.509770907838-13801.2128791287j</v>
      </c>
      <c r="P146">
        <f t="shared" si="37"/>
        <v>82.799172547756086</v>
      </c>
      <c r="Q146">
        <f t="shared" si="38"/>
        <v>-89.209148303995761</v>
      </c>
      <c r="R146">
        <f t="shared" si="30"/>
        <v>68.819767278213959</v>
      </c>
      <c r="S146">
        <f t="shared" si="39"/>
        <v>90.728260453952331</v>
      </c>
    </row>
    <row r="147" spans="7:19" x14ac:dyDescent="0.25">
      <c r="G147">
        <f t="shared" si="31"/>
        <v>1.8800000000000019</v>
      </c>
      <c r="H147">
        <f t="shared" si="27"/>
        <v>758.57757502918776</v>
      </c>
      <c r="I147" t="str">
        <f t="shared" si="32"/>
        <v>4766.28347377931j</v>
      </c>
      <c r="J147" t="str">
        <f t="shared" si="28"/>
        <v>5+0.00571954016853516j</v>
      </c>
      <c r="K147">
        <f t="shared" si="33"/>
        <v>13.979405769571089</v>
      </c>
      <c r="L147">
        <f t="shared" si="34"/>
        <v>6.5541073895140842E-2</v>
      </c>
      <c r="M147">
        <f t="shared" si="35"/>
        <v>5</v>
      </c>
      <c r="N147">
        <f t="shared" si="36"/>
        <v>5.7195401685351602E-3</v>
      </c>
      <c r="O147" t="str">
        <f t="shared" si="29"/>
        <v>173.749888604895-13180.2769159492j</v>
      </c>
      <c r="P147">
        <f t="shared" si="37"/>
        <v>82.399245348259186</v>
      </c>
      <c r="Q147">
        <f t="shared" si="38"/>
        <v>-89.244738273448277</v>
      </c>
      <c r="R147">
        <f t="shared" si="30"/>
        <v>68.419839578688098</v>
      </c>
      <c r="S147">
        <f t="shared" si="39"/>
        <v>90.689720652656575</v>
      </c>
    </row>
    <row r="148" spans="7:19" x14ac:dyDescent="0.25">
      <c r="G148">
        <f t="shared" si="31"/>
        <v>1.9000000000000019</v>
      </c>
      <c r="H148">
        <f t="shared" si="27"/>
        <v>794.32823472428538</v>
      </c>
      <c r="I148" t="str">
        <f t="shared" si="32"/>
        <v>4990.91149349753j</v>
      </c>
      <c r="J148" t="str">
        <f t="shared" si="28"/>
        <v>5+0.00598909379219704j</v>
      </c>
      <c r="K148">
        <f t="shared" si="33"/>
        <v>13.97940631784188</v>
      </c>
      <c r="L148">
        <f t="shared" si="34"/>
        <v>6.8629926657476012E-2</v>
      </c>
      <c r="M148">
        <f t="shared" si="35"/>
        <v>5</v>
      </c>
      <c r="N148">
        <f t="shared" si="36"/>
        <v>5.9890937921970398E-3</v>
      </c>
      <c r="O148" t="str">
        <f t="shared" si="29"/>
        <v>158.464204362235-12587.2591718043j</v>
      </c>
      <c r="P148">
        <f t="shared" si="37"/>
        <v>81.999311744171223</v>
      </c>
      <c r="Q148">
        <f t="shared" si="38"/>
        <v>-89.278726974904188</v>
      </c>
      <c r="R148">
        <f t="shared" si="30"/>
        <v>68.019905426329345</v>
      </c>
      <c r="S148">
        <f t="shared" si="39"/>
        <v>90.652643098438332</v>
      </c>
    </row>
    <row r="149" spans="7:19" x14ac:dyDescent="0.25">
      <c r="G149">
        <f t="shared" si="31"/>
        <v>1.9200000000000019</v>
      </c>
      <c r="H149">
        <f t="shared" si="27"/>
        <v>831.76377110267492</v>
      </c>
      <c r="I149" t="str">
        <f t="shared" si="32"/>
        <v>5226.12590563661j</v>
      </c>
      <c r="J149" t="str">
        <f t="shared" si="28"/>
        <v>5+0.00627135108676392j</v>
      </c>
      <c r="K149">
        <f t="shared" si="33"/>
        <v>13.97940691900877</v>
      </c>
      <c r="L149">
        <f t="shared" si="34"/>
        <v>7.1864352137769552E-2</v>
      </c>
      <c r="M149">
        <f t="shared" si="35"/>
        <v>5</v>
      </c>
      <c r="N149">
        <f t="shared" si="36"/>
        <v>6.2713510867639204E-3</v>
      </c>
      <c r="O149" t="str">
        <f t="shared" si="29"/>
        <v>144.523087132798-12020.9067964977j</v>
      </c>
      <c r="P149">
        <f t="shared" si="37"/>
        <v>81.59937229884774</v>
      </c>
      <c r="Q149">
        <f t="shared" si="38"/>
        <v>-89.311186407050343</v>
      </c>
      <c r="R149">
        <f t="shared" si="30"/>
        <v>67.619965379838973</v>
      </c>
      <c r="S149">
        <f t="shared" si="39"/>
        <v>90.616949240811891</v>
      </c>
    </row>
    <row r="150" spans="7:19" x14ac:dyDescent="0.25">
      <c r="G150">
        <f t="shared" si="31"/>
        <v>1.9400000000000019</v>
      </c>
      <c r="H150">
        <f t="shared" si="27"/>
        <v>870.96358995608455</v>
      </c>
      <c r="I150" t="str">
        <f t="shared" si="32"/>
        <v>5472.42563150046j</v>
      </c>
      <c r="J150" t="str">
        <f t="shared" si="28"/>
        <v>5+0.00656691075780056j</v>
      </c>
      <c r="K150">
        <f t="shared" si="33"/>
        <v>13.97940757817506</v>
      </c>
      <c r="L150">
        <f t="shared" si="34"/>
        <v>7.5251210903464871E-2</v>
      </c>
      <c r="M150">
        <f t="shared" si="35"/>
        <v>5</v>
      </c>
      <c r="N150">
        <f t="shared" si="36"/>
        <v>6.5669107578005597E-3</v>
      </c>
      <c r="O150" t="str">
        <f t="shared" si="29"/>
        <v>131.808298137918-11480.0228532203j</v>
      </c>
      <c r="P150">
        <f t="shared" si="37"/>
        <v>81.199427526105254</v>
      </c>
      <c r="Q150">
        <f t="shared" si="38"/>
        <v>-89.342185337160018</v>
      </c>
      <c r="R150">
        <f t="shared" si="30"/>
        <v>67.220019947930197</v>
      </c>
      <c r="S150">
        <f t="shared" si="39"/>
        <v>90.582563451936522</v>
      </c>
    </row>
    <row r="151" spans="7:19" x14ac:dyDescent="0.25">
      <c r="G151">
        <f t="shared" si="31"/>
        <v>1.960000000000002</v>
      </c>
      <c r="H151">
        <f t="shared" si="27"/>
        <v>912.01083935591453</v>
      </c>
      <c r="I151" t="str">
        <f t="shared" si="32"/>
        <v>5730.3331058296j</v>
      </c>
      <c r="J151" t="str">
        <f t="shared" si="28"/>
        <v>5+0.00687639972699552j</v>
      </c>
      <c r="K151">
        <f t="shared" si="33"/>
        <v>13.979408300936411</v>
      </c>
      <c r="L151">
        <f t="shared" si="34"/>
        <v>7.8797686841194273E-2</v>
      </c>
      <c r="M151">
        <f t="shared" si="35"/>
        <v>5</v>
      </c>
      <c r="N151">
        <f t="shared" si="36"/>
        <v>6.8763997269955203E-3</v>
      </c>
      <c r="O151" t="str">
        <f t="shared" si="29"/>
        <v>120.211990801625-10963.4638631635j</v>
      </c>
      <c r="P151">
        <f t="shared" si="37"/>
        <v>80.799477894575034</v>
      </c>
      <c r="Q151">
        <f t="shared" si="38"/>
        <v>-89.371789445361927</v>
      </c>
      <c r="R151">
        <f t="shared" si="30"/>
        <v>66.820069593638621</v>
      </c>
      <c r="S151">
        <f t="shared" si="39"/>
        <v>90.549412867796875</v>
      </c>
    </row>
    <row r="152" spans="7:19" x14ac:dyDescent="0.25">
      <c r="G152">
        <f t="shared" si="31"/>
        <v>1.980000000000002</v>
      </c>
      <c r="H152">
        <f t="shared" si="27"/>
        <v>954.99258602144084</v>
      </c>
      <c r="I152" t="str">
        <f t="shared" si="32"/>
        <v>6000.39538495535j</v>
      </c>
      <c r="J152" t="str">
        <f t="shared" si="28"/>
        <v>5+0.0072004744619464j</v>
      </c>
      <c r="K152">
        <f t="shared" si="33"/>
        <v>13.979409093428337</v>
      </c>
      <c r="L152">
        <f t="shared" si="34"/>
        <v>8.2511302392954775E-2</v>
      </c>
      <c r="M152">
        <f t="shared" si="35"/>
        <v>5</v>
      </c>
      <c r="N152">
        <f t="shared" si="36"/>
        <v>7.2004744619463996E-3</v>
      </c>
      <c r="O152" t="str">
        <f t="shared" si="29"/>
        <v>109.635798288084-10470.1374527662j</v>
      </c>
      <c r="P152">
        <f t="shared" si="37"/>
        <v>80.399523831674799</v>
      </c>
      <c r="Q152">
        <f t="shared" si="38"/>
        <v>-89.400061462566626</v>
      </c>
      <c r="R152">
        <f t="shared" si="30"/>
        <v>66.420114738246468</v>
      </c>
      <c r="S152">
        <f t="shared" si="39"/>
        <v>90.517427235040415</v>
      </c>
    </row>
    <row r="153" spans="7:19" x14ac:dyDescent="0.25">
      <c r="G153">
        <f t="shared" si="31"/>
        <v>2.0000000000000018</v>
      </c>
      <c r="H153">
        <f t="shared" si="27"/>
        <v>1000.0000000000048</v>
      </c>
      <c r="I153" t="str">
        <f t="shared" si="32"/>
        <v>6283.18530717962j</v>
      </c>
      <c r="J153" t="str">
        <f t="shared" si="28"/>
        <v>5+0.00753982236861556j</v>
      </c>
      <c r="K153">
        <f t="shared" si="33"/>
        <v>13.979409962378284</v>
      </c>
      <c r="L153">
        <f t="shared" si="34"/>
        <v>8.6399934510132614E-2</v>
      </c>
      <c r="M153">
        <f t="shared" si="35"/>
        <v>5</v>
      </c>
      <c r="N153">
        <f t="shared" si="36"/>
        <v>7.5398223686155598E-3</v>
      </c>
      <c r="O153" t="str">
        <f t="shared" si="29"/>
        <v>99.990000999898-9999.0000999899j</v>
      </c>
      <c r="P153">
        <f t="shared" si="37"/>
        <v>79.999565727231285</v>
      </c>
      <c r="Q153">
        <f t="shared" si="38"/>
        <v>-89.427061302316517</v>
      </c>
      <c r="R153">
        <f t="shared" si="30"/>
        <v>66.020155764853001</v>
      </c>
      <c r="S153">
        <f t="shared" si="39"/>
        <v>90.486538763173357</v>
      </c>
    </row>
    <row r="154" spans="7:19" x14ac:dyDescent="0.25">
      <c r="G154">
        <f t="shared" si="31"/>
        <v>2.0200000000000018</v>
      </c>
      <c r="H154">
        <f t="shared" si="27"/>
        <v>1047.1285480509046</v>
      </c>
      <c r="I154" t="str">
        <f t="shared" si="32"/>
        <v>6579.30270784174j</v>
      </c>
      <c r="J154" t="str">
        <f t="shared" si="28"/>
        <v>5+0.00789516324941008j</v>
      </c>
      <c r="K154">
        <f t="shared" si="33"/>
        <v>13.979410915162758</v>
      </c>
      <c r="L154">
        <f t="shared" si="34"/>
        <v>9.0471831359178842E-2</v>
      </c>
      <c r="M154">
        <f t="shared" si="35"/>
        <v>5</v>
      </c>
      <c r="N154">
        <f t="shared" si="36"/>
        <v>7.8951632494100796E-3</v>
      </c>
      <c r="O154" t="str">
        <f t="shared" si="29"/>
        <v>91.1927670563865-9549.05497604989j</v>
      </c>
      <c r="P154">
        <f t="shared" si="37"/>
        <v>79.599603936785371</v>
      </c>
      <c r="Q154">
        <f t="shared" si="38"/>
        <v>-89.452846186815975</v>
      </c>
      <c r="R154">
        <f t="shared" si="30"/>
        <v>65.620193021622612</v>
      </c>
      <c r="S154">
        <f t="shared" si="39"/>
        <v>90.456681981824843</v>
      </c>
    </row>
    <row r="155" spans="7:19" x14ac:dyDescent="0.25">
      <c r="G155">
        <f t="shared" si="31"/>
        <v>2.0400000000000018</v>
      </c>
      <c r="H155">
        <f t="shared" si="27"/>
        <v>1096.47819614319</v>
      </c>
      <c r="I155" t="str">
        <f t="shared" si="32"/>
        <v>6889.37569164967j</v>
      </c>
      <c r="J155" t="str">
        <f t="shared" si="28"/>
        <v>5+0.0082672508299796j</v>
      </c>
      <c r="K155">
        <f t="shared" si="33"/>
        <v>13.979411959869918</v>
      </c>
      <c r="L155">
        <f t="shared" si="34"/>
        <v>9.4735629814335559E-2</v>
      </c>
      <c r="M155">
        <f t="shared" si="35"/>
        <v>5</v>
      </c>
      <c r="N155">
        <f t="shared" si="36"/>
        <v>8.2672508299795992E-3</v>
      </c>
      <c r="O155" t="str">
        <f t="shared" si="29"/>
        <v>83.1694593759492-9119.34987907451j</v>
      </c>
      <c r="P155">
        <f t="shared" si="37"/>
        <v>79.199638784606009</v>
      </c>
      <c r="Q155">
        <f t="shared" si="38"/>
        <v>-89.477470767388738</v>
      </c>
      <c r="R155">
        <f t="shared" si="30"/>
        <v>65.220226824736088</v>
      </c>
      <c r="S155">
        <f t="shared" si="39"/>
        <v>90.427793602796925</v>
      </c>
    </row>
    <row r="156" spans="7:19" x14ac:dyDescent="0.25">
      <c r="G156">
        <f t="shared" si="31"/>
        <v>2.0600000000000018</v>
      </c>
      <c r="H156">
        <f t="shared" si="27"/>
        <v>1148.1536214968876</v>
      </c>
      <c r="I156" t="str">
        <f t="shared" si="32"/>
        <v>7214.06196497428j</v>
      </c>
      <c r="J156" t="str">
        <f t="shared" si="28"/>
        <v>5+0.00865687435796912j</v>
      </c>
      <c r="K156">
        <f t="shared" si="33"/>
        <v>13.97941310536825</v>
      </c>
      <c r="L156">
        <f t="shared" si="34"/>
        <v>9.920037377444757E-2</v>
      </c>
      <c r="M156">
        <f t="shared" si="35"/>
        <v>5</v>
      </c>
      <c r="N156">
        <f t="shared" si="36"/>
        <v>8.6568743579691198E-3</v>
      </c>
      <c r="O156" t="str">
        <f t="shared" si="29"/>
        <v>75.8520035400268-8708.97525622767j</v>
      </c>
      <c r="P156">
        <f t="shared" si="37"/>
        <v>78.7996705664399</v>
      </c>
      <c r="Q156">
        <f t="shared" si="38"/>
        <v>-89.500987239600633</v>
      </c>
      <c r="R156">
        <f t="shared" si="30"/>
        <v>64.820257461071648</v>
      </c>
      <c r="S156">
        <f t="shared" si="39"/>
        <v>90.399812386624916</v>
      </c>
    </row>
    <row r="157" spans="7:19" x14ac:dyDescent="0.25">
      <c r="G157">
        <f t="shared" si="31"/>
        <v>2.0800000000000018</v>
      </c>
      <c r="H157">
        <f t="shared" si="27"/>
        <v>1202.2644346174188</v>
      </c>
      <c r="I157" t="str">
        <f t="shared" si="32"/>
        <v>7554.05023093274j</v>
      </c>
      <c r="J157" t="str">
        <f t="shared" si="28"/>
        <v>5+0.00906486027711928j</v>
      </c>
      <c r="K157">
        <f t="shared" si="33"/>
        <v>13.979414361381853</v>
      </c>
      <c r="L157">
        <f t="shared" si="34"/>
        <v>0.10387553334266712</v>
      </c>
      <c r="M157">
        <f t="shared" si="35"/>
        <v>5</v>
      </c>
      <c r="N157">
        <f t="shared" si="36"/>
        <v>9.0648602771192799E-3</v>
      </c>
      <c r="O157" t="str">
        <f t="shared" si="29"/>
        <v>69.1783111220778-8317.06231089729j</v>
      </c>
      <c r="P157">
        <f t="shared" si="37"/>
        <v>78.399699552019712</v>
      </c>
      <c r="Q157">
        <f t="shared" si="38"/>
        <v>-89.523445453276409</v>
      </c>
      <c r="R157">
        <f t="shared" si="30"/>
        <v>64.420285190637856</v>
      </c>
      <c r="S157">
        <f t="shared" si="39"/>
        <v>90.372679013380917</v>
      </c>
    </row>
    <row r="158" spans="7:19" x14ac:dyDescent="0.25">
      <c r="G158">
        <f t="shared" si="31"/>
        <v>2.1000000000000019</v>
      </c>
      <c r="H158">
        <f t="shared" si="27"/>
        <v>1258.9254117941732</v>
      </c>
      <c r="I158" t="str">
        <f t="shared" si="32"/>
        <v>7910.06165022016j</v>
      </c>
      <c r="J158" t="str">
        <f t="shared" si="28"/>
        <v>5+0.0094920739802642j</v>
      </c>
      <c r="K158">
        <f t="shared" si="33"/>
        <v>13.97941573857296</v>
      </c>
      <c r="L158">
        <f t="shared" si="34"/>
        <v>0.10877102490965522</v>
      </c>
      <c r="M158">
        <f t="shared" si="35"/>
        <v>5</v>
      </c>
      <c r="N158">
        <f t="shared" si="36"/>
        <v>9.4920739802641999E-3</v>
      </c>
      <c r="O158" t="str">
        <f t="shared" si="29"/>
        <v>63.0917536274863-7942.78119162995j</v>
      </c>
      <c r="P158">
        <f t="shared" si="37"/>
        <v>77.999725987351383</v>
      </c>
      <c r="Q158">
        <f t="shared" si="38"/>
        <v>-89.54489301763094</v>
      </c>
      <c r="R158">
        <f t="shared" si="30"/>
        <v>64.020310248778429</v>
      </c>
      <c r="S158">
        <f t="shared" si="39"/>
        <v>90.346335957459402</v>
      </c>
    </row>
    <row r="159" spans="7:19" x14ac:dyDescent="0.25">
      <c r="G159">
        <f t="shared" si="31"/>
        <v>2.1200000000000019</v>
      </c>
      <c r="H159">
        <f t="shared" si="27"/>
        <v>1318.2567385564132</v>
      </c>
      <c r="I159" t="str">
        <f t="shared" si="32"/>
        <v>8282.85137078814j</v>
      </c>
      <c r="J159" t="str">
        <f t="shared" si="28"/>
        <v>5+0.00993942164494576j</v>
      </c>
      <c r="K159">
        <f t="shared" si="33"/>
        <v>13.979417248632481</v>
      </c>
      <c r="L159">
        <f t="shared" si="34"/>
        <v>0.1138972321828048</v>
      </c>
      <c r="M159">
        <f t="shared" si="35"/>
        <v>5</v>
      </c>
      <c r="N159">
        <f t="shared" si="36"/>
        <v>9.9394216449457604E-3</v>
      </c>
      <c r="O159" t="str">
        <f t="shared" si="29"/>
        <v>57.5406826130357-7585.339259577j</v>
      </c>
      <c r="P159">
        <f t="shared" si="37"/>
        <v>77.599750096800676</v>
      </c>
      <c r="Q159">
        <f t="shared" si="38"/>
        <v>-89.565375401726058</v>
      </c>
      <c r="R159">
        <f t="shared" si="30"/>
        <v>63.620332848168196</v>
      </c>
      <c r="S159">
        <f t="shared" si="39"/>
        <v>90.320727366091134</v>
      </c>
    </row>
    <row r="160" spans="7:19" x14ac:dyDescent="0.25">
      <c r="G160">
        <f t="shared" si="31"/>
        <v>2.1400000000000019</v>
      </c>
      <c r="H160">
        <f t="shared" si="27"/>
        <v>1380.3842646028909</v>
      </c>
      <c r="I160" t="str">
        <f t="shared" si="32"/>
        <v>8673.21012961478j</v>
      </c>
      <c r="J160" t="str">
        <f t="shared" si="28"/>
        <v>5+0.0104078521555377j</v>
      </c>
      <c r="K160">
        <f t="shared" si="33"/>
        <v>13.979418904379216</v>
      </c>
      <c r="L160">
        <f t="shared" si="34"/>
        <v>0.11926502820599841</v>
      </c>
      <c r="M160">
        <f t="shared" si="35"/>
        <v>5</v>
      </c>
      <c r="N160">
        <f t="shared" si="36"/>
        <v>1.0407852155537699E-2</v>
      </c>
      <c r="O160" t="str">
        <f t="shared" si="29"/>
        <v>52.4779919408099-7243.97943130513j</v>
      </c>
      <c r="P160">
        <f t="shared" si="37"/>
        <v>77.19977208499644</v>
      </c>
      <c r="Q160">
        <f t="shared" si="38"/>
        <v>-89.584936030455935</v>
      </c>
      <c r="R160">
        <f t="shared" si="30"/>
        <v>63.220353180617224</v>
      </c>
      <c r="S160">
        <f t="shared" si="39"/>
        <v>90.295798941338063</v>
      </c>
    </row>
    <row r="161" spans="7:19" x14ac:dyDescent="0.25">
      <c r="G161">
        <f t="shared" si="31"/>
        <v>2.1600000000000019</v>
      </c>
      <c r="H161">
        <f t="shared" si="27"/>
        <v>1445.439770745935</v>
      </c>
      <c r="I161" t="str">
        <f t="shared" si="32"/>
        <v>9081.96592996389j</v>
      </c>
      <c r="J161" t="str">
        <f t="shared" si="28"/>
        <v>5+0.0108983591159567j</v>
      </c>
      <c r="K161">
        <f t="shared" si="33"/>
        <v>13.979420719868683</v>
      </c>
      <c r="L161">
        <f t="shared" si="34"/>
        <v>0.12488579841650345</v>
      </c>
      <c r="M161">
        <f t="shared" si="35"/>
        <v>5</v>
      </c>
      <c r="N161">
        <f t="shared" si="36"/>
        <v>1.0898359115956701E-2</v>
      </c>
      <c r="O161" t="str">
        <f t="shared" si="29"/>
        <v>47.8607184742528-6917.978593916j</v>
      </c>
      <c r="P161">
        <f t="shared" si="37"/>
        <v>76.79979213856636</v>
      </c>
      <c r="Q161">
        <f t="shared" si="38"/>
        <v>-89.603616376256042</v>
      </c>
      <c r="R161">
        <f t="shared" si="30"/>
        <v>62.820371418697675</v>
      </c>
      <c r="S161">
        <f t="shared" si="39"/>
        <v>90.271497825327458</v>
      </c>
    </row>
    <row r="162" spans="7:19" x14ac:dyDescent="0.25">
      <c r="G162">
        <f t="shared" si="31"/>
        <v>2.1800000000000019</v>
      </c>
      <c r="H162">
        <f t="shared" si="27"/>
        <v>1513.5612484362155</v>
      </c>
      <c r="I162" t="str">
        <f t="shared" si="32"/>
        <v>9509.98579769082j</v>
      </c>
      <c r="J162" t="str">
        <f t="shared" si="28"/>
        <v>5+0.011411982957229j</v>
      </c>
      <c r="K162">
        <f t="shared" si="33"/>
        <v>13.979422710512425</v>
      </c>
      <c r="L162">
        <f t="shared" si="34"/>
        <v>0.13077146478778334</v>
      </c>
      <c r="M162">
        <f t="shared" si="35"/>
        <v>5</v>
      </c>
      <c r="N162">
        <f t="shared" si="36"/>
        <v>1.1411982957229E-2</v>
      </c>
      <c r="O162" t="str">
        <f t="shared" si="29"/>
        <v>43.6496778464707-6606.6460895143j</v>
      </c>
      <c r="P162">
        <f t="shared" si="37"/>
        <v>76.399810427720254</v>
      </c>
      <c r="Q162">
        <f t="shared" si="38"/>
        <v>-89.621456046722372</v>
      </c>
      <c r="R162">
        <f t="shared" si="30"/>
        <v>62.420387717207831</v>
      </c>
      <c r="S162">
        <f t="shared" si="39"/>
        <v>90.247772488489844</v>
      </c>
    </row>
    <row r="163" spans="7:19" x14ac:dyDescent="0.25">
      <c r="G163">
        <f t="shared" si="31"/>
        <v>2.200000000000002</v>
      </c>
      <c r="H163">
        <f t="shared" si="27"/>
        <v>1584.8931924611211</v>
      </c>
      <c r="I163" t="str">
        <f t="shared" si="32"/>
        <v>9958.17762032066j</v>
      </c>
      <c r="J163" t="str">
        <f t="shared" si="28"/>
        <v>5+0.0119498131443848j</v>
      </c>
      <c r="K163">
        <f t="shared" si="33"/>
        <v>13.979424893208838</v>
      </c>
      <c r="L163">
        <f t="shared" si="34"/>
        <v>0.13693451110931804</v>
      </c>
      <c r="M163">
        <f t="shared" si="35"/>
        <v>5</v>
      </c>
      <c r="N163">
        <f t="shared" si="36"/>
        <v>1.1949813144384799E-2</v>
      </c>
      <c r="O163" t="str">
        <f t="shared" si="29"/>
        <v>39.8091322252502-6309.32226615836j</v>
      </c>
      <c r="P163">
        <f t="shared" si="37"/>
        <v>75.999827107694045</v>
      </c>
      <c r="Q163">
        <f t="shared" si="38"/>
        <v>-89.638492868320157</v>
      </c>
      <c r="R163">
        <f t="shared" si="30"/>
        <v>62.020402214485209</v>
      </c>
      <c r="S163">
        <f t="shared" si="39"/>
        <v>90.224572620570527</v>
      </c>
    </row>
    <row r="164" spans="7:19" x14ac:dyDescent="0.25">
      <c r="G164">
        <f t="shared" si="31"/>
        <v>2.220000000000002</v>
      </c>
      <c r="H164">
        <f t="shared" si="27"/>
        <v>1659.5869074375696</v>
      </c>
      <c r="I164" t="str">
        <f t="shared" si="32"/>
        <v>10427.4920727993j</v>
      </c>
      <c r="J164" t="str">
        <f t="shared" si="28"/>
        <v>5+0.0125129904873592j</v>
      </c>
      <c r="K164">
        <f t="shared" si="33"/>
        <v>13.979427286486604</v>
      </c>
      <c r="L164">
        <f t="shared" si="34"/>
        <v>0.14338800945687008</v>
      </c>
      <c r="M164">
        <f t="shared" si="35"/>
        <v>5</v>
      </c>
      <c r="N164">
        <f t="shared" si="36"/>
        <v>1.25129904873592E-2</v>
      </c>
      <c r="O164" t="str">
        <f t="shared" si="29"/>
        <v>36.3064872681329-6025.37709252418j</v>
      </c>
      <c r="P164">
        <f t="shared" si="37"/>
        <v>75.599842320066813</v>
      </c>
      <c r="Q164">
        <f t="shared" si="38"/>
        <v>-89.6547629663538</v>
      </c>
      <c r="R164">
        <f t="shared" si="30"/>
        <v>61.620415033580208</v>
      </c>
      <c r="S164">
        <f t="shared" si="39"/>
        <v>90.201849024189329</v>
      </c>
    </row>
    <row r="165" spans="7:19" x14ac:dyDescent="0.25">
      <c r="G165">
        <f t="shared" si="31"/>
        <v>2.240000000000002</v>
      </c>
      <c r="H165">
        <f t="shared" si="27"/>
        <v>1737.8008287493847</v>
      </c>
      <c r="I165" t="str">
        <f t="shared" si="32"/>
        <v>10918.9246340026j</v>
      </c>
      <c r="J165" t="str">
        <f t="shared" si="28"/>
        <v>5+0.0131027095608031j</v>
      </c>
      <c r="K165">
        <f t="shared" si="33"/>
        <v>13.979429910661974</v>
      </c>
      <c r="L165">
        <f t="shared" si="34"/>
        <v>0.15014564790918006</v>
      </c>
      <c r="M165">
        <f t="shared" si="35"/>
        <v>5</v>
      </c>
      <c r="N165">
        <f t="shared" si="36"/>
        <v>1.3102709560803101E-2</v>
      </c>
      <c r="O165" t="str">
        <f t="shared" si="29"/>
        <v>33.1120157063694-5754.20883360912j</v>
      </c>
      <c r="P165">
        <f t="shared" si="37"/>
        <v>75.199856193962049</v>
      </c>
      <c r="Q165">
        <f t="shared" si="38"/>
        <v>-89.670300841362689</v>
      </c>
      <c r="R165">
        <f t="shared" si="30"/>
        <v>61.220426283300071</v>
      </c>
      <c r="S165">
        <f t="shared" si="39"/>
        <v>90.179553510728127</v>
      </c>
    </row>
    <row r="166" spans="7:19" x14ac:dyDescent="0.25">
      <c r="G166">
        <f t="shared" si="31"/>
        <v>2.260000000000002</v>
      </c>
      <c r="H166">
        <f t="shared" si="27"/>
        <v>1819.7008586099926</v>
      </c>
      <c r="I166" t="str">
        <f t="shared" si="32"/>
        <v>11433.5176982804j</v>
      </c>
      <c r="J166" t="str">
        <f t="shared" si="28"/>
        <v>5+0.0137202212379365j</v>
      </c>
      <c r="K166">
        <f t="shared" si="33"/>
        <v>13.979432788011231</v>
      </c>
      <c r="L166">
        <f t="shared" si="34"/>
        <v>0.15722175956967041</v>
      </c>
      <c r="M166">
        <f t="shared" si="35"/>
        <v>5</v>
      </c>
      <c r="N166">
        <f t="shared" si="36"/>
        <v>1.37202212379365E-2</v>
      </c>
      <c r="O166" t="str">
        <f t="shared" si="29"/>
        <v>30.1986052207217-5495.24278489717j</v>
      </c>
      <c r="P166">
        <f t="shared" si="37"/>
        <v>74.799868847143514</v>
      </c>
      <c r="Q166">
        <f t="shared" si="38"/>
        <v>-89.685139442100365</v>
      </c>
      <c r="R166">
        <f t="shared" si="30"/>
        <v>60.820436059132284</v>
      </c>
      <c r="S166">
        <f t="shared" si="39"/>
        <v>90.15763879832997</v>
      </c>
    </row>
    <row r="167" spans="7:19" x14ac:dyDescent="0.25">
      <c r="G167">
        <f t="shared" si="31"/>
        <v>2.280000000000002</v>
      </c>
      <c r="H167">
        <f t="shared" si="27"/>
        <v>1905.4607179632562</v>
      </c>
      <c r="I167" t="str">
        <f t="shared" si="32"/>
        <v>11972.3627865146j</v>
      </c>
      <c r="J167" t="str">
        <f t="shared" si="28"/>
        <v>5+0.0143668353438175j</v>
      </c>
      <c r="K167">
        <f t="shared" si="33"/>
        <v>13.979435942959759</v>
      </c>
      <c r="L167">
        <f t="shared" si="34"/>
        <v>0.16463135295446149</v>
      </c>
      <c r="M167">
        <f t="shared" si="35"/>
        <v>5</v>
      </c>
      <c r="N167">
        <f t="shared" si="36"/>
        <v>1.43668353438175E-2</v>
      </c>
      <c r="O167" t="str">
        <f t="shared" si="29"/>
        <v>27.5415284766987-5247.93006250158j</v>
      </c>
      <c r="P167">
        <f t="shared" si="37"/>
        <v>74.399880387014377</v>
      </c>
      <c r="Q167">
        <f t="shared" si="38"/>
        <v>-89.699310235248092</v>
      </c>
      <c r="R167">
        <f t="shared" si="30"/>
        <v>60.420444444054617</v>
      </c>
      <c r="S167">
        <f t="shared" si="39"/>
        <v>90.13605841179745</v>
      </c>
    </row>
    <row r="168" spans="7:19" x14ac:dyDescent="0.25">
      <c r="G168">
        <f t="shared" si="31"/>
        <v>2.300000000000002</v>
      </c>
      <c r="H168">
        <f t="shared" si="27"/>
        <v>1995.2623149688907</v>
      </c>
      <c r="I168" t="str">
        <f t="shared" si="32"/>
        <v>12536.6028613817j</v>
      </c>
      <c r="J168" t="str">
        <f t="shared" si="28"/>
        <v>5+0.015043923433658j</v>
      </c>
      <c r="K168">
        <f t="shared" si="33"/>
        <v>13.979439402289398</v>
      </c>
      <c r="L168">
        <f t="shared" si="34"/>
        <v>0.1723901438109153</v>
      </c>
      <c r="M168">
        <f t="shared" si="35"/>
        <v>5</v>
      </c>
      <c r="N168">
        <f t="shared" si="36"/>
        <v>1.5043923433658001E-2</v>
      </c>
      <c r="O168" t="str">
        <f t="shared" si="29"/>
        <v>25.1182333735993-5011.74644689369j</v>
      </c>
      <c r="P168">
        <f t="shared" si="37"/>
        <v>73.999890911528354</v>
      </c>
      <c r="Q168">
        <f t="shared" si="38"/>
        <v>-89.71284327200739</v>
      </c>
      <c r="R168">
        <f t="shared" si="30"/>
        <v>60.020451509238953</v>
      </c>
      <c r="S168">
        <f t="shared" si="39"/>
        <v>90.114766584181694</v>
      </c>
    </row>
    <row r="169" spans="7:19" x14ac:dyDescent="0.25">
      <c r="G169">
        <f t="shared" si="31"/>
        <v>2.3200000000000021</v>
      </c>
      <c r="H169">
        <f t="shared" si="27"/>
        <v>2089.2961308540507</v>
      </c>
      <c r="I169" t="str">
        <f t="shared" si="32"/>
        <v>13127.4347517293j</v>
      </c>
      <c r="J169" t="str">
        <f t="shared" si="28"/>
        <v>5+0.0157529217020752j</v>
      </c>
      <c r="K169">
        <f t="shared" si="33"/>
        <v>13.97944319536575</v>
      </c>
      <c r="L169">
        <f t="shared" si="34"/>
        <v>0.18051458843383705</v>
      </c>
      <c r="M169">
        <f t="shared" si="35"/>
        <v>5</v>
      </c>
      <c r="N169">
        <f t="shared" si="36"/>
        <v>1.57529217020752E-2</v>
      </c>
      <c r="O169" t="str">
        <f t="shared" si="29"/>
        <v>22.9081517322396-4786.19127791857j</v>
      </c>
      <c r="P169">
        <f t="shared" si="37"/>
        <v>73.599900510021499</v>
      </c>
      <c r="Q169">
        <f t="shared" si="38"/>
        <v>-89.725767251709883</v>
      </c>
      <c r="R169">
        <f t="shared" si="30"/>
        <v>59.620457314655752</v>
      </c>
      <c r="S169">
        <f t="shared" si="39"/>
        <v>90.09371815985628</v>
      </c>
    </row>
    <row r="170" spans="7:19" x14ac:dyDescent="0.25">
      <c r="G170">
        <f t="shared" si="31"/>
        <v>2.3400000000000021</v>
      </c>
      <c r="H170">
        <f t="shared" si="27"/>
        <v>2187.7616239495642</v>
      </c>
      <c r="I170" t="str">
        <f t="shared" si="32"/>
        <v>13746.1116912113j</v>
      </c>
      <c r="J170" t="str">
        <f t="shared" si="28"/>
        <v>5+0.0164953340294536j</v>
      </c>
      <c r="K170">
        <f t="shared" si="33"/>
        <v>13.979447354387462</v>
      </c>
      <c r="L170">
        <f t="shared" si="34"/>
        <v>0.18902191854968167</v>
      </c>
      <c r="M170">
        <f t="shared" si="35"/>
        <v>5</v>
      </c>
      <c r="N170">
        <f t="shared" si="36"/>
        <v>1.64953340294536E-2</v>
      </c>
      <c r="O170" t="str">
        <f t="shared" si="29"/>
        <v>20.8925248018277-4570.78639888533j</v>
      </c>
      <c r="P170">
        <f t="shared" si="37"/>
        <v>73.199909263969715</v>
      </c>
      <c r="Q170">
        <f t="shared" si="38"/>
        <v>-89.738109582576541</v>
      </c>
      <c r="R170">
        <f t="shared" si="30"/>
        <v>59.220461909582255</v>
      </c>
      <c r="S170">
        <f t="shared" si="39"/>
        <v>90.072868498873774</v>
      </c>
    </row>
    <row r="171" spans="7:19" x14ac:dyDescent="0.25">
      <c r="G171">
        <f t="shared" si="31"/>
        <v>2.3600000000000021</v>
      </c>
      <c r="H171">
        <f t="shared" si="27"/>
        <v>2290.8676527677844</v>
      </c>
      <c r="I171" t="str">
        <f t="shared" si="32"/>
        <v>14393.9459765635j</v>
      </c>
      <c r="J171" t="str">
        <f t="shared" si="28"/>
        <v>5+0.0172727351718762j</v>
      </c>
      <c r="K171">
        <f t="shared" si="33"/>
        <v>13.979451914659508</v>
      </c>
      <c r="L171">
        <f t="shared" si="34"/>
        <v>0.1979301778423079</v>
      </c>
      <c r="M171">
        <f t="shared" si="35"/>
        <v>5</v>
      </c>
      <c r="N171">
        <f t="shared" si="36"/>
        <v>1.7272735171876202E-2</v>
      </c>
      <c r="O171" t="str">
        <f t="shared" si="29"/>
        <v>19.0542441084958-4365.0751476094j</v>
      </c>
      <c r="P171">
        <f t="shared" si="37"/>
        <v>72.799917247680852</v>
      </c>
      <c r="Q171">
        <f t="shared" si="38"/>
        <v>-89.749896439753599</v>
      </c>
      <c r="R171">
        <f t="shared" si="30"/>
        <v>58.820465333021346</v>
      </c>
      <c r="S171">
        <f t="shared" si="39"/>
        <v>90.052173382404092</v>
      </c>
    </row>
    <row r="172" spans="7:19" x14ac:dyDescent="0.25">
      <c r="G172">
        <f t="shared" si="31"/>
        <v>2.3800000000000021</v>
      </c>
      <c r="H172">
        <f t="shared" si="27"/>
        <v>2398.8329190195041</v>
      </c>
      <c r="I172" t="str">
        <f t="shared" si="32"/>
        <v>15072.3117511621j</v>
      </c>
      <c r="J172" t="str">
        <f t="shared" si="28"/>
        <v>5+0.0180867741013945j</v>
      </c>
      <c r="K172">
        <f t="shared" si="33"/>
        <v>13.97945691489287</v>
      </c>
      <c r="L172">
        <f t="shared" si="34"/>
        <v>0.20725826019731608</v>
      </c>
      <c r="M172">
        <f t="shared" si="35"/>
        <v>5</v>
      </c>
      <c r="N172">
        <f t="shared" si="36"/>
        <v>1.80867741013945E-2</v>
      </c>
      <c r="O172" t="str">
        <f t="shared" si="29"/>
        <v>17.3777062975694-4168.62139236622j</v>
      </c>
      <c r="P172">
        <f t="shared" si="37"/>
        <v>72.399924528924643</v>
      </c>
      <c r="Q172">
        <f t="shared" si="38"/>
        <v>-89.761152820745636</v>
      </c>
      <c r="R172">
        <f t="shared" si="30"/>
        <v>58.420467614031772</v>
      </c>
      <c r="S172">
        <f t="shared" si="39"/>
        <v>90.031588919057043</v>
      </c>
    </row>
    <row r="173" spans="7:19" x14ac:dyDescent="0.25">
      <c r="G173">
        <f t="shared" si="31"/>
        <v>2.4000000000000021</v>
      </c>
      <c r="H173">
        <f t="shared" si="27"/>
        <v>2511.8864315095939</v>
      </c>
      <c r="I173" t="str">
        <f t="shared" si="32"/>
        <v>15782.6479197648j</v>
      </c>
      <c r="J173" t="str">
        <f t="shared" si="28"/>
        <v>5+0.0189391775037178j</v>
      </c>
      <c r="K173">
        <f t="shared" si="33"/>
        <v>13.979462397533112</v>
      </c>
      <c r="L173">
        <f t="shared" si="34"/>
        <v>0.21702594974548747</v>
      </c>
      <c r="M173">
        <f t="shared" si="35"/>
        <v>5</v>
      </c>
      <c r="N173">
        <f t="shared" si="36"/>
        <v>1.8939177503717802E-2</v>
      </c>
      <c r="O173" t="str">
        <f t="shared" si="29"/>
        <v>15.8486807399489-3981.00861080049j</v>
      </c>
      <c r="P173">
        <f t="shared" si="37"/>
        <v>71.999931169508613</v>
      </c>
      <c r="Q173">
        <f t="shared" si="38"/>
        <v>-89.771902598362203</v>
      </c>
      <c r="R173">
        <f t="shared" si="30"/>
        <v>58.020468771975501</v>
      </c>
      <c r="S173">
        <f t="shared" si="39"/>
        <v>90.011071451892306</v>
      </c>
    </row>
    <row r="174" spans="7:19" x14ac:dyDescent="0.25">
      <c r="G174">
        <f t="shared" si="31"/>
        <v>2.4200000000000021</v>
      </c>
      <c r="H174">
        <f t="shared" si="27"/>
        <v>2630.2679918953959</v>
      </c>
      <c r="I174" t="str">
        <f t="shared" si="32"/>
        <v>16526.4612006219j</v>
      </c>
      <c r="J174" t="str">
        <f t="shared" si="28"/>
        <v>5+0.0198317534407463j</v>
      </c>
      <c r="K174">
        <f t="shared" si="33"/>
        <v>13.979468409120637</v>
      </c>
      <c r="L174">
        <f t="shared" si="34"/>
        <v>0.22725396278969406</v>
      </c>
      <c r="M174">
        <f t="shared" si="35"/>
        <v>5</v>
      </c>
      <c r="N174">
        <f t="shared" si="36"/>
        <v>1.9831753440746301E-2</v>
      </c>
      <c r="O174" t="str">
        <f t="shared" si="29"/>
        <v>14.454188780866-3801.83900991253j</v>
      </c>
      <c r="P174">
        <f t="shared" si="37"/>
        <v>71.599937225802009</v>
      </c>
      <c r="Q174">
        <f t="shared" si="38"/>
        <v>-89.782168571288707</v>
      </c>
      <c r="R174">
        <f t="shared" si="30"/>
        <v>57.620468816681374</v>
      </c>
      <c r="S174">
        <f t="shared" si="39"/>
        <v>89.990577465921604</v>
      </c>
    </row>
    <row r="175" spans="7:19" x14ac:dyDescent="0.25">
      <c r="G175">
        <f t="shared" si="31"/>
        <v>2.4400000000000022</v>
      </c>
      <c r="H175">
        <f t="shared" si="27"/>
        <v>2754.2287033381804</v>
      </c>
      <c r="I175" t="str">
        <f t="shared" si="32"/>
        <v>17305.3293214267j</v>
      </c>
      <c r="J175" t="str">
        <f t="shared" si="28"/>
        <v>5+0.020766395185712j</v>
      </c>
      <c r="K175">
        <f t="shared" si="33"/>
        <v>13.979475000685719</v>
      </c>
      <c r="L175">
        <f t="shared" si="34"/>
        <v>0.23796399170343319</v>
      </c>
      <c r="M175">
        <f t="shared" si="35"/>
        <v>5</v>
      </c>
      <c r="N175">
        <f t="shared" si="36"/>
        <v>2.0766395185712001E-2</v>
      </c>
      <c r="O175" t="str">
        <f t="shared" si="29"/>
        <v>13.182393607772-3630.73268532273j</v>
      </c>
      <c r="P175">
        <f t="shared" si="37"/>
        <v>71.199942749214628</v>
      </c>
      <c r="Q175">
        <f t="shared" si="38"/>
        <v>-89.791972512387446</v>
      </c>
      <c r="R175">
        <f t="shared" si="30"/>
        <v>57.220467748528911</v>
      </c>
      <c r="S175">
        <f t="shared" si="39"/>
        <v>89.970063495909116</v>
      </c>
    </row>
    <row r="176" spans="7:19" x14ac:dyDescent="0.25">
      <c r="G176">
        <f t="shared" si="31"/>
        <v>2.4600000000000022</v>
      </c>
      <c r="H176">
        <f t="shared" si="27"/>
        <v>2884.0315031266227</v>
      </c>
      <c r="I176" t="str">
        <f t="shared" si="32"/>
        <v>18120.9043658883j</v>
      </c>
      <c r="J176" t="str">
        <f t="shared" si="28"/>
        <v>5+0.021745085239066j</v>
      </c>
      <c r="K176">
        <f t="shared" si="33"/>
        <v>13.979482228181613</v>
      </c>
      <c r="L176">
        <f t="shared" si="34"/>
        <v>0.24917875089331262</v>
      </c>
      <c r="M176">
        <f t="shared" si="35"/>
        <v>5</v>
      </c>
      <c r="N176">
        <f t="shared" si="36"/>
        <v>2.1745085239066E-2</v>
      </c>
      <c r="O176" t="str">
        <f t="shared" si="29"/>
        <v>12.0224998039346-3467.32681808812j</v>
      </c>
      <c r="P176">
        <f t="shared" si="37"/>
        <v>70.799947786632814</v>
      </c>
      <c r="Q176">
        <f t="shared" si="38"/>
        <v>-89.801335214830246</v>
      </c>
      <c r="R176">
        <f t="shared" si="30"/>
        <v>56.820465558451204</v>
      </c>
      <c r="S176">
        <f t="shared" si="39"/>
        <v>89.949486034276447</v>
      </c>
    </row>
    <row r="177" spans="7:19" x14ac:dyDescent="0.25">
      <c r="G177">
        <f t="shared" si="31"/>
        <v>2.4800000000000022</v>
      </c>
      <c r="H177">
        <f t="shared" si="27"/>
        <v>3019.9517204020331</v>
      </c>
      <c r="I177" t="str">
        <f t="shared" si="32"/>
        <v>18974.9162780218j</v>
      </c>
      <c r="J177" t="str">
        <f t="shared" si="28"/>
        <v>5+0.0227698995336262j</v>
      </c>
      <c r="K177">
        <f t="shared" si="33"/>
        <v>13.979490152959448</v>
      </c>
      <c r="L177">
        <f t="shared" si="34"/>
        <v>0.26092202492197625</v>
      </c>
      <c r="M177">
        <f t="shared" si="35"/>
        <v>5</v>
      </c>
      <c r="N177">
        <f t="shared" si="36"/>
        <v>2.2769899533626198E-2</v>
      </c>
      <c r="O177" t="str">
        <f t="shared" si="29"/>
        <v>10.9646617363065-3311.27490741851j</v>
      </c>
      <c r="P177">
        <f t="shared" si="37"/>
        <v>70.399952380817993</v>
      </c>
      <c r="Q177">
        <f t="shared" si="38"/>
        <v>-89.810276536159577</v>
      </c>
      <c r="R177">
        <f t="shared" si="30"/>
        <v>56.420462227858543</v>
      </c>
      <c r="S177">
        <f t="shared" si="39"/>
        <v>89.928801438918441</v>
      </c>
    </row>
    <row r="178" spans="7:19" x14ac:dyDescent="0.25">
      <c r="G178">
        <f t="shared" si="31"/>
        <v>2.5000000000000022</v>
      </c>
      <c r="H178">
        <f t="shared" si="27"/>
        <v>3162.2776601683968</v>
      </c>
      <c r="I178" t="str">
        <f t="shared" si="32"/>
        <v>19869.1765315923j</v>
      </c>
      <c r="J178" t="str">
        <f t="shared" si="28"/>
        <v>5+0.0238430118379108j</v>
      </c>
      <c r="K178">
        <f t="shared" si="33"/>
        <v>13.979498842288931</v>
      </c>
      <c r="L178">
        <f t="shared" si="34"/>
        <v>0.27321871889251281</v>
      </c>
      <c r="M178">
        <f t="shared" si="35"/>
        <v>5</v>
      </c>
      <c r="N178">
        <f t="shared" si="36"/>
        <v>2.3843011837910801E-2</v>
      </c>
      <c r="O178" t="str">
        <f t="shared" si="29"/>
        <v>9.99990000099992-3162.24603770799j</v>
      </c>
      <c r="P178">
        <f t="shared" si="37"/>
        <v>69.99995657076893</v>
      </c>
      <c r="Q178">
        <f t="shared" si="38"/>
        <v>-89.81881544037077</v>
      </c>
      <c r="R178">
        <f t="shared" si="30"/>
        <v>56.020457728479997</v>
      </c>
      <c r="S178">
        <f t="shared" si="39"/>
        <v>89.907965840736722</v>
      </c>
    </row>
    <row r="179" spans="7:19" x14ac:dyDescent="0.25">
      <c r="G179">
        <f t="shared" si="31"/>
        <v>2.5200000000000022</v>
      </c>
      <c r="H179">
        <f t="shared" si="27"/>
        <v>3311.3112148259315</v>
      </c>
      <c r="I179" t="str">
        <f t="shared" si="32"/>
        <v>20805.5819724933j</v>
      </c>
      <c r="J179" t="str">
        <f t="shared" si="28"/>
        <v>5+0.024966698366992j</v>
      </c>
      <c r="K179">
        <f t="shared" si="33"/>
        <v>13.979508369929265</v>
      </c>
      <c r="L179">
        <f t="shared" si="34"/>
        <v>0.28609491119989877</v>
      </c>
      <c r="M179">
        <f t="shared" si="35"/>
        <v>5</v>
      </c>
      <c r="N179">
        <f t="shared" si="36"/>
        <v>2.4966698366992002E-2</v>
      </c>
      <c r="O179" t="str">
        <f t="shared" si="29"/>
        <v>9.12002521794045-3019.92417836615j</v>
      </c>
      <c r="P179">
        <f t="shared" si="37"/>
        <v>69.599960392053063</v>
      </c>
      <c r="Q179">
        <f t="shared" si="38"/>
        <v>-89.826970038103752</v>
      </c>
      <c r="R179">
        <f t="shared" si="30"/>
        <v>55.6204520221238</v>
      </c>
      <c r="S179">
        <f t="shared" si="39"/>
        <v>89.886935050696351</v>
      </c>
    </row>
    <row r="180" spans="7:19" x14ac:dyDescent="0.25">
      <c r="G180">
        <f t="shared" si="31"/>
        <v>2.5400000000000023</v>
      </c>
      <c r="H180">
        <f t="shared" si="27"/>
        <v>3467.3685045253369</v>
      </c>
      <c r="I180" t="str">
        <f t="shared" si="32"/>
        <v>21786.1188422108j</v>
      </c>
      <c r="J180" t="str">
        <f t="shared" si="28"/>
        <v>5+0.026143342610653j</v>
      </c>
      <c r="K180">
        <f t="shared" si="33"/>
        <v>13.979518816755128</v>
      </c>
      <c r="L180">
        <f t="shared" si="34"/>
        <v>0.29957790875995416</v>
      </c>
      <c r="M180">
        <f t="shared" si="35"/>
        <v>5</v>
      </c>
      <c r="N180">
        <f t="shared" si="36"/>
        <v>2.6143342610653E-2</v>
      </c>
      <c r="O180" t="str">
        <f t="shared" si="29"/>
        <v>8.31756852850499-2884.00751499693j</v>
      </c>
      <c r="P180">
        <f t="shared" si="37"/>
        <v>69.199963877108587</v>
      </c>
      <c r="Q180">
        <f t="shared" si="38"/>
        <v>-89.834757625029141</v>
      </c>
      <c r="R180">
        <f t="shared" si="30"/>
        <v>55.220445060353455</v>
      </c>
      <c r="S180">
        <f t="shared" si="39"/>
        <v>89.865664466210902</v>
      </c>
    </row>
    <row r="181" spans="7:19" x14ac:dyDescent="0.25">
      <c r="G181">
        <f t="shared" si="31"/>
        <v>2.5600000000000023</v>
      </c>
      <c r="H181">
        <f t="shared" si="27"/>
        <v>3630.7805477010343</v>
      </c>
      <c r="I181" t="str">
        <f t="shared" si="32"/>
        <v>22812.8669909086j</v>
      </c>
      <c r="J181" t="str">
        <f t="shared" si="28"/>
        <v>5+0.0273754403890903j</v>
      </c>
      <c r="K181">
        <f t="shared" si="33"/>
        <v>13.979530271443025</v>
      </c>
      <c r="L181">
        <f t="shared" si="34"/>
        <v>0.31369630483131045</v>
      </c>
      <c r="M181">
        <f t="shared" si="35"/>
        <v>5</v>
      </c>
      <c r="N181">
        <f t="shared" si="36"/>
        <v>2.7375440389090299E-2</v>
      </c>
      <c r="O181" t="str">
        <f t="shared" si="29"/>
        <v>7.5857182067345-2754.20781053533j</v>
      </c>
      <c r="P181">
        <f t="shared" si="37"/>
        <v>68.799967055519403</v>
      </c>
      <c r="Q181">
        <f t="shared" si="38"/>
        <v>-89.84219471850929</v>
      </c>
      <c r="R181">
        <f t="shared" si="30"/>
        <v>54.820436784076378</v>
      </c>
      <c r="S181">
        <f t="shared" si="39"/>
        <v>89.844108976659399</v>
      </c>
    </row>
    <row r="182" spans="7:19" x14ac:dyDescent="0.25">
      <c r="G182">
        <f t="shared" si="31"/>
        <v>2.5800000000000023</v>
      </c>
      <c r="H182">
        <f t="shared" si="27"/>
        <v>3801.8939632056336</v>
      </c>
      <c r="I182" t="str">
        <f t="shared" si="32"/>
        <v>23888.0042890684j</v>
      </c>
      <c r="J182" t="str">
        <f t="shared" si="28"/>
        <v>5+0.0286656051468821j</v>
      </c>
      <c r="K182">
        <f t="shared" si="33"/>
        <v>13.979542831223824</v>
      </c>
      <c r="L182">
        <f t="shared" si="34"/>
        <v>0.32848003955109911</v>
      </c>
      <c r="M182">
        <f t="shared" si="35"/>
        <v>5</v>
      </c>
      <c r="N182">
        <f t="shared" si="36"/>
        <v>2.86656051468821E-2</v>
      </c>
      <c r="O182" t="str">
        <f t="shared" si="29"/>
        <v>6.9182618465112-2630.24979501267j</v>
      </c>
      <c r="P182">
        <f t="shared" si="37"/>
        <v>68.399969954266567</v>
      </c>
      <c r="Q182">
        <f t="shared" si="38"/>
        <v>-89.849297092611863</v>
      </c>
      <c r="R182">
        <f t="shared" si="30"/>
        <v>54.420427123042742</v>
      </c>
      <c r="S182">
        <f t="shared" si="39"/>
        <v>89.822222867837041</v>
      </c>
    </row>
    <row r="183" spans="7:19" x14ac:dyDescent="0.25">
      <c r="G183">
        <f t="shared" si="31"/>
        <v>2.6000000000000023</v>
      </c>
      <c r="H183">
        <f t="shared" si="27"/>
        <v>3981.0717055349969</v>
      </c>
      <c r="I183" t="str">
        <f t="shared" si="32"/>
        <v>25013.8112470459j</v>
      </c>
      <c r="J183" t="str">
        <f t="shared" si="28"/>
        <v>5+0.0300165734964551j</v>
      </c>
      <c r="K183">
        <f t="shared" si="33"/>
        <v>13.979556602707866</v>
      </c>
      <c r="L183">
        <f t="shared" si="34"/>
        <v>0.34396046331061408</v>
      </c>
      <c r="M183">
        <f t="shared" si="35"/>
        <v>5</v>
      </c>
      <c r="N183">
        <f t="shared" si="36"/>
        <v>3.0016573496455101E-2</v>
      </c>
      <c r="O183" t="str">
        <f t="shared" si="29"/>
        <v>6.30953363433598-2511.87058267764j</v>
      </c>
      <c r="P183">
        <f t="shared" si="37"/>
        <v>67.999972597957097</v>
      </c>
      <c r="Q183">
        <f t="shared" si="38"/>
        <v>-89.856079811549478</v>
      </c>
      <c r="R183">
        <f t="shared" si="30"/>
        <v>54.02041599524923</v>
      </c>
      <c r="S183">
        <f t="shared" si="39"/>
        <v>89.799959725139914</v>
      </c>
    </row>
    <row r="184" spans="7:19" x14ac:dyDescent="0.25">
      <c r="G184">
        <f t="shared" si="31"/>
        <v>2.6200000000000023</v>
      </c>
      <c r="H184">
        <f t="shared" si="27"/>
        <v>4168.6938347033793</v>
      </c>
      <c r="I184" t="str">
        <f t="shared" si="32"/>
        <v>26192.6758523384j</v>
      </c>
      <c r="J184" t="str">
        <f t="shared" si="28"/>
        <v>5+0.0314312110228061j</v>
      </c>
      <c r="K184">
        <f t="shared" si="33"/>
        <v>13.979571702789658</v>
      </c>
      <c r="L184">
        <f t="shared" si="34"/>
        <v>0.36017040310284143</v>
      </c>
      <c r="M184">
        <f t="shared" si="35"/>
        <v>5</v>
      </c>
      <c r="N184">
        <f t="shared" si="36"/>
        <v>3.1431211022806098E-2</v>
      </c>
      <c r="O184" t="str">
        <f t="shared" si="29"/>
        <v>5.75436626044989-2398.81911525626j</v>
      </c>
      <c r="P184">
        <f t="shared" si="37"/>
        <v>67.599975009032903</v>
      </c>
      <c r="Q184">
        <f t="shared" si="38"/>
        <v>-89.862557261616203</v>
      </c>
      <c r="R184">
        <f t="shared" si="30"/>
        <v>53.620403306243247</v>
      </c>
      <c r="S184">
        <f t="shared" si="39"/>
        <v>89.777272335280955</v>
      </c>
    </row>
    <row r="185" spans="7:19" x14ac:dyDescent="0.25">
      <c r="G185">
        <f t="shared" si="31"/>
        <v>2.6400000000000023</v>
      </c>
      <c r="H185">
        <f t="shared" si="27"/>
        <v>4365.1583224016858</v>
      </c>
      <c r="I185" t="str">
        <f t="shared" si="32"/>
        <v>27427.098634827j</v>
      </c>
      <c r="J185" t="str">
        <f t="shared" si="28"/>
        <v>5+0.0329125183617924j</v>
      </c>
      <c r="K185">
        <f t="shared" si="33"/>
        <v>13.979588259639756</v>
      </c>
      <c r="L185">
        <f t="shared" si="34"/>
        <v>0.37714423197972319</v>
      </c>
      <c r="M185">
        <f t="shared" si="35"/>
        <v>5</v>
      </c>
      <c r="N185">
        <f t="shared" si="36"/>
        <v>3.2912518361792403E-2</v>
      </c>
      <c r="O185" t="str">
        <f t="shared" si="29"/>
        <v>5.24804706035516-2290.85563018651j</v>
      </c>
      <c r="P185">
        <f t="shared" si="37"/>
        <v>67.199977207961354</v>
      </c>
      <c r="Q185">
        <f t="shared" si="38"/>
        <v>-89.868743181688245</v>
      </c>
      <c r="R185">
        <f t="shared" si="30"/>
        <v>53.220388948321599</v>
      </c>
      <c r="S185">
        <f t="shared" si="39"/>
        <v>89.754112586332027</v>
      </c>
    </row>
    <row r="186" spans="7:19" x14ac:dyDescent="0.25">
      <c r="G186">
        <f t="shared" si="31"/>
        <v>2.6600000000000024</v>
      </c>
      <c r="H186">
        <f t="shared" si="27"/>
        <v>4570.8818961487768</v>
      </c>
      <c r="I186" t="str">
        <f t="shared" si="32"/>
        <v>28719.6979707352j</v>
      </c>
      <c r="J186" t="str">
        <f t="shared" si="28"/>
        <v>5+0.0344636375648822j</v>
      </c>
      <c r="K186">
        <f t="shared" si="33"/>
        <v>13.979606413792338</v>
      </c>
      <c r="L186">
        <f t="shared" si="34"/>
        <v>0.39491794176315348</v>
      </c>
      <c r="M186">
        <f t="shared" si="35"/>
        <v>5</v>
      </c>
      <c r="N186">
        <f t="shared" si="36"/>
        <v>3.4463637564882202E-2</v>
      </c>
      <c r="O186" t="str">
        <f t="shared" si="29"/>
        <v>4.78627801465944-2187.75115271418j</v>
      </c>
      <c r="P186">
        <f t="shared" si="37"/>
        <v>66.799979213408903</v>
      </c>
      <c r="Q186">
        <f t="shared" si="38"/>
        <v>-89.874650692353256</v>
      </c>
      <c r="R186">
        <f t="shared" si="30"/>
        <v>52.820372799616564</v>
      </c>
      <c r="S186">
        <f t="shared" si="39"/>
        <v>89.730431365883589</v>
      </c>
    </row>
    <row r="187" spans="7:19" x14ac:dyDescent="0.25">
      <c r="G187">
        <f t="shared" si="31"/>
        <v>2.6800000000000024</v>
      </c>
      <c r="H187">
        <f t="shared" si="27"/>
        <v>4786.3009232264139</v>
      </c>
      <c r="I187" t="str">
        <f t="shared" si="32"/>
        <v>30073.2156365563j</v>
      </c>
      <c r="J187" t="str">
        <f t="shared" si="28"/>
        <v>5+0.0360878587638676j</v>
      </c>
      <c r="K187">
        <f t="shared" si="33"/>
        <v>13.979626319337592</v>
      </c>
      <c r="L187">
        <f t="shared" si="34"/>
        <v>0.41352921916016344</v>
      </c>
      <c r="M187">
        <f t="shared" si="35"/>
        <v>5</v>
      </c>
      <c r="N187">
        <f t="shared" si="36"/>
        <v>3.6087858763867602E-2</v>
      </c>
      <c r="O187" t="str">
        <f t="shared" si="29"/>
        <v>4.36513926787761-2089.28701078544j</v>
      </c>
      <c r="P187">
        <f t="shared" si="37"/>
        <v>66.399981042399588</v>
      </c>
      <c r="Q187">
        <f t="shared" si="38"/>
        <v>-89.880292323729833</v>
      </c>
      <c r="R187">
        <f t="shared" si="30"/>
        <v>52.420354723061998</v>
      </c>
      <c r="S187">
        <f t="shared" si="39"/>
        <v>89.706178457109999</v>
      </c>
    </row>
    <row r="188" spans="7:19" x14ac:dyDescent="0.25">
      <c r="G188">
        <f t="shared" si="31"/>
        <v>2.7000000000000024</v>
      </c>
      <c r="H188">
        <f t="shared" si="27"/>
        <v>5011.8723362727533</v>
      </c>
      <c r="I188" t="str">
        <f t="shared" si="32"/>
        <v>31490.5226247288j</v>
      </c>
      <c r="J188" t="str">
        <f t="shared" si="28"/>
        <v>5+0.0377886271496746j</v>
      </c>
      <c r="K188">
        <f t="shared" si="33"/>
        <v>13.979648145229085</v>
      </c>
      <c r="L188">
        <f t="shared" si="34"/>
        <v>0.43301752543935507</v>
      </c>
      <c r="M188">
        <f t="shared" si="35"/>
        <v>5</v>
      </c>
      <c r="N188">
        <f t="shared" si="36"/>
        <v>3.7788627149674597E-2</v>
      </c>
      <c r="O188" t="str">
        <f t="shared" si="29"/>
        <v>3.98105585666608-1995.25437171814j</v>
      </c>
      <c r="P188">
        <f t="shared" si="37"/>
        <v>65.999982710459605</v>
      </c>
      <c r="Q188">
        <f t="shared" si="38"/>
        <v>-89.885680042035943</v>
      </c>
      <c r="R188">
        <f t="shared" si="30"/>
        <v>52.02033456523052</v>
      </c>
      <c r="S188">
        <f t="shared" si="39"/>
        <v>89.681302432524703</v>
      </c>
    </row>
    <row r="189" spans="7:19" x14ac:dyDescent="0.25">
      <c r="G189">
        <f t="shared" si="31"/>
        <v>2.7200000000000024</v>
      </c>
      <c r="H189">
        <f t="shared" si="27"/>
        <v>5248.074602497758</v>
      </c>
      <c r="I189" t="str">
        <f t="shared" si="32"/>
        <v>32974.6252333963j</v>
      </c>
      <c r="J189" t="str">
        <f t="shared" si="28"/>
        <v>5+0.0395695502800756j</v>
      </c>
      <c r="K189">
        <f t="shared" si="33"/>
        <v>13.979672076717144</v>
      </c>
      <c r="L189">
        <f t="shared" si="34"/>
        <v>0.45342417983261085</v>
      </c>
      <c r="M189">
        <f t="shared" si="35"/>
        <v>5</v>
      </c>
      <c r="N189">
        <f t="shared" si="36"/>
        <v>3.9569550280075597E-2</v>
      </c>
      <c r="O189" t="str">
        <f t="shared" si="29"/>
        <v>3.63076736518144-1905.45379967864j</v>
      </c>
      <c r="P189">
        <f t="shared" si="37"/>
        <v>65.599984231748977</v>
      </c>
      <c r="Q189">
        <f t="shared" si="38"/>
        <v>-89.890825274962438</v>
      </c>
      <c r="R189">
        <f t="shared" si="30"/>
        <v>51.620312155031833</v>
      </c>
      <c r="S189">
        <f t="shared" si="39"/>
        <v>89.655750545204953</v>
      </c>
    </row>
    <row r="190" spans="7:19" x14ac:dyDescent="0.25">
      <c r="G190">
        <f t="shared" si="31"/>
        <v>2.7400000000000024</v>
      </c>
      <c r="H190">
        <f t="shared" si="27"/>
        <v>5495.4087385762778</v>
      </c>
      <c r="I190" t="str">
        <f t="shared" si="32"/>
        <v>34528.6714431688j</v>
      </c>
      <c r="J190" t="str">
        <f t="shared" si="28"/>
        <v>5+0.0414344057318024j</v>
      </c>
      <c r="K190">
        <f t="shared" si="33"/>
        <v>13.97969831692043</v>
      </c>
      <c r="L190">
        <f t="shared" si="34"/>
        <v>0.47479244683320548</v>
      </c>
      <c r="M190">
        <f t="shared" si="35"/>
        <v>5</v>
      </c>
      <c r="N190">
        <f t="shared" si="36"/>
        <v>4.1434405731802397E-2</v>
      </c>
      <c r="O190" t="str">
        <f t="shared" si="29"/>
        <v>3.31130025008022-1819.69483303406j</v>
      </c>
      <c r="P190">
        <f t="shared" si="37"/>
        <v>65.199985619181845</v>
      </c>
      <c r="Q190">
        <f t="shared" si="38"/>
        <v>-89.895738935905484</v>
      </c>
      <c r="R190">
        <f t="shared" si="30"/>
        <v>51.220287302261411</v>
      </c>
      <c r="S190">
        <f t="shared" si="39"/>
        <v>89.62946861726131</v>
      </c>
    </row>
    <row r="191" spans="7:19" x14ac:dyDescent="0.25">
      <c r="G191">
        <f t="shared" si="31"/>
        <v>2.7600000000000025</v>
      </c>
      <c r="H191">
        <f t="shared" si="27"/>
        <v>5754.399373371607</v>
      </c>
      <c r="I191" t="str">
        <f t="shared" si="32"/>
        <v>36155.9575944119j</v>
      </c>
      <c r="J191" t="str">
        <f t="shared" si="28"/>
        <v>5+0.0433871491132944j</v>
      </c>
      <c r="K191">
        <f t="shared" si="33"/>
        <v>13.979727088548975</v>
      </c>
      <c r="L191">
        <f t="shared" si="34"/>
        <v>0.49716762756893212</v>
      </c>
      <c r="M191">
        <f t="shared" si="35"/>
        <v>5</v>
      </c>
      <c r="N191">
        <f t="shared" si="36"/>
        <v>4.3387149113294401E-2</v>
      </c>
      <c r="O191" t="str">
        <f t="shared" si="29"/>
        <v>3.01994260032112-1737.79558069061j</v>
      </c>
      <c r="P191">
        <f t="shared" si="37"/>
        <v>64.799986884536068</v>
      </c>
      <c r="Q191">
        <f t="shared" si="38"/>
        <v>-89.900431447108986</v>
      </c>
      <c r="R191">
        <f t="shared" si="30"/>
        <v>50.820259795987091</v>
      </c>
      <c r="S191">
        <f t="shared" si="39"/>
        <v>89.602400925322087</v>
      </c>
    </row>
    <row r="192" spans="7:19" x14ac:dyDescent="0.25">
      <c r="G192">
        <f t="shared" si="31"/>
        <v>2.7800000000000025</v>
      </c>
      <c r="H192">
        <f t="shared" si="27"/>
        <v>6025.595860743615</v>
      </c>
      <c r="I192" t="str">
        <f t="shared" si="32"/>
        <v>37859.9353792264j</v>
      </c>
      <c r="J192" t="str">
        <f t="shared" si="28"/>
        <v>5+0.0454319224550716j</v>
      </c>
      <c r="K192">
        <f t="shared" si="33"/>
        <v>13.97975863579326</v>
      </c>
      <c r="L192">
        <f t="shared" si="34"/>
        <v>0.52059715543640539</v>
      </c>
      <c r="M192">
        <f t="shared" si="35"/>
        <v>5</v>
      </c>
      <c r="N192">
        <f t="shared" si="36"/>
        <v>4.5431922455071598E-2</v>
      </c>
      <c r="O192" t="str">
        <f t="shared" si="29"/>
        <v>2.75422111758328-1659.58233656824j</v>
      </c>
      <c r="P192">
        <f t="shared" si="37"/>
        <v>64.399988038553118</v>
      </c>
      <c r="Q192">
        <f t="shared" si="38"/>
        <v>-89.904912761765942</v>
      </c>
      <c r="R192">
        <f t="shared" si="30"/>
        <v>50.420229402759858</v>
      </c>
      <c r="S192">
        <f t="shared" si="39"/>
        <v>89.574490082797652</v>
      </c>
    </row>
    <row r="193" spans="7:19" x14ac:dyDescent="0.25">
      <c r="G193">
        <f t="shared" si="31"/>
        <v>2.8000000000000025</v>
      </c>
      <c r="H193">
        <f t="shared" si="27"/>
        <v>6309.5734448019712</v>
      </c>
      <c r="I193" t="str">
        <f t="shared" si="32"/>
        <v>39644.2191629502j</v>
      </c>
      <c r="J193" t="str">
        <f t="shared" si="28"/>
        <v>5+0.0475730629955404j</v>
      </c>
      <c r="K193">
        <f t="shared" si="33"/>
        <v>13.979793226395378</v>
      </c>
      <c r="L193">
        <f t="shared" si="34"/>
        <v>0.54513069619082366</v>
      </c>
      <c r="M193">
        <f t="shared" si="35"/>
        <v>5</v>
      </c>
      <c r="N193">
        <f t="shared" si="36"/>
        <v>4.7573062995540399E-2</v>
      </c>
      <c r="O193" t="str">
        <f t="shared" si="29"/>
        <v>2.51188012195195-1584.8892113994j</v>
      </c>
      <c r="P193">
        <f t="shared" si="37"/>
        <v>63.999989091029491</v>
      </c>
      <c r="Q193">
        <f t="shared" si="38"/>
        <v>-89.909192385125721</v>
      </c>
      <c r="R193">
        <f t="shared" si="30"/>
        <v>50.020195864634111</v>
      </c>
      <c r="S193">
        <f t="shared" si="39"/>
        <v>89.545676918683455</v>
      </c>
    </row>
    <row r="194" spans="7:19" x14ac:dyDescent="0.25">
      <c r="G194">
        <f t="shared" si="31"/>
        <v>2.8200000000000025</v>
      </c>
      <c r="H194">
        <f t="shared" si="27"/>
        <v>6606.9344800760055</v>
      </c>
      <c r="I194" t="str">
        <f t="shared" si="32"/>
        <v>41512.5936507118j</v>
      </c>
      <c r="J194" t="str">
        <f t="shared" si="28"/>
        <v>5+0.049815112380854j</v>
      </c>
      <c r="K194">
        <f t="shared" si="33"/>
        <v>13.979831153919736</v>
      </c>
      <c r="L194">
        <f t="shared" si="34"/>
        <v>0.57082025269334435</v>
      </c>
      <c r="M194">
        <f t="shared" si="35"/>
        <v>5</v>
      </c>
      <c r="N194">
        <f t="shared" si="36"/>
        <v>4.9815112380854003E-2</v>
      </c>
      <c r="O194" t="str">
        <f t="shared" si="29"/>
        <v>2.29086240470516-1513.55778107564j</v>
      </c>
      <c r="P194">
        <f t="shared" si="37"/>
        <v>63.599990050899549</v>
      </c>
      <c r="Q194">
        <f t="shared" si="38"/>
        <v>-89.913279394651838</v>
      </c>
      <c r="R194">
        <f t="shared" si="30"/>
        <v>49.620158896979817</v>
      </c>
      <c r="S194">
        <f t="shared" si="39"/>
        <v>89.515900352654825</v>
      </c>
    </row>
    <row r="195" spans="7:19" x14ac:dyDescent="0.25">
      <c r="G195">
        <f t="shared" si="31"/>
        <v>2.8400000000000025</v>
      </c>
      <c r="H195">
        <f t="shared" ref="H195:H258" si="40">$B$3*10^G195</f>
        <v>6918.3097091894106</v>
      </c>
      <c r="I195" t="str">
        <f t="shared" si="32"/>
        <v>43469.0219152968j</v>
      </c>
      <c r="J195" t="str">
        <f t="shared" ref="J195:J258" si="41">IMSUM(1,IMDIV(IMPRODUCT(R_f,IMSUM(1,IMPRODUCT(I195,C_s,R_1))),R_1))</f>
        <v>5+0.052162826298356j</v>
      </c>
      <c r="K195">
        <f t="shared" si="33"/>
        <v>13.979872740242531</v>
      </c>
      <c r="L195">
        <f t="shared" si="34"/>
        <v>0.59772027452696175</v>
      </c>
      <c r="M195">
        <f t="shared" si="35"/>
        <v>5</v>
      </c>
      <c r="N195">
        <f t="shared" si="36"/>
        <v>5.2162826298356002E-2</v>
      </c>
      <c r="O195" t="str">
        <f t="shared" ref="O195:O258" si="42">IMDIV(Aolv,IMSUM(1,IMDIV(I195,wc)))</f>
        <v>2.08929176570481-1445.43675080051j</v>
      </c>
      <c r="P195">
        <f t="shared" si="37"/>
        <v>63.199990926311635</v>
      </c>
      <c r="Q195">
        <f t="shared" si="38"/>
        <v>-89.917182459272667</v>
      </c>
      <c r="R195">
        <f t="shared" ref="R195:R258" si="43">P195-K195</f>
        <v>49.220118186069101</v>
      </c>
      <c r="S195">
        <f t="shared" si="39"/>
        <v>89.48509726620037</v>
      </c>
    </row>
    <row r="196" spans="7:19" x14ac:dyDescent="0.25">
      <c r="G196">
        <f t="shared" ref="G196:G259" si="44">G195+(1/ppd)</f>
        <v>2.8600000000000025</v>
      </c>
      <c r="H196">
        <f t="shared" si="40"/>
        <v>7244.3596007499473</v>
      </c>
      <c r="I196" t="str">
        <f t="shared" ref="I196:I259" si="45">COMPLEX(0,H196*2*PI(),"j")</f>
        <v>45517.6538033574j</v>
      </c>
      <c r="J196" t="str">
        <f t="shared" si="41"/>
        <v>5+0.0546211845640288j</v>
      </c>
      <c r="K196">
        <f t="shared" ref="K196:K259" si="46">20*LOG(IMABS(J196))</f>
        <v>13.979918338281042</v>
      </c>
      <c r="L196">
        <f t="shared" ref="L196:L259" si="47">DEGREES(IMARGUMENT(J196))</f>
        <v>0.62588777270009754</v>
      </c>
      <c r="M196">
        <f t="shared" ref="M196:M259" si="48">IMREAL(J196)</f>
        <v>5</v>
      </c>
      <c r="N196">
        <f t="shared" ref="N196:N259" si="49">IMAGINARY(J196)</f>
        <v>5.4621184564028799E-2</v>
      </c>
      <c r="O196" t="str">
        <f t="shared" si="42"/>
        <v>1.9054570871896-1380.3816343399j</v>
      </c>
      <c r="P196">
        <f t="shared" ref="P196:P259" si="50">20*LOG(IMABS(O196))</f>
        <v>62.799991724697094</v>
      </c>
      <c r="Q196">
        <f t="shared" ref="Q196:Q259" si="51">DEGREES(IMARGUMENT(O196))</f>
        <v>-89.920909857766347</v>
      </c>
      <c r="R196">
        <f t="shared" si="43"/>
        <v>48.820073386416055</v>
      </c>
      <c r="S196">
        <f t="shared" ref="S196:S259" si="52">(Q196-L196)-(-180)</f>
        <v>89.453202369533557</v>
      </c>
    </row>
    <row r="197" spans="7:19" x14ac:dyDescent="0.25">
      <c r="G197">
        <f t="shared" si="44"/>
        <v>2.8800000000000026</v>
      </c>
      <c r="H197">
        <f t="shared" si="40"/>
        <v>7585.7757502918857</v>
      </c>
      <c r="I197" t="str">
        <f t="shared" si="45"/>
        <v>47662.8347377932j</v>
      </c>
      <c r="J197" t="str">
        <f t="shared" si="41"/>
        <v>5+0.057195401685352j</v>
      </c>
      <c r="K197">
        <f t="shared" si="46"/>
        <v>13.979968334985802</v>
      </c>
      <c r="L197">
        <f t="shared" si="47"/>
        <v>0.65538243966619636</v>
      </c>
      <c r="M197">
        <f t="shared" si="48"/>
        <v>5</v>
      </c>
      <c r="N197">
        <f t="shared" si="49"/>
        <v>5.7195401685351997E-2</v>
      </c>
      <c r="O197" t="str">
        <f t="shared" si="42"/>
        <v>1.73779780880288-1318.25444769273j</v>
      </c>
      <c r="P197">
        <f t="shared" si="50"/>
        <v>62.399992452833416</v>
      </c>
      <c r="Q197">
        <f t="shared" si="51"/>
        <v>-89.924469496318352</v>
      </c>
      <c r="R197">
        <f t="shared" si="43"/>
        <v>48.420024117847618</v>
      </c>
      <c r="S197">
        <f t="shared" si="52"/>
        <v>89.42014806401545</v>
      </c>
    </row>
    <row r="198" spans="7:19" x14ac:dyDescent="0.25">
      <c r="G198">
        <f t="shared" si="44"/>
        <v>2.9000000000000026</v>
      </c>
      <c r="H198">
        <f t="shared" si="40"/>
        <v>7943.2823472428699</v>
      </c>
      <c r="I198" t="str">
        <f t="shared" si="45"/>
        <v>49909.1149349754j</v>
      </c>
      <c r="J198" t="str">
        <f t="shared" si="41"/>
        <v>5+0.0598909379219704j</v>
      </c>
      <c r="K198">
        <f t="shared" si="46"/>
        <v>13.980023154620913</v>
      </c>
      <c r="L198">
        <f t="shared" si="47"/>
        <v>0.68626677489650012</v>
      </c>
      <c r="M198">
        <f t="shared" si="48"/>
        <v>5</v>
      </c>
      <c r="N198">
        <f t="shared" si="49"/>
        <v>5.9890937921970401E-2</v>
      </c>
      <c r="O198" t="str">
        <f t="shared" si="42"/>
        <v>1.58489068057864-1258.92341653501j</v>
      </c>
      <c r="P198">
        <f t="shared" si="50"/>
        <v>61.999993116901742</v>
      </c>
      <c r="Q198">
        <f t="shared" si="51"/>
        <v>-89.927868925289104</v>
      </c>
      <c r="R198">
        <f t="shared" si="43"/>
        <v>48.019969962280825</v>
      </c>
      <c r="S198">
        <f t="shared" si="52"/>
        <v>89.385864299814401</v>
      </c>
    </row>
    <row r="199" spans="7:19" x14ac:dyDescent="0.25">
      <c r="G199">
        <f t="shared" si="44"/>
        <v>2.9200000000000026</v>
      </c>
      <c r="H199">
        <f t="shared" si="40"/>
        <v>8317.6377110267658</v>
      </c>
      <c r="I199" t="str">
        <f t="shared" si="45"/>
        <v>52261.2590563662j</v>
      </c>
      <c r="J199" t="str">
        <f t="shared" si="41"/>
        <v>5+0.0627135108676396j</v>
      </c>
      <c r="K199">
        <f t="shared" si="46"/>
        <v>13.980083262360212</v>
      </c>
      <c r="L199">
        <f t="shared" si="47"/>
        <v>0.71860621625253362</v>
      </c>
      <c r="M199">
        <f t="shared" si="48"/>
        <v>5</v>
      </c>
      <c r="N199">
        <f t="shared" si="49"/>
        <v>6.2713510867639599E-2</v>
      </c>
      <c r="O199" t="str">
        <f t="shared" si="42"/>
        <v>1.4454376814528-1202.26269681909j</v>
      </c>
      <c r="P199">
        <f t="shared" si="50"/>
        <v>61.599993722539324</v>
      </c>
      <c r="Q199">
        <f t="shared" si="51"/>
        <v>-89.931115355227277</v>
      </c>
      <c r="R199">
        <f t="shared" si="43"/>
        <v>47.619910460179113</v>
      </c>
      <c r="S199">
        <f t="shared" si="52"/>
        <v>89.350278428520184</v>
      </c>
    </row>
    <row r="200" spans="7:19" x14ac:dyDescent="0.25">
      <c r="G200">
        <f t="shared" si="44"/>
        <v>2.9400000000000026</v>
      </c>
      <c r="H200">
        <f t="shared" si="40"/>
        <v>8709.6358995608643</v>
      </c>
      <c r="I200" t="str">
        <f t="shared" si="45"/>
        <v>54724.2563150047j</v>
      </c>
      <c r="J200" t="str">
        <f t="shared" si="41"/>
        <v>5+0.0656691075780056j</v>
      </c>
      <c r="K200">
        <f t="shared" si="46"/>
        <v>13.980149168229614</v>
      </c>
      <c r="L200">
        <f t="shared" si="47"/>
        <v>0.75246927741399372</v>
      </c>
      <c r="M200">
        <f t="shared" si="48"/>
        <v>5</v>
      </c>
      <c r="N200">
        <f t="shared" si="49"/>
        <v>6.5669107578005606E-2</v>
      </c>
      <c r="O200" t="str">
        <f t="shared" si="42"/>
        <v>1.31825500075785-1148.15210793762j</v>
      </c>
      <c r="P200">
        <f t="shared" si="50"/>
        <v>61.19999427488743</v>
      </c>
      <c r="Q200">
        <f t="shared" si="51"/>
        <v>-89.934215672162438</v>
      </c>
      <c r="R200">
        <f t="shared" si="43"/>
        <v>47.219845106657814</v>
      </c>
      <c r="S200">
        <f t="shared" si="52"/>
        <v>89.313315050423569</v>
      </c>
    </row>
    <row r="201" spans="7:19" x14ac:dyDescent="0.25">
      <c r="G201">
        <f t="shared" si="44"/>
        <v>2.9600000000000026</v>
      </c>
      <c r="H201">
        <f t="shared" si="40"/>
        <v>9120.108393559156</v>
      </c>
      <c r="I201" t="str">
        <f t="shared" si="45"/>
        <v>57303.3310582961j</v>
      </c>
      <c r="J201" t="str">
        <f t="shared" si="41"/>
        <v>5+0.0687639972699552j</v>
      </c>
      <c r="K201">
        <f t="shared" si="46"/>
        <v>13.980221431428888</v>
      </c>
      <c r="L201">
        <f t="shared" si="47"/>
        <v>0.7879276916274589</v>
      </c>
      <c r="M201">
        <f t="shared" si="48"/>
        <v>5</v>
      </c>
      <c r="N201">
        <f t="shared" si="49"/>
        <v>6.8763997269955204E-2</v>
      </c>
      <c r="O201" t="str">
        <f t="shared" si="42"/>
        <v>1.20226298917937-1096.47687788803j</v>
      </c>
      <c r="P201">
        <f t="shared" si="50"/>
        <v>60.799994778635032</v>
      </c>
      <c r="Q201">
        <f t="shared" si="51"/>
        <v>-89.937176452209712</v>
      </c>
      <c r="R201">
        <f t="shared" si="43"/>
        <v>46.819773347206144</v>
      </c>
      <c r="S201">
        <f t="shared" si="52"/>
        <v>89.274895856162829</v>
      </c>
    </row>
    <row r="202" spans="7:19" x14ac:dyDescent="0.25">
      <c r="G202">
        <f t="shared" si="44"/>
        <v>2.9800000000000026</v>
      </c>
      <c r="H202">
        <f t="shared" si="40"/>
        <v>9549.9258602144273</v>
      </c>
      <c r="I202" t="str">
        <f t="shared" si="45"/>
        <v>60003.9538495537j</v>
      </c>
      <c r="J202" t="str">
        <f t="shared" si="41"/>
        <v>5+0.0720047446194644j</v>
      </c>
      <c r="K202">
        <f t="shared" si="46"/>
        <v>13.980300665069294</v>
      </c>
      <c r="L202">
        <f t="shared" si="47"/>
        <v>0.8250565620506215</v>
      </c>
      <c r="M202">
        <f t="shared" si="48"/>
        <v>5</v>
      </c>
      <c r="N202">
        <f t="shared" si="49"/>
        <v>7.2004744619464406E-2</v>
      </c>
      <c r="O202" t="str">
        <f t="shared" si="42"/>
        <v>1.09647699388005-1047.12739989853j</v>
      </c>
      <c r="P202">
        <f t="shared" si="50"/>
        <v>60.399995238058253</v>
      </c>
      <c r="Q202">
        <f t="shared" si="51"/>
        <v>-89.940003975517129</v>
      </c>
      <c r="R202">
        <f t="shared" si="43"/>
        <v>46.419694572988959</v>
      </c>
      <c r="S202">
        <f t="shared" si="52"/>
        <v>89.234939462432251</v>
      </c>
    </row>
    <row r="203" spans="7:19" x14ac:dyDescent="0.25">
      <c r="G203">
        <f t="shared" si="44"/>
        <v>3.0000000000000027</v>
      </c>
      <c r="H203">
        <f t="shared" si="40"/>
        <v>10000.000000000069</v>
      </c>
      <c r="I203" t="str">
        <f t="shared" si="45"/>
        <v>62831.8530717963j</v>
      </c>
      <c r="J203" t="str">
        <f t="shared" si="41"/>
        <v>5+0.0753982236861556j</v>
      </c>
      <c r="K203">
        <f t="shared" si="46"/>
        <v>13.980387541366952</v>
      </c>
      <c r="L203">
        <f t="shared" si="47"/>
        <v>0.86393451897644025</v>
      </c>
      <c r="M203">
        <f t="shared" si="48"/>
        <v>5</v>
      </c>
      <c r="N203">
        <f t="shared" si="49"/>
        <v>7.5398223686155605E-2</v>
      </c>
      <c r="O203" t="str">
        <f t="shared" si="42"/>
        <v>0.99999900000098-999.99900000099j</v>
      </c>
      <c r="P203">
        <f t="shared" si="50"/>
        <v>59.999995657057269</v>
      </c>
      <c r="Q203">
        <f t="shared" si="51"/>
        <v>-89.94270423958551</v>
      </c>
      <c r="R203">
        <f t="shared" si="43"/>
        <v>46.019608115690318</v>
      </c>
      <c r="S203">
        <f t="shared" si="52"/>
        <v>89.193361241438055</v>
      </c>
    </row>
    <row r="204" spans="7:19" x14ac:dyDescent="0.25">
      <c r="G204">
        <f t="shared" si="44"/>
        <v>3.0200000000000027</v>
      </c>
      <c r="H204">
        <f t="shared" si="40"/>
        <v>10471.285480509066</v>
      </c>
      <c r="I204" t="str">
        <f t="shared" si="45"/>
        <v>65793.0270784175j</v>
      </c>
      <c r="J204" t="str">
        <f t="shared" si="41"/>
        <v>5+0.0789516324941008j</v>
      </c>
      <c r="K204">
        <f t="shared" si="46"/>
        <v>13.980482797335672</v>
      </c>
      <c r="L204">
        <f t="shared" si="47"/>
        <v>0.904643884231074</v>
      </c>
      <c r="M204">
        <f t="shared" si="48"/>
        <v>5</v>
      </c>
      <c r="N204">
        <f t="shared" si="49"/>
        <v>7.8951632494100796E-2</v>
      </c>
      <c r="O204" t="str">
        <f t="shared" si="42"/>
        <v>0.912010007592879-954.991715058631j</v>
      </c>
      <c r="P204">
        <f t="shared" si="50"/>
        <v>59.599996039188966</v>
      </c>
      <c r="Q204">
        <f t="shared" si="51"/>
        <v>-89.94528297198886</v>
      </c>
      <c r="R204">
        <f t="shared" si="43"/>
        <v>45.619513241853298</v>
      </c>
      <c r="S204">
        <f t="shared" si="52"/>
        <v>89.150073143780062</v>
      </c>
    </row>
    <row r="205" spans="7:19" x14ac:dyDescent="0.25">
      <c r="G205">
        <f t="shared" si="44"/>
        <v>3.0400000000000027</v>
      </c>
      <c r="H205">
        <f t="shared" si="40"/>
        <v>10964.781961431923</v>
      </c>
      <c r="I205" t="str">
        <f t="shared" si="45"/>
        <v>68893.7569164968j</v>
      </c>
      <c r="J205" t="str">
        <f t="shared" si="41"/>
        <v>5+0.082672508299796j</v>
      </c>
      <c r="K205">
        <f t="shared" si="46"/>
        <v>13.980587241027109</v>
      </c>
      <c r="L205">
        <f t="shared" si="47"/>
        <v>0.9472708430487714</v>
      </c>
      <c r="M205">
        <f t="shared" si="48"/>
        <v>5</v>
      </c>
      <c r="N205">
        <f t="shared" si="49"/>
        <v>8.2672508299795999E-2</v>
      </c>
      <c r="O205" t="str">
        <f t="shared" si="42"/>
        <v>0.831763079272268-912.010080778962j</v>
      </c>
      <c r="P205">
        <f t="shared" si="50"/>
        <v>59.199996387697311</v>
      </c>
      <c r="Q205">
        <f t="shared" si="51"/>
        <v>-89.947745642522477</v>
      </c>
      <c r="R205">
        <f t="shared" si="43"/>
        <v>45.219409146670202</v>
      </c>
      <c r="S205">
        <f t="shared" si="52"/>
        <v>89.104983514428753</v>
      </c>
    </row>
    <row r="206" spans="7:19" x14ac:dyDescent="0.25">
      <c r="G206">
        <f t="shared" si="44"/>
        <v>3.0600000000000027</v>
      </c>
      <c r="H206">
        <f t="shared" si="40"/>
        <v>11481.53621496891</v>
      </c>
      <c r="I206" t="str">
        <f t="shared" si="45"/>
        <v>72140.619649743j</v>
      </c>
      <c r="J206" t="str">
        <f t="shared" si="41"/>
        <v>5+0.0865687435796916j</v>
      </c>
      <c r="K206">
        <f t="shared" si="46"/>
        <v>13.980701758370609</v>
      </c>
      <c r="L206">
        <f t="shared" si="47"/>
        <v>0.99190562373605007</v>
      </c>
      <c r="M206">
        <f t="shared" si="48"/>
        <v>5</v>
      </c>
      <c r="N206">
        <f t="shared" si="49"/>
        <v>8.6568743579691604E-2</v>
      </c>
      <c r="O206" t="str">
        <f t="shared" si="42"/>
        <v>0.758576999589673-870.962929263128j</v>
      </c>
      <c r="P206">
        <f t="shared" si="50"/>
        <v>58.799996705540643</v>
      </c>
      <c r="Q206">
        <f t="shared" si="51"/>
        <v>-89.950097474804267</v>
      </c>
      <c r="R206">
        <f t="shared" si="43"/>
        <v>44.819294947170036</v>
      </c>
      <c r="S206">
        <f t="shared" si="52"/>
        <v>89.057996901459688</v>
      </c>
    </row>
    <row r="207" spans="7:19" x14ac:dyDescent="0.25">
      <c r="G207">
        <f t="shared" si="44"/>
        <v>3.0800000000000027</v>
      </c>
      <c r="H207">
        <f t="shared" si="40"/>
        <v>12022.644346174213</v>
      </c>
      <c r="I207" t="str">
        <f t="shared" si="45"/>
        <v>75540.5023093275j</v>
      </c>
      <c r="J207" t="str">
        <f t="shared" si="41"/>
        <v>5+0.0906486027711928j</v>
      </c>
      <c r="K207">
        <f t="shared" si="46"/>
        <v>13.980827320670222</v>
      </c>
      <c r="L207">
        <f t="shared" si="47"/>
        <v>1.0386426854463537</v>
      </c>
      <c r="M207">
        <f t="shared" si="48"/>
        <v>5</v>
      </c>
      <c r="N207">
        <f t="shared" si="49"/>
        <v>9.0648602771192799E-2</v>
      </c>
      <c r="O207" t="str">
        <f t="shared" si="42"/>
        <v>0.691830492289167-831.763195663127j</v>
      </c>
      <c r="P207">
        <f t="shared" si="50"/>
        <v>58.399996995417254</v>
      </c>
      <c r="Q207">
        <f t="shared" si="51"/>
        <v>-89.952343457354019</v>
      </c>
      <c r="R207">
        <f t="shared" si="43"/>
        <v>44.419169674747032</v>
      </c>
      <c r="S207">
        <f t="shared" si="52"/>
        <v>89.009013857199633</v>
      </c>
    </row>
    <row r="208" spans="7:19" x14ac:dyDescent="0.25">
      <c r="G208">
        <f t="shared" si="44"/>
        <v>3.1000000000000028</v>
      </c>
      <c r="H208">
        <f t="shared" si="40"/>
        <v>12589.254117941757</v>
      </c>
      <c r="I208" t="str">
        <f t="shared" si="45"/>
        <v>79100.6165022018j</v>
      </c>
      <c r="J208" t="str">
        <f t="shared" si="41"/>
        <v>5+0.094920739802642j</v>
      </c>
      <c r="K208">
        <f t="shared" si="46"/>
        <v>13.980964992821649</v>
      </c>
      <c r="L208">
        <f t="shared" si="47"/>
        <v>1.0875809143947319</v>
      </c>
      <c r="M208">
        <f t="shared" si="48"/>
        <v>5</v>
      </c>
      <c r="N208">
        <f t="shared" si="49"/>
        <v>9.4920739802641999E-2</v>
      </c>
      <c r="O208" t="str">
        <f t="shared" si="42"/>
        <v>0.630956946373261-794.327733537356j</v>
      </c>
      <c r="P208">
        <f t="shared" si="50"/>
        <v>57.999997259787847</v>
      </c>
      <c r="Q208">
        <f t="shared" si="51"/>
        <v>-89.954488354174188</v>
      </c>
      <c r="R208">
        <f t="shared" si="43"/>
        <v>44.0190322669662</v>
      </c>
      <c r="S208">
        <f t="shared" si="52"/>
        <v>88.957930731431077</v>
      </c>
    </row>
    <row r="209" spans="7:19" x14ac:dyDescent="0.25">
      <c r="G209">
        <f t="shared" si="44"/>
        <v>3.1200000000000028</v>
      </c>
      <c r="H209">
        <f t="shared" si="40"/>
        <v>13182.567385564171</v>
      </c>
      <c r="I209" t="str">
        <f t="shared" si="45"/>
        <v>82828.5137078816j</v>
      </c>
      <c r="J209" t="str">
        <f t="shared" si="41"/>
        <v>5+0.099394216449458j</v>
      </c>
      <c r="K209">
        <f t="shared" si="46"/>
        <v>13.981115942317954</v>
      </c>
      <c r="L209">
        <f t="shared" si="47"/>
        <v>1.1388238288497203</v>
      </c>
      <c r="M209">
        <f t="shared" si="48"/>
        <v>5</v>
      </c>
      <c r="N209">
        <f t="shared" si="49"/>
        <v>9.9394216449458006E-2</v>
      </c>
      <c r="O209" t="str">
        <f t="shared" si="42"/>
        <v>0.575439606206215-758.577138513595j</v>
      </c>
      <c r="P209">
        <f t="shared" si="50"/>
        <v>57.599997500896734</v>
      </c>
      <c r="Q209">
        <f t="shared" si="51"/>
        <v>-89.956536714854408</v>
      </c>
      <c r="R209">
        <f t="shared" si="43"/>
        <v>43.618881558578778</v>
      </c>
      <c r="S209">
        <f t="shared" si="52"/>
        <v>88.904639456295868</v>
      </c>
    </row>
    <row r="210" spans="7:19" x14ac:dyDescent="0.25">
      <c r="G210">
        <f t="shared" si="44"/>
        <v>3.1400000000000028</v>
      </c>
      <c r="H210">
        <f t="shared" si="40"/>
        <v>13803.84264602895</v>
      </c>
      <c r="I210" t="str">
        <f t="shared" si="45"/>
        <v>86732.1012961481j</v>
      </c>
      <c r="J210" t="str">
        <f t="shared" si="41"/>
        <v>5+0.104078521555378j</v>
      </c>
      <c r="K210">
        <f t="shared" si="46"/>
        <v>13.981281449119285</v>
      </c>
      <c r="L210">
        <f t="shared" si="47"/>
        <v>1.1924797932468052</v>
      </c>
      <c r="M210">
        <f t="shared" si="48"/>
        <v>5</v>
      </c>
      <c r="N210">
        <f t="shared" si="49"/>
        <v>0.104078521555378</v>
      </c>
      <c r="O210" t="str">
        <f t="shared" si="42"/>
        <v>0.524807184827035-724.435579885785j</v>
      </c>
      <c r="P210">
        <f t="shared" si="50"/>
        <v>57.199997720790662</v>
      </c>
      <c r="Q210">
        <f t="shared" si="51"/>
        <v>-89.958492884221286</v>
      </c>
      <c r="R210">
        <f t="shared" si="43"/>
        <v>43.218716271671376</v>
      </c>
      <c r="S210">
        <f t="shared" si="52"/>
        <v>88.84902732253191</v>
      </c>
    </row>
    <row r="211" spans="7:19" x14ac:dyDescent="0.25">
      <c r="G211">
        <f t="shared" si="44"/>
        <v>3.1600000000000028</v>
      </c>
      <c r="H211">
        <f t="shared" si="40"/>
        <v>14454.397707459377</v>
      </c>
      <c r="I211" t="str">
        <f t="shared" si="45"/>
        <v>90819.6592996391j</v>
      </c>
      <c r="J211" t="str">
        <f t="shared" si="41"/>
        <v>5+0.108983591159567j</v>
      </c>
      <c r="K211">
        <f t="shared" si="46"/>
        <v>13.981462916469059</v>
      </c>
      <c r="L211">
        <f t="shared" si="47"/>
        <v>1.2486622417736681</v>
      </c>
      <c r="M211">
        <f t="shared" si="48"/>
        <v>5</v>
      </c>
      <c r="N211">
        <f t="shared" si="49"/>
        <v>0.108983591159567</v>
      </c>
      <c r="O211" t="str">
        <f t="shared" si="42"/>
        <v>0.478629863235974-691.830639787967j</v>
      </c>
      <c r="P211">
        <f t="shared" si="50"/>
        <v>56.799997921336342</v>
      </c>
      <c r="Q211">
        <f t="shared" si="51"/>
        <v>-89.960361011554042</v>
      </c>
      <c r="R211">
        <f t="shared" si="43"/>
        <v>42.818535004867286</v>
      </c>
      <c r="S211">
        <f t="shared" si="52"/>
        <v>88.790976746672285</v>
      </c>
    </row>
    <row r="212" spans="7:19" x14ac:dyDescent="0.25">
      <c r="G212">
        <f t="shared" si="44"/>
        <v>3.1800000000000028</v>
      </c>
      <c r="H212">
        <f t="shared" si="40"/>
        <v>15135.612484362187</v>
      </c>
      <c r="I212" t="str">
        <f t="shared" si="45"/>
        <v>95099.8579769084j</v>
      </c>
      <c r="J212" t="str">
        <f t="shared" si="41"/>
        <v>5+0.11411982957229j</v>
      </c>
      <c r="K212">
        <f t="shared" si="46"/>
        <v>13.981661882746671</v>
      </c>
      <c r="L212">
        <f t="shared" si="47"/>
        <v>1.3074899117823109</v>
      </c>
      <c r="M212">
        <f t="shared" si="48"/>
        <v>5</v>
      </c>
      <c r="N212">
        <f t="shared" si="49"/>
        <v>0.11411982957229</v>
      </c>
      <c r="O212" t="str">
        <f t="shared" si="42"/>
        <v>0.436515641694171-660.693159604566j</v>
      </c>
      <c r="P212">
        <f t="shared" si="50"/>
        <v>56.399998104236168</v>
      </c>
      <c r="Q212">
        <f t="shared" si="51"/>
        <v>-89.962145059385321</v>
      </c>
      <c r="R212">
        <f t="shared" si="43"/>
        <v>42.418336221489497</v>
      </c>
      <c r="S212">
        <f t="shared" si="52"/>
        <v>88.730365028832367</v>
      </c>
    </row>
    <row r="213" spans="7:19" x14ac:dyDescent="0.25">
      <c r="G213">
        <f t="shared" si="44"/>
        <v>3.2000000000000028</v>
      </c>
      <c r="H213">
        <f t="shared" si="40"/>
        <v>15848.931924611257</v>
      </c>
      <c r="I213" t="str">
        <f t="shared" si="45"/>
        <v>99581.7762032069j</v>
      </c>
      <c r="J213" t="str">
        <f t="shared" si="41"/>
        <v>5+0.119498131443848j</v>
      </c>
      <c r="K213">
        <f t="shared" si="46"/>
        <v>13.981880034455399</v>
      </c>
      <c r="L213">
        <f t="shared" si="47"/>
        <v>1.3690870873863881</v>
      </c>
      <c r="M213">
        <f t="shared" si="48"/>
        <v>5</v>
      </c>
      <c r="N213">
        <f t="shared" si="49"/>
        <v>0.11949813144384799</v>
      </c>
      <c r="O213" t="str">
        <f t="shared" si="42"/>
        <v>0.398107012064233-630.957093291643j</v>
      </c>
      <c r="P213">
        <f t="shared" si="50"/>
        <v>55.99999827104277</v>
      </c>
      <c r="Q213">
        <f t="shared" si="51"/>
        <v>-89.963848811905862</v>
      </c>
      <c r="R213">
        <f t="shared" si="43"/>
        <v>42.01811823658737</v>
      </c>
      <c r="S213">
        <f t="shared" si="52"/>
        <v>88.667064100707748</v>
      </c>
    </row>
    <row r="214" spans="7:19" x14ac:dyDescent="0.25">
      <c r="G214">
        <f t="shared" si="44"/>
        <v>3.2200000000000029</v>
      </c>
      <c r="H214">
        <f t="shared" si="40"/>
        <v>16595.869074375729</v>
      </c>
      <c r="I214" t="str">
        <f t="shared" si="45"/>
        <v>104274.920727994j</v>
      </c>
      <c r="J214" t="str">
        <f t="shared" si="41"/>
        <v>5+0.125129904873593j</v>
      </c>
      <c r="K214">
        <f t="shared" si="46"/>
        <v>13.982119220453287</v>
      </c>
      <c r="L214">
        <f t="shared" si="47"/>
        <v>1.4335838536036467</v>
      </c>
      <c r="M214">
        <f t="shared" si="48"/>
        <v>5</v>
      </c>
      <c r="N214">
        <f t="shared" si="49"/>
        <v>0.12512990487359299</v>
      </c>
      <c r="O214" t="str">
        <f t="shared" si="42"/>
        <v>0.363077922944467-602.559367298268j</v>
      </c>
      <c r="P214">
        <f t="shared" si="50"/>
        <v>55.599998423172238</v>
      </c>
      <c r="Q214">
        <f t="shared" si="51"/>
        <v>-89.965475882991115</v>
      </c>
      <c r="R214">
        <f t="shared" si="43"/>
        <v>41.617879202718953</v>
      </c>
      <c r="S214">
        <f t="shared" si="52"/>
        <v>88.600940263405235</v>
      </c>
    </row>
    <row r="215" spans="7:19" x14ac:dyDescent="0.25">
      <c r="G215">
        <f t="shared" si="44"/>
        <v>3.2400000000000029</v>
      </c>
      <c r="H215">
        <f t="shared" si="40"/>
        <v>17378.008287493882</v>
      </c>
      <c r="I215" t="str">
        <f t="shared" si="45"/>
        <v>109189.246340027j</v>
      </c>
      <c r="J215" t="str">
        <f t="shared" si="41"/>
        <v>5+0.131027095608032j</v>
      </c>
      <c r="K215">
        <f t="shared" si="46"/>
        <v>13.982381467544922</v>
      </c>
      <c r="L215">
        <f t="shared" si="47"/>
        <v>1.5011163614025667</v>
      </c>
      <c r="M215">
        <f t="shared" si="48"/>
        <v>5</v>
      </c>
      <c r="N215">
        <f t="shared" si="49"/>
        <v>0.131027095608032</v>
      </c>
      <c r="O215" t="str">
        <f t="shared" si="42"/>
        <v>0.331131011834802-575.439746791143j</v>
      </c>
      <c r="P215">
        <f t="shared" si="50"/>
        <v>55.199998561915969</v>
      </c>
      <c r="Q215">
        <f t="shared" si="51"/>
        <v>-89.967029723866474</v>
      </c>
      <c r="R215">
        <f t="shared" si="43"/>
        <v>41.21761709437105</v>
      </c>
      <c r="S215">
        <f t="shared" si="52"/>
        <v>88.531853914730959</v>
      </c>
    </row>
    <row r="216" spans="7:19" x14ac:dyDescent="0.25">
      <c r="G216">
        <f t="shared" si="44"/>
        <v>3.2600000000000029</v>
      </c>
      <c r="H216">
        <f t="shared" si="40"/>
        <v>18197.008586099961</v>
      </c>
      <c r="I216" t="str">
        <f t="shared" si="45"/>
        <v>114335.176982804j</v>
      </c>
      <c r="J216" t="str">
        <f t="shared" si="41"/>
        <v>5+0.137202212379365j</v>
      </c>
      <c r="K216">
        <f t="shared" si="46"/>
        <v>13.982668997562985</v>
      </c>
      <c r="L216">
        <f t="shared" si="47"/>
        <v>1.5718271040092835</v>
      </c>
      <c r="M216">
        <f t="shared" si="48"/>
        <v>5</v>
      </c>
      <c r="N216">
        <f t="shared" si="49"/>
        <v>0.137202212379365</v>
      </c>
      <c r="O216" t="str">
        <f t="shared" si="42"/>
        <v>0.30199508083914-549.540707898979j</v>
      </c>
      <c r="P216">
        <f t="shared" si="50"/>
        <v>54.799998688451758</v>
      </c>
      <c r="Q216">
        <f t="shared" si="51"/>
        <v>-89.968513630427609</v>
      </c>
      <c r="R216">
        <f t="shared" si="43"/>
        <v>40.817329690888769</v>
      </c>
      <c r="S216">
        <f t="shared" si="52"/>
        <v>88.459659265563104</v>
      </c>
    </row>
    <row r="217" spans="7:19" x14ac:dyDescent="0.25">
      <c r="G217">
        <f t="shared" si="44"/>
        <v>3.2800000000000029</v>
      </c>
      <c r="H217">
        <f t="shared" si="40"/>
        <v>19054.607179632618</v>
      </c>
      <c r="I217" t="str">
        <f t="shared" si="45"/>
        <v>119723.627865146j</v>
      </c>
      <c r="J217" t="str">
        <f t="shared" si="41"/>
        <v>5+0.143668353438175j</v>
      </c>
      <c r="K217">
        <f t="shared" si="46"/>
        <v>13.982984246080314</v>
      </c>
      <c r="L217">
        <f t="shared" si="47"/>
        <v>1.6458652048239633</v>
      </c>
      <c r="M217">
        <f t="shared" si="48"/>
        <v>5</v>
      </c>
      <c r="N217">
        <f t="shared" si="49"/>
        <v>0.14366835343817499</v>
      </c>
      <c r="O217" t="str">
        <f t="shared" si="42"/>
        <v>0.275422794476076-524.807315705832j</v>
      </c>
      <c r="P217">
        <f t="shared" si="50"/>
        <v>54.399998803853784</v>
      </c>
      <c r="Q217">
        <f t="shared" si="51"/>
        <v>-89.969930750231299</v>
      </c>
      <c r="R217">
        <f t="shared" si="43"/>
        <v>40.41701455777347</v>
      </c>
      <c r="S217">
        <f t="shared" si="52"/>
        <v>88.384204044944738</v>
      </c>
    </row>
    <row r="218" spans="7:19" x14ac:dyDescent="0.25">
      <c r="G218">
        <f t="shared" si="44"/>
        <v>3.3000000000000029</v>
      </c>
      <c r="H218">
        <f t="shared" si="40"/>
        <v>19952.623149688949</v>
      </c>
      <c r="I218" t="str">
        <f t="shared" si="45"/>
        <v>125366.028613817j</v>
      </c>
      <c r="J218" t="str">
        <f t="shared" si="41"/>
        <v>5+0.15043923433658j</v>
      </c>
      <c r="K218">
        <f t="shared" si="46"/>
        <v>13.983329882906366</v>
      </c>
      <c r="L218">
        <f t="shared" si="47"/>
        <v>1.7233867172864104</v>
      </c>
      <c r="M218">
        <f t="shared" si="48"/>
        <v>5</v>
      </c>
      <c r="N218">
        <f t="shared" si="49"/>
        <v>0.15043923433657999</v>
      </c>
      <c r="O218" t="str">
        <f t="shared" si="42"/>
        <v>0.251188580055234-501.187107734758j</v>
      </c>
      <c r="P218">
        <f t="shared" si="50"/>
        <v>53.999998909101635</v>
      </c>
      <c r="Q218">
        <f t="shared" si="51"/>
        <v>-89.971284089171704</v>
      </c>
      <c r="R218">
        <f t="shared" si="43"/>
        <v>40.016669026195267</v>
      </c>
      <c r="S218">
        <f t="shared" si="52"/>
        <v>88.30532919354188</v>
      </c>
    </row>
    <row r="219" spans="7:19" x14ac:dyDescent="0.25">
      <c r="G219">
        <f t="shared" si="44"/>
        <v>3.3200000000000029</v>
      </c>
      <c r="H219">
        <f t="shared" si="40"/>
        <v>20892.961308540547</v>
      </c>
      <c r="I219" t="str">
        <f t="shared" si="45"/>
        <v>131274.347517294j</v>
      </c>
      <c r="J219" t="str">
        <f t="shared" si="41"/>
        <v>5+0.157529217020753j</v>
      </c>
      <c r="K219">
        <f t="shared" si="46"/>
        <v>13.983708834535927</v>
      </c>
      <c r="L219">
        <f t="shared" si="47"/>
        <v>1.8045549370156735</v>
      </c>
      <c r="M219">
        <f t="shared" si="48"/>
        <v>5</v>
      </c>
      <c r="N219">
        <f t="shared" si="49"/>
        <v>0.15752921702075301</v>
      </c>
      <c r="O219" t="str">
        <f t="shared" si="42"/>
        <v>0.229086712796039-478.629982674839j</v>
      </c>
      <c r="P219">
        <f t="shared" si="50"/>
        <v>53.599999005088847</v>
      </c>
      <c r="Q219">
        <f t="shared" si="51"/>
        <v>-89.972576517856083</v>
      </c>
      <c r="R219">
        <f t="shared" si="43"/>
        <v>39.616290170552922</v>
      </c>
      <c r="S219">
        <f t="shared" si="52"/>
        <v>88.22286854512825</v>
      </c>
    </row>
    <row r="220" spans="7:19" x14ac:dyDescent="0.25">
      <c r="G220">
        <f t="shared" si="44"/>
        <v>3.340000000000003</v>
      </c>
      <c r="H220">
        <f t="shared" si="40"/>
        <v>21877.616239495685</v>
      </c>
      <c r="I220" t="str">
        <f t="shared" si="45"/>
        <v>137461.116912113j</v>
      </c>
      <c r="J220" t="str">
        <f t="shared" si="41"/>
        <v>5+0.164953340294536j</v>
      </c>
      <c r="K220">
        <f t="shared" si="46"/>
        <v>13.984124308733413</v>
      </c>
      <c r="L220">
        <f t="shared" si="47"/>
        <v>1.8895407265294262</v>
      </c>
      <c r="M220">
        <f t="shared" si="48"/>
        <v>5</v>
      </c>
      <c r="N220">
        <f t="shared" si="49"/>
        <v>0.16495334029453601</v>
      </c>
      <c r="O220" t="str">
        <f t="shared" si="42"/>
        <v>0.208929569433826-457.088094115633j</v>
      </c>
      <c r="P220">
        <f t="shared" si="50"/>
        <v>53.19999909263025</v>
      </c>
      <c r="Q220">
        <f t="shared" si="51"/>
        <v>-89.9738107776937</v>
      </c>
      <c r="R220">
        <f t="shared" si="43"/>
        <v>39.215874783896837</v>
      </c>
      <c r="S220">
        <f t="shared" si="52"/>
        <v>88.136648495776868</v>
      </c>
    </row>
    <row r="221" spans="7:19" x14ac:dyDescent="0.25">
      <c r="G221">
        <f t="shared" si="44"/>
        <v>3.360000000000003</v>
      </c>
      <c r="H221">
        <f t="shared" si="40"/>
        <v>22908.676527677912</v>
      </c>
      <c r="I221" t="str">
        <f t="shared" si="45"/>
        <v>143939.459765636j</v>
      </c>
      <c r="J221" t="str">
        <f t="shared" si="41"/>
        <v>5+0.172727351718763j</v>
      </c>
      <c r="K221">
        <f t="shared" si="46"/>
        <v>13.984579821452662</v>
      </c>
      <c r="L221">
        <f t="shared" si="47"/>
        <v>1.9785228528232996</v>
      </c>
      <c r="M221">
        <f t="shared" si="48"/>
        <v>5</v>
      </c>
      <c r="N221">
        <f t="shared" si="49"/>
        <v>0.17272735171876299</v>
      </c>
      <c r="O221" t="str">
        <f t="shared" si="42"/>
        <v>0.190546035488522-436.5157490638j</v>
      </c>
      <c r="P221">
        <f t="shared" si="50"/>
        <v>52.799999172468908</v>
      </c>
      <c r="Q221">
        <f t="shared" si="51"/>
        <v>-89.974989486710555</v>
      </c>
      <c r="R221">
        <f t="shared" si="43"/>
        <v>38.815419351016246</v>
      </c>
      <c r="S221">
        <f t="shared" si="52"/>
        <v>88.046487660466141</v>
      </c>
    </row>
    <row r="222" spans="7:19" x14ac:dyDescent="0.25">
      <c r="G222">
        <f t="shared" si="44"/>
        <v>3.380000000000003</v>
      </c>
      <c r="H222">
        <f t="shared" si="40"/>
        <v>23988.329190195091</v>
      </c>
      <c r="I222" t="str">
        <f t="shared" si="45"/>
        <v>150723.117511621j</v>
      </c>
      <c r="J222" t="str">
        <f t="shared" si="41"/>
        <v>5+0.180867741013945j</v>
      </c>
      <c r="K222">
        <f t="shared" si="46"/>
        <v>13.98507922631028</v>
      </c>
      <c r="L222">
        <f t="shared" si="47"/>
        <v>2.0716883380579043</v>
      </c>
      <c r="M222">
        <f t="shared" si="48"/>
        <v>5</v>
      </c>
      <c r="N222">
        <f t="shared" si="49"/>
        <v>0.18086774101394501</v>
      </c>
      <c r="O222" t="str">
        <f t="shared" si="42"/>
        <v>0.173780052675423-416.869311026749j</v>
      </c>
      <c r="P222">
        <f t="shared" si="50"/>
        <v>52.399999245282693</v>
      </c>
      <c r="Q222">
        <f t="shared" si="51"/>
        <v>-89.976115145102497</v>
      </c>
      <c r="R222">
        <f t="shared" si="43"/>
        <v>38.41492001897241</v>
      </c>
      <c r="S222">
        <f t="shared" si="52"/>
        <v>87.952196516839592</v>
      </c>
    </row>
    <row r="223" spans="7:19" x14ac:dyDescent="0.25">
      <c r="G223">
        <f t="shared" si="44"/>
        <v>3.400000000000003</v>
      </c>
      <c r="H223">
        <f t="shared" si="40"/>
        <v>25118.864315095991</v>
      </c>
      <c r="I223" t="str">
        <f t="shared" si="45"/>
        <v>157826.479197649j</v>
      </c>
      <c r="J223" t="str">
        <f t="shared" si="41"/>
        <v>5+0.189391775037179j</v>
      </c>
      <c r="K223">
        <f t="shared" si="46"/>
        <v>13.985626746850063</v>
      </c>
      <c r="L223">
        <f t="shared" si="47"/>
        <v>2.169232823561118</v>
      </c>
      <c r="M223">
        <f t="shared" si="48"/>
        <v>5</v>
      </c>
      <c r="N223">
        <f t="shared" si="49"/>
        <v>0.18939177503717899</v>
      </c>
      <c r="O223" t="str">
        <f t="shared" si="42"/>
        <v>0.158489294127249-398.10710745777j</v>
      </c>
      <c r="P223">
        <f t="shared" si="50"/>
        <v>51.999999311689621</v>
      </c>
      <c r="Q223">
        <f t="shared" si="51"/>
        <v>-89.977190140538426</v>
      </c>
      <c r="R223">
        <f t="shared" si="43"/>
        <v>38.014372564839562</v>
      </c>
      <c r="S223">
        <f t="shared" si="52"/>
        <v>87.853577035900457</v>
      </c>
    </row>
    <row r="224" spans="7:19" x14ac:dyDescent="0.25">
      <c r="G224">
        <f t="shared" si="44"/>
        <v>3.420000000000003</v>
      </c>
      <c r="H224">
        <f t="shared" si="40"/>
        <v>26302.679918954014</v>
      </c>
      <c r="I224" t="str">
        <f t="shared" si="45"/>
        <v>165264.612006219j</v>
      </c>
      <c r="J224" t="str">
        <f t="shared" si="41"/>
        <v>5+0.198317534407463j</v>
      </c>
      <c r="K224">
        <f t="shared" si="46"/>
        <v>13.986227011857313</v>
      </c>
      <c r="L224">
        <f t="shared" si="47"/>
        <v>2.271360947303231</v>
      </c>
      <c r="M224">
        <f t="shared" si="48"/>
        <v>5</v>
      </c>
      <c r="N224">
        <f t="shared" si="49"/>
        <v>0.198317534407463</v>
      </c>
      <c r="O224" t="str">
        <f t="shared" si="42"/>
        <v>0.144543956181634-380.189341366481j</v>
      </c>
      <c r="P224">
        <f t="shared" si="50"/>
        <v>51.599999372253514</v>
      </c>
      <c r="Q224">
        <f t="shared" si="51"/>
        <v>-89.978216753224757</v>
      </c>
      <c r="R224">
        <f t="shared" si="43"/>
        <v>37.613772360396197</v>
      </c>
      <c r="S224">
        <f t="shared" si="52"/>
        <v>87.750422299472007</v>
      </c>
    </row>
    <row r="225" spans="7:19" x14ac:dyDescent="0.25">
      <c r="G225">
        <f t="shared" si="44"/>
        <v>3.4400000000000031</v>
      </c>
      <c r="H225">
        <f t="shared" si="40"/>
        <v>27542.287033381886</v>
      </c>
      <c r="I225" t="str">
        <f t="shared" si="45"/>
        <v>173053.293214268j</v>
      </c>
      <c r="J225" t="str">
        <f t="shared" si="41"/>
        <v>5+0.207663951857122j</v>
      </c>
      <c r="K225">
        <f t="shared" si="46"/>
        <v>13.986885094004609</v>
      </c>
      <c r="L225">
        <f t="shared" si="47"/>
        <v>2.378286734942193</v>
      </c>
      <c r="M225">
        <f t="shared" si="48"/>
        <v>5</v>
      </c>
      <c r="N225">
        <f t="shared" si="49"/>
        <v>0.207663951857122</v>
      </c>
      <c r="O225" t="str">
        <f t="shared" si="42"/>
        <v>0.131825656477632-363.078006907095j</v>
      </c>
      <c r="P225">
        <f t="shared" si="50"/>
        <v>51.199999427488329</v>
      </c>
      <c r="Q225">
        <f t="shared" si="51"/>
        <v>-89.979197160741975</v>
      </c>
      <c r="R225">
        <f t="shared" si="43"/>
        <v>37.213114333483716</v>
      </c>
      <c r="S225">
        <f t="shared" si="52"/>
        <v>87.642516104315831</v>
      </c>
    </row>
    <row r="226" spans="7:19" x14ac:dyDescent="0.25">
      <c r="G226">
        <f t="shared" si="44"/>
        <v>3.4600000000000031</v>
      </c>
      <c r="H226">
        <f t="shared" si="40"/>
        <v>28840.315031266287</v>
      </c>
      <c r="I226" t="str">
        <f t="shared" si="45"/>
        <v>181209.043658883j</v>
      </c>
      <c r="J226" t="str">
        <f t="shared" si="41"/>
        <v>5+0.21745085239066j</v>
      </c>
      <c r="K226">
        <f t="shared" si="46"/>
        <v>13.987606552135244</v>
      </c>
      <c r="L226">
        <f t="shared" si="47"/>
        <v>2.4902340044625038</v>
      </c>
      <c r="M226">
        <f t="shared" si="48"/>
        <v>5</v>
      </c>
      <c r="N226">
        <f t="shared" si="49"/>
        <v>0.21745085239066</v>
      </c>
      <c r="O226" t="str">
        <f t="shared" si="42"/>
        <v>0.120226429007343-346.736808765595j</v>
      </c>
      <c r="P226">
        <f t="shared" si="50"/>
        <v>50.799999477863139</v>
      </c>
      <c r="Q226">
        <f t="shared" si="51"/>
        <v>-89.980133442663572</v>
      </c>
      <c r="R226">
        <f t="shared" si="43"/>
        <v>36.812392925727892</v>
      </c>
      <c r="S226">
        <f t="shared" si="52"/>
        <v>87.52963255287392</v>
      </c>
    </row>
    <row r="227" spans="7:19" x14ac:dyDescent="0.25">
      <c r="G227">
        <f t="shared" si="44"/>
        <v>3.4800000000000031</v>
      </c>
      <c r="H227">
        <f t="shared" si="40"/>
        <v>30199.517204020391</v>
      </c>
      <c r="I227" t="str">
        <f t="shared" si="45"/>
        <v>189749.162780218j</v>
      </c>
      <c r="J227" t="str">
        <f t="shared" si="41"/>
        <v>5+0.227698995336262j</v>
      </c>
      <c r="K227">
        <f t="shared" si="46"/>
        <v>13.98839747751714</v>
      </c>
      <c r="L227">
        <f t="shared" si="47"/>
        <v>2.6074367843444746</v>
      </c>
      <c r="M227">
        <f t="shared" si="48"/>
        <v>5</v>
      </c>
      <c r="N227">
        <f t="shared" si="49"/>
        <v>0.22769899533626201</v>
      </c>
      <c r="O227" t="str">
        <f t="shared" si="42"/>
        <v>0.109647807591674-331.131085174787j</v>
      </c>
      <c r="P227">
        <f t="shared" si="50"/>
        <v>50.399999523805533</v>
      </c>
      <c r="Q227">
        <f t="shared" si="51"/>
        <v>-89.981027584967052</v>
      </c>
      <c r="R227">
        <f t="shared" si="43"/>
        <v>36.411602046288394</v>
      </c>
      <c r="S227">
        <f t="shared" si="52"/>
        <v>87.411535630688476</v>
      </c>
    </row>
    <row r="228" spans="7:19" x14ac:dyDescent="0.25">
      <c r="G228">
        <f t="shared" si="44"/>
        <v>3.5000000000000031</v>
      </c>
      <c r="H228">
        <f t="shared" si="40"/>
        <v>31622.776601684025</v>
      </c>
      <c r="I228" t="str">
        <f t="shared" si="45"/>
        <v>198691.765315923j</v>
      </c>
      <c r="J228" t="str">
        <f t="shared" si="41"/>
        <v>5+0.238430118379108j</v>
      </c>
      <c r="K228">
        <f t="shared" si="46"/>
        <v>13.989264544428433</v>
      </c>
      <c r="L228">
        <f t="shared" si="47"/>
        <v>2.7301397450954714</v>
      </c>
      <c r="M228">
        <f t="shared" si="48"/>
        <v>5</v>
      </c>
      <c r="N228">
        <f t="shared" si="49"/>
        <v>0.23843011837910799</v>
      </c>
      <c r="O228" t="str">
        <f t="shared" si="42"/>
        <v>0.0999999900000003-316.227734394063j</v>
      </c>
      <c r="P228">
        <f t="shared" si="50"/>
        <v>49.999999565705494</v>
      </c>
      <c r="Q228">
        <f t="shared" si="51"/>
        <v>-89.981881484246344</v>
      </c>
      <c r="R228">
        <f t="shared" si="43"/>
        <v>36.010735021277057</v>
      </c>
      <c r="S228">
        <f t="shared" si="52"/>
        <v>87.287978770658185</v>
      </c>
    </row>
    <row r="229" spans="7:19" x14ac:dyDescent="0.25">
      <c r="G229">
        <f t="shared" si="44"/>
        <v>3.5200000000000031</v>
      </c>
      <c r="H229">
        <f t="shared" si="40"/>
        <v>33113.112148259344</v>
      </c>
      <c r="I229" t="str">
        <f t="shared" si="45"/>
        <v>208055.819724933j</v>
      </c>
      <c r="J229" t="str">
        <f t="shared" si="41"/>
        <v>5+0.24966698366992j</v>
      </c>
      <c r="K229">
        <f t="shared" si="46"/>
        <v>13.990215065466431</v>
      </c>
      <c r="L229">
        <f t="shared" si="47"/>
        <v>2.858598643851967</v>
      </c>
      <c r="M229">
        <f t="shared" si="48"/>
        <v>5</v>
      </c>
      <c r="N229">
        <f t="shared" si="49"/>
        <v>0.24966698366991999</v>
      </c>
      <c r="O229" t="str">
        <f t="shared" si="42"/>
        <v>0.0912010756179524-301.995144497914j</v>
      </c>
      <c r="P229">
        <f t="shared" si="50"/>
        <v>49.599999603918654</v>
      </c>
      <c r="Q229">
        <f t="shared" si="51"/>
        <v>-89.982696951734795</v>
      </c>
      <c r="R229">
        <f t="shared" si="43"/>
        <v>35.609784538452224</v>
      </c>
      <c r="S229">
        <f t="shared" si="52"/>
        <v>87.158704404413243</v>
      </c>
    </row>
    <row r="230" spans="7:19" x14ac:dyDescent="0.25">
      <c r="G230">
        <f t="shared" si="44"/>
        <v>3.5400000000000031</v>
      </c>
      <c r="H230">
        <f t="shared" si="40"/>
        <v>34673.685045253471</v>
      </c>
      <c r="I230" t="str">
        <f t="shared" si="45"/>
        <v>217861.188422109j</v>
      </c>
      <c r="J230" t="str">
        <f t="shared" si="41"/>
        <v>5+0.261433426106531j</v>
      </c>
      <c r="K230">
        <f t="shared" si="46"/>
        <v>13.991257052004283</v>
      </c>
      <c r="L230">
        <f t="shared" si="47"/>
        <v>2.993080781615495</v>
      </c>
      <c r="M230">
        <f t="shared" si="48"/>
        <v>5</v>
      </c>
      <c r="N230">
        <f t="shared" si="49"/>
        <v>0.26143342610653098</v>
      </c>
      <c r="O230" t="str">
        <f t="shared" si="42"/>
        <v>0.0831763701919568-288.403126324331j</v>
      </c>
      <c r="P230">
        <f t="shared" si="50"/>
        <v>49.199999638769533</v>
      </c>
      <c r="Q230">
        <f t="shared" si="51"/>
        <v>-89.983475717146959</v>
      </c>
      <c r="R230">
        <f t="shared" si="43"/>
        <v>35.208742586765254</v>
      </c>
      <c r="S230">
        <f t="shared" si="52"/>
        <v>87.023443501237551</v>
      </c>
    </row>
    <row r="231" spans="7:19" x14ac:dyDescent="0.25">
      <c r="G231">
        <f t="shared" si="44"/>
        <v>3.5600000000000032</v>
      </c>
      <c r="H231">
        <f t="shared" si="40"/>
        <v>36307.80547701045</v>
      </c>
      <c r="I231" t="str">
        <f t="shared" si="45"/>
        <v>228128.669909087j</v>
      </c>
      <c r="J231" t="str">
        <f t="shared" si="41"/>
        <v>5+0.273754403890904j</v>
      </c>
      <c r="K231">
        <f t="shared" si="46"/>
        <v>13.992399280254304</v>
      </c>
      <c r="L231">
        <f t="shared" si="47"/>
        <v>3.1338654725155051</v>
      </c>
      <c r="M231">
        <f t="shared" si="48"/>
        <v>5</v>
      </c>
      <c r="N231">
        <f t="shared" si="49"/>
        <v>0.273754403890904</v>
      </c>
      <c r="O231" t="str">
        <f t="shared" si="42"/>
        <v>0.0758577517485179-275.422849440854j</v>
      </c>
      <c r="P231">
        <f t="shared" si="50"/>
        <v>48.799999670553866</v>
      </c>
      <c r="Q231">
        <f t="shared" si="51"/>
        <v>-89.984219432347516</v>
      </c>
      <c r="R231">
        <f t="shared" si="43"/>
        <v>34.807600390299562</v>
      </c>
      <c r="S231">
        <f t="shared" si="52"/>
        <v>86.881915095136975</v>
      </c>
    </row>
    <row r="232" spans="7:19" x14ac:dyDescent="0.25">
      <c r="G232">
        <f t="shared" si="44"/>
        <v>3.5800000000000032</v>
      </c>
      <c r="H232">
        <f t="shared" si="40"/>
        <v>38018.939632056441</v>
      </c>
      <c r="I232" t="str">
        <f t="shared" si="45"/>
        <v>238880.042890685j</v>
      </c>
      <c r="J232" t="str">
        <f t="shared" si="41"/>
        <v>5+0.286656051468822j</v>
      </c>
      <c r="K232">
        <f t="shared" si="46"/>
        <v>13.993651363433816</v>
      </c>
      <c r="L232">
        <f t="shared" si="47"/>
        <v>3.2812445242925978</v>
      </c>
      <c r="M232">
        <f t="shared" si="48"/>
        <v>5</v>
      </c>
      <c r="N232">
        <f t="shared" si="49"/>
        <v>0.286656051468822</v>
      </c>
      <c r="O232" t="str">
        <f t="shared" si="42"/>
        <v>0.0691830923055917-263.026780992528j</v>
      </c>
      <c r="P232">
        <f t="shared" si="50"/>
        <v>48.399999699541539</v>
      </c>
      <c r="Q232">
        <f t="shared" si="51"/>
        <v>-89.984929674855138</v>
      </c>
      <c r="R232">
        <f t="shared" si="43"/>
        <v>34.406348336107726</v>
      </c>
      <c r="S232">
        <f t="shared" si="52"/>
        <v>86.733825800852259</v>
      </c>
    </row>
    <row r="233" spans="7:19" x14ac:dyDescent="0.25">
      <c r="G233">
        <f t="shared" si="44"/>
        <v>3.6000000000000032</v>
      </c>
      <c r="H233">
        <f t="shared" si="40"/>
        <v>39810.717055350047</v>
      </c>
      <c r="I233" t="str">
        <f t="shared" si="45"/>
        <v>250138.112470459j</v>
      </c>
      <c r="J233" t="str">
        <f t="shared" si="41"/>
        <v>5+0.300165734964551j</v>
      </c>
      <c r="K233">
        <f t="shared" si="46"/>
        <v>13.995023830568163</v>
      </c>
      <c r="L233">
        <f t="shared" si="47"/>
        <v>3.4355227289641119</v>
      </c>
      <c r="M233">
        <f t="shared" si="48"/>
        <v>5</v>
      </c>
      <c r="N233">
        <f t="shared" si="49"/>
        <v>0.30016573496455101</v>
      </c>
      <c r="O233" t="str">
        <f t="shared" si="42"/>
        <v>0.063095730466947-251.188627302025j</v>
      </c>
      <c r="P233">
        <f t="shared" si="50"/>
        <v>47.99999972597864</v>
      </c>
      <c r="Q233">
        <f t="shared" si="51"/>
        <v>-89.985607951188527</v>
      </c>
      <c r="R233">
        <f t="shared" si="43"/>
        <v>34.004975895410475</v>
      </c>
      <c r="S233">
        <f t="shared" si="52"/>
        <v>86.578869319847357</v>
      </c>
    </row>
    <row r="234" spans="7:19" x14ac:dyDescent="0.25">
      <c r="G234">
        <f t="shared" si="44"/>
        <v>3.6200000000000032</v>
      </c>
      <c r="H234">
        <f t="shared" si="40"/>
        <v>41686.938347033873</v>
      </c>
      <c r="I234" t="str">
        <f t="shared" si="45"/>
        <v>261926.758523384j</v>
      </c>
      <c r="J234" t="str">
        <f t="shared" si="41"/>
        <v>5+0.314312110228061j</v>
      </c>
      <c r="K234">
        <f t="shared" si="46"/>
        <v>13.996528212506536</v>
      </c>
      <c r="L234">
        <f t="shared" si="47"/>
        <v>3.5970183623648926</v>
      </c>
      <c r="M234">
        <f t="shared" si="48"/>
        <v>5</v>
      </c>
      <c r="N234">
        <f t="shared" si="49"/>
        <v>0.31431211022806099</v>
      </c>
      <c r="O234" t="str">
        <f t="shared" si="42"/>
        <v>0.0575439904224039-239.883278098106j</v>
      </c>
      <c r="P234">
        <f t="shared" si="50"/>
        <v>47.59999975008958</v>
      </c>
      <c r="Q234">
        <f t="shared" si="51"/>
        <v>-89.98625570006196</v>
      </c>
      <c r="R234">
        <f t="shared" si="43"/>
        <v>33.603471537583047</v>
      </c>
      <c r="S234">
        <f t="shared" si="52"/>
        <v>86.416725937573148</v>
      </c>
    </row>
    <row r="235" spans="7:19" x14ac:dyDescent="0.25">
      <c r="G235">
        <f t="shared" si="44"/>
        <v>3.6400000000000032</v>
      </c>
      <c r="H235">
        <f t="shared" si="40"/>
        <v>43651.58322401694</v>
      </c>
      <c r="I235" t="str">
        <f t="shared" si="45"/>
        <v>274270.98634827j</v>
      </c>
      <c r="J235" t="str">
        <f t="shared" si="41"/>
        <v>5+0.329125183617924j</v>
      </c>
      <c r="K235">
        <f t="shared" si="46"/>
        <v>13.998177135769028</v>
      </c>
      <c r="L235">
        <f t="shared" si="47"/>
        <v>3.76606369094474</v>
      </c>
      <c r="M235">
        <f t="shared" si="48"/>
        <v>5</v>
      </c>
      <c r="N235">
        <f t="shared" si="49"/>
        <v>0.32912518361792398</v>
      </c>
      <c r="O235" t="str">
        <f t="shared" si="42"/>
        <v>0.052480743270748-229.086753254132j</v>
      </c>
      <c r="P235">
        <f t="shared" si="50"/>
        <v>47.199999772078968</v>
      </c>
      <c r="Q235">
        <f t="shared" si="51"/>
        <v>-89.986874295436962</v>
      </c>
      <c r="R235">
        <f t="shared" si="43"/>
        <v>33.201822636309942</v>
      </c>
      <c r="S235">
        <f t="shared" si="52"/>
        <v>86.247062013618304</v>
      </c>
    </row>
    <row r="236" spans="7:19" x14ac:dyDescent="0.25">
      <c r="G236">
        <f t="shared" si="44"/>
        <v>3.6600000000000033</v>
      </c>
      <c r="H236">
        <f t="shared" si="40"/>
        <v>45708.81896148785</v>
      </c>
      <c r="I236" t="str">
        <f t="shared" si="45"/>
        <v>287196.979707352j</v>
      </c>
      <c r="J236" t="str">
        <f t="shared" si="41"/>
        <v>5+0.344636375648822j</v>
      </c>
      <c r="K236">
        <f t="shared" si="46"/>
        <v>13.999984424887678</v>
      </c>
      <c r="L236">
        <f t="shared" si="47"/>
        <v>3.9430054838450652</v>
      </c>
      <c r="M236">
        <f t="shared" si="48"/>
        <v>5</v>
      </c>
      <c r="N236">
        <f t="shared" si="49"/>
        <v>0.34463637564882199</v>
      </c>
      <c r="O236" t="str">
        <f t="shared" si="42"/>
        <v>0.0478630069413957-218.776151923669j</v>
      </c>
      <c r="P236">
        <f t="shared" si="50"/>
        <v>46.799999792133548</v>
      </c>
      <c r="Q236">
        <f t="shared" si="51"/>
        <v>-89.987465049436693</v>
      </c>
      <c r="R236">
        <f t="shared" si="43"/>
        <v>32.800015367245869</v>
      </c>
      <c r="S236">
        <f t="shared" si="52"/>
        <v>86.069529466718237</v>
      </c>
    </row>
    <row r="237" spans="7:19" x14ac:dyDescent="0.25">
      <c r="G237">
        <f t="shared" si="44"/>
        <v>3.6800000000000033</v>
      </c>
      <c r="H237">
        <f t="shared" si="40"/>
        <v>47863.009232264194</v>
      </c>
      <c r="I237" t="str">
        <f t="shared" si="45"/>
        <v>300732.156365563j</v>
      </c>
      <c r="J237" t="str">
        <f t="shared" si="41"/>
        <v>5+0.360878587638676j</v>
      </c>
      <c r="K237">
        <f t="shared" si="46"/>
        <v>14.001965213950143</v>
      </c>
      <c r="L237">
        <f t="shared" si="47"/>
        <v>4.1282055278641421</v>
      </c>
      <c r="M237">
        <f t="shared" si="48"/>
        <v>5</v>
      </c>
      <c r="N237">
        <f t="shared" si="49"/>
        <v>0.36087858763867597</v>
      </c>
      <c r="O237" t="str">
        <f t="shared" si="42"/>
        <v>0.0436515813185555-208.929603965295j</v>
      </c>
      <c r="P237">
        <f t="shared" si="50"/>
        <v>46.399999810423544</v>
      </c>
      <c r="Q237">
        <f t="shared" si="51"/>
        <v>-89.988029215129089</v>
      </c>
      <c r="R237">
        <f t="shared" si="43"/>
        <v>32.398034596473401</v>
      </c>
      <c r="S237">
        <f t="shared" si="52"/>
        <v>85.883765257006772</v>
      </c>
    </row>
    <row r="238" spans="7:19" x14ac:dyDescent="0.25">
      <c r="G238">
        <f t="shared" si="44"/>
        <v>3.7000000000000033</v>
      </c>
      <c r="H238">
        <f t="shared" si="40"/>
        <v>50118.72336272768</v>
      </c>
      <c r="I238" t="str">
        <f t="shared" si="45"/>
        <v>314905.226247289j</v>
      </c>
      <c r="J238" t="str">
        <f t="shared" si="41"/>
        <v>5+0.377886271496747j</v>
      </c>
      <c r="K238">
        <f t="shared" si="46"/>
        <v>14.004136068101198</v>
      </c>
      <c r="L238">
        <f t="shared" si="47"/>
        <v>4.3220411424460847</v>
      </c>
      <c r="M238">
        <f t="shared" si="48"/>
        <v>5</v>
      </c>
      <c r="N238">
        <f t="shared" si="49"/>
        <v>0.37788627149674697</v>
      </c>
      <c r="O238" t="str">
        <f t="shared" si="42"/>
        <v>0.0398107154704558-199.526223553604j</v>
      </c>
      <c r="P238">
        <f t="shared" si="50"/>
        <v>45.999999827104176</v>
      </c>
      <c r="Q238">
        <f t="shared" si="51"/>
        <v>-89.988567989184787</v>
      </c>
      <c r="R238">
        <f t="shared" si="43"/>
        <v>31.99586375900298</v>
      </c>
      <c r="S238">
        <f t="shared" si="52"/>
        <v>85.689390868369131</v>
      </c>
    </row>
    <row r="239" spans="7:19" x14ac:dyDescent="0.25">
      <c r="G239">
        <f t="shared" si="44"/>
        <v>3.7200000000000033</v>
      </c>
      <c r="H239">
        <f t="shared" si="40"/>
        <v>52480.746024977721</v>
      </c>
      <c r="I239" t="str">
        <f t="shared" si="45"/>
        <v>329746.252333963j</v>
      </c>
      <c r="J239" t="str">
        <f t="shared" si="41"/>
        <v>5+0.395695502800756j</v>
      </c>
      <c r="K239">
        <f t="shared" si="46"/>
        <v>14.006515115804435</v>
      </c>
      <c r="L239">
        <f t="shared" si="47"/>
        <v>4.5249056912865111</v>
      </c>
      <c r="M239">
        <f t="shared" si="48"/>
        <v>5</v>
      </c>
      <c r="N239">
        <f t="shared" si="49"/>
        <v>0.39569550280075599</v>
      </c>
      <c r="O239" t="str">
        <f t="shared" si="42"/>
        <v>0.036307804158753-190.546064878014j</v>
      </c>
      <c r="P239">
        <f t="shared" si="50"/>
        <v>45.599999842317153</v>
      </c>
      <c r="Q239">
        <f t="shared" si="51"/>
        <v>-89.989082514415401</v>
      </c>
      <c r="R239">
        <f t="shared" si="43"/>
        <v>31.59348472651272</v>
      </c>
      <c r="S239">
        <f t="shared" si="52"/>
        <v>85.486011794298093</v>
      </c>
    </row>
    <row r="240" spans="7:19" x14ac:dyDescent="0.25">
      <c r="G240">
        <f t="shared" si="44"/>
        <v>3.7400000000000033</v>
      </c>
      <c r="H240">
        <f t="shared" si="40"/>
        <v>54954.087385762934</v>
      </c>
      <c r="I240" t="str">
        <f t="shared" si="45"/>
        <v>345286.714431689j</v>
      </c>
      <c r="J240" t="str">
        <f t="shared" si="41"/>
        <v>5+0.414344057318028j</v>
      </c>
      <c r="K240">
        <f t="shared" si="46"/>
        <v>14.009122192713031</v>
      </c>
      <c r="L240">
        <f t="shared" si="47"/>
        <v>4.7372090865285728</v>
      </c>
      <c r="M240">
        <f t="shared" si="48"/>
        <v>5</v>
      </c>
      <c r="N240">
        <f t="shared" si="49"/>
        <v>0.41434405731802798</v>
      </c>
      <c r="O240" t="str">
        <f t="shared" si="42"/>
        <v>0.0331131110517803-181.970079835401j</v>
      </c>
      <c r="P240">
        <f t="shared" si="50"/>
        <v>45.199999856191504</v>
      </c>
      <c r="Q240">
        <f t="shared" si="51"/>
        <v>-89.989573882197618</v>
      </c>
      <c r="R240">
        <f t="shared" si="43"/>
        <v>31.190877663478474</v>
      </c>
      <c r="S240">
        <f t="shared" si="52"/>
        <v>85.273217031273816</v>
      </c>
    </row>
    <row r="241" spans="7:19" x14ac:dyDescent="0.25">
      <c r="G241">
        <f t="shared" si="44"/>
        <v>3.7600000000000033</v>
      </c>
      <c r="H241">
        <f t="shared" si="40"/>
        <v>57543.993733716183</v>
      </c>
      <c r="I241" t="str">
        <f t="shared" si="45"/>
        <v>361559.57594412j</v>
      </c>
      <c r="J241" t="str">
        <f t="shared" si="41"/>
        <v>5+0.433871491132944j</v>
      </c>
      <c r="K241">
        <f t="shared" si="46"/>
        <v>14.011978998043928</v>
      </c>
      <c r="L241">
        <f t="shared" si="47"/>
        <v>4.9593782808180391</v>
      </c>
      <c r="M241">
        <f t="shared" si="48"/>
        <v>5</v>
      </c>
      <c r="N241">
        <f t="shared" si="49"/>
        <v>0.43387149113294399</v>
      </c>
      <c r="O241" t="str">
        <f t="shared" si="42"/>
        <v>0.0301995162920089-173.780077626862j</v>
      </c>
      <c r="P241">
        <f t="shared" si="50"/>
        <v>44.799999868845113</v>
      </c>
      <c r="Q241">
        <f t="shared" si="51"/>
        <v>-89.990043134788067</v>
      </c>
      <c r="R241">
        <f t="shared" si="43"/>
        <v>30.788020870801184</v>
      </c>
      <c r="S241">
        <f t="shared" si="52"/>
        <v>85.05057858439389</v>
      </c>
    </row>
    <row r="242" spans="7:19" x14ac:dyDescent="0.25">
      <c r="G242">
        <f t="shared" si="44"/>
        <v>3.7800000000000034</v>
      </c>
      <c r="H242">
        <f t="shared" si="40"/>
        <v>60255.958607436274</v>
      </c>
      <c r="I242" t="str">
        <f t="shared" si="45"/>
        <v>378599.353792265j</v>
      </c>
      <c r="J242" t="str">
        <f t="shared" si="41"/>
        <v>5+0.454319224550716j</v>
      </c>
      <c r="K242">
        <f t="shared" si="46"/>
        <v>14.015109264392549</v>
      </c>
      <c r="L242">
        <f t="shared" si="47"/>
        <v>5.1918577416872598</v>
      </c>
      <c r="M242">
        <f t="shared" si="48"/>
        <v>5</v>
      </c>
      <c r="N242">
        <f t="shared" si="49"/>
        <v>0.45431922455071599</v>
      </c>
      <c r="O242" t="str">
        <f t="shared" si="42"/>
        <v>0.0275422862748036-165.958686172873j</v>
      </c>
      <c r="P242">
        <f t="shared" si="50"/>
        <v>44.399999880385302</v>
      </c>
      <c r="Q242">
        <f t="shared" si="51"/>
        <v>-89.990491267534168</v>
      </c>
      <c r="R242">
        <f t="shared" si="43"/>
        <v>30.384890615992752</v>
      </c>
      <c r="S242">
        <f t="shared" si="52"/>
        <v>84.817650990778574</v>
      </c>
    </row>
    <row r="243" spans="7:19" x14ac:dyDescent="0.25">
      <c r="G243">
        <f t="shared" si="44"/>
        <v>3.8000000000000034</v>
      </c>
      <c r="H243">
        <f t="shared" si="40"/>
        <v>63095.734448019837</v>
      </c>
      <c r="I243" t="str">
        <f t="shared" si="45"/>
        <v>396442.191629503j</v>
      </c>
      <c r="J243" t="str">
        <f t="shared" si="41"/>
        <v>5+0.475730629955404j</v>
      </c>
      <c r="K243">
        <f t="shared" si="46"/>
        <v>14.018538941963993</v>
      </c>
      <c r="L243">
        <f t="shared" si="47"/>
        <v>5.4351099018316802</v>
      </c>
      <c r="M243">
        <f t="shared" si="48"/>
        <v>5</v>
      </c>
      <c r="N243">
        <f t="shared" si="49"/>
        <v>0.47573062995540399</v>
      </c>
      <c r="O243" t="str">
        <f t="shared" si="42"/>
        <v>0.0251188636841381-158.489315265039j</v>
      </c>
      <c r="P243">
        <f t="shared" si="50"/>
        <v>43.999999890910118</v>
      </c>
      <c r="Q243">
        <f t="shared" si="51"/>
        <v>-89.990919230985341</v>
      </c>
      <c r="R243">
        <f t="shared" si="43"/>
        <v>29.981460948946125</v>
      </c>
      <c r="S243">
        <f t="shared" si="52"/>
        <v>84.573970867182979</v>
      </c>
    </row>
    <row r="244" spans="7:19" x14ac:dyDescent="0.25">
      <c r="G244">
        <f t="shared" si="44"/>
        <v>3.8200000000000034</v>
      </c>
      <c r="H244">
        <f t="shared" si="40"/>
        <v>66069.344800760126</v>
      </c>
      <c r="I244" t="str">
        <f t="shared" si="45"/>
        <v>415125.936507118j</v>
      </c>
      <c r="J244" t="str">
        <f t="shared" si="41"/>
        <v>5+0.49815112380854j</v>
      </c>
      <c r="K244">
        <f t="shared" si="46"/>
        <v>14.022296398229855</v>
      </c>
      <c r="L244">
        <f t="shared" si="47"/>
        <v>5.6896155778223081</v>
      </c>
      <c r="M244">
        <f t="shared" si="48"/>
        <v>5</v>
      </c>
      <c r="N244">
        <f t="shared" si="49"/>
        <v>0.49815112380853999</v>
      </c>
      <c r="O244" t="str">
        <f t="shared" si="42"/>
        <v>0.0229086760028699-151.356121376251j</v>
      </c>
      <c r="P244">
        <f t="shared" si="50"/>
        <v>43.599999900508806</v>
      </c>
      <c r="Q244">
        <f t="shared" si="51"/>
        <v>-89.991327932909243</v>
      </c>
      <c r="R244">
        <f t="shared" si="43"/>
        <v>29.577703502278951</v>
      </c>
      <c r="S244">
        <f t="shared" si="52"/>
        <v>84.319056489268448</v>
      </c>
    </row>
    <row r="245" spans="7:19" x14ac:dyDescent="0.25">
      <c r="G245">
        <f t="shared" si="44"/>
        <v>3.8400000000000034</v>
      </c>
      <c r="H245">
        <f t="shared" si="40"/>
        <v>69183.097091894306</v>
      </c>
      <c r="I245" t="str">
        <f t="shared" si="45"/>
        <v>434690.219152969j</v>
      </c>
      <c r="J245" t="str">
        <f t="shared" si="41"/>
        <v>5+0.521628262983564j</v>
      </c>
      <c r="K245">
        <f t="shared" si="46"/>
        <v>14.026412634044821</v>
      </c>
      <c r="L245">
        <f t="shared" si="47"/>
        <v>5.9558743486505472</v>
      </c>
      <c r="M245">
        <f t="shared" si="48"/>
        <v>5</v>
      </c>
      <c r="N245">
        <f t="shared" si="49"/>
        <v>0.52162826298356402</v>
      </c>
      <c r="O245" t="str">
        <f t="shared" si="42"/>
        <v>0.0208929608720242-144.54397405464j</v>
      </c>
      <c r="P245">
        <f t="shared" si="50"/>
        <v>43.199999909262957</v>
      </c>
      <c r="Q245">
        <f t="shared" si="51"/>
        <v>-89.991718240217267</v>
      </c>
      <c r="R245">
        <f t="shared" si="43"/>
        <v>29.173587275218136</v>
      </c>
      <c r="S245">
        <f t="shared" si="52"/>
        <v>84.05240741113218</v>
      </c>
    </row>
    <row r="246" spans="7:19" x14ac:dyDescent="0.25">
      <c r="G246">
        <f t="shared" si="44"/>
        <v>3.8600000000000034</v>
      </c>
      <c r="H246">
        <f t="shared" si="40"/>
        <v>72443.596007499684</v>
      </c>
      <c r="I246" t="str">
        <f t="shared" si="45"/>
        <v>455176.538033576j</v>
      </c>
      <c r="J246" t="str">
        <f t="shared" si="41"/>
        <v>5+0.546211845640292j</v>
      </c>
      <c r="K246">
        <f t="shared" si="46"/>
        <v>14.030921517271665</v>
      </c>
      <c r="L246">
        <f t="shared" si="47"/>
        <v>6.2344048842140545</v>
      </c>
      <c r="M246">
        <f t="shared" si="48"/>
        <v>5</v>
      </c>
      <c r="N246">
        <f t="shared" si="49"/>
        <v>0.54621184564029202</v>
      </c>
      <c r="O246" t="str">
        <f t="shared" si="42"/>
        <v>0.0190546068165541-138.038423830019j</v>
      </c>
      <c r="P246">
        <f t="shared" si="50"/>
        <v>42.799999917246794</v>
      </c>
      <c r="Q246">
        <f t="shared" si="51"/>
        <v>-89.992090980803425</v>
      </c>
      <c r="R246">
        <f t="shared" si="43"/>
        <v>28.769078399975129</v>
      </c>
      <c r="S246">
        <f t="shared" si="52"/>
        <v>83.773504134982517</v>
      </c>
    </row>
    <row r="247" spans="7:19" x14ac:dyDescent="0.25">
      <c r="G247">
        <f t="shared" si="44"/>
        <v>3.8800000000000034</v>
      </c>
      <c r="H247">
        <f t="shared" si="40"/>
        <v>75857.757502919063</v>
      </c>
      <c r="I247" t="str">
        <f t="shared" si="45"/>
        <v>476628.347377933j</v>
      </c>
      <c r="J247" t="str">
        <f t="shared" si="41"/>
        <v>5+0.57195401685352j</v>
      </c>
      <c r="K247">
        <f t="shared" si="46"/>
        <v>14.03586003496372</v>
      </c>
      <c r="L247">
        <f t="shared" si="47"/>
        <v>6.5257452124208672</v>
      </c>
      <c r="M247">
        <f t="shared" si="48"/>
        <v>5</v>
      </c>
      <c r="N247">
        <f t="shared" si="49"/>
        <v>0.57195401685351999</v>
      </c>
      <c r="O247" t="str">
        <f t="shared" si="42"/>
        <v>0.0173780079854983-131.825671564772j</v>
      </c>
      <c r="P247">
        <f t="shared" si="50"/>
        <v>42.399999924528196</v>
      </c>
      <c r="Q247">
        <f t="shared" si="51"/>
        <v>-89.992446945300358</v>
      </c>
      <c r="R247">
        <f t="shared" si="43"/>
        <v>28.364139889564477</v>
      </c>
      <c r="S247">
        <f t="shared" si="52"/>
        <v>83.481807842278769</v>
      </c>
    </row>
    <row r="248" spans="7:19" x14ac:dyDescent="0.25">
      <c r="G248">
        <f t="shared" si="44"/>
        <v>3.9000000000000035</v>
      </c>
      <c r="H248">
        <f t="shared" si="40"/>
        <v>79432.823472428863</v>
      </c>
      <c r="I248" t="str">
        <f t="shared" si="45"/>
        <v>499091.149349755j</v>
      </c>
      <c r="J248" t="str">
        <f t="shared" si="41"/>
        <v>5+0.598909379219704j</v>
      </c>
      <c r="K248">
        <f t="shared" si="46"/>
        <v>14.041268565136827</v>
      </c>
      <c r="L248">
        <f t="shared" si="47"/>
        <v>6.8304529119928548</v>
      </c>
      <c r="M248">
        <f t="shared" si="48"/>
        <v>5</v>
      </c>
      <c r="N248">
        <f t="shared" si="49"/>
        <v>0.598909379219704</v>
      </c>
      <c r="O248" t="str">
        <f t="shared" si="42"/>
        <v>0.0158489316734222-125.892539184153j</v>
      </c>
      <c r="P248">
        <f t="shared" si="50"/>
        <v>41.999999931168865</v>
      </c>
      <c r="Q248">
        <f t="shared" si="51"/>
        <v>-89.992786888756356</v>
      </c>
      <c r="R248">
        <f t="shared" si="43"/>
        <v>27.95873136603204</v>
      </c>
      <c r="S248">
        <f t="shared" si="52"/>
        <v>83.176760199250793</v>
      </c>
    </row>
    <row r="249" spans="7:19" x14ac:dyDescent="0.25">
      <c r="G249">
        <f t="shared" si="44"/>
        <v>3.9200000000000035</v>
      </c>
      <c r="H249">
        <f t="shared" si="40"/>
        <v>83176.377110267815</v>
      </c>
      <c r="I249" t="str">
        <f t="shared" si="45"/>
        <v>522612.590563663j</v>
      </c>
      <c r="J249" t="str">
        <f t="shared" si="41"/>
        <v>5+0.627135108676396j</v>
      </c>
      <c r="K249">
        <f t="shared" si="46"/>
        <v>14.04719116912306</v>
      </c>
      <c r="L249">
        <f t="shared" si="47"/>
        <v>7.1491052162903781</v>
      </c>
      <c r="M249">
        <f t="shared" si="48"/>
        <v>5</v>
      </c>
      <c r="N249">
        <f t="shared" si="49"/>
        <v>0.62713510867639599</v>
      </c>
      <c r="O249" t="str">
        <f t="shared" si="42"/>
        <v>0.0144543974985294-120.226441723939j</v>
      </c>
      <c r="P249">
        <f t="shared" si="50"/>
        <v>41.599999937225235</v>
      </c>
      <c r="Q249">
        <f t="shared" si="51"/>
        <v>-89.993111532236966</v>
      </c>
      <c r="R249">
        <f t="shared" si="43"/>
        <v>27.552808768102174</v>
      </c>
      <c r="S249">
        <f t="shared" si="52"/>
        <v>82.857783251472654</v>
      </c>
    </row>
    <row r="250" spans="7:19" x14ac:dyDescent="0.25">
      <c r="G250">
        <f t="shared" si="44"/>
        <v>3.9400000000000035</v>
      </c>
      <c r="H250">
        <f t="shared" si="40"/>
        <v>87096.358995608811</v>
      </c>
      <c r="I250" t="str">
        <f t="shared" si="45"/>
        <v>547242.563150048j</v>
      </c>
      <c r="J250" t="str">
        <f t="shared" si="41"/>
        <v>5+0.656691075780056j</v>
      </c>
      <c r="K250">
        <f t="shared" si="46"/>
        <v>14.053675905431644</v>
      </c>
      <c r="L250">
        <f t="shared" si="47"/>
        <v>7.4822990115426151</v>
      </c>
      <c r="M250">
        <f t="shared" si="48"/>
        <v>5</v>
      </c>
      <c r="N250">
        <f t="shared" si="49"/>
        <v>0.65669107578005603</v>
      </c>
      <c r="O250" t="str">
        <f t="shared" si="42"/>
        <v>0.0131825672117838-114.815360636126j</v>
      </c>
      <c r="P250">
        <f t="shared" si="50"/>
        <v>41.199999942748761</v>
      </c>
      <c r="Q250">
        <f t="shared" si="51"/>
        <v>-89.993421564354477</v>
      </c>
      <c r="R250">
        <f t="shared" si="43"/>
        <v>27.146324037317115</v>
      </c>
      <c r="S250">
        <f t="shared" si="52"/>
        <v>82.5242794241029</v>
      </c>
    </row>
    <row r="251" spans="7:19" x14ac:dyDescent="0.25">
      <c r="G251">
        <f t="shared" si="44"/>
        <v>3.9600000000000035</v>
      </c>
      <c r="H251">
        <f t="shared" si="40"/>
        <v>91201.083935591741</v>
      </c>
      <c r="I251" t="str">
        <f t="shared" si="45"/>
        <v>573033.310582962j</v>
      </c>
      <c r="J251" t="str">
        <f t="shared" si="41"/>
        <v>5+0.687639972699556j</v>
      </c>
      <c r="K251">
        <f t="shared" si="46"/>
        <v>14.060775165941251</v>
      </c>
      <c r="L251">
        <f t="shared" si="47"/>
        <v>7.8306507107541545</v>
      </c>
      <c r="M251">
        <f t="shared" si="48"/>
        <v>5</v>
      </c>
      <c r="N251">
        <f t="shared" si="49"/>
        <v>0.68763997269955601</v>
      </c>
      <c r="O251" t="str">
        <f t="shared" si="42"/>
        <v>0.01202264420163-109.647818296061j</v>
      </c>
      <c r="P251">
        <f t="shared" si="50"/>
        <v>40.799999947786254</v>
      </c>
      <c r="Q251">
        <f t="shared" si="51"/>
        <v>-89.99371764272847</v>
      </c>
      <c r="R251">
        <f t="shared" si="43"/>
        <v>26.739224781845003</v>
      </c>
      <c r="S251">
        <f t="shared" si="52"/>
        <v>82.175631646517374</v>
      </c>
    </row>
    <row r="252" spans="7:19" x14ac:dyDescent="0.25">
      <c r="G252">
        <f t="shared" si="44"/>
        <v>3.9800000000000035</v>
      </c>
      <c r="H252">
        <f t="shared" si="40"/>
        <v>95499.258602144386</v>
      </c>
      <c r="I252" t="str">
        <f t="shared" si="45"/>
        <v>600039.538495537j</v>
      </c>
      <c r="J252" t="str">
        <f t="shared" si="41"/>
        <v>5+0.720047446194644j</v>
      </c>
      <c r="K252">
        <f t="shared" si="46"/>
        <v>14.068546035106149</v>
      </c>
      <c r="L252">
        <f t="shared" si="47"/>
        <v>8.1947959822624679</v>
      </c>
      <c r="M252">
        <f t="shared" si="48"/>
        <v>5</v>
      </c>
      <c r="N252">
        <f t="shared" si="49"/>
        <v>0.720047446194644</v>
      </c>
      <c r="O252" t="str">
        <f t="shared" si="42"/>
        <v>0.0109647818412052-104.712853656936j</v>
      </c>
      <c r="P252">
        <f t="shared" si="50"/>
        <v>40.399999952380526</v>
      </c>
      <c r="Q252">
        <f t="shared" si="51"/>
        <v>-89.994000395380837</v>
      </c>
      <c r="R252">
        <f t="shared" si="43"/>
        <v>26.331453917274377</v>
      </c>
      <c r="S252">
        <f t="shared" si="52"/>
        <v>81.8112036223567</v>
      </c>
    </row>
    <row r="253" spans="7:19" x14ac:dyDescent="0.25">
      <c r="G253">
        <f t="shared" si="44"/>
        <v>4.0000000000000036</v>
      </c>
      <c r="H253">
        <f t="shared" si="40"/>
        <v>100000.00000000099</v>
      </c>
      <c r="I253" t="str">
        <f t="shared" si="45"/>
        <v>628318.530717965j</v>
      </c>
      <c r="J253" t="str">
        <f t="shared" si="41"/>
        <v>5+0.753982236861556j</v>
      </c>
      <c r="K253">
        <f t="shared" si="46"/>
        <v>14.077050672667248</v>
      </c>
      <c r="L253">
        <f t="shared" si="47"/>
        <v>8.5753893094560318</v>
      </c>
      <c r="M253">
        <f t="shared" si="48"/>
        <v>5</v>
      </c>
      <c r="N253">
        <f t="shared" si="49"/>
        <v>0.75398223686155597</v>
      </c>
      <c r="O253" t="str">
        <f t="shared" si="42"/>
        <v>0.0099999998999998-99.999998999999j</v>
      </c>
      <c r="P253">
        <f t="shared" si="50"/>
        <v>39.999999956570463</v>
      </c>
      <c r="Q253">
        <f t="shared" si="51"/>
        <v>-89.994270422067785</v>
      </c>
      <c r="R253">
        <f t="shared" si="43"/>
        <v>25.922949283903215</v>
      </c>
      <c r="S253">
        <f t="shared" si="52"/>
        <v>81.430340268476186</v>
      </c>
    </row>
    <row r="254" spans="7:19" x14ac:dyDescent="0.25">
      <c r="G254">
        <f t="shared" si="44"/>
        <v>4.0200000000000031</v>
      </c>
      <c r="H254">
        <f t="shared" si="40"/>
        <v>104712.85480509077</v>
      </c>
      <c r="I254" t="str">
        <f t="shared" si="45"/>
        <v>657930.270784176j</v>
      </c>
      <c r="J254" t="str">
        <f t="shared" si="41"/>
        <v>5+0.789516324941012j</v>
      </c>
      <c r="K254">
        <f t="shared" si="46"/>
        <v>14.086356720109471</v>
      </c>
      <c r="L254">
        <f t="shared" si="47"/>
        <v>8.9731033555322472</v>
      </c>
      <c r="M254">
        <f t="shared" si="48"/>
        <v>5</v>
      </c>
      <c r="N254">
        <f t="shared" si="49"/>
        <v>0.78951632494101198</v>
      </c>
      <c r="O254" t="str">
        <f t="shared" si="42"/>
        <v>0.00912010831038254-95.4992577311791j</v>
      </c>
      <c r="P254">
        <f t="shared" si="50"/>
        <v>39.599999960391791</v>
      </c>
      <c r="Q254">
        <f t="shared" si="51"/>
        <v>-89.994528295552101</v>
      </c>
      <c r="R254">
        <f t="shared" si="43"/>
        <v>25.51364324028232</v>
      </c>
      <c r="S254">
        <f t="shared" si="52"/>
        <v>81.032368348915654</v>
      </c>
    </row>
    <row r="255" spans="7:19" x14ac:dyDescent="0.25">
      <c r="G255">
        <f t="shared" si="44"/>
        <v>4.0400000000000027</v>
      </c>
      <c r="H255">
        <f t="shared" si="40"/>
        <v>109647.81961431933</v>
      </c>
      <c r="I255" t="str">
        <f t="shared" si="45"/>
        <v>688937.569164969j</v>
      </c>
      <c r="J255" t="str">
        <f t="shared" si="41"/>
        <v>5+0.826725082997964j</v>
      </c>
      <c r="K255">
        <f t="shared" si="46"/>
        <v>14.096537730788192</v>
      </c>
      <c r="L255">
        <f t="shared" si="47"/>
        <v>9.3886281044111897</v>
      </c>
      <c r="M255">
        <f t="shared" si="48"/>
        <v>5</v>
      </c>
      <c r="N255">
        <f t="shared" si="49"/>
        <v>0.82672508299796399</v>
      </c>
      <c r="O255" t="str">
        <f t="shared" si="42"/>
        <v>0.00831763764184354-91.201083177013j</v>
      </c>
      <c r="P255">
        <f t="shared" si="50"/>
        <v>39.19999996387692</v>
      </c>
      <c r="Q255">
        <f t="shared" si="51"/>
        <v>-89.994774562817966</v>
      </c>
      <c r="R255">
        <f t="shared" si="43"/>
        <v>25.103462233088727</v>
      </c>
      <c r="S255">
        <f t="shared" si="52"/>
        <v>80.616597332770851</v>
      </c>
    </row>
    <row r="256" spans="7:19" x14ac:dyDescent="0.25">
      <c r="G256">
        <f t="shared" si="44"/>
        <v>4.0600000000000023</v>
      </c>
      <c r="H256">
        <f t="shared" si="40"/>
        <v>114815.36214968891</v>
      </c>
      <c r="I256" t="str">
        <f t="shared" si="45"/>
        <v>721406.196497429j</v>
      </c>
      <c r="J256" t="str">
        <f t="shared" si="41"/>
        <v>5+0.865687435796916j</v>
      </c>
      <c r="K256">
        <f t="shared" si="46"/>
        <v>14.107673623248385</v>
      </c>
      <c r="L256">
        <f t="shared" si="47"/>
        <v>9.8226697460509431</v>
      </c>
      <c r="M256">
        <f t="shared" si="48"/>
        <v>5</v>
      </c>
      <c r="N256">
        <f t="shared" si="49"/>
        <v>0.86568743579691598</v>
      </c>
      <c r="O256" t="str">
        <f t="shared" si="42"/>
        <v>0.00758577569274775-87.0963583349141j</v>
      </c>
      <c r="P256">
        <f t="shared" si="50"/>
        <v>38.799999967055342</v>
      </c>
      <c r="Q256">
        <f t="shared" si="51"/>
        <v>-89.995009746231219</v>
      </c>
      <c r="R256">
        <f t="shared" si="43"/>
        <v>24.692326343806958</v>
      </c>
      <c r="S256">
        <f t="shared" si="52"/>
        <v>80.182320507717833</v>
      </c>
    </row>
    <row r="257" spans="7:19" x14ac:dyDescent="0.25">
      <c r="G257">
        <f t="shared" si="44"/>
        <v>4.0800000000000018</v>
      </c>
      <c r="H257">
        <f t="shared" si="40"/>
        <v>120226.44346174195</v>
      </c>
      <c r="I257" t="str">
        <f t="shared" si="45"/>
        <v>755405.023093274j</v>
      </c>
      <c r="J257" t="str">
        <f t="shared" si="41"/>
        <v>5+0.906486027711928j</v>
      </c>
      <c r="K257">
        <f t="shared" si="46"/>
        <v>14.119851156768366</v>
      </c>
      <c r="L257">
        <f t="shared" si="47"/>
        <v>10.275949271488241</v>
      </c>
      <c r="M257">
        <f t="shared" si="48"/>
        <v>5</v>
      </c>
      <c r="N257">
        <f t="shared" si="49"/>
        <v>0.90648602771192799</v>
      </c>
      <c r="O257" t="str">
        <f t="shared" si="42"/>
        <v>0.00691830966132627-83.1763765348267j</v>
      </c>
      <c r="P257">
        <f t="shared" si="50"/>
        <v>38.399999969954109</v>
      </c>
      <c r="Q257">
        <f t="shared" si="51"/>
        <v>-89.995234344647386</v>
      </c>
      <c r="R257">
        <f t="shared" si="43"/>
        <v>24.280148813185743</v>
      </c>
      <c r="S257">
        <f t="shared" si="52"/>
        <v>79.72881638386437</v>
      </c>
    </row>
    <row r="258" spans="7:19" x14ac:dyDescent="0.25">
      <c r="G258">
        <f t="shared" si="44"/>
        <v>4.1000000000000014</v>
      </c>
      <c r="H258">
        <f t="shared" si="40"/>
        <v>125892.54117941715</v>
      </c>
      <c r="I258" t="str">
        <f t="shared" si="45"/>
        <v>791006.165022015j</v>
      </c>
      <c r="J258" t="str">
        <f t="shared" si="41"/>
        <v>5+0.949207398026416j</v>
      </c>
      <c r="K258">
        <f t="shared" si="46"/>
        <v>14.133164427561852</v>
      </c>
      <c r="L258">
        <f t="shared" si="47"/>
        <v>10.749200740020447</v>
      </c>
      <c r="M258">
        <f t="shared" si="48"/>
        <v>5</v>
      </c>
      <c r="N258">
        <f t="shared" si="49"/>
        <v>0.94920739802641596</v>
      </c>
      <c r="O258" t="str">
        <f t="shared" si="42"/>
        <v>0.00630957340499119-79.4328229712407j</v>
      </c>
      <c r="P258">
        <f t="shared" si="50"/>
        <v>37.999999972597848</v>
      </c>
      <c r="Q258">
        <f t="shared" si="51"/>
        <v>-89.995448834469798</v>
      </c>
      <c r="R258">
        <f t="shared" si="43"/>
        <v>23.866835545035997</v>
      </c>
      <c r="S258">
        <f t="shared" si="52"/>
        <v>79.255350425509761</v>
      </c>
    </row>
    <row r="259" spans="7:19" x14ac:dyDescent="0.25">
      <c r="G259">
        <f t="shared" si="44"/>
        <v>4.120000000000001</v>
      </c>
      <c r="H259">
        <f t="shared" ref="H259:H322" si="53">$B$3*10^G259</f>
        <v>131825.67385564116</v>
      </c>
      <c r="I259" t="str">
        <f t="shared" si="45"/>
        <v>828285.137078813j</v>
      </c>
      <c r="J259" t="str">
        <f t="shared" ref="J259:J322" si="54">IMSUM(1,IMDIV(IMPRODUCT(R_f,IMSUM(1,IMPRODUCT(I259,C_s,R_1))),R_1))</f>
        <v>5+0.993942164494576j</v>
      </c>
      <c r="K259">
        <f t="shared" si="46"/>
        <v>14.147715383354386</v>
      </c>
      <c r="L259">
        <f t="shared" si="47"/>
        <v>11.243169178141766</v>
      </c>
      <c r="M259">
        <f t="shared" si="48"/>
        <v>5</v>
      </c>
      <c r="N259">
        <f t="shared" si="49"/>
        <v>0.99394216449457595</v>
      </c>
      <c r="O259" t="str">
        <f t="shared" ref="O259:O322" si="55">IMDIV(Aolv,IMSUM(1,IMDIV(I259,wc)))</f>
        <v>0.00575439934025843-75.8577570664024j</v>
      </c>
      <c r="P259">
        <f t="shared" si="50"/>
        <v>37.599999975008942</v>
      </c>
      <c r="Q259">
        <f t="shared" si="51"/>
        <v>-89.99565367066009</v>
      </c>
      <c r="R259">
        <f t="shared" ref="R259:R322" si="56">P259-K259</f>
        <v>23.452284591654553</v>
      </c>
      <c r="S259">
        <f t="shared" si="52"/>
        <v>78.76117715119814</v>
      </c>
    </row>
    <row r="260" spans="7:19" x14ac:dyDescent="0.25">
      <c r="G260">
        <f t="shared" ref="G260:G323" si="57">G259+(1/ppd)</f>
        <v>4.1400000000000006</v>
      </c>
      <c r="H260">
        <f t="shared" si="53"/>
        <v>138038.4264602889</v>
      </c>
      <c r="I260" t="str">
        <f t="shared" ref="I260:I323" si="58">COMPLEX(0,H260*2*PI(),"j")</f>
        <v>867321.012961477j</v>
      </c>
      <c r="J260" t="str">
        <f t="shared" si="54"/>
        <v>5+1.04078521555377j</v>
      </c>
      <c r="K260">
        <f t="shared" ref="K260:K323" si="59">20*LOG(IMABS(J260))</f>
        <v>14.163614353198803</v>
      </c>
      <c r="L260">
        <f t="shared" ref="L260:L323" si="60">DEGREES(IMARGUMENT(J260))</f>
        <v>11.758608067264865</v>
      </c>
      <c r="M260">
        <f t="shared" ref="M260:M323" si="61">IMREAL(J260)</f>
        <v>5</v>
      </c>
      <c r="N260">
        <f t="shared" ref="N260:N323" si="62">IMAGINARY(J260)</f>
        <v>1.04078521555377</v>
      </c>
      <c r="O260" t="str">
        <f t="shared" si="55"/>
        <v>0.0052480745749554-72.4435956273093j</v>
      </c>
      <c r="P260">
        <f t="shared" ref="P260:P323" si="63">20*LOG(IMABS(O260))</f>
        <v>37.199999977207867</v>
      </c>
      <c r="Q260">
        <f t="shared" ref="Q260:Q323" si="64">DEGREES(IMARGUMENT(O260))</f>
        <v>-89.99584928770328</v>
      </c>
      <c r="R260">
        <f t="shared" si="56"/>
        <v>23.036385624009064</v>
      </c>
      <c r="S260">
        <f t="shared" ref="S260:S323" si="65">(Q260-L260)-(-180)</f>
        <v>78.245542645031861</v>
      </c>
    </row>
    <row r="261" spans="7:19" x14ac:dyDescent="0.25">
      <c r="G261">
        <f t="shared" si="57"/>
        <v>4.16</v>
      </c>
      <c r="H261">
        <f t="shared" si="53"/>
        <v>144543.9770745929</v>
      </c>
      <c r="I261" t="str">
        <f t="shared" si="58"/>
        <v>908196.592996385j</v>
      </c>
      <c r="J261" t="str">
        <f t="shared" si="54"/>
        <v>5+1.08983591159566j</v>
      </c>
      <c r="K261">
        <f t="shared" si="59"/>
        <v>14.18098058839616</v>
      </c>
      <c r="L261">
        <f t="shared" si="60"/>
        <v>12.296276375047441</v>
      </c>
      <c r="M261">
        <f t="shared" si="61"/>
        <v>5</v>
      </c>
      <c r="N261">
        <f t="shared" si="62"/>
        <v>1.08983591159566</v>
      </c>
      <c r="O261" t="str">
        <f t="shared" si="55"/>
        <v>0.00478630090031769-69.1830967607624j</v>
      </c>
      <c r="P261">
        <f t="shared" si="63"/>
        <v>36.799999979213339</v>
      </c>
      <c r="Q261">
        <f t="shared" si="64"/>
        <v>-89.996036100529324</v>
      </c>
      <c r="R261">
        <f t="shared" si="56"/>
        <v>22.619019390817179</v>
      </c>
      <c r="S261">
        <f t="shared" si="65"/>
        <v>77.707687524423235</v>
      </c>
    </row>
    <row r="262" spans="7:19" x14ac:dyDescent="0.25">
      <c r="G262">
        <f t="shared" si="57"/>
        <v>4.18</v>
      </c>
      <c r="H262">
        <f t="shared" si="53"/>
        <v>151356.12484362096</v>
      </c>
      <c r="I262" t="str">
        <f t="shared" si="58"/>
        <v>950998.579769078j</v>
      </c>
      <c r="J262" t="str">
        <f t="shared" si="54"/>
        <v>5+1.14119829572289j</v>
      </c>
      <c r="K262">
        <f t="shared" si="59"/>
        <v>14.199942809232207</v>
      </c>
      <c r="L262">
        <f t="shared" si="60"/>
        <v>12.856935083479229</v>
      </c>
      <c r="M262">
        <f t="shared" si="61"/>
        <v>5</v>
      </c>
      <c r="N262">
        <f t="shared" si="62"/>
        <v>1.1411982957228901</v>
      </c>
      <c r="O262" t="str">
        <f t="shared" si="55"/>
        <v>0.00436515830334704-66.0693445123564j</v>
      </c>
      <c r="P262">
        <f t="shared" si="63"/>
        <v>36.399999981042349</v>
      </c>
      <c r="Q262">
        <f t="shared" si="64"/>
        <v>-89.99621450539324</v>
      </c>
      <c r="R262">
        <f t="shared" si="56"/>
        <v>22.200057171810144</v>
      </c>
      <c r="S262">
        <f t="shared" si="65"/>
        <v>77.146850411127531</v>
      </c>
    </row>
    <row r="263" spans="7:19" x14ac:dyDescent="0.25">
      <c r="G263">
        <f t="shared" si="57"/>
        <v>4.1999999999999993</v>
      </c>
      <c r="H263">
        <f t="shared" si="53"/>
        <v>158489.3192461112</v>
      </c>
      <c r="I263" t="str">
        <f t="shared" si="58"/>
        <v>995817.762032061j</v>
      </c>
      <c r="J263" t="str">
        <f t="shared" si="54"/>
        <v>5+1.19498131443847j</v>
      </c>
      <c r="K263">
        <f t="shared" si="59"/>
        <v>14.220639750915488</v>
      </c>
      <c r="L263">
        <f t="shared" si="60"/>
        <v>13.44134316599694</v>
      </c>
      <c r="M263">
        <f t="shared" si="61"/>
        <v>5</v>
      </c>
      <c r="N263">
        <f t="shared" si="62"/>
        <v>1.19498131443847</v>
      </c>
      <c r="O263" t="str">
        <f t="shared" si="55"/>
        <v>0.00398107168968606-63.0957341968308j</v>
      </c>
      <c r="P263">
        <f t="shared" si="63"/>
        <v>35.999999982710442</v>
      </c>
      <c r="Q263">
        <f t="shared" si="64"/>
        <v>-89.996384880715652</v>
      </c>
      <c r="R263">
        <f t="shared" si="56"/>
        <v>21.779360231794954</v>
      </c>
      <c r="S263">
        <f t="shared" si="65"/>
        <v>76.562271953287407</v>
      </c>
    </row>
    <row r="264" spans="7:19" x14ac:dyDescent="0.25">
      <c r="G264">
        <f t="shared" si="57"/>
        <v>4.2199999999999989</v>
      </c>
      <c r="H264">
        <f t="shared" si="53"/>
        <v>165958.69074375587</v>
      </c>
      <c r="I264" t="str">
        <f t="shared" si="58"/>
        <v>1042749.20727993j</v>
      </c>
      <c r="J264" t="str">
        <f t="shared" si="54"/>
        <v>5+1.25129904873592j</v>
      </c>
      <c r="K264">
        <f t="shared" si="59"/>
        <v>14.243220700607036</v>
      </c>
      <c r="L264">
        <f t="shared" si="60"/>
        <v>14.050252966036883</v>
      </c>
      <c r="M264">
        <f t="shared" si="61"/>
        <v>5</v>
      </c>
      <c r="N264">
        <f t="shared" si="62"/>
        <v>1.2512990487359199</v>
      </c>
      <c r="O264" t="str">
        <f t="shared" si="55"/>
        <v>0.00363078053451845-60.2559583886596j</v>
      </c>
      <c r="P264">
        <f t="shared" si="63"/>
        <v>35.599999984231722</v>
      </c>
      <c r="Q264">
        <f t="shared" si="64"/>
        <v>-89.996547587885459</v>
      </c>
      <c r="R264">
        <f t="shared" si="56"/>
        <v>21.356779283624686</v>
      </c>
      <c r="S264">
        <f t="shared" si="65"/>
        <v>75.953199446077662</v>
      </c>
    </row>
    <row r="265" spans="7:19" x14ac:dyDescent="0.25">
      <c r="G265">
        <f t="shared" si="57"/>
        <v>4.2399999999999984</v>
      </c>
      <c r="H265">
        <f t="shared" si="53"/>
        <v>173780.08287493698</v>
      </c>
      <c r="I265" t="str">
        <f t="shared" si="58"/>
        <v>1091892.46340025j</v>
      </c>
      <c r="J265" t="str">
        <f t="shared" si="54"/>
        <v>5+1.3102709560803j</v>
      </c>
      <c r="K265">
        <f t="shared" si="59"/>
        <v>14.267846015764382</v>
      </c>
      <c r="L265">
        <f t="shared" si="60"/>
        <v>14.684404930918712</v>
      </c>
      <c r="M265">
        <f t="shared" si="61"/>
        <v>5</v>
      </c>
      <c r="N265">
        <f t="shared" si="62"/>
        <v>1.3102709560803001</v>
      </c>
      <c r="O265" t="str">
        <f t="shared" si="55"/>
        <v>0.00331131120386119-57.5439935431701j</v>
      </c>
      <c r="P265">
        <f t="shared" si="63"/>
        <v>35.199999985619229</v>
      </c>
      <c r="Q265">
        <f t="shared" si="64"/>
        <v>-89.99670297202637</v>
      </c>
      <c r="R265">
        <f t="shared" si="56"/>
        <v>20.932153969854845</v>
      </c>
      <c r="S265">
        <f t="shared" si="65"/>
        <v>75.318892097054913</v>
      </c>
    </row>
    <row r="266" spans="7:19" x14ac:dyDescent="0.25">
      <c r="G266">
        <f t="shared" si="57"/>
        <v>4.259999999999998</v>
      </c>
      <c r="H266">
        <f t="shared" si="53"/>
        <v>181970.08586099773</v>
      </c>
      <c r="I266" t="str">
        <f t="shared" si="58"/>
        <v>1143351.76982803j</v>
      </c>
      <c r="J266" t="str">
        <f t="shared" si="54"/>
        <v>5+1.37202212379364j</v>
      </c>
      <c r="K266">
        <f t="shared" si="59"/>
        <v>14.29468761219351</v>
      </c>
      <c r="L266">
        <f t="shared" si="60"/>
        <v>15.34452165812996</v>
      </c>
      <c r="M266">
        <f t="shared" si="61"/>
        <v>5</v>
      </c>
      <c r="N266">
        <f t="shared" si="62"/>
        <v>1.3720221237936401</v>
      </c>
      <c r="O266" t="str">
        <f t="shared" si="55"/>
        <v>0.00301995171128192-54.9540872198039j</v>
      </c>
      <c r="P266">
        <f t="shared" si="63"/>
        <v>34.799999986884536</v>
      </c>
      <c r="Q266">
        <f t="shared" si="64"/>
        <v>-89.996851362728975</v>
      </c>
      <c r="R266">
        <f t="shared" si="56"/>
        <v>20.505312374691027</v>
      </c>
      <c r="S266">
        <f t="shared" si="65"/>
        <v>74.658626979141061</v>
      </c>
    </row>
    <row r="267" spans="7:19" x14ac:dyDescent="0.25">
      <c r="G267">
        <f t="shared" si="57"/>
        <v>4.2799999999999976</v>
      </c>
      <c r="H267">
        <f t="shared" si="53"/>
        <v>190546.0717963237</v>
      </c>
      <c r="I267" t="str">
        <f t="shared" si="58"/>
        <v>1197236.27865145j</v>
      </c>
      <c r="J267" t="str">
        <f t="shared" si="54"/>
        <v>5+1.43668353438174j</v>
      </c>
      <c r="K267">
        <f t="shared" si="59"/>
        <v>14.323929408230942</v>
      </c>
      <c r="L267">
        <f t="shared" si="60"/>
        <v>16.031301216322625</v>
      </c>
      <c r="M267">
        <f t="shared" si="61"/>
        <v>5</v>
      </c>
      <c r="N267">
        <f t="shared" si="62"/>
        <v>1.4366835343817399</v>
      </c>
      <c r="O267" t="str">
        <f t="shared" si="55"/>
        <v>0.00275422869575241-52.4807458804335j</v>
      </c>
      <c r="P267">
        <f t="shared" si="63"/>
        <v>34.399999988038573</v>
      </c>
      <c r="Q267">
        <f t="shared" si="64"/>
        <v>-89.996993074749838</v>
      </c>
      <c r="R267">
        <f t="shared" si="56"/>
        <v>20.076070579807631</v>
      </c>
      <c r="S267">
        <f t="shared" si="65"/>
        <v>73.971705708927544</v>
      </c>
    </row>
    <row r="268" spans="7:19" x14ac:dyDescent="0.25">
      <c r="G268">
        <f t="shared" si="57"/>
        <v>4.2999999999999972</v>
      </c>
      <c r="H268">
        <f t="shared" si="53"/>
        <v>199526.23149688687</v>
      </c>
      <c r="I268" t="str">
        <f t="shared" si="58"/>
        <v>1253660.28613815j</v>
      </c>
      <c r="J268" t="str">
        <f t="shared" si="54"/>
        <v>5+1.50439234336578j</v>
      </c>
      <c r="K268">
        <f t="shared" si="59"/>
        <v>14.355767709399164</v>
      </c>
      <c r="L268">
        <f t="shared" si="60"/>
        <v>16.74540971109127</v>
      </c>
      <c r="M268">
        <f t="shared" si="61"/>
        <v>5</v>
      </c>
      <c r="N268">
        <f t="shared" si="62"/>
        <v>1.50439234336578</v>
      </c>
      <c r="O268" t="str">
        <f t="shared" si="55"/>
        <v>0.00251188642520006-50.1187232368352j</v>
      </c>
      <c r="P268">
        <f t="shared" si="63"/>
        <v>33.999999989091101</v>
      </c>
      <c r="Q268">
        <f t="shared" si="64"/>
        <v>-89.997128408679146</v>
      </c>
      <c r="R268">
        <f t="shared" si="56"/>
        <v>19.644232279691938</v>
      </c>
      <c r="S268">
        <f t="shared" si="65"/>
        <v>73.257461880229584</v>
      </c>
    </row>
    <row r="269" spans="7:19" x14ac:dyDescent="0.25">
      <c r="G269">
        <f t="shared" si="57"/>
        <v>4.3199999999999967</v>
      </c>
      <c r="H269">
        <f t="shared" si="53"/>
        <v>208929.61308540276</v>
      </c>
      <c r="I269" t="str">
        <f t="shared" si="58"/>
        <v>1312743.47517292j</v>
      </c>
      <c r="J269" t="str">
        <f t="shared" si="54"/>
        <v>5+1.5752921702075j</v>
      </c>
      <c r="K269">
        <f t="shared" si="59"/>
        <v>14.39041151574019</v>
      </c>
      <c r="L269">
        <f t="shared" si="60"/>
        <v>17.48747307626704</v>
      </c>
      <c r="M269">
        <f t="shared" si="61"/>
        <v>5</v>
      </c>
      <c r="N269">
        <f t="shared" si="62"/>
        <v>1.5752921702075</v>
      </c>
      <c r="O269" t="str">
        <f t="shared" si="55"/>
        <v>0.00229086764751972-47.8630091226162j</v>
      </c>
      <c r="P269">
        <f t="shared" si="63"/>
        <v>33.599999990050918</v>
      </c>
      <c r="Q269">
        <f t="shared" si="64"/>
        <v>-89.997257651578295</v>
      </c>
      <c r="R269">
        <f t="shared" si="56"/>
        <v>19.209588474310728</v>
      </c>
      <c r="S269">
        <f t="shared" si="65"/>
        <v>72.515269272154669</v>
      </c>
    </row>
    <row r="270" spans="7:19" x14ac:dyDescent="0.25">
      <c r="G270">
        <f t="shared" si="57"/>
        <v>4.3399999999999963</v>
      </c>
      <c r="H270">
        <f t="shared" si="53"/>
        <v>218776.16239495357</v>
      </c>
      <c r="I270" t="str">
        <f t="shared" si="58"/>
        <v>1374611.16912111j</v>
      </c>
      <c r="J270" t="str">
        <f t="shared" si="54"/>
        <v>5+1.64953340294533j</v>
      </c>
      <c r="K270">
        <f t="shared" si="59"/>
        <v>14.428082731906366</v>
      </c>
      <c r="L270">
        <f t="shared" si="60"/>
        <v>18.258068085514918</v>
      </c>
      <c r="M270">
        <f t="shared" si="61"/>
        <v>5</v>
      </c>
      <c r="N270">
        <f t="shared" si="62"/>
        <v>1.6495334029453299</v>
      </c>
      <c r="O270" t="str">
        <f t="shared" si="55"/>
        <v>0.0020892961264889-45.7088188659885j</v>
      </c>
      <c r="P270">
        <f t="shared" si="63"/>
        <v>33.199999990926351</v>
      </c>
      <c r="Q270">
        <f t="shared" si="64"/>
        <v>-89.997381077588798</v>
      </c>
      <c r="R270">
        <f t="shared" si="56"/>
        <v>18.771917259019986</v>
      </c>
      <c r="S270">
        <f t="shared" si="65"/>
        <v>71.744550836896281</v>
      </c>
    </row>
    <row r="271" spans="7:19" x14ac:dyDescent="0.25">
      <c r="G271">
        <f t="shared" si="57"/>
        <v>4.3599999999999959</v>
      </c>
      <c r="H271">
        <f t="shared" si="53"/>
        <v>229086.76527677546</v>
      </c>
      <c r="I271" t="str">
        <f t="shared" si="58"/>
        <v>1439394.59765633j</v>
      </c>
      <c r="J271" t="str">
        <f t="shared" si="54"/>
        <v>5+1.7272735171876j</v>
      </c>
      <c r="K271">
        <f t="shared" si="59"/>
        <v>14.469016258065242</v>
      </c>
      <c r="L271">
        <f t="shared" si="60"/>
        <v>19.057712596828164</v>
      </c>
      <c r="M271">
        <f t="shared" si="61"/>
        <v>5</v>
      </c>
      <c r="N271">
        <f t="shared" si="62"/>
        <v>1.7272735171875999</v>
      </c>
      <c r="O271" t="str">
        <f t="shared" si="55"/>
        <v>0.0019054607143325-43.6515831408407j</v>
      </c>
      <c r="P271">
        <f t="shared" si="63"/>
        <v>32.799999991724789</v>
      </c>
      <c r="Q271">
        <f t="shared" si="64"/>
        <v>-89.997498948513794</v>
      </c>
      <c r="R271">
        <f t="shared" si="56"/>
        <v>18.330983733659547</v>
      </c>
      <c r="S271">
        <f t="shared" si="65"/>
        <v>70.944788454658038</v>
      </c>
    </row>
    <row r="272" spans="7:19" x14ac:dyDescent="0.25">
      <c r="G272">
        <f t="shared" si="57"/>
        <v>4.3799999999999955</v>
      </c>
      <c r="H272">
        <f t="shared" si="53"/>
        <v>239883.29190194668</v>
      </c>
      <c r="I272" t="str">
        <f t="shared" si="58"/>
        <v>1507231.17511618j</v>
      </c>
      <c r="J272" t="str">
        <f t="shared" si="54"/>
        <v>5+1.80867741013942j</v>
      </c>
      <c r="K272">
        <f t="shared" si="59"/>
        <v>14.513459937874993</v>
      </c>
      <c r="L272">
        <f t="shared" si="60"/>
        <v>19.886855064421319</v>
      </c>
      <c r="M272">
        <f t="shared" si="61"/>
        <v>5</v>
      </c>
      <c r="N272">
        <f t="shared" si="62"/>
        <v>1.8086774101394201</v>
      </c>
      <c r="O272" t="str">
        <f t="shared" si="55"/>
        <v>0.00173780082572947-41.6869382745905j</v>
      </c>
      <c r="P272">
        <f t="shared" si="63"/>
        <v>32.39999999245294</v>
      </c>
      <c r="Q272">
        <f t="shared" si="64"/>
        <v>-89.997611514373276</v>
      </c>
      <c r="R272">
        <f t="shared" si="56"/>
        <v>17.886540054577949</v>
      </c>
      <c r="S272">
        <f t="shared" si="65"/>
        <v>70.115533421205413</v>
      </c>
    </row>
    <row r="273" spans="7:19" x14ac:dyDescent="0.25">
      <c r="G273">
        <f t="shared" si="57"/>
        <v>4.399999999999995</v>
      </c>
      <c r="H273">
        <f t="shared" si="53"/>
        <v>251188.64315095547</v>
      </c>
      <c r="I273" t="str">
        <f t="shared" si="58"/>
        <v>1578264.79197646j</v>
      </c>
      <c r="J273" t="str">
        <f t="shared" si="54"/>
        <v>5+1.89391775037175j</v>
      </c>
      <c r="K273">
        <f t="shared" si="59"/>
        <v>14.561674338351253</v>
      </c>
      <c r="L273">
        <f t="shared" si="60"/>
        <v>20.745863378740928</v>
      </c>
      <c r="M273">
        <f t="shared" si="61"/>
        <v>5</v>
      </c>
      <c r="N273">
        <f t="shared" si="62"/>
        <v>1.8939177503717499</v>
      </c>
      <c r="O273" t="str">
        <f t="shared" si="55"/>
        <v>0.00158489318994925-39.8107169922543j</v>
      </c>
      <c r="P273">
        <f t="shared" si="63"/>
        <v>31.999999993116962</v>
      </c>
      <c r="Q273">
        <f t="shared" si="64"/>
        <v>-89.997719013934542</v>
      </c>
      <c r="R273">
        <f t="shared" si="56"/>
        <v>17.438325654765709</v>
      </c>
      <c r="S273">
        <f t="shared" si="65"/>
        <v>69.256417607324522</v>
      </c>
    </row>
    <row r="274" spans="7:19" x14ac:dyDescent="0.25">
      <c r="G274">
        <f t="shared" si="57"/>
        <v>4.4199999999999946</v>
      </c>
      <c r="H274">
        <f t="shared" si="53"/>
        <v>263026.79918953503</v>
      </c>
      <c r="I274" t="str">
        <f t="shared" si="58"/>
        <v>1652646.12006216j</v>
      </c>
      <c r="J274" t="str">
        <f t="shared" si="54"/>
        <v>5+1.98317534407459j</v>
      </c>
      <c r="K274">
        <f t="shared" si="59"/>
        <v>14.613932335544728</v>
      </c>
      <c r="L274">
        <f t="shared" si="60"/>
        <v>21.635013125875911</v>
      </c>
      <c r="M274">
        <f t="shared" si="61"/>
        <v>5</v>
      </c>
      <c r="N274">
        <f t="shared" si="62"/>
        <v>1.9831753440745901</v>
      </c>
      <c r="O274" t="str">
        <f t="shared" si="55"/>
        <v>0.00144543976865667-38.0189395771025j</v>
      </c>
      <c r="P274">
        <f t="shared" si="63"/>
        <v>31.599999993722641</v>
      </c>
      <c r="Q274">
        <f t="shared" si="64"/>
        <v>-89.997821675218574</v>
      </c>
      <c r="R274">
        <f t="shared" si="56"/>
        <v>16.986067658177912</v>
      </c>
      <c r="S274">
        <f t="shared" si="65"/>
        <v>68.367165198905511</v>
      </c>
    </row>
    <row r="275" spans="7:19" x14ac:dyDescent="0.25">
      <c r="G275">
        <f t="shared" si="57"/>
        <v>4.4399999999999942</v>
      </c>
      <c r="H275">
        <f t="shared" si="53"/>
        <v>275422.87033381331</v>
      </c>
      <c r="I275" t="str">
        <f t="shared" si="58"/>
        <v>1730532.93214264j</v>
      </c>
      <c r="J275" t="str">
        <f t="shared" si="54"/>
        <v>5+2.07663951857117j</v>
      </c>
      <c r="K275">
        <f t="shared" si="59"/>
        <v>14.670518479772518</v>
      </c>
      <c r="L275">
        <f t="shared" si="60"/>
        <v>22.554475392353488</v>
      </c>
      <c r="M275">
        <f t="shared" si="61"/>
        <v>5</v>
      </c>
      <c r="N275">
        <f t="shared" si="62"/>
        <v>2.0766395185711701</v>
      </c>
      <c r="O275" t="str">
        <f t="shared" si="55"/>
        <v>0.00131825673681864-36.3078054291476j</v>
      </c>
      <c r="P275">
        <f t="shared" si="63"/>
        <v>31.199999994274997</v>
      </c>
      <c r="Q275">
        <f t="shared" si="64"/>
        <v>-89.997919715983699</v>
      </c>
      <c r="R275">
        <f t="shared" si="56"/>
        <v>16.529481514502478</v>
      </c>
      <c r="S275">
        <f t="shared" si="65"/>
        <v>67.44760489166282</v>
      </c>
    </row>
    <row r="276" spans="7:19" x14ac:dyDescent="0.25">
      <c r="G276">
        <f t="shared" si="57"/>
        <v>4.4599999999999937</v>
      </c>
      <c r="H276">
        <f t="shared" si="53"/>
        <v>288403.15031265654</v>
      </c>
      <c r="I276" t="str">
        <f t="shared" si="58"/>
        <v>1812090.43658879j</v>
      </c>
      <c r="J276" t="str">
        <f t="shared" si="54"/>
        <v>5+2.17450852390655j</v>
      </c>
      <c r="K276">
        <f t="shared" si="59"/>
        <v>14.731728114903426</v>
      </c>
      <c r="L276">
        <f t="shared" si="60"/>
        <v>23.504304279635349</v>
      </c>
      <c r="M276">
        <f t="shared" si="61"/>
        <v>5</v>
      </c>
      <c r="N276">
        <f t="shared" si="62"/>
        <v>2.17450852390655</v>
      </c>
      <c r="O276" t="str">
        <f t="shared" si="55"/>
        <v>0.001202264433172-34.6736850035667j</v>
      </c>
      <c r="P276">
        <f t="shared" si="63"/>
        <v>30.799999994778751</v>
      </c>
      <c r="Q276">
        <f t="shared" si="64"/>
        <v>-89.998013344187541</v>
      </c>
      <c r="R276">
        <f t="shared" si="56"/>
        <v>16.068271879875326</v>
      </c>
      <c r="S276">
        <f t="shared" si="65"/>
        <v>66.49768237617711</v>
      </c>
    </row>
    <row r="277" spans="7:19" x14ac:dyDescent="0.25">
      <c r="G277">
        <f t="shared" si="57"/>
        <v>4.4799999999999933</v>
      </c>
      <c r="H277">
        <f t="shared" si="53"/>
        <v>301995.1720401973</v>
      </c>
      <c r="I277" t="str">
        <f t="shared" si="58"/>
        <v>1897491.62780214j</v>
      </c>
      <c r="J277" t="str">
        <f t="shared" si="54"/>
        <v>5+2.27698995336257j</v>
      </c>
      <c r="K277">
        <f t="shared" si="59"/>
        <v>14.797866228102738</v>
      </c>
      <c r="L277">
        <f t="shared" si="60"/>
        <v>24.484424333690644</v>
      </c>
      <c r="M277">
        <f t="shared" si="61"/>
        <v>5</v>
      </c>
      <c r="N277">
        <f t="shared" si="62"/>
        <v>2.2769899533625702</v>
      </c>
      <c r="O277" t="str">
        <f t="shared" si="55"/>
        <v>0.00109647819494095-33.1131121119518j</v>
      </c>
      <c r="P277">
        <f t="shared" si="63"/>
        <v>30.399999995238183</v>
      </c>
      <c r="Q277">
        <f t="shared" si="64"/>
        <v>-89.998102758428061</v>
      </c>
      <c r="R277">
        <f t="shared" si="56"/>
        <v>15.602133767135445</v>
      </c>
      <c r="S277">
        <f t="shared" si="65"/>
        <v>65.517472907881299</v>
      </c>
    </row>
    <row r="278" spans="7:19" x14ac:dyDescent="0.25">
      <c r="G278">
        <f t="shared" si="57"/>
        <v>4.4999999999999929</v>
      </c>
      <c r="H278">
        <f t="shared" si="53"/>
        <v>316227.76601683337</v>
      </c>
      <c r="I278" t="str">
        <f t="shared" si="58"/>
        <v>1986917.65315919j</v>
      </c>
      <c r="J278" t="str">
        <f t="shared" si="54"/>
        <v>5+2.38430118379103j</v>
      </c>
      <c r="K278">
        <f t="shared" si="59"/>
        <v>14.869246009702923</v>
      </c>
      <c r="L278">
        <f t="shared" si="60"/>
        <v>25.494618137477229</v>
      </c>
      <c r="M278">
        <f t="shared" si="61"/>
        <v>5</v>
      </c>
      <c r="N278">
        <f t="shared" si="62"/>
        <v>2.3843011837910302</v>
      </c>
      <c r="O278" t="str">
        <f t="shared" si="55"/>
        <v>0.000999999999000031-31.6227765700615j</v>
      </c>
      <c r="P278">
        <f t="shared" si="63"/>
        <v>29.999999995657191</v>
      </c>
      <c r="Q278">
        <f t="shared" si="64"/>
        <v>-89.998188148364846</v>
      </c>
      <c r="R278">
        <f t="shared" si="56"/>
        <v>15.130753985954268</v>
      </c>
      <c r="S278">
        <f t="shared" si="65"/>
        <v>64.507193714157921</v>
      </c>
    </row>
    <row r="279" spans="7:19" x14ac:dyDescent="0.25">
      <c r="G279">
        <f t="shared" si="57"/>
        <v>4.5199999999999925</v>
      </c>
      <c r="H279">
        <f t="shared" si="53"/>
        <v>331131.12148258556</v>
      </c>
      <c r="I279" t="str">
        <f t="shared" si="58"/>
        <v>2080558.19724928j</v>
      </c>
      <c r="J279" t="str">
        <f t="shared" si="54"/>
        <v>5+2.49666983669914j</v>
      </c>
      <c r="K279">
        <f t="shared" si="59"/>
        <v>14.946187107664116</v>
      </c>
      <c r="L279">
        <f t="shared" si="60"/>
        <v>26.534514356203999</v>
      </c>
      <c r="M279">
        <f t="shared" si="61"/>
        <v>5</v>
      </c>
      <c r="N279">
        <f t="shared" si="62"/>
        <v>2.49666983669914</v>
      </c>
      <c r="O279" t="str">
        <f t="shared" si="55"/>
        <v>0.000912010838524174-30.1995171764783j</v>
      </c>
      <c r="P279">
        <f t="shared" si="63"/>
        <v>29.599999996039308</v>
      </c>
      <c r="Q279">
        <f t="shared" si="64"/>
        <v>-89.998269695121408</v>
      </c>
      <c r="R279">
        <f t="shared" si="56"/>
        <v>14.653812888375192</v>
      </c>
      <c r="S279">
        <f t="shared" si="65"/>
        <v>63.467215948674593</v>
      </c>
    </row>
    <row r="280" spans="7:19" x14ac:dyDescent="0.25">
      <c r="G280">
        <f t="shared" si="57"/>
        <v>4.539999999999992</v>
      </c>
      <c r="H280">
        <f t="shared" si="53"/>
        <v>346736.85045252583</v>
      </c>
      <c r="I280" t="str">
        <f t="shared" si="58"/>
        <v>2178611.88422104j</v>
      </c>
      <c r="J280" t="str">
        <f t="shared" si="54"/>
        <v>5+2.61433426106525j</v>
      </c>
      <c r="K280">
        <f t="shared" si="59"/>
        <v>15.029013567554903</v>
      </c>
      <c r="L280">
        <f t="shared" si="60"/>
        <v>27.603576564569408</v>
      </c>
      <c r="M280">
        <f t="shared" si="61"/>
        <v>5</v>
      </c>
      <c r="N280">
        <f t="shared" si="62"/>
        <v>2.6143342610652498</v>
      </c>
      <c r="O280" t="str">
        <f t="shared" si="55"/>
        <v>0.000831763770410862-28.8403150072781j</v>
      </c>
      <c r="P280">
        <f t="shared" si="63"/>
        <v>29.199999996387803</v>
      </c>
      <c r="Q280">
        <f t="shared" si="64"/>
        <v>-89.998347571669342</v>
      </c>
      <c r="R280">
        <f t="shared" si="56"/>
        <v>14.170986428832899</v>
      </c>
      <c r="S280">
        <f t="shared" si="65"/>
        <v>62.39807586376125</v>
      </c>
    </row>
    <row r="281" spans="7:19" x14ac:dyDescent="0.25">
      <c r="G281">
        <f t="shared" si="57"/>
        <v>4.5599999999999916</v>
      </c>
      <c r="H281">
        <f t="shared" si="53"/>
        <v>363078.05477009452</v>
      </c>
      <c r="I281" t="str">
        <f t="shared" si="58"/>
        <v>2281286.6990908j</v>
      </c>
      <c r="J281" t="str">
        <f t="shared" si="54"/>
        <v>5+2.73754403890896j</v>
      </c>
      <c r="K281">
        <f t="shared" si="59"/>
        <v>15.118051457176611</v>
      </c>
      <c r="L281">
        <f t="shared" si="60"/>
        <v>28.701093219022408</v>
      </c>
      <c r="M281">
        <f t="shared" si="61"/>
        <v>5</v>
      </c>
      <c r="N281">
        <f t="shared" si="62"/>
        <v>2.7375440389089598</v>
      </c>
      <c r="O281" t="str">
        <f t="shared" si="55"/>
        <v>0.000758577574453774-27.5422870124893j</v>
      </c>
      <c r="P281">
        <f t="shared" si="63"/>
        <v>28.799999996705729</v>
      </c>
      <c r="Q281">
        <f t="shared" si="64"/>
        <v>-89.998421943195254</v>
      </c>
      <c r="R281">
        <f t="shared" si="56"/>
        <v>13.681948539529118</v>
      </c>
      <c r="S281">
        <f t="shared" si="65"/>
        <v>61.300484837782335</v>
      </c>
    </row>
    <row r="282" spans="7:19" x14ac:dyDescent="0.25">
      <c r="G282">
        <f t="shared" si="57"/>
        <v>4.5799999999999912</v>
      </c>
      <c r="H282">
        <f t="shared" si="53"/>
        <v>380189.39632055402</v>
      </c>
      <c r="I282" t="str">
        <f t="shared" si="58"/>
        <v>2388800.42890678j</v>
      </c>
      <c r="J282" t="str">
        <f t="shared" si="54"/>
        <v>5+2.86656051468814j</v>
      </c>
      <c r="K282">
        <f t="shared" si="59"/>
        <v>15.213626184828579</v>
      </c>
      <c r="L282">
        <f t="shared" si="60"/>
        <v>29.826169163361229</v>
      </c>
      <c r="M282">
        <f t="shared" si="61"/>
        <v>5</v>
      </c>
      <c r="N282">
        <f t="shared" si="62"/>
        <v>2.8665605146881399</v>
      </c>
      <c r="O282" t="str">
        <f t="shared" si="55"/>
        <v>0.000691830970440333-26.3026799007573j</v>
      </c>
      <c r="P282">
        <f t="shared" si="63"/>
        <v>28.399999996995579</v>
      </c>
      <c r="Q282">
        <f t="shared" si="64"/>
        <v>-89.998492967451114</v>
      </c>
      <c r="R282">
        <f t="shared" si="56"/>
        <v>13.186373812167</v>
      </c>
      <c r="S282">
        <f t="shared" si="65"/>
        <v>60.175337869187658</v>
      </c>
    </row>
    <row r="283" spans="7:19" x14ac:dyDescent="0.25">
      <c r="G283">
        <f t="shared" si="57"/>
        <v>4.5999999999999908</v>
      </c>
      <c r="H283">
        <f t="shared" si="53"/>
        <v>398107.17055348901</v>
      </c>
      <c r="I283" t="str">
        <f t="shared" si="58"/>
        <v>2501381.12470452j</v>
      </c>
      <c r="J283" t="str">
        <f t="shared" si="54"/>
        <v>5+3.00165734964542j</v>
      </c>
      <c r="K283">
        <f t="shared" si="59"/>
        <v>15.31605953159419</v>
      </c>
      <c r="L283">
        <f t="shared" si="60"/>
        <v>30.977719069352435</v>
      </c>
      <c r="M283">
        <f t="shared" si="61"/>
        <v>5</v>
      </c>
      <c r="N283">
        <f t="shared" si="62"/>
        <v>3.00165734964542</v>
      </c>
      <c r="O283" t="str">
        <f t="shared" si="55"/>
        <v>0.000630957344082112-25.1188642992474j</v>
      </c>
      <c r="P283">
        <f t="shared" si="63"/>
        <v>27.999999997259973</v>
      </c>
      <c r="Q283">
        <f t="shared" si="64"/>
        <v>-89.998560795088892</v>
      </c>
      <c r="R283">
        <f t="shared" si="56"/>
        <v>12.683940465665783</v>
      </c>
      <c r="S283">
        <f t="shared" si="65"/>
        <v>59.023720135558676</v>
      </c>
    </row>
    <row r="284" spans="7:19" x14ac:dyDescent="0.25">
      <c r="G284">
        <f t="shared" si="57"/>
        <v>4.6199999999999903</v>
      </c>
      <c r="H284">
        <f t="shared" si="53"/>
        <v>416869.38347032666</v>
      </c>
      <c r="I284" t="str">
        <f t="shared" si="58"/>
        <v>2619267.58523377j</v>
      </c>
      <c r="J284" t="str">
        <f t="shared" si="54"/>
        <v>5+3.14312110228052j</v>
      </c>
      <c r="K284">
        <f t="shared" si="59"/>
        <v>15.425666430597547</v>
      </c>
      <c r="L284">
        <f t="shared" si="60"/>
        <v>32.154463212255209</v>
      </c>
      <c r="M284">
        <f t="shared" si="61"/>
        <v>5</v>
      </c>
      <c r="N284">
        <f t="shared" si="62"/>
        <v>3.1431211022805199</v>
      </c>
      <c r="O284" t="str">
        <f t="shared" si="55"/>
        <v>0.000575439937006049-23.9883291763915j</v>
      </c>
      <c r="P284">
        <f t="shared" si="63"/>
        <v>27.599999997501055</v>
      </c>
      <c r="Q284">
        <f t="shared" si="64"/>
        <v>-89.998625569980106</v>
      </c>
      <c r="R284">
        <f t="shared" si="56"/>
        <v>12.174333566903508</v>
      </c>
      <c r="S284">
        <f t="shared" si="65"/>
        <v>57.846911217764685</v>
      </c>
    </row>
    <row r="285" spans="7:19" x14ac:dyDescent="0.25">
      <c r="G285">
        <f t="shared" si="57"/>
        <v>4.6399999999999899</v>
      </c>
      <c r="H285">
        <f t="shared" si="53"/>
        <v>436515.83224015596</v>
      </c>
      <c r="I285" t="str">
        <f t="shared" si="58"/>
        <v>2742709.86348262j</v>
      </c>
      <c r="J285" t="str">
        <f t="shared" si="54"/>
        <v>5+3.29125183617914j</v>
      </c>
      <c r="K285">
        <f t="shared" si="59"/>
        <v>15.542751539455415</v>
      </c>
      <c r="L285">
        <f t="shared" si="60"/>
        <v>33.354925961188577</v>
      </c>
      <c r="M285">
        <f t="shared" si="61"/>
        <v>5</v>
      </c>
      <c r="N285">
        <f t="shared" si="62"/>
        <v>3.2912518361791401</v>
      </c>
      <c r="O285" t="str">
        <f t="shared" si="55"/>
        <v>0.000524807459974374-22.9086765156556j</v>
      </c>
      <c r="P285">
        <f t="shared" si="63"/>
        <v>27.199999997720987</v>
      </c>
      <c r="Q285">
        <f t="shared" si="64"/>
        <v>-89.99868742952097</v>
      </c>
      <c r="R285">
        <f t="shared" si="56"/>
        <v>11.657248458265572</v>
      </c>
      <c r="S285">
        <f t="shared" si="65"/>
        <v>56.64638660929046</v>
      </c>
    </row>
    <row r="286" spans="7:19" x14ac:dyDescent="0.25">
      <c r="G286">
        <f t="shared" si="57"/>
        <v>4.6599999999999895</v>
      </c>
      <c r="H286">
        <f t="shared" si="53"/>
        <v>457088.18961486447</v>
      </c>
      <c r="I286" t="str">
        <f t="shared" si="58"/>
        <v>2871969.79707343j</v>
      </c>
      <c r="J286" t="str">
        <f t="shared" si="54"/>
        <v>5+3.44636375648812j</v>
      </c>
      <c r="K286">
        <f t="shared" si="59"/>
        <v>15.667605665493305</v>
      </c>
      <c r="L286">
        <f t="shared" si="60"/>
        <v>34.577437323932628</v>
      </c>
      <c r="M286">
        <f t="shared" si="61"/>
        <v>5</v>
      </c>
      <c r="N286">
        <f t="shared" si="62"/>
        <v>3.44636375648812</v>
      </c>
      <c r="O286" t="str">
        <f t="shared" si="55"/>
        <v>0.000478630092093575-21.8776162290248j</v>
      </c>
      <c r="P286">
        <f t="shared" si="63"/>
        <v>26.799999997921557</v>
      </c>
      <c r="Q286">
        <f t="shared" si="64"/>
        <v>-89.998746504923872</v>
      </c>
      <c r="R286">
        <f t="shared" si="56"/>
        <v>11.132394332428252</v>
      </c>
      <c r="S286">
        <f t="shared" si="65"/>
        <v>55.4238161711435</v>
      </c>
    </row>
    <row r="287" spans="7:19" x14ac:dyDescent="0.25">
      <c r="G287">
        <f t="shared" si="57"/>
        <v>4.6799999999999891</v>
      </c>
      <c r="H287">
        <f t="shared" si="53"/>
        <v>478630.0923226272</v>
      </c>
      <c r="I287" t="str">
        <f t="shared" si="58"/>
        <v>3007321.56365554j</v>
      </c>
      <c r="J287" t="str">
        <f t="shared" si="54"/>
        <v>5+3.60878587638665j</v>
      </c>
      <c r="K287">
        <f t="shared" si="59"/>
        <v>15.800502115931753</v>
      </c>
      <c r="L287">
        <f t="shared" si="60"/>
        <v>35.820137823723726</v>
      </c>
      <c r="M287">
        <f t="shared" si="61"/>
        <v>5</v>
      </c>
      <c r="N287">
        <f t="shared" si="62"/>
        <v>3.60878587638665</v>
      </c>
      <c r="O287" t="str">
        <f t="shared" si="55"/>
        <v>0.000436515832049641-20.8929612994208j</v>
      </c>
      <c r="P287">
        <f t="shared" si="63"/>
        <v>26.399999998104452</v>
      </c>
      <c r="Q287">
        <f t="shared" si="64"/>
        <v>-89.998802921495667</v>
      </c>
      <c r="R287">
        <f t="shared" si="56"/>
        <v>10.599497882172699</v>
      </c>
      <c r="S287">
        <f t="shared" si="65"/>
        <v>54.181059254780607</v>
      </c>
    </row>
    <row r="288" spans="7:19" x14ac:dyDescent="0.25">
      <c r="G288">
        <f t="shared" si="57"/>
        <v>4.6999999999999886</v>
      </c>
      <c r="H288">
        <f t="shared" si="53"/>
        <v>501187.23362725956</v>
      </c>
      <c r="I288" t="str">
        <f t="shared" si="58"/>
        <v>3149052.26247278j</v>
      </c>
      <c r="J288" t="str">
        <f t="shared" si="54"/>
        <v>5+3.77886271496734j</v>
      </c>
      <c r="K288">
        <f t="shared" si="59"/>
        <v>15.94169305631109</v>
      </c>
      <c r="L288">
        <f t="shared" si="60"/>
        <v>37.080986902036031</v>
      </c>
      <c r="M288">
        <f t="shared" si="61"/>
        <v>5</v>
      </c>
      <c r="N288">
        <f t="shared" si="62"/>
        <v>3.7788627149673402</v>
      </c>
      <c r="O288" t="str">
        <f t="shared" si="55"/>
        <v>0.000398107170395027-19.952623141746j</v>
      </c>
      <c r="P288">
        <f t="shared" si="63"/>
        <v>25.999999998271257</v>
      </c>
      <c r="Q288">
        <f t="shared" si="64"/>
        <v>-89.998856798903461</v>
      </c>
      <c r="R288">
        <f t="shared" si="56"/>
        <v>10.058306941960167</v>
      </c>
      <c r="S288">
        <f t="shared" si="65"/>
        <v>52.920156299060508</v>
      </c>
    </row>
    <row r="289" spans="7:19" x14ac:dyDescent="0.25">
      <c r="G289">
        <f t="shared" si="57"/>
        <v>4.7199999999999882</v>
      </c>
      <c r="H289">
        <f t="shared" si="53"/>
        <v>524807.46024975914</v>
      </c>
      <c r="I289" t="str">
        <f t="shared" si="58"/>
        <v>3297462.52333952j</v>
      </c>
      <c r="J289" t="str">
        <f t="shared" si="54"/>
        <v>5+3.95695502800742j</v>
      </c>
      <c r="K289">
        <f t="shared" si="59"/>
        <v>16.091405969004228</v>
      </c>
      <c r="L289">
        <f t="shared" si="60"/>
        <v>38.357774937986328</v>
      </c>
      <c r="M289">
        <f t="shared" si="61"/>
        <v>5</v>
      </c>
      <c r="N289">
        <f t="shared" si="62"/>
        <v>3.9569550280074202</v>
      </c>
      <c r="O289" t="str">
        <f t="shared" si="55"/>
        <v>0.000363078054638294-19.0546071727147j</v>
      </c>
      <c r="P289">
        <f t="shared" si="63"/>
        <v>25.599999998423417</v>
      </c>
      <c r="Q289">
        <f t="shared" si="64"/>
        <v>-89.99890825142846</v>
      </c>
      <c r="R289">
        <f t="shared" si="56"/>
        <v>9.5085940294191893</v>
      </c>
      <c r="S289">
        <f t="shared" si="65"/>
        <v>51.643316810585219</v>
      </c>
    </row>
    <row r="290" spans="7:19" x14ac:dyDescent="0.25">
      <c r="G290">
        <f t="shared" si="57"/>
        <v>4.7399999999999878</v>
      </c>
      <c r="H290">
        <f t="shared" si="53"/>
        <v>549540.87385760946</v>
      </c>
      <c r="I290" t="str">
        <f t="shared" si="58"/>
        <v>3452867.14431676j</v>
      </c>
      <c r="J290" t="str">
        <f t="shared" si="54"/>
        <v>5+4.14344057318012j</v>
      </c>
      <c r="K290">
        <f t="shared" si="59"/>
        <v>16.249840308904854</v>
      </c>
      <c r="L290">
        <f t="shared" si="60"/>
        <v>39.648138855415951</v>
      </c>
      <c r="M290">
        <f t="shared" si="61"/>
        <v>5</v>
      </c>
      <c r="N290">
        <f t="shared" si="62"/>
        <v>4.1434405731801203</v>
      </c>
      <c r="O290" t="str">
        <f t="shared" si="55"/>
        <v>0.000331131121372962-18.1970085800748j</v>
      </c>
      <c r="P290">
        <f t="shared" si="63"/>
        <v>25.199999998562184</v>
      </c>
      <c r="Q290">
        <f t="shared" si="64"/>
        <v>-89.998957388208382</v>
      </c>
      <c r="R290">
        <f t="shared" si="56"/>
        <v>8.9501596896573297</v>
      </c>
      <c r="S290">
        <f t="shared" si="65"/>
        <v>50.352903756375667</v>
      </c>
    </row>
    <row r="291" spans="7:19" x14ac:dyDescent="0.25">
      <c r="G291">
        <f t="shared" si="57"/>
        <v>4.7599999999999874</v>
      </c>
      <c r="H291">
        <f t="shared" si="53"/>
        <v>575439.93733714102</v>
      </c>
      <c r="I291" t="str">
        <f t="shared" si="58"/>
        <v>3615595.75944107j</v>
      </c>
      <c r="J291" t="str">
        <f t="shared" si="54"/>
        <v>5+4.33871491132928j</v>
      </c>
      <c r="K291">
        <f t="shared" si="59"/>
        <v>16.417164454539808</v>
      </c>
      <c r="L291">
        <f t="shared" si="60"/>
        <v>40.949581158197624</v>
      </c>
      <c r="M291">
        <f t="shared" si="61"/>
        <v>5</v>
      </c>
      <c r="N291">
        <f t="shared" si="62"/>
        <v>4.33871491132928</v>
      </c>
      <c r="O291" t="str">
        <f t="shared" si="55"/>
        <v>0.000301995171949016-17.3780082822461j</v>
      </c>
      <c r="P291">
        <f t="shared" si="63"/>
        <v>24.799999998688662</v>
      </c>
      <c r="Q291">
        <f t="shared" si="64"/>
        <v>-89.999004313468888</v>
      </c>
      <c r="R291">
        <f t="shared" si="56"/>
        <v>8.382835544148854</v>
      </c>
      <c r="S291">
        <f t="shared" si="65"/>
        <v>49.051414528333481</v>
      </c>
    </row>
    <row r="292" spans="7:19" x14ac:dyDescent="0.25">
      <c r="G292">
        <f t="shared" si="57"/>
        <v>4.7799999999999869</v>
      </c>
      <c r="H292">
        <f t="shared" si="53"/>
        <v>602559.58607433992</v>
      </c>
      <c r="I292" t="str">
        <f t="shared" si="58"/>
        <v>3785993.53792251j</v>
      </c>
      <c r="J292" t="str">
        <f t="shared" si="54"/>
        <v>5+4.543192245507j</v>
      </c>
      <c r="K292">
        <f t="shared" si="59"/>
        <v>16.593513049424761</v>
      </c>
      <c r="L292">
        <f t="shared" si="60"/>
        <v>42.259492099723509</v>
      </c>
      <c r="M292">
        <f t="shared" si="61"/>
        <v>5</v>
      </c>
      <c r="N292">
        <f t="shared" si="62"/>
        <v>4.543192245507</v>
      </c>
      <c r="O292" t="str">
        <f t="shared" si="55"/>
        <v>0.000275422870257974-16.5958690698052j</v>
      </c>
      <c r="P292">
        <f t="shared" si="63"/>
        <v>24.399999998804102</v>
      </c>
      <c r="Q292">
        <f t="shared" si="64"/>
        <v>-89.999049126744779</v>
      </c>
      <c r="R292">
        <f t="shared" si="56"/>
        <v>7.806486949379341</v>
      </c>
      <c r="S292">
        <f t="shared" si="65"/>
        <v>47.741458773531718</v>
      </c>
    </row>
    <row r="293" spans="7:19" x14ac:dyDescent="0.25">
      <c r="G293">
        <f t="shared" si="57"/>
        <v>4.7999999999999865</v>
      </c>
      <c r="H293">
        <f t="shared" si="53"/>
        <v>630957.34448017448</v>
      </c>
      <c r="I293" t="str">
        <f t="shared" si="58"/>
        <v>3964421.91629488j</v>
      </c>
      <c r="J293" t="str">
        <f t="shared" si="54"/>
        <v>5+4.75730629955384j</v>
      </c>
      <c r="K293">
        <f t="shared" si="59"/>
        <v>16.778984820242503</v>
      </c>
      <c r="L293">
        <f t="shared" si="60"/>
        <v>43.575174561764513</v>
      </c>
      <c r="M293">
        <f t="shared" si="61"/>
        <v>5</v>
      </c>
      <c r="N293">
        <f t="shared" si="62"/>
        <v>4.7573062995538402</v>
      </c>
      <c r="O293" t="str">
        <f t="shared" si="55"/>
        <v>0.000251188643087878-15.8489319206305j</v>
      </c>
      <c r="P293">
        <f t="shared" si="63"/>
        <v>23.999999998909338</v>
      </c>
      <c r="Q293">
        <f t="shared" si="64"/>
        <v>-89.999091923091001</v>
      </c>
      <c r="R293">
        <f t="shared" si="56"/>
        <v>7.2210151786668355</v>
      </c>
      <c r="S293">
        <f t="shared" si="65"/>
        <v>46.425733515144486</v>
      </c>
    </row>
    <row r="294" spans="7:19" x14ac:dyDescent="0.25">
      <c r="G294">
        <f t="shared" si="57"/>
        <v>4.8199999999999861</v>
      </c>
      <c r="H294">
        <f t="shared" si="53"/>
        <v>660693.44800757489</v>
      </c>
      <c r="I294" t="str">
        <f t="shared" si="58"/>
        <v>4151259.36507101j</v>
      </c>
      <c r="J294" t="str">
        <f t="shared" si="54"/>
        <v>5+4.9815112380852j</v>
      </c>
      <c r="K294">
        <f t="shared" si="59"/>
        <v>16.973640945505281</v>
      </c>
      <c r="L294">
        <f t="shared" si="60"/>
        <v>44.893871099340537</v>
      </c>
      <c r="M294">
        <f t="shared" si="61"/>
        <v>5</v>
      </c>
      <c r="N294">
        <f t="shared" si="62"/>
        <v>4.9815112380851998</v>
      </c>
      <c r="O294" t="str">
        <f t="shared" si="55"/>
        <v>0.000229086765224312-15.1356124808952j</v>
      </c>
      <c r="P294">
        <f t="shared" si="63"/>
        <v>23.599999999005369</v>
      </c>
      <c r="Q294">
        <f t="shared" si="64"/>
        <v>-89.999132793284375</v>
      </c>
      <c r="R294">
        <f t="shared" si="56"/>
        <v>6.6263590535000887</v>
      </c>
      <c r="S294">
        <f t="shared" si="65"/>
        <v>45.106996107375096</v>
      </c>
    </row>
    <row r="295" spans="7:19" x14ac:dyDescent="0.25">
      <c r="G295">
        <f t="shared" si="57"/>
        <v>4.8399999999999856</v>
      </c>
      <c r="H295">
        <f t="shared" si="53"/>
        <v>691830.97091891442</v>
      </c>
      <c r="I295" t="str">
        <f t="shared" si="58"/>
        <v>4346902.19152951j</v>
      </c>
      <c r="J295" t="str">
        <f t="shared" si="54"/>
        <v>5+5.2162826298354j</v>
      </c>
      <c r="K295">
        <f t="shared" si="59"/>
        <v>17.177504031270182</v>
      </c>
      <c r="L295">
        <f t="shared" si="60"/>
        <v>46.212792509994564</v>
      </c>
      <c r="M295">
        <f t="shared" si="61"/>
        <v>5</v>
      </c>
      <c r="N295">
        <f t="shared" si="62"/>
        <v>5.2162826298354004</v>
      </c>
      <c r="O295" t="str">
        <f t="shared" si="55"/>
        <v>0.000208929613041766-14.4543977044398j</v>
      </c>
      <c r="P295">
        <f t="shared" si="63"/>
        <v>23.199999999092917</v>
      </c>
      <c r="Q295">
        <f t="shared" si="64"/>
        <v>-89.999171824016031</v>
      </c>
      <c r="R295">
        <f t="shared" si="56"/>
        <v>6.022495967822735</v>
      </c>
      <c r="S295">
        <f t="shared" si="65"/>
        <v>43.788035665989412</v>
      </c>
    </row>
    <row r="296" spans="7:19" x14ac:dyDescent="0.25">
      <c r="G296">
        <f t="shared" si="57"/>
        <v>4.8599999999999852</v>
      </c>
      <c r="H296">
        <f t="shared" si="53"/>
        <v>724435.96007496677</v>
      </c>
      <c r="I296" t="str">
        <f t="shared" si="58"/>
        <v>4551765.38033557j</v>
      </c>
      <c r="J296" t="str">
        <f t="shared" si="54"/>
        <v>5+5.46211845640268j</v>
      </c>
      <c r="K296">
        <f t="shared" si="59"/>
        <v>17.390557730064756</v>
      </c>
      <c r="L296">
        <f t="shared" si="60"/>
        <v>47.529147214947471</v>
      </c>
      <c r="M296">
        <f t="shared" si="61"/>
        <v>5</v>
      </c>
      <c r="N296">
        <f t="shared" si="62"/>
        <v>5.4621184564026803</v>
      </c>
      <c r="O296" t="str">
        <f t="shared" si="55"/>
        <v>0.000190546071760029-13.803842643399j</v>
      </c>
      <c r="P296">
        <f t="shared" si="63"/>
        <v>22.79999999917273</v>
      </c>
      <c r="Q296">
        <f t="shared" si="64"/>
        <v>-89.999209098075369</v>
      </c>
      <c r="R296">
        <f t="shared" si="56"/>
        <v>5.4094422691079735</v>
      </c>
      <c r="S296">
        <f t="shared" si="65"/>
        <v>42.47164368697716</v>
      </c>
    </row>
    <row r="297" spans="7:19" x14ac:dyDescent="0.25">
      <c r="G297">
        <f t="shared" si="57"/>
        <v>4.8799999999999848</v>
      </c>
      <c r="H297">
        <f t="shared" si="53"/>
        <v>758577.57502915792</v>
      </c>
      <c r="I297" t="str">
        <f t="shared" si="58"/>
        <v>4766283.47377913j</v>
      </c>
      <c r="J297" t="str">
        <f t="shared" si="54"/>
        <v>5+5.71954016853496j</v>
      </c>
      <c r="K297">
        <f t="shared" si="59"/>
        <v>17.612747016599258</v>
      </c>
      <c r="L297">
        <f t="shared" si="60"/>
        <v>48.840170701263716</v>
      </c>
      <c r="M297">
        <f t="shared" si="61"/>
        <v>5</v>
      </c>
      <c r="N297">
        <f t="shared" si="62"/>
        <v>5.7195401685349596</v>
      </c>
      <c r="O297" t="str">
        <f t="shared" si="55"/>
        <v>0.000173780082844749-13.1825673832736j</v>
      </c>
      <c r="P297">
        <f t="shared" si="63"/>
        <v>22.399999999245544</v>
      </c>
      <c r="Q297">
        <f t="shared" si="64"/>
        <v>-89.9992446945257</v>
      </c>
      <c r="R297">
        <f t="shared" si="56"/>
        <v>4.7872529826462866</v>
      </c>
      <c r="S297">
        <f t="shared" si="65"/>
        <v>41.160584604210584</v>
      </c>
    </row>
    <row r="298" spans="7:19" x14ac:dyDescent="0.25">
      <c r="G298">
        <f t="shared" si="57"/>
        <v>4.8999999999999844</v>
      </c>
      <c r="H298">
        <f t="shared" si="53"/>
        <v>794328.23472425411</v>
      </c>
      <c r="I298" t="str">
        <f t="shared" si="58"/>
        <v>4990911.49349733j</v>
      </c>
      <c r="J298" t="str">
        <f t="shared" si="54"/>
        <v>5+5.9890937921968j</v>
      </c>
      <c r="K298">
        <f t="shared" si="59"/>
        <v>17.843979110436138</v>
      </c>
      <c r="L298">
        <f t="shared" si="60"/>
        <v>50.143154271258616</v>
      </c>
      <c r="M298">
        <f t="shared" si="61"/>
        <v>5</v>
      </c>
      <c r="N298">
        <f t="shared" si="62"/>
        <v>5.9890937921968002</v>
      </c>
      <c r="O298" t="str">
        <f t="shared" si="55"/>
        <v>0.000158489319221003-12.5892541159468j</v>
      </c>
      <c r="P298">
        <f t="shared" si="63"/>
        <v>21.999999999311957</v>
      </c>
      <c r="Q298">
        <f t="shared" si="64"/>
        <v>-89.999278688871868</v>
      </c>
      <c r="R298">
        <f t="shared" si="56"/>
        <v>4.156020888875819</v>
      </c>
      <c r="S298">
        <f t="shared" si="65"/>
        <v>39.857567039869508</v>
      </c>
    </row>
    <row r="299" spans="7:19" x14ac:dyDescent="0.25">
      <c r="G299">
        <f t="shared" si="57"/>
        <v>4.9199999999999839</v>
      </c>
      <c r="H299">
        <f t="shared" si="53"/>
        <v>831763.77110264078</v>
      </c>
      <c r="I299" t="str">
        <f t="shared" si="58"/>
        <v>5226125.9056364j</v>
      </c>
      <c r="J299" t="str">
        <f t="shared" si="54"/>
        <v>5+6.27135108676368j</v>
      </c>
      <c r="K299">
        <f t="shared" si="59"/>
        <v>18.084125012979406</v>
      </c>
      <c r="L299">
        <f t="shared" si="60"/>
        <v>51.435472378151104</v>
      </c>
      <c r="M299">
        <f t="shared" si="61"/>
        <v>5</v>
      </c>
      <c r="N299">
        <f t="shared" si="62"/>
        <v>6.2713510867636799</v>
      </c>
      <c r="O299" t="str">
        <f t="shared" si="55"/>
        <v>0.00014454397705371-12.0226443444368j</v>
      </c>
      <c r="P299">
        <f t="shared" si="63"/>
        <v>21.599999999372592</v>
      </c>
      <c r="Q299">
        <f t="shared" si="64"/>
        <v>-89.999311153220404</v>
      </c>
      <c r="R299">
        <f t="shared" si="56"/>
        <v>3.515874986393186</v>
      </c>
      <c r="S299">
        <f t="shared" si="65"/>
        <v>38.565216468628478</v>
      </c>
    </row>
    <row r="300" spans="7:19" x14ac:dyDescent="0.25">
      <c r="G300">
        <f t="shared" si="57"/>
        <v>4.9399999999999835</v>
      </c>
      <c r="H300">
        <f t="shared" si="53"/>
        <v>870963.58995604888</v>
      </c>
      <c r="I300" t="str">
        <f t="shared" si="58"/>
        <v>5472425.63150023j</v>
      </c>
      <c r="J300" t="str">
        <f t="shared" si="54"/>
        <v>5+6.56691075780028j</v>
      </c>
      <c r="K300">
        <f t="shared" si="59"/>
        <v>18.333021605301823</v>
      </c>
      <c r="L300">
        <f t="shared" si="60"/>
        <v>52.714607892938382</v>
      </c>
      <c r="M300">
        <f t="shared" si="61"/>
        <v>5</v>
      </c>
      <c r="N300">
        <f t="shared" si="62"/>
        <v>6.5669107578002803</v>
      </c>
      <c r="O300" t="str">
        <f t="shared" si="55"/>
        <v>0.000131825673838272-11.4815362134557j</v>
      </c>
      <c r="P300">
        <f t="shared" si="63"/>
        <v>21.199999999427817</v>
      </c>
      <c r="Q300">
        <f t="shared" si="64"/>
        <v>-89.99934215643259</v>
      </c>
      <c r="R300">
        <f t="shared" si="56"/>
        <v>2.8669783941259936</v>
      </c>
      <c r="S300">
        <f t="shared" si="65"/>
        <v>37.286049950629035</v>
      </c>
    </row>
    <row r="301" spans="7:19" x14ac:dyDescent="0.25">
      <c r="G301">
        <f t="shared" si="57"/>
        <v>4.9599999999999831</v>
      </c>
      <c r="H301">
        <f t="shared" si="53"/>
        <v>912010.83935587457</v>
      </c>
      <c r="I301" t="str">
        <f t="shared" si="58"/>
        <v>5730333.10582935j</v>
      </c>
      <c r="J301" t="str">
        <f t="shared" si="54"/>
        <v>5+6.8763997269952j</v>
      </c>
      <c r="K301">
        <f t="shared" si="59"/>
        <v>18.590474235635043</v>
      </c>
      <c r="L301">
        <f t="shared" si="60"/>
        <v>53.97817474175362</v>
      </c>
      <c r="M301">
        <f t="shared" si="61"/>
        <v>5</v>
      </c>
      <c r="N301">
        <f t="shared" si="62"/>
        <v>6.8763997269952002</v>
      </c>
      <c r="O301" t="str">
        <f t="shared" si="55"/>
        <v>0.000120226443447296-10.964781960114j</v>
      </c>
      <c r="P301">
        <f t="shared" si="63"/>
        <v>20.799999999478182</v>
      </c>
      <c r="Q301">
        <f t="shared" si="64"/>
        <v>-89.999371764270364</v>
      </c>
      <c r="R301">
        <f t="shared" si="56"/>
        <v>2.2095257638431391</v>
      </c>
      <c r="S301">
        <f t="shared" si="65"/>
        <v>36.022453493976002</v>
      </c>
    </row>
    <row r="302" spans="7:19" x14ac:dyDescent="0.25">
      <c r="G302">
        <f t="shared" si="57"/>
        <v>4.9799999999999827</v>
      </c>
      <c r="H302">
        <f t="shared" si="53"/>
        <v>954992.58602139901</v>
      </c>
      <c r="I302" t="str">
        <f t="shared" si="58"/>
        <v>6000395.38495509j</v>
      </c>
      <c r="J302" t="str">
        <f t="shared" si="54"/>
        <v>5+7.20047446194612j</v>
      </c>
      <c r="K302">
        <f t="shared" si="59"/>
        <v>18.856259711714735</v>
      </c>
      <c r="L302">
        <f t="shared" si="60"/>
        <v>55.223937468782594</v>
      </c>
      <c r="M302">
        <f t="shared" si="61"/>
        <v>5</v>
      </c>
      <c r="N302">
        <f t="shared" si="62"/>
        <v>7.2004744619461203</v>
      </c>
      <c r="O302" t="str">
        <f t="shared" si="55"/>
        <v>0.000109647819602304-10.4712854793612j</v>
      </c>
      <c r="P302">
        <f t="shared" si="63"/>
        <v>20.399999999524102</v>
      </c>
      <c r="Q302">
        <f t="shared" si="64"/>
        <v>-89.999400039535914</v>
      </c>
      <c r="R302">
        <f t="shared" si="56"/>
        <v>1.5437402878093671</v>
      </c>
      <c r="S302">
        <f t="shared" si="65"/>
        <v>34.776662491681492</v>
      </c>
    </row>
    <row r="303" spans="7:19" x14ac:dyDescent="0.25">
      <c r="G303">
        <f t="shared" si="57"/>
        <v>4.9999999999999822</v>
      </c>
      <c r="H303">
        <f t="shared" si="53"/>
        <v>999999.99999995937</v>
      </c>
      <c r="I303" t="str">
        <f t="shared" si="58"/>
        <v>6283185.30717933j</v>
      </c>
      <c r="J303" t="str">
        <f t="shared" si="54"/>
        <v>5+7.5398223686152j</v>
      </c>
      <c r="K303">
        <f t="shared" si="59"/>
        <v>19.130129604161052</v>
      </c>
      <c r="L303">
        <f t="shared" si="60"/>
        <v>56.449827409176606</v>
      </c>
      <c r="M303">
        <f t="shared" si="61"/>
        <v>5</v>
      </c>
      <c r="N303">
        <f t="shared" si="62"/>
        <v>7.5398223686151997</v>
      </c>
      <c r="O303" t="str">
        <f t="shared" si="55"/>
        <v>0.0000999999999900082-9.99999999900041j</v>
      </c>
      <c r="P303">
        <f t="shared" si="63"/>
        <v>19.999999999566064</v>
      </c>
      <c r="Q303">
        <f t="shared" si="64"/>
        <v>-89.999427042204886</v>
      </c>
      <c r="R303">
        <f t="shared" si="56"/>
        <v>0.86987039540501243</v>
      </c>
      <c r="S303">
        <f t="shared" si="65"/>
        <v>33.550745548618522</v>
      </c>
    </row>
    <row r="304" spans="7:19" x14ac:dyDescent="0.25">
      <c r="G304">
        <f t="shared" si="57"/>
        <v>5.0199999999999818</v>
      </c>
      <c r="H304">
        <f t="shared" si="53"/>
        <v>1047128.5480508568</v>
      </c>
      <c r="I304" t="str">
        <f t="shared" si="58"/>
        <v>6579302.70784144j</v>
      </c>
      <c r="J304" t="str">
        <f t="shared" si="54"/>
        <v>5+7.89516324940972j</v>
      </c>
      <c r="K304">
        <f t="shared" si="59"/>
        <v>19.411813762879024</v>
      </c>
      <c r="L304">
        <f t="shared" si="60"/>
        <v>57.65395529094048</v>
      </c>
      <c r="M304">
        <f t="shared" si="61"/>
        <v>5</v>
      </c>
      <c r="N304">
        <f t="shared" si="62"/>
        <v>7.8951632494097197</v>
      </c>
      <c r="O304" t="str">
        <f t="shared" si="55"/>
        <v>0.0000912010839272802-9.54992585934376j</v>
      </c>
      <c r="P304">
        <f t="shared" si="63"/>
        <v>19.59999999960425</v>
      </c>
      <c r="Q304">
        <f t="shared" si="64"/>
        <v>-89.999452829553562</v>
      </c>
      <c r="R304">
        <f t="shared" si="56"/>
        <v>0.18818623672522605</v>
      </c>
      <c r="S304">
        <f t="shared" si="65"/>
        <v>32.346591879505951</v>
      </c>
    </row>
    <row r="305" spans="7:19" x14ac:dyDescent="0.25">
      <c r="G305">
        <f t="shared" si="57"/>
        <v>5.0399999999999814</v>
      </c>
      <c r="H305">
        <f t="shared" si="53"/>
        <v>1096478.1961431401</v>
      </c>
      <c r="I305" t="str">
        <f t="shared" si="58"/>
        <v>6889375.69164935j</v>
      </c>
      <c r="J305" t="str">
        <f t="shared" si="54"/>
        <v>5+8.26725082997924j</v>
      </c>
      <c r="K305">
        <f t="shared" si="59"/>
        <v>19.701023948911732</v>
      </c>
      <c r="L305">
        <f t="shared" si="60"/>
        <v>58.834620216421698</v>
      </c>
      <c r="M305">
        <f t="shared" si="61"/>
        <v>5</v>
      </c>
      <c r="N305">
        <f t="shared" si="62"/>
        <v>8.2672508299792398</v>
      </c>
      <c r="O305" t="str">
        <f t="shared" si="55"/>
        <v>0.0000831763771033556-9.12010839280089j</v>
      </c>
      <c r="P305">
        <f t="shared" si="63"/>
        <v>19.199999999639122</v>
      </c>
      <c r="Q305">
        <f t="shared" si="64"/>
        <v>-89.999477456280374</v>
      </c>
      <c r="R305">
        <f t="shared" si="56"/>
        <v>-0.50102394927261074</v>
      </c>
      <c r="S305">
        <f t="shared" si="65"/>
        <v>31.165902327297943</v>
      </c>
    </row>
    <row r="306" spans="7:19" x14ac:dyDescent="0.25">
      <c r="G306">
        <f t="shared" si="57"/>
        <v>5.059999999999981</v>
      </c>
      <c r="H306">
        <f t="shared" si="53"/>
        <v>1148153.6214968334</v>
      </c>
      <c r="I306" t="str">
        <f t="shared" si="58"/>
        <v>7214061.96497394j</v>
      </c>
      <c r="J306" t="str">
        <f t="shared" si="54"/>
        <v>5+8.65687435796872j</v>
      </c>
      <c r="K306">
        <f t="shared" si="59"/>
        <v>19.997457488807882</v>
      </c>
      <c r="L306">
        <f t="shared" si="60"/>
        <v>59.990315095779565</v>
      </c>
      <c r="M306">
        <f t="shared" si="61"/>
        <v>5</v>
      </c>
      <c r="N306">
        <f t="shared" si="62"/>
        <v>8.6568743579687197</v>
      </c>
      <c r="O306" t="str">
        <f t="shared" si="55"/>
        <v>0.0000758577574971709-8.70963589890051j</v>
      </c>
      <c r="P306">
        <f t="shared" si="63"/>
        <v>18.799999999670948</v>
      </c>
      <c r="Q306">
        <f t="shared" si="64"/>
        <v>-89.999500974621867</v>
      </c>
      <c r="R306">
        <f t="shared" si="56"/>
        <v>-1.1974574891369336</v>
      </c>
      <c r="S306">
        <f t="shared" si="65"/>
        <v>30.010183929598554</v>
      </c>
    </row>
    <row r="307" spans="7:19" x14ac:dyDescent="0.25">
      <c r="G307">
        <f t="shared" si="57"/>
        <v>5.0799999999999805</v>
      </c>
      <c r="H307">
        <f t="shared" si="53"/>
        <v>1202264.4346173611</v>
      </c>
      <c r="I307" t="str">
        <f t="shared" si="58"/>
        <v>7554050.23093238j</v>
      </c>
      <c r="J307" t="str">
        <f t="shared" si="54"/>
        <v>5+9.06486027711884j</v>
      </c>
      <c r="K307">
        <f t="shared" si="59"/>
        <v>20.300800866664037</v>
      </c>
      <c r="L307">
        <f t="shared" si="60"/>
        <v>61.119728711061008</v>
      </c>
      <c r="M307">
        <f t="shared" si="61"/>
        <v>5</v>
      </c>
      <c r="N307">
        <f t="shared" si="62"/>
        <v>9.0648602771188393</v>
      </c>
      <c r="O307" t="str">
        <f t="shared" si="55"/>
        <v>0.0000691830970871134-8.31763771045164j</v>
      </c>
      <c r="P307">
        <f t="shared" si="63"/>
        <v>18.399999999699926</v>
      </c>
      <c r="Q307">
        <f t="shared" si="64"/>
        <v>-89.999523434463654</v>
      </c>
      <c r="R307">
        <f t="shared" si="56"/>
        <v>-1.9008008669641114</v>
      </c>
      <c r="S307">
        <f t="shared" si="65"/>
        <v>28.880747854475345</v>
      </c>
    </row>
    <row r="308" spans="7:19" x14ac:dyDescent="0.25">
      <c r="G308">
        <f t="shared" si="57"/>
        <v>5.0999999999999801</v>
      </c>
      <c r="H308">
        <f t="shared" si="53"/>
        <v>1258925.4117941104</v>
      </c>
      <c r="I308" t="str">
        <f t="shared" si="58"/>
        <v>7910061.65021976j</v>
      </c>
      <c r="J308" t="str">
        <f t="shared" si="54"/>
        <v>5+9.49207398026372j</v>
      </c>
      <c r="K308">
        <f t="shared" si="59"/>
        <v>20.610733179724949</v>
      </c>
      <c r="L308">
        <f t="shared" si="60"/>
        <v>62.221744676426511</v>
      </c>
      <c r="M308">
        <f t="shared" si="61"/>
        <v>5</v>
      </c>
      <c r="N308">
        <f t="shared" si="62"/>
        <v>9.4920739802637204</v>
      </c>
      <c r="O308" t="str">
        <f t="shared" si="55"/>
        <v>0.000063095734444044-7.94328234674199j</v>
      </c>
      <c r="P308">
        <f t="shared" si="63"/>
        <v>17.999999999726374</v>
      </c>
      <c r="Q308">
        <f t="shared" si="64"/>
        <v>-89.999544883446035</v>
      </c>
      <c r="R308">
        <f t="shared" si="56"/>
        <v>-2.6107331799985758</v>
      </c>
      <c r="S308">
        <f t="shared" si="65"/>
        <v>27.778710440127441</v>
      </c>
    </row>
    <row r="309" spans="7:19" x14ac:dyDescent="0.25">
      <c r="G309">
        <f t="shared" si="57"/>
        <v>5.1199999999999797</v>
      </c>
      <c r="H309">
        <f t="shared" si="53"/>
        <v>1318256.7385563473</v>
      </c>
      <c r="I309" t="str">
        <f t="shared" si="58"/>
        <v>8282851.37078772j</v>
      </c>
      <c r="J309" t="str">
        <f t="shared" si="54"/>
        <v>5+9.93942164494528j</v>
      </c>
      <c r="K309">
        <f t="shared" si="59"/>
        <v>20.92692939587139</v>
      </c>
      <c r="L309">
        <f t="shared" si="60"/>
        <v>63.295437625614866</v>
      </c>
      <c r="M309">
        <f t="shared" si="61"/>
        <v>5</v>
      </c>
      <c r="N309">
        <f t="shared" si="62"/>
        <v>9.9394216449452806</v>
      </c>
      <c r="O309" t="str">
        <f t="shared" si="55"/>
        <v>0.0000575439937304094-7.58577574985565j</v>
      </c>
      <c r="P309">
        <f t="shared" si="63"/>
        <v>17.599999999750466</v>
      </c>
      <c r="Q309">
        <f t="shared" si="64"/>
        <v>-89.999565367065188</v>
      </c>
      <c r="R309">
        <f t="shared" si="56"/>
        <v>-3.3269293961209243</v>
      </c>
      <c r="S309">
        <f t="shared" si="65"/>
        <v>26.704997007319946</v>
      </c>
    </row>
    <row r="310" spans="7:19" x14ac:dyDescent="0.25">
      <c r="G310">
        <f t="shared" si="57"/>
        <v>5.1399999999999793</v>
      </c>
      <c r="H310">
        <f t="shared" si="53"/>
        <v>1380384.2646028195</v>
      </c>
      <c r="I310" t="str">
        <f t="shared" si="58"/>
        <v>8673210.12961433j</v>
      </c>
      <c r="J310" t="str">
        <f t="shared" si="54"/>
        <v>5+10.4078521555372j</v>
      </c>
      <c r="K310">
        <f t="shared" si="59"/>
        <v>21.249063364608997</v>
      </c>
      <c r="L310">
        <f t="shared" si="60"/>
        <v>64.340067001519913</v>
      </c>
      <c r="M310">
        <f t="shared" si="61"/>
        <v>5</v>
      </c>
      <c r="N310">
        <f t="shared" si="62"/>
        <v>10.407852155537199</v>
      </c>
      <c r="O310" t="str">
        <f t="shared" si="55"/>
        <v>0.000052480746022228-7.24435960037005j</v>
      </c>
      <c r="P310">
        <f t="shared" si="63"/>
        <v>17.199999999772484</v>
      </c>
      <c r="Q310">
        <f t="shared" si="64"/>
        <v>-89.999584928769607</v>
      </c>
      <c r="R310">
        <f t="shared" si="56"/>
        <v>-4.0490633648365133</v>
      </c>
      <c r="S310">
        <f t="shared" si="65"/>
        <v>25.660348069710494</v>
      </c>
    </row>
    <row r="311" spans="7:19" x14ac:dyDescent="0.25">
      <c r="G311">
        <f t="shared" si="57"/>
        <v>5.1599999999999788</v>
      </c>
      <c r="H311">
        <f t="shared" si="53"/>
        <v>1445439.7707458588</v>
      </c>
      <c r="I311" t="str">
        <f t="shared" si="58"/>
        <v>9081965.92996341j</v>
      </c>
      <c r="J311" t="str">
        <f t="shared" si="54"/>
        <v>5+10.8983591159561j</v>
      </c>
      <c r="K311">
        <f t="shared" si="59"/>
        <v>21.576810546505946</v>
      </c>
      <c r="L311">
        <f t="shared" si="60"/>
        <v>65.355068845846517</v>
      </c>
      <c r="M311">
        <f t="shared" si="61"/>
        <v>5</v>
      </c>
      <c r="N311">
        <f t="shared" si="62"/>
        <v>10.898359115956101</v>
      </c>
      <c r="O311" t="str">
        <f t="shared" si="55"/>
        <v>0.0000478630092299774-6.91830970885856j</v>
      </c>
      <c r="P311">
        <f t="shared" si="63"/>
        <v>16.799999999792544</v>
      </c>
      <c r="Q311">
        <f t="shared" si="64"/>
        <v>-89.999603610052304</v>
      </c>
      <c r="R311">
        <f t="shared" si="56"/>
        <v>-4.7768105467134028</v>
      </c>
      <c r="S311">
        <f t="shared" si="65"/>
        <v>24.645327544101178</v>
      </c>
    </row>
    <row r="312" spans="7:19" x14ac:dyDescent="0.25">
      <c r="G312">
        <f t="shared" si="57"/>
        <v>5.1799999999999784</v>
      </c>
      <c r="H312">
        <f t="shared" si="53"/>
        <v>1513561.2484361334</v>
      </c>
      <c r="I312" t="str">
        <f t="shared" si="58"/>
        <v>9509985.7976903j</v>
      </c>
      <c r="J312" t="str">
        <f t="shared" si="54"/>
        <v>5+11.4119829572284j</v>
      </c>
      <c r="K312">
        <f t="shared" si="59"/>
        <v>21.909850438746076</v>
      </c>
      <c r="L312">
        <f t="shared" si="60"/>
        <v>66.340045991346784</v>
      </c>
      <c r="M312">
        <f t="shared" si="61"/>
        <v>5</v>
      </c>
      <c r="N312">
        <f t="shared" si="62"/>
        <v>11.4119829572284</v>
      </c>
      <c r="O312" t="str">
        <f t="shared" si="55"/>
        <v>0.0000436515832221156-6.6069344797879j</v>
      </c>
      <c r="P312">
        <f t="shared" si="63"/>
        <v>16.399999999810873</v>
      </c>
      <c r="Q312">
        <f t="shared" si="64"/>
        <v>-89.999621450538783</v>
      </c>
      <c r="R312">
        <f t="shared" si="56"/>
        <v>-5.509850438935203</v>
      </c>
      <c r="S312">
        <f t="shared" si="65"/>
        <v>23.660332558114419</v>
      </c>
    </row>
    <row r="313" spans="7:19" x14ac:dyDescent="0.25">
      <c r="G313">
        <f t="shared" si="57"/>
        <v>5.199999999999978</v>
      </c>
      <c r="H313">
        <f t="shared" si="53"/>
        <v>1584893.1924610347</v>
      </c>
      <c r="I313" t="str">
        <f t="shared" si="58"/>
        <v>9958177.62032012j</v>
      </c>
      <c r="J313" t="str">
        <f t="shared" si="54"/>
        <v>5+11.9498131443842j</v>
      </c>
      <c r="K313">
        <f t="shared" si="59"/>
        <v>22.247868686064777</v>
      </c>
      <c r="L313">
        <f t="shared" si="60"/>
        <v>67.294757047994182</v>
      </c>
      <c r="M313">
        <f t="shared" si="61"/>
        <v>5</v>
      </c>
      <c r="N313">
        <f t="shared" si="62"/>
        <v>11.9498131443842</v>
      </c>
      <c r="O313" t="str">
        <f t="shared" si="55"/>
        <v>0.000039810717053769-6.30957344455108j</v>
      </c>
      <c r="P313">
        <f t="shared" si="63"/>
        <v>15.999999999827567</v>
      </c>
      <c r="Q313">
        <f t="shared" si="64"/>
        <v>-89.999638488071099</v>
      </c>
      <c r="R313">
        <f t="shared" si="56"/>
        <v>-6.2478686862372097</v>
      </c>
      <c r="S313">
        <f t="shared" si="65"/>
        <v>22.705604463934719</v>
      </c>
    </row>
    <row r="314" spans="7:19" x14ac:dyDescent="0.25">
      <c r="G314">
        <f t="shared" si="57"/>
        <v>5.2199999999999775</v>
      </c>
      <c r="H314">
        <f t="shared" si="53"/>
        <v>1659586.9074374777</v>
      </c>
      <c r="I314" t="str">
        <f t="shared" si="58"/>
        <v>10427492.0727988j</v>
      </c>
      <c r="J314" t="str">
        <f t="shared" si="54"/>
        <v>5+12.5129904873586j</v>
      </c>
      <c r="K314">
        <f t="shared" si="59"/>
        <v>22.590558876465728</v>
      </c>
      <c r="L314">
        <f t="shared" si="60"/>
        <v>68.219104550870497</v>
      </c>
      <c r="M314">
        <f t="shared" si="61"/>
        <v>5</v>
      </c>
      <c r="N314">
        <f t="shared" si="62"/>
        <v>12.5129904873586</v>
      </c>
      <c r="O314" t="str">
        <f t="shared" si="55"/>
        <v>0.0000363078054756954-6.02559586052509j</v>
      </c>
      <c r="P314">
        <f t="shared" si="63"/>
        <v>15.599999999842733</v>
      </c>
      <c r="Q314">
        <f t="shared" si="64"/>
        <v>-89.999654758788125</v>
      </c>
      <c r="R314">
        <f t="shared" si="56"/>
        <v>-6.9905588766229947</v>
      </c>
      <c r="S314">
        <f t="shared" si="65"/>
        <v>21.781240690341377</v>
      </c>
    </row>
    <row r="315" spans="7:19" x14ac:dyDescent="0.25">
      <c r="G315">
        <f t="shared" si="57"/>
        <v>5.2399999999999771</v>
      </c>
      <c r="H315">
        <f t="shared" si="53"/>
        <v>1737800.8287492855</v>
      </c>
      <c r="I315" t="str">
        <f t="shared" si="58"/>
        <v>10918924.634002j</v>
      </c>
      <c r="J315" t="str">
        <f t="shared" si="54"/>
        <v>5+13.1027095608024j</v>
      </c>
      <c r="K315">
        <f t="shared" si="59"/>
        <v>22.937624029586942</v>
      </c>
      <c r="L315">
        <f t="shared" si="60"/>
        <v>69.113122604854411</v>
      </c>
      <c r="M315">
        <f t="shared" si="61"/>
        <v>5</v>
      </c>
      <c r="N315">
        <f t="shared" si="62"/>
        <v>13.102709560802399</v>
      </c>
      <c r="O315" t="str">
        <f t="shared" si="55"/>
        <v>0.0000331131121471663-5.75439937318134j</v>
      </c>
      <c r="P315">
        <f t="shared" si="63"/>
        <v>15.19999999985667</v>
      </c>
      <c r="Q315">
        <f t="shared" si="64"/>
        <v>-89.999670297202286</v>
      </c>
      <c r="R315">
        <f t="shared" si="56"/>
        <v>-7.7376240297302719</v>
      </c>
      <c r="S315">
        <f t="shared" si="65"/>
        <v>20.887207097943303</v>
      </c>
    </row>
    <row r="316" spans="7:19" x14ac:dyDescent="0.25">
      <c r="G316">
        <f t="shared" si="57"/>
        <v>5.2599999999999767</v>
      </c>
      <c r="H316">
        <f t="shared" si="53"/>
        <v>1819700.8586098887</v>
      </c>
      <c r="I316" t="str">
        <f t="shared" si="58"/>
        <v>11433517.6982797j</v>
      </c>
      <c r="J316" t="str">
        <f t="shared" si="54"/>
        <v>5+13.7202212379356j</v>
      </c>
      <c r="K316">
        <f t="shared" si="59"/>
        <v>23.288777792327284</v>
      </c>
      <c r="L316">
        <f t="shared" si="60"/>
        <v>69.976964322562196</v>
      </c>
      <c r="M316">
        <f t="shared" si="61"/>
        <v>5</v>
      </c>
      <c r="N316">
        <f t="shared" si="62"/>
        <v>13.720221237935601</v>
      </c>
      <c r="O316" t="str">
        <f t="shared" si="55"/>
        <v>0.0000301995172031116-5.4954087384106j</v>
      </c>
      <c r="P316">
        <f t="shared" si="63"/>
        <v>14.799999999869339</v>
      </c>
      <c r="Q316">
        <f t="shared" si="64"/>
        <v>-89.999685136272589</v>
      </c>
      <c r="R316">
        <f t="shared" si="56"/>
        <v>-8.4887777924579453</v>
      </c>
      <c r="S316">
        <f t="shared" si="65"/>
        <v>20.0233505411652</v>
      </c>
    </row>
    <row r="317" spans="7:19" x14ac:dyDescent="0.25">
      <c r="G317">
        <f t="shared" si="57"/>
        <v>5.2799999999999763</v>
      </c>
      <c r="H317">
        <f t="shared" si="53"/>
        <v>1905460.7179631444</v>
      </c>
      <c r="I317" t="str">
        <f t="shared" si="58"/>
        <v>11972362.7865139j</v>
      </c>
      <c r="J317" t="str">
        <f t="shared" si="54"/>
        <v>5+14.3668353438167j</v>
      </c>
      <c r="K317">
        <f t="shared" si="59"/>
        <v>23.643745361402189</v>
      </c>
      <c r="L317">
        <f t="shared" si="60"/>
        <v>70.810889310216439</v>
      </c>
      <c r="M317">
        <f t="shared" si="61"/>
        <v>5</v>
      </c>
      <c r="N317">
        <f t="shared" si="62"/>
        <v>14.3668353438167</v>
      </c>
      <c r="O317" t="str">
        <f t="shared" si="55"/>
        <v>0.0000275422870326259-5.24807460235345j</v>
      </c>
      <c r="P317">
        <f t="shared" si="63"/>
        <v>14.399999999880828</v>
      </c>
      <c r="Q317">
        <f t="shared" si="64"/>
        <v>-89.999699307474714</v>
      </c>
      <c r="R317">
        <f t="shared" si="56"/>
        <v>-9.2437453615213609</v>
      </c>
      <c r="S317">
        <f t="shared" si="65"/>
        <v>19.189411382308833</v>
      </c>
    </row>
    <row r="318" spans="7:19" x14ac:dyDescent="0.25">
      <c r="G318">
        <f t="shared" si="57"/>
        <v>5.2999999999999758</v>
      </c>
      <c r="H318">
        <f t="shared" si="53"/>
        <v>1995262.3149687715</v>
      </c>
      <c r="I318" t="str">
        <f t="shared" si="58"/>
        <v>12536602.8613809j</v>
      </c>
      <c r="J318" t="str">
        <f t="shared" si="54"/>
        <v>5+15.0439234336571j</v>
      </c>
      <c r="K318">
        <f t="shared" si="59"/>
        <v>24.002264155995817</v>
      </c>
      <c r="L318">
        <f t="shared" si="60"/>
        <v>71.615251413598628</v>
      </c>
      <c r="M318">
        <f t="shared" si="61"/>
        <v>5</v>
      </c>
      <c r="N318">
        <f t="shared" si="62"/>
        <v>15.043923433657101</v>
      </c>
      <c r="O318" t="str">
        <f t="shared" si="55"/>
        <v>0.0000251188643144676-5.01187233614711j</v>
      </c>
      <c r="P318">
        <f t="shared" si="63"/>
        <v>13.999999999891394</v>
      </c>
      <c r="Q318">
        <f t="shared" si="64"/>
        <v>-89.999712840867673</v>
      </c>
      <c r="R318">
        <f t="shared" si="56"/>
        <v>-10.002264156104424</v>
      </c>
      <c r="S318">
        <f t="shared" si="65"/>
        <v>18.385035745533685</v>
      </c>
    </row>
    <row r="319" spans="7:19" x14ac:dyDescent="0.25">
      <c r="G319">
        <f t="shared" si="57"/>
        <v>5.3199999999999754</v>
      </c>
      <c r="H319">
        <f t="shared" si="53"/>
        <v>2089296.1308539221</v>
      </c>
      <c r="I319" t="str">
        <f t="shared" si="58"/>
        <v>13127434.7517285j</v>
      </c>
      <c r="J319" t="str">
        <f t="shared" si="54"/>
        <v>5+15.7529217020742j</v>
      </c>
      <c r="K319">
        <f t="shared" si="59"/>
        <v>24.36408426578625</v>
      </c>
      <c r="L319">
        <f t="shared" si="60"/>
        <v>72.390486894852273</v>
      </c>
      <c r="M319">
        <f t="shared" si="61"/>
        <v>5</v>
      </c>
      <c r="N319">
        <f t="shared" si="62"/>
        <v>15.7529217020742</v>
      </c>
      <c r="O319" t="str">
        <f t="shared" si="55"/>
        <v>0.0000229086765271555-4.78630092311701j</v>
      </c>
      <c r="P319">
        <f t="shared" si="63"/>
        <v>13.599999999901009</v>
      </c>
      <c r="Q319">
        <f t="shared" si="64"/>
        <v>-89.999725765157621</v>
      </c>
      <c r="R319">
        <f t="shared" si="56"/>
        <v>-10.764084265885241</v>
      </c>
      <c r="S319">
        <f t="shared" si="65"/>
        <v>17.609787339990106</v>
      </c>
    </row>
    <row r="320" spans="7:19" x14ac:dyDescent="0.25">
      <c r="G320">
        <f t="shared" si="57"/>
        <v>5.339999999999975</v>
      </c>
      <c r="H320">
        <f t="shared" si="53"/>
        <v>2187761.623949429</v>
      </c>
      <c r="I320" t="str">
        <f t="shared" si="58"/>
        <v>13746111.6912104j</v>
      </c>
      <c r="J320" t="str">
        <f t="shared" si="54"/>
        <v>5+16.4953340294525j</v>
      </c>
      <c r="K320">
        <f t="shared" si="59"/>
        <v>24.728968700546538</v>
      </c>
      <c r="L320">
        <f t="shared" si="60"/>
        <v>73.137103172060733</v>
      </c>
      <c r="M320">
        <f t="shared" si="61"/>
        <v>5</v>
      </c>
      <c r="N320">
        <f t="shared" si="62"/>
        <v>16.495334029452501</v>
      </c>
      <c r="O320" t="str">
        <f t="shared" si="55"/>
        <v>0.0000208929613081062-4.57088189605351j</v>
      </c>
      <c r="P320">
        <f t="shared" si="63"/>
        <v>13.199999999909755</v>
      </c>
      <c r="Q320">
        <f t="shared" si="64"/>
        <v>-89.999738107758702</v>
      </c>
      <c r="R320">
        <f t="shared" si="56"/>
        <v>-11.528968700636783</v>
      </c>
      <c r="S320">
        <f t="shared" si="65"/>
        <v>16.863158720180564</v>
      </c>
    </row>
    <row r="321" spans="7:19" x14ac:dyDescent="0.25">
      <c r="G321">
        <f t="shared" si="57"/>
        <v>5.3599999999999746</v>
      </c>
      <c r="H321">
        <f t="shared" si="53"/>
        <v>2290867.6527676433</v>
      </c>
      <c r="I321" t="str">
        <f t="shared" si="58"/>
        <v>14393945.9765626j</v>
      </c>
      <c r="J321" t="str">
        <f t="shared" si="54"/>
        <v>5+17.2727351718751j</v>
      </c>
      <c r="K321">
        <f t="shared" si="59"/>
        <v>25.096693467485373</v>
      </c>
      <c r="L321">
        <f t="shared" si="60"/>
        <v>73.855668218196357</v>
      </c>
      <c r="M321">
        <f t="shared" si="61"/>
        <v>5</v>
      </c>
      <c r="N321">
        <f t="shared" si="62"/>
        <v>17.272735171875102</v>
      </c>
      <c r="O321" t="str">
        <f t="shared" si="55"/>
        <v>0.0000190546071792716-4.36515832231874j</v>
      </c>
      <c r="P321">
        <f t="shared" si="63"/>
        <v>12.799999999917757</v>
      </c>
      <c r="Q321">
        <f t="shared" si="64"/>
        <v>-89.99974989485122</v>
      </c>
      <c r="R321">
        <f t="shared" si="56"/>
        <v>-12.296693467567616</v>
      </c>
      <c r="S321">
        <f t="shared" si="65"/>
        <v>16.144581886952437</v>
      </c>
    </row>
    <row r="322" spans="7:19" x14ac:dyDescent="0.25">
      <c r="G322">
        <f t="shared" si="57"/>
        <v>5.3799999999999741</v>
      </c>
      <c r="H322">
        <f t="shared" si="53"/>
        <v>2398832.9190193499</v>
      </c>
      <c r="I322" t="str">
        <f t="shared" si="58"/>
        <v>15072311.7511611j</v>
      </c>
      <c r="J322" t="str">
        <f t="shared" si="54"/>
        <v>5+18.0867741013933j</v>
      </c>
      <c r="K322">
        <f t="shared" si="59"/>
        <v>25.467047501692946</v>
      </c>
      <c r="L322">
        <f t="shared" si="60"/>
        <v>74.546800684786589</v>
      </c>
      <c r="M322">
        <f t="shared" si="61"/>
        <v>5</v>
      </c>
      <c r="N322">
        <f t="shared" si="62"/>
        <v>18.086774101393299</v>
      </c>
      <c r="O322" t="str">
        <f t="shared" si="55"/>
        <v>0.0000173780082871938-4.16869383463115j</v>
      </c>
      <c r="P322">
        <f t="shared" si="63"/>
        <v>12.399999999925026</v>
      </c>
      <c r="Q322">
        <f t="shared" si="64"/>
        <v>-89.999761151437198</v>
      </c>
      <c r="R322">
        <f t="shared" si="56"/>
        <v>-13.06704750176792</v>
      </c>
      <c r="S322">
        <f t="shared" si="65"/>
        <v>15.453438163776212</v>
      </c>
    </row>
    <row r="323" spans="7:19" x14ac:dyDescent="0.25">
      <c r="G323">
        <f t="shared" si="57"/>
        <v>5.3999999999999737</v>
      </c>
      <c r="H323">
        <f t="shared" ref="H323:H353" si="66">$B$3*10^G323</f>
        <v>2511886.4315094328</v>
      </c>
      <c r="I323" t="str">
        <f t="shared" si="58"/>
        <v>15782647.9197638j</v>
      </c>
      <c r="J323" t="str">
        <f t="shared" ref="J323:J353" si="67">IMSUM(1,IMDIV(IMPRODUCT(R_f,IMSUM(1,IMPRODUCT(I323,C_s,R_1))),R_1))</f>
        <v>5+18.9391775037166j</v>
      </c>
      <c r="K323">
        <f t="shared" si="59"/>
        <v>25.839832473693928</v>
      </c>
      <c r="L323">
        <f t="shared" si="60"/>
        <v>75.211160788720477</v>
      </c>
      <c r="M323">
        <f t="shared" si="61"/>
        <v>5</v>
      </c>
      <c r="N323">
        <f t="shared" si="62"/>
        <v>18.9391775037166</v>
      </c>
      <c r="O323" t="str">
        <f t="shared" ref="O323:O353" si="68">IMDIV(Aolv,IMSUM(1,IMDIV(I323,wc)))</f>
        <v>0.0000158489319243618-3.98107170547211j</v>
      </c>
      <c r="P323">
        <f t="shared" si="63"/>
        <v>11.999999999931676</v>
      </c>
      <c r="Q323">
        <f t="shared" si="64"/>
        <v>-89.999771901393345</v>
      </c>
      <c r="R323">
        <f t="shared" ref="R323:R353" si="69">P323-K323</f>
        <v>-13.839832473762252</v>
      </c>
      <c r="S323">
        <f t="shared" si="65"/>
        <v>14.789067309886178</v>
      </c>
    </row>
    <row r="324" spans="7:19" x14ac:dyDescent="0.25">
      <c r="G324">
        <f t="shared" ref="G324:G353" si="70">G323+(1/ppd)</f>
        <v>5.4199999999999733</v>
      </c>
      <c r="H324">
        <f t="shared" si="66"/>
        <v>2630267.9918952221</v>
      </c>
      <c r="I324" t="str">
        <f t="shared" ref="I324:I353" si="71">COMPLEX(0,H324*2*PI(),"j")</f>
        <v>16526461.2006208j</v>
      </c>
      <c r="J324" t="str">
        <f t="shared" si="67"/>
        <v>5+19.831753440745j</v>
      </c>
      <c r="K324">
        <f t="shared" ref="K324:K353" si="72">20*LOG(IMABS(J324))</f>
        <v>26.214862496359999</v>
      </c>
      <c r="L324">
        <f t="shared" ref="L324:L353" si="73">DEGREES(IMARGUMENT(J324))</f>
        <v>75.849441978033056</v>
      </c>
      <c r="M324">
        <f t="shared" ref="M324:M353" si="74">IMREAL(J324)</f>
        <v>5</v>
      </c>
      <c r="N324">
        <f t="shared" ref="N324:N353" si="75">IMAGINARY(J324)</f>
        <v>19.831753440745</v>
      </c>
      <c r="O324" t="str">
        <f t="shared" si="68"/>
        <v>0.0000144543977072521-3.80189396315089j</v>
      </c>
      <c r="P324">
        <f t="shared" ref="P324:P353" si="76">20*LOG(IMABS(O324))</f>
        <v>11.599999999937756</v>
      </c>
      <c r="Q324">
        <f t="shared" ref="Q324:Q353" si="77">DEGREES(IMARGUMENT(O324))</f>
        <v>-89.999782167521758</v>
      </c>
      <c r="R324">
        <f t="shared" si="69"/>
        <v>-14.614862496422242</v>
      </c>
      <c r="S324">
        <f t="shared" ref="S324:S353" si="78">(Q324-L324)-(-180)</f>
        <v>14.150775854445186</v>
      </c>
    </row>
    <row r="325" spans="7:19" x14ac:dyDescent="0.25">
      <c r="G325">
        <f t="shared" si="70"/>
        <v>5.4399999999999729</v>
      </c>
      <c r="H325">
        <f t="shared" si="66"/>
        <v>2754228.7033379986</v>
      </c>
      <c r="I325" t="str">
        <f t="shared" si="71"/>
        <v>17305329.3214256j</v>
      </c>
      <c r="J325" t="str">
        <f t="shared" si="67"/>
        <v>5+20.7663951857107j</v>
      </c>
      <c r="K325">
        <f t="shared" si="72"/>
        <v>26.591963751437447</v>
      </c>
      <c r="L325">
        <f t="shared" si="73"/>
        <v>76.462363374051975</v>
      </c>
      <c r="M325">
        <f t="shared" si="74"/>
        <v>5</v>
      </c>
      <c r="N325">
        <f t="shared" si="75"/>
        <v>20.766395185710699</v>
      </c>
      <c r="O325" t="str">
        <f t="shared" si="68"/>
        <v>0.0000131825673853919-3.63078054765337j</v>
      </c>
      <c r="P325">
        <f t="shared" si="76"/>
        <v>11.199999999943273</v>
      </c>
      <c r="Q325">
        <f t="shared" si="77"/>
        <v>-89.999791971598285</v>
      </c>
      <c r="R325">
        <f t="shared" si="69"/>
        <v>-15.391963751494174</v>
      </c>
      <c r="S325">
        <f t="shared" si="78"/>
        <v>13.537844654349726</v>
      </c>
    </row>
    <row r="326" spans="7:19" x14ac:dyDescent="0.25">
      <c r="G326">
        <f t="shared" si="70"/>
        <v>5.4599999999999724</v>
      </c>
      <c r="H326">
        <f t="shared" si="66"/>
        <v>2884031.5031264247</v>
      </c>
      <c r="I326" t="str">
        <f t="shared" si="71"/>
        <v>18120904.365887j</v>
      </c>
      <c r="J326" t="str">
        <f t="shared" si="67"/>
        <v>5+21.7450852390644j</v>
      </c>
      <c r="K326">
        <f t="shared" si="72"/>
        <v>26.970974053829842</v>
      </c>
      <c r="L326">
        <f t="shared" si="73"/>
        <v>77.050662972668619</v>
      </c>
      <c r="M326">
        <f t="shared" si="74"/>
        <v>5</v>
      </c>
      <c r="N326">
        <f t="shared" si="75"/>
        <v>21.745085239064402</v>
      </c>
      <c r="O326" t="str">
        <f t="shared" si="68"/>
        <v>0.0000120226443460311-3.46736850448385j</v>
      </c>
      <c r="P326">
        <f t="shared" si="76"/>
        <v>10.799999999948337</v>
      </c>
      <c r="Q326">
        <f t="shared" si="77"/>
        <v>-89.999801334418677</v>
      </c>
      <c r="R326">
        <f t="shared" si="69"/>
        <v>-16.170974053881505</v>
      </c>
      <c r="S326">
        <f t="shared" si="78"/>
        <v>12.949535692912718</v>
      </c>
    </row>
    <row r="327" spans="7:19" x14ac:dyDescent="0.25">
      <c r="G327">
        <f t="shared" si="70"/>
        <v>5.479999999999972</v>
      </c>
      <c r="H327">
        <f t="shared" si="66"/>
        <v>3019951.7204018258</v>
      </c>
      <c r="I327" t="str">
        <f t="shared" si="71"/>
        <v>18974916.2780205j</v>
      </c>
      <c r="J327" t="str">
        <f t="shared" si="67"/>
        <v>5+22.7698995336246j</v>
      </c>
      <c r="K327">
        <f t="shared" si="72"/>
        <v>27.351742369634554</v>
      </c>
      <c r="L327">
        <f t="shared" si="73"/>
        <v>77.615091576304408</v>
      </c>
      <c r="M327">
        <f t="shared" si="74"/>
        <v>5</v>
      </c>
      <c r="N327">
        <f t="shared" si="75"/>
        <v>22.769899533624599</v>
      </c>
      <c r="O327" t="str">
        <f t="shared" si="68"/>
        <v>0.000010964781961313-3.31131121478981j</v>
      </c>
      <c r="P327">
        <f t="shared" si="76"/>
        <v>10.399999999952922</v>
      </c>
      <c r="Q327">
        <f t="shared" si="77"/>
        <v>-89.999810275842734</v>
      </c>
      <c r="R327">
        <f t="shared" si="69"/>
        <v>-16.951742369681632</v>
      </c>
      <c r="S327">
        <f t="shared" si="78"/>
        <v>12.385098147852858</v>
      </c>
    </row>
    <row r="328" spans="7:19" x14ac:dyDescent="0.25">
      <c r="G328">
        <f t="shared" si="70"/>
        <v>5.4999999999999716</v>
      </c>
      <c r="H328">
        <f t="shared" si="66"/>
        <v>3162277.6601681737</v>
      </c>
      <c r="I328" t="str">
        <f t="shared" si="71"/>
        <v>19869176.5315909j</v>
      </c>
      <c r="J328" t="str">
        <f t="shared" si="67"/>
        <v>5+23.8430118379091j</v>
      </c>
      <c r="K328">
        <f t="shared" si="72"/>
        <v>27.734128301838915</v>
      </c>
      <c r="L328">
        <f t="shared" si="73"/>
        <v>78.156407419955528</v>
      </c>
      <c r="M328">
        <f t="shared" si="74"/>
        <v>5</v>
      </c>
      <c r="N328">
        <f t="shared" si="75"/>
        <v>23.843011837909099</v>
      </c>
      <c r="O328" t="str">
        <f t="shared" si="68"/>
        <v>9.99999999990132E-06-3.16227766013697j</v>
      </c>
      <c r="P328">
        <f t="shared" si="76"/>
        <v>9.999999999957156</v>
      </c>
      <c r="Q328">
        <f t="shared" si="77"/>
        <v>-89.999818814836416</v>
      </c>
      <c r="R328">
        <f t="shared" si="69"/>
        <v>-17.734128301881761</v>
      </c>
      <c r="S328">
        <f t="shared" si="78"/>
        <v>11.843773765208056</v>
      </c>
    </row>
    <row r="329" spans="7:19" x14ac:dyDescent="0.25">
      <c r="G329">
        <f t="shared" si="70"/>
        <v>5.5199999999999712</v>
      </c>
      <c r="H329">
        <f t="shared" si="66"/>
        <v>3311311.2148256949</v>
      </c>
      <c r="I329" t="str">
        <f t="shared" si="71"/>
        <v>20805581.9724918j</v>
      </c>
      <c r="J329" t="str">
        <f t="shared" si="67"/>
        <v>5+24.9666983669902j</v>
      </c>
      <c r="K329">
        <f t="shared" si="72"/>
        <v>28.118001555591192</v>
      </c>
      <c r="L329">
        <f t="shared" si="73"/>
        <v>78.675371449077403</v>
      </c>
      <c r="M329">
        <f t="shared" si="74"/>
        <v>5</v>
      </c>
      <c r="N329">
        <f t="shared" si="75"/>
        <v>24.966698366990201</v>
      </c>
      <c r="O329" t="str">
        <f t="shared" si="68"/>
        <v>9.12010839347708E-06-3.01995172037467j</v>
      </c>
      <c r="P329">
        <f t="shared" si="76"/>
        <v>9.5999999999609535</v>
      </c>
      <c r="Q329">
        <f t="shared" si="77"/>
        <v>-89.9998269695121</v>
      </c>
      <c r="R329">
        <f t="shared" si="69"/>
        <v>-18.518001555630239</v>
      </c>
      <c r="S329">
        <f t="shared" si="78"/>
        <v>11.324801581410497</v>
      </c>
    </row>
    <row r="330" spans="7:19" x14ac:dyDescent="0.25">
      <c r="G330">
        <f t="shared" si="70"/>
        <v>5.5399999999999707</v>
      </c>
      <c r="H330">
        <f t="shared" si="66"/>
        <v>3467368.5045250896</v>
      </c>
      <c r="I330" t="str">
        <f t="shared" si="71"/>
        <v>21786118.8422093j</v>
      </c>
      <c r="J330" t="str">
        <f t="shared" si="67"/>
        <v>5+26.1433426106512j</v>
      </c>
      <c r="K330">
        <f t="shared" si="72"/>
        <v>28.503241393106514</v>
      </c>
      <c r="L330">
        <f t="shared" si="73"/>
        <v>79.172743203588425</v>
      </c>
      <c r="M330">
        <f t="shared" si="74"/>
        <v>5</v>
      </c>
      <c r="N330">
        <f t="shared" si="75"/>
        <v>26.143342610651199</v>
      </c>
      <c r="O330" t="str">
        <f t="shared" si="68"/>
        <v>8.31763771095861E-06-2.88403150310281j</v>
      </c>
      <c r="P330">
        <f t="shared" si="76"/>
        <v>9.1999999999644562</v>
      </c>
      <c r="Q330">
        <f t="shared" si="77"/>
        <v>-89.999834757166894</v>
      </c>
      <c r="R330">
        <f t="shared" si="69"/>
        <v>-19.303241393142059</v>
      </c>
      <c r="S330">
        <f t="shared" si="78"/>
        <v>10.827422039244681</v>
      </c>
    </row>
    <row r="331" spans="7:19" x14ac:dyDescent="0.25">
      <c r="G331">
        <f t="shared" si="70"/>
        <v>5.5599999999999703</v>
      </c>
      <c r="H331">
        <f t="shared" si="66"/>
        <v>3630780.5477007688</v>
      </c>
      <c r="I331" t="str">
        <f t="shared" si="71"/>
        <v>22812866.9909069j</v>
      </c>
      <c r="J331" t="str">
        <f t="shared" si="67"/>
        <v>5+27.3754403890883j</v>
      </c>
      <c r="K331">
        <f t="shared" si="72"/>
        <v>28.889736086575564</v>
      </c>
      <c r="L331">
        <f t="shared" si="73"/>
        <v>79.649277260544423</v>
      </c>
      <c r="M331">
        <f t="shared" si="74"/>
        <v>5</v>
      </c>
      <c r="N331">
        <f t="shared" si="75"/>
        <v>27.3754403890883</v>
      </c>
      <c r="O331" t="str">
        <f t="shared" si="68"/>
        <v>7.58577575023531E-06-2.75422870331746j</v>
      </c>
      <c r="P331">
        <f t="shared" si="76"/>
        <v>8.7999999999676444</v>
      </c>
      <c r="Q331">
        <f t="shared" si="77"/>
        <v>-89.999842194319484</v>
      </c>
      <c r="R331">
        <f t="shared" si="69"/>
        <v>-20.089736086607921</v>
      </c>
      <c r="S331">
        <f t="shared" si="78"/>
        <v>10.350880545136079</v>
      </c>
    </row>
    <row r="332" spans="7:19" x14ac:dyDescent="0.25">
      <c r="G332">
        <f t="shared" si="70"/>
        <v>5.5799999999999699</v>
      </c>
      <c r="H332">
        <f t="shared" si="66"/>
        <v>3801893.9632053552</v>
      </c>
      <c r="I332" t="str">
        <f t="shared" si="71"/>
        <v>23888004.2890667j</v>
      </c>
      <c r="J332" t="str">
        <f t="shared" si="67"/>
        <v>5+28.66560514688j</v>
      </c>
      <c r="K332">
        <f t="shared" si="72"/>
        <v>29.27738237591841</v>
      </c>
      <c r="L332">
        <f t="shared" si="73"/>
        <v>80.10572018769497</v>
      </c>
      <c r="M332">
        <f t="shared" si="74"/>
        <v>5</v>
      </c>
      <c r="N332">
        <f t="shared" si="75"/>
        <v>28.665605146880001</v>
      </c>
      <c r="O332" t="str">
        <f t="shared" si="68"/>
        <v>6.91830970914242E-06-2.63026799187736j</v>
      </c>
      <c r="P332">
        <f t="shared" si="76"/>
        <v>8.3999999999705306</v>
      </c>
      <c r="Q332">
        <f t="shared" si="77"/>
        <v>-89.999849296745083</v>
      </c>
      <c r="R332">
        <f t="shared" si="69"/>
        <v>-20.877382375947882</v>
      </c>
      <c r="S332">
        <f t="shared" si="78"/>
        <v>9.8944305155599466</v>
      </c>
    </row>
    <row r="333" spans="7:19" x14ac:dyDescent="0.25">
      <c r="G333">
        <f t="shared" si="70"/>
        <v>5.5999999999999694</v>
      </c>
      <c r="H333">
        <f t="shared" si="66"/>
        <v>3981071.7055346956</v>
      </c>
      <c r="I333" t="str">
        <f t="shared" si="71"/>
        <v>25013811.247044j</v>
      </c>
      <c r="J333" t="str">
        <f t="shared" si="67"/>
        <v>5+30.0165734964528j</v>
      </c>
      <c r="K333">
        <f t="shared" si="72"/>
        <v>29.666084936874825</v>
      </c>
      <c r="L333">
        <f t="shared" si="73"/>
        <v>80.5428079608769</v>
      </c>
      <c r="M333">
        <f t="shared" si="74"/>
        <v>5</v>
      </c>
      <c r="N333">
        <f t="shared" si="75"/>
        <v>30.0165734964528</v>
      </c>
      <c r="O333" t="str">
        <f t="shared" si="68"/>
        <v>6.30957344476299E-06-2.5118864314939j</v>
      </c>
      <c r="P333">
        <f t="shared" si="76"/>
        <v>7.9999999999731806</v>
      </c>
      <c r="Q333">
        <f t="shared" si="77"/>
        <v>-89.999856079508859</v>
      </c>
      <c r="R333">
        <f t="shared" si="69"/>
        <v>-21.666084936901644</v>
      </c>
      <c r="S333">
        <f t="shared" si="78"/>
        <v>9.4573359596142268</v>
      </c>
    </row>
    <row r="334" spans="7:19" x14ac:dyDescent="0.25">
      <c r="G334">
        <f t="shared" si="70"/>
        <v>5.619999999999969</v>
      </c>
      <c r="H334">
        <f t="shared" si="66"/>
        <v>4168693.8347030636</v>
      </c>
      <c r="I334" t="str">
        <f t="shared" si="71"/>
        <v>26192675.8523364j</v>
      </c>
      <c r="J334" t="str">
        <f t="shared" si="67"/>
        <v>5+31.4312110228037j</v>
      </c>
      <c r="K334">
        <f t="shared" si="72"/>
        <v>30.055755863740398</v>
      </c>
      <c r="L334">
        <f t="shared" si="73"/>
        <v>80.961263799754462</v>
      </c>
      <c r="M334">
        <f t="shared" si="74"/>
        <v>5</v>
      </c>
      <c r="N334">
        <f t="shared" si="75"/>
        <v>31.431211022803701</v>
      </c>
      <c r="O334" t="str">
        <f t="shared" si="68"/>
        <v>5.75439937333927E-06-2.39883291900586j</v>
      </c>
      <c r="P334">
        <f t="shared" si="76"/>
        <v>7.5999999999756369</v>
      </c>
      <c r="Q334">
        <f t="shared" si="77"/>
        <v>-89.999862556997982</v>
      </c>
      <c r="R334">
        <f t="shared" si="69"/>
        <v>-22.455755863764761</v>
      </c>
      <c r="S334">
        <f t="shared" si="78"/>
        <v>9.0388736432475412</v>
      </c>
    </row>
    <row r="335" spans="7:19" x14ac:dyDescent="0.25">
      <c r="G335">
        <f t="shared" si="70"/>
        <v>5.6399999999999686</v>
      </c>
      <c r="H335">
        <f t="shared" si="66"/>
        <v>4365158.3224013466</v>
      </c>
      <c r="I335" t="str">
        <f t="shared" si="71"/>
        <v>27427098.6348248j</v>
      </c>
      <c r="J335" t="str">
        <f t="shared" si="67"/>
        <v>5+32.9125183617898j</v>
      </c>
      <c r="K335">
        <f t="shared" si="72"/>
        <v>30.446314170033361</v>
      </c>
      <c r="L335">
        <f t="shared" si="73"/>
        <v>81.361796378551347</v>
      </c>
      <c r="M335">
        <f t="shared" si="74"/>
        <v>5</v>
      </c>
      <c r="N335">
        <f t="shared" si="75"/>
        <v>32.9125183617898</v>
      </c>
      <c r="O335" t="str">
        <f t="shared" si="68"/>
        <v>5.24807460247095E-06-2.29086765275592j</v>
      </c>
      <c r="P335">
        <f t="shared" si="76"/>
        <v>7.1999999999778517</v>
      </c>
      <c r="Q335">
        <f t="shared" si="77"/>
        <v>-89.999868742952074</v>
      </c>
      <c r="R335">
        <f t="shared" si="69"/>
        <v>-23.246314170055509</v>
      </c>
      <c r="S335">
        <f t="shared" si="78"/>
        <v>8.638334878496579</v>
      </c>
    </row>
    <row r="336" spans="7:19" x14ac:dyDescent="0.25">
      <c r="G336">
        <f t="shared" si="70"/>
        <v>5.6599999999999682</v>
      </c>
      <c r="H336">
        <f t="shared" si="66"/>
        <v>4570881.8961484218</v>
      </c>
      <c r="I336" t="str">
        <f t="shared" si="71"/>
        <v>28719697.9707329j</v>
      </c>
      <c r="J336" t="str">
        <f t="shared" si="67"/>
        <v>5+34.4636375648795j</v>
      </c>
      <c r="K336">
        <f t="shared" si="72"/>
        <v>30.837685309504277</v>
      </c>
      <c r="L336">
        <f t="shared" si="73"/>
        <v>81.745098370954608</v>
      </c>
      <c r="M336">
        <f t="shared" si="74"/>
        <v>5</v>
      </c>
      <c r="N336">
        <f t="shared" si="75"/>
        <v>34.463637564879498</v>
      </c>
      <c r="O336" t="str">
        <f t="shared" si="68"/>
        <v>4.78630092320417E-06-2.18776162393924j</v>
      </c>
      <c r="P336">
        <f t="shared" si="76"/>
        <v>6.7999999999798435</v>
      </c>
      <c r="Q336">
        <f t="shared" si="77"/>
        <v>-89.999874650492373</v>
      </c>
      <c r="R336">
        <f t="shared" si="69"/>
        <v>-24.037685309524434</v>
      </c>
      <c r="S336">
        <f t="shared" si="78"/>
        <v>8.255026978553019</v>
      </c>
    </row>
    <row r="337" spans="7:19" x14ac:dyDescent="0.25">
      <c r="G337">
        <f t="shared" si="70"/>
        <v>5.6799999999999677</v>
      </c>
      <c r="H337">
        <f t="shared" si="66"/>
        <v>4786300.9232260305</v>
      </c>
      <c r="I337" t="str">
        <f t="shared" si="71"/>
        <v>30073215.6365539j</v>
      </c>
      <c r="J337" t="str">
        <f t="shared" si="67"/>
        <v>5+36.0878587638647j</v>
      </c>
      <c r="K337">
        <f t="shared" si="72"/>
        <v>31.229800719161517</v>
      </c>
      <c r="L337">
        <f t="shared" si="73"/>
        <v>82.111845291145158</v>
      </c>
      <c r="M337">
        <f t="shared" si="74"/>
        <v>5</v>
      </c>
      <c r="N337">
        <f t="shared" si="75"/>
        <v>36.087858763864702</v>
      </c>
      <c r="O337" t="str">
        <f t="shared" si="68"/>
        <v>4.36515832238325E-06-2.08929613084507j</v>
      </c>
      <c r="P337">
        <f t="shared" si="76"/>
        <v>6.3999999999816692</v>
      </c>
      <c r="Q337">
        <f t="shared" si="77"/>
        <v>-89.999880292149555</v>
      </c>
      <c r="R337">
        <f t="shared" si="69"/>
        <v>-24.829800719179847</v>
      </c>
      <c r="S337">
        <f t="shared" si="78"/>
        <v>7.8882744167052863</v>
      </c>
    </row>
    <row r="338" spans="7:19" x14ac:dyDescent="0.25">
      <c r="G338">
        <f t="shared" si="70"/>
        <v>5.6999999999999673</v>
      </c>
      <c r="H338">
        <f t="shared" si="66"/>
        <v>5011872.3362723524</v>
      </c>
      <c r="I338" t="str">
        <f t="shared" si="71"/>
        <v>31490522.6247263j</v>
      </c>
      <c r="J338" t="str">
        <f t="shared" si="67"/>
        <v>5+37.7886271496716j</v>
      </c>
      <c r="K338">
        <f t="shared" si="72"/>
        <v>31.622597385369566</v>
      </c>
      <c r="L338">
        <f t="shared" si="73"/>
        <v>82.462694595807974</v>
      </c>
      <c r="M338">
        <f t="shared" si="74"/>
        <v>5</v>
      </c>
      <c r="N338">
        <f t="shared" si="75"/>
        <v>37.788627149671598</v>
      </c>
      <c r="O338" t="str">
        <f t="shared" si="68"/>
        <v>0.0000039810717055197-1.99526231496108j</v>
      </c>
      <c r="P338">
        <f t="shared" si="76"/>
        <v>5.9999999999833351</v>
      </c>
      <c r="Q338">
        <f t="shared" si="77"/>
        <v>-89.999885679890326</v>
      </c>
      <c r="R338">
        <f t="shared" si="69"/>
        <v>-25.622597385386232</v>
      </c>
      <c r="S338">
        <f t="shared" si="78"/>
        <v>7.5374197243016852</v>
      </c>
    </row>
    <row r="339" spans="7:19" x14ac:dyDescent="0.25">
      <c r="G339">
        <f t="shared" si="70"/>
        <v>5.7199999999999669</v>
      </c>
      <c r="H339">
        <f t="shared" si="66"/>
        <v>5248074.6024973365</v>
      </c>
      <c r="I339" t="str">
        <f t="shared" si="71"/>
        <v>32974625.2333936j</v>
      </c>
      <c r="J339" t="str">
        <f t="shared" si="67"/>
        <v>5+39.5695502800723j</v>
      </c>
      <c r="K339">
        <f t="shared" si="72"/>
        <v>32.016017433568919</v>
      </c>
      <c r="L339">
        <f t="shared" si="73"/>
        <v>82.798285014899818</v>
      </c>
      <c r="M339">
        <f t="shared" si="74"/>
        <v>5</v>
      </c>
      <c r="N339">
        <f t="shared" si="75"/>
        <v>39.569550280072299</v>
      </c>
      <c r="O339" t="str">
        <f t="shared" si="68"/>
        <v>3.63078054768838E-06-1.90546071795647j</v>
      </c>
      <c r="P339">
        <f t="shared" si="76"/>
        <v>5.5999999999848749</v>
      </c>
      <c r="Q339">
        <f t="shared" si="77"/>
        <v>-89.999890825142842</v>
      </c>
      <c r="R339">
        <f t="shared" si="69"/>
        <v>-26.416017433584045</v>
      </c>
      <c r="S339">
        <f t="shared" si="78"/>
        <v>7.20182415995734</v>
      </c>
    </row>
    <row r="340" spans="7:19" x14ac:dyDescent="0.25">
      <c r="G340">
        <f t="shared" si="70"/>
        <v>5.7399999999999665</v>
      </c>
      <c r="H340">
        <f t="shared" si="66"/>
        <v>5495408.7385758273</v>
      </c>
      <c r="I340" t="str">
        <f t="shared" si="71"/>
        <v>34528671.4431659j</v>
      </c>
      <c r="J340" t="str">
        <f t="shared" si="67"/>
        <v>5+41.4344057317992j</v>
      </c>
      <c r="K340">
        <f t="shared" si="72"/>
        <v>32.410007741753482</v>
      </c>
      <c r="L340">
        <f t="shared" si="73"/>
        <v>83.11923608183406</v>
      </c>
      <c r="M340">
        <f t="shared" si="74"/>
        <v>5</v>
      </c>
      <c r="N340">
        <f t="shared" si="75"/>
        <v>41.434405731799202</v>
      </c>
      <c r="O340" t="str">
        <f t="shared" si="68"/>
        <v>3.31131121481546E-06-1.8197008586041j</v>
      </c>
      <c r="P340">
        <f t="shared" si="76"/>
        <v>5.1999999999862965</v>
      </c>
      <c r="Q340">
        <f t="shared" si="77"/>
        <v>-89.99989573882084</v>
      </c>
      <c r="R340">
        <f t="shared" si="69"/>
        <v>-27.210007741767186</v>
      </c>
      <c r="S340">
        <f t="shared" si="78"/>
        <v>6.8808681793451001</v>
      </c>
    </row>
    <row r="341" spans="7:19" x14ac:dyDescent="0.25">
      <c r="G341">
        <f t="shared" si="70"/>
        <v>5.759999999999966</v>
      </c>
      <c r="H341">
        <f t="shared" si="66"/>
        <v>5754399.3733711299</v>
      </c>
      <c r="I341" t="str">
        <f t="shared" si="71"/>
        <v>36155957.5944089j</v>
      </c>
      <c r="J341" t="str">
        <f t="shared" si="67"/>
        <v>5+43.3871491132908j</v>
      </c>
      <c r="K341">
        <f t="shared" si="72"/>
        <v>32.804519577509986</v>
      </c>
      <c r="L341">
        <f t="shared" si="73"/>
        <v>83.426147836526425</v>
      </c>
      <c r="M341">
        <f t="shared" si="74"/>
        <v>5</v>
      </c>
      <c r="N341">
        <f t="shared" si="75"/>
        <v>43.387149113290803</v>
      </c>
      <c r="O341" t="str">
        <f t="shared" si="68"/>
        <v>3.01995172039336E-06-1.73780082874426j</v>
      </c>
      <c r="P341">
        <f t="shared" si="76"/>
        <v>4.7999999999875458</v>
      </c>
      <c r="Q341">
        <f t="shared" si="77"/>
        <v>-89.999900431346873</v>
      </c>
      <c r="R341">
        <f t="shared" si="69"/>
        <v>-28.004519577522441</v>
      </c>
      <c r="S341">
        <f t="shared" si="78"/>
        <v>6.5739517321267158</v>
      </c>
    </row>
    <row r="342" spans="7:19" x14ac:dyDescent="0.25">
      <c r="G342">
        <f t="shared" si="70"/>
        <v>5.7799999999999656</v>
      </c>
      <c r="H342">
        <f t="shared" si="66"/>
        <v>6025595.8607431054</v>
      </c>
      <c r="I342" t="str">
        <f t="shared" si="71"/>
        <v>37859935.3792232j</v>
      </c>
      <c r="J342" t="str">
        <f t="shared" si="67"/>
        <v>5+45.431922455068j</v>
      </c>
      <c r="K342">
        <f t="shared" si="72"/>
        <v>33.199508258164741</v>
      </c>
      <c r="L342">
        <f t="shared" si="73"/>
        <v>83.719600677397949</v>
      </c>
      <c r="M342">
        <f t="shared" si="74"/>
        <v>5</v>
      </c>
      <c r="N342">
        <f t="shared" si="75"/>
        <v>45.431922455067998</v>
      </c>
      <c r="O342" t="str">
        <f t="shared" si="68"/>
        <v>2.75422870333102E-06-1.65958690743312j</v>
      </c>
      <c r="P342">
        <f t="shared" si="76"/>
        <v>4.3999999999887205</v>
      </c>
      <c r="Q342">
        <f t="shared" si="77"/>
        <v>-89.999904912674467</v>
      </c>
      <c r="R342">
        <f t="shared" si="69"/>
        <v>-28.799508258176019</v>
      </c>
      <c r="S342">
        <f t="shared" si="78"/>
        <v>6.2804944099275986</v>
      </c>
    </row>
    <row r="343" spans="7:19" x14ac:dyDescent="0.25">
      <c r="G343">
        <f t="shared" si="70"/>
        <v>5.7999999999999652</v>
      </c>
      <c r="H343">
        <f t="shared" si="66"/>
        <v>6309573.4448014377</v>
      </c>
      <c r="I343" t="str">
        <f t="shared" si="71"/>
        <v>39644219.1629469j</v>
      </c>
      <c r="J343" t="str">
        <f t="shared" si="67"/>
        <v>5+47.5730629955364j</v>
      </c>
      <c r="K343">
        <f t="shared" si="72"/>
        <v>33.594932833382444</v>
      </c>
      <c r="L343">
        <f t="shared" si="73"/>
        <v>84.000155340925289</v>
      </c>
      <c r="M343">
        <f t="shared" si="74"/>
        <v>5</v>
      </c>
      <c r="N343">
        <f t="shared" si="75"/>
        <v>47.573062995536397</v>
      </c>
      <c r="O343" t="str">
        <f t="shared" si="68"/>
        <v>2.51188643150366E-06-1.58489319245726j</v>
      </c>
      <c r="P343">
        <f t="shared" si="76"/>
        <v>3.9999999999897895</v>
      </c>
      <c r="Q343">
        <f t="shared" si="77"/>
        <v>-89.99990919230909</v>
      </c>
      <c r="R343">
        <f t="shared" si="69"/>
        <v>-29.594932833392654</v>
      </c>
      <c r="S343">
        <f t="shared" si="78"/>
        <v>5.9999354667656348</v>
      </c>
    </row>
    <row r="344" spans="7:19" x14ac:dyDescent="0.25">
      <c r="G344">
        <f t="shared" si="70"/>
        <v>5.8199999999999648</v>
      </c>
      <c r="H344">
        <f t="shared" si="66"/>
        <v>6606934.4800754283</v>
      </c>
      <c r="I344" t="str">
        <f t="shared" si="71"/>
        <v>41512593.6507081j</v>
      </c>
      <c r="J344" t="str">
        <f t="shared" si="67"/>
        <v>5+49.8151123808496j</v>
      </c>
      <c r="K344">
        <f t="shared" si="72"/>
        <v>33.990755789412205</v>
      </c>
      <c r="L344">
        <f t="shared" si="73"/>
        <v>84.268352989650865</v>
      </c>
      <c r="M344">
        <f t="shared" si="74"/>
        <v>5</v>
      </c>
      <c r="N344">
        <f t="shared" si="75"/>
        <v>49.815112380849598</v>
      </c>
      <c r="O344" t="str">
        <f t="shared" si="68"/>
        <v>0.0000022908676527629-1.51356124843286j</v>
      </c>
      <c r="P344">
        <f t="shared" si="76"/>
        <v>3.5999999999907342</v>
      </c>
      <c r="Q344">
        <f t="shared" si="77"/>
        <v>-89.999913279328439</v>
      </c>
      <c r="R344">
        <f t="shared" si="69"/>
        <v>-30.390755789421469</v>
      </c>
      <c r="S344">
        <f t="shared" si="78"/>
        <v>5.7317337310207108</v>
      </c>
    </row>
    <row r="345" spans="7:19" x14ac:dyDescent="0.25">
      <c r="G345">
        <f t="shared" si="70"/>
        <v>5.8399999999999643</v>
      </c>
      <c r="H345">
        <f t="shared" si="66"/>
        <v>6918309.7091888068</v>
      </c>
      <c r="I345" t="str">
        <f t="shared" si="71"/>
        <v>43469021.915293j</v>
      </c>
      <c r="J345" t="str">
        <f t="shared" si="67"/>
        <v>5+52.1628262983516j</v>
      </c>
      <c r="K345">
        <f t="shared" si="72"/>
        <v>34.386942774070228</v>
      </c>
      <c r="L345">
        <f t="shared" si="73"/>
        <v>84.524715391710203</v>
      </c>
      <c r="M345">
        <f t="shared" si="74"/>
        <v>5</v>
      </c>
      <c r="N345">
        <f t="shared" si="75"/>
        <v>52.162826298351597</v>
      </c>
      <c r="O345" t="str">
        <f t="shared" si="68"/>
        <v>2.08929613085001E-06-1.44543977074302j</v>
      </c>
      <c r="P345">
        <f t="shared" si="76"/>
        <v>3.1999999999916002</v>
      </c>
      <c r="Q345">
        <f t="shared" si="77"/>
        <v>-89.999917182401589</v>
      </c>
      <c r="R345">
        <f t="shared" si="69"/>
        <v>-31.186942774078627</v>
      </c>
      <c r="S345">
        <f t="shared" si="78"/>
        <v>5.4753674258882086</v>
      </c>
    </row>
    <row r="346" spans="7:19" x14ac:dyDescent="0.25">
      <c r="G346">
        <f t="shared" si="70"/>
        <v>5.8599999999999639</v>
      </c>
      <c r="H346">
        <f t="shared" si="66"/>
        <v>7244359.6007493027</v>
      </c>
      <c r="I346" t="str">
        <f t="shared" si="71"/>
        <v>45517653.8033534j</v>
      </c>
      <c r="J346" t="str">
        <f t="shared" si="67"/>
        <v>5+54.621184564024j</v>
      </c>
      <c r="K346">
        <f t="shared" si="72"/>
        <v>34.783462341473921</v>
      </c>
      <c r="L346">
        <f t="shared" si="73"/>
        <v>84.769745176897274</v>
      </c>
      <c r="M346">
        <f t="shared" si="74"/>
        <v>5</v>
      </c>
      <c r="N346">
        <f t="shared" si="75"/>
        <v>54.621184564023999</v>
      </c>
      <c r="O346" t="str">
        <f t="shared" si="68"/>
        <v>1.90546071795993E-06-1.38038426460037j</v>
      </c>
      <c r="P346">
        <f t="shared" si="76"/>
        <v>2.799999999992449</v>
      </c>
      <c r="Q346">
        <f t="shared" si="77"/>
        <v>-89.999920909807543</v>
      </c>
      <c r="R346">
        <f t="shared" si="69"/>
        <v>-31.983462341481474</v>
      </c>
      <c r="S346">
        <f t="shared" si="78"/>
        <v>5.2303339132951692</v>
      </c>
    </row>
    <row r="347" spans="7:19" x14ac:dyDescent="0.25">
      <c r="G347">
        <f t="shared" si="70"/>
        <v>5.8799999999999635</v>
      </c>
      <c r="H347">
        <f t="shared" si="66"/>
        <v>7585775.7502912087</v>
      </c>
      <c r="I347" t="str">
        <f t="shared" si="71"/>
        <v>47662834.7377889j</v>
      </c>
      <c r="J347" t="str">
        <f t="shared" si="67"/>
        <v>5+57.1954016853468j</v>
      </c>
      <c r="K347">
        <f t="shared" si="72"/>
        <v>35.180285715502407</v>
      </c>
      <c r="L347">
        <f t="shared" si="73"/>
        <v>85.003926156079416</v>
      </c>
      <c r="M347">
        <f t="shared" si="74"/>
        <v>5</v>
      </c>
      <c r="N347">
        <f t="shared" si="75"/>
        <v>57.195401685346802</v>
      </c>
      <c r="O347" t="str">
        <f t="shared" si="68"/>
        <v>1.73780082874664E-06-1.31825673855423j</v>
      </c>
      <c r="P347">
        <f t="shared" si="76"/>
        <v>2.3999999999932022</v>
      </c>
      <c r="Q347">
        <f t="shared" si="77"/>
        <v>-89.999924469452566</v>
      </c>
      <c r="R347">
        <f t="shared" si="69"/>
        <v>-32.780285715509208</v>
      </c>
      <c r="S347">
        <f t="shared" si="78"/>
        <v>4.9961493744680183</v>
      </c>
    </row>
    <row r="348" spans="7:19" x14ac:dyDescent="0.25">
      <c r="G348">
        <f t="shared" si="70"/>
        <v>5.8999999999999631</v>
      </c>
      <c r="H348">
        <f t="shared" si="66"/>
        <v>7943282.347242156</v>
      </c>
      <c r="I348" t="str">
        <f t="shared" si="71"/>
        <v>49909114.9349709j</v>
      </c>
      <c r="J348" t="str">
        <f t="shared" si="67"/>
        <v>5+59.8909379219652j</v>
      </c>
      <c r="K348">
        <f t="shared" si="72"/>
        <v>35.577386570933584</v>
      </c>
      <c r="L348">
        <f t="shared" si="73"/>
        <v>85.227723692390867</v>
      </c>
      <c r="M348">
        <f t="shared" si="74"/>
        <v>5</v>
      </c>
      <c r="N348">
        <f t="shared" si="75"/>
        <v>59.890937921965197</v>
      </c>
      <c r="O348" t="str">
        <f t="shared" si="68"/>
        <v>1.58489319245886E-06-1.25892541179228j</v>
      </c>
      <c r="P348">
        <f t="shared" si="76"/>
        <v>1.999999999993862</v>
      </c>
      <c r="Q348">
        <f t="shared" si="77"/>
        <v>-89.999927868887184</v>
      </c>
      <c r="R348">
        <f t="shared" si="69"/>
        <v>-33.577386570939723</v>
      </c>
      <c r="S348">
        <f t="shared" si="78"/>
        <v>4.7723484387219628</v>
      </c>
    </row>
    <row r="349" spans="7:19" x14ac:dyDescent="0.25">
      <c r="G349">
        <f t="shared" si="70"/>
        <v>5.9199999999999626</v>
      </c>
      <c r="H349">
        <f t="shared" si="66"/>
        <v>8317637.7110260036</v>
      </c>
      <c r="I349" t="str">
        <f t="shared" si="71"/>
        <v>52261259.0563614j</v>
      </c>
      <c r="J349" t="str">
        <f t="shared" si="67"/>
        <v>5+62.7135108676336j</v>
      </c>
      <c r="K349">
        <f t="shared" si="72"/>
        <v>35.974740831209594</v>
      </c>
      <c r="L349">
        <f t="shared" si="73"/>
        <v>85.441585114095759</v>
      </c>
      <c r="M349">
        <f t="shared" si="74"/>
        <v>5</v>
      </c>
      <c r="N349">
        <f t="shared" si="75"/>
        <v>62.713510867633602</v>
      </c>
      <c r="O349" t="str">
        <f t="shared" si="68"/>
        <v>1.44543977074409E-06-1.20226443461578j</v>
      </c>
      <c r="P349">
        <f t="shared" si="76"/>
        <v>1.5999999999944803</v>
      </c>
      <c r="Q349">
        <f t="shared" si="77"/>
        <v>-89.999931115322042</v>
      </c>
      <c r="R349">
        <f t="shared" si="69"/>
        <v>-34.374740831215114</v>
      </c>
      <c r="S349">
        <f t="shared" si="78"/>
        <v>4.5584837705821997</v>
      </c>
    </row>
    <row r="350" spans="7:19" x14ac:dyDescent="0.25">
      <c r="G350">
        <f t="shared" si="70"/>
        <v>5.9399999999999622</v>
      </c>
      <c r="H350">
        <f t="shared" si="66"/>
        <v>8709635.8995600641</v>
      </c>
      <c r="I350" t="str">
        <f t="shared" si="71"/>
        <v>54724256.3149997j</v>
      </c>
      <c r="J350" t="str">
        <f t="shared" si="67"/>
        <v>5+65.6691075779996j</v>
      </c>
      <c r="K350">
        <f t="shared" si="72"/>
        <v>36.372326481792882</v>
      </c>
      <c r="L350">
        <f t="shared" si="73"/>
        <v>85.645940160318005</v>
      </c>
      <c r="M350">
        <f t="shared" si="74"/>
        <v>5</v>
      </c>
      <c r="N350">
        <f t="shared" si="75"/>
        <v>65.669107577999597</v>
      </c>
      <c r="O350" t="str">
        <f t="shared" si="68"/>
        <v>1.31825673855489E-06-1.14815362149547j</v>
      </c>
      <c r="P350">
        <f t="shared" si="76"/>
        <v>1.1999999999950368</v>
      </c>
      <c r="Q350">
        <f t="shared" si="77"/>
        <v>-89.99993421564325</v>
      </c>
      <c r="R350">
        <f t="shared" si="69"/>
        <v>-35.172326481797846</v>
      </c>
      <c r="S350">
        <f t="shared" si="78"/>
        <v>4.354125624038744</v>
      </c>
    </row>
    <row r="351" spans="7:19" x14ac:dyDescent="0.25">
      <c r="G351">
        <f t="shared" si="70"/>
        <v>5.9599999999999618</v>
      </c>
      <c r="H351">
        <f t="shared" si="66"/>
        <v>9120108.3935583029</v>
      </c>
      <c r="I351" t="str">
        <f t="shared" si="71"/>
        <v>57303331.0582907j</v>
      </c>
      <c r="J351" t="str">
        <f t="shared" si="67"/>
        <v>5+68.7639972699488j</v>
      </c>
      <c r="K351">
        <f t="shared" si="72"/>
        <v>36.770123398098413</v>
      </c>
      <c r="L351">
        <f t="shared" si="73"/>
        <v>85.841201452006104</v>
      </c>
      <c r="M351">
        <f t="shared" si="74"/>
        <v>5</v>
      </c>
      <c r="N351">
        <f t="shared" si="75"/>
        <v>68.763997269948803</v>
      </c>
      <c r="O351" t="str">
        <f t="shared" si="68"/>
        <v>1.20226443461618E-06-1.09647819614196j</v>
      </c>
      <c r="P351">
        <f t="shared" si="76"/>
        <v>0.79999999999551874</v>
      </c>
      <c r="Q351">
        <f t="shared" si="77"/>
        <v>-89.999937176427039</v>
      </c>
      <c r="R351">
        <f t="shared" si="69"/>
        <v>-35.970123398102892</v>
      </c>
      <c r="S351">
        <f t="shared" si="78"/>
        <v>4.158861371566843</v>
      </c>
    </row>
    <row r="352" spans="7:19" x14ac:dyDescent="0.25">
      <c r="G352">
        <f t="shared" si="70"/>
        <v>5.9799999999999613</v>
      </c>
      <c r="H352">
        <f t="shared" si="66"/>
        <v>9549925.8602135256</v>
      </c>
      <c r="I352" t="str">
        <f t="shared" si="71"/>
        <v>60003953.849548j</v>
      </c>
      <c r="J352" t="str">
        <f t="shared" si="67"/>
        <v>5+72.0047446194576j</v>
      </c>
      <c r="K352">
        <f t="shared" si="72"/>
        <v>37.168113187021845</v>
      </c>
      <c r="L352">
        <f t="shared" si="73"/>
        <v>86.027764981540997</v>
      </c>
      <c r="M352">
        <f t="shared" si="74"/>
        <v>5</v>
      </c>
      <c r="N352">
        <f t="shared" si="75"/>
        <v>72.004744619457597</v>
      </c>
      <c r="O352" t="str">
        <f t="shared" si="68"/>
        <v>1.09647819614217E-06-1.04712854804984j</v>
      </c>
      <c r="P352">
        <f t="shared" si="76"/>
        <v>0.39999999999597252</v>
      </c>
      <c r="Q352">
        <f t="shared" si="77"/>
        <v>-89.999940003953583</v>
      </c>
      <c r="R352">
        <f t="shared" si="69"/>
        <v>-36.768113187025875</v>
      </c>
      <c r="S352">
        <f t="shared" si="78"/>
        <v>3.9722950145054199</v>
      </c>
    </row>
    <row r="353" spans="7:19" x14ac:dyDescent="0.25">
      <c r="G353">
        <f t="shared" si="70"/>
        <v>5.9999999999999609</v>
      </c>
      <c r="H353">
        <f t="shared" si="66"/>
        <v>9999999.9999991078</v>
      </c>
      <c r="I353" t="str">
        <f t="shared" si="71"/>
        <v>62831853.0717903j</v>
      </c>
      <c r="J353" t="str">
        <f t="shared" si="67"/>
        <v>5+75.3982236861484j</v>
      </c>
      <c r="K353">
        <f t="shared" si="72"/>
        <v>37.566279041118257</v>
      </c>
      <c r="L353">
        <f t="shared" si="73"/>
        <v>86.206010615317695</v>
      </c>
      <c r="M353">
        <f t="shared" si="74"/>
        <v>5</v>
      </c>
      <c r="N353">
        <f t="shared" si="75"/>
        <v>75.398223686148398</v>
      </c>
      <c r="O353" t="str">
        <f t="shared" si="68"/>
        <v>9.99999999999176E-07-0.999999999999088j</v>
      </c>
      <c r="P353">
        <f t="shared" si="76"/>
        <v>-3.5786192283799859E-12</v>
      </c>
      <c r="Q353">
        <f t="shared" si="77"/>
        <v>-89.999942704220487</v>
      </c>
      <c r="R353">
        <f t="shared" si="69"/>
        <v>-37.566279041121838</v>
      </c>
      <c r="S353">
        <f t="shared" si="78"/>
        <v>3.794046680461804</v>
      </c>
    </row>
  </sheetData>
  <conditionalFormatting sqref="B15">
    <cfRule type="cellIs" dxfId="4" priority="1" operator="lessThan">
      <formula>45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8796F-1882-432E-BEA6-716C1D0FBFB6}">
  <sheetPr codeName="Sheet9"/>
  <dimension ref="A1:S353"/>
  <sheetViews>
    <sheetView showGridLines="0" zoomScaleNormal="100" workbookViewId="0">
      <selection activeCell="C23" sqref="C23"/>
    </sheetView>
  </sheetViews>
  <sheetFormatPr defaultRowHeight="15" x14ac:dyDescent="0.25"/>
  <cols>
    <col min="1" max="1" width="27.85546875" customWidth="1"/>
    <col min="2" max="2" width="13.140625" customWidth="1"/>
    <col min="3" max="3" width="5.7109375" customWidth="1"/>
    <col min="4" max="4" width="86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28.28515625" customWidth="1"/>
    <col min="11" max="12" width="9.140625" customWidth="1"/>
    <col min="15" max="15" width="39.42578125" bestFit="1" customWidth="1"/>
    <col min="16" max="17" width="9.140625" customWidth="1"/>
    <col min="18" max="18" width="17" bestFit="1" customWidth="1"/>
    <col min="19" max="19" width="15" customWidth="1"/>
  </cols>
  <sheetData>
    <row r="1" spans="1:19" ht="15" customHeight="1" x14ac:dyDescent="0.25">
      <c r="A1" s="1" t="s">
        <v>43</v>
      </c>
      <c r="F1" s="6" t="s">
        <v>46</v>
      </c>
      <c r="G1" s="5">
        <v>50</v>
      </c>
    </row>
    <row r="2" spans="1:19" ht="15" customHeight="1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45</v>
      </c>
      <c r="K2" s="3" t="s">
        <v>5</v>
      </c>
      <c r="L2" s="18" t="s">
        <v>39</v>
      </c>
      <c r="M2" s="3" t="s">
        <v>7</v>
      </c>
      <c r="N2" s="3" t="s">
        <v>8</v>
      </c>
      <c r="O2" s="3" t="s">
        <v>38</v>
      </c>
      <c r="P2" s="3" t="s">
        <v>5</v>
      </c>
      <c r="Q2" s="18" t="s">
        <v>40</v>
      </c>
      <c r="R2" s="18" t="s">
        <v>42</v>
      </c>
      <c r="S2" s="18" t="s">
        <v>41</v>
      </c>
    </row>
    <row r="3" spans="1:19" ht="15" customHeight="1" x14ac:dyDescent="0.35">
      <c r="A3" s="6" t="s">
        <v>22</v>
      </c>
      <c r="B3" s="5">
        <v>10</v>
      </c>
      <c r="C3" t="s">
        <v>10</v>
      </c>
      <c r="F3" s="6" t="s">
        <v>25</v>
      </c>
      <c r="G3" s="5">
        <v>-1</v>
      </c>
      <c r="H3">
        <f t="shared" ref="H3:H66" si="0">$B$3*10^G3</f>
        <v>1</v>
      </c>
      <c r="I3" t="str">
        <f>COMPLEX(0,H3*2*PI(),"j")</f>
        <v>6.28318530717959j</v>
      </c>
      <c r="J3" t="str">
        <f>IMDIV(R_1,IMSUM('Opamp and C Stray Using B'!R_1,IMPRODUCT('Opamp and C Stray Using B'!R_f,IMSUM(1,IMPRODUCT(I3,C_s,R_1)))))</f>
        <v>0.2-4.02123859659496E-09j</v>
      </c>
      <c r="K3">
        <f>20*LOG(IMABS(J3))</f>
        <v>-13.979400086720373</v>
      </c>
      <c r="L3">
        <f>DEGREES(IMARGUMENT(J3))</f>
        <v>-1.1520000000000067E-6</v>
      </c>
      <c r="M3">
        <f>IMREAL(J3)</f>
        <v>0.2</v>
      </c>
      <c r="N3">
        <f>IMAGINARY(J3)</f>
        <v>-4.0212385965949598E-9</v>
      </c>
      <c r="O3" t="str">
        <f t="shared" ref="O3:O12" si="1">IMDIV(Aolv,IMSUM(1,IMDIV(I3,wc)))</f>
        <v>990099.00990099-99009.900990099j</v>
      </c>
      <c r="P3">
        <f>20*LOG(IMABS(O3))</f>
        <v>119.95678626217357</v>
      </c>
      <c r="Q3">
        <f>DEGREES(IMARGUMENT(O3))</f>
        <v>-5.710593137499643</v>
      </c>
      <c r="R3">
        <f>P3+K3</f>
        <v>105.97738617545319</v>
      </c>
      <c r="S3">
        <f>(Q3+L3)-(-180)</f>
        <v>174.28940571050035</v>
      </c>
    </row>
    <row r="4" spans="1:19" ht="15" customHeight="1" x14ac:dyDescent="0.35">
      <c r="A4" s="6" t="s">
        <v>27</v>
      </c>
      <c r="B4" s="5">
        <v>120</v>
      </c>
      <c r="C4" t="s">
        <v>17</v>
      </c>
      <c r="G4">
        <f t="shared" ref="G4:G11" si="2">G3+(1/ppd)</f>
        <v>-0.98</v>
      </c>
      <c r="H4">
        <f t="shared" si="0"/>
        <v>1.0471285480508996</v>
      </c>
      <c r="I4" t="str">
        <f t="shared" ref="I4:I67" si="3">COMPLEX(0,H4*2*PI(),"j")</f>
        <v>6.57930270784171j</v>
      </c>
      <c r="J4" t="str">
        <f>IMDIV(R_1,IMSUM('Opamp and C Stray Using B'!R_1,IMPRODUCT('Opamp and C Stray Using B'!R_f,IMSUM(1,IMPRODUCT(I4,C_s,R_1)))))</f>
        <v>0.2-4.21075373301868E-09j</v>
      </c>
      <c r="K4">
        <f t="shared" ref="K4:K67" si="4">20*LOG(IMABS(J4))</f>
        <v>-13.979400086720373</v>
      </c>
      <c r="L4">
        <f t="shared" ref="L4:L67" si="5">DEGREES(IMARGUMENT(J4))</f>
        <v>-1.2062920873546326E-6</v>
      </c>
      <c r="M4">
        <f t="shared" ref="M4:M67" si="6">IMREAL(J4)</f>
        <v>0.2</v>
      </c>
      <c r="N4">
        <f t="shared" ref="N4:N67" si="7">IMAGINARY(J4)</f>
        <v>-4.2107537330186799E-9</v>
      </c>
      <c r="O4" t="str">
        <f t="shared" si="1"/>
        <v>989154.140522919-103577.15389643j</v>
      </c>
      <c r="P4">
        <f t="shared" ref="P4:P67" si="8">20*LOG(IMABS(O4))</f>
        <v>119.9526397325788</v>
      </c>
      <c r="Q4">
        <f t="shared" ref="Q4:Q67" si="9">DEGREES(IMARGUMENT(O4))</f>
        <v>-5.9778196640987522</v>
      </c>
      <c r="R4">
        <f t="shared" ref="R4:R67" si="10">P4+K4</f>
        <v>105.97323964585843</v>
      </c>
      <c r="S4">
        <f t="shared" ref="S4:S67" si="11">(Q4+L4)-(-180)</f>
        <v>174.02217912960916</v>
      </c>
    </row>
    <row r="5" spans="1:19" ht="15" customHeight="1" x14ac:dyDescent="0.35">
      <c r="A5" s="6" t="s">
        <v>35</v>
      </c>
      <c r="B5" s="13">
        <v>4000</v>
      </c>
      <c r="C5" t="s">
        <v>12</v>
      </c>
      <c r="G5">
        <f t="shared" si="2"/>
        <v>-0.96</v>
      </c>
      <c r="H5">
        <f t="shared" si="0"/>
        <v>1.0964781961431849</v>
      </c>
      <c r="I5" t="str">
        <f t="shared" si="3"/>
        <v>6.88937569164964j</v>
      </c>
      <c r="J5" t="str">
        <f>IMDIV(R_1,IMSUM('Opamp and C Stray Using B'!R_1,IMPRODUCT('Opamp and C Stray Using B'!R_f,IMSUM(1,IMPRODUCT(I5,C_s,R_1)))))</f>
        <v>0.2-4.40920044265576E-09j</v>
      </c>
      <c r="K5">
        <f t="shared" si="4"/>
        <v>-13.979400086720373</v>
      </c>
      <c r="L5">
        <f t="shared" si="5"/>
        <v>-1.2631428819569467E-6</v>
      </c>
      <c r="M5">
        <f t="shared" si="6"/>
        <v>0.2</v>
      </c>
      <c r="N5">
        <f t="shared" si="7"/>
        <v>-4.4092004426557597E-9</v>
      </c>
      <c r="O5" t="str">
        <f t="shared" si="1"/>
        <v>988120.182474828-108345.223525268j</v>
      </c>
      <c r="P5">
        <f t="shared" si="8"/>
        <v>119.94809769902774</v>
      </c>
      <c r="Q5">
        <f t="shared" si="9"/>
        <v>-6.2573605177506941</v>
      </c>
      <c r="R5">
        <f t="shared" si="10"/>
        <v>105.96869761230737</v>
      </c>
      <c r="S5">
        <f t="shared" si="11"/>
        <v>173.74263821910642</v>
      </c>
    </row>
    <row r="6" spans="1:19" ht="15" customHeight="1" x14ac:dyDescent="0.35">
      <c r="A6" s="6" t="s">
        <v>36</v>
      </c>
      <c r="B6" s="13">
        <v>3.9999999999999999E-12</v>
      </c>
      <c r="C6" t="s">
        <v>11</v>
      </c>
      <c r="G6">
        <f t="shared" si="2"/>
        <v>-0.94</v>
      </c>
      <c r="H6">
        <f t="shared" si="0"/>
        <v>1.148153621496883</v>
      </c>
      <c r="I6" t="str">
        <f t="shared" si="3"/>
        <v>7.21406196497425j</v>
      </c>
      <c r="J6" t="str">
        <f>IMDIV(R_1,IMSUM('Opamp and C Stray Using B'!R_1,IMPRODUCT('Opamp and C Stray Using B'!R_f,IMSUM(1,IMPRODUCT(I6,C_s,R_1)))))</f>
        <v>0.2-4.61699965758352E-09j</v>
      </c>
      <c r="K6">
        <f t="shared" si="4"/>
        <v>-13.979400086720373</v>
      </c>
      <c r="L6">
        <f t="shared" si="5"/>
        <v>-1.3226729719644094E-6</v>
      </c>
      <c r="M6">
        <f t="shared" si="6"/>
        <v>0.2</v>
      </c>
      <c r="N6">
        <f t="shared" si="7"/>
        <v>-4.6169996575835199E-9</v>
      </c>
      <c r="O6" t="str">
        <f t="shared" si="1"/>
        <v>986988.951636248-113321.493919857j</v>
      </c>
      <c r="P6">
        <f t="shared" si="8"/>
        <v>119.94312291200268</v>
      </c>
      <c r="Q6">
        <f t="shared" si="9"/>
        <v>-6.5497552930741145</v>
      </c>
      <c r="R6">
        <f t="shared" si="10"/>
        <v>105.9637228252823</v>
      </c>
      <c r="S6">
        <f t="shared" si="11"/>
        <v>173.4502433842529</v>
      </c>
    </row>
    <row r="7" spans="1:19" ht="15" customHeight="1" x14ac:dyDescent="0.25">
      <c r="A7" s="6" t="s">
        <v>34</v>
      </c>
      <c r="B7" s="13">
        <v>1000</v>
      </c>
      <c r="C7" t="s">
        <v>12</v>
      </c>
      <c r="G7">
        <f t="shared" si="2"/>
        <v>-0.91999999999999993</v>
      </c>
      <c r="H7">
        <f t="shared" si="0"/>
        <v>1.2022644346174129</v>
      </c>
      <c r="I7" t="str">
        <f t="shared" si="3"/>
        <v>7.5540502309327j</v>
      </c>
      <c r="J7" t="str">
        <f>IMDIV(R_1,IMSUM('Opamp and C Stray Using B'!R_1,IMPRODUCT('Opamp and C Stray Using B'!R_f,IMSUM(1,IMPRODUCT(I7,C_s,R_1)))))</f>
        <v>0.2-4.83459214779692E-09j</v>
      </c>
      <c r="K7">
        <f t="shared" si="4"/>
        <v>-13.979400086720373</v>
      </c>
      <c r="L7">
        <f t="shared" si="5"/>
        <v>-1.3850086286792569E-6</v>
      </c>
      <c r="M7">
        <f t="shared" si="6"/>
        <v>0.2</v>
      </c>
      <c r="N7">
        <f t="shared" si="7"/>
        <v>-4.8345921477969201E-9</v>
      </c>
      <c r="O7" t="str">
        <f t="shared" si="1"/>
        <v>985751.554983522-118513.40359255j</v>
      </c>
      <c r="P7">
        <f t="shared" si="8"/>
        <v>119.93767470827919</v>
      </c>
      <c r="Q7">
        <f t="shared" si="9"/>
        <v>-6.8555631473533358</v>
      </c>
      <c r="R7">
        <f t="shared" si="10"/>
        <v>105.95827462155881</v>
      </c>
      <c r="S7">
        <f t="shared" si="11"/>
        <v>173.14443546763803</v>
      </c>
    </row>
    <row r="8" spans="1:19" ht="15" customHeight="1" x14ac:dyDescent="0.25">
      <c r="G8">
        <f t="shared" si="2"/>
        <v>-0.89999999999999991</v>
      </c>
      <c r="H8">
        <f t="shared" si="0"/>
        <v>1.2589254117941673</v>
      </c>
      <c r="I8" t="str">
        <f t="shared" si="3"/>
        <v>7.91006165022012j</v>
      </c>
      <c r="J8" t="str">
        <f>IMDIV(R_1,IMSUM('Opamp and C Stray Using B'!R_1,IMPRODUCT('Opamp and C Stray Using B'!R_f,IMSUM(1,IMPRODUCT(I8,C_s,R_1)))))</f>
        <v>0.2-5.06243945614088E-09j</v>
      </c>
      <c r="K8">
        <f t="shared" si="4"/>
        <v>-13.979400086720373</v>
      </c>
      <c r="L8">
        <f t="shared" si="5"/>
        <v>-1.4502820743868807E-6</v>
      </c>
      <c r="M8">
        <f t="shared" si="6"/>
        <v>0.2</v>
      </c>
      <c r="N8">
        <f t="shared" si="7"/>
        <v>-5.0624394561408801E-9</v>
      </c>
      <c r="O8" t="str">
        <f t="shared" si="1"/>
        <v>984398.33775817-123928.40827317j</v>
      </c>
      <c r="P8">
        <f t="shared" si="8"/>
        <v>119.93170871687546</v>
      </c>
      <c r="Q8">
        <f t="shared" si="9"/>
        <v>-7.1753628965097134</v>
      </c>
      <c r="R8">
        <f t="shared" si="10"/>
        <v>105.95230863015509</v>
      </c>
      <c r="S8">
        <f t="shared" si="11"/>
        <v>172.82463565320822</v>
      </c>
    </row>
    <row r="9" spans="1:19" ht="15" customHeight="1" x14ac:dyDescent="0.25">
      <c r="B9" s="2" t="s">
        <v>13</v>
      </c>
      <c r="G9">
        <f t="shared" si="2"/>
        <v>-0.87999999999999989</v>
      </c>
      <c r="H9">
        <f t="shared" si="0"/>
        <v>1.318256738556407</v>
      </c>
      <c r="I9" t="str">
        <f t="shared" si="3"/>
        <v>8.2828513707881j</v>
      </c>
      <c r="J9" t="str">
        <f>IMDIV(R_1,IMSUM('Opamp and C Stray Using B'!R_1,IMPRODUCT('Opamp and C Stray Using B'!R_f,IMSUM(1,IMPRODUCT(I9,C_s,R_1)))))</f>
        <v>0.2-5.3010248773044E-09j</v>
      </c>
      <c r="K9">
        <f t="shared" si="4"/>
        <v>-13.979400086720373</v>
      </c>
      <c r="L9">
        <f t="shared" si="5"/>
        <v>-1.5186317628169855E-6</v>
      </c>
      <c r="M9">
        <f t="shared" si="6"/>
        <v>0.2</v>
      </c>
      <c r="N9">
        <f t="shared" si="7"/>
        <v>-5.3010248773044001E-9</v>
      </c>
      <c r="O9" t="str">
        <f t="shared" si="1"/>
        <v>982918.828453206-129573.936906241j</v>
      </c>
      <c r="P9">
        <f t="shared" si="8"/>
        <v>119.92517654342382</v>
      </c>
      <c r="Q9">
        <f t="shared" si="9"/>
        <v>-7.5097530040532607</v>
      </c>
      <c r="R9">
        <f t="shared" si="10"/>
        <v>105.94577645670344</v>
      </c>
      <c r="S9">
        <f t="shared" si="11"/>
        <v>172.49024547731497</v>
      </c>
    </row>
    <row r="10" spans="1:19" ht="15" customHeight="1" x14ac:dyDescent="0.35">
      <c r="A10" s="6" t="s">
        <v>27</v>
      </c>
      <c r="B10" s="11">
        <f>10^(B4/20)</f>
        <v>1000000</v>
      </c>
      <c r="C10" t="s">
        <v>14</v>
      </c>
      <c r="G10">
        <f t="shared" si="2"/>
        <v>-0.85999999999999988</v>
      </c>
      <c r="H10">
        <f t="shared" si="0"/>
        <v>1.380384264602885</v>
      </c>
      <c r="I10" t="str">
        <f t="shared" si="3"/>
        <v>8.67321012961474j</v>
      </c>
      <c r="J10" t="str">
        <f>IMDIV(R_1,IMSUM('Opamp and C Stray Using B'!R_1,IMPRODUCT('Opamp and C Stray Using B'!R_f,IMSUM(1,IMPRODUCT(I10,C_s,R_1)))))</f>
        <v>0.2-5.55085448295344E-09j</v>
      </c>
      <c r="K10">
        <f t="shared" si="4"/>
        <v>-13.979400086720373</v>
      </c>
      <c r="L10">
        <f t="shared" si="5"/>
        <v>-1.5902026728225238E-6</v>
      </c>
      <c r="M10">
        <f t="shared" si="6"/>
        <v>0.2</v>
      </c>
      <c r="N10">
        <f t="shared" si="7"/>
        <v>-5.5508544829534399E-9</v>
      </c>
      <c r="O10" t="str">
        <f t="shared" si="1"/>
        <v>981301.681926184-135457.340055924j</v>
      </c>
      <c r="P10">
        <f t="shared" si="8"/>
        <v>119.91802543215003</v>
      </c>
      <c r="Q10">
        <f t="shared" si="9"/>
        <v>-7.8593514441058181</v>
      </c>
      <c r="R10">
        <f t="shared" si="10"/>
        <v>105.93862534542966</v>
      </c>
      <c r="S10">
        <f t="shared" si="11"/>
        <v>172.1406469656915</v>
      </c>
    </row>
    <row r="11" spans="1:19" ht="15" customHeight="1" x14ac:dyDescent="0.35">
      <c r="A11" s="6" t="s">
        <v>23</v>
      </c>
      <c r="B11" s="11">
        <f>2*PI()*B3</f>
        <v>62.831853071795862</v>
      </c>
      <c r="C11" t="s">
        <v>15</v>
      </c>
      <c r="G11">
        <f t="shared" si="2"/>
        <v>-0.83999999999999986</v>
      </c>
      <c r="H11">
        <f t="shared" si="0"/>
        <v>1.4454397707459279</v>
      </c>
      <c r="I11" t="str">
        <f t="shared" si="3"/>
        <v>9.08196592996384j</v>
      </c>
      <c r="J11" t="str">
        <f>IMDIV(R_1,IMSUM('Opamp and C Stray Using B'!R_1,IMPRODUCT('Opamp and C Stray Using B'!R_f,IMSUM(1,IMPRODUCT(I11,C_s,R_1)))))</f>
        <v>0.2-5.81245819517687E-09j</v>
      </c>
      <c r="K11">
        <f t="shared" si="4"/>
        <v>-13.979400086720373</v>
      </c>
      <c r="L11">
        <f t="shared" si="5"/>
        <v>-1.6651466158993114E-6</v>
      </c>
      <c r="M11">
        <f t="shared" si="6"/>
        <v>0.2</v>
      </c>
      <c r="N11">
        <f t="shared" si="7"/>
        <v>-5.8124581951768702E-9</v>
      </c>
      <c r="O11" t="str">
        <f t="shared" si="1"/>
        <v>979534.62106178-141585.829810524j</v>
      </c>
      <c r="P11">
        <f t="shared" si="8"/>
        <v>119.91019790479169</v>
      </c>
      <c r="Q11">
        <f t="shared" si="9"/>
        <v>-8.2247954172798181</v>
      </c>
      <c r="R11">
        <f t="shared" si="10"/>
        <v>105.93079781807131</v>
      </c>
      <c r="S11">
        <f t="shared" si="11"/>
        <v>171.77520291757355</v>
      </c>
    </row>
    <row r="12" spans="1:19" ht="15" customHeight="1" x14ac:dyDescent="0.25">
      <c r="A12" s="6" t="s">
        <v>44</v>
      </c>
      <c r="B12" s="20">
        <f>1/(2*PI()*((R_f*R_1)/(R_f+R_1))*C_s)</f>
        <v>49735919.716217287</v>
      </c>
      <c r="C12" s="8" t="s">
        <v>10</v>
      </c>
      <c r="G12">
        <f t="shared" ref="G12" si="12">G11+(1/ppd)</f>
        <v>-0.81999999999999984</v>
      </c>
      <c r="H12">
        <f t="shared" si="0"/>
        <v>1.5135612484362084</v>
      </c>
      <c r="I12" t="str">
        <f t="shared" si="3"/>
        <v>9.50998579769078j</v>
      </c>
      <c r="J12" t="str">
        <f>IMDIV(R_1,IMSUM('Opamp and C Stray Using B'!R_1,IMPRODUCT('Opamp and C Stray Using B'!R_f,IMSUM(1,IMPRODUCT(I12,C_s,R_1)))))</f>
        <v>0.2-6.08639091052207E-09j</v>
      </c>
      <c r="K12">
        <f t="shared" si="4"/>
        <v>-13.979400086720373</v>
      </c>
      <c r="L12">
        <f t="shared" si="5"/>
        <v>-1.7436225581985041E-6</v>
      </c>
      <c r="M12">
        <f t="shared" si="6"/>
        <v>0.2</v>
      </c>
      <c r="N12">
        <f t="shared" si="7"/>
        <v>-6.0863909105220703E-9</v>
      </c>
      <c r="O12" t="str">
        <f t="shared" si="1"/>
        <v>977604.377542829-147966.410215043j</v>
      </c>
      <c r="P12">
        <f t="shared" si="8"/>
        <v>119.90163137598191</v>
      </c>
      <c r="Q12">
        <f t="shared" si="9"/>
        <v>-8.6067408957140668</v>
      </c>
      <c r="R12">
        <f t="shared" si="10"/>
        <v>105.92223128926153</v>
      </c>
      <c r="S12">
        <f t="shared" si="11"/>
        <v>171.39325736066337</v>
      </c>
    </row>
    <row r="13" spans="1:19" ht="15" customHeight="1" x14ac:dyDescent="0.25">
      <c r="A13" s="6" t="s">
        <v>29</v>
      </c>
      <c r="B13" s="16" cm="1">
        <f t="array" ref="B13">INDEX(R4:R353,MATCH(MIN(ABS(R4:R353)),ABS(R4:R353),0))</f>
        <v>1.3616065382061393E-2</v>
      </c>
      <c r="C13" s="8" t="s">
        <v>17</v>
      </c>
      <c r="G13">
        <f t="shared" ref="G13:G67" si="13">G12+(1/ppd)</f>
        <v>-0.79999999999999982</v>
      </c>
      <c r="H13">
        <f t="shared" si="0"/>
        <v>1.584893192461114</v>
      </c>
      <c r="I13" t="str">
        <f t="shared" si="3"/>
        <v>9.95817762032062j</v>
      </c>
      <c r="J13" t="str">
        <f>IMDIV(R_1,IMSUM('Opamp and C Stray Using B'!R_1,IMPRODUCT('Opamp and C Stray Using B'!R_f,IMSUM(1,IMPRODUCT(I13,C_s,R_1)))))</f>
        <v>0.2-6.37323367700519E-09j</v>
      </c>
      <c r="K13">
        <f t="shared" si="4"/>
        <v>-13.979400086720373</v>
      </c>
      <c r="L13">
        <f t="shared" si="5"/>
        <v>-1.8257969577152006E-6</v>
      </c>
      <c r="M13">
        <f t="shared" si="6"/>
        <v>0.2</v>
      </c>
      <c r="N13">
        <f t="shared" si="7"/>
        <v>-6.3732336770051899E-9</v>
      </c>
      <c r="O13" t="str">
        <f t="shared" ref="O13:O66" si="14">IMDIV(Aolv,IMSUM(1,IMDIV(I13,wc)))</f>
        <v>975496.632449664-154605.797203821j</v>
      </c>
      <c r="P13">
        <f t="shared" si="8"/>
        <v>119.89225774488042</v>
      </c>
      <c r="Q13">
        <f t="shared" si="9"/>
        <v>-9.0058619709314893</v>
      </c>
      <c r="R13">
        <f t="shared" si="10"/>
        <v>105.91285765816005</v>
      </c>
      <c r="S13">
        <f t="shared" si="11"/>
        <v>170.99413620327155</v>
      </c>
    </row>
    <row r="14" spans="1:19" ht="15" customHeight="1" x14ac:dyDescent="0.25">
      <c r="A14" s="6" t="s">
        <v>18</v>
      </c>
      <c r="B14" s="19">
        <f>_xlfn.XLOOKUP(B13,R4:R353,H4:H353)</f>
        <v>1995262.3149687715</v>
      </c>
      <c r="C14" s="8" t="s">
        <v>10</v>
      </c>
      <c r="G14">
        <f t="shared" si="13"/>
        <v>-0.7799999999999998</v>
      </c>
      <c r="H14">
        <f t="shared" si="0"/>
        <v>1.6595869074375613</v>
      </c>
      <c r="I14" t="str">
        <f t="shared" si="3"/>
        <v>10.4274920727993j</v>
      </c>
      <c r="J14" t="str">
        <f>IMDIV(R_1,IMSUM('Opamp and C Stray Using B'!R_1,IMPRODUCT('Opamp and C Stray Using B'!R_f,IMSUM(1,IMPRODUCT(I14,C_s,R_1)))))</f>
        <v>0.2-6.67359492659155E-09j</v>
      </c>
      <c r="K14">
        <f t="shared" si="4"/>
        <v>-13.979400086720373</v>
      </c>
      <c r="L14">
        <f t="shared" si="5"/>
        <v>-1.9118441173680704E-6</v>
      </c>
      <c r="M14">
        <f t="shared" si="6"/>
        <v>0.2</v>
      </c>
      <c r="N14">
        <f t="shared" si="7"/>
        <v>-6.6735949265915503E-9</v>
      </c>
      <c r="O14" t="str">
        <f t="shared" si="14"/>
        <v>973195.95759616-161510.326959775j</v>
      </c>
      <c r="P14">
        <f t="shared" si="8"/>
        <v>119.88200296315782</v>
      </c>
      <c r="Q14">
        <f t="shared" si="9"/>
        <v>-9.4228499754044535</v>
      </c>
      <c r="R14">
        <f t="shared" si="10"/>
        <v>105.90260287643744</v>
      </c>
      <c r="S14">
        <f t="shared" si="11"/>
        <v>170.57714811275142</v>
      </c>
    </row>
    <row r="15" spans="1:19" ht="15" customHeight="1" x14ac:dyDescent="0.25">
      <c r="A15" s="14" t="s">
        <v>20</v>
      </c>
      <c r="B15" s="17">
        <f>_xlfn.XLOOKUP(B13,R4:R353,S4:S353)</f>
        <v>87.702976862002657</v>
      </c>
      <c r="C15" s="7" t="s">
        <v>21</v>
      </c>
      <c r="G15">
        <f t="shared" si="13"/>
        <v>-0.75999999999999979</v>
      </c>
      <c r="H15">
        <f t="shared" si="0"/>
        <v>1.7378008287493762</v>
      </c>
      <c r="I15" t="str">
        <f t="shared" si="3"/>
        <v>10.9189246340026j</v>
      </c>
      <c r="J15" t="str">
        <f>IMDIV(R_1,IMSUM('Opamp and C Stray Using B'!R_1,IMPRODUCT('Opamp and C Stray Using B'!R_f,IMSUM(1,IMPRODUCT(I15,C_s,R_1)))))</f>
        <v>0.2-6.98811176576167E-09j</v>
      </c>
      <c r="K15">
        <f t="shared" si="4"/>
        <v>-13.979400086720373</v>
      </c>
      <c r="L15">
        <f t="shared" si="5"/>
        <v>-2.0019465547192842E-6</v>
      </c>
      <c r="M15">
        <f t="shared" si="6"/>
        <v>0.2</v>
      </c>
      <c r="N15">
        <f t="shared" si="7"/>
        <v>-6.9881117657616696E-9</v>
      </c>
      <c r="O15" t="str">
        <f t="shared" si="14"/>
        <v>970685.758729549-168685.851597543j</v>
      </c>
      <c r="P15">
        <f t="shared" si="8"/>
        <v>119.8707865798454</v>
      </c>
      <c r="Q15">
        <f t="shared" si="9"/>
        <v>-9.8584123458402946</v>
      </c>
      <c r="R15">
        <f t="shared" si="10"/>
        <v>105.89138649312503</v>
      </c>
      <c r="S15">
        <f t="shared" si="11"/>
        <v>170.14158565221314</v>
      </c>
    </row>
    <row r="16" spans="1:19" ht="15" customHeight="1" x14ac:dyDescent="0.25">
      <c r="A16" s="14"/>
      <c r="C16" s="7"/>
      <c r="G16">
        <f t="shared" si="13"/>
        <v>-0.73999999999999977</v>
      </c>
      <c r="H16">
        <f t="shared" si="0"/>
        <v>1.8197008586099841</v>
      </c>
      <c r="I16" t="str">
        <f t="shared" si="3"/>
        <v>11.4335176982803j</v>
      </c>
      <c r="J16" t="str">
        <f>IMDIV(R_1,IMSUM('Opamp and C Stray Using B'!R_1,IMPRODUCT('Opamp and C Stray Using B'!R_f,IMSUM(1,IMPRODUCT(I16,C_s,R_1)))))</f>
        <v>0.2-7.31745132689939E-09j</v>
      </c>
      <c r="K16">
        <f t="shared" si="4"/>
        <v>-13.979400086720371</v>
      </c>
      <c r="L16">
        <f t="shared" si="5"/>
        <v>-2.0962953891186946E-6</v>
      </c>
      <c r="M16">
        <f t="shared" si="6"/>
        <v>0.2</v>
      </c>
      <c r="N16">
        <f t="shared" si="7"/>
        <v>-7.3174513268993901E-9</v>
      </c>
      <c r="O16" t="str">
        <f t="shared" si="14"/>
        <v>967948.221972129-176137.621061269j</v>
      </c>
      <c r="P16">
        <f t="shared" si="8"/>
        <v>119.85852126406309</v>
      </c>
      <c r="Q16">
        <f t="shared" si="9"/>
        <v>-10.313271193276307</v>
      </c>
      <c r="R16">
        <f t="shared" si="10"/>
        <v>105.87912117734271</v>
      </c>
      <c r="S16">
        <f t="shared" si="11"/>
        <v>169.6867267104283</v>
      </c>
    </row>
    <row r="17" spans="1:19" ht="15" customHeight="1" x14ac:dyDescent="0.25">
      <c r="A17" s="6"/>
      <c r="C17" s="8"/>
      <c r="G17">
        <f t="shared" si="13"/>
        <v>-0.71999999999999975</v>
      </c>
      <c r="H17">
        <f t="shared" si="0"/>
        <v>1.9054607179632479</v>
      </c>
      <c r="I17" t="str">
        <f t="shared" si="3"/>
        <v>11.9723627865145j</v>
      </c>
      <c r="J17" t="str">
        <f>IMDIV(R_1,IMSUM('Opamp and C Stray Using B'!R_1,IMPRODUCT('Opamp and C Stray Using B'!R_f,IMSUM(1,IMPRODUCT(I17,C_s,R_1)))))</f>
        <v>0.2-7.66231218336927E-09j</v>
      </c>
      <c r="K17">
        <f t="shared" si="4"/>
        <v>-13.979400086720368</v>
      </c>
      <c r="L17">
        <f t="shared" si="5"/>
        <v>-2.1950907470936492E-6</v>
      </c>
      <c r="M17">
        <f t="shared" si="6"/>
        <v>0.2</v>
      </c>
      <c r="N17">
        <f t="shared" si="7"/>
        <v>-7.6623121833692704E-9</v>
      </c>
      <c r="O17" t="str">
        <f t="shared" si="14"/>
        <v>964964.265168014-183870.150151591j</v>
      </c>
      <c r="P17">
        <f t="shared" si="8"/>
        <v>119.84511230724415</v>
      </c>
      <c r="Q17">
        <f t="shared" si="9"/>
        <v>-10.788161542168142</v>
      </c>
      <c r="R17">
        <f t="shared" si="10"/>
        <v>105.86571222052379</v>
      </c>
      <c r="S17">
        <f t="shared" si="11"/>
        <v>169.21183626274112</v>
      </c>
    </row>
    <row r="18" spans="1:19" ht="15" customHeight="1" x14ac:dyDescent="0.25">
      <c r="A18" s="6"/>
      <c r="C18" s="8"/>
      <c r="G18">
        <f t="shared" si="13"/>
        <v>-0.69999999999999973</v>
      </c>
      <c r="H18">
        <f t="shared" si="0"/>
        <v>1.9952623149688806</v>
      </c>
      <c r="I18" t="str">
        <f t="shared" si="3"/>
        <v>12.5366028613816j</v>
      </c>
      <c r="J18" t="str">
        <f>IMDIV(R_1,IMSUM('Opamp and C Stray Using B'!R_1,IMPRODUCT('Opamp and C Stray Using B'!R_f,IMSUM(1,IMPRODUCT(I18,C_s,R_1)))))</f>
        <v>0.2-8.02342583128423E-09j</v>
      </c>
      <c r="K18">
        <f t="shared" si="4"/>
        <v>-13.979400086720368</v>
      </c>
      <c r="L18">
        <f t="shared" si="5"/>
        <v>-2.2985421868441514E-6</v>
      </c>
      <c r="M18">
        <f t="shared" si="6"/>
        <v>0.2</v>
      </c>
      <c r="N18">
        <f t="shared" si="7"/>
        <v>-8.0234258312842307E-9</v>
      </c>
      <c r="O18" t="str">
        <f t="shared" si="14"/>
        <v>961713.496117745-191887.069660071j</v>
      </c>
      <c r="P18">
        <f t="shared" si="8"/>
        <v>119.83045710720467</v>
      </c>
      <c r="Q18">
        <f t="shared" si="9"/>
        <v>-11.283829197867838</v>
      </c>
      <c r="R18">
        <f t="shared" si="10"/>
        <v>105.85105702048429</v>
      </c>
      <c r="S18">
        <f t="shared" si="11"/>
        <v>168.71616850358998</v>
      </c>
    </row>
    <row r="19" spans="1:19" ht="15" customHeight="1" x14ac:dyDescent="0.25">
      <c r="G19">
        <f t="shared" si="13"/>
        <v>-0.67999999999999972</v>
      </c>
      <c r="H19">
        <f t="shared" si="0"/>
        <v>2.0892961308540405</v>
      </c>
      <c r="I19" t="str">
        <f t="shared" si="3"/>
        <v>13.1274347517293j</v>
      </c>
      <c r="J19" t="str">
        <f>IMDIV(R_1,IMSUM('Opamp and C Stray Using B'!R_1,IMPRODUCT('Opamp and C Stray Using B'!R_f,IMSUM(1,IMPRODUCT(I19,C_s,R_1)))))</f>
        <v>0.2-8.40155824110675E-09j</v>
      </c>
      <c r="K19">
        <f t="shared" si="4"/>
        <v>-13.979400086720368</v>
      </c>
      <c r="L19">
        <f t="shared" si="5"/>
        <v>-2.4068691427438587E-6</v>
      </c>
      <c r="M19">
        <f t="shared" si="6"/>
        <v>0.2</v>
      </c>
      <c r="N19">
        <f t="shared" si="7"/>
        <v>-8.40155824110675E-9</v>
      </c>
      <c r="O19" t="str">
        <f t="shared" si="14"/>
        <v>958174.18003701-200190.960703558j</v>
      </c>
      <c r="P19">
        <f t="shared" si="8"/>
        <v>119.81444463726747</v>
      </c>
      <c r="Q19">
        <f t="shared" si="9"/>
        <v>-11.801028199327847</v>
      </c>
      <c r="R19">
        <f t="shared" si="10"/>
        <v>105.83504455054711</v>
      </c>
      <c r="S19">
        <f t="shared" si="11"/>
        <v>168.198969393803</v>
      </c>
    </row>
    <row r="20" spans="1:19" x14ac:dyDescent="0.25">
      <c r="A20" s="8"/>
      <c r="G20">
        <f t="shared" si="13"/>
        <v>-0.6599999999999997</v>
      </c>
      <c r="H20">
        <f t="shared" si="0"/>
        <v>2.1877616239495539</v>
      </c>
      <c r="I20" t="str">
        <f t="shared" si="3"/>
        <v>13.7461116912112j</v>
      </c>
      <c r="J20" t="str">
        <f>IMDIV(R_1,IMSUM('Opamp and C Stray Using B'!R_1,IMPRODUCT('Opamp and C Stray Using B'!R_f,IMSUM(1,IMPRODUCT(I20,C_s,R_1)))))</f>
        <v>0.2-8.79751148237514E-09j</v>
      </c>
      <c r="K20">
        <f t="shared" si="4"/>
        <v>-13.979400086720368</v>
      </c>
      <c r="L20">
        <f t="shared" si="5"/>
        <v>-2.5203013907898785E-6</v>
      </c>
      <c r="M20">
        <f t="shared" si="6"/>
        <v>0.2</v>
      </c>
      <c r="N20">
        <f t="shared" si="7"/>
        <v>-8.7975114823751405E-9</v>
      </c>
      <c r="O20" t="str">
        <f t="shared" si="14"/>
        <v>954323.218960337-208783.171528544j</v>
      </c>
      <c r="P20">
        <f t="shared" si="8"/>
        <v>119.79695490466108</v>
      </c>
      <c r="Q20">
        <f t="shared" si="9"/>
        <v>-12.340517811694946</v>
      </c>
      <c r="R20">
        <f t="shared" si="10"/>
        <v>105.8175548179407</v>
      </c>
      <c r="S20">
        <f t="shared" si="11"/>
        <v>167.65947966800366</v>
      </c>
    </row>
    <row r="21" spans="1:19" x14ac:dyDescent="0.25">
      <c r="A21" s="8"/>
      <c r="G21">
        <f t="shared" si="13"/>
        <v>-0.63999999999999968</v>
      </c>
      <c r="H21">
        <f t="shared" si="0"/>
        <v>2.2908676527677745</v>
      </c>
      <c r="I21" t="str">
        <f t="shared" si="3"/>
        <v>14.3939459765635j</v>
      </c>
      <c r="J21" t="str">
        <f>IMDIV(R_1,IMSUM('Opamp and C Stray Using B'!R_1,IMPRODUCT('Opamp and C Stray Using B'!R_f,IMSUM(1,IMPRODUCT(I21,C_s,R_1)))))</f>
        <v>0.2-9.21212542500062E-09j</v>
      </c>
      <c r="K21">
        <f t="shared" si="4"/>
        <v>-13.979400086720366</v>
      </c>
      <c r="L21">
        <f t="shared" si="5"/>
        <v>-2.6390795359884742E-6</v>
      </c>
      <c r="M21">
        <f t="shared" si="6"/>
        <v>0.2</v>
      </c>
      <c r="N21">
        <f t="shared" si="7"/>
        <v>-9.2121254250006195E-9</v>
      </c>
      <c r="O21" t="str">
        <f t="shared" si="14"/>
        <v>950136.146221023-217663.616310318j</v>
      </c>
      <c r="P21">
        <f t="shared" si="8"/>
        <v>119.77785840358415</v>
      </c>
      <c r="Q21">
        <f t="shared" si="9"/>
        <v>-12.903059011845798</v>
      </c>
      <c r="R21">
        <f t="shared" si="10"/>
        <v>105.79845831686379</v>
      </c>
      <c r="S21">
        <f t="shared" si="11"/>
        <v>167.09693834907466</v>
      </c>
    </row>
    <row r="22" spans="1:19" x14ac:dyDescent="0.25">
      <c r="G22">
        <f t="shared" si="13"/>
        <v>-0.61999999999999966</v>
      </c>
      <c r="H22">
        <f t="shared" si="0"/>
        <v>2.3988329190194917</v>
      </c>
      <c r="I22" t="str">
        <f t="shared" si="3"/>
        <v>15.072311751162j</v>
      </c>
      <c r="J22" t="str">
        <f>IMDIV(R_1,IMSUM('Opamp and C Stray Using B'!R_1,IMPRODUCT('Opamp and C Stray Using B'!R_f,IMSUM(1,IMPRODUCT(I22,C_s,R_1)))))</f>
        <v>0.2-9.64627952074366E-09j</v>
      </c>
      <c r="K22">
        <f t="shared" si="4"/>
        <v>-13.979400086720366</v>
      </c>
      <c r="L22">
        <f t="shared" si="5"/>
        <v>-2.7634555227104486E-6</v>
      </c>
      <c r="M22">
        <f t="shared" si="6"/>
        <v>0.2</v>
      </c>
      <c r="N22">
        <f t="shared" si="7"/>
        <v>-9.6462795207436604E-9</v>
      </c>
      <c r="O22" t="str">
        <f t="shared" si="14"/>
        <v>945587.139566125-226830.55581927j</v>
      </c>
      <c r="P22">
        <f t="shared" si="8"/>
        <v>119.75701556966277</v>
      </c>
      <c r="Q22">
        <f t="shared" si="9"/>
        <v>-13.489410419100313</v>
      </c>
      <c r="R22">
        <f t="shared" si="10"/>
        <v>105.77761548294241</v>
      </c>
      <c r="S22">
        <f t="shared" si="11"/>
        <v>166.51058681744416</v>
      </c>
    </row>
    <row r="23" spans="1:19" x14ac:dyDescent="0.25">
      <c r="A23" s="6"/>
      <c r="G23">
        <f t="shared" si="13"/>
        <v>-0.59999999999999964</v>
      </c>
      <c r="H23">
        <f t="shared" si="0"/>
        <v>2.5118864315095819</v>
      </c>
      <c r="I23" t="str">
        <f t="shared" si="3"/>
        <v>15.7826479197648j</v>
      </c>
      <c r="J23" t="str">
        <f>IMDIV(R_1,IMSUM('Opamp and C Stray Using B'!R_1,IMPRODUCT('Opamp and C Stray Using B'!R_f,IMSUM(1,IMPRODUCT(I23,C_s,R_1)))))</f>
        <v>0.199999999999999-1.01008946686495E-08j</v>
      </c>
      <c r="K23">
        <f t="shared" si="4"/>
        <v>-13.979400086720407</v>
      </c>
      <c r="L23">
        <f t="shared" si="5"/>
        <v>-2.8936931690990639E-6</v>
      </c>
      <c r="M23">
        <f t="shared" si="6"/>
        <v>0.19999999999999901</v>
      </c>
      <c r="N23">
        <f t="shared" si="7"/>
        <v>-1.0100894668649499E-8</v>
      </c>
      <c r="O23" t="str">
        <f t="shared" si="14"/>
        <v>940649.056897232-236280.360283245j</v>
      </c>
      <c r="P23">
        <f t="shared" si="8"/>
        <v>119.73427624403897</v>
      </c>
      <c r="Q23">
        <f t="shared" si="9"/>
        <v>-14.100323623589263</v>
      </c>
      <c r="R23">
        <f t="shared" si="10"/>
        <v>105.75487615731856</v>
      </c>
      <c r="S23">
        <f t="shared" si="11"/>
        <v>165.89967348271756</v>
      </c>
    </row>
    <row r="24" spans="1:19" x14ac:dyDescent="0.25">
      <c r="A24" s="6"/>
      <c r="G24">
        <f t="shared" si="13"/>
        <v>-0.57999999999999963</v>
      </c>
      <c r="H24">
        <f t="shared" si="0"/>
        <v>2.6302679918953835</v>
      </c>
      <c r="I24" t="str">
        <f t="shared" si="3"/>
        <v>16.5264612006218j</v>
      </c>
      <c r="J24" t="str">
        <f>IMDIV(R_1,IMSUM('Opamp and C Stray Using B'!R_1,IMPRODUCT('Opamp and C Stray Using B'!R_f,IMSUM(1,IMPRODUCT(I24,C_s,R_1)))))</f>
        <v>0.199999999999999-1.05769351683979E-08j</v>
      </c>
      <c r="K24">
        <f t="shared" si="4"/>
        <v>-13.979400086720407</v>
      </c>
      <c r="L24">
        <f t="shared" si="5"/>
        <v>-3.030068726663474E-6</v>
      </c>
      <c r="M24">
        <f t="shared" si="6"/>
        <v>0.19999999999999901</v>
      </c>
      <c r="N24">
        <f t="shared" si="7"/>
        <v>-1.0576935168397901E-8</v>
      </c>
      <c r="O24" t="str">
        <f t="shared" si="14"/>
        <v>935293.499046078-246007.255356873j</v>
      </c>
      <c r="P24">
        <f t="shared" si="8"/>
        <v>119.70947915700896</v>
      </c>
      <c r="Q24">
        <f t="shared" si="9"/>
        <v>-14.736537866356848</v>
      </c>
      <c r="R24">
        <f t="shared" si="10"/>
        <v>105.73007907028855</v>
      </c>
      <c r="S24">
        <f t="shared" si="11"/>
        <v>165.26345910357443</v>
      </c>
    </row>
    <row r="25" spans="1:19" x14ac:dyDescent="0.25">
      <c r="A25" s="6"/>
      <c r="G25">
        <f t="shared" si="13"/>
        <v>-0.55999999999999961</v>
      </c>
      <c r="H25">
        <f t="shared" si="0"/>
        <v>2.7542287033381685</v>
      </c>
      <c r="I25" t="str">
        <f t="shared" si="3"/>
        <v>17.3053293214267j</v>
      </c>
      <c r="J25" t="str">
        <f>IMDIV(R_1,IMSUM('Opamp and C Stray Using B'!R_1,IMPRODUCT('Opamp and C Stray Using B'!R_f,IMSUM(1,IMPRODUCT(I25,C_s,R_1)))))</f>
        <v>0.199999999999999-1.1075410765713E-08j</v>
      </c>
      <c r="K25">
        <f t="shared" si="4"/>
        <v>-13.979400086720407</v>
      </c>
      <c r="L25">
        <f t="shared" si="5"/>
        <v>-3.1728714662455639E-6</v>
      </c>
      <c r="M25">
        <f t="shared" si="6"/>
        <v>0.19999999999999901</v>
      </c>
      <c r="N25">
        <f t="shared" si="7"/>
        <v>-1.1075410765713E-8</v>
      </c>
      <c r="O25" t="str">
        <f t="shared" si="14"/>
        <v>929490.90437477-256003.052832075j</v>
      </c>
      <c r="P25">
        <f t="shared" si="8"/>
        <v>119.68245144297079</v>
      </c>
      <c r="Q25">
        <f t="shared" si="9"/>
        <v>-15.398774028607072</v>
      </c>
      <c r="R25">
        <f t="shared" si="10"/>
        <v>105.70305135625038</v>
      </c>
      <c r="S25">
        <f t="shared" si="11"/>
        <v>164.60122279852146</v>
      </c>
    </row>
    <row r="26" spans="1:19" x14ac:dyDescent="0.25">
      <c r="A26" s="6"/>
      <c r="G26">
        <f t="shared" si="13"/>
        <v>-0.53999999999999959</v>
      </c>
      <c r="H26">
        <f t="shared" si="0"/>
        <v>2.8840315031266077</v>
      </c>
      <c r="I26" t="str">
        <f t="shared" si="3"/>
        <v>18.1209043658882j</v>
      </c>
      <c r="J26" t="str">
        <f>IMDIV(R_1,IMSUM('Opamp and C Stray Using B'!R_1,IMPRODUCT('Opamp and C Stray Using B'!R_f,IMSUM(1,IMPRODUCT(I26,C_s,R_1)))))</f>
        <v>0.199999999999999-1.15973787941684E-08j</v>
      </c>
      <c r="K26">
        <f t="shared" si="4"/>
        <v>-13.979400086720403</v>
      </c>
      <c r="L26">
        <f t="shared" si="5"/>
        <v>-3.3224042916018581E-6</v>
      </c>
      <c r="M26">
        <f t="shared" si="6"/>
        <v>0.19999999999999901</v>
      </c>
      <c r="N26">
        <f t="shared" si="7"/>
        <v>-1.1597378794168399E-8</v>
      </c>
      <c r="O26" t="str">
        <f t="shared" si="14"/>
        <v>923210.6803029-266256.868601651j</v>
      </c>
      <c r="P26">
        <f t="shared" si="8"/>
        <v>119.65300820042359</v>
      </c>
      <c r="Q26">
        <f t="shared" si="9"/>
        <v>-16.087727892932879</v>
      </c>
      <c r="R26">
        <f t="shared" si="10"/>
        <v>105.67360811370318</v>
      </c>
      <c r="S26">
        <f t="shared" si="11"/>
        <v>163.91226878466284</v>
      </c>
    </row>
    <row r="27" spans="1:19" x14ac:dyDescent="0.25">
      <c r="A27" s="6"/>
      <c r="G27">
        <f t="shared" si="13"/>
        <v>-0.51999999999999957</v>
      </c>
      <c r="H27">
        <f t="shared" si="0"/>
        <v>3.0199517204020192</v>
      </c>
      <c r="I27" t="str">
        <f t="shared" si="3"/>
        <v>18.9749162780217j</v>
      </c>
      <c r="J27" t="str">
        <f>IMDIV(R_1,IMSUM('Opamp and C Stray Using B'!R_1,IMPRODUCT('Opamp and C Stray Using B'!R_f,IMSUM(1,IMPRODUCT(I27,C_s,R_1)))))</f>
        <v>0.199999999999999-1.21439464179338E-08j</v>
      </c>
      <c r="K27">
        <f t="shared" si="4"/>
        <v>-13.979400086720403</v>
      </c>
      <c r="L27">
        <f t="shared" si="5"/>
        <v>-3.4789843819031172E-6</v>
      </c>
      <c r="M27">
        <f t="shared" si="6"/>
        <v>0.19999999999999901</v>
      </c>
      <c r="N27">
        <f t="shared" si="7"/>
        <v>-1.2143946417933801E-8</v>
      </c>
      <c r="O27" t="str">
        <f t="shared" si="14"/>
        <v>916421.377069513-276754.831429427j</v>
      </c>
      <c r="P27">
        <f t="shared" si="8"/>
        <v>119.62095211284543</v>
      </c>
      <c r="Q27">
        <f t="shared" si="9"/>
        <v>-16.804062647338601</v>
      </c>
      <c r="R27">
        <f t="shared" si="10"/>
        <v>105.64155202612503</v>
      </c>
      <c r="S27">
        <f t="shared" si="11"/>
        <v>163.19593387367701</v>
      </c>
    </row>
    <row r="28" spans="1:19" x14ac:dyDescent="0.25">
      <c r="A28" s="6"/>
      <c r="G28">
        <f t="shared" si="13"/>
        <v>-0.49999999999999956</v>
      </c>
      <c r="H28">
        <f t="shared" si="0"/>
        <v>3.1622776601683826</v>
      </c>
      <c r="I28" t="str">
        <f t="shared" si="3"/>
        <v>19.8691765315922j</v>
      </c>
      <c r="J28" t="str">
        <f>IMDIV(R_1,IMSUM('Opamp and C Stray Using B'!R_1,IMPRODUCT('Opamp and C Stray Using B'!R_f,IMSUM(1,IMPRODUCT(I28,C_s,R_1)))))</f>
        <v>0.199999999999999-1.2716272980219E-08j</v>
      </c>
      <c r="K28">
        <f t="shared" si="4"/>
        <v>-13.979400086720402</v>
      </c>
      <c r="L28">
        <f t="shared" si="5"/>
        <v>-3.642943864513984E-6</v>
      </c>
      <c r="M28">
        <f t="shared" si="6"/>
        <v>0.19999999999999901</v>
      </c>
      <c r="N28">
        <f t="shared" si="7"/>
        <v>-1.2716272980219E-8</v>
      </c>
      <c r="O28" t="str">
        <f t="shared" si="14"/>
        <v>909090.909090909-287479.787288035j</v>
      </c>
      <c r="P28">
        <f t="shared" si="8"/>
        <v>119.58607314841774</v>
      </c>
      <c r="Q28">
        <f t="shared" si="9"/>
        <v>-17.548400613792332</v>
      </c>
      <c r="R28">
        <f t="shared" si="10"/>
        <v>105.60667306169734</v>
      </c>
      <c r="S28">
        <f t="shared" si="11"/>
        <v>162.45159574326379</v>
      </c>
    </row>
    <row r="29" spans="1:19" x14ac:dyDescent="0.25">
      <c r="D29" s="9"/>
      <c r="G29">
        <f t="shared" si="13"/>
        <v>-0.47999999999999954</v>
      </c>
      <c r="H29">
        <f t="shared" si="0"/>
        <v>3.3113112148259143</v>
      </c>
      <c r="I29" t="str">
        <f t="shared" si="3"/>
        <v>20.8055819724932j</v>
      </c>
      <c r="J29" t="str">
        <f>IMDIV(R_1,IMSUM('Opamp and C Stray Using B'!R_1,IMPRODUCT('Opamp and C Stray Using B'!R_f,IMSUM(1,IMPRODUCT(I29,C_s,R_1)))))</f>
        <v>0.199999999999999-1.33155724623956E-08j</v>
      </c>
      <c r="K29">
        <f t="shared" si="4"/>
        <v>-13.9794000867204</v>
      </c>
      <c r="L29">
        <f t="shared" si="5"/>
        <v>-3.8146305194794576E-6</v>
      </c>
      <c r="M29">
        <f t="shared" si="6"/>
        <v>0.19999999999999901</v>
      </c>
      <c r="N29">
        <f t="shared" si="7"/>
        <v>-1.3315572462395599E-8</v>
      </c>
      <c r="O29" t="str">
        <f t="shared" si="14"/>
        <v>901186.829121667-298411.005392399j</v>
      </c>
      <c r="P29">
        <f t="shared" si="8"/>
        <v>119.54814835868504</v>
      </c>
      <c r="Q29">
        <f t="shared" si="9"/>
        <v>-18.321314197383963</v>
      </c>
      <c r="R29">
        <f t="shared" si="10"/>
        <v>105.56874827196464</v>
      </c>
      <c r="S29">
        <f t="shared" si="11"/>
        <v>161.67868198798553</v>
      </c>
    </row>
    <row r="30" spans="1:19" x14ac:dyDescent="0.25">
      <c r="G30">
        <f t="shared" si="13"/>
        <v>-0.45999999999999952</v>
      </c>
      <c r="H30">
        <f t="shared" si="0"/>
        <v>3.4673685045253198</v>
      </c>
      <c r="I30" t="str">
        <f t="shared" si="3"/>
        <v>21.7861188422107j</v>
      </c>
      <c r="J30" t="str">
        <f>IMDIV(R_1,IMSUM('Opamp and C Stray Using B'!R_1,IMPRODUCT('Opamp and C Stray Using B'!R_f,IMSUM(1,IMPRODUCT(I30,C_s,R_1)))))</f>
        <v>0.199999999999999-1.39431160590148E-08j</v>
      </c>
      <c r="K30">
        <f t="shared" si="4"/>
        <v>-13.979400086720396</v>
      </c>
      <c r="L30">
        <f t="shared" si="5"/>
        <v>-3.9944085172131589E-6</v>
      </c>
      <c r="M30">
        <f t="shared" si="6"/>
        <v>0.19999999999999901</v>
      </c>
      <c r="N30">
        <f t="shared" si="7"/>
        <v>-1.3943116059014801E-8</v>
      </c>
      <c r="O30" t="str">
        <f t="shared" si="14"/>
        <v>892676.660006154-309523.893563019j</v>
      </c>
      <c r="P30">
        <f t="shared" si="8"/>
        <v>119.50694179824777</v>
      </c>
      <c r="Q30">
        <f t="shared" si="9"/>
        <v>-19.123316070287611</v>
      </c>
      <c r="R30">
        <f t="shared" si="10"/>
        <v>105.52754171152736</v>
      </c>
      <c r="S30">
        <f t="shared" si="11"/>
        <v>160.87667993530388</v>
      </c>
    </row>
    <row r="31" spans="1:19" x14ac:dyDescent="0.25">
      <c r="B31" s="10"/>
      <c r="G31">
        <f t="shared" si="13"/>
        <v>-0.4399999999999995</v>
      </c>
      <c r="H31">
        <f t="shared" si="0"/>
        <v>3.6307805477010175</v>
      </c>
      <c r="I31" t="str">
        <f t="shared" si="3"/>
        <v>22.8128669909085j</v>
      </c>
      <c r="J31" t="str">
        <f>IMDIV(R_1,IMSUM('Opamp and C Stray Using B'!R_1,IMPRODUCT('Opamp and C Stray Using B'!R_f,IMSUM(1,IMPRODUCT(I31,C_s,R_1)))))</f>
        <v>0.199999999999999-1.46002348741814E-08j</v>
      </c>
      <c r="K31">
        <f t="shared" si="4"/>
        <v>-13.979400086720396</v>
      </c>
      <c r="L31">
        <f t="shared" si="5"/>
        <v>-4.1826591909515773E-6</v>
      </c>
      <c r="M31">
        <f t="shared" si="6"/>
        <v>0.19999999999999901</v>
      </c>
      <c r="N31">
        <f t="shared" si="7"/>
        <v>-1.4600234874181401E-8</v>
      </c>
      <c r="O31" t="str">
        <f t="shared" si="14"/>
        <v>883528.288056439-320789.73216189j</v>
      </c>
      <c r="P31">
        <f t="shared" si="8"/>
        <v>119.46220458936322</v>
      </c>
      <c r="Q31">
        <f t="shared" si="9"/>
        <v>-19.954848626980858</v>
      </c>
      <c r="R31">
        <f t="shared" si="10"/>
        <v>105.48280450264284</v>
      </c>
      <c r="S31">
        <f t="shared" si="11"/>
        <v>160.04514719035996</v>
      </c>
    </row>
    <row r="32" spans="1:19" x14ac:dyDescent="0.25">
      <c r="B32" s="10"/>
      <c r="G32">
        <f t="shared" si="13"/>
        <v>-0.41999999999999948</v>
      </c>
      <c r="H32">
        <f t="shared" si="0"/>
        <v>3.8018939632056159</v>
      </c>
      <c r="I32" t="str">
        <f t="shared" si="3"/>
        <v>23.8880042890683j</v>
      </c>
      <c r="J32" t="str">
        <f>IMDIV(R_1,IMSUM('Opamp and C Stray Using B'!R_1,IMPRODUCT('Opamp and C Stray Using B'!R_f,IMSUM(1,IMPRODUCT(I32,C_s,R_1)))))</f>
        <v>0.199999999999999-1.52883227450036E-08j</v>
      </c>
      <c r="K32">
        <f t="shared" si="4"/>
        <v>-13.979400086720393</v>
      </c>
      <c r="L32">
        <f t="shared" si="5"/>
        <v>-4.3797818456128521E-6</v>
      </c>
      <c r="M32">
        <f t="shared" si="6"/>
        <v>0.19999999999999901</v>
      </c>
      <c r="N32">
        <f t="shared" si="7"/>
        <v>-1.5288322745003601E-8</v>
      </c>
      <c r="O32" t="str">
        <f t="shared" si="14"/>
        <v>873710.420945081-332175.437498094j</v>
      </c>
      <c r="P32">
        <f t="shared" si="8"/>
        <v>119.41367515672795</v>
      </c>
      <c r="Q32">
        <f t="shared" si="9"/>
        <v>-20.816272773735669</v>
      </c>
      <c r="R32">
        <f t="shared" si="10"/>
        <v>105.43427507000756</v>
      </c>
      <c r="S32">
        <f t="shared" si="11"/>
        <v>159.18372284648248</v>
      </c>
    </row>
    <row r="33" spans="7:19" x14ac:dyDescent="0.25">
      <c r="G33">
        <f t="shared" si="13"/>
        <v>-0.39999999999999947</v>
      </c>
      <c r="H33">
        <f t="shared" si="0"/>
        <v>3.9810717055349776</v>
      </c>
      <c r="I33" t="str">
        <f t="shared" si="3"/>
        <v>25.0138112470457j</v>
      </c>
      <c r="J33" t="str">
        <f>IMDIV(R_1,IMSUM('Opamp and C Stray Using B'!R_1,IMPRODUCT('Opamp and C Stray Using B'!R_f,IMSUM(1,IMPRODUCT(I33,C_s,R_1)))))</f>
        <v>0.199999999999999-1.60088391981092E-08j</v>
      </c>
      <c r="K33">
        <f t="shared" si="4"/>
        <v>-13.979400086720393</v>
      </c>
      <c r="L33">
        <f t="shared" si="5"/>
        <v>-4.5861946047762842E-6</v>
      </c>
      <c r="M33">
        <f t="shared" si="6"/>
        <v>0.19999999999999901</v>
      </c>
      <c r="N33">
        <f t="shared" si="7"/>
        <v>-1.60088391981092E-8</v>
      </c>
      <c r="O33" t="str">
        <f t="shared" si="14"/>
        <v>863193.11139679-343643.367219446j</v>
      </c>
      <c r="P33">
        <f t="shared" si="8"/>
        <v>119.36107965856621</v>
      </c>
      <c r="Q33">
        <f t="shared" si="9"/>
        <v>-21.70785614630908</v>
      </c>
      <c r="R33">
        <f t="shared" si="10"/>
        <v>105.38167957184582</v>
      </c>
      <c r="S33">
        <f t="shared" si="11"/>
        <v>158.29213926749631</v>
      </c>
    </row>
    <row r="34" spans="7:19" x14ac:dyDescent="0.25">
      <c r="G34">
        <f t="shared" si="13"/>
        <v>-0.37999999999999945</v>
      </c>
      <c r="H34">
        <f t="shared" si="0"/>
        <v>4.1686938347033582</v>
      </c>
      <c r="I34" t="str">
        <f t="shared" si="3"/>
        <v>26.1926758523383j</v>
      </c>
      <c r="J34" t="str">
        <f>IMDIV(R_1,IMSUM('Opamp and C Stray Using B'!R_1,IMPRODUCT('Opamp and C Stray Using B'!R_f,IMSUM(1,IMPRODUCT(I34,C_s,R_1)))))</f>
        <v>0.199999999999999-1.67633125454964E-08j</v>
      </c>
      <c r="K34">
        <f t="shared" si="4"/>
        <v>-13.979400086720389</v>
      </c>
      <c r="L34">
        <f t="shared" si="5"/>
        <v>-4.8023352975782552E-6</v>
      </c>
      <c r="M34">
        <f t="shared" si="6"/>
        <v>0.19999999999999901</v>
      </c>
      <c r="N34">
        <f t="shared" si="7"/>
        <v>-1.6763312545496401E-8</v>
      </c>
      <c r="O34" t="str">
        <f t="shared" si="14"/>
        <v>851948.345852573-355151.181684135j</v>
      </c>
      <c r="P34">
        <f t="shared" si="8"/>
        <v>119.30413264025799</v>
      </c>
      <c r="Q34">
        <f t="shared" si="9"/>
        <v>-22.629760884775852</v>
      </c>
      <c r="R34">
        <f t="shared" si="10"/>
        <v>105.3247325535376</v>
      </c>
      <c r="S34">
        <f t="shared" si="11"/>
        <v>157.37023431288884</v>
      </c>
    </row>
    <row r="35" spans="7:19" x14ac:dyDescent="0.25">
      <c r="G35">
        <f t="shared" si="13"/>
        <v>-0.35999999999999943</v>
      </c>
      <c r="H35">
        <f t="shared" si="0"/>
        <v>4.3651583224016655</v>
      </c>
      <c r="I35" t="str">
        <f t="shared" si="3"/>
        <v>27.4270986348268j</v>
      </c>
      <c r="J35" t="str">
        <f>IMDIV(R_1,IMSUM('Opamp and C Stray Using B'!R_1,IMPRODUCT('Opamp and C Stray Using B'!R_f,IMSUM(1,IMPRODUCT(I35,C_s,R_1)))))</f>
        <v>0.199999999999998-1.7553343126289E-08j</v>
      </c>
      <c r="K35">
        <f t="shared" si="4"/>
        <v>-13.979400086720428</v>
      </c>
      <c r="L35">
        <f t="shared" si="5"/>
        <v>-5.0286623874067061E-6</v>
      </c>
      <c r="M35">
        <f t="shared" si="6"/>
        <v>0.19999999999999801</v>
      </c>
      <c r="N35">
        <f t="shared" si="7"/>
        <v>-1.7553343126289001E-8</v>
      </c>
      <c r="O35" t="str">
        <f t="shared" si="14"/>
        <v>839950.694634753-366651.776509195j</v>
      </c>
      <c r="P35">
        <f t="shared" si="8"/>
        <v>119.24253793589835</v>
      </c>
      <c r="Q35">
        <f t="shared" si="9"/>
        <v>-23.582031133036242</v>
      </c>
      <c r="R35">
        <f t="shared" si="10"/>
        <v>105.26313784917792</v>
      </c>
      <c r="S35">
        <f t="shared" si="11"/>
        <v>156.41796383830138</v>
      </c>
    </row>
    <row r="36" spans="7:19" x14ac:dyDescent="0.25">
      <c r="G36">
        <f t="shared" si="13"/>
        <v>-0.33999999999999941</v>
      </c>
      <c r="H36">
        <f t="shared" si="0"/>
        <v>4.5708818961487561</v>
      </c>
      <c r="I36" t="str">
        <f t="shared" si="3"/>
        <v>28.719697970735j</v>
      </c>
      <c r="J36" t="str">
        <f>IMDIV(R_1,IMSUM('Opamp and C Stray Using B'!R_1,IMPRODUCT('Opamp and C Stray Using B'!R_f,IMSUM(1,IMPRODUCT(I36,C_s,R_1)))))</f>
        <v>0.199999999999998-1.83806067012702E-08j</v>
      </c>
      <c r="K36">
        <f t="shared" si="4"/>
        <v>-13.979400086720426</v>
      </c>
      <c r="L36">
        <f t="shared" si="5"/>
        <v>-5.2656559443633412E-6</v>
      </c>
      <c r="M36">
        <f t="shared" si="6"/>
        <v>0.19999999999999801</v>
      </c>
      <c r="N36">
        <f t="shared" si="7"/>
        <v>-1.8380606701270202E-8</v>
      </c>
      <c r="O36" t="str">
        <f t="shared" si="14"/>
        <v>827178.01696314-378093.302262904j</v>
      </c>
      <c r="P36">
        <f t="shared" si="8"/>
        <v>119.17598984117294</v>
      </c>
      <c r="Q36">
        <f t="shared" si="9"/>
        <v>-24.564580471759552</v>
      </c>
      <c r="R36">
        <f t="shared" si="10"/>
        <v>105.1965897544525</v>
      </c>
      <c r="S36">
        <f t="shared" si="11"/>
        <v>155.43541426258452</v>
      </c>
    </row>
    <row r="37" spans="7:19" x14ac:dyDescent="0.25">
      <c r="G37">
        <f t="shared" si="13"/>
        <v>-0.3199999999999994</v>
      </c>
      <c r="H37">
        <f t="shared" si="0"/>
        <v>4.7863009232263893</v>
      </c>
      <c r="I37" t="str">
        <f t="shared" si="3"/>
        <v>30.0732156365561j</v>
      </c>
      <c r="J37" t="str">
        <f>IMDIV(R_1,IMSUM('Opamp and C Stray Using B'!R_1,IMPRODUCT('Opamp and C Stray Using B'!R_f,IMSUM(1,IMPRODUCT(I37,C_s,R_1)))))</f>
        <v>0.199999999999998-1.92468580073957E-08j</v>
      </c>
      <c r="K37">
        <f t="shared" si="4"/>
        <v>-13.979400086720421</v>
      </c>
      <c r="L37">
        <f t="shared" si="5"/>
        <v>-5.5138186635567735E-6</v>
      </c>
      <c r="M37">
        <f t="shared" si="6"/>
        <v>0.19999999999999801</v>
      </c>
      <c r="N37">
        <f t="shared" si="7"/>
        <v>-1.9246858007395701E-8</v>
      </c>
      <c r="O37" t="str">
        <f t="shared" si="14"/>
        <v>813612.210505587-389419.287429115j</v>
      </c>
      <c r="P37">
        <f t="shared" si="8"/>
        <v>119.10417457755648</v>
      </c>
      <c r="Q37">
        <f t="shared" si="9"/>
        <v>-25.577179536019539</v>
      </c>
      <c r="R37">
        <f t="shared" si="10"/>
        <v>105.12477449083606</v>
      </c>
      <c r="S37">
        <f t="shared" si="11"/>
        <v>154.42281495016181</v>
      </c>
    </row>
    <row r="38" spans="7:19" x14ac:dyDescent="0.25">
      <c r="G38">
        <f t="shared" si="13"/>
        <v>-0.29999999999999938</v>
      </c>
      <c r="H38">
        <f t="shared" si="0"/>
        <v>5.0118723362727291</v>
      </c>
      <c r="I38" t="str">
        <f t="shared" si="3"/>
        <v>31.4905226247286j</v>
      </c>
      <c r="J38" t="str">
        <f>IMDIV(R_1,IMSUM('Opamp and C Stray Using B'!R_1,IMPRODUCT('Opamp and C Stray Using B'!R_f,IMSUM(1,IMPRODUCT(I38,C_s,R_1)))))</f>
        <v>0.199999999999998-2.0153934479826E-08j</v>
      </c>
      <c r="K38">
        <f t="shared" si="4"/>
        <v>-13.979400086720418</v>
      </c>
      <c r="L38">
        <f t="shared" si="5"/>
        <v>-5.7736769313861282E-6</v>
      </c>
      <c r="M38">
        <f t="shared" si="6"/>
        <v>0.19999999999999801</v>
      </c>
      <c r="N38">
        <f t="shared" si="7"/>
        <v>-2.0153934479826002E-8</v>
      </c>
      <c r="O38" t="str">
        <f t="shared" si="14"/>
        <v>799239.991086898-400568.880137128j</v>
      </c>
      <c r="P38">
        <f t="shared" si="8"/>
        <v>119.02677206291304</v>
      </c>
      <c r="Q38">
        <f t="shared" si="9"/>
        <v>-26.619444110792848</v>
      </c>
      <c r="R38">
        <f t="shared" si="10"/>
        <v>105.04737197619262</v>
      </c>
      <c r="S38">
        <f t="shared" si="11"/>
        <v>153.38055011553021</v>
      </c>
    </row>
    <row r="39" spans="7:19" x14ac:dyDescent="0.25">
      <c r="G39">
        <f t="shared" si="13"/>
        <v>-0.27999999999999936</v>
      </c>
      <c r="H39">
        <f t="shared" si="0"/>
        <v>5.2480746024977343</v>
      </c>
      <c r="I39" t="str">
        <f t="shared" si="3"/>
        <v>32.9746252333961j</v>
      </c>
      <c r="J39" t="str">
        <f>IMDIV(R_1,IMSUM('Opamp and C Stray Using B'!R_1,IMPRODUCT('Opamp and C Stray Using B'!R_f,IMSUM(1,IMPRODUCT(I39,C_s,R_1)))))</f>
        <v>0.199999999999998-2.11037601493732E-08j</v>
      </c>
      <c r="K39">
        <f t="shared" si="4"/>
        <v>-13.979400086720414</v>
      </c>
      <c r="L39">
        <f t="shared" si="5"/>
        <v>-6.0457819420773381E-6</v>
      </c>
      <c r="M39">
        <f t="shared" si="6"/>
        <v>0.19999999999999801</v>
      </c>
      <c r="N39">
        <f t="shared" si="7"/>
        <v>-2.1103760149373199E-8</v>
      </c>
      <c r="O39" t="str">
        <f t="shared" si="14"/>
        <v>784053.683887815-411477.222540642j</v>
      </c>
      <c r="P39">
        <f t="shared" si="8"/>
        <v>118.94345799697264</v>
      </c>
      <c r="Q39">
        <f t="shared" si="9"/>
        <v>-27.690824036480493</v>
      </c>
      <c r="R39">
        <f t="shared" si="10"/>
        <v>104.96405791025222</v>
      </c>
      <c r="S39">
        <f t="shared" si="11"/>
        <v>152.30916991773756</v>
      </c>
    </row>
    <row r="40" spans="7:19" x14ac:dyDescent="0.25">
      <c r="G40">
        <f t="shared" si="13"/>
        <v>-0.25999999999999934</v>
      </c>
      <c r="H40">
        <f t="shared" si="0"/>
        <v>5.4954087385762538</v>
      </c>
      <c r="I40" t="str">
        <f t="shared" si="3"/>
        <v>34.5286714431686j</v>
      </c>
      <c r="J40" t="str">
        <f>IMDIV(R_1,IMSUM('Opamp and C Stray Using B'!R_1,IMPRODUCT('Opamp and C Stray Using B'!R_f,IMSUM(1,IMPRODUCT(I40,C_s,R_1)))))</f>
        <v>0.199999999999998-2.20983497236276E-08j</v>
      </c>
      <c r="K40">
        <f t="shared" si="4"/>
        <v>-13.979400086720409</v>
      </c>
      <c r="L40">
        <f t="shared" si="5"/>
        <v>-6.3307108668397913E-6</v>
      </c>
      <c r="M40">
        <f t="shared" si="6"/>
        <v>0.19999999999999801</v>
      </c>
      <c r="N40">
        <f t="shared" si="7"/>
        <v>-2.2098349723627601E-8</v>
      </c>
      <c r="O40" t="str">
        <f t="shared" si="14"/>
        <v>768052.003167584-422075.968988813j</v>
      </c>
      <c r="P40">
        <f t="shared" si="8"/>
        <v>118.85390626182718</v>
      </c>
      <c r="Q40">
        <f t="shared" si="9"/>
        <v>-28.790593289891955</v>
      </c>
      <c r="R40">
        <f t="shared" si="10"/>
        <v>104.87450617510677</v>
      </c>
      <c r="S40">
        <f t="shared" si="11"/>
        <v>151.20940037939718</v>
      </c>
    </row>
    <row r="41" spans="7:19" x14ac:dyDescent="0.25">
      <c r="G41">
        <f t="shared" si="13"/>
        <v>-0.23999999999999935</v>
      </c>
      <c r="H41">
        <f t="shared" si="0"/>
        <v>5.7543993733715784</v>
      </c>
      <c r="I41" t="str">
        <f t="shared" si="3"/>
        <v>36.1559575944117j</v>
      </c>
      <c r="J41" t="str">
        <f>IMDIV(R_1,IMSUM('Opamp and C Stray Using B'!R_1,IMPRODUCT('Opamp and C Stray Using B'!R_f,IMSUM(1,IMPRODUCT(I41,C_s,R_1)))))</f>
        <v>0.199999999999997-2.31398128604232E-08j</v>
      </c>
      <c r="K41">
        <f t="shared" si="4"/>
        <v>-13.979400086720448</v>
      </c>
      <c r="L41">
        <f t="shared" si="5"/>
        <v>-6.6290680781240406E-6</v>
      </c>
      <c r="M41">
        <f t="shared" si="6"/>
        <v>0.19999999999999701</v>
      </c>
      <c r="N41">
        <f t="shared" si="7"/>
        <v>-2.3139812860423198E-8</v>
      </c>
      <c r="O41" t="str">
        <f t="shared" si="14"/>
        <v>751240.79353371-432293.955156155j</v>
      </c>
      <c r="P41">
        <f t="shared" si="8"/>
        <v>118.75779162758541</v>
      </c>
      <c r="Q41">
        <f t="shared" si="9"/>
        <v>-29.917841630566709</v>
      </c>
      <c r="R41">
        <f t="shared" si="10"/>
        <v>104.77839154086496</v>
      </c>
      <c r="S41">
        <f t="shared" si="11"/>
        <v>150.08215174036522</v>
      </c>
    </row>
    <row r="42" spans="7:19" x14ac:dyDescent="0.25">
      <c r="G42">
        <f t="shared" si="13"/>
        <v>-0.21999999999999936</v>
      </c>
      <c r="H42">
        <f t="shared" si="0"/>
        <v>6.0255958607435867</v>
      </c>
      <c r="I42" t="str">
        <f t="shared" si="3"/>
        <v>37.8599353792262j</v>
      </c>
      <c r="J42" t="str">
        <f>IMDIV(R_1,IMSUM('Opamp and C Stray Using B'!R_1,IMPRODUCT('Opamp and C Stray Using B'!R_f,IMSUM(1,IMPRODUCT(I42,C_s,R_1)))))</f>
        <v>0.199999999999997-2.42303586427044E-08j</v>
      </c>
      <c r="K42">
        <f t="shared" si="4"/>
        <v>-13.979400086720442</v>
      </c>
      <c r="L42">
        <f t="shared" si="5"/>
        <v>-6.9414864315765702E-6</v>
      </c>
      <c r="M42">
        <f t="shared" si="6"/>
        <v>0.19999999999999701</v>
      </c>
      <c r="N42">
        <f t="shared" si="7"/>
        <v>-2.4230358642704401E-8</v>
      </c>
      <c r="O42" t="str">
        <f t="shared" si="14"/>
        <v>733633.702413807-442058.020056662j</v>
      </c>
      <c r="P42">
        <f t="shared" si="8"/>
        <v>118.65479274183417</v>
      </c>
      <c r="Q42">
        <f t="shared" si="9"/>
        <v>-31.071468214576662</v>
      </c>
      <c r="R42">
        <f t="shared" si="10"/>
        <v>104.67539265511373</v>
      </c>
      <c r="S42">
        <f t="shared" si="11"/>
        <v>148.92852484393691</v>
      </c>
    </row>
    <row r="43" spans="7:19" x14ac:dyDescent="0.25">
      <c r="G43">
        <f t="shared" si="13"/>
        <v>-0.19999999999999937</v>
      </c>
      <c r="H43">
        <f t="shared" si="0"/>
        <v>6.3095734448019414</v>
      </c>
      <c r="I43" t="str">
        <f t="shared" si="3"/>
        <v>39.64421916295j</v>
      </c>
      <c r="J43" t="str">
        <f>IMDIV(R_1,IMSUM('Opamp and C Stray Using B'!R_1,IMPRODUCT('Opamp and C Stray Using B'!R_f,IMSUM(1,IMPRODUCT(I43,C_s,R_1)))))</f>
        <v>0.199999999999997-2.53723002642876E-08j</v>
      </c>
      <c r="K43">
        <f t="shared" si="4"/>
        <v>-13.979400086720435</v>
      </c>
      <c r="L43">
        <f t="shared" si="5"/>
        <v>-7.2686286084117831E-6</v>
      </c>
      <c r="M43">
        <f t="shared" si="6"/>
        <v>0.19999999999999701</v>
      </c>
      <c r="N43">
        <f t="shared" si="7"/>
        <v>-2.5372300264287601E-8</v>
      </c>
      <c r="O43" t="str">
        <f t="shared" si="14"/>
        <v>715252.751049199-451293.976434155j</v>
      </c>
      <c r="P43">
        <f t="shared" si="8"/>
        <v>118.54459536890707</v>
      </c>
      <c r="Q43">
        <f t="shared" si="9"/>
        <v>-32.25017757479344</v>
      </c>
      <c r="R43">
        <f t="shared" si="10"/>
        <v>104.56519528218664</v>
      </c>
      <c r="S43">
        <f t="shared" si="11"/>
        <v>147.74981515657794</v>
      </c>
    </row>
    <row r="44" spans="7:19" x14ac:dyDescent="0.25">
      <c r="G44">
        <f t="shared" si="13"/>
        <v>-0.17999999999999938</v>
      </c>
      <c r="H44">
        <f t="shared" si="0"/>
        <v>6.60693448007597</v>
      </c>
      <c r="I44" t="str">
        <f t="shared" si="3"/>
        <v>41.5125936507115j</v>
      </c>
      <c r="J44" t="str">
        <f>IMDIV(R_1,IMSUM('Opamp and C Stray Using B'!R_1,IMPRODUCT('Opamp and C Stray Using B'!R_f,IMSUM(1,IMPRODUCT(I44,C_s,R_1)))))</f>
        <v>0.199999999999996-2.65680599364549E-08j</v>
      </c>
      <c r="K44">
        <f t="shared" si="4"/>
        <v>-13.979400086720473</v>
      </c>
      <c r="L44">
        <f t="shared" si="5"/>
        <v>-7.6111885210474866E-6</v>
      </c>
      <c r="M44">
        <f t="shared" si="6"/>
        <v>0.19999999999999599</v>
      </c>
      <c r="N44">
        <f t="shared" si="7"/>
        <v>-2.6568059936454899E-8</v>
      </c>
      <c r="O44" t="str">
        <f t="shared" si="14"/>
        <v>696128.7704296-459927.717592421j</v>
      </c>
      <c r="P44">
        <f t="shared" si="8"/>
        <v>118.42689583165492</v>
      </c>
      <c r="Q44">
        <f t="shared" si="9"/>
        <v>-33.452478345094278</v>
      </c>
      <c r="R44">
        <f t="shared" si="10"/>
        <v>104.44749574493444</v>
      </c>
      <c r="S44">
        <f t="shared" si="11"/>
        <v>146.5475140437172</v>
      </c>
    </row>
    <row r="45" spans="7:19" x14ac:dyDescent="0.25">
      <c r="G45">
        <f t="shared" si="13"/>
        <v>-0.15999999999999939</v>
      </c>
      <c r="H45">
        <f t="shared" si="0"/>
        <v>6.9183097091893755</v>
      </c>
      <c r="I45" t="str">
        <f t="shared" si="3"/>
        <v>43.4690219152966j</v>
      </c>
      <c r="J45" t="str">
        <f>IMDIV(R_1,IMSUM('Opamp and C Stray Using B'!R_1,IMPRODUCT('Opamp and C Stray Using B'!R_f,IMSUM(1,IMPRODUCT(I45,C_s,R_1)))))</f>
        <v>0.199999999999996-2.78201740257892E-08j</v>
      </c>
      <c r="K45">
        <f t="shared" si="4"/>
        <v>-13.979400086720466</v>
      </c>
      <c r="L45">
        <f t="shared" si="5"/>
        <v>-7.9698927849860978E-6</v>
      </c>
      <c r="M45">
        <f t="shared" si="6"/>
        <v>0.19999999999999599</v>
      </c>
      <c r="N45">
        <f t="shared" si="7"/>
        <v>-2.7820174025789201E-8</v>
      </c>
      <c r="O45" t="str">
        <f t="shared" si="14"/>
        <v>676301.669492736-467886.440639258j</v>
      </c>
      <c r="P45">
        <f t="shared" si="8"/>
        <v>118.30140459509607</v>
      </c>
      <c r="Q45">
        <f t="shared" si="9"/>
        <v>-34.676685063915208</v>
      </c>
      <c r="R45">
        <f t="shared" si="10"/>
        <v>104.32200450837561</v>
      </c>
      <c r="S45">
        <f t="shared" si="11"/>
        <v>145.32330696619201</v>
      </c>
    </row>
    <row r="46" spans="7:19" x14ac:dyDescent="0.25">
      <c r="G46">
        <f t="shared" si="13"/>
        <v>-0.1399999999999994</v>
      </c>
      <c r="H46">
        <f t="shared" si="0"/>
        <v>7.2443596007499096</v>
      </c>
      <c r="I46" t="str">
        <f t="shared" si="3"/>
        <v>45.5176538033572j</v>
      </c>
      <c r="J46" t="str">
        <f>IMDIV(R_1,IMSUM('Opamp and C Stray Using B'!R_1,IMPRODUCT('Opamp and C Stray Using B'!R_f,IMSUM(1,IMPRODUCT(I46,C_s,R_1)))))</f>
        <v>0.199999999999996-2.9131298434148E-08j</v>
      </c>
      <c r="K46">
        <f t="shared" si="4"/>
        <v>-13.979400086720457</v>
      </c>
      <c r="L46">
        <f t="shared" si="5"/>
        <v>-8.3455022600638283E-6</v>
      </c>
      <c r="M46">
        <f t="shared" si="6"/>
        <v>0.19999999999999599</v>
      </c>
      <c r="N46">
        <f t="shared" si="7"/>
        <v>-2.9131298434148001E-8</v>
      </c>
      <c r="O46" t="str">
        <f t="shared" si="14"/>
        <v>655820.505912394-475099.957837512j</v>
      </c>
      <c r="P46">
        <f t="shared" si="8"/>
        <v>118.16784991877979</v>
      </c>
      <c r="Q46">
        <f t="shared" si="9"/>
        <v>-35.92092332877521</v>
      </c>
      <c r="R46">
        <f t="shared" si="10"/>
        <v>104.18844983205933</v>
      </c>
      <c r="S46">
        <f t="shared" si="11"/>
        <v>144.07906832572252</v>
      </c>
    </row>
    <row r="47" spans="7:19" x14ac:dyDescent="0.25">
      <c r="G47">
        <f t="shared" si="13"/>
        <v>-0.1199999999999994</v>
      </c>
      <c r="H47">
        <f t="shared" si="0"/>
        <v>7.585775750291849</v>
      </c>
      <c r="I47" t="str">
        <f t="shared" si="3"/>
        <v>47.6628347377929j</v>
      </c>
      <c r="J47" t="str">
        <f>IMDIV(R_1,IMSUM('Opamp and C Stray Using B'!R_1,IMPRODUCT('Opamp and C Stray Using B'!R_f,IMSUM(1,IMPRODUCT(I47,C_s,R_1)))))</f>
        <v>0.199999999999995-3.05042142321868E-08j</v>
      </c>
      <c r="K47">
        <f t="shared" si="4"/>
        <v>-13.979400086720496</v>
      </c>
      <c r="L47">
        <f t="shared" si="5"/>
        <v>-8.7388136643361642E-6</v>
      </c>
      <c r="M47">
        <f t="shared" si="6"/>
        <v>0.19999999999999499</v>
      </c>
      <c r="N47">
        <f t="shared" si="7"/>
        <v>-3.0504214232186801E-8</v>
      </c>
      <c r="O47" t="str">
        <f t="shared" si="14"/>
        <v>634743.335052317-481502.059869923j</v>
      </c>
      <c r="P47">
        <f t="shared" si="8"/>
        <v>118.0259814938003</v>
      </c>
      <c r="Q47">
        <f t="shared" si="9"/>
        <v>-37.183138488143648</v>
      </c>
      <c r="R47">
        <f t="shared" si="10"/>
        <v>104.0465814070798</v>
      </c>
      <c r="S47">
        <f t="shared" si="11"/>
        <v>142.81685277304268</v>
      </c>
    </row>
    <row r="48" spans="7:19" x14ac:dyDescent="0.25">
      <c r="G48">
        <f t="shared" si="13"/>
        <v>-9.9999999999999395E-2</v>
      </c>
      <c r="H48">
        <f t="shared" si="0"/>
        <v>7.9432823472428264</v>
      </c>
      <c r="I48" t="str">
        <f t="shared" si="3"/>
        <v>49.9091149349751j</v>
      </c>
      <c r="J48" t="str">
        <f>IMDIV(R_1,IMSUM('Opamp and C Stray Using B'!R_1,IMPRODUCT('Opamp and C Stray Using B'!R_f,IMSUM(1,IMPRODUCT(I48,C_s,R_1)))))</f>
        <v>0.199999999999995-3.19418335583832E-08j</v>
      </c>
      <c r="K48">
        <f t="shared" si="4"/>
        <v>-13.979400086720482</v>
      </c>
      <c r="L48">
        <f t="shared" si="5"/>
        <v>-9.1506612640236411E-6</v>
      </c>
      <c r="M48">
        <f t="shared" si="6"/>
        <v>0.19999999999999499</v>
      </c>
      <c r="N48">
        <f t="shared" si="7"/>
        <v>-3.1941833558383202E-8</v>
      </c>
      <c r="O48" t="str">
        <f t="shared" si="14"/>
        <v>613136.820153142-487031.887996706j</v>
      </c>
      <c r="P48">
        <f t="shared" si="8"/>
        <v>117.8755739720566</v>
      </c>
      <c r="Q48">
        <f t="shared" si="9"/>
        <v>-38.461107952210021</v>
      </c>
      <c r="R48">
        <f t="shared" si="10"/>
        <v>103.89617388533611</v>
      </c>
      <c r="S48">
        <f t="shared" si="11"/>
        <v>141.5388828971287</v>
      </c>
    </row>
    <row r="49" spans="7:19" x14ac:dyDescent="0.25">
      <c r="G49">
        <f t="shared" si="13"/>
        <v>-7.9999999999999391E-2</v>
      </c>
      <c r="H49">
        <f t="shared" si="0"/>
        <v>8.3176377110267214</v>
      </c>
      <c r="I49" t="str">
        <f t="shared" si="3"/>
        <v>52.2612590563659j</v>
      </c>
      <c r="J49" t="str">
        <f>IMDIV(R_1,IMSUM('Opamp and C Stray Using B'!R_1,IMPRODUCT('Opamp and C Stray Using B'!R_f,IMSUM(1,IMPRODUCT(I49,C_s,R_1)))))</f>
        <v>0.199999999999994-3.34472057960733E-08j</v>
      </c>
      <c r="K49">
        <f t="shared" si="4"/>
        <v>-13.979400086720515</v>
      </c>
      <c r="L49">
        <f t="shared" si="5"/>
        <v>-9.5819186431027227E-6</v>
      </c>
      <c r="M49">
        <f t="shared" si="6"/>
        <v>0.19999999999999399</v>
      </c>
      <c r="N49">
        <f t="shared" si="7"/>
        <v>-3.3447205796073299E-8</v>
      </c>
      <c r="O49" t="str">
        <f t="shared" si="14"/>
        <v>591075.596314943-491635.266997677j</v>
      </c>
      <c r="P49">
        <f t="shared" si="8"/>
        <v>117.71643029041761</v>
      </c>
      <c r="Q49">
        <f t="shared" si="9"/>
        <v>-39.752457083430862</v>
      </c>
      <c r="R49">
        <f t="shared" si="10"/>
        <v>103.73703020369709</v>
      </c>
      <c r="S49">
        <f t="shared" si="11"/>
        <v>140.24753333465048</v>
      </c>
    </row>
    <row r="50" spans="7:19" x14ac:dyDescent="0.25">
      <c r="G50">
        <f t="shared" si="13"/>
        <v>-5.9999999999999387E-2</v>
      </c>
      <c r="H50">
        <f t="shared" si="0"/>
        <v>8.7096358995608192</v>
      </c>
      <c r="I50" t="str">
        <f t="shared" si="3"/>
        <v>54.7242563150044j</v>
      </c>
      <c r="J50" t="str">
        <f>IMDIV(R_1,IMSUM('Opamp and C Stray Using B'!R_1,IMPRODUCT('Opamp and C Stray Using B'!R_f,IMSUM(1,IMPRODUCT(I50,C_s,R_1)))))</f>
        <v>0.199999999999994-3.50235240416018E-08j</v>
      </c>
      <c r="K50">
        <f t="shared" si="4"/>
        <v>-13.979400086720503</v>
      </c>
      <c r="L50">
        <f t="shared" si="5"/>
        <v>-1.0033500556293972E-5</v>
      </c>
      <c r="M50">
        <f t="shared" si="6"/>
        <v>0.19999999999999399</v>
      </c>
      <c r="N50">
        <f t="shared" si="7"/>
        <v>-3.5023524041601802E-8</v>
      </c>
      <c r="O50" t="str">
        <f t="shared" si="14"/>
        <v>568641.391883667-495265.948072622j</v>
      </c>
      <c r="P50">
        <f t="shared" si="8"/>
        <v>117.54838469164488</v>
      </c>
      <c r="Q50">
        <f t="shared" si="9"/>
        <v>-41.054678496630203</v>
      </c>
      <c r="R50">
        <f t="shared" si="10"/>
        <v>103.56898460492438</v>
      </c>
      <c r="S50">
        <f t="shared" si="11"/>
        <v>138.94531146986924</v>
      </c>
    </row>
    <row r="51" spans="7:19" x14ac:dyDescent="0.25">
      <c r="G51">
        <f t="shared" si="13"/>
        <v>-3.9999999999999383E-2</v>
      </c>
      <c r="H51">
        <f t="shared" si="0"/>
        <v>9.1201083935591107</v>
      </c>
      <c r="I51" t="str">
        <f t="shared" si="3"/>
        <v>57.3033310582958j</v>
      </c>
      <c r="J51" t="str">
        <f>IMDIV(R_1,IMSUM('Opamp and C Stray Using B'!R_1,IMPRODUCT('Opamp and C Stray Using B'!R_f,IMSUM(1,IMPRODUCT(I51,C_s,R_1)))))</f>
        <v>0.199999999999993-3.6674131877308E-08j</v>
      </c>
      <c r="K51">
        <f t="shared" si="4"/>
        <v>-13.979400086720533</v>
      </c>
      <c r="L51">
        <f t="shared" si="5"/>
        <v>-1.0506364869379967E-5</v>
      </c>
      <c r="M51">
        <f t="shared" si="6"/>
        <v>0.19999999999999299</v>
      </c>
      <c r="N51">
        <f t="shared" si="7"/>
        <v>-3.6674131877308003E-8</v>
      </c>
      <c r="O51" t="str">
        <f t="shared" si="14"/>
        <v>545921.922780483-497886.711017821j</v>
      </c>
      <c r="P51">
        <f t="shared" si="8"/>
        <v>117.37130534773851</v>
      </c>
      <c r="Q51">
        <f t="shared" si="9"/>
        <v>-42.365154463831608</v>
      </c>
      <c r="R51">
        <f t="shared" si="10"/>
        <v>103.39190526101798</v>
      </c>
      <c r="S51">
        <f t="shared" si="11"/>
        <v>137.63483502980353</v>
      </c>
    </row>
    <row r="52" spans="7:19" x14ac:dyDescent="0.25">
      <c r="G52">
        <f t="shared" si="13"/>
        <v>-1.9999999999999383E-2</v>
      </c>
      <c r="H52">
        <f t="shared" si="0"/>
        <v>9.5499258602143726</v>
      </c>
      <c r="I52" t="str">
        <f t="shared" si="3"/>
        <v>60.0039538495533j</v>
      </c>
      <c r="J52" t="str">
        <f>IMDIV(R_1,IMSUM('Opamp and C Stray Using B'!R_1,IMPRODUCT('Opamp and C Stray Using B'!R_f,IMSUM(1,IMPRODUCT(I52,C_s,R_1)))))</f>
        <v>0.199999999999993-3.84025304637127E-08j</v>
      </c>
      <c r="K52">
        <f t="shared" si="4"/>
        <v>-13.979400086720519</v>
      </c>
      <c r="L52">
        <f t="shared" si="5"/>
        <v>-1.1001514590966799E-5</v>
      </c>
      <c r="M52">
        <f t="shared" si="6"/>
        <v>0.19999999999999299</v>
      </c>
      <c r="N52">
        <f t="shared" si="7"/>
        <v>-3.8402530463712699E-8</v>
      </c>
      <c r="O52" t="str">
        <f t="shared" si="14"/>
        <v>523009.587297562-499470.278287303j</v>
      </c>
      <c r="P52">
        <f t="shared" si="8"/>
        <v>117.18509649999712</v>
      </c>
      <c r="Q52">
        <f t="shared" si="9"/>
        <v>-43.681181988918347</v>
      </c>
      <c r="R52">
        <f t="shared" si="10"/>
        <v>103.2056964132766</v>
      </c>
      <c r="S52">
        <f t="shared" si="11"/>
        <v>136.31880700956705</v>
      </c>
    </row>
    <row r="53" spans="7:19" x14ac:dyDescent="0.25">
      <c r="G53">
        <f t="shared" si="13"/>
        <v>6.1756155744774333E-16</v>
      </c>
      <c r="H53">
        <f t="shared" si="0"/>
        <v>10.000000000000014</v>
      </c>
      <c r="I53" t="str">
        <f t="shared" si="3"/>
        <v>62.831853071796j</v>
      </c>
      <c r="J53" t="str">
        <f>IMDIV(R_1,IMSUM('Opamp and C Stray Using B'!R_1,IMPRODUCT('Opamp and C Stray Using B'!R_f,IMSUM(1,IMPRODUCT(I53,C_s,R_1)))))</f>
        <v>0.199999999999992-4.0212385965948E-08j</v>
      </c>
      <c r="K53">
        <f t="shared" si="4"/>
        <v>-13.979400086720549</v>
      </c>
      <c r="L53">
        <f t="shared" si="5"/>
        <v>-1.1519999999999919E-5</v>
      </c>
      <c r="M53">
        <f t="shared" si="6"/>
        <v>0.19999999999999199</v>
      </c>
      <c r="N53">
        <f t="shared" si="7"/>
        <v>-4.0212385965947999E-8</v>
      </c>
      <c r="O53" t="str">
        <f t="shared" si="14"/>
        <v>500000-500000j</v>
      </c>
      <c r="P53">
        <f t="shared" si="8"/>
        <v>116.98970004336019</v>
      </c>
      <c r="Q53">
        <f t="shared" si="9"/>
        <v>-45</v>
      </c>
      <c r="R53">
        <f t="shared" si="10"/>
        <v>103.01029995663964</v>
      </c>
      <c r="S53">
        <f t="shared" si="11"/>
        <v>134.99998848000001</v>
      </c>
    </row>
    <row r="54" spans="7:19" x14ac:dyDescent="0.25">
      <c r="G54">
        <f t="shared" si="13"/>
        <v>2.0000000000000618E-2</v>
      </c>
      <c r="H54">
        <f t="shared" si="0"/>
        <v>10.47128548050901</v>
      </c>
      <c r="I54" t="str">
        <f t="shared" si="3"/>
        <v>65.7930270784172j</v>
      </c>
      <c r="J54" t="str">
        <f>IMDIV(R_1,IMSUM('Opamp and C Stray Using B'!R_1,IMPRODUCT('Opamp and C Stray Using B'!R_f,IMSUM(1,IMPRODUCT(I54,C_s,R_1)))))</f>
        <v>0.199999999999991-4.21075373301853E-08j</v>
      </c>
      <c r="K54">
        <f t="shared" si="4"/>
        <v>-13.979400086720574</v>
      </c>
      <c r="L54">
        <f t="shared" si="5"/>
        <v>-1.2062920873546265E-5</v>
      </c>
      <c r="M54">
        <f t="shared" si="6"/>
        <v>0.19999999999999099</v>
      </c>
      <c r="N54">
        <f t="shared" si="7"/>
        <v>-4.2107537330185298E-8</v>
      </c>
      <c r="O54" t="str">
        <f t="shared" si="14"/>
        <v>476990.412702438-499470.278287303j</v>
      </c>
      <c r="P54">
        <f t="shared" si="8"/>
        <v>116.78509649999712</v>
      </c>
      <c r="Q54">
        <f t="shared" si="9"/>
        <v>-46.31881801108166</v>
      </c>
      <c r="R54">
        <f t="shared" si="10"/>
        <v>102.80569641327655</v>
      </c>
      <c r="S54">
        <f t="shared" si="11"/>
        <v>133.68116992599747</v>
      </c>
    </row>
    <row r="55" spans="7:19" x14ac:dyDescent="0.25">
      <c r="G55">
        <f t="shared" si="13"/>
        <v>4.0000000000000618E-2</v>
      </c>
      <c r="H55">
        <f t="shared" si="0"/>
        <v>10.964781961431866</v>
      </c>
      <c r="I55" t="str">
        <f t="shared" si="3"/>
        <v>68.8937569164965j</v>
      </c>
      <c r="J55" t="str">
        <f>IMDIV(R_1,IMSUM('Opamp and C Stray Using B'!R_1,IMPRODUCT('Opamp and C Stray Using B'!R_f,IMSUM(1,IMPRODUCT(I55,C_s,R_1)))))</f>
        <v>0.19999999999999-4.40920044265555E-08j</v>
      </c>
      <c r="K55">
        <f t="shared" si="4"/>
        <v>-13.979400086720599</v>
      </c>
      <c r="L55">
        <f t="shared" si="5"/>
        <v>-1.2631428819569295E-5</v>
      </c>
      <c r="M55">
        <f t="shared" si="6"/>
        <v>0.19999999999998999</v>
      </c>
      <c r="N55">
        <f t="shared" si="7"/>
        <v>-4.4092004426555499E-8</v>
      </c>
      <c r="O55" t="str">
        <f t="shared" si="14"/>
        <v>454078.077219514-497886.711017821j</v>
      </c>
      <c r="P55">
        <f t="shared" si="8"/>
        <v>116.5713053477385</v>
      </c>
      <c r="Q55">
        <f t="shared" si="9"/>
        <v>-47.634845536168555</v>
      </c>
      <c r="R55">
        <f t="shared" si="10"/>
        <v>102.5919052610179</v>
      </c>
      <c r="S55">
        <f t="shared" si="11"/>
        <v>132.36514183240263</v>
      </c>
    </row>
    <row r="56" spans="7:19" x14ac:dyDescent="0.25">
      <c r="G56">
        <f t="shared" si="13"/>
        <v>6.0000000000000622E-2</v>
      </c>
      <c r="H56">
        <f t="shared" si="0"/>
        <v>11.481536214968845</v>
      </c>
      <c r="I56" t="str">
        <f t="shared" si="3"/>
        <v>72.1406196497426j</v>
      </c>
      <c r="J56" t="str">
        <f>IMDIV(R_1,IMSUM('Opamp and C Stray Using B'!R_1,IMPRODUCT('Opamp and C Stray Using B'!R_f,IMSUM(1,IMPRODUCT(I56,C_s,R_1)))))</f>
        <v>0.199999999999989-4.61699965758327E-08j</v>
      </c>
      <c r="K56">
        <f t="shared" si="4"/>
        <v>-13.979400086720624</v>
      </c>
      <c r="L56">
        <f t="shared" si="5"/>
        <v>-1.3226729719643874E-5</v>
      </c>
      <c r="M56">
        <f t="shared" si="6"/>
        <v>0.19999999999998899</v>
      </c>
      <c r="N56">
        <f t="shared" si="7"/>
        <v>-4.6169996575832699E-8</v>
      </c>
      <c r="O56" t="str">
        <f t="shared" si="14"/>
        <v>431358.608116329-495265.948072621j</v>
      </c>
      <c r="P56">
        <f t="shared" si="8"/>
        <v>116.34838469164485</v>
      </c>
      <c r="Q56">
        <f t="shared" si="9"/>
        <v>-48.945321503370039</v>
      </c>
      <c r="R56">
        <f t="shared" si="10"/>
        <v>102.36898460492424</v>
      </c>
      <c r="S56">
        <f t="shared" si="11"/>
        <v>131.05466526990023</v>
      </c>
    </row>
    <row r="57" spans="7:19" x14ac:dyDescent="0.25">
      <c r="G57">
        <f t="shared" si="13"/>
        <v>8.0000000000000626E-2</v>
      </c>
      <c r="H57">
        <f t="shared" si="0"/>
        <v>12.022644346174147</v>
      </c>
      <c r="I57" t="str">
        <f t="shared" si="3"/>
        <v>75.5405023093271j</v>
      </c>
      <c r="J57" t="str">
        <f>IMDIV(R_1,IMSUM('Opamp and C Stray Using B'!R_1,IMPRODUCT('Opamp and C Stray Using B'!R_f,IMSUM(1,IMPRODUCT(I57,C_s,R_1)))))</f>
        <v>0.199999999999988-4.83459214779664E-08j</v>
      </c>
      <c r="K57">
        <f t="shared" si="4"/>
        <v>-13.979400086720643</v>
      </c>
      <c r="L57">
        <f t="shared" si="5"/>
        <v>-1.3850086286792332E-5</v>
      </c>
      <c r="M57">
        <f t="shared" si="6"/>
        <v>0.19999999999998799</v>
      </c>
      <c r="N57">
        <f t="shared" si="7"/>
        <v>-4.8345921477966398E-8</v>
      </c>
      <c r="O57" t="str">
        <f t="shared" si="14"/>
        <v>408924.403685058-491635.266997678j</v>
      </c>
      <c r="P57">
        <f t="shared" si="8"/>
        <v>116.11643029041764</v>
      </c>
      <c r="Q57">
        <f t="shared" si="9"/>
        <v>-50.247542916569081</v>
      </c>
      <c r="R57">
        <f t="shared" si="10"/>
        <v>102.13703020369699</v>
      </c>
      <c r="S57">
        <f t="shared" si="11"/>
        <v>129.75244323334462</v>
      </c>
    </row>
    <row r="58" spans="7:19" x14ac:dyDescent="0.25">
      <c r="G58">
        <f t="shared" si="13"/>
        <v>0.10000000000000063</v>
      </c>
      <c r="H58">
        <f t="shared" si="0"/>
        <v>12.589254117941691</v>
      </c>
      <c r="I58" t="str">
        <f t="shared" si="3"/>
        <v>79.1006165022013j</v>
      </c>
      <c r="J58" t="str">
        <f>IMDIV(R_1,IMSUM('Opamp and C Stray Using B'!R_1,IMPRODUCT('Opamp and C Stray Using B'!R_f,IMSUM(1,IMPRODUCT(I58,C_s,R_1)))))</f>
        <v>0.199999999999987-5.06243945614056E-08j</v>
      </c>
      <c r="K58">
        <f t="shared" si="4"/>
        <v>-13.979400086720663</v>
      </c>
      <c r="L58">
        <f t="shared" si="5"/>
        <v>-1.450282074386853E-5</v>
      </c>
      <c r="M58">
        <f t="shared" si="6"/>
        <v>0.19999999999998699</v>
      </c>
      <c r="N58">
        <f t="shared" si="7"/>
        <v>-5.0624394561405599E-8</v>
      </c>
      <c r="O58" t="str">
        <f t="shared" si="14"/>
        <v>386863.179846856-487031.887996705j</v>
      </c>
      <c r="P58">
        <f t="shared" si="8"/>
        <v>115.87557397205659</v>
      </c>
      <c r="Q58">
        <f t="shared" si="9"/>
        <v>-51.538892047790121</v>
      </c>
      <c r="R58">
        <f t="shared" si="10"/>
        <v>101.89617388533593</v>
      </c>
      <c r="S58">
        <f t="shared" si="11"/>
        <v>128.46109344938912</v>
      </c>
    </row>
    <row r="59" spans="7:19" x14ac:dyDescent="0.25">
      <c r="G59">
        <f t="shared" si="13"/>
        <v>0.12000000000000063</v>
      </c>
      <c r="H59">
        <f t="shared" si="0"/>
        <v>13.18256738556409</v>
      </c>
      <c r="I59" t="str">
        <f t="shared" si="3"/>
        <v>82.8285137078811j</v>
      </c>
      <c r="J59" t="str">
        <f>IMDIV(R_1,IMSUM('Opamp and C Stray Using B'!R_1,IMPRODUCT('Opamp and C Stray Using B'!R_f,IMSUM(1,IMPRODUCT(I59,C_s,R_1)))))</f>
        <v>0.199999999999986-5.30102487730403E-08j</v>
      </c>
      <c r="K59">
        <f t="shared" si="4"/>
        <v>-13.979400086720679</v>
      </c>
      <c r="L59">
        <f t="shared" si="5"/>
        <v>-1.5186317628169509E-5</v>
      </c>
      <c r="M59">
        <f t="shared" si="6"/>
        <v>0.19999999999998599</v>
      </c>
      <c r="N59">
        <f t="shared" si="7"/>
        <v>-5.3010248773040301E-8</v>
      </c>
      <c r="O59" t="str">
        <f t="shared" si="14"/>
        <v>365256.664947682-481502.059869923j</v>
      </c>
      <c r="P59">
        <f t="shared" si="8"/>
        <v>115.62598149380028</v>
      </c>
      <c r="Q59">
        <f t="shared" si="9"/>
        <v>-52.816861511856409</v>
      </c>
      <c r="R59">
        <f t="shared" si="10"/>
        <v>101.64658140707961</v>
      </c>
      <c r="S59">
        <f t="shared" si="11"/>
        <v>127.18312330182596</v>
      </c>
    </row>
    <row r="60" spans="7:19" x14ac:dyDescent="0.25">
      <c r="G60">
        <f t="shared" si="13"/>
        <v>0.14000000000000062</v>
      </c>
      <c r="H60">
        <f t="shared" si="0"/>
        <v>13.803842646028869</v>
      </c>
      <c r="I60" t="str">
        <f t="shared" si="3"/>
        <v>86.7321012961476j</v>
      </c>
      <c r="J60" t="str">
        <f>IMDIV(R_1,IMSUM('Opamp and C Stray Using B'!R_1,IMPRODUCT('Opamp and C Stray Using B'!R_f,IMSUM(1,IMPRODUCT(I60,C_s,R_1)))))</f>
        <v>0.199999999999985-5.55085448295301E-08j</v>
      </c>
      <c r="K60">
        <f t="shared" si="4"/>
        <v>-13.979400086720693</v>
      </c>
      <c r="L60">
        <f t="shared" si="5"/>
        <v>-1.5902026728224795E-5</v>
      </c>
      <c r="M60">
        <f t="shared" si="6"/>
        <v>0.199999999999985</v>
      </c>
      <c r="N60">
        <f t="shared" si="7"/>
        <v>-5.5508544829530101E-8</v>
      </c>
      <c r="O60" t="str">
        <f t="shared" si="14"/>
        <v>344179.494087603-475099.957837511j</v>
      </c>
      <c r="P60">
        <f t="shared" si="8"/>
        <v>115.36784991877977</v>
      </c>
      <c r="Q60">
        <f t="shared" si="9"/>
        <v>-54.079076671224982</v>
      </c>
      <c r="R60">
        <f t="shared" si="10"/>
        <v>101.38844983205908</v>
      </c>
      <c r="S60">
        <f t="shared" si="11"/>
        <v>125.9209074267483</v>
      </c>
    </row>
    <row r="61" spans="7:19" x14ac:dyDescent="0.25">
      <c r="G61">
        <f t="shared" si="13"/>
        <v>0.16000000000000061</v>
      </c>
      <c r="H61">
        <f t="shared" si="0"/>
        <v>14.454397707459297</v>
      </c>
      <c r="I61" t="str">
        <f t="shared" si="3"/>
        <v>90.8196592996385j</v>
      </c>
      <c r="J61" t="str">
        <f>IMDIV(R_1,IMSUM('Opamp and C Stray Using B'!R_1,IMPRODUCT('Opamp and C Stray Using B'!R_f,IMSUM(1,IMPRODUCT(I61,C_s,R_1)))))</f>
        <v>0.199999999999983-5.81245819517639E-08j</v>
      </c>
      <c r="K61">
        <f t="shared" si="4"/>
        <v>-13.979400086720748</v>
      </c>
      <c r="L61">
        <f t="shared" si="5"/>
        <v>-1.665146615899269E-5</v>
      </c>
      <c r="M61">
        <f t="shared" si="6"/>
        <v>0.199999999999983</v>
      </c>
      <c r="N61">
        <f t="shared" si="7"/>
        <v>-5.8124581951763901E-8</v>
      </c>
      <c r="O61" t="str">
        <f t="shared" si="14"/>
        <v>323698.330507262-467886.440639258j</v>
      </c>
      <c r="P61">
        <f t="shared" si="8"/>
        <v>115.10140459509607</v>
      </c>
      <c r="Q61">
        <f t="shared" si="9"/>
        <v>-55.323314936084941</v>
      </c>
      <c r="R61">
        <f t="shared" si="10"/>
        <v>101.12200450837533</v>
      </c>
      <c r="S61">
        <f t="shared" si="11"/>
        <v>124.67666841244889</v>
      </c>
    </row>
    <row r="62" spans="7:19" x14ac:dyDescent="0.25">
      <c r="G62">
        <f t="shared" si="13"/>
        <v>0.1800000000000006</v>
      </c>
      <c r="H62">
        <f t="shared" si="0"/>
        <v>15.135612484362104</v>
      </c>
      <c r="I62" t="str">
        <f t="shared" si="3"/>
        <v>95.0998579769079j</v>
      </c>
      <c r="J62" t="str">
        <f>IMDIV(R_1,IMSUM('Opamp and C Stray Using B'!R_1,IMPRODUCT('Opamp and C Stray Using B'!R_f,IMSUM(1,IMPRODUCT(I62,C_s,R_1)))))</f>
        <v>0.199999999999981-6.08639091052156E-08j</v>
      </c>
      <c r="K62">
        <f t="shared" si="4"/>
        <v>-13.979400086720799</v>
      </c>
      <c r="L62">
        <f t="shared" si="5"/>
        <v>-1.7436225581984702E-5</v>
      </c>
      <c r="M62">
        <f t="shared" si="6"/>
        <v>0.199999999999981</v>
      </c>
      <c r="N62">
        <f t="shared" si="7"/>
        <v>-6.0863909105215596E-8</v>
      </c>
      <c r="O62" t="str">
        <f t="shared" si="14"/>
        <v>303871.2295704-459927.71759242j</v>
      </c>
      <c r="P62">
        <f t="shared" si="8"/>
        <v>114.82689583165489</v>
      </c>
      <c r="Q62">
        <f t="shared" si="9"/>
        <v>-56.547521654905722</v>
      </c>
      <c r="R62">
        <f t="shared" si="10"/>
        <v>100.84749574493409</v>
      </c>
      <c r="S62">
        <f t="shared" si="11"/>
        <v>123.45246090886869</v>
      </c>
    </row>
    <row r="63" spans="7:19" x14ac:dyDescent="0.25">
      <c r="G63">
        <f t="shared" si="13"/>
        <v>0.20000000000000059</v>
      </c>
      <c r="H63">
        <f t="shared" si="0"/>
        <v>15.848931924611158</v>
      </c>
      <c r="I63" t="str">
        <f t="shared" si="3"/>
        <v>99.5817762032063j</v>
      </c>
      <c r="J63" t="str">
        <f>IMDIV(R_1,IMSUM('Opamp and C Stray Using B'!R_1,IMPRODUCT('Opamp and C Stray Using B'!R_f,IMSUM(1,IMPRODUCT(I63,C_s,R_1)))))</f>
        <v>0.19999999999998-6.37323367700455E-08j</v>
      </c>
      <c r="K63">
        <f t="shared" si="4"/>
        <v>-13.979400086720805</v>
      </c>
      <c r="L63">
        <f t="shared" si="5"/>
        <v>-1.825796957715139E-5</v>
      </c>
      <c r="M63">
        <f t="shared" si="6"/>
        <v>0.19999999999998</v>
      </c>
      <c r="N63">
        <f t="shared" si="7"/>
        <v>-6.3732336770045506E-8</v>
      </c>
      <c r="O63" t="str">
        <f t="shared" si="14"/>
        <v>284747.2489508-451293.976434154j</v>
      </c>
      <c r="P63">
        <f t="shared" si="8"/>
        <v>114.54459536890704</v>
      </c>
      <c r="Q63">
        <f t="shared" si="9"/>
        <v>-57.749822425206617</v>
      </c>
      <c r="R63">
        <f t="shared" si="10"/>
        <v>100.56519528218624</v>
      </c>
      <c r="S63">
        <f t="shared" si="11"/>
        <v>122.25015931682381</v>
      </c>
    </row>
    <row r="64" spans="7:19" x14ac:dyDescent="0.25">
      <c r="G64">
        <f t="shared" si="13"/>
        <v>0.22000000000000058</v>
      </c>
      <c r="H64">
        <f t="shared" si="0"/>
        <v>16.595869074375628</v>
      </c>
      <c r="I64" t="str">
        <f t="shared" si="3"/>
        <v>104.274920727993j</v>
      </c>
      <c r="J64" t="str">
        <f>IMDIV(R_1,IMSUM('Opamp and C Stray Using B'!R_1,IMPRODUCT('Opamp and C Stray Using B'!R_f,IMSUM(1,IMPRODUCT(I64,C_s,R_1)))))</f>
        <v>0.199999999999978-6.67359492659082E-08j</v>
      </c>
      <c r="K64">
        <f t="shared" si="4"/>
        <v>-13.979400086720851</v>
      </c>
      <c r="L64">
        <f t="shared" si="5"/>
        <v>-1.9118441173680015E-5</v>
      </c>
      <c r="M64">
        <f t="shared" si="6"/>
        <v>0.199999999999978</v>
      </c>
      <c r="N64">
        <f t="shared" si="7"/>
        <v>-6.6735949265908203E-8</v>
      </c>
      <c r="O64" t="str">
        <f t="shared" si="14"/>
        <v>266366.297586193-442058.020056662j</v>
      </c>
      <c r="P64">
        <f t="shared" si="8"/>
        <v>114.25479274183418</v>
      </c>
      <c r="Q64">
        <f t="shared" si="9"/>
        <v>-58.928531785423274</v>
      </c>
      <c r="R64">
        <f t="shared" si="10"/>
        <v>100.27539265511334</v>
      </c>
      <c r="S64">
        <f t="shared" si="11"/>
        <v>121.07144909613555</v>
      </c>
    </row>
    <row r="65" spans="7:19" x14ac:dyDescent="0.25">
      <c r="G65">
        <f t="shared" si="13"/>
        <v>0.24000000000000057</v>
      </c>
      <c r="H65">
        <f t="shared" si="0"/>
        <v>17.378008287493778</v>
      </c>
      <c r="I65" t="str">
        <f t="shared" si="3"/>
        <v>109.189246340026j</v>
      </c>
      <c r="J65" t="str">
        <f>IMDIV(R_1,IMSUM('Opamp and C Stray Using B'!R_1,IMPRODUCT('Opamp and C Stray Using B'!R_f,IMSUM(1,IMPRODUCT(I65,C_s,R_1)))))</f>
        <v>0.199999999999976-6.98811176576083E-08j</v>
      </c>
      <c r="K65">
        <f t="shared" si="4"/>
        <v>-13.979400086720888</v>
      </c>
      <c r="L65">
        <f t="shared" si="5"/>
        <v>-2.001946554719203E-5</v>
      </c>
      <c r="M65">
        <f t="shared" si="6"/>
        <v>0.199999999999976</v>
      </c>
      <c r="N65">
        <f t="shared" si="7"/>
        <v>-6.9881117657608299E-8</v>
      </c>
      <c r="O65" t="str">
        <f t="shared" si="14"/>
        <v>248759.206466288-432293.955156154j</v>
      </c>
      <c r="P65">
        <f t="shared" si="8"/>
        <v>113.95779162758538</v>
      </c>
      <c r="Q65">
        <f t="shared" si="9"/>
        <v>-60.082158369433451</v>
      </c>
      <c r="R65">
        <f t="shared" si="10"/>
        <v>99.978391540864493</v>
      </c>
      <c r="S65">
        <f t="shared" si="11"/>
        <v>119.917821611101</v>
      </c>
    </row>
    <row r="66" spans="7:19" x14ac:dyDescent="0.25">
      <c r="G66">
        <f t="shared" si="13"/>
        <v>0.26000000000000056</v>
      </c>
      <c r="H66">
        <f t="shared" si="0"/>
        <v>18.197008586099862</v>
      </c>
      <c r="I66" t="str">
        <f t="shared" si="3"/>
        <v>114.335176982803j</v>
      </c>
      <c r="J66" t="str">
        <f>IMDIV(R_1,IMSUM('Opamp and C Stray Using B'!R_1,IMPRODUCT('Opamp and C Stray Using B'!R_f,IMSUM(1,IMPRODUCT(I66,C_s,R_1)))))</f>
        <v>0.199999999999973-7.31745132689842E-08j</v>
      </c>
      <c r="K66">
        <f t="shared" si="4"/>
        <v>-13.979400086720965</v>
      </c>
      <c r="L66">
        <f t="shared" si="5"/>
        <v>-2.0962953891186075E-5</v>
      </c>
      <c r="M66">
        <f t="shared" si="6"/>
        <v>0.199999999999973</v>
      </c>
      <c r="N66">
        <f t="shared" si="7"/>
        <v>-7.3174513268984205E-8</v>
      </c>
      <c r="O66" t="str">
        <f t="shared" si="14"/>
        <v>231947.996832417-422075.968988814j</v>
      </c>
      <c r="P66">
        <f t="shared" si="8"/>
        <v>113.65390626182719</v>
      </c>
      <c r="Q66">
        <f t="shared" si="9"/>
        <v>-61.209406710107977</v>
      </c>
      <c r="R66">
        <f t="shared" si="10"/>
        <v>99.674506175106217</v>
      </c>
      <c r="S66">
        <f t="shared" si="11"/>
        <v>118.79057232693813</v>
      </c>
    </row>
    <row r="67" spans="7:19" x14ac:dyDescent="0.25">
      <c r="G67">
        <f t="shared" si="13"/>
        <v>0.28000000000000058</v>
      </c>
      <c r="H67">
        <f t="shared" ref="H67:H130" si="15">$B$3*10^G67</f>
        <v>19.054607179632498</v>
      </c>
      <c r="I67" t="str">
        <f t="shared" si="3"/>
        <v>119.723627865146j</v>
      </c>
      <c r="J67" t="str">
        <f>IMDIV(R_1,IMSUM('Opamp and C Stray Using B'!R_1,IMPRODUCT('Opamp and C Stray Using B'!R_f,IMSUM(1,IMPRODUCT(I67,C_s,R_1)))))</f>
        <v>0.199999999999971-7.66231218336824E-08j</v>
      </c>
      <c r="K67">
        <f t="shared" si="4"/>
        <v>-13.979400086720998</v>
      </c>
      <c r="L67">
        <f t="shared" si="5"/>
        <v>-2.1950907470935661E-5</v>
      </c>
      <c r="M67">
        <f t="shared" si="6"/>
        <v>0.19999999999997101</v>
      </c>
      <c r="N67">
        <f t="shared" si="7"/>
        <v>-7.6623121833682397E-8</v>
      </c>
      <c r="O67" t="str">
        <f t="shared" ref="O67:O130" si="16">IMDIV(Aolv,IMSUM(1,IMDIV(I67,wc)))</f>
        <v>215946.316112183-411477.222540641j</v>
      </c>
      <c r="P67">
        <f t="shared" si="8"/>
        <v>113.3434579969726</v>
      </c>
      <c r="Q67">
        <f t="shared" si="9"/>
        <v>-62.309175963519642</v>
      </c>
      <c r="R67">
        <f t="shared" si="10"/>
        <v>99.364057910251603</v>
      </c>
      <c r="S67">
        <f t="shared" si="11"/>
        <v>117.69080208557288</v>
      </c>
    </row>
    <row r="68" spans="7:19" x14ac:dyDescent="0.25">
      <c r="G68">
        <f t="shared" ref="G68:G131" si="17">G67+(1/ppd)</f>
        <v>0.3000000000000006</v>
      </c>
      <c r="H68">
        <f t="shared" si="15"/>
        <v>19.952623149688826</v>
      </c>
      <c r="I68" t="str">
        <f t="shared" ref="I68:I131" si="18">COMPLEX(0,H68*2*PI(),"j")</f>
        <v>125.366028613816j</v>
      </c>
      <c r="J68" t="str">
        <f>IMDIV(R_1,IMSUM('Opamp and C Stray Using B'!R_1,IMPRODUCT('Opamp and C Stray Using B'!R_f,IMSUM(1,IMPRODUCT(I68,C_s,R_1)))))</f>
        <v>0.199999999999968-8.02342583128295E-08j</v>
      </c>
      <c r="K68">
        <f t="shared" ref="K68:K131" si="19">20*LOG(IMABS(J68))</f>
        <v>-13.979400086721068</v>
      </c>
      <c r="L68">
        <f t="shared" ref="L68:L131" si="20">DEGREES(IMARGUMENT(J68))</f>
        <v>-2.2985421868440302E-5</v>
      </c>
      <c r="M68">
        <f t="shared" ref="M68:M131" si="21">IMREAL(J68)</f>
        <v>0.19999999999996801</v>
      </c>
      <c r="N68">
        <f t="shared" ref="N68:N131" si="22">IMAGINARY(J68)</f>
        <v>-8.0234258312829502E-8</v>
      </c>
      <c r="O68" t="str">
        <f t="shared" si="16"/>
        <v>200760.008913102-400568.880137128j</v>
      </c>
      <c r="P68">
        <f t="shared" ref="P68:P131" si="23">20*LOG(IMABS(O68))</f>
        <v>113.02677206291305</v>
      </c>
      <c r="Q68">
        <f t="shared" ref="Q68:Q131" si="24">DEGREES(IMARGUMENT(O68))</f>
        <v>-63.380555889207095</v>
      </c>
      <c r="R68">
        <f t="shared" ref="R68:R131" si="25">P68+K68</f>
        <v>99.047371976191982</v>
      </c>
      <c r="S68">
        <f t="shared" ref="S68:S131" si="26">(Q68+L68)-(-180)</f>
        <v>116.61942112537103</v>
      </c>
    </row>
    <row r="69" spans="7:19" x14ac:dyDescent="0.25">
      <c r="G69">
        <f t="shared" si="17"/>
        <v>0.32000000000000062</v>
      </c>
      <c r="H69">
        <f t="shared" si="15"/>
        <v>20.892961308540428</v>
      </c>
      <c r="I69" t="str">
        <f t="shared" si="18"/>
        <v>131.274347517293j</v>
      </c>
      <c r="J69" t="str">
        <f>IMDIV(R_1,IMSUM('Opamp and C Stray Using B'!R_1,IMPRODUCT('Opamp and C Stray Using B'!R_f,IMSUM(1,IMPRODUCT(I69,C_s,R_1)))))</f>
        <v>0.199999999999965-8.40155824110528E-08j</v>
      </c>
      <c r="K69">
        <f t="shared" si="19"/>
        <v>-13.979400086721128</v>
      </c>
      <c r="L69">
        <f t="shared" si="20"/>
        <v>-2.4068691427437187E-5</v>
      </c>
      <c r="M69">
        <f t="shared" si="21"/>
        <v>0.19999999999996501</v>
      </c>
      <c r="N69">
        <f t="shared" si="22"/>
        <v>-8.4015582411052803E-8</v>
      </c>
      <c r="O69" t="str">
        <f t="shared" si="16"/>
        <v>186387.789494412-389419.287429114j</v>
      </c>
      <c r="P69">
        <f t="shared" si="23"/>
        <v>112.70417457755644</v>
      </c>
      <c r="Q69">
        <f t="shared" si="24"/>
        <v>-64.422820463980571</v>
      </c>
      <c r="R69">
        <f t="shared" si="25"/>
        <v>98.724774490835316</v>
      </c>
      <c r="S69">
        <f t="shared" si="26"/>
        <v>115.577155467328</v>
      </c>
    </row>
    <row r="70" spans="7:19" x14ac:dyDescent="0.25">
      <c r="G70">
        <f t="shared" si="17"/>
        <v>0.34000000000000064</v>
      </c>
      <c r="H70">
        <f t="shared" si="15"/>
        <v>21.877616239495559</v>
      </c>
      <c r="I70" t="str">
        <f t="shared" si="18"/>
        <v>137.461116912112j</v>
      </c>
      <c r="J70" t="str">
        <f>IMDIV(R_1,IMSUM('Opamp and C Stray Using B'!R_1,IMPRODUCT('Opamp and C Stray Using B'!R_f,IMSUM(1,IMPRODUCT(I70,C_s,R_1)))))</f>
        <v>0.199999999999961-8.79751148237346E-08j</v>
      </c>
      <c r="K70">
        <f t="shared" si="19"/>
        <v>-13.979400086721229</v>
      </c>
      <c r="L70">
        <f t="shared" si="20"/>
        <v>-2.520301390789728E-5</v>
      </c>
      <c r="M70">
        <f t="shared" si="21"/>
        <v>0.19999999999996099</v>
      </c>
      <c r="N70">
        <f t="shared" si="22"/>
        <v>-8.79751148237346E-8</v>
      </c>
      <c r="O70" t="str">
        <f t="shared" si="16"/>
        <v>172821.983036859-378093.302262903j</v>
      </c>
      <c r="P70">
        <f t="shared" si="23"/>
        <v>112.37598984117291</v>
      </c>
      <c r="Q70">
        <f t="shared" si="24"/>
        <v>-65.435419528240587</v>
      </c>
      <c r="R70">
        <f t="shared" si="25"/>
        <v>98.396589754451682</v>
      </c>
      <c r="S70">
        <f t="shared" si="26"/>
        <v>114.56455526874551</v>
      </c>
    </row>
    <row r="71" spans="7:19" x14ac:dyDescent="0.25">
      <c r="G71">
        <f t="shared" si="17"/>
        <v>0.36000000000000065</v>
      </c>
      <c r="H71">
        <f t="shared" si="15"/>
        <v>22.908676527677766</v>
      </c>
      <c r="I71" t="str">
        <f t="shared" si="18"/>
        <v>143.939459765635j</v>
      </c>
      <c r="J71" t="str">
        <f>IMDIV(R_1,IMSUM('Opamp and C Stray Using B'!R_1,IMPRODUCT('Opamp and C Stray Using B'!R_f,IMSUM(1,IMPRODUCT(I71,C_s,R_1)))))</f>
        <v>0.199999999999958-9.21212542499869E-08j</v>
      </c>
      <c r="K71">
        <f t="shared" si="19"/>
        <v>-13.979400086721279</v>
      </c>
      <c r="L71">
        <f t="shared" si="20"/>
        <v>-2.6390795359882915E-5</v>
      </c>
      <c r="M71">
        <f t="shared" si="21"/>
        <v>0.19999999999995799</v>
      </c>
      <c r="N71">
        <f t="shared" si="22"/>
        <v>-9.2121254249986901E-8</v>
      </c>
      <c r="O71" t="str">
        <f t="shared" si="16"/>
        <v>160049.305365246-366651.776509194j</v>
      </c>
      <c r="P71">
        <f t="shared" si="23"/>
        <v>112.04253793589834</v>
      </c>
      <c r="Q71">
        <f t="shared" si="24"/>
        <v>-66.417968866963804</v>
      </c>
      <c r="R71">
        <f t="shared" si="25"/>
        <v>98.063137849177053</v>
      </c>
      <c r="S71">
        <f t="shared" si="26"/>
        <v>113.58200474224084</v>
      </c>
    </row>
    <row r="72" spans="7:19" x14ac:dyDescent="0.25">
      <c r="G72">
        <f t="shared" si="17"/>
        <v>0.38000000000000067</v>
      </c>
      <c r="H72">
        <f t="shared" si="15"/>
        <v>23.988329190194943</v>
      </c>
      <c r="I72" t="str">
        <f t="shared" si="18"/>
        <v>150.72311751162j</v>
      </c>
      <c r="J72" t="str">
        <f>IMDIV(R_1,IMSUM('Opamp and C Stray Using B'!R_1,IMPRODUCT('Opamp and C Stray Using B'!R_f,IMSUM(1,IMPRODUCT(I72,C_s,R_1)))))</f>
        <v>0.199999999999953-9.64627952074144E-08j</v>
      </c>
      <c r="K72">
        <f t="shared" si="19"/>
        <v>-13.979400086721407</v>
      </c>
      <c r="L72">
        <f t="shared" si="20"/>
        <v>-2.7634555227102505E-5</v>
      </c>
      <c r="M72">
        <f t="shared" si="21"/>
        <v>0.19999999999995299</v>
      </c>
      <c r="N72">
        <f t="shared" si="22"/>
        <v>-9.6462795207414406E-8</v>
      </c>
      <c r="O72" t="str">
        <f t="shared" si="16"/>
        <v>148051.654147426-355151.181684135j</v>
      </c>
      <c r="P72">
        <f t="shared" si="23"/>
        <v>111.704132640258</v>
      </c>
      <c r="Q72">
        <f t="shared" si="24"/>
        <v>-67.370239115224251</v>
      </c>
      <c r="R72">
        <f t="shared" si="25"/>
        <v>97.724732553536583</v>
      </c>
      <c r="S72">
        <f t="shared" si="26"/>
        <v>112.62973325022053</v>
      </c>
    </row>
    <row r="73" spans="7:19" x14ac:dyDescent="0.25">
      <c r="G73">
        <f t="shared" si="17"/>
        <v>0.40000000000000069</v>
      </c>
      <c r="H73">
        <f t="shared" si="15"/>
        <v>25.118864315095841</v>
      </c>
      <c r="I73" t="str">
        <f t="shared" si="18"/>
        <v>157.826479197648j</v>
      </c>
      <c r="J73" t="str">
        <f>IMDIV(R_1,IMSUM('Opamp and C Stray Using B'!R_1,IMPRODUCT('Opamp and C Stray Using B'!R_f,IMSUM(1,IMPRODUCT(I73,C_s,R_1)))))</f>
        <v>0.199999999999949-1.01008946686469E-07j</v>
      </c>
      <c r="K73">
        <f t="shared" si="19"/>
        <v>-13.979400086721485</v>
      </c>
      <c r="L73">
        <f t="shared" si="20"/>
        <v>-2.8936931690987993E-5</v>
      </c>
      <c r="M73">
        <f t="shared" si="21"/>
        <v>0.199999999999949</v>
      </c>
      <c r="N73">
        <f t="shared" si="22"/>
        <v>-1.01008946686469E-7</v>
      </c>
      <c r="O73" t="str">
        <f t="shared" si="16"/>
        <v>136806.888603209-343643.367219445j</v>
      </c>
      <c r="P73">
        <f t="shared" si="23"/>
        <v>111.36107965856618</v>
      </c>
      <c r="Q73">
        <f t="shared" si="24"/>
        <v>-68.29214385369103</v>
      </c>
      <c r="R73">
        <f t="shared" si="25"/>
        <v>97.3816795718447</v>
      </c>
      <c r="S73">
        <f t="shared" si="26"/>
        <v>111.70782720937729</v>
      </c>
    </row>
    <row r="74" spans="7:19" x14ac:dyDescent="0.25">
      <c r="G74">
        <f t="shared" si="17"/>
        <v>0.42000000000000071</v>
      </c>
      <c r="H74">
        <f t="shared" si="15"/>
        <v>26.302679918953867</v>
      </c>
      <c r="I74" t="str">
        <f t="shared" si="18"/>
        <v>165.264612006218j</v>
      </c>
      <c r="J74" t="str">
        <f>IMDIV(R_1,IMSUM('Opamp and C Stray Using B'!R_1,IMPRODUCT('Opamp and C Stray Using B'!R_f,IMSUM(1,IMPRODUCT(I74,C_s,R_1)))))</f>
        <v>0.199999999999944-1.0576935168395E-07j</v>
      </c>
      <c r="K74">
        <f t="shared" si="19"/>
        <v>-13.979400086721594</v>
      </c>
      <c r="L74">
        <f t="shared" si="20"/>
        <v>-3.0300687266631966E-5</v>
      </c>
      <c r="M74">
        <f t="shared" si="21"/>
        <v>0.199999999999944</v>
      </c>
      <c r="N74">
        <f t="shared" si="22"/>
        <v>-1.0576935168395E-7</v>
      </c>
      <c r="O74" t="str">
        <f t="shared" si="16"/>
        <v>126289.579054919-332175.437498094j</v>
      </c>
      <c r="P74">
        <f t="shared" si="23"/>
        <v>111.01367515672794</v>
      </c>
      <c r="Q74">
        <f t="shared" si="24"/>
        <v>-69.183727226264295</v>
      </c>
      <c r="R74">
        <f t="shared" si="25"/>
        <v>97.034275070006345</v>
      </c>
      <c r="S74">
        <f t="shared" si="26"/>
        <v>110.81624247304843</v>
      </c>
    </row>
    <row r="75" spans="7:19" x14ac:dyDescent="0.25">
      <c r="G75">
        <f t="shared" si="17"/>
        <v>0.44000000000000072</v>
      </c>
      <c r="H75">
        <f t="shared" si="15"/>
        <v>27.542287033381715</v>
      </c>
      <c r="I75" t="str">
        <f t="shared" si="18"/>
        <v>173.053293214267j</v>
      </c>
      <c r="J75" t="str">
        <f>IMDIV(R_1,IMSUM('Opamp and C Stray Using B'!R_1,IMPRODUCT('Opamp and C Stray Using B'!R_f,IMSUM(1,IMPRODUCT(I75,C_s,R_1)))))</f>
        <v>0.199999999999939-1.10754107657097E-07j</v>
      </c>
      <c r="K75">
        <f t="shared" si="19"/>
        <v>-13.979400086721693</v>
      </c>
      <c r="L75">
        <f t="shared" si="20"/>
        <v>-3.1728714662452493E-5</v>
      </c>
      <c r="M75">
        <f t="shared" si="21"/>
        <v>0.199999999999939</v>
      </c>
      <c r="N75">
        <f t="shared" si="22"/>
        <v>-1.10754107657097E-7</v>
      </c>
      <c r="O75" t="str">
        <f t="shared" si="16"/>
        <v>116471.71194356-320789.732161889j</v>
      </c>
      <c r="P75">
        <f t="shared" si="23"/>
        <v>110.6622045893632</v>
      </c>
      <c r="Q75">
        <f t="shared" si="24"/>
        <v>-70.045151373019237</v>
      </c>
      <c r="R75">
        <f t="shared" si="25"/>
        <v>96.682804502641503</v>
      </c>
      <c r="S75">
        <f t="shared" si="26"/>
        <v>109.9548168982661</v>
      </c>
    </row>
    <row r="76" spans="7:19" x14ac:dyDescent="0.25">
      <c r="G76">
        <f t="shared" si="17"/>
        <v>0.46000000000000074</v>
      </c>
      <c r="H76">
        <f t="shared" si="15"/>
        <v>28.840315031266112</v>
      </c>
      <c r="I76" t="str">
        <f t="shared" si="18"/>
        <v>181.209043658882j</v>
      </c>
      <c r="J76" t="str">
        <f>IMDIV(R_1,IMSUM('Opamp and C Stray Using B'!R_1,IMPRODUCT('Opamp and C Stray Using B'!R_f,IMSUM(1,IMPRODUCT(I76,C_s,R_1)))))</f>
        <v>0.199999999999933-1.15973787941645E-07j</v>
      </c>
      <c r="K76">
        <f t="shared" si="19"/>
        <v>-13.979400086721824</v>
      </c>
      <c r="L76">
        <f t="shared" si="20"/>
        <v>-3.3224042916014688E-5</v>
      </c>
      <c r="M76">
        <f t="shared" si="21"/>
        <v>0.19999999999993301</v>
      </c>
      <c r="N76">
        <f t="shared" si="22"/>
        <v>-1.15973787941645E-7</v>
      </c>
      <c r="O76" t="str">
        <f t="shared" si="16"/>
        <v>107323.339993846-309523.893563019j</v>
      </c>
      <c r="P76">
        <f t="shared" si="23"/>
        <v>110.30694179824776</v>
      </c>
      <c r="Q76">
        <f t="shared" si="24"/>
        <v>-70.876683929712343</v>
      </c>
      <c r="R76">
        <f t="shared" si="25"/>
        <v>96.327541711525939</v>
      </c>
      <c r="S76">
        <f t="shared" si="26"/>
        <v>109.12328284624473</v>
      </c>
    </row>
    <row r="77" spans="7:19" x14ac:dyDescent="0.25">
      <c r="G77">
        <f t="shared" si="17"/>
        <v>0.48000000000000076</v>
      </c>
      <c r="H77">
        <f t="shared" si="15"/>
        <v>30.199517204020218</v>
      </c>
      <c r="I77" t="str">
        <f t="shared" si="18"/>
        <v>189.749162780217j</v>
      </c>
      <c r="J77" t="str">
        <f>IMDIV(R_1,IMSUM('Opamp and C Stray Using B'!R_1,IMPRODUCT('Opamp and C Stray Using B'!R_f,IMSUM(1,IMPRODUCT(I77,C_s,R_1)))))</f>
        <v>0.199999999999926-1.21439464179294E-07j</v>
      </c>
      <c r="K77">
        <f t="shared" si="19"/>
        <v>-13.97940008672199</v>
      </c>
      <c r="L77">
        <f t="shared" si="20"/>
        <v>-3.4789843819027037E-5</v>
      </c>
      <c r="M77">
        <f t="shared" si="21"/>
        <v>0.19999999999992599</v>
      </c>
      <c r="N77">
        <f t="shared" si="22"/>
        <v>-1.21439464179294E-7</v>
      </c>
      <c r="O77" t="str">
        <f t="shared" si="16"/>
        <v>98813.1708783321-298411.005392398j</v>
      </c>
      <c r="P77">
        <f t="shared" si="23"/>
        <v>109.94814835868503</v>
      </c>
      <c r="Q77">
        <f t="shared" si="24"/>
        <v>-71.678685802616144</v>
      </c>
      <c r="R77">
        <f t="shared" si="25"/>
        <v>95.968748271963037</v>
      </c>
      <c r="S77">
        <f t="shared" si="26"/>
        <v>108.32127940754003</v>
      </c>
    </row>
    <row r="78" spans="7:19" x14ac:dyDescent="0.25">
      <c r="G78">
        <f t="shared" si="17"/>
        <v>0.50000000000000078</v>
      </c>
      <c r="H78">
        <f t="shared" si="15"/>
        <v>31.622776601683853</v>
      </c>
      <c r="I78" t="str">
        <f t="shared" si="18"/>
        <v>198.691765315922j</v>
      </c>
      <c r="J78" t="str">
        <f>IMDIV(R_1,IMSUM('Opamp and C Stray Using B'!R_1,IMPRODUCT('Opamp and C Stray Using B'!R_f,IMSUM(1,IMPRODUCT(I78,C_s,R_1)))))</f>
        <v>0.199999999999919-1.27162729802139E-07j</v>
      </c>
      <c r="K78">
        <f t="shared" si="19"/>
        <v>-13.979400086722141</v>
      </c>
      <c r="L78">
        <f t="shared" si="20"/>
        <v>-3.6429438645134944E-5</v>
      </c>
      <c r="M78">
        <f t="shared" si="21"/>
        <v>0.19999999999991899</v>
      </c>
      <c r="N78">
        <f t="shared" si="22"/>
        <v>-1.2716272980213899E-7</v>
      </c>
      <c r="O78" t="str">
        <f t="shared" si="16"/>
        <v>90909.0909090909-287479.787288034j</v>
      </c>
      <c r="P78">
        <f t="shared" si="23"/>
        <v>109.58607314841773</v>
      </c>
      <c r="Q78">
        <f t="shared" si="24"/>
        <v>-72.451599386207675</v>
      </c>
      <c r="R78">
        <f t="shared" si="25"/>
        <v>95.606673061695588</v>
      </c>
      <c r="S78">
        <f t="shared" si="26"/>
        <v>107.54836418435367</v>
      </c>
    </row>
    <row r="79" spans="7:19" x14ac:dyDescent="0.25">
      <c r="G79">
        <f t="shared" si="17"/>
        <v>0.52000000000000079</v>
      </c>
      <c r="H79">
        <f t="shared" si="15"/>
        <v>33.113112148259177</v>
      </c>
      <c r="I79" t="str">
        <f t="shared" si="18"/>
        <v>208.055819724932j</v>
      </c>
      <c r="J79" t="str">
        <f>IMDIV(R_1,IMSUM('Opamp and C Stray Using B'!R_1,IMPRODUCT('Opamp and C Stray Using B'!R_f,IMSUM(1,IMPRODUCT(I79,C_s,R_1)))))</f>
        <v>0.199999999999911-1.33155724623897E-07j</v>
      </c>
      <c r="K79">
        <f t="shared" si="19"/>
        <v>-13.979400086722315</v>
      </c>
      <c r="L79">
        <f t="shared" si="20"/>
        <v>-3.8146305194788885E-5</v>
      </c>
      <c r="M79">
        <f t="shared" si="21"/>
        <v>0.199999999999911</v>
      </c>
      <c r="N79">
        <f t="shared" si="22"/>
        <v>-1.33155724623897E-7</v>
      </c>
      <c r="O79" t="str">
        <f t="shared" si="16"/>
        <v>83578.6229304861-276754.831429426j</v>
      </c>
      <c r="P79">
        <f t="shared" si="23"/>
        <v>109.22095211284542</v>
      </c>
      <c r="Q79">
        <f t="shared" si="24"/>
        <v>-73.195937352661531</v>
      </c>
      <c r="R79">
        <f t="shared" si="25"/>
        <v>95.241552026123117</v>
      </c>
      <c r="S79">
        <f t="shared" si="26"/>
        <v>106.80402450103327</v>
      </c>
    </row>
    <row r="80" spans="7:19" x14ac:dyDescent="0.25">
      <c r="G80">
        <f t="shared" si="17"/>
        <v>0.54000000000000081</v>
      </c>
      <c r="H80">
        <f t="shared" si="15"/>
        <v>34.673685045253237</v>
      </c>
      <c r="I80" t="str">
        <f t="shared" si="18"/>
        <v>217.861188422108j</v>
      </c>
      <c r="J80" t="str">
        <f>IMDIV(R_1,IMSUM('Opamp and C Stray Using B'!R_1,IMPRODUCT('Opamp and C Stray Using B'!R_f,IMSUM(1,IMPRODUCT(I80,C_s,R_1)))))</f>
        <v>0.199999999999903-1.39431160590081E-07j</v>
      </c>
      <c r="K80">
        <f t="shared" si="19"/>
        <v>-13.97940008672248</v>
      </c>
      <c r="L80">
        <f t="shared" si="20"/>
        <v>-3.9944085172125167E-5</v>
      </c>
      <c r="M80">
        <f t="shared" si="21"/>
        <v>0.19999999999990301</v>
      </c>
      <c r="N80">
        <f t="shared" si="22"/>
        <v>-1.39431160590081E-7</v>
      </c>
      <c r="O80" t="str">
        <f t="shared" si="16"/>
        <v>76789.3196970997-266256.86860165j</v>
      </c>
      <c r="P80">
        <f t="shared" si="23"/>
        <v>108.85300820042355</v>
      </c>
      <c r="Q80">
        <f t="shared" si="24"/>
        <v>-73.912272107067182</v>
      </c>
      <c r="R80">
        <f t="shared" si="25"/>
        <v>94.873608113701067</v>
      </c>
      <c r="S80">
        <f t="shared" si="26"/>
        <v>106.08768794884764</v>
      </c>
    </row>
    <row r="81" spans="7:19" x14ac:dyDescent="0.25">
      <c r="G81">
        <f t="shared" si="17"/>
        <v>0.56000000000000083</v>
      </c>
      <c r="H81">
        <f t="shared" si="15"/>
        <v>36.307805477010206</v>
      </c>
      <c r="I81" t="str">
        <f t="shared" si="18"/>
        <v>228.128669909085j</v>
      </c>
      <c r="J81" t="str">
        <f>IMDIV(R_1,IMSUM('Opamp and C Stray Using B'!R_1,IMPRODUCT('Opamp and C Stray Using B'!R_f,IMSUM(1,IMPRODUCT(I81,C_s,R_1)))))</f>
        <v>0.199999999999893-1.46002348741737E-07j</v>
      </c>
      <c r="K81">
        <f t="shared" si="19"/>
        <v>-13.979400086722709</v>
      </c>
      <c r="L81">
        <f t="shared" si="20"/>
        <v>-4.1826591909508518E-5</v>
      </c>
      <c r="M81">
        <f t="shared" si="21"/>
        <v>0.19999999999989301</v>
      </c>
      <c r="N81">
        <f t="shared" si="22"/>
        <v>-1.4600234874173699E-7</v>
      </c>
      <c r="O81" t="str">
        <f t="shared" si="16"/>
        <v>70509.0956252294-256003.052832074j</v>
      </c>
      <c r="P81">
        <f t="shared" si="23"/>
        <v>108.48245144297078</v>
      </c>
      <c r="Q81">
        <f t="shared" si="24"/>
        <v>-74.601225971393006</v>
      </c>
      <c r="R81">
        <f t="shared" si="25"/>
        <v>94.503051356248079</v>
      </c>
      <c r="S81">
        <f t="shared" si="26"/>
        <v>105.39873220201508</v>
      </c>
    </row>
    <row r="82" spans="7:19" x14ac:dyDescent="0.25">
      <c r="G82">
        <f t="shared" si="17"/>
        <v>0.58000000000000085</v>
      </c>
      <c r="H82">
        <f t="shared" si="15"/>
        <v>38.018939632056195</v>
      </c>
      <c r="I82" t="str">
        <f t="shared" si="18"/>
        <v>238.880042890683j</v>
      </c>
      <c r="J82" t="str">
        <f>IMDIV(R_1,IMSUM('Opamp and C Stray Using B'!R_1,IMPRODUCT('Opamp and C Stray Using B'!R_f,IMSUM(1,IMPRODUCT(I82,C_s,R_1)))))</f>
        <v>0.199999999999883-1.52883227449948E-07j</v>
      </c>
      <c r="K82">
        <f t="shared" si="19"/>
        <v>-13.979400086722919</v>
      </c>
      <c r="L82">
        <f t="shared" si="20"/>
        <v>-4.3797818456120268E-5</v>
      </c>
      <c r="M82">
        <f t="shared" si="21"/>
        <v>0.19999999999988299</v>
      </c>
      <c r="N82">
        <f t="shared" si="22"/>
        <v>-1.5288322744994799E-7</v>
      </c>
      <c r="O82" t="str">
        <f t="shared" si="16"/>
        <v>64706.5009539215-246007.255356873j</v>
      </c>
      <c r="P82">
        <f t="shared" si="23"/>
        <v>108.10947915700895</v>
      </c>
      <c r="Q82">
        <f t="shared" si="24"/>
        <v>-75.263462133643174</v>
      </c>
      <c r="R82">
        <f t="shared" si="25"/>
        <v>94.13007907028603</v>
      </c>
      <c r="S82">
        <f t="shared" si="26"/>
        <v>104.73649406853838</v>
      </c>
    </row>
    <row r="83" spans="7:19" x14ac:dyDescent="0.25">
      <c r="G83">
        <f t="shared" si="17"/>
        <v>0.60000000000000087</v>
      </c>
      <c r="H83">
        <f t="shared" si="15"/>
        <v>39.810717055349805</v>
      </c>
      <c r="I83" t="str">
        <f t="shared" si="18"/>
        <v>250.138112470458j</v>
      </c>
      <c r="J83" t="str">
        <f>IMDIV(R_1,IMSUM('Opamp and C Stray Using B'!R_1,IMPRODUCT('Opamp and C Stray Using B'!R_f,IMSUM(1,IMPRODUCT(I83,C_s,R_1)))))</f>
        <v>0.199999999999872-1.6008839198099E-07j</v>
      </c>
      <c r="K83">
        <f t="shared" si="19"/>
        <v>-13.979400086723155</v>
      </c>
      <c r="L83">
        <f t="shared" si="20"/>
        <v>-4.5861946047753049E-5</v>
      </c>
      <c r="M83">
        <f t="shared" si="21"/>
        <v>0.199999999999872</v>
      </c>
      <c r="N83">
        <f t="shared" si="22"/>
        <v>-1.6008839198099E-7</v>
      </c>
      <c r="O83" t="str">
        <f t="shared" si="16"/>
        <v>59350.9431027671-236280.360283243j</v>
      </c>
      <c r="P83">
        <f t="shared" si="23"/>
        <v>107.73427624403894</v>
      </c>
      <c r="Q83">
        <f t="shared" si="24"/>
        <v>-75.899676376410852</v>
      </c>
      <c r="R83">
        <f t="shared" si="25"/>
        <v>93.754876157315778</v>
      </c>
      <c r="S83">
        <f t="shared" si="26"/>
        <v>104.1002777616431</v>
      </c>
    </row>
    <row r="84" spans="7:19" x14ac:dyDescent="0.25">
      <c r="G84">
        <f t="shared" si="17"/>
        <v>0.62000000000000088</v>
      </c>
      <c r="H84">
        <f t="shared" si="15"/>
        <v>41.686938347033625</v>
      </c>
      <c r="I84" t="str">
        <f t="shared" si="18"/>
        <v>261.926758523383j</v>
      </c>
      <c r="J84" t="str">
        <f>IMDIV(R_1,IMSUM('Opamp and C Stray Using B'!R_1,IMPRODUCT('Opamp and C Stray Using B'!R_f,IMSUM(1,IMPRODUCT(I84,C_s,R_1)))))</f>
        <v>0.19999999999986-1.67633125454847E-07j</v>
      </c>
      <c r="K84">
        <f t="shared" si="19"/>
        <v>-13.979400086723405</v>
      </c>
      <c r="L84">
        <f t="shared" si="20"/>
        <v>-4.8023352975771276E-5</v>
      </c>
      <c r="M84">
        <f t="shared" si="21"/>
        <v>0.19999999999986001</v>
      </c>
      <c r="N84">
        <f t="shared" si="22"/>
        <v>-1.6763312545484701E-7</v>
      </c>
      <c r="O84" t="str">
        <f t="shared" si="16"/>
        <v>54412.8604338751-226830.555819269j</v>
      </c>
      <c r="P84">
        <f t="shared" si="23"/>
        <v>107.35701556966274</v>
      </c>
      <c r="Q84">
        <f t="shared" si="24"/>
        <v>-76.510589580899691</v>
      </c>
      <c r="R84">
        <f t="shared" si="25"/>
        <v>93.377615482939333</v>
      </c>
      <c r="S84">
        <f t="shared" si="26"/>
        <v>103.48936239574734</v>
      </c>
    </row>
    <row r="85" spans="7:19" x14ac:dyDescent="0.25">
      <c r="G85">
        <f t="shared" si="17"/>
        <v>0.6400000000000009</v>
      </c>
      <c r="H85">
        <f t="shared" si="15"/>
        <v>43.651583224016697</v>
      </c>
      <c r="I85" t="str">
        <f t="shared" si="18"/>
        <v>274.270986348269j</v>
      </c>
      <c r="J85" t="str">
        <f>IMDIV(R_1,IMSUM('Opamp and C Stray Using B'!R_1,IMPRODUCT('Opamp and C Stray Using B'!R_f,IMSUM(1,IMPRODUCT(I85,C_s,R_1)))))</f>
        <v>0.199999999999846-1.75533431262758E-07j</v>
      </c>
      <c r="K85">
        <f t="shared" si="19"/>
        <v>-13.979400086723722</v>
      </c>
      <c r="L85">
        <f t="shared" si="20"/>
        <v>-5.0286623874054684E-5</v>
      </c>
      <c r="M85">
        <f t="shared" si="21"/>
        <v>0.199999999999846</v>
      </c>
      <c r="N85">
        <f t="shared" si="22"/>
        <v>-1.75533431262758E-7</v>
      </c>
      <c r="O85" t="str">
        <f t="shared" si="16"/>
        <v>49863.8537789758-217663.616310317j</v>
      </c>
      <c r="P85">
        <f t="shared" si="23"/>
        <v>106.97785840358414</v>
      </c>
      <c r="Q85">
        <f t="shared" si="24"/>
        <v>-77.096940988154316</v>
      </c>
      <c r="R85">
        <f t="shared" si="25"/>
        <v>92.998458316860422</v>
      </c>
      <c r="S85">
        <f t="shared" si="26"/>
        <v>102.90300872522181</v>
      </c>
    </row>
    <row r="86" spans="7:19" x14ac:dyDescent="0.25">
      <c r="G86">
        <f t="shared" si="17"/>
        <v>0.66000000000000092</v>
      </c>
      <c r="H86">
        <f t="shared" si="15"/>
        <v>45.708818961487616</v>
      </c>
      <c r="I86" t="str">
        <f t="shared" si="18"/>
        <v>287.196979707351j</v>
      </c>
      <c r="J86" t="str">
        <f>IMDIV(R_1,IMSUM('Opamp and C Stray Using B'!R_1,IMPRODUCT('Opamp and C Stray Using B'!R_f,IMSUM(1,IMPRODUCT(I86,C_s,R_1)))))</f>
        <v>0.199999999999831-1.83806067012549E-07j</v>
      </c>
      <c r="K86">
        <f t="shared" si="19"/>
        <v>-13.979400086724048</v>
      </c>
      <c r="L86">
        <f t="shared" si="20"/>
        <v>-5.2656559443618877E-5</v>
      </c>
      <c r="M86">
        <f t="shared" si="21"/>
        <v>0.19999999999983101</v>
      </c>
      <c r="N86">
        <f t="shared" si="22"/>
        <v>-1.8380606701254901E-7</v>
      </c>
      <c r="O86" t="str">
        <f t="shared" si="16"/>
        <v>45676.781039662-208783.171528542j</v>
      </c>
      <c r="P86">
        <f t="shared" si="23"/>
        <v>106.59695490466105</v>
      </c>
      <c r="Q86">
        <f t="shared" si="24"/>
        <v>-77.659482188305134</v>
      </c>
      <c r="R86">
        <f t="shared" si="25"/>
        <v>92.617554817936991</v>
      </c>
      <c r="S86">
        <f t="shared" si="26"/>
        <v>102.34046515513542</v>
      </c>
    </row>
    <row r="87" spans="7:19" x14ac:dyDescent="0.25">
      <c r="G87">
        <f t="shared" si="17"/>
        <v>0.68000000000000094</v>
      </c>
      <c r="H87">
        <f t="shared" si="15"/>
        <v>47.863009232263948</v>
      </c>
      <c r="I87" t="str">
        <f t="shared" si="18"/>
        <v>300.732156365562j</v>
      </c>
      <c r="J87" t="str">
        <f>IMDIV(R_1,IMSUM('Opamp and C Stray Using B'!R_1,IMPRODUCT('Opamp and C Stray Using B'!R_f,IMSUM(1,IMPRODUCT(I87,C_s,R_1)))))</f>
        <v>0.199999999999815-1.92468580073782E-07j</v>
      </c>
      <c r="K87">
        <f t="shared" si="19"/>
        <v>-13.979400086724388</v>
      </c>
      <c r="L87">
        <f t="shared" si="20"/>
        <v>-5.5138186635551204E-5</v>
      </c>
      <c r="M87">
        <f t="shared" si="21"/>
        <v>0.19999999999981499</v>
      </c>
      <c r="N87">
        <f t="shared" si="22"/>
        <v>-1.9246858007378201E-7</v>
      </c>
      <c r="O87" t="str">
        <f t="shared" si="16"/>
        <v>41825.8199629892-200190.960703556j</v>
      </c>
      <c r="P87">
        <f t="shared" si="23"/>
        <v>106.21444463726743</v>
      </c>
      <c r="Q87">
        <f t="shared" si="24"/>
        <v>-78.198971800672254</v>
      </c>
      <c r="R87">
        <f t="shared" si="25"/>
        <v>92.235044550543051</v>
      </c>
      <c r="S87">
        <f t="shared" si="26"/>
        <v>101.80097306114111</v>
      </c>
    </row>
    <row r="88" spans="7:19" x14ac:dyDescent="0.25">
      <c r="G88">
        <f t="shared" si="17"/>
        <v>0.70000000000000095</v>
      </c>
      <c r="H88">
        <f t="shared" si="15"/>
        <v>50.118723362727351</v>
      </c>
      <c r="I88" t="str">
        <f t="shared" si="18"/>
        <v>314.905226247287j</v>
      </c>
      <c r="J88" t="str">
        <f>IMDIV(R_1,IMSUM('Opamp and C Stray Using B'!R_1,IMPRODUCT('Opamp and C Stray Using B'!R_f,IMSUM(1,IMPRODUCT(I88,C_s,R_1)))))</f>
        <v>0.199999999999797-2.01539344798059E-07j</v>
      </c>
      <c r="K88">
        <f t="shared" si="19"/>
        <v>-13.979400086724782</v>
      </c>
      <c r="L88">
        <f t="shared" si="20"/>
        <v>-5.7736769313842371E-5</v>
      </c>
      <c r="M88">
        <f t="shared" si="21"/>
        <v>0.19999999999979701</v>
      </c>
      <c r="N88">
        <f t="shared" si="22"/>
        <v>-2.01539344798059E-7</v>
      </c>
      <c r="O88" t="str">
        <f t="shared" si="16"/>
        <v>38286.5038822545-191887.06966007j</v>
      </c>
      <c r="P88">
        <f t="shared" si="23"/>
        <v>105.83045710720464</v>
      </c>
      <c r="Q88">
        <f t="shared" si="24"/>
        <v>-78.716170802132211</v>
      </c>
      <c r="R88">
        <f t="shared" si="25"/>
        <v>91.851057020479857</v>
      </c>
      <c r="S88">
        <f t="shared" si="26"/>
        <v>101.28377146109848</v>
      </c>
    </row>
    <row r="89" spans="7:19" x14ac:dyDescent="0.25">
      <c r="G89">
        <f t="shared" si="17"/>
        <v>0.72000000000000097</v>
      </c>
      <c r="H89">
        <f t="shared" si="15"/>
        <v>52.480746024977385</v>
      </c>
      <c r="I89" t="str">
        <f t="shared" si="18"/>
        <v>329.746252333961j</v>
      </c>
      <c r="J89" t="str">
        <f>IMDIV(R_1,IMSUM('Opamp and C Stray Using B'!R_1,IMPRODUCT('Opamp and C Stray Using B'!R_f,IMSUM(1,IMPRODUCT(I89,C_s,R_1)))))</f>
        <v>0.199999999999777-2.11037601493499E-07j</v>
      </c>
      <c r="K89">
        <f t="shared" si="19"/>
        <v>-13.979400086725226</v>
      </c>
      <c r="L89">
        <f t="shared" si="20"/>
        <v>-6.0457819420751231E-5</v>
      </c>
      <c r="M89">
        <f t="shared" si="21"/>
        <v>0.199999999999777</v>
      </c>
      <c r="N89">
        <f t="shared" si="22"/>
        <v>-2.1103760149349899E-7</v>
      </c>
      <c r="O89" t="str">
        <f t="shared" si="16"/>
        <v>35035.7348319862-183870.150151592j</v>
      </c>
      <c r="P89">
        <f t="shared" si="23"/>
        <v>105.44511230724413</v>
      </c>
      <c r="Q89">
        <f t="shared" si="24"/>
        <v>-79.211838457831817</v>
      </c>
      <c r="R89">
        <f t="shared" si="25"/>
        <v>91.46571222051891</v>
      </c>
      <c r="S89">
        <f t="shared" si="26"/>
        <v>100.78810108434877</v>
      </c>
    </row>
    <row r="90" spans="7:19" x14ac:dyDescent="0.25">
      <c r="G90">
        <f t="shared" si="17"/>
        <v>0.74000000000000099</v>
      </c>
      <c r="H90">
        <f t="shared" si="15"/>
        <v>54.954087385762591</v>
      </c>
      <c r="I90" t="str">
        <f t="shared" si="18"/>
        <v>345.286714431687j</v>
      </c>
      <c r="J90" t="str">
        <f>IMDIV(R_1,IMSUM('Opamp and C Stray Using B'!R_1,IMPRODUCT('Opamp and C Stray Using B'!R_f,IMSUM(1,IMPRODUCT(I90,C_s,R_1)))))</f>
        <v>0.199999999999756-2.2098349723601E-07j</v>
      </c>
      <c r="K90">
        <f t="shared" si="19"/>
        <v>-13.97940008672567</v>
      </c>
      <c r="L90">
        <f t="shared" si="20"/>
        <v>-6.3307108668372798E-5</v>
      </c>
      <c r="M90">
        <f t="shared" si="21"/>
        <v>0.19999999999975601</v>
      </c>
      <c r="N90">
        <f t="shared" si="22"/>
        <v>-2.2098349723601E-7</v>
      </c>
      <c r="O90" t="str">
        <f t="shared" si="16"/>
        <v>32051.7780278708-176137.621061268j</v>
      </c>
      <c r="P90">
        <f t="shared" si="23"/>
        <v>105.05852126406303</v>
      </c>
      <c r="Q90">
        <f t="shared" si="24"/>
        <v>-79.686728806723735</v>
      </c>
      <c r="R90">
        <f t="shared" si="25"/>
        <v>91.079121177337356</v>
      </c>
      <c r="S90">
        <f t="shared" si="26"/>
        <v>100.31320788616759</v>
      </c>
    </row>
    <row r="91" spans="7:19" x14ac:dyDescent="0.25">
      <c r="G91">
        <f t="shared" si="17"/>
        <v>0.76000000000000101</v>
      </c>
      <c r="H91">
        <f t="shared" si="15"/>
        <v>57.543993733715837</v>
      </c>
      <c r="I91" t="str">
        <f t="shared" si="18"/>
        <v>361.559575944118j</v>
      </c>
      <c r="J91" t="str">
        <f>IMDIV(R_1,IMSUM('Opamp and C Stray Using B'!R_1,IMPRODUCT('Opamp and C Stray Using B'!R_f,IMSUM(1,IMPRODUCT(I91,C_s,R_1)))))</f>
        <v>0.199999999999732-2.31398128603925E-07j</v>
      </c>
      <c r="K91">
        <f t="shared" si="19"/>
        <v>-13.979400086726203</v>
      </c>
      <c r="L91">
        <f t="shared" si="20"/>
        <v>-6.6290680781211017E-5</v>
      </c>
      <c r="M91">
        <f t="shared" si="21"/>
        <v>0.199999999999732</v>
      </c>
      <c r="N91">
        <f t="shared" si="22"/>
        <v>-2.3139812860392499E-7</v>
      </c>
      <c r="O91" t="str">
        <f t="shared" si="16"/>
        <v>29314.2412704502-168685.851597542j</v>
      </c>
      <c r="P91">
        <f t="shared" si="23"/>
        <v>104.67078657984536</v>
      </c>
      <c r="Q91">
        <f t="shared" si="24"/>
        <v>-80.14158765415975</v>
      </c>
      <c r="R91">
        <f t="shared" si="25"/>
        <v>90.691386493119154</v>
      </c>
      <c r="S91">
        <f t="shared" si="26"/>
        <v>99.858346055159473</v>
      </c>
    </row>
    <row r="92" spans="7:19" x14ac:dyDescent="0.25">
      <c r="G92">
        <f t="shared" si="17"/>
        <v>0.78000000000000103</v>
      </c>
      <c r="H92">
        <f t="shared" si="15"/>
        <v>60.255958607435929</v>
      </c>
      <c r="I92" t="str">
        <f t="shared" si="18"/>
        <v>378.599353792263j</v>
      </c>
      <c r="J92" t="str">
        <f>IMDIV(R_1,IMSUM('Opamp and C Stray Using B'!R_1,IMPRODUCT('Opamp and C Stray Using B'!R_f,IMSUM(1,IMPRODUCT(I92,C_s,R_1)))))</f>
        <v>0.199999999999706-2.42303586426692E-07j</v>
      </c>
      <c r="K92">
        <f t="shared" si="19"/>
        <v>-13.97940008672677</v>
      </c>
      <c r="L92">
        <f t="shared" si="20"/>
        <v>-6.9414864315732236E-5</v>
      </c>
      <c r="M92">
        <f t="shared" si="21"/>
        <v>0.199999999999706</v>
      </c>
      <c r="N92">
        <f t="shared" si="22"/>
        <v>-2.4230358642669198E-7</v>
      </c>
      <c r="O92" t="str">
        <f t="shared" si="16"/>
        <v>26804.04240384-161510.326959774j</v>
      </c>
      <c r="P92">
        <f t="shared" si="23"/>
        <v>104.28200296315778</v>
      </c>
      <c r="Q92">
        <f t="shared" si="24"/>
        <v>-80.577150024595582</v>
      </c>
      <c r="R92">
        <f t="shared" si="25"/>
        <v>90.30260287643101</v>
      </c>
      <c r="S92">
        <f t="shared" si="26"/>
        <v>99.422780560540104</v>
      </c>
    </row>
    <row r="93" spans="7:19" x14ac:dyDescent="0.25">
      <c r="G93">
        <f t="shared" si="17"/>
        <v>0.80000000000000104</v>
      </c>
      <c r="H93">
        <f t="shared" si="15"/>
        <v>63.095734448019485</v>
      </c>
      <c r="I93" t="str">
        <f t="shared" si="18"/>
        <v>396.442191629501j</v>
      </c>
      <c r="J93" t="str">
        <f>IMDIV(R_1,IMSUM('Opamp and C Stray Using B'!R_1,IMPRODUCT('Opamp and C Stray Using B'!R_f,IMSUM(1,IMPRODUCT(I93,C_s,R_1)))))</f>
        <v>0.199999999999678-2.53723002642472E-07j</v>
      </c>
      <c r="K93">
        <f t="shared" si="19"/>
        <v>-13.979400086727372</v>
      </c>
      <c r="L93">
        <f t="shared" si="20"/>
        <v>-7.2686286084079429E-5</v>
      </c>
      <c r="M93">
        <f t="shared" si="21"/>
        <v>0.19999999999967799</v>
      </c>
      <c r="N93">
        <f t="shared" si="22"/>
        <v>-2.5372300264247201E-7</v>
      </c>
      <c r="O93" t="str">
        <f t="shared" si="16"/>
        <v>24503.3675503359-154605.797203821j</v>
      </c>
      <c r="P93">
        <f t="shared" si="23"/>
        <v>103.89225774488041</v>
      </c>
      <c r="Q93">
        <f t="shared" si="24"/>
        <v>-80.994138029068509</v>
      </c>
      <c r="R93">
        <f t="shared" si="25"/>
        <v>89.912857658153044</v>
      </c>
      <c r="S93">
        <f t="shared" si="26"/>
        <v>99.005789284645402</v>
      </c>
    </row>
    <row r="94" spans="7:19" x14ac:dyDescent="0.25">
      <c r="G94">
        <f t="shared" si="17"/>
        <v>0.82000000000000106</v>
      </c>
      <c r="H94">
        <f t="shared" si="15"/>
        <v>66.069344800759765</v>
      </c>
      <c r="I94" t="str">
        <f t="shared" si="18"/>
        <v>415.125936507116j</v>
      </c>
      <c r="J94" t="str">
        <f>IMDIV(R_1,IMSUM('Opamp and C Stray Using B'!R_1,IMPRODUCT('Opamp and C Stray Using B'!R_f,IMSUM(1,IMPRODUCT(I94,C_s,R_1)))))</f>
        <v>0.199999999999647-2.65680599364085E-07j</v>
      </c>
      <c r="K94">
        <f t="shared" si="19"/>
        <v>-13.979400086728042</v>
      </c>
      <c r="L94">
        <f t="shared" si="20"/>
        <v>-7.6111885210430446E-5</v>
      </c>
      <c r="M94">
        <f t="shared" si="21"/>
        <v>0.19999999999964699</v>
      </c>
      <c r="N94">
        <f t="shared" si="22"/>
        <v>-2.6568059936408503E-7</v>
      </c>
      <c r="O94" t="str">
        <f t="shared" si="16"/>
        <v>22395.6224571703-147966.410215042j</v>
      </c>
      <c r="P94">
        <f t="shared" si="23"/>
        <v>103.50163137598187</v>
      </c>
      <c r="Q94">
        <f t="shared" si="24"/>
        <v>-81.39325910428596</v>
      </c>
      <c r="R94">
        <f t="shared" si="25"/>
        <v>89.522231289253824</v>
      </c>
      <c r="S94">
        <f t="shared" si="26"/>
        <v>98.606664783828833</v>
      </c>
    </row>
    <row r="95" spans="7:19" x14ac:dyDescent="0.25">
      <c r="G95">
        <f t="shared" si="17"/>
        <v>0.84000000000000108</v>
      </c>
      <c r="H95">
        <f t="shared" si="15"/>
        <v>69.183097091893842</v>
      </c>
      <c r="I95" t="str">
        <f t="shared" si="18"/>
        <v>434.690219152966j</v>
      </c>
      <c r="J95" t="str">
        <f>IMDIV(R_1,IMSUM('Opamp and C Stray Using B'!R_1,IMPRODUCT('Opamp and C Stray Using B'!R_f,IMSUM(1,IMPRODUCT(I95,C_s,R_1)))))</f>
        <v>0.199999999999613-2.78201740257359E-07j</v>
      </c>
      <c r="K95">
        <f t="shared" si="19"/>
        <v>-13.979400086728781</v>
      </c>
      <c r="L95">
        <f t="shared" si="20"/>
        <v>-7.9698927849810013E-5</v>
      </c>
      <c r="M95">
        <f t="shared" si="21"/>
        <v>0.19999999999961299</v>
      </c>
      <c r="N95">
        <f t="shared" si="22"/>
        <v>-2.78201740257359E-7</v>
      </c>
      <c r="O95" t="str">
        <f t="shared" si="16"/>
        <v>20465.3789382195-141585.829810524j</v>
      </c>
      <c r="P95">
        <f t="shared" si="23"/>
        <v>103.1101979047917</v>
      </c>
      <c r="Q95">
        <f t="shared" si="24"/>
        <v>-81.775204582720221</v>
      </c>
      <c r="R95">
        <f t="shared" si="25"/>
        <v>89.130797818062916</v>
      </c>
      <c r="S95">
        <f t="shared" si="26"/>
        <v>98.224715718351931</v>
      </c>
    </row>
    <row r="96" spans="7:19" x14ac:dyDescent="0.25">
      <c r="G96">
        <f t="shared" si="17"/>
        <v>0.8600000000000011</v>
      </c>
      <c r="H96">
        <f t="shared" si="15"/>
        <v>72.443596007499195</v>
      </c>
      <c r="I96" t="str">
        <f t="shared" si="18"/>
        <v>455.176538033573j</v>
      </c>
      <c r="J96" t="str">
        <f>IMDIV(R_1,IMSUM('Opamp and C Stray Using B'!R_1,IMPRODUCT('Opamp and C Stray Using B'!R_f,IMSUM(1,IMPRODUCT(I96,C_s,R_1)))))</f>
        <v>0.199999999999576-2.91312984340868E-07j</v>
      </c>
      <c r="K96">
        <f t="shared" si="19"/>
        <v>-13.979400086729575</v>
      </c>
      <c r="L96">
        <f t="shared" si="20"/>
        <v>-8.345502260057978E-5</v>
      </c>
      <c r="M96">
        <f t="shared" si="21"/>
        <v>0.19999999999957599</v>
      </c>
      <c r="N96">
        <f t="shared" si="22"/>
        <v>-2.9131298434086798E-7</v>
      </c>
      <c r="O96" t="str">
        <f t="shared" si="16"/>
        <v>18698.318073816-135457.340055925j</v>
      </c>
      <c r="P96">
        <f t="shared" si="23"/>
        <v>102.71802543215004</v>
      </c>
      <c r="Q96">
        <f t="shared" si="24"/>
        <v>-82.14064855589416</v>
      </c>
      <c r="R96">
        <f t="shared" si="25"/>
        <v>88.738625345420473</v>
      </c>
      <c r="S96">
        <f t="shared" si="26"/>
        <v>97.859267989083236</v>
      </c>
    </row>
    <row r="97" spans="7:19" x14ac:dyDescent="0.25">
      <c r="G97">
        <f t="shared" si="17"/>
        <v>0.88000000000000111</v>
      </c>
      <c r="H97">
        <f t="shared" si="15"/>
        <v>75.857757502918574</v>
      </c>
      <c r="I97" t="str">
        <f t="shared" si="18"/>
        <v>476.62834737793j</v>
      </c>
      <c r="J97" t="str">
        <f>IMDIV(R_1,IMSUM('Opamp and C Stray Using B'!R_1,IMPRODUCT('Opamp and C Stray Using B'!R_f,IMSUM(1,IMPRODUCT(I97,C_s,R_1)))))</f>
        <v>0.199999999999535-3.05042142321166E-07j</v>
      </c>
      <c r="K97">
        <f t="shared" si="19"/>
        <v>-13.979400086730468</v>
      </c>
      <c r="L97">
        <f t="shared" si="20"/>
        <v>-8.7388136643294455E-5</v>
      </c>
      <c r="M97">
        <f t="shared" si="21"/>
        <v>0.19999999999953499</v>
      </c>
      <c r="N97">
        <f t="shared" si="22"/>
        <v>-3.0504214232116601E-7</v>
      </c>
      <c r="O97" t="str">
        <f t="shared" si="16"/>
        <v>17081.1715467934-129573.93690624j</v>
      </c>
      <c r="P97">
        <f t="shared" si="23"/>
        <v>102.32517654342377</v>
      </c>
      <c r="Q97">
        <f t="shared" si="24"/>
        <v>-82.490246995946734</v>
      </c>
      <c r="R97">
        <f t="shared" si="25"/>
        <v>88.345776456693301</v>
      </c>
      <c r="S97">
        <f t="shared" si="26"/>
        <v>97.509665615916617</v>
      </c>
    </row>
    <row r="98" spans="7:19" x14ac:dyDescent="0.25">
      <c r="G98">
        <f t="shared" si="17"/>
        <v>0.90000000000000113</v>
      </c>
      <c r="H98">
        <f t="shared" si="15"/>
        <v>79.432823472428396</v>
      </c>
      <c r="I98" t="str">
        <f t="shared" si="18"/>
        <v>499.091149349752j</v>
      </c>
      <c r="J98" t="str">
        <f>IMDIV(R_1,IMSUM('Opamp and C Stray Using B'!R_1,IMPRODUCT('Opamp and C Stray Using B'!R_f,IMSUM(1,IMPRODUCT(I98,C_s,R_1)))))</f>
        <v>0.19999999999949-3.19418335583027E-07j</v>
      </c>
      <c r="K98">
        <f t="shared" si="19"/>
        <v>-13.979400086731449</v>
      </c>
      <c r="L98">
        <f t="shared" si="20"/>
        <v>-9.1506612640159795E-5</v>
      </c>
      <c r="M98">
        <f t="shared" si="21"/>
        <v>0.19999999999949</v>
      </c>
      <c r="N98">
        <f t="shared" si="22"/>
        <v>-3.19418335583027E-7</v>
      </c>
      <c r="O98" t="str">
        <f t="shared" si="16"/>
        <v>15601.6622418295-123928.408273169j</v>
      </c>
      <c r="P98">
        <f t="shared" si="23"/>
        <v>101.93170871687542</v>
      </c>
      <c r="Q98">
        <f t="shared" si="24"/>
        <v>-82.824637103490304</v>
      </c>
      <c r="R98">
        <f t="shared" si="25"/>
        <v>87.952308630143975</v>
      </c>
      <c r="S98">
        <f t="shared" si="26"/>
        <v>97.175271389897063</v>
      </c>
    </row>
    <row r="99" spans="7:19" x14ac:dyDescent="0.25">
      <c r="G99">
        <f t="shared" si="17"/>
        <v>0.92000000000000115</v>
      </c>
      <c r="H99">
        <f t="shared" si="15"/>
        <v>83.176377110267339</v>
      </c>
      <c r="I99" t="str">
        <f t="shared" si="18"/>
        <v>522.61259056366j</v>
      </c>
      <c r="J99" t="str">
        <f>IMDIV(R_1,IMSUM('Opamp and C Stray Using B'!R_1,IMPRODUCT('Opamp and C Stray Using B'!R_f,IMSUM(1,IMPRODUCT(I99,C_s,R_1)))))</f>
        <v>0.199999999999441-3.34472057959807E-07j</v>
      </c>
      <c r="K99">
        <f t="shared" si="19"/>
        <v>-13.979400086732506</v>
      </c>
      <c r="L99">
        <f t="shared" si="20"/>
        <v>-9.5819186430938448E-5</v>
      </c>
      <c r="M99">
        <f t="shared" si="21"/>
        <v>0.19999999999944101</v>
      </c>
      <c r="N99">
        <f t="shared" si="22"/>
        <v>-3.3447205795980702E-7</v>
      </c>
      <c r="O99" t="str">
        <f t="shared" si="16"/>
        <v>14248.4450164782-118513.40359255j</v>
      </c>
      <c r="P99">
        <f t="shared" si="23"/>
        <v>101.53767470827918</v>
      </c>
      <c r="Q99">
        <f t="shared" si="24"/>
        <v>-83.144436852646692</v>
      </c>
      <c r="R99">
        <f t="shared" si="25"/>
        <v>87.558274621546673</v>
      </c>
      <c r="S99">
        <f t="shared" si="26"/>
        <v>96.855467328166881</v>
      </c>
    </row>
    <row r="100" spans="7:19" x14ac:dyDescent="0.25">
      <c r="G100">
        <f t="shared" si="17"/>
        <v>0.94000000000000117</v>
      </c>
      <c r="H100">
        <f t="shared" si="15"/>
        <v>87.096358995608341</v>
      </c>
      <c r="I100" t="str">
        <f t="shared" si="18"/>
        <v>547.242563150045j</v>
      </c>
      <c r="J100" t="str">
        <f>IMDIV(R_1,IMSUM('Opamp and C Stray Using B'!R_1,IMPRODUCT('Opamp and C Stray Using B'!R_f,IMSUM(1,IMPRODUCT(I100,C_s,R_1)))))</f>
        <v>0.199999999999387-3.50235240414955E-07j</v>
      </c>
      <c r="K100">
        <f t="shared" si="19"/>
        <v>-13.979400086733678</v>
      </c>
      <c r="L100">
        <f t="shared" si="20"/>
        <v>-1.0033500556283818E-4</v>
      </c>
      <c r="M100">
        <f t="shared" si="21"/>
        <v>0.199999999999387</v>
      </c>
      <c r="N100">
        <f t="shared" si="22"/>
        <v>-3.5023524041495502E-7</v>
      </c>
      <c r="O100" t="str">
        <f t="shared" si="16"/>
        <v>13011.048363752-113321.493919857j</v>
      </c>
      <c r="P100">
        <f t="shared" si="23"/>
        <v>101.14312291200267</v>
      </c>
      <c r="Q100">
        <f t="shared" si="24"/>
        <v>-83.450244706925929</v>
      </c>
      <c r="R100">
        <f t="shared" si="25"/>
        <v>87.163722825268991</v>
      </c>
      <c r="S100">
        <f t="shared" si="26"/>
        <v>96.549654958068501</v>
      </c>
    </row>
    <row r="101" spans="7:19" x14ac:dyDescent="0.25">
      <c r="G101">
        <f t="shared" si="17"/>
        <v>0.96000000000000119</v>
      </c>
      <c r="H101">
        <f t="shared" si="15"/>
        <v>91.201083935591228</v>
      </c>
      <c r="I101" t="str">
        <f t="shared" si="18"/>
        <v>573.033310582959j</v>
      </c>
      <c r="J101" t="str">
        <f>IMDIV(R_1,IMSUM('Opamp and C Stray Using B'!R_1,IMPRODUCT('Opamp and C Stray Using B'!R_f,IMSUM(1,IMPRODUCT(I101,C_s,R_1)))))</f>
        <v>0.199999999999328-3.66741318771861E-07j</v>
      </c>
      <c r="K101">
        <f t="shared" si="19"/>
        <v>-13.979400086734957</v>
      </c>
      <c r="L101">
        <f t="shared" si="20"/>
        <v>-1.0506364869368318E-4</v>
      </c>
      <c r="M101">
        <f t="shared" si="21"/>
        <v>0.19999999999932799</v>
      </c>
      <c r="N101">
        <f t="shared" si="22"/>
        <v>-3.6674131877186097E-7</v>
      </c>
      <c r="O101" t="str">
        <f t="shared" si="16"/>
        <v>11879.8175251715-108345.223525267j</v>
      </c>
      <c r="P101">
        <f t="shared" si="23"/>
        <v>100.74809769902771</v>
      </c>
      <c r="Q101">
        <f t="shared" si="24"/>
        <v>-83.742639482249331</v>
      </c>
      <c r="R101">
        <f t="shared" si="25"/>
        <v>86.768697612292755</v>
      </c>
      <c r="S101">
        <f t="shared" si="26"/>
        <v>96.25725545410198</v>
      </c>
    </row>
    <row r="102" spans="7:19" x14ac:dyDescent="0.25">
      <c r="G102">
        <f t="shared" si="17"/>
        <v>0.9800000000000012</v>
      </c>
      <c r="H102">
        <f t="shared" si="15"/>
        <v>95.499258602143883</v>
      </c>
      <c r="I102" t="str">
        <f t="shared" si="18"/>
        <v>600.039538495534j</v>
      </c>
      <c r="J102" t="str">
        <f>IMDIV(R_1,IMSUM('Opamp and C Stray Using B'!R_1,IMPRODUCT('Opamp and C Stray Using B'!R_f,IMSUM(1,IMPRODUCT(I102,C_s,R_1)))))</f>
        <v>0.199999999999263-3.84025304635726E-07j</v>
      </c>
      <c r="K102">
        <f t="shared" si="19"/>
        <v>-13.979400086736373</v>
      </c>
      <c r="L102">
        <f t="shared" si="20"/>
        <v>-1.1001514590953434E-4</v>
      </c>
      <c r="M102">
        <f t="shared" si="21"/>
        <v>0.19999999999926299</v>
      </c>
      <c r="N102">
        <f t="shared" si="22"/>
        <v>-3.8402530463572601E-7</v>
      </c>
      <c r="O102" t="str">
        <f t="shared" si="16"/>
        <v>10845.8594770813-103577.15389643j</v>
      </c>
      <c r="P102">
        <f t="shared" si="23"/>
        <v>100.35263973257882</v>
      </c>
      <c r="Q102">
        <f t="shared" si="24"/>
        <v>-84.022180335901268</v>
      </c>
      <c r="R102">
        <f t="shared" si="25"/>
        <v>86.373239645842446</v>
      </c>
      <c r="S102">
        <f t="shared" si="26"/>
        <v>95.977709648952825</v>
      </c>
    </row>
    <row r="103" spans="7:19" x14ac:dyDescent="0.25">
      <c r="G103">
        <f t="shared" si="17"/>
        <v>1.0000000000000011</v>
      </c>
      <c r="H103">
        <f t="shared" si="15"/>
        <v>100.00000000000028</v>
      </c>
      <c r="I103" t="str">
        <f t="shared" si="18"/>
        <v>628.31853071796j</v>
      </c>
      <c r="J103" t="str">
        <f>IMDIV(R_1,IMSUM('Opamp and C Stray Using B'!R_1,IMPRODUCT('Opamp and C Stray Using B'!R_f,IMSUM(1,IMPRODUCT(I103,C_s,R_1)))))</f>
        <v>0.199999999999191-4.0212385965787E-07j</v>
      </c>
      <c r="K103">
        <f t="shared" si="19"/>
        <v>-13.979400086737954</v>
      </c>
      <c r="L103">
        <f t="shared" si="20"/>
        <v>-1.1519999999984565E-4</v>
      </c>
      <c r="M103">
        <f t="shared" si="21"/>
        <v>0.19999999999919099</v>
      </c>
      <c r="N103">
        <f t="shared" si="22"/>
        <v>-4.0212385965786998E-7</v>
      </c>
      <c r="O103" t="str">
        <f t="shared" si="16"/>
        <v>9900.9900990099-99009.900990099j</v>
      </c>
      <c r="P103">
        <f t="shared" si="23"/>
        <v>99.956786262173566</v>
      </c>
      <c r="Q103">
        <f t="shared" si="24"/>
        <v>-84.289406862500371</v>
      </c>
      <c r="R103">
        <f t="shared" si="25"/>
        <v>85.977386175435612</v>
      </c>
      <c r="S103">
        <f t="shared" si="26"/>
        <v>95.710477937499633</v>
      </c>
    </row>
    <row r="104" spans="7:19" x14ac:dyDescent="0.25">
      <c r="G104">
        <f t="shared" si="17"/>
        <v>1.0200000000000011</v>
      </c>
      <c r="H104">
        <f t="shared" si="15"/>
        <v>104.71285480509023</v>
      </c>
      <c r="I104" t="str">
        <f t="shared" si="18"/>
        <v>657.930270784172j</v>
      </c>
      <c r="J104" t="str">
        <f>IMDIV(R_1,IMSUM('Opamp and C Stray Using B'!R_1,IMPRODUCT('Opamp and C Stray Using B'!R_f,IMSUM(1,IMPRODUCT(I104,C_s,R_1)))))</f>
        <v>0.199999999999113-4.21075373300005E-07j</v>
      </c>
      <c r="K104">
        <f t="shared" si="19"/>
        <v>-13.979400086739647</v>
      </c>
      <c r="L104">
        <f t="shared" si="20"/>
        <v>-1.2062920873528635E-4</v>
      </c>
      <c r="M104">
        <f t="shared" si="21"/>
        <v>0.199999999999113</v>
      </c>
      <c r="N104">
        <f t="shared" si="22"/>
        <v>-4.2107537330000499E-7</v>
      </c>
      <c r="O104" t="str">
        <f t="shared" si="16"/>
        <v>9037.68373823964-94636.166505661j</v>
      </c>
      <c r="P104">
        <f t="shared" si="23"/>
        <v>99.560571397014741</v>
      </c>
      <c r="Q104">
        <f t="shared" si="24"/>
        <v>-84.544839280213253</v>
      </c>
      <c r="R104">
        <f t="shared" si="25"/>
        <v>85.581171310275096</v>
      </c>
      <c r="S104">
        <f t="shared" si="26"/>
        <v>95.455040090578009</v>
      </c>
    </row>
    <row r="105" spans="7:19" x14ac:dyDescent="0.25">
      <c r="G105">
        <f t="shared" si="17"/>
        <v>1.0400000000000011</v>
      </c>
      <c r="H105">
        <f t="shared" si="15"/>
        <v>109.64781961431882</v>
      </c>
      <c r="I105" t="str">
        <f t="shared" si="18"/>
        <v>688.937569164966j</v>
      </c>
      <c r="J105" t="str">
        <f>IMDIV(R_1,IMSUM('Opamp and C Stray Using B'!R_1,IMPRODUCT('Opamp and C Stray Using B'!R_f,IMSUM(1,IMPRODUCT(I105,C_s,R_1)))))</f>
        <v>0.199999999999028-4.40920044263433E-07j</v>
      </c>
      <c r="K105">
        <f t="shared" si="19"/>
        <v>-13.979400086741482</v>
      </c>
      <c r="L105">
        <f t="shared" si="20"/>
        <v>-1.2631428819549005E-4</v>
      </c>
      <c r="M105">
        <f t="shared" si="21"/>
        <v>0.19999999999902801</v>
      </c>
      <c r="N105">
        <f t="shared" si="22"/>
        <v>-4.4092004426343302E-7</v>
      </c>
      <c r="O105" t="str">
        <f t="shared" si="16"/>
        <v>8249.02530705347-90448.7638861752j</v>
      </c>
      <c r="P105">
        <f t="shared" si="23"/>
        <v>99.164026359710505</v>
      </c>
      <c r="Q105">
        <f t="shared" si="24"/>
        <v>-84.788978692381249</v>
      </c>
      <c r="R105">
        <f t="shared" si="25"/>
        <v>85.184626272969027</v>
      </c>
      <c r="S105">
        <f t="shared" si="26"/>
        <v>95.210894993330555</v>
      </c>
    </row>
    <row r="106" spans="7:19" x14ac:dyDescent="0.25">
      <c r="G106">
        <f t="shared" si="17"/>
        <v>1.0600000000000012</v>
      </c>
      <c r="H106">
        <f t="shared" si="15"/>
        <v>114.81536214968858</v>
      </c>
      <c r="I106" t="str">
        <f t="shared" si="18"/>
        <v>721.406196497426j</v>
      </c>
      <c r="J106" t="str">
        <f>IMDIV(R_1,IMSUM('Opamp and C Stray Using B'!R_1,IMPRODUCT('Opamp and C Stray Using B'!R_f,IMSUM(1,IMPRODUCT(I106,C_s,R_1)))))</f>
        <v>0.199999999998934-4.61699965755892E-07j</v>
      </c>
      <c r="K106">
        <f t="shared" si="19"/>
        <v>-13.979400086743528</v>
      </c>
      <c r="L106">
        <f t="shared" si="20"/>
        <v>-1.3226729719620624E-4</v>
      </c>
      <c r="M106">
        <f t="shared" si="21"/>
        <v>0.199999999998934</v>
      </c>
      <c r="N106">
        <f t="shared" si="22"/>
        <v>-4.6169996575589198E-7</v>
      </c>
      <c r="O106" t="str">
        <f t="shared" si="16"/>
        <v>7528.66498600881-86440.6396872284j</v>
      </c>
      <c r="P106">
        <f t="shared" si="23"/>
        <v>98.767179721353742</v>
      </c>
      <c r="Q106">
        <f t="shared" si="24"/>
        <v>-85.022307411507754</v>
      </c>
      <c r="R106">
        <f t="shared" si="25"/>
        <v>84.787779634610217</v>
      </c>
      <c r="S106">
        <f t="shared" si="26"/>
        <v>94.977560321195057</v>
      </c>
    </row>
    <row r="107" spans="7:19" x14ac:dyDescent="0.25">
      <c r="G107">
        <f t="shared" si="17"/>
        <v>1.0800000000000012</v>
      </c>
      <c r="H107">
        <f t="shared" si="15"/>
        <v>120.22644346174164</v>
      </c>
      <c r="I107" t="str">
        <f t="shared" si="18"/>
        <v>755.405023093272j</v>
      </c>
      <c r="J107" t="str">
        <f>IMDIV(R_1,IMSUM('Opamp and C Stray Using B'!R_1,IMPRODUCT('Opamp and C Stray Using B'!R_f,IMSUM(1,IMPRODUCT(I107,C_s,R_1)))))</f>
        <v>0.199999999998831-4.83459214776871E-07j</v>
      </c>
      <c r="K107">
        <f t="shared" si="19"/>
        <v>-13.979400086745768</v>
      </c>
      <c r="L107">
        <f t="shared" si="20"/>
        <v>-1.3850086286765732E-4</v>
      </c>
      <c r="M107">
        <f t="shared" si="21"/>
        <v>0.199999999998831</v>
      </c>
      <c r="N107">
        <f t="shared" si="22"/>
        <v>-4.8345921477687096E-7</v>
      </c>
      <c r="O107" t="str">
        <f t="shared" si="16"/>
        <v>6870.77555595089-82604.8908915848j</v>
      </c>
      <c r="P107">
        <f t="shared" si="23"/>
        <v>98.370057619008136</v>
      </c>
      <c r="Q107">
        <f t="shared" si="24"/>
        <v>-85.245289334159864</v>
      </c>
      <c r="R107">
        <f t="shared" si="25"/>
        <v>84.390657532262367</v>
      </c>
      <c r="S107">
        <f t="shared" si="26"/>
        <v>94.754572164977262</v>
      </c>
    </row>
    <row r="108" spans="7:19" x14ac:dyDescent="0.25">
      <c r="G108">
        <f t="shared" si="17"/>
        <v>1.1000000000000012</v>
      </c>
      <c r="H108">
        <f t="shared" si="15"/>
        <v>125.89254117941708</v>
      </c>
      <c r="I108" t="str">
        <f t="shared" si="18"/>
        <v>791.006165022014j</v>
      </c>
      <c r="J108" t="str">
        <f>IMDIV(R_1,IMSUM('Opamp and C Stray Using B'!R_1,IMPRODUCT('Opamp and C Stray Using B'!R_f,IMSUM(1,IMPRODUCT(I108,C_s,R_1)))))</f>
        <v>0.199999999998719-5.06243945610844E-07j</v>
      </c>
      <c r="K108">
        <f t="shared" si="19"/>
        <v>-13.979400086748182</v>
      </c>
      <c r="L108">
        <f t="shared" si="20"/>
        <v>-1.4502820743837798E-4</v>
      </c>
      <c r="M108">
        <f t="shared" si="21"/>
        <v>0.19999999999871901</v>
      </c>
      <c r="N108">
        <f t="shared" si="22"/>
        <v>-5.0624394561084403E-7</v>
      </c>
      <c r="O108" t="str">
        <f t="shared" si="16"/>
        <v>6270.01234143381-78934.7786889409j</v>
      </c>
      <c r="P108">
        <f t="shared" si="23"/>
        <v>97.972683956650584</v>
      </c>
      <c r="Q108">
        <f t="shared" si="24"/>
        <v>-85.45837035678413</v>
      </c>
      <c r="R108">
        <f t="shared" si="25"/>
        <v>83.993283869902399</v>
      </c>
      <c r="S108">
        <f t="shared" si="26"/>
        <v>94.541484615008429</v>
      </c>
    </row>
    <row r="109" spans="7:19" x14ac:dyDescent="0.25">
      <c r="G109">
        <f t="shared" si="17"/>
        <v>1.1200000000000012</v>
      </c>
      <c r="H109">
        <f t="shared" si="15"/>
        <v>131.8256738556411</v>
      </c>
      <c r="I109" t="str">
        <f t="shared" si="18"/>
        <v>828.285137078812j</v>
      </c>
      <c r="J109" t="str">
        <f>IMDIV(R_1,IMSUM('Opamp and C Stray Using B'!R_1,IMPRODUCT('Opamp and C Stray Using B'!R_f,IMSUM(1,IMPRODUCT(I109,C_s,R_1)))))</f>
        <v>0.199999999998595-5.30102487726716E-07j</v>
      </c>
      <c r="K109">
        <f t="shared" si="19"/>
        <v>-13.979400086750884</v>
      </c>
      <c r="L109">
        <f t="shared" si="20"/>
        <v>-1.5186317628134295E-4</v>
      </c>
      <c r="M109">
        <f t="shared" si="21"/>
        <v>0.199999999998595</v>
      </c>
      <c r="N109">
        <f t="shared" si="22"/>
        <v>-5.3010248772671598E-7</v>
      </c>
      <c r="O109" t="str">
        <f t="shared" si="16"/>
        <v>5721.47571709036-75423.7391854123j</v>
      </c>
      <c r="P109">
        <f t="shared" si="23"/>
        <v>97.575080590605523</v>
      </c>
      <c r="Q109">
        <f t="shared" si="24"/>
        <v>-85.661978823734188</v>
      </c>
      <c r="R109">
        <f t="shared" si="25"/>
        <v>83.595680503854638</v>
      </c>
      <c r="S109">
        <f t="shared" si="26"/>
        <v>94.337869313089527</v>
      </c>
    </row>
    <row r="110" spans="7:19" x14ac:dyDescent="0.25">
      <c r="G110">
        <f t="shared" si="17"/>
        <v>1.1400000000000012</v>
      </c>
      <c r="H110">
        <f t="shared" si="15"/>
        <v>138.03842646028889</v>
      </c>
      <c r="I110" t="str">
        <f t="shared" si="18"/>
        <v>867.321012961477j</v>
      </c>
      <c r="J110" t="str">
        <f>IMDIV(R_1,IMSUM('Opamp and C Stray Using B'!R_1,IMPRODUCT('Opamp and C Stray Using B'!R_f,IMSUM(1,IMPRODUCT(I110,C_s,R_1)))))</f>
        <v>0.199999999998459-5.55085448291068E-07j</v>
      </c>
      <c r="K110">
        <f t="shared" si="19"/>
        <v>-13.979400086753845</v>
      </c>
      <c r="L110">
        <f t="shared" si="20"/>
        <v>-1.5902026728184439E-4</v>
      </c>
      <c r="M110">
        <f t="shared" si="21"/>
        <v>0.19999999999845899</v>
      </c>
      <c r="N110">
        <f t="shared" si="22"/>
        <v>-5.5508544829106798E-7</v>
      </c>
      <c r="O110" t="str">
        <f t="shared" si="16"/>
        <v>5220.67610482409-72065.3914568749j</v>
      </c>
      <c r="P110">
        <f t="shared" si="23"/>
        <v>97.17726750048287</v>
      </c>
      <c r="Q110">
        <f t="shared" si="24"/>
        <v>-85.856525999966166</v>
      </c>
      <c r="R110">
        <f t="shared" si="25"/>
        <v>83.197867413729028</v>
      </c>
      <c r="S110">
        <f t="shared" si="26"/>
        <v>94.143314979766558</v>
      </c>
    </row>
    <row r="111" spans="7:19" x14ac:dyDescent="0.25">
      <c r="G111">
        <f t="shared" si="17"/>
        <v>1.1600000000000013</v>
      </c>
      <c r="H111">
        <f t="shared" si="15"/>
        <v>144.54397707459319</v>
      </c>
      <c r="I111" t="str">
        <f t="shared" si="18"/>
        <v>908.196592996387j</v>
      </c>
      <c r="J111" t="str">
        <f>IMDIV(R_1,IMSUM('Opamp and C Stray Using B'!R_1,IMPRODUCT('Opamp and C Stray Using B'!R_f,IMSUM(1,IMPRODUCT(I111,C_s,R_1)))))</f>
        <v>0.199999999998311-5.81245819512779E-07j</v>
      </c>
      <c r="K111">
        <f t="shared" si="19"/>
        <v>-13.979400086757048</v>
      </c>
      <c r="L111">
        <f t="shared" si="20"/>
        <v>-1.6651466158946256E-4</v>
      </c>
      <c r="M111">
        <f t="shared" si="21"/>
        <v>0.199999999998311</v>
      </c>
      <c r="N111">
        <f t="shared" si="22"/>
        <v>-5.8124581951277905E-7</v>
      </c>
      <c r="O111" t="str">
        <f t="shared" si="16"/>
        <v>4763.50137221076-68853.5433139625j</v>
      </c>
      <c r="P111">
        <f t="shared" si="23"/>
        <v>96.779262946598294</v>
      </c>
      <c r="Q111">
        <f t="shared" si="24"/>
        <v>-86.042406561888171</v>
      </c>
      <c r="R111">
        <f t="shared" si="25"/>
        <v>82.799862859841241</v>
      </c>
      <c r="S111">
        <f t="shared" si="26"/>
        <v>93.957426923450242</v>
      </c>
    </row>
    <row r="112" spans="7:19" x14ac:dyDescent="0.25">
      <c r="G112">
        <f t="shared" si="17"/>
        <v>1.1800000000000013</v>
      </c>
      <c r="H112">
        <f t="shared" si="15"/>
        <v>151.35612484362133</v>
      </c>
      <c r="I112" t="str">
        <f t="shared" si="18"/>
        <v>950.998579769081j</v>
      </c>
      <c r="J112" t="str">
        <f>IMDIV(R_1,IMSUM('Opamp and C Stray Using B'!R_1,IMPRODUCT('Opamp and C Stray Using B'!R_f,IMSUM(1,IMPRODUCT(I112,C_s,R_1)))))</f>
        <v>0.199999999998148-6.08639091046575E-07j</v>
      </c>
      <c r="K112">
        <f t="shared" si="19"/>
        <v>-13.979400086760588</v>
      </c>
      <c r="L112">
        <f t="shared" si="20"/>
        <v>-1.7436225581931331E-4</v>
      </c>
      <c r="M112">
        <f t="shared" si="21"/>
        <v>0.19999999999814799</v>
      </c>
      <c r="N112">
        <f t="shared" si="22"/>
        <v>-6.0863909104657497E-7</v>
      </c>
      <c r="O112" t="str">
        <f t="shared" si="16"/>
        <v>4346.18653009908-65782.195104334j</v>
      </c>
      <c r="P112">
        <f t="shared" si="23"/>
        <v>96.381083614815921</v>
      </c>
      <c r="Q112">
        <f t="shared" si="24"/>
        <v>-86.219999100764738</v>
      </c>
      <c r="R112">
        <f t="shared" si="25"/>
        <v>82.401683528055329</v>
      </c>
      <c r="S112">
        <f t="shared" si="26"/>
        <v>93.779826536979442</v>
      </c>
    </row>
    <row r="113" spans="7:19" x14ac:dyDescent="0.25">
      <c r="G113">
        <f t="shared" si="17"/>
        <v>1.2000000000000013</v>
      </c>
      <c r="H113">
        <f t="shared" si="15"/>
        <v>158.48931924611185</v>
      </c>
      <c r="I113" t="str">
        <f t="shared" si="18"/>
        <v>995.817762032065j</v>
      </c>
      <c r="J113" t="str">
        <f>IMDIV(R_1,IMSUM('Opamp and C Stray Using B'!R_1,IMPRODUCT('Opamp and C Stray Using B'!R_f,IMSUM(1,IMPRODUCT(I113,C_s,R_1)))))</f>
        <v>0.199999999997969-6.37323367694048E-07j</v>
      </c>
      <c r="K113">
        <f t="shared" si="19"/>
        <v>-13.97940008676448</v>
      </c>
      <c r="L113">
        <f t="shared" si="20"/>
        <v>-1.8257969577090244E-4</v>
      </c>
      <c r="M113">
        <f t="shared" si="21"/>
        <v>0.199999999997969</v>
      </c>
      <c r="N113">
        <f t="shared" si="22"/>
        <v>-6.3732336769404797E-7</v>
      </c>
      <c r="O113" t="str">
        <f t="shared" si="16"/>
        <v>3965.28561915217-62845.5418395825j</v>
      </c>
      <c r="P113">
        <f t="shared" si="23"/>
        <v>95.98274474971204</v>
      </c>
      <c r="Q113">
        <f t="shared" si="24"/>
        <v>-86.389666633884076</v>
      </c>
      <c r="R113">
        <f t="shared" si="25"/>
        <v>82.003344662947555</v>
      </c>
      <c r="S113">
        <f t="shared" si="26"/>
        <v>93.610150786420149</v>
      </c>
    </row>
    <row r="114" spans="7:19" x14ac:dyDescent="0.25">
      <c r="G114">
        <f t="shared" si="17"/>
        <v>1.2200000000000013</v>
      </c>
      <c r="H114">
        <f t="shared" si="15"/>
        <v>165.95869074375662</v>
      </c>
      <c r="I114" t="str">
        <f t="shared" si="18"/>
        <v>1042.74920727993j</v>
      </c>
      <c r="J114" t="str">
        <f>IMDIV(R_1,IMSUM('Opamp and C Stray Using B'!R_1,IMPRODUCT('Opamp and C Stray Using B'!R_f,IMSUM(1,IMPRODUCT(I114,C_s,R_1)))))</f>
        <v>0.199999999997773-6.67359492651725E-07j</v>
      </c>
      <c r="K114">
        <f t="shared" si="19"/>
        <v>-13.979400086768738</v>
      </c>
      <c r="L114">
        <f t="shared" si="20"/>
        <v>-1.9118441173609791E-4</v>
      </c>
      <c r="M114">
        <f t="shared" si="21"/>
        <v>0.19999999999777299</v>
      </c>
      <c r="N114">
        <f t="shared" si="22"/>
        <v>-6.6735949265172502E-7</v>
      </c>
      <c r="O114" t="str">
        <f t="shared" si="16"/>
        <v>3617.64567017328-60037.9738996775j</v>
      </c>
      <c r="P114">
        <f t="shared" si="23"/>
        <v>95.584260276912005</v>
      </c>
      <c r="Q114">
        <f t="shared" si="24"/>
        <v>-86.55175711940862</v>
      </c>
      <c r="R114">
        <f t="shared" si="25"/>
        <v>81.60486019014327</v>
      </c>
      <c r="S114">
        <f t="shared" si="26"/>
        <v>93.448051696179647</v>
      </c>
    </row>
    <row r="115" spans="7:19" x14ac:dyDescent="0.25">
      <c r="G115">
        <f t="shared" si="17"/>
        <v>1.2400000000000013</v>
      </c>
      <c r="H115">
        <f t="shared" si="15"/>
        <v>173.7800828749381</v>
      </c>
      <c r="I115" t="str">
        <f t="shared" si="18"/>
        <v>1091.89246340026j</v>
      </c>
      <c r="J115" t="str">
        <f>IMDIV(R_1,IMSUM('Opamp and C Stray Using B'!R_1,IMPRODUCT('Opamp and C Stray Using B'!R_f,IMSUM(1,IMPRODUCT(I115,C_s,R_1)))))</f>
        <v>0.199999999997558-6.98811176567637E-07j</v>
      </c>
      <c r="K115">
        <f t="shared" si="19"/>
        <v>-13.97940008677341</v>
      </c>
      <c r="L115">
        <f t="shared" si="20"/>
        <v>-2.0019465547111453E-4</v>
      </c>
      <c r="M115">
        <f t="shared" si="21"/>
        <v>0.19999999999755799</v>
      </c>
      <c r="N115">
        <f t="shared" si="22"/>
        <v>-6.9881117656763699E-7</v>
      </c>
      <c r="O115" t="str">
        <f t="shared" si="16"/>
        <v>3300.38262084029-57354.076536863j</v>
      </c>
      <c r="P115">
        <f t="shared" si="23"/>
        <v>95.185642915406106</v>
      </c>
      <c r="Q115">
        <f t="shared" si="24"/>
        <v>-86.706603971455039</v>
      </c>
      <c r="R115">
        <f t="shared" si="25"/>
        <v>81.206242828632696</v>
      </c>
      <c r="S115">
        <f t="shared" si="26"/>
        <v>93.293195833889484</v>
      </c>
    </row>
    <row r="116" spans="7:19" x14ac:dyDescent="0.25">
      <c r="G116">
        <f t="shared" si="17"/>
        <v>1.2600000000000013</v>
      </c>
      <c r="H116">
        <f t="shared" si="15"/>
        <v>181.97008586099898</v>
      </c>
      <c r="I116" t="str">
        <f t="shared" si="18"/>
        <v>1143.35176982804j</v>
      </c>
      <c r="J116" t="str">
        <f>IMDIV(R_1,IMSUM('Opamp and C Stray Using B'!R_1,IMPRODUCT('Opamp and C Stray Using B'!R_f,IMSUM(1,IMPRODUCT(I116,C_s,R_1)))))</f>
        <v>0.199999999997323-7.31745132680149E-07j</v>
      </c>
      <c r="K116">
        <f t="shared" si="19"/>
        <v>-13.979400086778499</v>
      </c>
      <c r="L116">
        <f t="shared" si="20"/>
        <v>-2.096295389109354E-4</v>
      </c>
      <c r="M116">
        <f t="shared" si="21"/>
        <v>0.19999999999732301</v>
      </c>
      <c r="N116">
        <f t="shared" si="22"/>
        <v>-7.3174513268014898E-7</v>
      </c>
      <c r="O116" t="str">
        <f t="shared" si="16"/>
        <v>3010.85907136949-54788.6283732477j</v>
      </c>
      <c r="P116">
        <f t="shared" si="23"/>
        <v>94.786904280604375</v>
      </c>
      <c r="Q116">
        <f t="shared" si="24"/>
        <v>-86.854526572497434</v>
      </c>
      <c r="R116">
        <f t="shared" si="25"/>
        <v>80.807504193825878</v>
      </c>
      <c r="S116">
        <f t="shared" si="26"/>
        <v>93.145263797963651</v>
      </c>
    </row>
    <row r="117" spans="7:19" x14ac:dyDescent="0.25">
      <c r="G117">
        <f t="shared" si="17"/>
        <v>1.2800000000000014</v>
      </c>
      <c r="H117">
        <f t="shared" si="15"/>
        <v>190.54607179632535</v>
      </c>
      <c r="I117" t="str">
        <f t="shared" si="18"/>
        <v>1197.23627865146j</v>
      </c>
      <c r="J117" t="str">
        <f>IMDIV(R_1,IMSUM('Opamp and C Stray Using B'!R_1,IMPRODUCT('Opamp and C Stray Using B'!R_f,IMSUM(1,IMPRODUCT(I117,C_s,R_1)))))</f>
        <v>0.199999999997064-7.66231218325689E-07j</v>
      </c>
      <c r="K117">
        <f t="shared" si="19"/>
        <v>-13.979400086784139</v>
      </c>
      <c r="L117">
        <f t="shared" si="20"/>
        <v>-2.1950907470829405E-4</v>
      </c>
      <c r="M117">
        <f t="shared" si="21"/>
        <v>0.199999999997064</v>
      </c>
      <c r="N117">
        <f t="shared" si="22"/>
        <v>-7.6623121832568896E-7</v>
      </c>
      <c r="O117" t="str">
        <f t="shared" si="16"/>
        <v>2746.66376316321-52336.5990616063j</v>
      </c>
      <c r="P117">
        <f t="shared" si="23"/>
        <v>94.388054978841765</v>
      </c>
      <c r="Q117">
        <f t="shared" si="24"/>
        <v>-86.995830780667802</v>
      </c>
      <c r="R117">
        <f t="shared" si="25"/>
        <v>80.408654892057626</v>
      </c>
      <c r="S117">
        <f t="shared" si="26"/>
        <v>93.003949710257487</v>
      </c>
    </row>
    <row r="118" spans="7:19" x14ac:dyDescent="0.25">
      <c r="G118">
        <f t="shared" si="17"/>
        <v>1.3000000000000014</v>
      </c>
      <c r="H118">
        <f t="shared" si="15"/>
        <v>199.52623149688867</v>
      </c>
      <c r="I118" t="str">
        <f t="shared" si="18"/>
        <v>1253.66028613816j</v>
      </c>
      <c r="J118" t="str">
        <f>IMDIV(R_1,IMSUM('Opamp and C Stray Using B'!R_1,IMPRODUCT('Opamp and C Stray Using B'!R_f,IMSUM(1,IMPRODUCT(I118,C_s,R_1)))))</f>
        <v>0.199999999996781-8.02342583115511E-07j</v>
      </c>
      <c r="K118">
        <f t="shared" si="19"/>
        <v>-13.979400086790282</v>
      </c>
      <c r="L118">
        <f t="shared" si="20"/>
        <v>-2.2985421868318263E-4</v>
      </c>
      <c r="M118">
        <f t="shared" si="21"/>
        <v>0.199999999996781</v>
      </c>
      <c r="N118">
        <f t="shared" si="22"/>
        <v>-8.0234258311551096E-7</v>
      </c>
      <c r="O118" t="str">
        <f t="shared" si="16"/>
        <v>2505.59266728573-49993.1462569759j</v>
      </c>
      <c r="P118">
        <f t="shared" si="23"/>
        <v>93.989104694000389</v>
      </c>
      <c r="Q118">
        <f t="shared" si="24"/>
        <v>-87.130809429944989</v>
      </c>
      <c r="R118">
        <f t="shared" si="25"/>
        <v>80.009704607210111</v>
      </c>
      <c r="S118">
        <f t="shared" si="26"/>
        <v>92.868960715836323</v>
      </c>
    </row>
    <row r="119" spans="7:19" x14ac:dyDescent="0.25">
      <c r="G119">
        <f t="shared" si="17"/>
        <v>1.3200000000000014</v>
      </c>
      <c r="H119">
        <f t="shared" si="15"/>
        <v>208.92961308540464</v>
      </c>
      <c r="I119" t="str">
        <f t="shared" si="18"/>
        <v>1312.74347517293j</v>
      </c>
      <c r="J119" t="str">
        <f>IMDIV(R_1,IMSUM('Opamp and C Stray Using B'!R_1,IMPRODUCT('Opamp and C Stray Using B'!R_f,IMSUM(1,IMPRODUCT(I119,C_s,R_1)))))</f>
        <v>0.199999999996471-8.4015582409585E-07j</v>
      </c>
      <c r="K119">
        <f t="shared" si="19"/>
        <v>-13.979400086797</v>
      </c>
      <c r="L119">
        <f t="shared" si="20"/>
        <v>-2.4068691427297015E-4</v>
      </c>
      <c r="M119">
        <f t="shared" si="21"/>
        <v>0.199999999996471</v>
      </c>
      <c r="N119">
        <f t="shared" si="22"/>
        <v>-8.4015582409585E-7</v>
      </c>
      <c r="O119" t="str">
        <f t="shared" si="16"/>
        <v>2285.63157333026-47753.6120271677j</v>
      </c>
      <c r="P119">
        <f t="shared" si="23"/>
        <v>93.590062266870774</v>
      </c>
      <c r="Q119">
        <f t="shared" si="24"/>
        <v>-87.259742821586343</v>
      </c>
      <c r="R119">
        <f t="shared" si="25"/>
        <v>79.610662180073774</v>
      </c>
      <c r="S119">
        <f t="shared" si="26"/>
        <v>92.740016491499389</v>
      </c>
    </row>
    <row r="120" spans="7:19" x14ac:dyDescent="0.25">
      <c r="G120">
        <f t="shared" si="17"/>
        <v>1.3400000000000014</v>
      </c>
      <c r="H120">
        <f t="shared" si="15"/>
        <v>218.77616239495606</v>
      </c>
      <c r="I120" t="str">
        <f t="shared" si="18"/>
        <v>1374.61116912112j</v>
      </c>
      <c r="J120" t="str">
        <f>IMDIV(R_1,IMSUM('Opamp and C Stray Using B'!R_1,IMPRODUCT('Opamp and C Stray Using B'!R_f,IMSUM(1,IMPRODUCT(I120,C_s,R_1)))))</f>
        <v>0.19999999999613-8.79751148220494E-07j</v>
      </c>
      <c r="K120">
        <f t="shared" si="19"/>
        <v>-13.979400086804416</v>
      </c>
      <c r="L120">
        <f t="shared" si="20"/>
        <v>-2.5203013907736343E-4</v>
      </c>
      <c r="M120">
        <f t="shared" si="21"/>
        <v>0.19999999999613</v>
      </c>
      <c r="N120">
        <f t="shared" si="22"/>
        <v>-8.7975114822049396E-7</v>
      </c>
      <c r="O120" t="str">
        <f t="shared" si="16"/>
        <v>2084.94007362514-45613.5188131165j</v>
      </c>
      <c r="P120">
        <f t="shared" si="23"/>
        <v>93.190935767831874</v>
      </c>
      <c r="Q120">
        <f t="shared" si="24"/>
        <v>-87.382899205471787</v>
      </c>
      <c r="R120">
        <f t="shared" si="25"/>
        <v>79.211535681027456</v>
      </c>
      <c r="S120">
        <f t="shared" si="26"/>
        <v>92.616848764389132</v>
      </c>
    </row>
    <row r="121" spans="7:19" x14ac:dyDescent="0.25">
      <c r="G121">
        <f t="shared" si="17"/>
        <v>1.3600000000000014</v>
      </c>
      <c r="H121">
        <f t="shared" si="15"/>
        <v>229.0867652767781</v>
      </c>
      <c r="I121" t="str">
        <f t="shared" si="18"/>
        <v>1439.39459765635j</v>
      </c>
      <c r="J121" t="str">
        <f>IMDIV(R_1,IMSUM('Opamp and C Stray Using B'!R_1,IMPRODUCT('Opamp and C Stray Using B'!R_f,IMSUM(1,IMPRODUCT(I121,C_s,R_1)))))</f>
        <v>0.199999999995757-9.2121254248052E-07j</v>
      </c>
      <c r="K121">
        <f t="shared" si="19"/>
        <v>-13.979400086812507</v>
      </c>
      <c r="L121">
        <f t="shared" si="20"/>
        <v>-2.6390795359698178E-4</v>
      </c>
      <c r="M121">
        <f t="shared" si="21"/>
        <v>0.19999999999575699</v>
      </c>
      <c r="N121">
        <f t="shared" si="22"/>
        <v>-9.2121254248052003E-7</v>
      </c>
      <c r="O121" t="str">
        <f t="shared" si="16"/>
        <v>1901.83684256775-43568.5650348046j</v>
      </c>
      <c r="P121">
        <f t="shared" si="23"/>
        <v>92.791732563385821</v>
      </c>
      <c r="Q121">
        <f t="shared" si="24"/>
        <v>-87.50053525030205</v>
      </c>
      <c r="R121">
        <f t="shared" si="25"/>
        <v>78.812332476573317</v>
      </c>
      <c r="S121">
        <f t="shared" si="26"/>
        <v>92.499200841744354</v>
      </c>
    </row>
    <row r="122" spans="7:19" x14ac:dyDescent="0.25">
      <c r="G122">
        <f t="shared" si="17"/>
        <v>1.3800000000000014</v>
      </c>
      <c r="H122">
        <f t="shared" si="15"/>
        <v>239.88329190194992</v>
      </c>
      <c r="I122" t="str">
        <f t="shared" si="18"/>
        <v>1507.2311751162j</v>
      </c>
      <c r="J122" t="str">
        <f>IMDIV(R_1,IMSUM('Opamp and C Stray Using B'!R_1,IMPRODUCT('Opamp and C Stray Using B'!R_f,IMSUM(1,IMPRODUCT(I122,C_s,R_1)))))</f>
        <v>0.199999999995347-9.64627952051928E-07j</v>
      </c>
      <c r="K122">
        <f t="shared" si="19"/>
        <v>-13.979400086821423</v>
      </c>
      <c r="L122">
        <f t="shared" si="20"/>
        <v>-2.7634555226890335E-4</v>
      </c>
      <c r="M122">
        <f t="shared" si="21"/>
        <v>0.19999999999534701</v>
      </c>
      <c r="N122">
        <f t="shared" si="22"/>
        <v>-9.64627952051928E-7</v>
      </c>
      <c r="O122" t="str">
        <f t="shared" si="16"/>
        <v>1734.78611599929-41614.6204251706j</v>
      </c>
      <c r="P122">
        <f t="shared" si="23"/>
        <v>92.392459377048638</v>
      </c>
      <c r="Q122">
        <f t="shared" si="24"/>
        <v>-87.612896501826938</v>
      </c>
      <c r="R122">
        <f t="shared" si="25"/>
        <v>78.41305929022721</v>
      </c>
      <c r="S122">
        <f t="shared" si="26"/>
        <v>92.386827152620796</v>
      </c>
    </row>
    <row r="123" spans="7:19" x14ac:dyDescent="0.25">
      <c r="G123">
        <f t="shared" si="17"/>
        <v>1.4000000000000015</v>
      </c>
      <c r="H123">
        <f t="shared" si="15"/>
        <v>251.18864315095888</v>
      </c>
      <c r="I123" t="str">
        <f t="shared" si="18"/>
        <v>1578.26479197648j</v>
      </c>
      <c r="J123" t="str">
        <f>IMDIV(R_1,IMSUM('Opamp and C Stray Using B'!R_1,IMPRODUCT('Opamp and C Stray Using B'!R_f,IMSUM(1,IMPRODUCT(I123,C_s,R_1)))))</f>
        <v>0.199999999994899-1.01008946683918E-06j</v>
      </c>
      <c r="K123">
        <f t="shared" si="19"/>
        <v>-13.979400086831134</v>
      </c>
      <c r="L123">
        <f t="shared" si="20"/>
        <v>-2.8936931690744277E-4</v>
      </c>
      <c r="M123">
        <f t="shared" si="21"/>
        <v>0.19999999999489901</v>
      </c>
      <c r="N123">
        <f t="shared" si="22"/>
        <v>-1.0100894668391801E-6</v>
      </c>
      <c r="O123" t="str">
        <f t="shared" si="16"/>
        <v>1582.38528080171-39747.721162663j</v>
      </c>
      <c r="P123">
        <f t="shared" si="23"/>
        <v>91.993122345056776</v>
      </c>
      <c r="Q123">
        <f t="shared" si="24"/>
        <v>-87.720217828482106</v>
      </c>
      <c r="R123">
        <f t="shared" si="25"/>
        <v>78.013722258225641</v>
      </c>
      <c r="S123">
        <f t="shared" si="26"/>
        <v>92.279492802200991</v>
      </c>
    </row>
    <row r="124" spans="7:19" x14ac:dyDescent="0.25">
      <c r="G124">
        <f t="shared" si="17"/>
        <v>1.4200000000000015</v>
      </c>
      <c r="H124">
        <f t="shared" si="15"/>
        <v>263.02679918953919</v>
      </c>
      <c r="I124" t="str">
        <f t="shared" si="18"/>
        <v>1652.64612006219j</v>
      </c>
      <c r="J124" t="str">
        <f>IMDIV(R_1,IMSUM('Opamp and C Stray Using B'!R_1,IMPRODUCT('Opamp and C Stray Using B'!R_f,IMSUM(1,IMPRODUCT(I124,C_s,R_1)))))</f>
        <v>0.199999999994406-1.05769351681022E-06j</v>
      </c>
      <c r="K124">
        <f t="shared" si="19"/>
        <v>-13.979400086841858</v>
      </c>
      <c r="L124">
        <f t="shared" si="20"/>
        <v>-3.0300687266352524E-4</v>
      </c>
      <c r="M124">
        <f t="shared" si="21"/>
        <v>0.19999999999440601</v>
      </c>
      <c r="N124">
        <f t="shared" si="22"/>
        <v>-1.0576935168102201E-6</v>
      </c>
      <c r="O124" t="str">
        <f t="shared" si="16"/>
        <v>1443.35349020793-37964.0648628441j</v>
      </c>
      <c r="P124">
        <f t="shared" si="23"/>
        <v>91.593727067318213</v>
      </c>
      <c r="Q124">
        <f t="shared" si="24"/>
        <v>-87.822723853984215</v>
      </c>
      <c r="R124">
        <f t="shared" si="25"/>
        <v>77.614326980476349</v>
      </c>
      <c r="S124">
        <f t="shared" si="26"/>
        <v>92.176973139143115</v>
      </c>
    </row>
    <row r="125" spans="7:19" x14ac:dyDescent="0.25">
      <c r="G125">
        <f t="shared" si="17"/>
        <v>1.4400000000000015</v>
      </c>
      <c r="H125">
        <f t="shared" si="15"/>
        <v>275.42287033381763</v>
      </c>
      <c r="I125" t="str">
        <f t="shared" si="18"/>
        <v>1730.53293214267j</v>
      </c>
      <c r="J125" t="str">
        <f>IMDIV(R_1,IMSUM('Opamp and C Stray Using B'!R_1,IMPRODUCT('Opamp and C Stray Using B'!R_f,IMSUM(1,IMPRODUCT(I125,C_s,R_1)))))</f>
        <v>0.199999999993867-1.10754107653734E-06j</v>
      </c>
      <c r="K125">
        <f t="shared" si="19"/>
        <v>-13.979400086853548</v>
      </c>
      <c r="L125">
        <f t="shared" si="20"/>
        <v>-3.1728714662131261E-4</v>
      </c>
      <c r="M125">
        <f t="shared" si="21"/>
        <v>0.199999999993867</v>
      </c>
      <c r="N125">
        <f t="shared" si="22"/>
        <v>-1.10754107653734E-6</v>
      </c>
      <c r="O125" t="str">
        <f t="shared" si="16"/>
        <v>1316.52122557933-36260.0054804454j</v>
      </c>
      <c r="P125">
        <f t="shared" si="23"/>
        <v>91.19427865400057</v>
      </c>
      <c r="Q125">
        <f t="shared" si="24"/>
        <v>-87.920629376582866</v>
      </c>
      <c r="R125">
        <f t="shared" si="25"/>
        <v>77.214878567147025</v>
      </c>
      <c r="S125">
        <f t="shared" si="26"/>
        <v>92.079053336270519</v>
      </c>
    </row>
    <row r="126" spans="7:19" x14ac:dyDescent="0.25">
      <c r="G126">
        <f t="shared" si="17"/>
        <v>1.4600000000000015</v>
      </c>
      <c r="H126">
        <f t="shared" si="15"/>
        <v>288.40315031266169</v>
      </c>
      <c r="I126" t="str">
        <f t="shared" si="18"/>
        <v>1812.09043658882j</v>
      </c>
      <c r="J126" t="str">
        <f>IMDIV(R_1,IMSUM('Opamp and C Stray Using B'!R_1,IMPRODUCT('Opamp and C Stray Using B'!R_f,IMSUM(1,IMPRODUCT(I126,C_s,R_1)))))</f>
        <v>0.199999999993275-1.15973787937785E-06j</v>
      </c>
      <c r="K126">
        <f t="shared" si="19"/>
        <v>-13.979400086866409</v>
      </c>
      <c r="L126">
        <f t="shared" si="20"/>
        <v>-3.3224042915646251E-4</v>
      </c>
      <c r="M126">
        <f t="shared" si="21"/>
        <v>0.199999999993275</v>
      </c>
      <c r="N126">
        <f t="shared" si="22"/>
        <v>-1.1597378793778499E-6</v>
      </c>
      <c r="O126" t="str">
        <f t="shared" si="16"/>
        <v>1200.8207305607-34632.0481654458j</v>
      </c>
      <c r="P126">
        <f t="shared" si="23"/>
        <v>90.794781768121666</v>
      </c>
      <c r="Q126">
        <f t="shared" si="24"/>
        <v>-88.01413977479163</v>
      </c>
      <c r="R126">
        <f t="shared" si="25"/>
        <v>76.815381681255261</v>
      </c>
      <c r="S126">
        <f t="shared" si="26"/>
        <v>91.98552798477921</v>
      </c>
    </row>
    <row r="127" spans="7:19" x14ac:dyDescent="0.25">
      <c r="G127">
        <f t="shared" si="17"/>
        <v>1.4800000000000015</v>
      </c>
      <c r="H127">
        <f t="shared" si="15"/>
        <v>301.99517204020287</v>
      </c>
      <c r="I127" t="str">
        <f t="shared" si="18"/>
        <v>1897.49162780217j</v>
      </c>
      <c r="J127" t="str">
        <f>IMDIV(R_1,IMSUM('Opamp and C Stray Using B'!R_1,IMPRODUCT('Opamp and C Stray Using B'!R_f,IMSUM(1,IMPRODUCT(I127,C_s,R_1)))))</f>
        <v>0.199999999992626-1.21439464174861E-06j</v>
      </c>
      <c r="K127">
        <f t="shared" si="19"/>
        <v>-13.979400086880505</v>
      </c>
      <c r="L127">
        <f t="shared" si="20"/>
        <v>-3.4789843818603625E-4</v>
      </c>
      <c r="M127">
        <f t="shared" si="21"/>
        <v>0.19999999999262599</v>
      </c>
      <c r="N127">
        <f t="shared" si="22"/>
        <v>-1.21439464174861E-6</v>
      </c>
      <c r="O127" t="str">
        <f t="shared" si="16"/>
        <v>1095.27724852145-33076.8441098953j</v>
      </c>
      <c r="P127">
        <f t="shared" si="23"/>
        <v>90.395240664476106</v>
      </c>
      <c r="Q127">
        <f t="shared" si="24"/>
        <v>-88.10345139952689</v>
      </c>
      <c r="R127">
        <f t="shared" si="25"/>
        <v>76.415840577595603</v>
      </c>
      <c r="S127">
        <f t="shared" si="26"/>
        <v>91.896200702034918</v>
      </c>
    </row>
    <row r="128" spans="7:19" x14ac:dyDescent="0.25">
      <c r="G128">
        <f t="shared" si="17"/>
        <v>1.5000000000000016</v>
      </c>
      <c r="H128">
        <f t="shared" si="15"/>
        <v>316.22776601683915</v>
      </c>
      <c r="I128" t="str">
        <f t="shared" si="18"/>
        <v>1986.91765315923j</v>
      </c>
      <c r="J128" t="str">
        <f>IMDIV(R_1,IMSUM('Opamp and C Stray Using B'!R_1,IMPRODUCT('Opamp and C Stray Using B'!R_f,IMSUM(1,IMPRODUCT(I128,C_s,R_1)))))</f>
        <v>0.199999999991915-0.0000012716272979705j</v>
      </c>
      <c r="K128">
        <f t="shared" si="19"/>
        <v>-13.979400086895934</v>
      </c>
      <c r="L128">
        <f t="shared" si="20"/>
        <v>-3.6429438644648959E-4</v>
      </c>
      <c r="M128">
        <f t="shared" si="21"/>
        <v>0.19999999999191501</v>
      </c>
      <c r="N128">
        <f t="shared" si="22"/>
        <v>-1.2716272979704999E-6</v>
      </c>
      <c r="O128" t="str">
        <f t="shared" si="16"/>
        <v>999.000999000992-31591.1854162674j</v>
      </c>
      <c r="P128">
        <f t="shared" si="23"/>
        <v>89.995659225206765</v>
      </c>
      <c r="Q128">
        <f t="shared" si="24"/>
        <v>-88.188751952672035</v>
      </c>
      <c r="R128">
        <f t="shared" si="25"/>
        <v>76.016259138310829</v>
      </c>
      <c r="S128">
        <f t="shared" si="26"/>
        <v>91.810883752941521</v>
      </c>
    </row>
    <row r="129" spans="7:19" x14ac:dyDescent="0.25">
      <c r="G129">
        <f t="shared" si="17"/>
        <v>1.5200000000000016</v>
      </c>
      <c r="H129">
        <f t="shared" si="15"/>
        <v>331.13112148259245</v>
      </c>
      <c r="I129" t="str">
        <f t="shared" si="18"/>
        <v>2080.55819724932j</v>
      </c>
      <c r="J129" t="str">
        <f>IMDIV(R_1,IMSUM('Opamp and C Stray Using B'!R_1,IMPRODUCT('Opamp and C Stray Using B'!R_f,IMSUM(1,IMPRODUCT(I129,C_s,R_1)))))</f>
        <v>0.199999999991135-1.33155724618054E-06j</v>
      </c>
      <c r="K129">
        <f t="shared" si="19"/>
        <v>-13.979400086912872</v>
      </c>
      <c r="L129">
        <f t="shared" si="20"/>
        <v>-3.814630519423086E-4</v>
      </c>
      <c r="M129">
        <f t="shared" si="21"/>
        <v>0.19999999999113499</v>
      </c>
      <c r="N129">
        <f t="shared" si="22"/>
        <v>-1.33155724618054E-6</v>
      </c>
      <c r="O129" t="str">
        <f t="shared" si="16"/>
        <v>911.179833471177-30172.0000129632j</v>
      </c>
      <c r="P129">
        <f t="shared" si="23"/>
        <v>89.596040992304964</v>
      </c>
      <c r="Q129">
        <f t="shared" si="24"/>
        <v>-88.270220852158374</v>
      </c>
      <c r="R129">
        <f t="shared" si="25"/>
        <v>75.616640905392089</v>
      </c>
      <c r="S129">
        <f t="shared" si="26"/>
        <v>91.729397684789689</v>
      </c>
    </row>
    <row r="130" spans="7:19" x14ac:dyDescent="0.25">
      <c r="G130">
        <f t="shared" si="17"/>
        <v>1.5400000000000016</v>
      </c>
      <c r="H130">
        <f t="shared" si="15"/>
        <v>346.73685045253302</v>
      </c>
      <c r="I130" t="str">
        <f t="shared" si="18"/>
        <v>2178.61188422108j</v>
      </c>
      <c r="J130" t="str">
        <f>IMDIV(R_1,IMSUM('Opamp and C Stray Using B'!R_1,IMPRODUCT('Opamp and C Stray Using B'!R_f,IMSUM(1,IMPRODUCT(I130,C_s,R_1)))))</f>
        <v>0.199999999990279-1.39431160583372E-06j</v>
      </c>
      <c r="K130">
        <f t="shared" si="19"/>
        <v>-13.979400086931475</v>
      </c>
      <c r="L130">
        <f t="shared" si="20"/>
        <v>-3.9944085171484637E-4</v>
      </c>
      <c r="M130">
        <f t="shared" si="21"/>
        <v>0.19999999999027901</v>
      </c>
      <c r="N130">
        <f t="shared" si="22"/>
        <v>-1.3943116058337199E-6</v>
      </c>
      <c r="O130" t="str">
        <f t="shared" si="16"/>
        <v>831.072515093451-28816.3466381168j</v>
      </c>
      <c r="P130">
        <f t="shared" si="23"/>
        <v>89.196389197298927</v>
      </c>
      <c r="Q130">
        <f t="shared" si="24"/>
        <v>-88.34802958371634</v>
      </c>
      <c r="R130">
        <f t="shared" si="25"/>
        <v>75.21698911036745</v>
      </c>
      <c r="S130">
        <f t="shared" si="26"/>
        <v>91.651570975431952</v>
      </c>
    </row>
    <row r="131" spans="7:19" x14ac:dyDescent="0.25">
      <c r="G131">
        <f t="shared" si="17"/>
        <v>1.5600000000000016</v>
      </c>
      <c r="H131">
        <f t="shared" ref="H131:H194" si="27">$B$3*10^G131</f>
        <v>363.07805477010282</v>
      </c>
      <c r="I131" t="str">
        <f t="shared" si="18"/>
        <v>2281.28669909086j</v>
      </c>
      <c r="J131" t="str">
        <f>IMDIV(R_1,IMSUM('Opamp and C Stray Using B'!R_1,IMPRODUCT('Opamp and C Stray Using B'!R_f,IMSUM(1,IMPRODUCT(I131,C_s,R_1)))))</f>
        <v>0.199999999989342-1.46002348734034E-06j</v>
      </c>
      <c r="K131">
        <f t="shared" si="19"/>
        <v>-13.979400086951806</v>
      </c>
      <c r="L131">
        <f t="shared" si="20"/>
        <v>-4.1826591908772766E-4</v>
      </c>
      <c r="M131">
        <f t="shared" si="21"/>
        <v>0.19999999998934201</v>
      </c>
      <c r="N131">
        <f t="shared" si="22"/>
        <v>-1.4600234873403399E-6</v>
      </c>
      <c r="O131" t="str">
        <f t="shared" ref="O131:O194" si="28">IMDIV(Aolv,IMSUM(1,IMDIV(I131,wc)))</f>
        <v>758.002571276788-27521.4099089913j</v>
      </c>
      <c r="P131">
        <f t="shared" si="23"/>
        <v>88.796706788371011</v>
      </c>
      <c r="Q131">
        <f t="shared" si="24"/>
        <v>-88.422342039500492</v>
      </c>
      <c r="R131">
        <f t="shared" si="25"/>
        <v>74.817306701419199</v>
      </c>
      <c r="S131">
        <f t="shared" si="26"/>
        <v>91.577239694580413</v>
      </c>
    </row>
    <row r="132" spans="7:19" x14ac:dyDescent="0.25">
      <c r="G132">
        <f t="shared" ref="G132:G195" si="29">G131+(1/ppd)</f>
        <v>1.5800000000000016</v>
      </c>
      <c r="H132">
        <f t="shared" si="27"/>
        <v>380.18939632056276</v>
      </c>
      <c r="I132" t="str">
        <f t="shared" ref="I132:I195" si="30">COMPLEX(0,H132*2*PI(),"j")</f>
        <v>2388.80042890684j</v>
      </c>
      <c r="J132" t="str">
        <f>IMDIV(R_1,IMSUM('Opamp and C Stray Using B'!R_1,IMPRODUCT('Opamp and C Stray Using B'!R_f,IMSUM(1,IMPRODUCT(I132,C_s,R_1)))))</f>
        <v>0.199999999988313-1.52883227441104E-06j</v>
      </c>
      <c r="K132">
        <f t="shared" ref="K132:K195" si="31">20*LOG(IMABS(J132))</f>
        <v>-13.979400086974163</v>
      </c>
      <c r="L132">
        <f t="shared" ref="L132:L195" si="32">DEGREES(IMARGUMENT(J132))</f>
        <v>-4.37978184552758E-4</v>
      </c>
      <c r="M132">
        <f t="shared" ref="M132:M195" si="33">IMREAL(J132)</f>
        <v>0.199999999988313</v>
      </c>
      <c r="N132">
        <f t="shared" ref="N132:N195" si="34">IMAGINARY(J132)</f>
        <v>-1.5288322744110399E-6</v>
      </c>
      <c r="O132" t="str">
        <f t="shared" si="28"/>
        <v>691.3526717288-26284.4954909181j</v>
      </c>
      <c r="P132">
        <f t="shared" ref="P132:P195" si="35">20*LOG(IMABS(O132))</f>
        <v>88.396996455122093</v>
      </c>
      <c r="Q132">
        <f t="shared" ref="Q132:Q195" si="36">DEGREES(IMARGUMENT(O132))</f>
        <v>-88.493314843833403</v>
      </c>
      <c r="R132">
        <f t="shared" ref="R132:R195" si="37">P132+K132</f>
        <v>74.417596368147926</v>
      </c>
      <c r="S132">
        <f t="shared" ref="S132:S195" si="38">(Q132+L132)-(-180)</f>
        <v>91.506247177982047</v>
      </c>
    </row>
    <row r="133" spans="7:19" x14ac:dyDescent="0.25">
      <c r="G133">
        <f t="shared" si="29"/>
        <v>1.6000000000000016</v>
      </c>
      <c r="H133">
        <f t="shared" si="27"/>
        <v>398.10717055349897</v>
      </c>
      <c r="I133" t="str">
        <f t="shared" si="30"/>
        <v>2501.38112470458j</v>
      </c>
      <c r="J133" t="str">
        <f>IMDIV(R_1,IMSUM('Opamp and C Stray Using B'!R_1,IMPRODUCT('Opamp and C Stray Using B'!R_f,IMSUM(1,IMPRODUCT(I133,C_s,R_1)))))</f>
        <v>0.199999999987186-1.60088391970836E-06j</v>
      </c>
      <c r="K133">
        <f t="shared" si="31"/>
        <v>-13.979400086998625</v>
      </c>
      <c r="L133">
        <f t="shared" si="32"/>
        <v>-4.5861946046783488E-4</v>
      </c>
      <c r="M133">
        <f t="shared" si="33"/>
        <v>0.19999999998718601</v>
      </c>
      <c r="N133">
        <f t="shared" si="34"/>
        <v>-1.6008839197083601E-6</v>
      </c>
      <c r="O133" t="str">
        <f t="shared" si="28"/>
        <v>630.559488339888-25103.0253768655j</v>
      </c>
      <c r="P133">
        <f t="shared" si="35"/>
        <v>87.997260651185002</v>
      </c>
      <c r="Q133">
        <f t="shared" si="36"/>
        <v>-88.561097666346328</v>
      </c>
      <c r="R133">
        <f t="shared" si="37"/>
        <v>74.017860564186378</v>
      </c>
      <c r="S133">
        <f t="shared" si="38"/>
        <v>91.438443714193198</v>
      </c>
    </row>
    <row r="134" spans="7:19" x14ac:dyDescent="0.25">
      <c r="G134">
        <f t="shared" si="29"/>
        <v>1.6200000000000017</v>
      </c>
      <c r="H134">
        <f t="shared" si="27"/>
        <v>416.86938347033708</v>
      </c>
      <c r="I134" t="str">
        <f t="shared" si="30"/>
        <v>2619.26758523383j</v>
      </c>
      <c r="J134" t="str">
        <f>IMDIV(R_1,IMSUM('Opamp and C Stray Using B'!R_1,IMPRODUCT('Opamp and C Stray Using B'!R_f,IMSUM(1,IMPRODUCT(I134,C_s,R_1)))))</f>
        <v>0.19999999998595-1.67633125443188E-06j</v>
      </c>
      <c r="K134">
        <f t="shared" si="31"/>
        <v>-13.979400087025461</v>
      </c>
      <c r="L134">
        <f t="shared" si="32"/>
        <v>-4.8023352974657912E-4</v>
      </c>
      <c r="M134">
        <f t="shared" si="33"/>
        <v>0.19999999998595</v>
      </c>
      <c r="N134">
        <f t="shared" si="34"/>
        <v>-1.6763312544318801E-6</v>
      </c>
      <c r="O134" t="str">
        <f t="shared" si="28"/>
        <v>575.10899665216-23974.5332862629j</v>
      </c>
      <c r="P134">
        <f t="shared" si="35"/>
        <v>87.597501614871817</v>
      </c>
      <c r="Q134">
        <f t="shared" si="36"/>
        <v>-88.625833522820344</v>
      </c>
      <c r="R134">
        <f t="shared" si="37"/>
        <v>73.618101527846363</v>
      </c>
      <c r="S134">
        <f t="shared" si="38"/>
        <v>91.373686243649914</v>
      </c>
    </row>
    <row r="135" spans="7:19" x14ac:dyDescent="0.25">
      <c r="G135">
        <f t="shared" si="29"/>
        <v>1.6400000000000017</v>
      </c>
      <c r="H135">
        <f t="shared" si="27"/>
        <v>436.51583224016781</v>
      </c>
      <c r="I135" t="str">
        <f t="shared" si="30"/>
        <v>2742.70986348269j</v>
      </c>
      <c r="J135" t="str">
        <f>IMDIV(R_1,IMSUM('Opamp and C Stray Using B'!R_1,IMPRODUCT('Opamp and C Stray Using B'!R_f,IMSUM(1,IMPRODUCT(I135,C_s,R_1)))))</f>
        <v>0.199999999984594-1.75533431249371E-06j</v>
      </c>
      <c r="K135">
        <f t="shared" si="31"/>
        <v>-13.979400087054913</v>
      </c>
      <c r="L135">
        <f t="shared" si="32"/>
        <v>-5.0286623872776166E-4</v>
      </c>
      <c r="M135">
        <f t="shared" si="33"/>
        <v>0.199999999984594</v>
      </c>
      <c r="N135">
        <f t="shared" si="34"/>
        <v>-1.75533431249371E-6</v>
      </c>
      <c r="O135" t="str">
        <f t="shared" si="28"/>
        <v>524.532181847593-22896.6601895953j</v>
      </c>
      <c r="P135">
        <f t="shared" si="35"/>
        <v>87.197721388023467</v>
      </c>
      <c r="Q135">
        <f t="shared" si="36"/>
        <v>-88.687659064051573</v>
      </c>
      <c r="R135">
        <f t="shared" si="37"/>
        <v>73.218321300968555</v>
      </c>
      <c r="S135">
        <f t="shared" si="38"/>
        <v>91.311838069709694</v>
      </c>
    </row>
    <row r="136" spans="7:19" x14ac:dyDescent="0.25">
      <c r="G136">
        <f t="shared" si="29"/>
        <v>1.6600000000000017</v>
      </c>
      <c r="H136">
        <f t="shared" si="27"/>
        <v>457.08818961487691</v>
      </c>
      <c r="I136" t="str">
        <f t="shared" si="30"/>
        <v>2871.96979707351j</v>
      </c>
      <c r="J136" t="str">
        <f>IMDIV(R_1,IMSUM('Opamp and C Stray Using B'!R_1,IMPRODUCT('Opamp and C Stray Using B'!R_f,IMSUM(1,IMPRODUCT(I136,C_s,R_1)))))</f>
        <v>0.199999999983108-1.83806066997179E-06j</v>
      </c>
      <c r="K136">
        <f t="shared" si="31"/>
        <v>-13.979400087087173</v>
      </c>
      <c r="L136">
        <f t="shared" si="32"/>
        <v>-5.2656559442150919E-4</v>
      </c>
      <c r="M136">
        <f t="shared" si="33"/>
        <v>0.199999999983108</v>
      </c>
      <c r="N136">
        <f t="shared" si="34"/>
        <v>-1.8380606699717901E-6</v>
      </c>
      <c r="O136" t="str">
        <f t="shared" si="28"/>
        <v>478.401115152721-21867.1499634896j</v>
      </c>
      <c r="P136">
        <f t="shared" si="35"/>
        <v>86.797921833217202</v>
      </c>
      <c r="Q136">
        <f t="shared" si="36"/>
        <v>-88.746704853079208</v>
      </c>
      <c r="R136">
        <f t="shared" si="37"/>
        <v>72.818521746130031</v>
      </c>
      <c r="S136">
        <f t="shared" si="38"/>
        <v>91.252768581326364</v>
      </c>
    </row>
    <row r="137" spans="7:19" x14ac:dyDescent="0.25">
      <c r="G137">
        <f t="shared" si="29"/>
        <v>1.6800000000000017</v>
      </c>
      <c r="H137">
        <f t="shared" si="27"/>
        <v>478.63009232264039</v>
      </c>
      <c r="I137" t="str">
        <f t="shared" si="30"/>
        <v>3007.32156365562j</v>
      </c>
      <c r="J137" t="str">
        <f>IMDIV(R_1,IMSUM('Opamp and C Stray Using B'!R_1,IMPRODUCT('Opamp and C Stray Using B'!R_f,IMSUM(1,IMPRODUCT(I137,C_s,R_1)))))</f>
        <v>0.199999999981478-1.92468580056135E-06j</v>
      </c>
      <c r="K137">
        <f t="shared" si="31"/>
        <v>-13.979400087122576</v>
      </c>
      <c r="L137">
        <f t="shared" si="32"/>
        <v>-5.5138186633865943E-4</v>
      </c>
      <c r="M137">
        <f t="shared" si="33"/>
        <v>0.19999999998147799</v>
      </c>
      <c r="N137">
        <f t="shared" si="34"/>
        <v>-1.92468580056135E-6</v>
      </c>
      <c r="O137" t="str">
        <f t="shared" si="28"/>
        <v>436.325369308452-20883.8451794814j</v>
      </c>
      <c r="P137">
        <f t="shared" si="35"/>
        <v>86.398104649473083</v>
      </c>
      <c r="Q137">
        <f t="shared" si="36"/>
        <v>-88.80309563112489</v>
      </c>
      <c r="R137">
        <f t="shared" si="37"/>
        <v>72.418704562350513</v>
      </c>
      <c r="S137">
        <f t="shared" si="38"/>
        <v>91.196352987008765</v>
      </c>
    </row>
    <row r="138" spans="7:19" x14ac:dyDescent="0.25">
      <c r="G138">
        <f t="shared" si="29"/>
        <v>1.7000000000000017</v>
      </c>
      <c r="H138">
        <f t="shared" si="27"/>
        <v>501.1872336272744</v>
      </c>
      <c r="I138" t="str">
        <f t="shared" si="30"/>
        <v>3149.05226247287j</v>
      </c>
      <c r="J138" t="str">
        <f>IMDIV(R_1,IMSUM('Opamp and C Stray Using B'!R_1,IMPRODUCT('Opamp and C Stray Using B'!R_f,IMSUM(1,IMPRODUCT(I138,C_s,R_1)))))</f>
        <v>0.199999999979691-2.01539344777799E-06j</v>
      </c>
      <c r="K138">
        <f t="shared" si="31"/>
        <v>-13.979400087161377</v>
      </c>
      <c r="L138">
        <f t="shared" si="32"/>
        <v>-5.7736769311907826E-4</v>
      </c>
      <c r="M138">
        <f t="shared" si="33"/>
        <v>0.19999999997969101</v>
      </c>
      <c r="N138">
        <f t="shared" si="34"/>
        <v>-2.0153934477779899E-6</v>
      </c>
      <c r="O138" t="str">
        <f t="shared" si="28"/>
        <v>397.948744304874-19944.6830283607j</v>
      </c>
      <c r="P138">
        <f t="shared" si="35"/>
        <v>85.998271386590062</v>
      </c>
      <c r="Q138">
        <f t="shared" si="36"/>
        <v>-88.856950572599075</v>
      </c>
      <c r="R138">
        <f t="shared" si="37"/>
        <v>72.018871299428682</v>
      </c>
      <c r="S138">
        <f t="shared" si="38"/>
        <v>91.142472059707799</v>
      </c>
    </row>
    <row r="139" spans="7:19" x14ac:dyDescent="0.25">
      <c r="G139">
        <f t="shared" si="29"/>
        <v>1.7200000000000017</v>
      </c>
      <c r="H139">
        <f t="shared" si="27"/>
        <v>524.80746024977498</v>
      </c>
      <c r="I139" t="str">
        <f t="shared" si="30"/>
        <v>3297.46252333962j</v>
      </c>
      <c r="J139" t="str">
        <f>IMDIV(R_1,IMSUM('Opamp and C Stray Using B'!R_1,IMPRODUCT('Opamp and C Stray Using B'!R_f,IMSUM(1,IMPRODUCT(I139,C_s,R_1)))))</f>
        <v>0.199999999977732-2.11037601470239E-06j</v>
      </c>
      <c r="K139">
        <f t="shared" si="31"/>
        <v>-13.97940008720391</v>
      </c>
      <c r="L139">
        <f t="shared" si="32"/>
        <v>-6.0457819418530297E-4</v>
      </c>
      <c r="M139">
        <f t="shared" si="33"/>
        <v>0.19999999997773199</v>
      </c>
      <c r="N139">
        <f t="shared" si="34"/>
        <v>-2.11037601470239E-6</v>
      </c>
      <c r="O139" t="str">
        <f t="shared" si="28"/>
        <v>362.94627694188-19047.6913808979j</v>
      </c>
      <c r="P139">
        <f t="shared" si="35"/>
        <v>85.598423458229604</v>
      </c>
      <c r="Q139">
        <f t="shared" si="36"/>
        <v>-88.908383529533324</v>
      </c>
      <c r="R139">
        <f t="shared" si="37"/>
        <v>71.61902337102569</v>
      </c>
      <c r="S139">
        <f t="shared" si="38"/>
        <v>91.091011892272491</v>
      </c>
    </row>
    <row r="140" spans="7:19" x14ac:dyDescent="0.25">
      <c r="G140">
        <f t="shared" si="29"/>
        <v>1.7400000000000018</v>
      </c>
      <c r="H140">
        <f t="shared" si="27"/>
        <v>549.54087385762716</v>
      </c>
      <c r="I140" t="str">
        <f t="shared" si="30"/>
        <v>3452.86714431687j</v>
      </c>
      <c r="J140" t="str">
        <f>IMDIV(R_1,IMSUM('Opamp and C Stray Using B'!R_1,IMPRODUCT('Opamp and C Stray Using B'!R_f,IMSUM(1,IMPRODUCT(I140,C_s,R_1)))))</f>
        <v>0.199999999975583-2.20983497209301E-06j</v>
      </c>
      <c r="K140">
        <f t="shared" si="31"/>
        <v>-13.979400087250585</v>
      </c>
      <c r="L140">
        <f t="shared" si="32"/>
        <v>-6.3307108665822348E-4</v>
      </c>
      <c r="M140">
        <f t="shared" si="33"/>
        <v>0.19999999997558299</v>
      </c>
      <c r="N140">
        <f t="shared" si="34"/>
        <v>-2.20983497209301E-6</v>
      </c>
      <c r="O140" t="str">
        <f t="shared" si="28"/>
        <v>331.021509958761-18190.9849848409j</v>
      </c>
      <c r="P140">
        <f t="shared" si="35"/>
        <v>85.198562153856187</v>
      </c>
      <c r="Q140">
        <f t="shared" si="36"/>
        <v>-88.957503265798508</v>
      </c>
      <c r="R140">
        <f t="shared" si="37"/>
        <v>71.219162066605605</v>
      </c>
      <c r="S140">
        <f t="shared" si="38"/>
        <v>91.041863663114839</v>
      </c>
    </row>
    <row r="141" spans="7:19" x14ac:dyDescent="0.25">
      <c r="G141">
        <f t="shared" si="29"/>
        <v>1.7600000000000018</v>
      </c>
      <c r="H141">
        <f t="shared" si="27"/>
        <v>575.43993733715956</v>
      </c>
      <c r="I141" t="str">
        <f t="shared" si="30"/>
        <v>3615.59575944118j</v>
      </c>
      <c r="J141" t="str">
        <f>IMDIV(R_1,IMSUM('Opamp and C Stray Using B'!R_1,IMPRODUCT('Opamp and C Stray Using B'!R_f,IMSUM(1,IMPRODUCT(I141,C_s,R_1)))))</f>
        <v>0.199999999973227-0.0000023139812857326j</v>
      </c>
      <c r="K141">
        <f t="shared" si="31"/>
        <v>-13.979400087301755</v>
      </c>
      <c r="L141">
        <f t="shared" si="32"/>
        <v>-6.6290680778282945E-4</v>
      </c>
      <c r="M141">
        <f t="shared" si="33"/>
        <v>0.19999999997322701</v>
      </c>
      <c r="N141">
        <f t="shared" si="34"/>
        <v>-2.3139812857326E-6</v>
      </c>
      <c r="O141" t="str">
        <f t="shared" si="28"/>
        <v>301.903998490236-17372.7617973059j</v>
      </c>
      <c r="P141">
        <f t="shared" si="35"/>
        <v>84.79868864963295</v>
      </c>
      <c r="Q141">
        <f t="shared" si="36"/>
        <v>-89.004413681467398</v>
      </c>
      <c r="R141">
        <f t="shared" si="37"/>
        <v>70.819288562331195</v>
      </c>
      <c r="S141">
        <f t="shared" si="38"/>
        <v>90.994923411724812</v>
      </c>
    </row>
    <row r="142" spans="7:19" x14ac:dyDescent="0.25">
      <c r="G142">
        <f t="shared" si="29"/>
        <v>1.7800000000000018</v>
      </c>
      <c r="H142">
        <f t="shared" si="27"/>
        <v>602.55958607436037</v>
      </c>
      <c r="I142" t="str">
        <f t="shared" si="30"/>
        <v>3785.99353792263j</v>
      </c>
      <c r="J142" t="str">
        <f>IMDIV(R_1,IMSUM('Opamp and C Stray Using B'!R_1,IMPRODUCT('Opamp and C Stray Using B'!R_f,IMSUM(1,IMPRODUCT(I142,C_s,R_1)))))</f>
        <v>0.199999999970644-2.42303586391483E-06j</v>
      </c>
      <c r="K142">
        <f t="shared" si="31"/>
        <v>-13.979400087357845</v>
      </c>
      <c r="L142">
        <f t="shared" si="32"/>
        <v>-6.9414864312370057E-4</v>
      </c>
      <c r="M142">
        <f t="shared" si="33"/>
        <v>0.19999999997064399</v>
      </c>
      <c r="N142">
        <f t="shared" si="34"/>
        <v>-2.42303586391483E-6</v>
      </c>
      <c r="O142" t="str">
        <f t="shared" si="28"/>
        <v>275.34703346352-16591.2994510582j</v>
      </c>
      <c r="P142">
        <f t="shared" si="35"/>
        <v>84.398804018365013</v>
      </c>
      <c r="Q142">
        <f t="shared" si="36"/>
        <v>-89.049214027676982</v>
      </c>
      <c r="R142">
        <f t="shared" si="37"/>
        <v>70.419403931007167</v>
      </c>
      <c r="S142">
        <f t="shared" si="38"/>
        <v>90.950091823679898</v>
      </c>
    </row>
    <row r="143" spans="7:19" x14ac:dyDescent="0.25">
      <c r="G143">
        <f t="shared" si="29"/>
        <v>1.8000000000000018</v>
      </c>
      <c r="H143">
        <f t="shared" si="27"/>
        <v>630.95734448019641</v>
      </c>
      <c r="I143" t="str">
        <f t="shared" si="30"/>
        <v>3964.42191629502j</v>
      </c>
      <c r="J143" t="str">
        <f>IMDIV(R_1,IMSUM('Opamp and C Stray Using B'!R_1,IMPRODUCT('Opamp and C Stray Using B'!R_f,IMSUM(1,IMPRODUCT(I143,C_s,R_1)))))</f>
        <v>0.199999999967812-2.53723002602048E-06j</v>
      </c>
      <c r="K143">
        <f t="shared" si="31"/>
        <v>-13.979400087419336</v>
      </c>
      <c r="L143">
        <f t="shared" si="32"/>
        <v>-7.2686286080219569E-4</v>
      </c>
      <c r="M143">
        <f t="shared" si="33"/>
        <v>0.19999999996781201</v>
      </c>
      <c r="N143">
        <f t="shared" si="34"/>
        <v>-2.5372300260204799E-6</v>
      </c>
      <c r="O143" t="str">
        <f t="shared" si="28"/>
        <v>251.125563261459-15844.9518526544j</v>
      </c>
      <c r="P143">
        <f t="shared" si="35"/>
        <v>83.998909238571287</v>
      </c>
      <c r="Q143">
        <f t="shared" si="36"/>
        <v>-89.091999112341426</v>
      </c>
      <c r="R143">
        <f t="shared" si="37"/>
        <v>70.019509151151951</v>
      </c>
      <c r="S143">
        <f t="shared" si="38"/>
        <v>90.907274024797772</v>
      </c>
    </row>
    <row r="144" spans="7:19" x14ac:dyDescent="0.25">
      <c r="G144">
        <f t="shared" si="29"/>
        <v>1.8200000000000018</v>
      </c>
      <c r="H144">
        <f t="shared" si="27"/>
        <v>660.69344800759927</v>
      </c>
      <c r="I144" t="str">
        <f t="shared" si="30"/>
        <v>4151.25936507117j</v>
      </c>
      <c r="J144" t="str">
        <f>IMDIV(R_1,IMSUM('Opamp and C Stray Using B'!R_1,IMPRODUCT('Opamp and C Stray Using B'!R_f,IMSUM(1,IMPRODUCT(I144,C_s,R_1)))))</f>
        <v>0.199999999964707-2.65680599317672E-06j</v>
      </c>
      <c r="K144">
        <f t="shared" si="31"/>
        <v>-13.979400087486752</v>
      </c>
      <c r="L144">
        <f t="shared" si="32"/>
        <v>-7.6111885205998569E-4</v>
      </c>
      <c r="M144">
        <f t="shared" si="33"/>
        <v>0.19999999996470699</v>
      </c>
      <c r="N144">
        <f t="shared" si="34"/>
        <v>-2.65680599317672E-6</v>
      </c>
      <c r="O144" t="str">
        <f t="shared" si="28"/>
        <v>229.03429655064-15132.1459100038j</v>
      </c>
      <c r="P144">
        <f t="shared" si="35"/>
        <v>83.599005202762683</v>
      </c>
      <c r="Q144">
        <f t="shared" si="36"/>
        <v>-89.132859497060153</v>
      </c>
      <c r="R144">
        <f t="shared" si="37"/>
        <v>69.619605115275931</v>
      </c>
      <c r="S144">
        <f t="shared" si="38"/>
        <v>90.866379384087793</v>
      </c>
    </row>
    <row r="145" spans="7:19" x14ac:dyDescent="0.25">
      <c r="G145">
        <f t="shared" si="29"/>
        <v>1.8400000000000019</v>
      </c>
      <c r="H145">
        <f t="shared" si="27"/>
        <v>691.83097091893967</v>
      </c>
      <c r="I145" t="str">
        <f t="shared" si="30"/>
        <v>4346.90219152967j</v>
      </c>
      <c r="J145" t="str">
        <f>IMDIV(R_1,IMSUM('Opamp and C Stray Using B'!R_1,IMPRODUCT('Opamp and C Stray Using B'!R_f,IMSUM(1,IMPRODUCT(I145,C_s,R_1)))))</f>
        <v>0.199999999961302-0.0000027820174020407j</v>
      </c>
      <c r="K145">
        <f t="shared" si="31"/>
        <v>-13.979400087560691</v>
      </c>
      <c r="L145">
        <f t="shared" si="32"/>
        <v>-7.9698927844721636E-4</v>
      </c>
      <c r="M145">
        <f t="shared" si="33"/>
        <v>0.19999999996130199</v>
      </c>
      <c r="N145">
        <f t="shared" si="34"/>
        <v>-2.7820174020407E-6</v>
      </c>
      <c r="O145" t="str">
        <f t="shared" si="28"/>
        <v>208.885970620381-14451.3783865643j</v>
      </c>
      <c r="P145">
        <f t="shared" si="35"/>
        <v>83.199092724994244</v>
      </c>
      <c r="Q145">
        <f t="shared" si="36"/>
        <v>-89.171881685559157</v>
      </c>
      <c r="R145">
        <f t="shared" si="37"/>
        <v>69.219692637433553</v>
      </c>
      <c r="S145">
        <f t="shared" si="38"/>
        <v>90.827321325162401</v>
      </c>
    </row>
    <row r="146" spans="7:19" x14ac:dyDescent="0.25">
      <c r="G146">
        <f t="shared" si="29"/>
        <v>1.8600000000000019</v>
      </c>
      <c r="H146">
        <f t="shared" si="27"/>
        <v>724.4359600749932</v>
      </c>
      <c r="I146" t="str">
        <f t="shared" si="30"/>
        <v>4551.76538033573j</v>
      </c>
      <c r="J146" t="str">
        <f>IMDIV(R_1,IMSUM('Opamp and C Stray Using B'!R_1,IMPRODUCT('Opamp and C Stray Using B'!R_f,IMSUM(1,IMPRODUCT(I146,C_s,R_1)))))</f>
        <v>0.199999999957568-2.91312984279682E-06j</v>
      </c>
      <c r="K146">
        <f t="shared" si="31"/>
        <v>-13.979400087641782</v>
      </c>
      <c r="L146">
        <f t="shared" si="32"/>
        <v>-8.3455022594737321E-4</v>
      </c>
      <c r="M146">
        <f t="shared" si="33"/>
        <v>0.19999999995756801</v>
      </c>
      <c r="N146">
        <f t="shared" si="34"/>
        <v>-2.9131298427968201E-6</v>
      </c>
      <c r="O146" t="str">
        <f t="shared" si="28"/>
        <v>190.509770907838-13801.2128791287j</v>
      </c>
      <c r="P146">
        <f t="shared" si="35"/>
        <v>82.799172547756086</v>
      </c>
      <c r="Q146">
        <f t="shared" si="36"/>
        <v>-89.209148303995761</v>
      </c>
      <c r="R146">
        <f t="shared" si="37"/>
        <v>68.819772460114308</v>
      </c>
      <c r="S146">
        <f t="shared" si="38"/>
        <v>90.790017145778293</v>
      </c>
    </row>
    <row r="147" spans="7:19" x14ac:dyDescent="0.25">
      <c r="G147">
        <f t="shared" si="29"/>
        <v>1.8800000000000019</v>
      </c>
      <c r="H147">
        <f t="shared" si="27"/>
        <v>758.57757502918776</v>
      </c>
      <c r="I147" t="str">
        <f t="shared" si="30"/>
        <v>4766.28347377931j</v>
      </c>
      <c r="J147" t="str">
        <f>IMDIV(R_1,IMSUM('Opamp and C Stray Using B'!R_1,IMPRODUCT('Opamp and C Stray Using B'!R_f,IMSUM(1,IMPRODUCT(I147,C_s,R_1)))))</f>
        <v>0.199999999953475-3.05042142250914E-06j</v>
      </c>
      <c r="K147">
        <f t="shared" si="31"/>
        <v>-13.979400087730646</v>
      </c>
      <c r="L147">
        <f t="shared" si="32"/>
        <v>-8.7388136636585699E-4</v>
      </c>
      <c r="M147">
        <f t="shared" si="33"/>
        <v>0.19999999995347501</v>
      </c>
      <c r="N147">
        <f t="shared" si="34"/>
        <v>-3.0504214225091401E-6</v>
      </c>
      <c r="O147" t="str">
        <f t="shared" si="28"/>
        <v>173.749888604895-13180.2769159492j</v>
      </c>
      <c r="P147">
        <f t="shared" si="35"/>
        <v>82.399245348259186</v>
      </c>
      <c r="Q147">
        <f t="shared" si="36"/>
        <v>-89.244738273448277</v>
      </c>
      <c r="R147">
        <f t="shared" si="37"/>
        <v>68.419845260528547</v>
      </c>
      <c r="S147">
        <f t="shared" si="38"/>
        <v>90.754387845185363</v>
      </c>
    </row>
    <row r="148" spans="7:19" x14ac:dyDescent="0.25">
      <c r="G148">
        <f t="shared" si="29"/>
        <v>1.9000000000000019</v>
      </c>
      <c r="H148">
        <f t="shared" si="27"/>
        <v>794.32823472428538</v>
      </c>
      <c r="I148" t="str">
        <f t="shared" si="30"/>
        <v>4990.91149349753j</v>
      </c>
      <c r="J148" t="str">
        <f>IMDIV(R_1,IMSUM('Opamp and C Stray Using B'!R_1,IMPRODUCT('Opamp and C Stray Using B'!R_f,IMSUM(1,IMPRODUCT(I148,C_s,R_1)))))</f>
        <v>0.199999999948986-3.19418335502368E-06j</v>
      </c>
      <c r="K148">
        <f t="shared" si="31"/>
        <v>-13.979400087828129</v>
      </c>
      <c r="L148">
        <f t="shared" si="32"/>
        <v>-9.1506612632457534E-4</v>
      </c>
      <c r="M148">
        <f t="shared" si="33"/>
        <v>0.19999999994898601</v>
      </c>
      <c r="N148">
        <f t="shared" si="34"/>
        <v>-3.1941833550236802E-6</v>
      </c>
      <c r="O148" t="str">
        <f t="shared" si="28"/>
        <v>158.464204362235-12587.2591718043j</v>
      </c>
      <c r="P148">
        <f t="shared" si="35"/>
        <v>81.999311744171223</v>
      </c>
      <c r="Q148">
        <f t="shared" si="36"/>
        <v>-89.278726974904188</v>
      </c>
      <c r="R148">
        <f t="shared" si="37"/>
        <v>68.019911656343098</v>
      </c>
      <c r="S148">
        <f t="shared" si="38"/>
        <v>90.720357958969487</v>
      </c>
    </row>
    <row r="149" spans="7:19" x14ac:dyDescent="0.25">
      <c r="G149">
        <f t="shared" si="29"/>
        <v>1.9200000000000019</v>
      </c>
      <c r="H149">
        <f t="shared" si="27"/>
        <v>831.76377110267492</v>
      </c>
      <c r="I149" t="str">
        <f t="shared" si="30"/>
        <v>5226.12590563661j</v>
      </c>
      <c r="J149" t="str">
        <f>IMDIV(R_1,IMSUM('Opamp and C Stray Using B'!R_1,IMPRODUCT('Opamp and C Stray Using B'!R_f,IMSUM(1,IMPRODUCT(I149,C_s,R_1)))))</f>
        <v>0.199999999944064-3.34472057867198E-06j</v>
      </c>
      <c r="K149">
        <f t="shared" si="31"/>
        <v>-13.979400087935014</v>
      </c>
      <c r="L149">
        <f t="shared" si="32"/>
        <v>-9.5819186422095289E-4</v>
      </c>
      <c r="M149">
        <f t="shared" si="33"/>
        <v>0.19999999994406401</v>
      </c>
      <c r="N149">
        <f t="shared" si="34"/>
        <v>-3.3447205786719799E-6</v>
      </c>
      <c r="O149" t="str">
        <f t="shared" si="28"/>
        <v>144.523087132798-12020.9067964977j</v>
      </c>
      <c r="P149">
        <f t="shared" si="35"/>
        <v>81.59937229884774</v>
      </c>
      <c r="Q149">
        <f t="shared" si="36"/>
        <v>-89.311186407050343</v>
      </c>
      <c r="R149">
        <f t="shared" si="37"/>
        <v>67.619972210912721</v>
      </c>
      <c r="S149">
        <f t="shared" si="38"/>
        <v>90.687855401085443</v>
      </c>
    </row>
    <row r="150" spans="7:19" x14ac:dyDescent="0.25">
      <c r="G150">
        <f t="shared" si="29"/>
        <v>1.9400000000000019</v>
      </c>
      <c r="H150">
        <f t="shared" si="27"/>
        <v>870.96358995608455</v>
      </c>
      <c r="I150" t="str">
        <f t="shared" si="30"/>
        <v>5472.42563150046j</v>
      </c>
      <c r="J150" t="str">
        <f>IMDIV(R_1,IMSUM('Opamp and C Stray Using B'!R_1,IMPRODUCT('Opamp and C Stray Using B'!R_f,IMSUM(1,IMPRODUCT(I150,C_s,R_1)))))</f>
        <v>0.199999999938668-3.50235240308625E-06j</v>
      </c>
      <c r="K150">
        <f t="shared" si="31"/>
        <v>-13.979400088052177</v>
      </c>
      <c r="L150">
        <f t="shared" si="32"/>
        <v>-1.0033500555268434E-3</v>
      </c>
      <c r="M150">
        <f t="shared" si="33"/>
        <v>0.19999999993866799</v>
      </c>
      <c r="N150">
        <f t="shared" si="34"/>
        <v>-3.5023524030862499E-6</v>
      </c>
      <c r="O150" t="str">
        <f t="shared" si="28"/>
        <v>131.808298137918-11480.0228532203j</v>
      </c>
      <c r="P150">
        <f t="shared" si="35"/>
        <v>81.199427526105254</v>
      </c>
      <c r="Q150">
        <f t="shared" si="36"/>
        <v>-89.342185337160018</v>
      </c>
      <c r="R150">
        <f t="shared" si="37"/>
        <v>67.22002743805308</v>
      </c>
      <c r="S150">
        <f t="shared" si="38"/>
        <v>90.656811312784455</v>
      </c>
    </row>
    <row r="151" spans="7:19" x14ac:dyDescent="0.25">
      <c r="G151">
        <f t="shared" si="29"/>
        <v>1.960000000000002</v>
      </c>
      <c r="H151">
        <f t="shared" si="27"/>
        <v>912.01083935591453</v>
      </c>
      <c r="I151" t="str">
        <f t="shared" si="30"/>
        <v>5730.3331058296j</v>
      </c>
      <c r="J151" t="str">
        <f>IMDIV(R_1,IMSUM('Opamp and C Stray Using B'!R_1,IMPRODUCT('Opamp and C Stray Using B'!R_f,IMSUM(1,IMPRODUCT(I151,C_s,R_1)))))</f>
        <v>0.19999999993275-3.66741318649778E-06j</v>
      </c>
      <c r="K151">
        <f t="shared" si="31"/>
        <v>-13.9794000881807</v>
      </c>
      <c r="L151">
        <f t="shared" si="32"/>
        <v>-1.0506364868202557E-3</v>
      </c>
      <c r="M151">
        <f t="shared" si="33"/>
        <v>0.19999999993275</v>
      </c>
      <c r="N151">
        <f t="shared" si="34"/>
        <v>-3.6674131864977801E-6</v>
      </c>
      <c r="O151" t="str">
        <f t="shared" si="28"/>
        <v>120.211990801625-10963.4638631635j</v>
      </c>
      <c r="P151">
        <f t="shared" si="35"/>
        <v>80.799477894575034</v>
      </c>
      <c r="Q151">
        <f t="shared" si="36"/>
        <v>-89.371789445361927</v>
      </c>
      <c r="R151">
        <f t="shared" si="37"/>
        <v>66.820077806394337</v>
      </c>
      <c r="S151">
        <f t="shared" si="38"/>
        <v>90.62715991815125</v>
      </c>
    </row>
    <row r="152" spans="7:19" x14ac:dyDescent="0.25">
      <c r="G152">
        <f t="shared" si="29"/>
        <v>1.980000000000002</v>
      </c>
      <c r="H152">
        <f t="shared" si="27"/>
        <v>954.99258602144084</v>
      </c>
      <c r="I152" t="str">
        <f t="shared" si="30"/>
        <v>6000.39538495535j</v>
      </c>
      <c r="J152" t="str">
        <f>IMDIV(R_1,IMSUM('Opamp and C Stray Using B'!R_1,IMPRODUCT('Opamp and C Stray Using B'!R_f,IMSUM(1,IMPRODUCT(I152,C_s,R_1)))))</f>
        <v>0.199999999926262-3.84025304495557E-06j</v>
      </c>
      <c r="K152">
        <f t="shared" si="31"/>
        <v>-13.979400088321583</v>
      </c>
      <c r="L152">
        <f t="shared" si="32"/>
        <v>-1.100151458961497E-3</v>
      </c>
      <c r="M152">
        <f t="shared" si="33"/>
        <v>0.199999999926262</v>
      </c>
      <c r="N152">
        <f t="shared" si="34"/>
        <v>-3.8402530449555699E-6</v>
      </c>
      <c r="O152" t="str">
        <f t="shared" si="28"/>
        <v>109.635798288084-10470.1374527662j</v>
      </c>
      <c r="P152">
        <f t="shared" si="35"/>
        <v>80.399523831674799</v>
      </c>
      <c r="Q152">
        <f t="shared" si="36"/>
        <v>-89.400061462566626</v>
      </c>
      <c r="R152">
        <f t="shared" si="37"/>
        <v>66.420123743353216</v>
      </c>
      <c r="S152">
        <f t="shared" si="38"/>
        <v>90.598838385974418</v>
      </c>
    </row>
    <row r="153" spans="7:19" x14ac:dyDescent="0.25">
      <c r="G153">
        <f t="shared" si="29"/>
        <v>2.0000000000000018</v>
      </c>
      <c r="H153">
        <f t="shared" si="27"/>
        <v>1000.0000000000048</v>
      </c>
      <c r="I153" t="str">
        <f t="shared" si="30"/>
        <v>6283.18530717962j</v>
      </c>
      <c r="J153" t="str">
        <f>IMDIV(R_1,IMSUM('Opamp and C Stray Using B'!R_1,IMPRODUCT('Opamp and C Stray Using B'!R_f,IMSUM(1,IMPRODUCT(I153,C_s,R_1)))))</f>
        <v>0.199999999919148-4.02123859496934E-06j</v>
      </c>
      <c r="K153">
        <f t="shared" si="31"/>
        <v>-13.979400088476059</v>
      </c>
      <c r="L153">
        <f t="shared" si="32"/>
        <v>-1.1519999998447733E-3</v>
      </c>
      <c r="M153">
        <f t="shared" si="33"/>
        <v>0.19999999991914799</v>
      </c>
      <c r="N153">
        <f t="shared" si="34"/>
        <v>-4.02123859496934E-6</v>
      </c>
      <c r="O153" t="str">
        <f t="shared" si="28"/>
        <v>99.990000999898-9999.0000999899j</v>
      </c>
      <c r="P153">
        <f t="shared" si="35"/>
        <v>79.999565727231285</v>
      </c>
      <c r="Q153">
        <f t="shared" si="36"/>
        <v>-89.427061302316517</v>
      </c>
      <c r="R153">
        <f t="shared" si="37"/>
        <v>66.02016563875523</v>
      </c>
      <c r="S153">
        <f t="shared" si="38"/>
        <v>90.571786697683635</v>
      </c>
    </row>
    <row r="154" spans="7:19" x14ac:dyDescent="0.25">
      <c r="G154">
        <f t="shared" si="29"/>
        <v>2.0200000000000018</v>
      </c>
      <c r="H154">
        <f t="shared" si="27"/>
        <v>1047.1285480509046</v>
      </c>
      <c r="I154" t="str">
        <f t="shared" si="30"/>
        <v>6579.30270784174j</v>
      </c>
      <c r="J154" t="str">
        <f>IMDIV(R_1,IMSUM('Opamp and C Stray Using B'!R_1,IMPRODUCT('Opamp and C Stray Using B'!R_f,IMSUM(1,IMPRODUCT(I154,C_s,R_1)))))</f>
        <v>0.199999999911348-4.21075373115226E-06j</v>
      </c>
      <c r="K154">
        <f t="shared" si="31"/>
        <v>-13.979400088645422</v>
      </c>
      <c r="L154">
        <f t="shared" si="32"/>
        <v>-1.2062920871764098E-3</v>
      </c>
      <c r="M154">
        <f t="shared" si="33"/>
        <v>0.19999999991134801</v>
      </c>
      <c r="N154">
        <f t="shared" si="34"/>
        <v>-4.2107537311522596E-6</v>
      </c>
      <c r="O154" t="str">
        <f t="shared" si="28"/>
        <v>91.1927670563865-9549.05497604989j</v>
      </c>
      <c r="P154">
        <f t="shared" si="35"/>
        <v>79.599603936785371</v>
      </c>
      <c r="Q154">
        <f t="shared" si="36"/>
        <v>-89.452846186815975</v>
      </c>
      <c r="R154">
        <f t="shared" si="37"/>
        <v>65.620203848139951</v>
      </c>
      <c r="S154">
        <f t="shared" si="38"/>
        <v>90.545947521096849</v>
      </c>
    </row>
    <row r="155" spans="7:19" x14ac:dyDescent="0.25">
      <c r="G155">
        <f t="shared" si="29"/>
        <v>2.0400000000000018</v>
      </c>
      <c r="H155">
        <f t="shared" si="27"/>
        <v>1096.47819614319</v>
      </c>
      <c r="I155" t="str">
        <f t="shared" si="30"/>
        <v>6889.37569164967j</v>
      </c>
      <c r="J155" t="str">
        <f>IMDIV(R_1,IMSUM('Opamp and C Stray Using B'!R_1,IMPRODUCT('Opamp and C Stray Using B'!R_f,IMSUM(1,IMPRODUCT(I155,C_s,R_1)))))</f>
        <v>0.199999999902795-4.40920044051281E-06j</v>
      </c>
      <c r="K155">
        <f t="shared" si="31"/>
        <v>-13.97940008883115</v>
      </c>
      <c r="L155">
        <f t="shared" si="32"/>
        <v>-1.263142881752316E-3</v>
      </c>
      <c r="M155">
        <f t="shared" si="33"/>
        <v>0.19999999990279499</v>
      </c>
      <c r="N155">
        <f t="shared" si="34"/>
        <v>-4.4092004405128098E-6</v>
      </c>
      <c r="O155" t="str">
        <f t="shared" si="28"/>
        <v>83.1694593759492-9119.34987907451j</v>
      </c>
      <c r="P155">
        <f t="shared" si="35"/>
        <v>79.199638784606009</v>
      </c>
      <c r="Q155">
        <f t="shared" si="36"/>
        <v>-89.477470767388738</v>
      </c>
      <c r="R155">
        <f t="shared" si="37"/>
        <v>65.220238695774853</v>
      </c>
      <c r="S155">
        <f t="shared" si="38"/>
        <v>90.521266089729508</v>
      </c>
    </row>
    <row r="156" spans="7:19" x14ac:dyDescent="0.25">
      <c r="G156">
        <f t="shared" si="29"/>
        <v>2.0600000000000018</v>
      </c>
      <c r="H156">
        <f t="shared" si="27"/>
        <v>1148.1536214968876</v>
      </c>
      <c r="I156" t="str">
        <f t="shared" si="30"/>
        <v>7214.06196497428j</v>
      </c>
      <c r="J156" t="str">
        <f>IMDIV(R_1,IMSUM('Opamp and C Stray Using B'!R_1,IMPRODUCT('Opamp and C Stray Using B'!R_f,IMSUM(1,IMPRODUCT(I156,C_s,R_1)))))</f>
        <v>0.199999999893417-4.61699965512304E-06j</v>
      </c>
      <c r="K156">
        <f t="shared" si="31"/>
        <v>-13.97940008903479</v>
      </c>
      <c r="L156">
        <f t="shared" si="32"/>
        <v>-1.322672971729448E-3</v>
      </c>
      <c r="M156">
        <f t="shared" si="33"/>
        <v>0.19999999989341699</v>
      </c>
      <c r="N156">
        <f t="shared" si="34"/>
        <v>-4.6169996551230401E-6</v>
      </c>
      <c r="O156" t="str">
        <f t="shared" si="28"/>
        <v>75.8520035400268-8708.97525622767j</v>
      </c>
      <c r="P156">
        <f t="shared" si="35"/>
        <v>78.7996705664399</v>
      </c>
      <c r="Q156">
        <f t="shared" si="36"/>
        <v>-89.500987239600633</v>
      </c>
      <c r="R156">
        <f t="shared" si="37"/>
        <v>64.820270477405103</v>
      </c>
      <c r="S156">
        <f t="shared" si="38"/>
        <v>90.497690087427642</v>
      </c>
    </row>
    <row r="157" spans="7:19" x14ac:dyDescent="0.25">
      <c r="G157">
        <f t="shared" si="29"/>
        <v>2.0800000000000018</v>
      </c>
      <c r="H157">
        <f t="shared" si="27"/>
        <v>1202.2644346174188</v>
      </c>
      <c r="I157" t="str">
        <f t="shared" si="30"/>
        <v>7554.05023093274j</v>
      </c>
      <c r="J157" t="str">
        <f>IMDIV(R_1,IMSUM('Opamp and C Stray Using B'!R_1,IMPRODUCT('Opamp and C Stray Using B'!R_f,IMSUM(1,IMPRODUCT(I157,C_s,R_1)))))</f>
        <v>0.199999999883134-4.83459214497195E-06j</v>
      </c>
      <c r="K157">
        <f t="shared" si="31"/>
        <v>-13.97940008925808</v>
      </c>
      <c r="L157">
        <f t="shared" si="32"/>
        <v>-1.3850086284094966E-3</v>
      </c>
      <c r="M157">
        <f t="shared" si="33"/>
        <v>0.19999999988313399</v>
      </c>
      <c r="N157">
        <f t="shared" si="34"/>
        <v>-4.8345921449719497E-6</v>
      </c>
      <c r="O157" t="str">
        <f t="shared" si="28"/>
        <v>69.1783111220778-8317.06231089729j</v>
      </c>
      <c r="P157">
        <f t="shared" si="35"/>
        <v>78.399699552019712</v>
      </c>
      <c r="Q157">
        <f t="shared" si="36"/>
        <v>-89.523445453276409</v>
      </c>
      <c r="R157">
        <f t="shared" si="37"/>
        <v>64.420299462761633</v>
      </c>
      <c r="S157">
        <f t="shared" si="38"/>
        <v>90.475169538095187</v>
      </c>
    </row>
    <row r="158" spans="7:19" x14ac:dyDescent="0.25">
      <c r="G158">
        <f t="shared" si="29"/>
        <v>2.1000000000000019</v>
      </c>
      <c r="H158">
        <f t="shared" si="27"/>
        <v>1258.9254117941732</v>
      </c>
      <c r="I158" t="str">
        <f t="shared" si="30"/>
        <v>7910.06165022016j</v>
      </c>
      <c r="J158" t="str">
        <f>IMDIV(R_1,IMSUM('Opamp and C Stray Using B'!R_1,IMPRODUCT('Opamp and C Stray Using B'!R_f,IMSUM(1,IMPRODUCT(I158,C_s,R_1)))))</f>
        <v>0.199999999871859-5.06243945289734E-06j</v>
      </c>
      <c r="K158">
        <f t="shared" si="31"/>
        <v>-13.979400089502914</v>
      </c>
      <c r="L158">
        <f t="shared" si="32"/>
        <v>-1.4502820740771429E-3</v>
      </c>
      <c r="M158">
        <f t="shared" si="33"/>
        <v>0.19999999987185901</v>
      </c>
      <c r="N158">
        <f t="shared" si="34"/>
        <v>-5.0624394528973403E-6</v>
      </c>
      <c r="O158" t="str">
        <f t="shared" si="28"/>
        <v>63.0917536274863-7942.78119162995j</v>
      </c>
      <c r="P158">
        <f t="shared" si="35"/>
        <v>77.999725987351383</v>
      </c>
      <c r="Q158">
        <f t="shared" si="36"/>
        <v>-89.54489301763094</v>
      </c>
      <c r="R158">
        <f t="shared" si="37"/>
        <v>64.020325897848466</v>
      </c>
      <c r="S158">
        <f t="shared" si="38"/>
        <v>90.453656700294985</v>
      </c>
    </row>
    <row r="159" spans="7:19" x14ac:dyDescent="0.25">
      <c r="G159">
        <f t="shared" si="29"/>
        <v>2.1200000000000019</v>
      </c>
      <c r="H159">
        <f t="shared" si="27"/>
        <v>1318.2567385564132</v>
      </c>
      <c r="I159" t="str">
        <f t="shared" si="30"/>
        <v>8282.85137078814j</v>
      </c>
      <c r="J159" t="str">
        <f>IMDIV(R_1,IMSUM('Opamp and C Stray Using B'!R_1,IMPRODUCT('Opamp and C Stray Using B'!R_f,IMSUM(1,IMPRODUCT(I159,C_s,R_1)))))</f>
        <v>0.199999999859496-5.30102487358032E-06j</v>
      </c>
      <c r="K159">
        <f t="shared" si="31"/>
        <v>-13.979400089771374</v>
      </c>
      <c r="L159">
        <f t="shared" si="32"/>
        <v>-1.5186317624613609E-3</v>
      </c>
      <c r="M159">
        <f t="shared" si="33"/>
        <v>0.19999999985949601</v>
      </c>
      <c r="N159">
        <f t="shared" si="34"/>
        <v>-5.3010248735803197E-6</v>
      </c>
      <c r="O159" t="str">
        <f t="shared" si="28"/>
        <v>57.5406826130357-7585.339259577j</v>
      </c>
      <c r="P159">
        <f t="shared" si="35"/>
        <v>77.599750096800676</v>
      </c>
      <c r="Q159">
        <f t="shared" si="36"/>
        <v>-89.565375401726058</v>
      </c>
      <c r="R159">
        <f t="shared" si="37"/>
        <v>63.620350007029302</v>
      </c>
      <c r="S159">
        <f t="shared" si="38"/>
        <v>90.433105966511476</v>
      </c>
    </row>
    <row r="160" spans="7:19" x14ac:dyDescent="0.25">
      <c r="G160">
        <f t="shared" si="29"/>
        <v>2.1400000000000019</v>
      </c>
      <c r="H160">
        <f t="shared" si="27"/>
        <v>1380.3842646028909</v>
      </c>
      <c r="I160" t="str">
        <f t="shared" si="30"/>
        <v>8673.21012961478j</v>
      </c>
      <c r="J160" t="str">
        <f>IMDIV(R_1,IMSUM('Opamp and C Stray Using B'!R_1,IMPRODUCT('Opamp and C Stray Using B'!R_f,IMSUM(1,IMPRODUCT(I160,C_s,R_1)))))</f>
        <v>0.19999999984594-5.55085447867762E-06j</v>
      </c>
      <c r="K160">
        <f t="shared" si="31"/>
        <v>-13.97940009006575</v>
      </c>
      <c r="L160">
        <f t="shared" si="32"/>
        <v>-1.5902026724142146E-3</v>
      </c>
      <c r="M160">
        <f t="shared" si="33"/>
        <v>0.19999999984594</v>
      </c>
      <c r="N160">
        <f t="shared" si="34"/>
        <v>-5.5508544786776203E-6</v>
      </c>
      <c r="O160" t="str">
        <f t="shared" si="28"/>
        <v>52.4779919408099-7243.97943130513j</v>
      </c>
      <c r="P160">
        <f t="shared" si="35"/>
        <v>77.19977208499644</v>
      </c>
      <c r="Q160">
        <f t="shared" si="36"/>
        <v>-89.584936030455935</v>
      </c>
      <c r="R160">
        <f t="shared" si="37"/>
        <v>63.220371994930687</v>
      </c>
      <c r="S160">
        <f t="shared" si="38"/>
        <v>90.413473766871647</v>
      </c>
    </row>
    <row r="161" spans="7:19" x14ac:dyDescent="0.25">
      <c r="G161">
        <f t="shared" si="29"/>
        <v>2.1600000000000019</v>
      </c>
      <c r="H161">
        <f t="shared" si="27"/>
        <v>1445.439770745935</v>
      </c>
      <c r="I161" t="str">
        <f t="shared" si="30"/>
        <v>9081.96592996389j</v>
      </c>
      <c r="J161" t="str">
        <f>IMDIV(R_1,IMSUM('Opamp and C Stray Using B'!R_1,IMPRODUCT('Opamp and C Stray Using B'!R_f,IMSUM(1,IMPRODUCT(I161,C_s,R_1)))))</f>
        <v>0.199999999831077-5.81245819026758E-06j</v>
      </c>
      <c r="K161">
        <f t="shared" si="31"/>
        <v>-13.979400090388484</v>
      </c>
      <c r="L161">
        <f t="shared" si="32"/>
        <v>-1.6651466154305081E-3</v>
      </c>
      <c r="M161">
        <f t="shared" si="33"/>
        <v>0.199999999831077</v>
      </c>
      <c r="N161">
        <f t="shared" si="34"/>
        <v>-5.8124581902675802E-6</v>
      </c>
      <c r="O161" t="str">
        <f t="shared" si="28"/>
        <v>47.8607184742528-6917.978593916j</v>
      </c>
      <c r="P161">
        <f t="shared" si="35"/>
        <v>76.79979213856636</v>
      </c>
      <c r="Q161">
        <f t="shared" si="36"/>
        <v>-89.603616376256042</v>
      </c>
      <c r="R161">
        <f t="shared" si="37"/>
        <v>62.820392048177879</v>
      </c>
      <c r="S161">
        <f t="shared" si="38"/>
        <v>90.394718477128521</v>
      </c>
    </row>
    <row r="162" spans="7:19" x14ac:dyDescent="0.25">
      <c r="G162">
        <f t="shared" si="29"/>
        <v>2.1800000000000019</v>
      </c>
      <c r="H162">
        <f t="shared" si="27"/>
        <v>1513.5612484362155</v>
      </c>
      <c r="I162" t="str">
        <f t="shared" si="30"/>
        <v>9509.98579769082j</v>
      </c>
      <c r="J162" t="str">
        <f>IMDIV(R_1,IMSUM('Opamp and C Stray Using B'!R_1,IMPRODUCT('Opamp and C Stray Using B'!R_f,IMSUM(1,IMPRODUCT(I162,C_s,R_1)))))</f>
        <v>0.199999999814779-6.08639090488549E-06j</v>
      </c>
      <c r="K162">
        <f t="shared" si="31"/>
        <v>-13.979400090742404</v>
      </c>
      <c r="L162">
        <f t="shared" si="32"/>
        <v>-1.7436225576602622E-3</v>
      </c>
      <c r="M162">
        <f t="shared" si="33"/>
        <v>0.19999999981477901</v>
      </c>
      <c r="N162">
        <f t="shared" si="34"/>
        <v>-6.0863909048854898E-6</v>
      </c>
      <c r="O162" t="str">
        <f t="shared" si="28"/>
        <v>43.6496778464707-6606.6460895143j</v>
      </c>
      <c r="P162">
        <f t="shared" si="35"/>
        <v>76.399810427720254</v>
      </c>
      <c r="Q162">
        <f t="shared" si="36"/>
        <v>-89.621456046722372</v>
      </c>
      <c r="R162">
        <f t="shared" si="37"/>
        <v>62.420410336977852</v>
      </c>
      <c r="S162">
        <f t="shared" si="38"/>
        <v>90.376800330719973</v>
      </c>
    </row>
    <row r="163" spans="7:19" x14ac:dyDescent="0.25">
      <c r="G163">
        <f t="shared" si="29"/>
        <v>2.200000000000002</v>
      </c>
      <c r="H163">
        <f t="shared" si="27"/>
        <v>1584.8931924611211</v>
      </c>
      <c r="I163" t="str">
        <f t="shared" si="30"/>
        <v>9958.17762032066j</v>
      </c>
      <c r="J163" t="str">
        <f>IMDIV(R_1,IMSUM('Opamp and C Stray Using B'!R_1,IMPRODUCT('Opamp and C Stray Using B'!R_f,IMSUM(1,IMPRODUCT(I163,C_s,R_1)))))</f>
        <v>0.199999999796909-6.37323367053348E-06j</v>
      </c>
      <c r="K163">
        <f t="shared" si="31"/>
        <v>-13.979400091130451</v>
      </c>
      <c r="L163">
        <f t="shared" si="32"/>
        <v>-1.8257969570972044E-3</v>
      </c>
      <c r="M163">
        <f t="shared" si="33"/>
        <v>0.19999999979690899</v>
      </c>
      <c r="N163">
        <f t="shared" si="34"/>
        <v>-6.3732336705334798E-6</v>
      </c>
      <c r="O163" t="str">
        <f t="shared" si="28"/>
        <v>39.8091322252502-6309.32226615836j</v>
      </c>
      <c r="P163">
        <f t="shared" si="35"/>
        <v>75.999827107694045</v>
      </c>
      <c r="Q163">
        <f t="shared" si="36"/>
        <v>-89.638492868320157</v>
      </c>
      <c r="R163">
        <f t="shared" si="37"/>
        <v>62.020427016563595</v>
      </c>
      <c r="S163">
        <f t="shared" si="38"/>
        <v>90.359681334722751</v>
      </c>
    </row>
    <row r="164" spans="7:19" x14ac:dyDescent="0.25">
      <c r="G164">
        <f t="shared" si="29"/>
        <v>2.220000000000002</v>
      </c>
      <c r="H164">
        <f t="shared" si="27"/>
        <v>1659.5869074375696</v>
      </c>
      <c r="I164" t="str">
        <f t="shared" si="30"/>
        <v>10427.4920727993j</v>
      </c>
      <c r="J164" t="str">
        <f>IMDIV(R_1,IMSUM('Opamp and C Stray Using B'!R_1,IMPRODUCT('Opamp and C Stray Using B'!R_f,IMSUM(1,IMPRODUCT(I164,C_s,R_1)))))</f>
        <v>0.199999999777316-6.67359491916103E-06j</v>
      </c>
      <c r="K164">
        <f t="shared" si="31"/>
        <v>-13.979400091555888</v>
      </c>
      <c r="L164">
        <f t="shared" si="32"/>
        <v>-1.9118441166585066E-3</v>
      </c>
      <c r="M164">
        <f t="shared" si="33"/>
        <v>0.199999999777316</v>
      </c>
      <c r="N164">
        <f t="shared" si="34"/>
        <v>-6.6735949191610301E-6</v>
      </c>
      <c r="O164" t="str">
        <f t="shared" si="28"/>
        <v>36.3064872681329-6025.37709252418j</v>
      </c>
      <c r="P164">
        <f t="shared" si="35"/>
        <v>75.599842320066813</v>
      </c>
      <c r="Q164">
        <f t="shared" si="36"/>
        <v>-89.6547629663538</v>
      </c>
      <c r="R164">
        <f t="shared" si="37"/>
        <v>61.620442228510925</v>
      </c>
      <c r="S164">
        <f t="shared" si="38"/>
        <v>90.343325189529537</v>
      </c>
    </row>
    <row r="165" spans="7:19" x14ac:dyDescent="0.25">
      <c r="G165">
        <f t="shared" si="29"/>
        <v>2.240000000000002</v>
      </c>
      <c r="H165">
        <f t="shared" si="27"/>
        <v>1737.8008287493847</v>
      </c>
      <c r="I165" t="str">
        <f t="shared" si="30"/>
        <v>10918.9246340026j</v>
      </c>
      <c r="J165" t="str">
        <f>IMDIV(R_1,IMSUM('Opamp and C Stray Using B'!R_1,IMPRODUCT('Opamp and C Stray Using B'!R_f,IMSUM(1,IMPRODUCT(I165,C_s,R_1)))))</f>
        <v>0.199999999755831-0.0000069881117572303j</v>
      </c>
      <c r="K165">
        <f t="shared" si="31"/>
        <v>-13.979400092022448</v>
      </c>
      <c r="L165">
        <f t="shared" si="32"/>
        <v>-2.0019465539046068E-3</v>
      </c>
      <c r="M165">
        <f t="shared" si="33"/>
        <v>0.19999999975583099</v>
      </c>
      <c r="N165">
        <f t="shared" si="34"/>
        <v>-6.9881117572303E-6</v>
      </c>
      <c r="O165" t="str">
        <f t="shared" si="28"/>
        <v>33.1120157063694-5754.20883360912j</v>
      </c>
      <c r="P165">
        <f t="shared" si="35"/>
        <v>75.199856193962049</v>
      </c>
      <c r="Q165">
        <f t="shared" si="36"/>
        <v>-89.670300841362689</v>
      </c>
      <c r="R165">
        <f t="shared" si="37"/>
        <v>61.220456101939604</v>
      </c>
      <c r="S165">
        <f t="shared" si="38"/>
        <v>90.327697212083407</v>
      </c>
    </row>
    <row r="166" spans="7:19" x14ac:dyDescent="0.25">
      <c r="G166">
        <f t="shared" si="29"/>
        <v>2.260000000000002</v>
      </c>
      <c r="H166">
        <f t="shared" si="27"/>
        <v>1819.7008586099926</v>
      </c>
      <c r="I166" t="str">
        <f t="shared" si="30"/>
        <v>11433.5176982804j</v>
      </c>
      <c r="J166" t="str">
        <f>IMDIV(R_1,IMSUM('Opamp and C Stray Using B'!R_1,IMPRODUCT('Opamp and C Stray Using B'!R_f,IMSUM(1,IMPRODUCT(I166,C_s,R_1)))))</f>
        <v>0.199999999732275-0.0000073174513171041j</v>
      </c>
      <c r="K166">
        <f t="shared" si="31"/>
        <v>-13.97940009253394</v>
      </c>
      <c r="L166">
        <f t="shared" si="32"/>
        <v>-2.0962953881833186E-3</v>
      </c>
      <c r="M166">
        <f t="shared" si="33"/>
        <v>0.199999999732275</v>
      </c>
      <c r="N166">
        <f t="shared" si="34"/>
        <v>-7.3174513171040996E-6</v>
      </c>
      <c r="O166" t="str">
        <f t="shared" si="28"/>
        <v>30.1986052207217-5495.24278489717j</v>
      </c>
      <c r="P166">
        <f t="shared" si="35"/>
        <v>74.799868847143514</v>
      </c>
      <c r="Q166">
        <f t="shared" si="36"/>
        <v>-89.685139442100365</v>
      </c>
      <c r="R166">
        <f t="shared" si="37"/>
        <v>60.820468754609578</v>
      </c>
      <c r="S166">
        <f t="shared" si="38"/>
        <v>90.31276426251145</v>
      </c>
    </row>
    <row r="167" spans="7:19" x14ac:dyDescent="0.25">
      <c r="G167">
        <f t="shared" si="29"/>
        <v>2.280000000000002</v>
      </c>
      <c r="H167">
        <f t="shared" si="27"/>
        <v>1905.4607179632562</v>
      </c>
      <c r="I167" t="str">
        <f t="shared" si="30"/>
        <v>11972.3627865146j</v>
      </c>
      <c r="J167" t="str">
        <f>IMDIV(R_1,IMSUM('Opamp and C Stray Using B'!R_1,IMPRODUCT('Opamp and C Stray Using B'!R_f,IMSUM(1,IMPRODUCT(I167,C_s,R_1)))))</f>
        <v>0.199999999706445-0.0000076623121721228j</v>
      </c>
      <c r="K167">
        <f t="shared" si="31"/>
        <v>-13.97940009309484</v>
      </c>
      <c r="L167">
        <f t="shared" si="32"/>
        <v>-2.1950907460197067E-3</v>
      </c>
      <c r="M167">
        <f t="shared" si="33"/>
        <v>0.199999999706445</v>
      </c>
      <c r="N167">
        <f t="shared" si="34"/>
        <v>-7.6623121721227994E-6</v>
      </c>
      <c r="O167" t="str">
        <f t="shared" si="28"/>
        <v>27.5415284766987-5247.93006250158j</v>
      </c>
      <c r="P167">
        <f t="shared" si="35"/>
        <v>74.399880387014377</v>
      </c>
      <c r="Q167">
        <f t="shared" si="36"/>
        <v>-89.699310235248092</v>
      </c>
      <c r="R167">
        <f t="shared" si="37"/>
        <v>60.420480293919539</v>
      </c>
      <c r="S167">
        <f t="shared" si="38"/>
        <v>90.298494674005894</v>
      </c>
    </row>
    <row r="168" spans="7:19" x14ac:dyDescent="0.25">
      <c r="G168">
        <f t="shared" si="29"/>
        <v>2.300000000000002</v>
      </c>
      <c r="H168">
        <f t="shared" si="27"/>
        <v>1995.2623149688907</v>
      </c>
      <c r="I168" t="str">
        <f t="shared" si="30"/>
        <v>12536.6028613817j</v>
      </c>
      <c r="J168" t="str">
        <f>IMDIV(R_1,IMSUM('Opamp and C Stray Using B'!R_1,IMPRODUCT('Opamp and C Stray Using B'!R_f,IMSUM(1,IMPRODUCT(I168,C_s,R_1)))))</f>
        <v>0.199999999678123-8.02342581837151E-06j</v>
      </c>
      <c r="K168">
        <f t="shared" si="31"/>
        <v>-13.979400093709851</v>
      </c>
      <c r="L168">
        <f t="shared" si="32"/>
        <v>-2.2985421856110909E-3</v>
      </c>
      <c r="M168">
        <f t="shared" si="33"/>
        <v>0.19999999967812301</v>
      </c>
      <c r="N168">
        <f t="shared" si="34"/>
        <v>-8.0234258183715107E-6</v>
      </c>
      <c r="O168" t="str">
        <f t="shared" si="28"/>
        <v>25.1182333735993-5011.74644689369j</v>
      </c>
      <c r="P168">
        <f t="shared" si="35"/>
        <v>73.999890911528354</v>
      </c>
      <c r="Q168">
        <f t="shared" si="36"/>
        <v>-89.71284327200739</v>
      </c>
      <c r="R168">
        <f t="shared" si="37"/>
        <v>60.020490817818505</v>
      </c>
      <c r="S168">
        <f t="shared" si="38"/>
        <v>90.284858185806996</v>
      </c>
    </row>
    <row r="169" spans="7:19" x14ac:dyDescent="0.25">
      <c r="G169">
        <f t="shared" si="29"/>
        <v>2.3200000000000021</v>
      </c>
      <c r="H169">
        <f t="shared" si="27"/>
        <v>2089.2961308540507</v>
      </c>
      <c r="I169" t="str">
        <f t="shared" si="30"/>
        <v>13127.4347517293j</v>
      </c>
      <c r="J169" t="str">
        <f>IMDIV(R_1,IMSUM('Opamp and C Stray Using B'!R_1,IMPRODUCT('Opamp and C Stray Using B'!R_f,IMSUM(1,IMPRODUCT(I169,C_s,R_1)))))</f>
        <v>0.199999999647069-8.40155822628091E-06j</v>
      </c>
      <c r="K169">
        <f t="shared" si="31"/>
        <v>-13.979400094384179</v>
      </c>
      <c r="L169">
        <f t="shared" si="32"/>
        <v>-2.4068691413280997E-3</v>
      </c>
      <c r="M169">
        <f t="shared" si="33"/>
        <v>0.19999999964706899</v>
      </c>
      <c r="N169">
        <f t="shared" si="34"/>
        <v>-8.4015582262809092E-6</v>
      </c>
      <c r="O169" t="str">
        <f t="shared" si="28"/>
        <v>22.9081517322396-4786.19127791857j</v>
      </c>
      <c r="P169">
        <f t="shared" si="35"/>
        <v>73.599900510021499</v>
      </c>
      <c r="Q169">
        <f t="shared" si="36"/>
        <v>-89.725767251709883</v>
      </c>
      <c r="R169">
        <f t="shared" si="37"/>
        <v>59.620500415637323</v>
      </c>
      <c r="S169">
        <f t="shared" si="38"/>
        <v>90.271825879148793</v>
      </c>
    </row>
    <row r="170" spans="7:19" x14ac:dyDescent="0.25">
      <c r="G170">
        <f t="shared" si="29"/>
        <v>2.3400000000000021</v>
      </c>
      <c r="H170">
        <f t="shared" si="27"/>
        <v>2187.7616239495642</v>
      </c>
      <c r="I170" t="str">
        <f t="shared" si="30"/>
        <v>13746.1116912113j</v>
      </c>
      <c r="J170" t="str">
        <f>IMDIV(R_1,IMSUM('Opamp and C Stray Using B'!R_1,IMPRODUCT('Opamp and C Stray Using B'!R_f,IMSUM(1,IMPRODUCT(I170,C_s,R_1)))))</f>
        <v>0.199999999613019-8.79751146535289E-06j</v>
      </c>
      <c r="K170">
        <f t="shared" si="31"/>
        <v>-13.979400095123562</v>
      </c>
      <c r="L170">
        <f t="shared" si="32"/>
        <v>-2.5203013891643934E-3</v>
      </c>
      <c r="M170">
        <f t="shared" si="33"/>
        <v>0.19999999961301901</v>
      </c>
      <c r="N170">
        <f t="shared" si="34"/>
        <v>-8.7975114653528896E-6</v>
      </c>
      <c r="O170" t="str">
        <f t="shared" si="28"/>
        <v>20.8925248018277-4570.78639888533j</v>
      </c>
      <c r="P170">
        <f t="shared" si="35"/>
        <v>73.199909263969715</v>
      </c>
      <c r="Q170">
        <f t="shared" si="36"/>
        <v>-89.738109582576541</v>
      </c>
      <c r="R170">
        <f t="shared" si="37"/>
        <v>59.220509168846149</v>
      </c>
      <c r="S170">
        <f t="shared" si="38"/>
        <v>90.25937011603429</v>
      </c>
    </row>
    <row r="171" spans="7:19" x14ac:dyDescent="0.25">
      <c r="G171">
        <f t="shared" si="29"/>
        <v>2.3600000000000021</v>
      </c>
      <c r="H171">
        <f t="shared" si="27"/>
        <v>2290.8676527677844</v>
      </c>
      <c r="I171" t="str">
        <f t="shared" si="30"/>
        <v>14393.9459765635j</v>
      </c>
      <c r="J171" t="str">
        <f>IMDIV(R_1,IMSUM('Opamp and C Stray Using B'!R_1,IMPRODUCT('Opamp and C Stray Using B'!R_f,IMSUM(1,IMPRODUCT(I171,C_s,R_1)))))</f>
        <v>0.199999999575684-9.21212540545637E-06j</v>
      </c>
      <c r="K171">
        <f t="shared" si="31"/>
        <v>-13.979400095934276</v>
      </c>
      <c r="L171">
        <f t="shared" si="32"/>
        <v>-2.6390795341221388E-3</v>
      </c>
      <c r="M171">
        <f t="shared" si="33"/>
        <v>0.19999999957568401</v>
      </c>
      <c r="N171">
        <f t="shared" si="34"/>
        <v>-9.2121254054563703E-6</v>
      </c>
      <c r="O171" t="str">
        <f t="shared" si="28"/>
        <v>19.0542441084958-4365.0751476094j</v>
      </c>
      <c r="P171">
        <f t="shared" si="35"/>
        <v>72.799917247680852</v>
      </c>
      <c r="Q171">
        <f t="shared" si="36"/>
        <v>-89.749896439753599</v>
      </c>
      <c r="R171">
        <f t="shared" si="37"/>
        <v>58.820517151746579</v>
      </c>
      <c r="S171">
        <f t="shared" si="38"/>
        <v>90.247464480712281</v>
      </c>
    </row>
    <row r="172" spans="7:19" x14ac:dyDescent="0.25">
      <c r="G172">
        <f t="shared" si="29"/>
        <v>2.3800000000000021</v>
      </c>
      <c r="H172">
        <f t="shared" si="27"/>
        <v>2398.8329190195041</v>
      </c>
      <c r="I172" t="str">
        <f t="shared" si="30"/>
        <v>15072.3117511621j</v>
      </c>
      <c r="J172" t="str">
        <f>IMDIV(R_1,IMSUM('Opamp and C Stray Using B'!R_1,IMPRODUCT('Opamp and C Stray Using B'!R_f,IMSUM(1,IMPRODUCT(I172,C_s,R_1)))))</f>
        <v>0.199999999534746-9.64627949830393E-06j</v>
      </c>
      <c r="K172">
        <f t="shared" si="31"/>
        <v>-13.979400096823248</v>
      </c>
      <c r="L172">
        <f t="shared" si="32"/>
        <v>-2.7634555205676395E-3</v>
      </c>
      <c r="M172">
        <f t="shared" si="33"/>
        <v>0.19999999953474601</v>
      </c>
      <c r="N172">
        <f t="shared" si="34"/>
        <v>-9.6462794983039301E-6</v>
      </c>
      <c r="O172" t="str">
        <f t="shared" si="28"/>
        <v>17.3777062975694-4168.62139236622j</v>
      </c>
      <c r="P172">
        <f t="shared" si="35"/>
        <v>72.399924528924643</v>
      </c>
      <c r="Q172">
        <f t="shared" si="36"/>
        <v>-89.761152820745636</v>
      </c>
      <c r="R172">
        <f t="shared" si="37"/>
        <v>58.420524432101395</v>
      </c>
      <c r="S172">
        <f t="shared" si="38"/>
        <v>90.236083723733799</v>
      </c>
    </row>
    <row r="173" spans="7:19" x14ac:dyDescent="0.25">
      <c r="G173">
        <f t="shared" si="29"/>
        <v>2.4000000000000021</v>
      </c>
      <c r="H173">
        <f t="shared" si="27"/>
        <v>2511.8864315095939</v>
      </c>
      <c r="I173" t="str">
        <f t="shared" si="30"/>
        <v>15782.6479197648j</v>
      </c>
      <c r="J173" t="str">
        <f>IMDIV(R_1,IMSUM('Opamp and C Stray Using B'!R_1,IMPRODUCT('Opamp and C Stray Using B'!R_f,IMSUM(1,IMPRODUCT(I173,C_s,R_1)))))</f>
        <v>0.19999999948986-0.0000101008946428851j</v>
      </c>
      <c r="K173">
        <f t="shared" si="31"/>
        <v>-13.979400097797917</v>
      </c>
      <c r="L173">
        <f t="shared" si="32"/>
        <v>-2.8936931666387225E-3</v>
      </c>
      <c r="M173">
        <f t="shared" si="33"/>
        <v>0.19999999948986</v>
      </c>
      <c r="N173">
        <f t="shared" si="34"/>
        <v>-1.01008946428851E-5</v>
      </c>
      <c r="O173" t="str">
        <f t="shared" si="28"/>
        <v>15.8486807399489-3981.00861080049j</v>
      </c>
      <c r="P173">
        <f t="shared" si="35"/>
        <v>71.999931169508613</v>
      </c>
      <c r="Q173">
        <f t="shared" si="36"/>
        <v>-89.771902598362203</v>
      </c>
      <c r="R173">
        <f t="shared" si="37"/>
        <v>58.020531071710693</v>
      </c>
      <c r="S173">
        <f t="shared" si="38"/>
        <v>90.225203708471156</v>
      </c>
    </row>
    <row r="174" spans="7:19" x14ac:dyDescent="0.25">
      <c r="G174">
        <f t="shared" si="29"/>
        <v>2.4200000000000021</v>
      </c>
      <c r="H174">
        <f t="shared" si="27"/>
        <v>2630.2679918953959</v>
      </c>
      <c r="I174" t="str">
        <f t="shared" si="30"/>
        <v>16526.4612006219j</v>
      </c>
      <c r="J174" t="str">
        <f>IMDIV(R_1,IMSUM('Opamp and C Stray Using B'!R_1,IMPRODUCT('Opamp and C Stray Using B'!R_f,IMSUM(1,IMPRODUCT(I174,C_s,R_1)))))</f>
        <v>0.199999999440642-0.0000105769351388165j</v>
      </c>
      <c r="K174">
        <f t="shared" si="31"/>
        <v>-13.979400098866686</v>
      </c>
      <c r="L174">
        <f t="shared" si="32"/>
        <v>-3.0300687238386595E-3</v>
      </c>
      <c r="M174">
        <f t="shared" si="33"/>
        <v>0.19999999944064201</v>
      </c>
      <c r="N174">
        <f t="shared" si="34"/>
        <v>-1.05769351388165E-5</v>
      </c>
      <c r="O174" t="str">
        <f t="shared" si="28"/>
        <v>14.454188780866-3801.83900991253j</v>
      </c>
      <c r="P174">
        <f t="shared" si="35"/>
        <v>71.599937225802009</v>
      </c>
      <c r="Q174">
        <f t="shared" si="36"/>
        <v>-89.782168571288707</v>
      </c>
      <c r="R174">
        <f t="shared" si="37"/>
        <v>57.620537126935325</v>
      </c>
      <c r="S174">
        <f t="shared" si="38"/>
        <v>90.214801359987447</v>
      </c>
    </row>
    <row r="175" spans="7:19" x14ac:dyDescent="0.25">
      <c r="G175">
        <f t="shared" si="29"/>
        <v>2.4400000000000022</v>
      </c>
      <c r="H175">
        <f t="shared" si="27"/>
        <v>2754.2287033381804</v>
      </c>
      <c r="I175" t="str">
        <f t="shared" si="30"/>
        <v>17305.3293214267j</v>
      </c>
      <c r="J175" t="str">
        <f>IMDIV(R_1,IMSUM('Opamp and C Stray Using B'!R_1,IMPRODUCT('Opamp and C Stray Using B'!R_f,IMSUM(1,IMPRODUCT(I175,C_s,R_1)))))</f>
        <v>0.199999999386676-0.000011075410731749j</v>
      </c>
      <c r="K175">
        <f t="shared" si="31"/>
        <v>-13.979400100038546</v>
      </c>
      <c r="L175">
        <f t="shared" si="32"/>
        <v>-3.1728714630022449E-3</v>
      </c>
      <c r="M175">
        <f t="shared" si="33"/>
        <v>0.19999999938667601</v>
      </c>
      <c r="N175">
        <f t="shared" si="34"/>
        <v>-1.1075410731749E-5</v>
      </c>
      <c r="O175" t="str">
        <f t="shared" si="28"/>
        <v>13.182393607772-3630.73268532273j</v>
      </c>
      <c r="P175">
        <f t="shared" si="35"/>
        <v>71.199942749214628</v>
      </c>
      <c r="Q175">
        <f t="shared" si="36"/>
        <v>-89.791972512387446</v>
      </c>
      <c r="R175">
        <f t="shared" si="37"/>
        <v>57.220542649176082</v>
      </c>
      <c r="S175">
        <f t="shared" si="38"/>
        <v>90.204854616149547</v>
      </c>
    </row>
    <row r="176" spans="7:19" x14ac:dyDescent="0.25">
      <c r="G176">
        <f t="shared" si="29"/>
        <v>2.4600000000000022</v>
      </c>
      <c r="H176">
        <f t="shared" si="27"/>
        <v>2884.0315031266227</v>
      </c>
      <c r="I176" t="str">
        <f t="shared" si="30"/>
        <v>18120.9043658883j</v>
      </c>
      <c r="J176" t="str">
        <f>IMDIV(R_1,IMSUM('Opamp and C Stray Using B'!R_1,IMPRODUCT('Opamp and C Stray Using B'!R_f,IMSUM(1,IMPRODUCT(I176,C_s,R_1)))))</f>
        <v>0.199999999327504-0.0000115973787551726j</v>
      </c>
      <c r="K176">
        <f t="shared" si="31"/>
        <v>-13.979400101323442</v>
      </c>
      <c r="L176">
        <f t="shared" si="32"/>
        <v>-3.322404287878051E-3</v>
      </c>
      <c r="M176">
        <f t="shared" si="33"/>
        <v>0.19999999932750401</v>
      </c>
      <c r="N176">
        <f t="shared" si="34"/>
        <v>-1.15973787551726E-5</v>
      </c>
      <c r="O176" t="str">
        <f t="shared" si="28"/>
        <v>12.0224998039346-3467.32681808812j</v>
      </c>
      <c r="P176">
        <f t="shared" si="35"/>
        <v>70.799947786632814</v>
      </c>
      <c r="Q176">
        <f t="shared" si="36"/>
        <v>-89.801335214830246</v>
      </c>
      <c r="R176">
        <f t="shared" si="37"/>
        <v>56.820547685309371</v>
      </c>
      <c r="S176">
        <f t="shared" si="38"/>
        <v>90.195342380881883</v>
      </c>
    </row>
    <row r="177" spans="7:19" x14ac:dyDescent="0.25">
      <c r="G177">
        <f t="shared" si="29"/>
        <v>2.4800000000000022</v>
      </c>
      <c r="H177">
        <f t="shared" si="27"/>
        <v>3019.9517204020331</v>
      </c>
      <c r="I177" t="str">
        <f t="shared" si="30"/>
        <v>18974.9162780218j</v>
      </c>
      <c r="J177" t="str">
        <f>IMDIV(R_1,IMSUM('Opamp and C Stray Using B'!R_1,IMPRODUCT('Opamp and C Stray Using B'!R_f,IMSUM(1,IMPRODUCT(I177,C_s,R_1)))))</f>
        <v>0.199999999262623-0.0000121439463731606j</v>
      </c>
      <c r="K177">
        <f t="shared" si="31"/>
        <v>-13.979400102732312</v>
      </c>
      <c r="L177">
        <f t="shared" si="32"/>
        <v>-3.4789843776276037E-3</v>
      </c>
      <c r="M177">
        <f t="shared" si="33"/>
        <v>0.19999999926262299</v>
      </c>
      <c r="N177">
        <f t="shared" si="34"/>
        <v>-1.21439463731606E-5</v>
      </c>
      <c r="O177" t="str">
        <f t="shared" si="28"/>
        <v>10.9646617363065-3311.27490741851j</v>
      </c>
      <c r="P177">
        <f t="shared" si="35"/>
        <v>70.399952380817993</v>
      </c>
      <c r="Q177">
        <f t="shared" si="36"/>
        <v>-89.810276536159577</v>
      </c>
      <c r="R177">
        <f t="shared" si="37"/>
        <v>56.42055227808568</v>
      </c>
      <c r="S177">
        <f t="shared" si="38"/>
        <v>90.1862444794628</v>
      </c>
    </row>
    <row r="178" spans="7:19" x14ac:dyDescent="0.25">
      <c r="G178">
        <f t="shared" si="29"/>
        <v>2.5000000000000022</v>
      </c>
      <c r="H178">
        <f t="shared" si="27"/>
        <v>3162.2776601683968</v>
      </c>
      <c r="I178" t="str">
        <f t="shared" si="30"/>
        <v>19869.1765315923j</v>
      </c>
      <c r="J178" t="str">
        <f>IMDIV(R_1,IMSUM('Opamp and C Stray Using B'!R_1,IMPRODUCT('Opamp and C Stray Using B'!R_f,IMSUM(1,IMPRODUCT(I178,C_s,R_1)))))</f>
        <v>0.199999999191482-0.0000127162729288124j</v>
      </c>
      <c r="K178">
        <f t="shared" si="31"/>
        <v>-13.979400104277122</v>
      </c>
      <c r="L178">
        <f t="shared" si="32"/>
        <v>-3.6429438596050166E-3</v>
      </c>
      <c r="M178">
        <f t="shared" si="33"/>
        <v>0.19999999919148201</v>
      </c>
      <c r="N178">
        <f t="shared" si="34"/>
        <v>-1.27162729288124E-5</v>
      </c>
      <c r="O178" t="str">
        <f t="shared" si="28"/>
        <v>9.99990000099992-3162.24603770799j</v>
      </c>
      <c r="P178">
        <f t="shared" si="35"/>
        <v>69.99995657076893</v>
      </c>
      <c r="Q178">
        <f t="shared" si="36"/>
        <v>-89.81881544037077</v>
      </c>
      <c r="R178">
        <f t="shared" si="37"/>
        <v>56.020556466491811</v>
      </c>
      <c r="S178">
        <f t="shared" si="38"/>
        <v>90.177541615769627</v>
      </c>
    </row>
    <row r="179" spans="7:19" x14ac:dyDescent="0.25">
      <c r="G179">
        <f t="shared" si="29"/>
        <v>2.5200000000000022</v>
      </c>
      <c r="H179">
        <f t="shared" si="27"/>
        <v>3311.3112148259315</v>
      </c>
      <c r="I179" t="str">
        <f t="shared" si="30"/>
        <v>20805.5819724933j</v>
      </c>
      <c r="J179" t="str">
        <f>IMDIV(R_1,IMSUM('Opamp and C Stray Using B'!R_1,IMPRODUCT('Opamp and C Stray Using B'!R_f,IMSUM(1,IMPRODUCT(I179,C_s,R_1)))))</f>
        <v>0.199999999113478-0.000013315572403373j</v>
      </c>
      <c r="K179">
        <f t="shared" si="31"/>
        <v>-13.979400105970951</v>
      </c>
      <c r="L179">
        <f t="shared" si="32"/>
        <v>-3.8146305138432265E-3</v>
      </c>
      <c r="M179">
        <f t="shared" si="33"/>
        <v>0.19999999911347799</v>
      </c>
      <c r="N179">
        <f t="shared" si="34"/>
        <v>-1.3315572403373E-5</v>
      </c>
      <c r="O179" t="str">
        <f t="shared" si="28"/>
        <v>9.12002521794045-3019.92417836615j</v>
      </c>
      <c r="P179">
        <f t="shared" si="35"/>
        <v>69.599960392053063</v>
      </c>
      <c r="Q179">
        <f t="shared" si="36"/>
        <v>-89.826970038103752</v>
      </c>
      <c r="R179">
        <f t="shared" si="37"/>
        <v>55.62056028608211</v>
      </c>
      <c r="S179">
        <f t="shared" si="38"/>
        <v>90.169215331382404</v>
      </c>
    </row>
    <row r="180" spans="7:19" x14ac:dyDescent="0.25">
      <c r="G180">
        <f t="shared" si="29"/>
        <v>2.5400000000000023</v>
      </c>
      <c r="H180">
        <f t="shared" si="27"/>
        <v>3467.3685045253369</v>
      </c>
      <c r="I180" t="str">
        <f t="shared" si="30"/>
        <v>21786.1188422108j</v>
      </c>
      <c r="J180" t="str">
        <f>IMDIV(R_1,IMSUM('Opamp and C Stray Using B'!R_1,IMPRODUCT('Opamp and C Stray Using B'!R_f,IMSUM(1,IMPRODUCT(I180,C_s,R_1)))))</f>
        <v>0.199999999027948-0.0000139431159912477j</v>
      </c>
      <c r="K180">
        <f t="shared" si="31"/>
        <v>-13.979400107828209</v>
      </c>
      <c r="L180">
        <f t="shared" si="32"/>
        <v>-3.9944085107418755E-3</v>
      </c>
      <c r="M180">
        <f t="shared" si="33"/>
        <v>0.19999999902794799</v>
      </c>
      <c r="N180">
        <f t="shared" si="34"/>
        <v>-1.3943115991247699E-5</v>
      </c>
      <c r="O180" t="str">
        <f t="shared" si="28"/>
        <v>8.31756852850499-2884.00751499693j</v>
      </c>
      <c r="P180">
        <f t="shared" si="35"/>
        <v>69.199963877108587</v>
      </c>
      <c r="Q180">
        <f t="shared" si="36"/>
        <v>-89.834757625029141</v>
      </c>
      <c r="R180">
        <f t="shared" si="37"/>
        <v>55.220563769280375</v>
      </c>
      <c r="S180">
        <f t="shared" si="38"/>
        <v>90.161247966460124</v>
      </c>
    </row>
    <row r="181" spans="7:19" x14ac:dyDescent="0.25">
      <c r="G181">
        <f t="shared" si="29"/>
        <v>2.5600000000000023</v>
      </c>
      <c r="H181">
        <f t="shared" si="27"/>
        <v>3630.7805477010343</v>
      </c>
      <c r="I181" t="str">
        <f t="shared" si="30"/>
        <v>22812.8669909086j</v>
      </c>
      <c r="J181" t="str">
        <f>IMDIV(R_1,IMSUM('Opamp and C Stray Using B'!R_1,IMPRODUCT('Opamp and C Stray Using B'!R_f,IMSUM(1,IMPRODUCT(I181,C_s,R_1)))))</f>
        <v>0.199999998934166-0.0000146002347963744j</v>
      </c>
      <c r="K181">
        <f t="shared" si="31"/>
        <v>-13.979400109864661</v>
      </c>
      <c r="L181">
        <f t="shared" si="32"/>
        <v>-4.182659183521566E-3</v>
      </c>
      <c r="M181">
        <f t="shared" si="33"/>
        <v>0.19999999893416601</v>
      </c>
      <c r="N181">
        <f t="shared" si="34"/>
        <v>-1.46002347963744E-5</v>
      </c>
      <c r="O181" t="str">
        <f t="shared" si="28"/>
        <v>7.5857182067345-2754.20781053533j</v>
      </c>
      <c r="P181">
        <f t="shared" si="35"/>
        <v>68.799967055519403</v>
      </c>
      <c r="Q181">
        <f t="shared" si="36"/>
        <v>-89.84219471850929</v>
      </c>
      <c r="R181">
        <f t="shared" si="37"/>
        <v>54.82056694565474</v>
      </c>
      <c r="S181">
        <f t="shared" si="38"/>
        <v>90.153622622307182</v>
      </c>
    </row>
    <row r="182" spans="7:19" x14ac:dyDescent="0.25">
      <c r="G182">
        <f t="shared" si="29"/>
        <v>2.5800000000000023</v>
      </c>
      <c r="H182">
        <f t="shared" si="27"/>
        <v>3801.8939632056336</v>
      </c>
      <c r="I182" t="str">
        <f t="shared" si="30"/>
        <v>23888.0042890684j</v>
      </c>
      <c r="J182" t="str">
        <f>IMDIV(R_1,IMSUM('Opamp and C Stray Using B'!R_1,IMPRODUCT('Opamp and C Stray Using B'!R_f,IMSUM(1,IMPRODUCT(I182,C_s,R_1)))))</f>
        <v>0.199999998831336-0.0000152883226556692j</v>
      </c>
      <c r="K182">
        <f t="shared" si="31"/>
        <v>-13.979400112097593</v>
      </c>
      <c r="L182">
        <f t="shared" si="32"/>
        <v>-4.3797818370820626E-3</v>
      </c>
      <c r="M182">
        <f t="shared" si="33"/>
        <v>0.19999999883133601</v>
      </c>
      <c r="N182">
        <f t="shared" si="34"/>
        <v>-1.5288322655669201E-5</v>
      </c>
      <c r="O182" t="str">
        <f t="shared" si="28"/>
        <v>6.9182618465112-2630.24979501267j</v>
      </c>
      <c r="P182">
        <f t="shared" si="35"/>
        <v>68.399969954266567</v>
      </c>
      <c r="Q182">
        <f t="shared" si="36"/>
        <v>-89.849297092611863</v>
      </c>
      <c r="R182">
        <f t="shared" si="37"/>
        <v>54.420569842168973</v>
      </c>
      <c r="S182">
        <f t="shared" si="38"/>
        <v>90.146323125551049</v>
      </c>
    </row>
    <row r="183" spans="7:19" x14ac:dyDescent="0.25">
      <c r="G183">
        <f t="shared" si="29"/>
        <v>2.6000000000000023</v>
      </c>
      <c r="H183">
        <f t="shared" si="27"/>
        <v>3981.0717055349969</v>
      </c>
      <c r="I183" t="str">
        <f t="shared" si="30"/>
        <v>25013.8112470459j</v>
      </c>
      <c r="J183" t="str">
        <f>IMDIV(R_1,IMSUM('Opamp and C Stray Using B'!R_1,IMPRODUCT('Opamp and C Stray Using B'!R_f,IMSUM(1,IMPRODUCT(I183,C_s,R_1)))))</f>
        <v>0.199999998718585-0.0000160088390955396j</v>
      </c>
      <c r="K183">
        <f t="shared" si="31"/>
        <v>-13.979400114545959</v>
      </c>
      <c r="L183">
        <f t="shared" si="32"/>
        <v>-4.586194594981643E-3</v>
      </c>
      <c r="M183">
        <f t="shared" si="33"/>
        <v>0.19999999871858501</v>
      </c>
      <c r="N183">
        <f t="shared" si="34"/>
        <v>-1.6008839095539599E-5</v>
      </c>
      <c r="O183" t="str">
        <f t="shared" si="28"/>
        <v>6.30953363433598-2511.87058267764j</v>
      </c>
      <c r="P183">
        <f t="shared" si="35"/>
        <v>67.999972597957097</v>
      </c>
      <c r="Q183">
        <f t="shared" si="36"/>
        <v>-89.856079811549478</v>
      </c>
      <c r="R183">
        <f t="shared" si="37"/>
        <v>54.020572483411136</v>
      </c>
      <c r="S183">
        <f t="shared" si="38"/>
        <v>90.139333993855544</v>
      </c>
    </row>
    <row r="184" spans="7:19" x14ac:dyDescent="0.25">
      <c r="G184">
        <f t="shared" si="29"/>
        <v>2.6200000000000023</v>
      </c>
      <c r="H184">
        <f t="shared" si="27"/>
        <v>4168.6938347033793</v>
      </c>
      <c r="I184" t="str">
        <f t="shared" si="30"/>
        <v>26192.6758523384j</v>
      </c>
      <c r="J184" t="str">
        <f>IMDIV(R_1,IMSUM('Opamp and C Stray Using B'!R_1,IMPRODUCT('Opamp and C Stray Using B'!R_f,IMSUM(1,IMPRODUCT(I184,C_s,R_1)))))</f>
        <v>0.199999998594957-0.0000167633124277307j</v>
      </c>
      <c r="K184">
        <f t="shared" si="31"/>
        <v>-13.979400117230492</v>
      </c>
      <c r="L184">
        <f t="shared" si="32"/>
        <v>-4.8023352863324773E-3</v>
      </c>
      <c r="M184">
        <f t="shared" si="33"/>
        <v>0.19999999859495701</v>
      </c>
      <c r="N184">
        <f t="shared" si="34"/>
        <v>-1.6763312427730698E-5</v>
      </c>
      <c r="O184" t="str">
        <f t="shared" si="28"/>
        <v>5.75436626044989-2398.81911525626j</v>
      </c>
      <c r="P184">
        <f t="shared" si="35"/>
        <v>67.599975009032903</v>
      </c>
      <c r="Q184">
        <f t="shared" si="36"/>
        <v>-89.862557261616203</v>
      </c>
      <c r="R184">
        <f t="shared" si="37"/>
        <v>53.620574891802413</v>
      </c>
      <c r="S184">
        <f t="shared" si="38"/>
        <v>90.132640403097469</v>
      </c>
    </row>
    <row r="185" spans="7:19" x14ac:dyDescent="0.25">
      <c r="G185">
        <f t="shared" si="29"/>
        <v>2.6400000000000023</v>
      </c>
      <c r="H185">
        <f t="shared" si="27"/>
        <v>4365.1583224016858</v>
      </c>
      <c r="I185" t="str">
        <f t="shared" si="30"/>
        <v>27427.098634827j</v>
      </c>
      <c r="J185" t="str">
        <f>IMDIV(R_1,IMSUM('Opamp and C Stray Using B'!R_1,IMPRODUCT('Opamp and C Stray Using B'!R_f,IMSUM(1,IMPRODUCT(I185,C_s,R_1)))))</f>
        <v>0.199999998459401-0.0000175533429910759j</v>
      </c>
      <c r="K185">
        <f t="shared" si="31"/>
        <v>-13.979400120174052</v>
      </c>
      <c r="L185">
        <f t="shared" si="32"/>
        <v>-5.0286623744948064E-3</v>
      </c>
      <c r="M185">
        <f t="shared" si="33"/>
        <v>0.199999998459401</v>
      </c>
      <c r="N185">
        <f t="shared" si="34"/>
        <v>-1.7553342991075899E-5</v>
      </c>
      <c r="O185" t="str">
        <f t="shared" si="28"/>
        <v>5.24804706035516-2290.85563018651j</v>
      </c>
      <c r="P185">
        <f t="shared" si="35"/>
        <v>67.199977207961354</v>
      </c>
      <c r="Q185">
        <f t="shared" si="36"/>
        <v>-89.868743181688245</v>
      </c>
      <c r="R185">
        <f t="shared" si="37"/>
        <v>53.220577087787305</v>
      </c>
      <c r="S185">
        <f t="shared" si="38"/>
        <v>90.126228155937255</v>
      </c>
    </row>
    <row r="186" spans="7:19" x14ac:dyDescent="0.25">
      <c r="G186">
        <f t="shared" si="29"/>
        <v>2.6600000000000024</v>
      </c>
      <c r="H186">
        <f t="shared" si="27"/>
        <v>4570.8818961487768</v>
      </c>
      <c r="I186" t="str">
        <f t="shared" si="30"/>
        <v>28719.6979707352j</v>
      </c>
      <c r="J186" t="str">
        <f>IMDIV(R_1,IMSUM('Opamp and C Stray Using B'!R_1,IMPRODUCT('Opamp and C Stray Using B'!R_f,IMSUM(1,IMPRODUCT(I186,C_s,R_1)))))</f>
        <v>0.199999998310767-0.0000183806065460249j</v>
      </c>
      <c r="K186">
        <f t="shared" si="31"/>
        <v>-13.979400123401593</v>
      </c>
      <c r="L186">
        <f t="shared" si="32"/>
        <v>-5.2656559295385296E-3</v>
      </c>
      <c r="M186">
        <f t="shared" si="33"/>
        <v>0.19999999831076701</v>
      </c>
      <c r="N186">
        <f t="shared" si="34"/>
        <v>-1.83806065460249E-5</v>
      </c>
      <c r="O186" t="str">
        <f t="shared" si="28"/>
        <v>4.78627801465944-2187.75115271418j</v>
      </c>
      <c r="P186">
        <f t="shared" si="35"/>
        <v>66.799979213408903</v>
      </c>
      <c r="Q186">
        <f t="shared" si="36"/>
        <v>-89.874650692353256</v>
      </c>
      <c r="R186">
        <f t="shared" si="37"/>
        <v>52.820579090007314</v>
      </c>
      <c r="S186">
        <f t="shared" si="38"/>
        <v>90.120083651717209</v>
      </c>
    </row>
    <row r="187" spans="7:19" x14ac:dyDescent="0.25">
      <c r="G187">
        <f t="shared" si="29"/>
        <v>2.6800000000000024</v>
      </c>
      <c r="H187">
        <f t="shared" si="27"/>
        <v>4786.3009232264139</v>
      </c>
      <c r="I187" t="str">
        <f t="shared" si="30"/>
        <v>30073.2156365563j</v>
      </c>
      <c r="J187" t="str">
        <f>IMDIV(R_1,IMSUM('Opamp and C Stray Using B'!R_1,IMPRODUCT('Opamp and C Stray Using B'!R_f,IMSUM(1,IMPRODUCT(I187,C_s,R_1)))))</f>
        <v>0.199999998147792-0.0000192468578291501j</v>
      </c>
      <c r="K187">
        <f t="shared" si="31"/>
        <v>-13.979400126940567</v>
      </c>
      <c r="L187">
        <f t="shared" si="32"/>
        <v>-5.5138186465355978E-3</v>
      </c>
      <c r="M187">
        <f t="shared" si="33"/>
        <v>0.19999999814779201</v>
      </c>
      <c r="N187">
        <f t="shared" si="34"/>
        <v>-1.9246857829150099E-5</v>
      </c>
      <c r="O187" t="str">
        <f t="shared" si="28"/>
        <v>4.36513926787761-2089.28701078544j</v>
      </c>
      <c r="P187">
        <f t="shared" si="35"/>
        <v>66.399981042399588</v>
      </c>
      <c r="Q187">
        <f t="shared" si="36"/>
        <v>-89.880292323729833</v>
      </c>
      <c r="R187">
        <f t="shared" si="37"/>
        <v>52.42058091545902</v>
      </c>
      <c r="S187">
        <f t="shared" si="38"/>
        <v>90.114193857623633</v>
      </c>
    </row>
    <row r="188" spans="7:19" x14ac:dyDescent="0.25">
      <c r="G188">
        <f t="shared" si="29"/>
        <v>2.7000000000000024</v>
      </c>
      <c r="H188">
        <f t="shared" si="27"/>
        <v>5011.8723362727533</v>
      </c>
      <c r="I188" t="str">
        <f t="shared" si="30"/>
        <v>31490.5226247288j</v>
      </c>
      <c r="J188" t="str">
        <f>IMDIV(R_1,IMSUM('Opamp and C Stray Using B'!R_1,IMPRODUCT('Opamp and C Stray Using B'!R_f,IMSUM(1,IMPRODUCT(I188,C_s,R_1)))))</f>
        <v>0.199999997969095-0.0000201539342751727j</v>
      </c>
      <c r="K188">
        <f t="shared" si="31"/>
        <v>-13.979400130820911</v>
      </c>
      <c r="L188">
        <f t="shared" si="32"/>
        <v>-5.7736769118431983E-3</v>
      </c>
      <c r="M188">
        <f t="shared" si="33"/>
        <v>0.19999999796909501</v>
      </c>
      <c r="N188">
        <f t="shared" si="34"/>
        <v>-2.01539342751727E-5</v>
      </c>
      <c r="O188" t="str">
        <f t="shared" si="28"/>
        <v>3.98105585666608-1995.25437171814j</v>
      </c>
      <c r="P188">
        <f t="shared" si="35"/>
        <v>65.999982710459605</v>
      </c>
      <c r="Q188">
        <f t="shared" si="36"/>
        <v>-89.885680042035943</v>
      </c>
      <c r="R188">
        <f t="shared" si="37"/>
        <v>52.020582579638692</v>
      </c>
      <c r="S188">
        <f t="shared" si="38"/>
        <v>90.108546281052213</v>
      </c>
    </row>
    <row r="189" spans="7:19" x14ac:dyDescent="0.25">
      <c r="G189">
        <f t="shared" si="29"/>
        <v>2.7200000000000024</v>
      </c>
      <c r="H189">
        <f t="shared" si="27"/>
        <v>5248.074602497758</v>
      </c>
      <c r="I189" t="str">
        <f t="shared" si="30"/>
        <v>32974.6252333963j</v>
      </c>
      <c r="J189" t="str">
        <f>IMDIV(R_1,IMSUM('Opamp and C Stray Using B'!R_1,IMPRODUCT('Opamp and C Stray Using B'!R_f,IMSUM(1,IMPRODUCT(I189,C_s,R_1)))))</f>
        <v>0.199999997773157-0.0000211037599143997j</v>
      </c>
      <c r="K189">
        <f t="shared" si="31"/>
        <v>-13.97940013507565</v>
      </c>
      <c r="L189">
        <f t="shared" si="32"/>
        <v>-6.0457819196390386E-3</v>
      </c>
      <c r="M189">
        <f t="shared" si="33"/>
        <v>0.199999997773157</v>
      </c>
      <c r="N189">
        <f t="shared" si="34"/>
        <v>-2.1103759914399701E-5</v>
      </c>
      <c r="O189" t="str">
        <f t="shared" si="28"/>
        <v>3.63076736518144-1905.45379967864j</v>
      </c>
      <c r="P189">
        <f t="shared" si="35"/>
        <v>65.599984231748977</v>
      </c>
      <c r="Q189">
        <f t="shared" si="36"/>
        <v>-89.890825274962438</v>
      </c>
      <c r="R189">
        <f t="shared" si="37"/>
        <v>51.620584096673326</v>
      </c>
      <c r="S189">
        <f t="shared" si="38"/>
        <v>90.103128943117923</v>
      </c>
    </row>
    <row r="190" spans="7:19" x14ac:dyDescent="0.25">
      <c r="G190">
        <f t="shared" si="29"/>
        <v>2.7400000000000024</v>
      </c>
      <c r="H190">
        <f t="shared" si="27"/>
        <v>5495.4087385762778</v>
      </c>
      <c r="I190" t="str">
        <f t="shared" si="30"/>
        <v>34528.6714431688j</v>
      </c>
      <c r="J190" t="str">
        <f>IMDIV(R_1,IMSUM('Opamp and C Stray Using B'!R_1,IMPRODUCT('Opamp and C Stray Using B'!R_f,IMSUM(1,IMPRODUCT(I190,C_s,R_1)))))</f>
        <v>0.199999997558315-0.0000220983494538419j</v>
      </c>
      <c r="K190">
        <f t="shared" si="31"/>
        <v>-13.979400139740887</v>
      </c>
      <c r="L190">
        <f t="shared" si="32"/>
        <v>-6.3307108410771799E-3</v>
      </c>
      <c r="M190">
        <f t="shared" si="33"/>
        <v>0.19999999755831499</v>
      </c>
      <c r="N190">
        <f t="shared" si="34"/>
        <v>-2.2098349453841899E-5</v>
      </c>
      <c r="O190" t="str">
        <f t="shared" si="28"/>
        <v>3.31130025008022-1819.69483303406j</v>
      </c>
      <c r="P190">
        <f t="shared" si="35"/>
        <v>65.199985619181845</v>
      </c>
      <c r="Q190">
        <f t="shared" si="36"/>
        <v>-89.895738935905484</v>
      </c>
      <c r="R190">
        <f t="shared" si="37"/>
        <v>51.220585479440956</v>
      </c>
      <c r="S190">
        <f t="shared" si="38"/>
        <v>90.097930353253432</v>
      </c>
    </row>
    <row r="191" spans="7:19" x14ac:dyDescent="0.25">
      <c r="G191">
        <f t="shared" si="29"/>
        <v>2.7600000000000025</v>
      </c>
      <c r="H191">
        <f t="shared" si="27"/>
        <v>5754.399373371607</v>
      </c>
      <c r="I191" t="str">
        <f t="shared" si="30"/>
        <v>36155.9575944119j</v>
      </c>
      <c r="J191" t="str">
        <f>IMDIV(R_1,IMSUM('Opamp and C Stray Using B'!R_1,IMPRODUCT('Opamp and C Stray Using B'!R_f,IMSUM(1,IMPRODUCT(I191,C_s,R_1)))))</f>
        <v>0.199999997322745-0.0000231398125506678j</v>
      </c>
      <c r="K191">
        <f t="shared" si="31"/>
        <v>-13.979400144856237</v>
      </c>
      <c r="L191">
        <f t="shared" si="32"/>
        <v>-6.6290680485446086E-3</v>
      </c>
      <c r="M191">
        <f t="shared" si="33"/>
        <v>0.19999999732274501</v>
      </c>
      <c r="N191">
        <f t="shared" si="34"/>
        <v>-2.3139812550667799E-5</v>
      </c>
      <c r="O191" t="str">
        <f t="shared" si="28"/>
        <v>3.01994260032112-1737.79558069061j</v>
      </c>
      <c r="P191">
        <f t="shared" si="35"/>
        <v>64.799986884536068</v>
      </c>
      <c r="Q191">
        <f t="shared" si="36"/>
        <v>-89.900431447108986</v>
      </c>
      <c r="R191">
        <f t="shared" si="37"/>
        <v>50.820586739679833</v>
      </c>
      <c r="S191">
        <f t="shared" si="38"/>
        <v>90.092939484842475</v>
      </c>
    </row>
    <row r="192" spans="7:19" x14ac:dyDescent="0.25">
      <c r="G192">
        <f t="shared" si="29"/>
        <v>2.7800000000000025</v>
      </c>
      <c r="H192">
        <f t="shared" si="27"/>
        <v>6025.595860743615</v>
      </c>
      <c r="I192" t="str">
        <f t="shared" si="30"/>
        <v>37859.9353792264j</v>
      </c>
      <c r="J192" t="str">
        <f>IMDIV(R_1,IMSUM('Opamp and C Stray Using B'!R_1,IMPRODUCT('Opamp and C Stray Using B'!R_f,IMSUM(1,IMPRODUCT(I192,C_s,R_1)))))</f>
        <v>0.199999997064449-0.0000242303582870577j</v>
      </c>
      <c r="K192">
        <f t="shared" si="31"/>
        <v>-13.97940015046505</v>
      </c>
      <c r="L192">
        <f t="shared" si="32"/>
        <v>-6.9414863976148457E-3</v>
      </c>
      <c r="M192">
        <f t="shared" si="33"/>
        <v>0.19999999706444899</v>
      </c>
      <c r="N192">
        <f t="shared" si="34"/>
        <v>-2.42303582870577E-5</v>
      </c>
      <c r="O192" t="str">
        <f t="shared" si="28"/>
        <v>2.75422111758328-1659.58233656824j</v>
      </c>
      <c r="P192">
        <f t="shared" si="35"/>
        <v>64.399988038553118</v>
      </c>
      <c r="Q192">
        <f t="shared" si="36"/>
        <v>-89.904912761765942</v>
      </c>
      <c r="R192">
        <f t="shared" si="37"/>
        <v>50.420587888088065</v>
      </c>
      <c r="S192">
        <f t="shared" si="38"/>
        <v>90.08814575183645</v>
      </c>
    </row>
    <row r="193" spans="7:19" x14ac:dyDescent="0.25">
      <c r="G193">
        <f t="shared" si="29"/>
        <v>2.8000000000000025</v>
      </c>
      <c r="H193">
        <f t="shared" si="27"/>
        <v>6309.5734448019712</v>
      </c>
      <c r="I193" t="str">
        <f t="shared" si="30"/>
        <v>39644.2191629502j</v>
      </c>
      <c r="J193" t="str">
        <f>IMDIV(R_1,IMSUM('Opamp and C Stray Using B'!R_1,IMPRODUCT('Opamp and C Stray Using B'!R_f,IMSUM(1,IMPRODUCT(I193,C_s,R_1)))))</f>
        <v>0.199999996781232-0.0000253722998559504j</v>
      </c>
      <c r="K193">
        <f t="shared" si="31"/>
        <v>-13.979400156615034</v>
      </c>
      <c r="L193">
        <f t="shared" si="32"/>
        <v>-7.2686285694184847E-3</v>
      </c>
      <c r="M193">
        <f t="shared" si="33"/>
        <v>0.19999999678123201</v>
      </c>
      <c r="N193">
        <f t="shared" si="34"/>
        <v>-2.53722998559504E-5</v>
      </c>
      <c r="O193" t="str">
        <f t="shared" si="28"/>
        <v>2.51188012195195-1584.8892113994j</v>
      </c>
      <c r="P193">
        <f t="shared" si="35"/>
        <v>63.999989091029491</v>
      </c>
      <c r="Q193">
        <f t="shared" si="36"/>
        <v>-89.909192385125721</v>
      </c>
      <c r="R193">
        <f t="shared" si="37"/>
        <v>50.020588934414455</v>
      </c>
      <c r="S193">
        <f t="shared" si="38"/>
        <v>90.083538986304859</v>
      </c>
    </row>
    <row r="194" spans="7:19" x14ac:dyDescent="0.25">
      <c r="G194">
        <f t="shared" si="29"/>
        <v>2.8200000000000025</v>
      </c>
      <c r="H194">
        <f t="shared" si="27"/>
        <v>6606.9344800760055</v>
      </c>
      <c r="I194" t="str">
        <f t="shared" si="30"/>
        <v>41512.5936507118j</v>
      </c>
      <c r="J194" t="str">
        <f>IMDIV(R_1,IMSUM('Opamp and C Stray Using B'!R_1,IMPRODUCT('Opamp and C Stray Using B'!R_f,IMSUM(1,IMPRODUCT(I194,C_s,R_1)))))</f>
        <v>0.199999996470691-0.0000265680594676211j</v>
      </c>
      <c r="K194">
        <f t="shared" si="31"/>
        <v>-13.979400163358349</v>
      </c>
      <c r="L194">
        <f t="shared" si="32"/>
        <v>-7.6111884762771779E-3</v>
      </c>
      <c r="M194">
        <f t="shared" si="33"/>
        <v>0.199999996470691</v>
      </c>
      <c r="N194">
        <f t="shared" si="34"/>
        <v>-2.6568059467621102E-5</v>
      </c>
      <c r="O194" t="str">
        <f t="shared" si="28"/>
        <v>2.29086240470516-1513.55778107564j</v>
      </c>
      <c r="P194">
        <f t="shared" si="35"/>
        <v>63.599990050899549</v>
      </c>
      <c r="Q194">
        <f t="shared" si="36"/>
        <v>-89.913279394651838</v>
      </c>
      <c r="R194">
        <f t="shared" si="37"/>
        <v>49.6205898875412</v>
      </c>
      <c r="S194">
        <f t="shared" si="38"/>
        <v>90.079109416871887</v>
      </c>
    </row>
    <row r="195" spans="7:19" x14ac:dyDescent="0.25">
      <c r="G195">
        <f t="shared" si="29"/>
        <v>2.8400000000000025</v>
      </c>
      <c r="H195">
        <f t="shared" ref="H195:H258" si="39">$B$3*10^G195</f>
        <v>6918.3097091894106</v>
      </c>
      <c r="I195" t="str">
        <f t="shared" si="30"/>
        <v>43469.0219152968j</v>
      </c>
      <c r="J195" t="str">
        <f>IMDIV(R_1,IMSUM('Opamp and C Stray Using B'!R_1,IMPRODUCT('Opamp and C Stray Using B'!R_f,IMSUM(1,IMPRODUCT(I195,C_s,R_1)))))</f>
        <v>0.19999999613019-0.0000278201734874959j</v>
      </c>
      <c r="K195">
        <f t="shared" si="31"/>
        <v>-13.979400170752225</v>
      </c>
      <c r="L195">
        <f t="shared" si="32"/>
        <v>-7.9698927335828812E-3</v>
      </c>
      <c r="M195">
        <f t="shared" si="33"/>
        <v>0.19999999613019001</v>
      </c>
      <c r="N195">
        <f t="shared" si="34"/>
        <v>-2.7820173487495899E-5</v>
      </c>
      <c r="O195" t="str">
        <f t="shared" ref="O195:O258" si="40">IMDIV(Aolv,IMSUM(1,IMDIV(I195,wc)))</f>
        <v>2.08929176570481-1445.43675080051j</v>
      </c>
      <c r="P195">
        <f t="shared" si="35"/>
        <v>63.199990926311635</v>
      </c>
      <c r="Q195">
        <f t="shared" si="36"/>
        <v>-89.917182459272667</v>
      </c>
      <c r="R195">
        <f t="shared" si="37"/>
        <v>49.220590755559414</v>
      </c>
      <c r="S195">
        <f t="shared" si="38"/>
        <v>90.074847647993749</v>
      </c>
    </row>
    <row r="196" spans="7:19" x14ac:dyDescent="0.25">
      <c r="G196">
        <f t="shared" ref="G196:G259" si="41">G195+(1/ppd)</f>
        <v>2.8600000000000025</v>
      </c>
      <c r="H196">
        <f t="shared" si="39"/>
        <v>7244.3596007499473</v>
      </c>
      <c r="I196" t="str">
        <f t="shared" ref="I196:I259" si="42">COMPLEX(0,H196*2*PI(),"j")</f>
        <v>45517.6538033574j</v>
      </c>
      <c r="J196" t="str">
        <f>IMDIV(R_1,IMSUM('Opamp and C Stray Using B'!R_1,IMPRODUCT('Opamp and C Stray Using B'!R_f,IMSUM(1,IMPRODUCT(I196,C_s,R_1)))))</f>
        <v>0.199999995756837-0.0000291312978161046j</v>
      </c>
      <c r="K196">
        <f t="shared" ref="K196:K259" si="43">20*LOG(IMABS(J196))</f>
        <v>-13.9794001788595</v>
      </c>
      <c r="L196">
        <f t="shared" ref="L196:L259" si="44">DEGREES(IMARGUMENT(J196))</f>
        <v>-8.3455022010450897E-3</v>
      </c>
      <c r="M196">
        <f t="shared" ref="M196:M259" si="45">IMREAL(J196)</f>
        <v>0.199999995756837</v>
      </c>
      <c r="N196">
        <f t="shared" ref="N196:N259" si="46">IMAGINARY(J196)</f>
        <v>-2.9131297816104602E-5</v>
      </c>
      <c r="O196" t="str">
        <f t="shared" si="40"/>
        <v>1.9054570871896-1380.3816343399j</v>
      </c>
      <c r="P196">
        <f t="shared" ref="P196:P259" si="47">20*LOG(IMABS(O196))</f>
        <v>62.799991724697094</v>
      </c>
      <c r="Q196">
        <f t="shared" ref="Q196:Q259" si="48">DEGREES(IMARGUMENT(O196))</f>
        <v>-89.920909857766347</v>
      </c>
      <c r="R196">
        <f t="shared" ref="R196:R259" si="49">P196+K196</f>
        <v>48.820591545837594</v>
      </c>
      <c r="S196">
        <f t="shared" ref="S196:S259" si="50">(Q196+L196)-(-180)</f>
        <v>90.070744640032615</v>
      </c>
    </row>
    <row r="197" spans="7:19" x14ac:dyDescent="0.25">
      <c r="G197">
        <f t="shared" si="41"/>
        <v>2.8800000000000026</v>
      </c>
      <c r="H197">
        <f t="shared" si="39"/>
        <v>7585.7757502918857</v>
      </c>
      <c r="I197" t="str">
        <f t="shared" si="42"/>
        <v>47662.8347377932j</v>
      </c>
      <c r="J197" t="str">
        <f>IMDIV(R_1,IMSUM('Opamp and C Stray Using B'!R_1,IMPRODUCT('Opamp and C Stray Using B'!R_f,IMSUM(1,IMPRODUCT(I197,C_s,R_1)))))</f>
        <v>0.199999995347465-0.000030504213522578j</v>
      </c>
      <c r="K197">
        <f t="shared" si="43"/>
        <v>-13.979400187748885</v>
      </c>
      <c r="L197">
        <f t="shared" si="44"/>
        <v>-8.7388135965735161E-3</v>
      </c>
      <c r="M197">
        <f t="shared" si="45"/>
        <v>0.19999999534746499</v>
      </c>
      <c r="N197">
        <f t="shared" si="46"/>
        <v>-3.0504213522578001E-5</v>
      </c>
      <c r="O197" t="str">
        <f t="shared" si="40"/>
        <v>1.73779780880288-1318.25444769273j</v>
      </c>
      <c r="P197">
        <f t="shared" si="47"/>
        <v>62.399992452833416</v>
      </c>
      <c r="Q197">
        <f t="shared" si="48"/>
        <v>-89.924469496318352</v>
      </c>
      <c r="R197">
        <f t="shared" si="49"/>
        <v>48.42059226508453</v>
      </c>
      <c r="S197">
        <f t="shared" si="50"/>
        <v>90.066791690085068</v>
      </c>
    </row>
    <row r="198" spans="7:19" x14ac:dyDescent="0.25">
      <c r="G198">
        <f t="shared" si="41"/>
        <v>2.9000000000000026</v>
      </c>
      <c r="H198">
        <f t="shared" si="39"/>
        <v>7943.2823472428699</v>
      </c>
      <c r="I198" t="str">
        <f t="shared" si="42"/>
        <v>49909.1149349754j</v>
      </c>
      <c r="J198" t="str">
        <f>IMDIV(R_1,IMSUM('Opamp and C Stray Using B'!R_1,IMPRODUCT('Opamp and C Stray Using B'!R_f,IMSUM(1,IMPRODUCT(I198,C_s,R_1)))))</f>
        <v>0.199999994898596-0.0000319418327436434j</v>
      </c>
      <c r="K198">
        <f t="shared" si="43"/>
        <v>-13.979400197495968</v>
      </c>
      <c r="L198">
        <f t="shared" si="44"/>
        <v>-9.150661186221801E-3</v>
      </c>
      <c r="M198">
        <f t="shared" si="45"/>
        <v>0.19999999489859599</v>
      </c>
      <c r="N198">
        <f t="shared" si="46"/>
        <v>-3.1941832743643402E-5</v>
      </c>
      <c r="O198" t="str">
        <f t="shared" si="40"/>
        <v>1.58489068057864-1258.92341653501j</v>
      </c>
      <c r="P198">
        <f t="shared" si="47"/>
        <v>61.999993116901742</v>
      </c>
      <c r="Q198">
        <f t="shared" si="48"/>
        <v>-89.927868925289104</v>
      </c>
      <c r="R198">
        <f t="shared" si="49"/>
        <v>48.020592919405772</v>
      </c>
      <c r="S198">
        <f t="shared" si="50"/>
        <v>90.06298041352467</v>
      </c>
    </row>
    <row r="199" spans="7:19" x14ac:dyDescent="0.25">
      <c r="G199">
        <f t="shared" si="41"/>
        <v>2.9200000000000026</v>
      </c>
      <c r="H199">
        <f t="shared" si="39"/>
        <v>8317.6377110267658</v>
      </c>
      <c r="I199" t="str">
        <f t="shared" si="42"/>
        <v>52261.2590563662j</v>
      </c>
      <c r="J199" t="str">
        <f>IMDIV(R_1,IMSUM('Opamp and C Stray Using B'!R_1,IMPRODUCT('Opamp and C Stray Using B'!R_f,IMSUM(1,IMPRODUCT(I199,C_s,R_1)))))</f>
        <v>0.199999994406422-0.0000334472048606267j</v>
      </c>
      <c r="K199">
        <f t="shared" si="43"/>
        <v>-13.979400208183385</v>
      </c>
      <c r="L199">
        <f t="shared" si="44"/>
        <v>-9.5819185537741811E-3</v>
      </c>
      <c r="M199">
        <f t="shared" si="45"/>
        <v>0.19999999440642199</v>
      </c>
      <c r="N199">
        <f t="shared" si="46"/>
        <v>-3.3447204860626699E-5</v>
      </c>
      <c r="O199" t="str">
        <f t="shared" si="40"/>
        <v>1.4454376814528-1202.26269681909j</v>
      </c>
      <c r="P199">
        <f t="shared" si="47"/>
        <v>61.599993722539324</v>
      </c>
      <c r="Q199">
        <f t="shared" si="48"/>
        <v>-89.931115355227277</v>
      </c>
      <c r="R199">
        <f t="shared" si="49"/>
        <v>47.620593514355939</v>
      </c>
      <c r="S199">
        <f t="shared" si="50"/>
        <v>90.059302726218945</v>
      </c>
    </row>
    <row r="200" spans="7:19" x14ac:dyDescent="0.25">
      <c r="G200">
        <f t="shared" si="41"/>
        <v>2.9400000000000026</v>
      </c>
      <c r="H200">
        <f t="shared" si="39"/>
        <v>8709.6358995608643</v>
      </c>
      <c r="I200" t="str">
        <f t="shared" si="42"/>
        <v>54724.2563150047j</v>
      </c>
      <c r="J200" t="str">
        <f>IMDIV(R_1,IMSUM('Opamp and C Stray Using B'!R_1,IMPRODUCT('Opamp and C Stray Using B'!R_f,IMSUM(1,IMPRODUCT(I200,C_s,R_1)))))</f>
        <v>0.199999993866764-0.0000350235229675654j</v>
      </c>
      <c r="K200">
        <f t="shared" si="43"/>
        <v>-13.979400219901905</v>
      </c>
      <c r="L200">
        <f t="shared" si="44"/>
        <v>-1.0033500453731097E-2</v>
      </c>
      <c r="M200">
        <f t="shared" si="45"/>
        <v>0.19999999386676401</v>
      </c>
      <c r="N200">
        <f t="shared" si="46"/>
        <v>-3.5023522967565398E-5</v>
      </c>
      <c r="O200" t="str">
        <f t="shared" si="40"/>
        <v>1.31825500075785-1148.15210793762j</v>
      </c>
      <c r="P200">
        <f t="shared" si="47"/>
        <v>61.19999427488743</v>
      </c>
      <c r="Q200">
        <f t="shared" si="48"/>
        <v>-89.934215672162438</v>
      </c>
      <c r="R200">
        <f t="shared" si="49"/>
        <v>47.220594054985526</v>
      </c>
      <c r="S200">
        <f t="shared" si="50"/>
        <v>90.055750827383832</v>
      </c>
    </row>
    <row r="201" spans="7:19" x14ac:dyDescent="0.25">
      <c r="G201">
        <f t="shared" si="41"/>
        <v>2.9600000000000026</v>
      </c>
      <c r="H201">
        <f t="shared" si="39"/>
        <v>9120.108393559156</v>
      </c>
      <c r="I201" t="str">
        <f t="shared" si="42"/>
        <v>57303.3310582961j</v>
      </c>
      <c r="J201" t="str">
        <f>IMDIV(R_1,IMSUM('Opamp and C Stray Using B'!R_1,IMPRODUCT('Opamp and C Stray Using B'!R_f,IMSUM(1,IMPRODUCT(I201,C_s,R_1)))))</f>
        <v>0.19999999327504-0.0000366741306441492j</v>
      </c>
      <c r="K201">
        <f t="shared" si="43"/>
        <v>-13.97940023275104</v>
      </c>
      <c r="L201">
        <f t="shared" si="44"/>
        <v>-1.0506364751622027E-2</v>
      </c>
      <c r="M201">
        <f t="shared" si="45"/>
        <v>0.19999999327504001</v>
      </c>
      <c r="N201">
        <f t="shared" si="46"/>
        <v>-3.66741306441492E-5</v>
      </c>
      <c r="O201" t="str">
        <f t="shared" si="40"/>
        <v>1.20226298917937-1096.47687788803j</v>
      </c>
      <c r="P201">
        <f t="shared" si="47"/>
        <v>60.799994778635032</v>
      </c>
      <c r="Q201">
        <f t="shared" si="48"/>
        <v>-89.937176452209712</v>
      </c>
      <c r="R201">
        <f t="shared" si="49"/>
        <v>46.820594545883992</v>
      </c>
      <c r="S201">
        <f t="shared" si="50"/>
        <v>90.052317183038667</v>
      </c>
    </row>
    <row r="202" spans="7:19" x14ac:dyDescent="0.25">
      <c r="G202">
        <f t="shared" si="41"/>
        <v>2.9800000000000026</v>
      </c>
      <c r="H202">
        <f t="shared" si="39"/>
        <v>9549.9258602144273</v>
      </c>
      <c r="I202" t="str">
        <f t="shared" si="42"/>
        <v>60003.9538495537j</v>
      </c>
      <c r="J202" t="str">
        <f>IMDIV(R_1,IMSUM('Opamp and C Stray Using B'!R_1,IMPRODUCT('Opamp and C Stray Using B'!R_f,IMSUM(1,IMPRODUCT(I202,C_s,R_1)))))</f>
        <v>0.199999992626229-0.000038402529047857j</v>
      </c>
      <c r="K202">
        <f t="shared" si="43"/>
        <v>-13.979400246839774</v>
      </c>
      <c r="L202">
        <f t="shared" si="44"/>
        <v>-1.100151445576259E-2</v>
      </c>
      <c r="M202">
        <f t="shared" si="45"/>
        <v>0.199999992626229</v>
      </c>
      <c r="N202">
        <f t="shared" si="46"/>
        <v>-3.8402529047856999E-5</v>
      </c>
      <c r="O202" t="str">
        <f t="shared" si="40"/>
        <v>1.09647699388005-1047.12739989853j</v>
      </c>
      <c r="P202">
        <f t="shared" si="47"/>
        <v>60.399995238058253</v>
      </c>
      <c r="Q202">
        <f t="shared" si="48"/>
        <v>-89.940003975517129</v>
      </c>
      <c r="R202">
        <f t="shared" si="49"/>
        <v>46.420594991218479</v>
      </c>
      <c r="S202">
        <f t="shared" si="50"/>
        <v>90.048994510027114</v>
      </c>
    </row>
    <row r="203" spans="7:19" x14ac:dyDescent="0.25">
      <c r="G203">
        <f t="shared" si="41"/>
        <v>3.0000000000000027</v>
      </c>
      <c r="H203">
        <f t="shared" si="39"/>
        <v>10000.000000000069</v>
      </c>
      <c r="I203" t="str">
        <f t="shared" si="42"/>
        <v>62831.8530717963j</v>
      </c>
      <c r="J203" t="str">
        <f>IMDIV(R_1,IMSUM('Opamp and C Stray Using B'!R_1,IMPRODUCT('Opamp and C Stray Using B'!R_f,IMSUM(1,IMPRODUCT(I203,C_s,R_1)))))</f>
        <v>0.19999999191482-0.0000402123843403278j</v>
      </c>
      <c r="K203">
        <f t="shared" si="43"/>
        <v>-13.979400262287843</v>
      </c>
      <c r="L203">
        <f t="shared" si="44"/>
        <v>-1.1519999844764647E-2</v>
      </c>
      <c r="M203">
        <f t="shared" si="45"/>
        <v>0.19999999191482001</v>
      </c>
      <c r="N203">
        <f t="shared" si="46"/>
        <v>-4.02123843403278E-5</v>
      </c>
      <c r="O203" t="str">
        <f t="shared" si="40"/>
        <v>0.99999900000098-999.99900000099j</v>
      </c>
      <c r="P203">
        <f t="shared" si="47"/>
        <v>59.999995657057269</v>
      </c>
      <c r="Q203">
        <f t="shared" si="48"/>
        <v>-89.94270423958551</v>
      </c>
      <c r="R203">
        <f t="shared" si="49"/>
        <v>46.02059539476943</v>
      </c>
      <c r="S203">
        <f t="shared" si="50"/>
        <v>90.045775760569725</v>
      </c>
    </row>
    <row r="204" spans="7:19" x14ac:dyDescent="0.25">
      <c r="G204">
        <f t="shared" si="41"/>
        <v>3.0200000000000027</v>
      </c>
      <c r="H204">
        <f t="shared" si="39"/>
        <v>10471.285480509066</v>
      </c>
      <c r="I204" t="str">
        <f t="shared" si="42"/>
        <v>65793.0270784175j</v>
      </c>
      <c r="J204" t="str">
        <f>IMDIV(R_1,IMSUM('Opamp and C Stray Using B'!R_1,IMPRODUCT('Opamp and C Stray Using B'!R_f,IMSUM(1,IMPRODUCT(I204,C_s,R_1)))))</f>
        <v>0.199999991134777-0.0000421075354637236j</v>
      </c>
      <c r="K204">
        <f t="shared" si="43"/>
        <v>-13.979400279226248</v>
      </c>
      <c r="L204">
        <f t="shared" si="44"/>
        <v>-1.2062920695312285E-2</v>
      </c>
      <c r="M204">
        <f t="shared" si="45"/>
        <v>0.19999999113477701</v>
      </c>
      <c r="N204">
        <f t="shared" si="46"/>
        <v>-4.2107535463723602E-5</v>
      </c>
      <c r="O204" t="str">
        <f t="shared" si="40"/>
        <v>0.912010007592879-954.991715058631j</v>
      </c>
      <c r="P204">
        <f t="shared" si="47"/>
        <v>59.599996039188966</v>
      </c>
      <c r="Q204">
        <f t="shared" si="48"/>
        <v>-89.94528297198886</v>
      </c>
      <c r="R204">
        <f t="shared" si="49"/>
        <v>45.620595759962718</v>
      </c>
      <c r="S204">
        <f t="shared" si="50"/>
        <v>90.042654107315826</v>
      </c>
    </row>
    <row r="205" spans="7:19" x14ac:dyDescent="0.25">
      <c r="G205">
        <f t="shared" si="41"/>
        <v>3.0400000000000027</v>
      </c>
      <c r="H205">
        <f t="shared" si="39"/>
        <v>10964.781961431923</v>
      </c>
      <c r="I205" t="str">
        <f t="shared" si="42"/>
        <v>68893.7569164968j</v>
      </c>
      <c r="J205" t="str">
        <f>IMDIV(R_1,IMSUM('Opamp and C Stray Using B'!R_1,IMPRODUCT('Opamp and C Stray Using B'!R_f,IMSUM(1,IMPRODUCT(I205,C_s,R_1)))))</f>
        <v>0.199999990279476-0.0000440920022835711j</v>
      </c>
      <c r="K205">
        <f t="shared" si="43"/>
        <v>-13.979400297798882</v>
      </c>
      <c r="L205">
        <f t="shared" si="44"/>
        <v>-1.263142861492942E-2</v>
      </c>
      <c r="M205">
        <f t="shared" si="45"/>
        <v>0.19999999027947599</v>
      </c>
      <c r="N205">
        <f t="shared" si="46"/>
        <v>-4.4092002283571102E-5</v>
      </c>
      <c r="O205" t="str">
        <f t="shared" si="40"/>
        <v>0.831763079272268-912.010080778962j</v>
      </c>
      <c r="P205">
        <f t="shared" si="47"/>
        <v>59.199996387697311</v>
      </c>
      <c r="Q205">
        <f t="shared" si="48"/>
        <v>-89.947745642522477</v>
      </c>
      <c r="R205">
        <f t="shared" si="49"/>
        <v>45.220596089898429</v>
      </c>
      <c r="S205">
        <f t="shared" si="50"/>
        <v>90.039622928862599</v>
      </c>
    </row>
    <row r="206" spans="7:19" x14ac:dyDescent="0.25">
      <c r="G206">
        <f t="shared" si="41"/>
        <v>3.0600000000000027</v>
      </c>
      <c r="H206">
        <f t="shared" si="39"/>
        <v>11481.53621496891</v>
      </c>
      <c r="I206" t="str">
        <f t="shared" si="42"/>
        <v>72140.619649743j</v>
      </c>
      <c r="J206" t="str">
        <f>IMDIV(R_1,IMSUM('Opamp and C Stray Using B'!R_1,IMPRODUCT('Opamp and C Stray Using B'!R_f,IMSUM(1,IMPRODUCT(I206,C_s,R_1)))))</f>
        <v>0.199999989341658-0.0000461699941153574j</v>
      </c>
      <c r="K206">
        <f t="shared" si="43"/>
        <v>-13.97940031816333</v>
      </c>
      <c r="L206">
        <f t="shared" si="44"/>
        <v>-1.3226729484685812E-2</v>
      </c>
      <c r="M206">
        <f t="shared" si="45"/>
        <v>0.199999989341658</v>
      </c>
      <c r="N206">
        <f t="shared" si="46"/>
        <v>-4.6169994115357401E-5</v>
      </c>
      <c r="O206" t="str">
        <f t="shared" si="40"/>
        <v>0.758576999589673-870.962929263128j</v>
      </c>
      <c r="P206">
        <f t="shared" si="47"/>
        <v>58.799996705540643</v>
      </c>
      <c r="Q206">
        <f t="shared" si="48"/>
        <v>-89.950097474804267</v>
      </c>
      <c r="R206">
        <f t="shared" si="49"/>
        <v>44.820596387377314</v>
      </c>
      <c r="S206">
        <f t="shared" si="50"/>
        <v>90.036675795711048</v>
      </c>
    </row>
    <row r="207" spans="7:19" x14ac:dyDescent="0.25">
      <c r="G207">
        <f t="shared" si="41"/>
        <v>3.0800000000000027</v>
      </c>
      <c r="H207">
        <f t="shared" si="39"/>
        <v>12022.644346174213</v>
      </c>
      <c r="I207" t="str">
        <f t="shared" si="42"/>
        <v>75540.5023093275j</v>
      </c>
      <c r="J207" t="str">
        <f>IMDIV(R_1,IMSUM('Opamp and C Stray Using B'!R_1,IMPRODUCT('Opamp and C Stray Using B'!R_f,IMSUM(1,IMPRODUCT(I207,C_s,R_1)))))</f>
        <v>0.19999998831336-0.0000483459186529627j</v>
      </c>
      <c r="K207">
        <f t="shared" si="43"/>
        <v>-13.97940034049255</v>
      </c>
      <c r="L207">
        <f t="shared" si="44"/>
        <v>-1.3850086017024393E-2</v>
      </c>
      <c r="M207">
        <f t="shared" si="45"/>
        <v>0.19999998831335999</v>
      </c>
      <c r="N207">
        <f t="shared" si="46"/>
        <v>-4.83459186529627E-5</v>
      </c>
      <c r="O207" t="str">
        <f t="shared" si="40"/>
        <v>0.691830492289167-831.763195663127j</v>
      </c>
      <c r="P207">
        <f t="shared" si="47"/>
        <v>58.399996995417254</v>
      </c>
      <c r="Q207">
        <f t="shared" si="48"/>
        <v>-89.952343457354019</v>
      </c>
      <c r="R207">
        <f t="shared" si="49"/>
        <v>44.420596654924708</v>
      </c>
      <c r="S207">
        <f t="shared" si="50"/>
        <v>90.033806456628952</v>
      </c>
    </row>
    <row r="208" spans="7:19" x14ac:dyDescent="0.25">
      <c r="G208">
        <f t="shared" si="41"/>
        <v>3.1000000000000028</v>
      </c>
      <c r="H208">
        <f t="shared" si="39"/>
        <v>12589.254117941757</v>
      </c>
      <c r="I208" t="str">
        <f t="shared" si="42"/>
        <v>79100.6165022018j</v>
      </c>
      <c r="J208" t="str">
        <f>IMDIV(R_1,IMSUM('Opamp and C Stray Using B'!R_1,IMPRODUCT('Opamp and C Stray Using B'!R_f,IMSUM(1,IMPRODUCT(I208,C_s,R_1)))))</f>
        <v>0.199999987185854-0.0000506243913178673j</v>
      </c>
      <c r="K208">
        <f t="shared" si="43"/>
        <v>-13.979400364976033</v>
      </c>
      <c r="L208">
        <f t="shared" si="44"/>
        <v>-1.4502820434133491E-2</v>
      </c>
      <c r="M208">
        <f t="shared" si="45"/>
        <v>0.19999998718585399</v>
      </c>
      <c r="N208">
        <f t="shared" si="46"/>
        <v>-5.0624391317867299E-5</v>
      </c>
      <c r="O208" t="str">
        <f t="shared" si="40"/>
        <v>0.630956946373261-794.327733537356j</v>
      </c>
      <c r="P208">
        <f t="shared" si="47"/>
        <v>57.999997259787847</v>
      </c>
      <c r="Q208">
        <f t="shared" si="48"/>
        <v>-89.954488354174188</v>
      </c>
      <c r="R208">
        <f t="shared" si="49"/>
        <v>44.020596894811817</v>
      </c>
      <c r="S208">
        <f t="shared" si="50"/>
        <v>90.03100882539168</v>
      </c>
    </row>
    <row r="209" spans="7:19" x14ac:dyDescent="0.25">
      <c r="G209">
        <f t="shared" si="41"/>
        <v>3.1200000000000028</v>
      </c>
      <c r="H209">
        <f t="shared" si="39"/>
        <v>13182.567385564171</v>
      </c>
      <c r="I209" t="str">
        <f t="shared" si="42"/>
        <v>82828.5137078816j</v>
      </c>
      <c r="J209" t="str">
        <f>IMDIV(R_1,IMSUM('Opamp and C Stray Using B'!R_1,IMPRODUCT('Opamp and C Stray Using B'!R_f,IMSUM(1,IMPRODUCT(I209,C_s,R_1)))))</f>
        <v>0.199999985949569-0.0000530102450489597j</v>
      </c>
      <c r="K209">
        <f t="shared" si="43"/>
        <v>-13.979400391821613</v>
      </c>
      <c r="L209">
        <f t="shared" si="44"/>
        <v>-1.518631727254597E-2</v>
      </c>
      <c r="M209">
        <f t="shared" si="45"/>
        <v>0.199999985949569</v>
      </c>
      <c r="N209">
        <f t="shared" si="46"/>
        <v>-5.3010245048959703E-5</v>
      </c>
      <c r="O209" t="str">
        <f t="shared" si="40"/>
        <v>0.575439606206215-758.577138513595j</v>
      </c>
      <c r="P209">
        <f t="shared" si="47"/>
        <v>57.599997500896734</v>
      </c>
      <c r="Q209">
        <f t="shared" si="48"/>
        <v>-89.956536714854408</v>
      </c>
      <c r="R209">
        <f t="shared" si="49"/>
        <v>43.620597109075121</v>
      </c>
      <c r="S209">
        <f t="shared" si="50"/>
        <v>90.02827696787304</v>
      </c>
    </row>
    <row r="210" spans="7:19" x14ac:dyDescent="0.25">
      <c r="G210">
        <f t="shared" si="41"/>
        <v>3.1400000000000028</v>
      </c>
      <c r="H210">
        <f t="shared" si="39"/>
        <v>13803.84264602895</v>
      </c>
      <c r="I210" t="str">
        <f t="shared" si="42"/>
        <v>86732.1012961481j</v>
      </c>
      <c r="J210" t="str">
        <f>IMDIV(R_1,IMSUM('Opamp and C Stray Using B'!R_1,IMPRODUCT('Opamp and C Stray Using B'!R_f,IMSUM(1,IMPRODUCT(I210,C_s,R_1)))))</f>
        <v>0.199999984594008-0.0000555085405537139j</v>
      </c>
      <c r="K210">
        <f t="shared" si="43"/>
        <v>-13.979400421257262</v>
      </c>
      <c r="L210">
        <f t="shared" si="44"/>
        <v>-1.5902026319914556E-2</v>
      </c>
      <c r="M210">
        <f t="shared" si="45"/>
        <v>0.199999984594008</v>
      </c>
      <c r="N210">
        <f t="shared" si="46"/>
        <v>-5.5508540553713903E-5</v>
      </c>
      <c r="O210" t="str">
        <f t="shared" si="40"/>
        <v>0.524807184827035-724.435579885785j</v>
      </c>
      <c r="P210">
        <f t="shared" si="47"/>
        <v>57.199997720790662</v>
      </c>
      <c r="Q210">
        <f t="shared" si="48"/>
        <v>-89.958492884221286</v>
      </c>
      <c r="R210">
        <f t="shared" si="49"/>
        <v>43.220597299533402</v>
      </c>
      <c r="S210">
        <f t="shared" si="50"/>
        <v>90.025605089458793</v>
      </c>
    </row>
    <row r="211" spans="7:19" x14ac:dyDescent="0.25">
      <c r="G211">
        <f t="shared" si="41"/>
        <v>3.1600000000000028</v>
      </c>
      <c r="H211">
        <f t="shared" si="39"/>
        <v>14454.397707459377</v>
      </c>
      <c r="I211" t="str">
        <f t="shared" si="42"/>
        <v>90819.6592996391j</v>
      </c>
      <c r="J211" t="str">
        <f>IMDIV(R_1,IMSUM('Opamp and C Stray Using B'!R_1,IMPRODUCT('Opamp and C Stray Using B'!R_f,IMSUM(1,IMPRODUCT(I211,C_s,R_1)))))</f>
        <v>0.199999983107666-0.0000581245770424696j</v>
      </c>
      <c r="K211">
        <f t="shared" si="43"/>
        <v>-13.97940045353277</v>
      </c>
      <c r="L211">
        <f t="shared" si="44"/>
        <v>-1.6651465690189611E-2</v>
      </c>
      <c r="M211">
        <f t="shared" si="45"/>
        <v>0.19999998310766601</v>
      </c>
      <c r="N211">
        <f t="shared" si="46"/>
        <v>-5.8124577042469601E-5</v>
      </c>
      <c r="O211" t="str">
        <f t="shared" si="40"/>
        <v>0.478629863235974-691.830639787967j</v>
      </c>
      <c r="P211">
        <f t="shared" si="47"/>
        <v>56.799997921336342</v>
      </c>
      <c r="Q211">
        <f t="shared" si="48"/>
        <v>-89.960361011554042</v>
      </c>
      <c r="R211">
        <f t="shared" si="49"/>
        <v>42.820597467803573</v>
      </c>
      <c r="S211">
        <f t="shared" si="50"/>
        <v>90.02298752275577</v>
      </c>
    </row>
    <row r="212" spans="7:19" x14ac:dyDescent="0.25">
      <c r="G212">
        <f t="shared" si="41"/>
        <v>3.1800000000000028</v>
      </c>
      <c r="H212">
        <f t="shared" si="39"/>
        <v>15135.612484362187</v>
      </c>
      <c r="I212" t="str">
        <f t="shared" si="42"/>
        <v>95099.8579769084j</v>
      </c>
      <c r="J212" t="str">
        <f>IMDIV(R_1,IMSUM('Opamp and C Stray Using B'!R_1,IMPRODUCT('Opamp and C Stray Using B'!R_f,IMSUM(1,IMPRODUCT(I212,C_s,R_1)))))</f>
        <v>0.199999981477925-0.000060863903468592j</v>
      </c>
      <c r="K212">
        <f t="shared" si="43"/>
        <v>-13.979400488922133</v>
      </c>
      <c r="L212">
        <f t="shared" si="44"/>
        <v>-1.7436225043726761E-2</v>
      </c>
      <c r="M212">
        <f t="shared" si="45"/>
        <v>0.199999981477925</v>
      </c>
      <c r="N212">
        <f t="shared" si="46"/>
        <v>-6.0863903468592003E-5</v>
      </c>
      <c r="O212" t="str">
        <f t="shared" si="40"/>
        <v>0.436515641694171-660.693159604566j</v>
      </c>
      <c r="P212">
        <f t="shared" si="47"/>
        <v>56.399998104236168</v>
      </c>
      <c r="Q212">
        <f t="shared" si="48"/>
        <v>-89.962145059385321</v>
      </c>
      <c r="R212">
        <f t="shared" si="49"/>
        <v>42.420597615314037</v>
      </c>
      <c r="S212">
        <f t="shared" si="50"/>
        <v>90.020418715570955</v>
      </c>
    </row>
    <row r="213" spans="7:19" x14ac:dyDescent="0.25">
      <c r="G213">
        <f t="shared" si="41"/>
        <v>3.2000000000000028</v>
      </c>
      <c r="H213">
        <f t="shared" si="39"/>
        <v>15848.931924611257</v>
      </c>
      <c r="I213" t="str">
        <f t="shared" si="42"/>
        <v>99581.7762032069j</v>
      </c>
      <c r="J213" t="str">
        <f>IMDIV(R_1,IMSUM('Opamp and C Stray Using B'!R_1,IMPRODUCT('Opamp and C Stray Using B'!R_f,IMSUM(1,IMPRODUCT(I213,C_s,R_1)))))</f>
        <v>0.199999979690948-0.0000637323302983358j</v>
      </c>
      <c r="K213">
        <f t="shared" si="43"/>
        <v>-13.979400527725865</v>
      </c>
      <c r="L213">
        <f t="shared" si="44"/>
        <v>-1.8257968959148749E-2</v>
      </c>
      <c r="M213">
        <f t="shared" si="45"/>
        <v>0.19999997969094799</v>
      </c>
      <c r="N213">
        <f t="shared" si="46"/>
        <v>-6.3732330298335794E-5</v>
      </c>
      <c r="O213" t="str">
        <f t="shared" si="40"/>
        <v>0.398107012064233-630.957093291643j</v>
      </c>
      <c r="P213">
        <f t="shared" si="47"/>
        <v>55.99999827104277</v>
      </c>
      <c r="Q213">
        <f t="shared" si="48"/>
        <v>-89.963848811905862</v>
      </c>
      <c r="R213">
        <f t="shared" si="49"/>
        <v>42.020597743316905</v>
      </c>
      <c r="S213">
        <f t="shared" si="50"/>
        <v>90.01789321913499</v>
      </c>
    </row>
    <row r="214" spans="7:19" x14ac:dyDescent="0.25">
      <c r="G214">
        <f t="shared" si="41"/>
        <v>3.2200000000000029</v>
      </c>
      <c r="H214">
        <f t="shared" si="39"/>
        <v>16595.869074375729</v>
      </c>
      <c r="I214" t="str">
        <f t="shared" si="42"/>
        <v>104274.920727994j</v>
      </c>
      <c r="J214" t="str">
        <f>IMDIV(R_1,IMSUM('Opamp and C Stray Using B'!R_1,IMPRODUCT('Opamp and C Stray Using B'!R_f,IMSUM(1,IMPRODUCT(I214,C_s,R_1)))))</f>
        <v>0.199999977731568-0.0000667359418353912j</v>
      </c>
      <c r="K214">
        <f t="shared" si="43"/>
        <v>-13.979400570273256</v>
      </c>
      <c r="L214">
        <f t="shared" si="44"/>
        <v>-1.911844046411796E-2</v>
      </c>
      <c r="M214">
        <f t="shared" si="45"/>
        <v>0.199999977731568</v>
      </c>
      <c r="N214">
        <f t="shared" si="46"/>
        <v>-6.6735941835391202E-5</v>
      </c>
      <c r="O214" t="str">
        <f t="shared" si="40"/>
        <v>0.363077922944467-602.559367298268j</v>
      </c>
      <c r="P214">
        <f t="shared" si="47"/>
        <v>55.599998423172238</v>
      </c>
      <c r="Q214">
        <f t="shared" si="48"/>
        <v>-89.965475882991115</v>
      </c>
      <c r="R214">
        <f t="shared" si="49"/>
        <v>41.620597852898982</v>
      </c>
      <c r="S214">
        <f t="shared" si="50"/>
        <v>90.015405676544773</v>
      </c>
    </row>
    <row r="215" spans="7:19" x14ac:dyDescent="0.25">
      <c r="G215">
        <f t="shared" si="41"/>
        <v>3.2400000000000029</v>
      </c>
      <c r="H215">
        <f t="shared" si="39"/>
        <v>17378.008287493882</v>
      </c>
      <c r="I215" t="str">
        <f t="shared" si="42"/>
        <v>109189.246340027j</v>
      </c>
      <c r="J215" t="str">
        <f>IMDIV(R_1,IMSUM('Opamp and C Stray Using B'!R_1,IMPRODUCT('Opamp and C Stray Using B'!R_f,IMSUM(1,IMPRODUCT(I215,C_s,R_1)))))</f>
        <v>0.19999997558315-0.0000698811091262333j</v>
      </c>
      <c r="K215">
        <f t="shared" si="43"/>
        <v>-13.979400616925568</v>
      </c>
      <c r="L215">
        <f t="shared" si="44"/>
        <v>-2.0019464732505789E-2</v>
      </c>
      <c r="M215">
        <f t="shared" si="45"/>
        <v>0.19999997558315</v>
      </c>
      <c r="N215">
        <f t="shared" si="46"/>
        <v>-6.9881109126233295E-5</v>
      </c>
      <c r="O215" t="str">
        <f t="shared" si="40"/>
        <v>0.331131011834802-575.439746791143j</v>
      </c>
      <c r="P215">
        <f t="shared" si="47"/>
        <v>55.199998561915969</v>
      </c>
      <c r="Q215">
        <f t="shared" si="48"/>
        <v>-89.967029723866474</v>
      </c>
      <c r="R215">
        <f t="shared" si="49"/>
        <v>41.220597944990402</v>
      </c>
      <c r="S215">
        <f t="shared" si="50"/>
        <v>90.012950811401026</v>
      </c>
    </row>
    <row r="216" spans="7:19" x14ac:dyDescent="0.25">
      <c r="G216">
        <f t="shared" si="41"/>
        <v>3.2600000000000029</v>
      </c>
      <c r="H216">
        <f t="shared" si="39"/>
        <v>18197.008586099961</v>
      </c>
      <c r="I216" t="str">
        <f t="shared" si="42"/>
        <v>114335.176982804j</v>
      </c>
      <c r="J216" t="str">
        <f>IMDIV(R_1,IMSUM('Opamp and C Stray Using B'!R_1,IMPRODUCT('Opamp and C Stray Using B'!R_f,IMSUM(1,IMPRODUCT(I216,C_s,R_1)))))</f>
        <v>0.199999973227457-0.0000731745034736553j</v>
      </c>
      <c r="K216">
        <f t="shared" si="43"/>
        <v>-13.979400668078792</v>
      </c>
      <c r="L216">
        <f t="shared" si="44"/>
        <v>-2.0962952955801042E-2</v>
      </c>
      <c r="M216">
        <f t="shared" si="45"/>
        <v>0.199999973227457</v>
      </c>
      <c r="N216">
        <f t="shared" si="46"/>
        <v>-7.3174503473655305E-5</v>
      </c>
      <c r="O216" t="str">
        <f t="shared" si="40"/>
        <v>0.30199508083914-549.540707898979j</v>
      </c>
      <c r="P216">
        <f t="shared" si="47"/>
        <v>54.799998688451758</v>
      </c>
      <c r="Q216">
        <f t="shared" si="48"/>
        <v>-89.968513630427609</v>
      </c>
      <c r="R216">
        <f t="shared" si="49"/>
        <v>40.820598020372969</v>
      </c>
      <c r="S216">
        <f t="shared" si="50"/>
        <v>90.010523416616593</v>
      </c>
    </row>
    <row r="217" spans="7:19" x14ac:dyDescent="0.25">
      <c r="G217">
        <f t="shared" si="41"/>
        <v>3.2800000000000029</v>
      </c>
      <c r="H217">
        <f t="shared" si="39"/>
        <v>19054.607179632618</v>
      </c>
      <c r="I217" t="str">
        <f t="shared" si="42"/>
        <v>119723.627865146j</v>
      </c>
      <c r="J217" t="str">
        <f>IMDIV(R_1,IMSUM('Opamp and C Stray Using B'!R_1,IMPRODUCT('Opamp and C Stray Using B'!R_f,IMSUM(1,IMPRODUCT(I217,C_s,R_1)))))</f>
        <v>0.19999997064449-0.0000766231105871396j</v>
      </c>
      <c r="K217">
        <f t="shared" si="43"/>
        <v>-13.979400724167231</v>
      </c>
      <c r="L217">
        <f t="shared" si="44"/>
        <v>-2.1950906396969935E-2</v>
      </c>
      <c r="M217">
        <f t="shared" si="45"/>
        <v>0.19999997064448999</v>
      </c>
      <c r="N217">
        <f t="shared" si="46"/>
        <v>-7.6623110587139599E-5</v>
      </c>
      <c r="O217" t="str">
        <f t="shared" si="40"/>
        <v>0.275422794476076-524.807315705832j</v>
      </c>
      <c r="P217">
        <f t="shared" si="47"/>
        <v>54.399998803853784</v>
      </c>
      <c r="Q217">
        <f t="shared" si="48"/>
        <v>-89.969930750231299</v>
      </c>
      <c r="R217">
        <f t="shared" si="49"/>
        <v>40.420598079686556</v>
      </c>
      <c r="S217">
        <f t="shared" si="50"/>
        <v>90.008118343371734</v>
      </c>
    </row>
    <row r="218" spans="7:19" x14ac:dyDescent="0.25">
      <c r="G218">
        <f t="shared" si="41"/>
        <v>3.3000000000000029</v>
      </c>
      <c r="H218">
        <f t="shared" si="39"/>
        <v>19952.623149688949</v>
      </c>
      <c r="I218" t="str">
        <f t="shared" si="42"/>
        <v>125366.028613817j</v>
      </c>
      <c r="J218" t="str">
        <f>IMDIV(R_1,IMSUM('Opamp and C Stray Using B'!R_1,IMPRODUCT('Opamp and C Stray Using B'!R_f,IMSUM(1,IMPRODUCT(I218,C_s,R_1)))))</f>
        <v>0.199999967812324-0.0000802342454000713j</v>
      </c>
      <c r="K218">
        <f t="shared" si="43"/>
        <v>-13.97940078566694</v>
      </c>
      <c r="L218">
        <f t="shared" si="44"/>
        <v>-2.2985420635362758E-2</v>
      </c>
      <c r="M218">
        <f t="shared" si="45"/>
        <v>0.19999996781232399</v>
      </c>
      <c r="N218">
        <f t="shared" si="46"/>
        <v>-8.0234245400071294E-5</v>
      </c>
      <c r="O218" t="str">
        <f t="shared" si="40"/>
        <v>0.251188580055234-501.187107734758j</v>
      </c>
      <c r="P218">
        <f t="shared" si="47"/>
        <v>53.999998909101635</v>
      </c>
      <c r="Q218">
        <f t="shared" si="48"/>
        <v>-89.971284089171704</v>
      </c>
      <c r="R218">
        <f t="shared" si="49"/>
        <v>40.020598123434695</v>
      </c>
      <c r="S218">
        <f t="shared" si="50"/>
        <v>90.005730490192931</v>
      </c>
    </row>
    <row r="219" spans="7:19" x14ac:dyDescent="0.25">
      <c r="G219">
        <f t="shared" si="41"/>
        <v>3.3200000000000029</v>
      </c>
      <c r="H219">
        <f t="shared" si="39"/>
        <v>20892.961308540547</v>
      </c>
      <c r="I219" t="str">
        <f t="shared" si="42"/>
        <v>131274.347517294j</v>
      </c>
      <c r="J219" t="str">
        <f>IMDIV(R_1,IMSUM('Opamp and C Stray Using B'!R_1,IMPRODUCT('Opamp and C Stray Using B'!R_f,IMSUM(1,IMPRODUCT(I219,C_s,R_1)))))</f>
        <v>0.199999964706916-0.0000840155675852229j</v>
      </c>
      <c r="K219">
        <f t="shared" si="43"/>
        <v>-13.979400853100019</v>
      </c>
      <c r="L219">
        <f t="shared" si="44"/>
        <v>-2.4068690011674703E-2</v>
      </c>
      <c r="M219">
        <f t="shared" si="45"/>
        <v>0.199999964706916</v>
      </c>
      <c r="N219">
        <f t="shared" si="46"/>
        <v>-8.4015567585222895E-5</v>
      </c>
      <c r="O219" t="str">
        <f t="shared" si="40"/>
        <v>0.229086712796039-478.629982674839j</v>
      </c>
      <c r="P219">
        <f t="shared" si="47"/>
        <v>53.599999005088847</v>
      </c>
      <c r="Q219">
        <f t="shared" si="48"/>
        <v>-89.972576517856083</v>
      </c>
      <c r="R219">
        <f t="shared" si="49"/>
        <v>39.62059815198883</v>
      </c>
      <c r="S219">
        <f t="shared" si="50"/>
        <v>90.003354792132242</v>
      </c>
    </row>
    <row r="220" spans="7:19" x14ac:dyDescent="0.25">
      <c r="G220">
        <f t="shared" si="41"/>
        <v>3.340000000000003</v>
      </c>
      <c r="H220">
        <f t="shared" si="39"/>
        <v>21877.616239495685</v>
      </c>
      <c r="I220" t="str">
        <f t="shared" si="42"/>
        <v>137461.116912113j</v>
      </c>
      <c r="J220" t="str">
        <f>IMDIV(R_1,IMSUM('Opamp and C Stray Using B'!R_1,IMPRODUCT('Opamp and C Stray Using B'!R_f,IMSUM(1,IMPRODUCT(I220,C_s,R_1)))))</f>
        <v>0.199999961301903-0.0000879750978014049j</v>
      </c>
      <c r="K220">
        <f t="shared" si="43"/>
        <v>-13.979400927038965</v>
      </c>
      <c r="L220">
        <f t="shared" si="44"/>
        <v>-2.5203012282384554E-2</v>
      </c>
      <c r="M220">
        <f t="shared" si="45"/>
        <v>0.19999996130190301</v>
      </c>
      <c r="N220">
        <f t="shared" si="46"/>
        <v>-8.7975097801404898E-5</v>
      </c>
      <c r="O220" t="str">
        <f t="shared" si="40"/>
        <v>0.208929569433826-457.088094115633j</v>
      </c>
      <c r="P220">
        <f t="shared" si="47"/>
        <v>53.19999909263025</v>
      </c>
      <c r="Q220">
        <f t="shared" si="48"/>
        <v>-89.9738107776937</v>
      </c>
      <c r="R220">
        <f t="shared" si="49"/>
        <v>39.220598165591284</v>
      </c>
      <c r="S220">
        <f t="shared" si="50"/>
        <v>90.00098621002391</v>
      </c>
    </row>
    <row r="221" spans="7:19" x14ac:dyDescent="0.25">
      <c r="G221">
        <f t="shared" si="41"/>
        <v>3.360000000000003</v>
      </c>
      <c r="H221">
        <f t="shared" si="39"/>
        <v>22908.676527677912</v>
      </c>
      <c r="I221" t="str">
        <f t="shared" si="42"/>
        <v>143939.459765636j</v>
      </c>
      <c r="J221" t="str">
        <f>IMDIV(R_1,IMSUM('Opamp and C Stray Using B'!R_1,IMPRODUCT('Opamp and C Stray Using B'!R_f,IMSUM(1,IMPRODUCT(I221,C_s,R_1)))))</f>
        <v>0.199999957568382-0.0000921212347057377j</v>
      </c>
      <c r="K221">
        <f t="shared" si="43"/>
        <v>-13.979401008111342</v>
      </c>
      <c r="L221">
        <f t="shared" si="44"/>
        <v>-2.6390793493544586E-2</v>
      </c>
      <c r="M221">
        <f t="shared" si="45"/>
        <v>0.19999995756838199</v>
      </c>
      <c r="N221">
        <f t="shared" si="46"/>
        <v>-9.2121234705737695E-5</v>
      </c>
      <c r="O221" t="str">
        <f t="shared" si="40"/>
        <v>0.190546035488522-436.5157490638j</v>
      </c>
      <c r="P221">
        <f t="shared" si="47"/>
        <v>52.799999172468908</v>
      </c>
      <c r="Q221">
        <f t="shared" si="48"/>
        <v>-89.974989486710555</v>
      </c>
      <c r="R221">
        <f t="shared" si="49"/>
        <v>38.820598164357563</v>
      </c>
      <c r="S221">
        <f t="shared" si="50"/>
        <v>89.998619719795897</v>
      </c>
    </row>
    <row r="222" spans="7:19" x14ac:dyDescent="0.25">
      <c r="G222">
        <f t="shared" si="41"/>
        <v>3.380000000000003</v>
      </c>
      <c r="H222">
        <f t="shared" si="39"/>
        <v>23988.329190195091</v>
      </c>
      <c r="I222" t="str">
        <f t="shared" si="42"/>
        <v>150723.117511621j</v>
      </c>
      <c r="J222" t="str">
        <f>IMDIV(R_1,IMSUM('Opamp and C Stray Using B'!R_1,IMPRODUCT('Opamp and C Stray Using B'!R_f,IMSUM(1,IMPRODUCT(I222,C_s,R_1)))))</f>
        <v>0.199999953474657-0.0000964627727676142j</v>
      </c>
      <c r="K222">
        <f t="shared" si="43"/>
        <v>-13.979401097005471</v>
      </c>
      <c r="L222">
        <f t="shared" si="44"/>
        <v>-2.7634553084259238E-2</v>
      </c>
      <c r="M222">
        <f t="shared" si="45"/>
        <v>0.19999995347465699</v>
      </c>
      <c r="N222">
        <f t="shared" si="46"/>
        <v>-9.6462772767614194E-5</v>
      </c>
      <c r="O222" t="str">
        <f t="shared" si="40"/>
        <v>0.173780052675423-416.869311026749j</v>
      </c>
      <c r="P222">
        <f t="shared" si="47"/>
        <v>52.399999245282693</v>
      </c>
      <c r="Q222">
        <f t="shared" si="48"/>
        <v>-89.976115145102497</v>
      </c>
      <c r="R222">
        <f t="shared" si="49"/>
        <v>38.420598148277222</v>
      </c>
      <c r="S222">
        <f t="shared" si="50"/>
        <v>89.996250301813248</v>
      </c>
    </row>
    <row r="223" spans="7:19" x14ac:dyDescent="0.25">
      <c r="G223">
        <f t="shared" si="41"/>
        <v>3.400000000000003</v>
      </c>
      <c r="H223">
        <f t="shared" si="39"/>
        <v>25118.864315095991</v>
      </c>
      <c r="I223" t="str">
        <f t="shared" si="42"/>
        <v>157826.479197649j</v>
      </c>
      <c r="J223" t="str">
        <f>IMDIV(R_1,IMSUM('Opamp and C Stray Using B'!R_1,IMPRODUCT('Opamp and C Stray Using B'!R_f,IMSUM(1,IMPRODUCT(I223,C_s,R_1)))))</f>
        <v>0.199999948985976-0.000101008920922131j</v>
      </c>
      <c r="K223">
        <f t="shared" si="43"/>
        <v>-13.979401194475985</v>
      </c>
      <c r="L223">
        <f t="shared" si="44"/>
        <v>-2.8936929230674792E-2</v>
      </c>
      <c r="M223">
        <f t="shared" si="45"/>
        <v>0.19999994898597601</v>
      </c>
      <c r="N223">
        <f t="shared" si="46"/>
        <v>-1.01008920922131E-4</v>
      </c>
      <c r="O223" t="str">
        <f t="shared" si="40"/>
        <v>0.158489294127249-398.10710745777j</v>
      </c>
      <c r="P223">
        <f t="shared" si="47"/>
        <v>51.999999311689621</v>
      </c>
      <c r="Q223">
        <f t="shared" si="48"/>
        <v>-89.977190140538426</v>
      </c>
      <c r="R223">
        <f t="shared" si="49"/>
        <v>38.020598117213638</v>
      </c>
      <c r="S223">
        <f t="shared" si="50"/>
        <v>89.993872930230893</v>
      </c>
    </row>
    <row r="224" spans="7:19" x14ac:dyDescent="0.25">
      <c r="G224">
        <f t="shared" si="41"/>
        <v>3.420000000000003</v>
      </c>
      <c r="H224">
        <f t="shared" si="39"/>
        <v>26302.679918954014</v>
      </c>
      <c r="I224" t="str">
        <f t="shared" si="42"/>
        <v>165264.612006219j</v>
      </c>
      <c r="J224" t="str">
        <f>IMDIV(R_1,IMSUM('Opamp and C Stray Using B'!R_1,IMPRODUCT('Opamp and C Stray Using B'!R_f,IMSUM(1,IMPRODUCT(I224,C_s,R_1)))))</f>
        <v>0.199999944064237-0.000105769322102533j</v>
      </c>
      <c r="K224">
        <f t="shared" si="43"/>
        <v>-13.979401301350205</v>
      </c>
      <c r="L224">
        <f t="shared" si="44"/>
        <v>-3.0300684441814461E-2</v>
      </c>
      <c r="M224">
        <f t="shared" si="45"/>
        <v>0.19999994406423699</v>
      </c>
      <c r="N224">
        <f t="shared" si="46"/>
        <v>-1.05769322102533E-4</v>
      </c>
      <c r="O224" t="str">
        <f t="shared" si="40"/>
        <v>0.144543956181634-380.189341366481j</v>
      </c>
      <c r="P224">
        <f t="shared" si="47"/>
        <v>51.599999372253514</v>
      </c>
      <c r="Q224">
        <f t="shared" si="48"/>
        <v>-89.978216753224757</v>
      </c>
      <c r="R224">
        <f t="shared" si="49"/>
        <v>37.620598070903313</v>
      </c>
      <c r="S224">
        <f t="shared" si="50"/>
        <v>89.991482562333431</v>
      </c>
    </row>
    <row r="225" spans="7:19" x14ac:dyDescent="0.25">
      <c r="G225">
        <f t="shared" si="41"/>
        <v>3.4400000000000031</v>
      </c>
      <c r="H225">
        <f t="shared" si="39"/>
        <v>27542.287033381886</v>
      </c>
      <c r="I225" t="str">
        <f t="shared" si="42"/>
        <v>173053.293214268j</v>
      </c>
      <c r="J225" t="str">
        <f>IMDIV(R_1,IMSUM('Opamp and C Stray Using B'!R_1,IMPRODUCT('Opamp and C Stray Using B'!R_f,IMSUM(1,IMPRODUCT(I225,C_s,R_1)))))</f>
        <v>0.199999938667657-0.000110754073693087j</v>
      </c>
      <c r="K225">
        <f t="shared" si="43"/>
        <v>-13.979401418535486</v>
      </c>
      <c r="L225">
        <f t="shared" si="44"/>
        <v>-3.1728711419128225E-2</v>
      </c>
      <c r="M225">
        <f t="shared" si="45"/>
        <v>0.199999938667657</v>
      </c>
      <c r="N225">
        <f t="shared" si="46"/>
        <v>-1.10754073693087E-4</v>
      </c>
      <c r="O225" t="str">
        <f t="shared" si="40"/>
        <v>0.131825656477632-363.078006907095j</v>
      </c>
      <c r="P225">
        <f t="shared" si="47"/>
        <v>51.199999427488329</v>
      </c>
      <c r="Q225">
        <f t="shared" si="48"/>
        <v>-89.979197160741975</v>
      </c>
      <c r="R225">
        <f t="shared" si="49"/>
        <v>37.220598008952841</v>
      </c>
      <c r="S225">
        <f t="shared" si="50"/>
        <v>89.98907412783889</v>
      </c>
    </row>
    <row r="226" spans="7:19" x14ac:dyDescent="0.25">
      <c r="G226">
        <f t="shared" si="41"/>
        <v>3.4600000000000031</v>
      </c>
      <c r="H226">
        <f t="shared" si="39"/>
        <v>28840.315031266287</v>
      </c>
      <c r="I226" t="str">
        <f t="shared" si="42"/>
        <v>181209.043658883j</v>
      </c>
      <c r="J226" t="str">
        <f>IMDIV(R_1,IMSUM('Opamp and C Stray Using B'!R_1,IMPRODUCT('Opamp and C Stray Using B'!R_f,IMSUM(1,IMPRODUCT(I226,C_s,R_1)))))</f>
        <v>0.199999932750425-0.000115973748945746j</v>
      </c>
      <c r="K226">
        <f t="shared" si="43"/>
        <v>-13.979401547026594</v>
      </c>
      <c r="L226">
        <f t="shared" si="44"/>
        <v>-3.3224039192180532E-2</v>
      </c>
      <c r="M226">
        <f t="shared" si="45"/>
        <v>0.19999993275042499</v>
      </c>
      <c r="N226">
        <f t="shared" si="46"/>
        <v>-1.1597374894574601E-4</v>
      </c>
      <c r="O226" t="str">
        <f t="shared" si="40"/>
        <v>0.120226429007343-346.736808765595j</v>
      </c>
      <c r="P226">
        <f t="shared" si="47"/>
        <v>50.799999477863139</v>
      </c>
      <c r="Q226">
        <f t="shared" si="48"/>
        <v>-89.980133442663572</v>
      </c>
      <c r="R226">
        <f t="shared" si="49"/>
        <v>36.820597930836541</v>
      </c>
      <c r="S226">
        <f t="shared" si="50"/>
        <v>89.986642518144251</v>
      </c>
    </row>
    <row r="227" spans="7:19" x14ac:dyDescent="0.25">
      <c r="G227">
        <f t="shared" si="41"/>
        <v>3.4800000000000031</v>
      </c>
      <c r="H227">
        <f t="shared" si="39"/>
        <v>30199.517204020391</v>
      </c>
      <c r="I227" t="str">
        <f t="shared" si="42"/>
        <v>189749.162780218j</v>
      </c>
      <c r="J227" t="str">
        <f>IMDIV(R_1,IMSUM('Opamp and C Stray Using B'!R_1,IMPRODUCT('Opamp and C Stray Using B'!R_f,IMSUM(1,IMPRODUCT(I227,C_s,R_1)))))</f>
        <v>0.19999992626231-0.000121439419406012j</v>
      </c>
      <c r="K227">
        <f t="shared" si="43"/>
        <v>-13.979401687914262</v>
      </c>
      <c r="L227">
        <f t="shared" si="44"/>
        <v>-3.4789839543493059E-2</v>
      </c>
      <c r="M227">
        <f t="shared" si="45"/>
        <v>0.19999992626231</v>
      </c>
      <c r="N227">
        <f t="shared" si="46"/>
        <v>-1.21439419406012E-4</v>
      </c>
      <c r="O227" t="str">
        <f t="shared" si="40"/>
        <v>0.109647807591674-331.131085174787j</v>
      </c>
      <c r="P227">
        <f t="shared" si="47"/>
        <v>50.399999523805533</v>
      </c>
      <c r="Q227">
        <f t="shared" si="48"/>
        <v>-89.981027584967052</v>
      </c>
      <c r="R227">
        <f t="shared" si="49"/>
        <v>36.420597835891272</v>
      </c>
      <c r="S227">
        <f t="shared" si="50"/>
        <v>89.984182575489456</v>
      </c>
    </row>
    <row r="228" spans="7:19" x14ac:dyDescent="0.25">
      <c r="G228">
        <f t="shared" si="41"/>
        <v>3.5000000000000031</v>
      </c>
      <c r="H228">
        <f t="shared" si="39"/>
        <v>31622.776601684025</v>
      </c>
      <c r="I228" t="str">
        <f t="shared" si="42"/>
        <v>198691.765315923j</v>
      </c>
      <c r="J228" t="str">
        <f>IMDIV(R_1,IMSUM('Opamp and C Stray Using B'!R_1,IMPRODUCT('Opamp and C Stray Using B'!R_f,IMSUM(1,IMPRODUCT(I228,C_s,R_1)))))</f>
        <v>0.199999919148233-0.000127162678395534j</v>
      </c>
      <c r="K228">
        <f t="shared" si="43"/>
        <v>-13.979401842394555</v>
      </c>
      <c r="L228">
        <f t="shared" si="44"/>
        <v>-3.6429433736165084E-2</v>
      </c>
      <c r="M228">
        <f t="shared" si="45"/>
        <v>0.19999991914823301</v>
      </c>
      <c r="N228">
        <f t="shared" si="46"/>
        <v>-1.27162678395534E-4</v>
      </c>
      <c r="O228" t="str">
        <f t="shared" si="40"/>
        <v>0.0999999900000003-316.227734394063j</v>
      </c>
      <c r="P228">
        <f t="shared" si="47"/>
        <v>49.999999565705494</v>
      </c>
      <c r="Q228">
        <f t="shared" si="48"/>
        <v>-89.981881484246344</v>
      </c>
      <c r="R228">
        <f t="shared" si="49"/>
        <v>36.020597723310942</v>
      </c>
      <c r="S228">
        <f t="shared" si="50"/>
        <v>89.981689082017496</v>
      </c>
    </row>
    <row r="229" spans="7:19" x14ac:dyDescent="0.25">
      <c r="G229">
        <f t="shared" si="41"/>
        <v>3.5200000000000031</v>
      </c>
      <c r="H229">
        <f t="shared" si="39"/>
        <v>33113.112148259344</v>
      </c>
      <c r="I229" t="str">
        <f t="shared" si="42"/>
        <v>208055.819724933j</v>
      </c>
      <c r="J229" t="str">
        <f>IMDIV(R_1,IMSUM('Opamp and C Stray Using B'!R_1,IMPRODUCT('Opamp and C Stray Using B'!R_f,IMSUM(1,IMPRODUCT(I229,C_s,R_1)))))</f>
        <v>0.199999911347804-0.00013315566560122j</v>
      </c>
      <c r="K229">
        <f t="shared" si="43"/>
        <v>-13.979402011778784</v>
      </c>
      <c r="L229">
        <f t="shared" si="44"/>
        <v>-3.8146299558537544E-2</v>
      </c>
      <c r="M229">
        <f t="shared" si="45"/>
        <v>0.19999991134780401</v>
      </c>
      <c r="N229">
        <f t="shared" si="46"/>
        <v>-1.3315566560122001E-4</v>
      </c>
      <c r="O229" t="str">
        <f t="shared" si="40"/>
        <v>0.0912010756179524-301.995144497914j</v>
      </c>
      <c r="P229">
        <f t="shared" si="47"/>
        <v>49.599999603918654</v>
      </c>
      <c r="Q229">
        <f t="shared" si="48"/>
        <v>-89.982696951734795</v>
      </c>
      <c r="R229">
        <f t="shared" si="49"/>
        <v>35.620597592139873</v>
      </c>
      <c r="S229">
        <f t="shared" si="50"/>
        <v>89.979156748706671</v>
      </c>
    </row>
    <row r="230" spans="7:19" x14ac:dyDescent="0.25">
      <c r="G230">
        <f t="shared" si="41"/>
        <v>3.5400000000000031</v>
      </c>
      <c r="H230">
        <f t="shared" si="39"/>
        <v>34673.685045253471</v>
      </c>
      <c r="I230" t="str">
        <f t="shared" si="42"/>
        <v>217861.188422109j</v>
      </c>
      <c r="J230" t="str">
        <f>IMDIV(R_1,IMSUM('Opamp and C Stray Using B'!R_1,IMPRODUCT('Opamp and C Stray Using B'!R_f,IMSUM(1,IMPRODUCT(I230,C_s,R_1)))))</f>
        <v>0.199999902794805-0.000139431092822983j</v>
      </c>
      <c r="K230">
        <f t="shared" si="43"/>
        <v>-13.979402197504868</v>
      </c>
      <c r="L230">
        <f t="shared" si="44"/>
        <v>-3.9944078700842746E-2</v>
      </c>
      <c r="M230">
        <f t="shared" si="45"/>
        <v>0.19999990279480501</v>
      </c>
      <c r="N230">
        <f t="shared" si="46"/>
        <v>-1.39431092822983E-4</v>
      </c>
      <c r="O230" t="str">
        <f t="shared" si="40"/>
        <v>0.0831763701919568-288.403126324331j</v>
      </c>
      <c r="P230">
        <f t="shared" si="47"/>
        <v>49.199999638769533</v>
      </c>
      <c r="Q230">
        <f t="shared" si="48"/>
        <v>-89.983475717146959</v>
      </c>
      <c r="R230">
        <f t="shared" si="49"/>
        <v>35.220597441264665</v>
      </c>
      <c r="S230">
        <f t="shared" si="50"/>
        <v>89.976580204152199</v>
      </c>
    </row>
    <row r="231" spans="7:19" x14ac:dyDescent="0.25">
      <c r="G231">
        <f t="shared" si="41"/>
        <v>3.5600000000000032</v>
      </c>
      <c r="H231">
        <f t="shared" si="39"/>
        <v>36307.80547701045</v>
      </c>
      <c r="I231" t="str">
        <f t="shared" si="42"/>
        <v>228128.669909087j</v>
      </c>
      <c r="J231" t="str">
        <f>IMDIV(R_1,IMSUM('Opamp and C Stray Using B'!R_1,IMPRODUCT('Opamp and C Stray Using B'!R_f,IMSUM(1,IMPRODUCT(I231,C_s,R_1)))))</f>
        <v>0.199999893416628-0.000146002270934702j</v>
      </c>
      <c r="K231">
        <f t="shared" si="43"/>
        <v>-13.979402401149502</v>
      </c>
      <c r="L231">
        <f t="shared" si="44"/>
        <v>-4.182658447948237E-2</v>
      </c>
      <c r="M231">
        <f t="shared" si="45"/>
        <v>0.19999989341662799</v>
      </c>
      <c r="N231">
        <f t="shared" si="46"/>
        <v>-1.46002270934702E-4</v>
      </c>
      <c r="O231" t="str">
        <f t="shared" si="40"/>
        <v>0.0758577517485179-275.422849440854j</v>
      </c>
      <c r="P231">
        <f t="shared" si="47"/>
        <v>48.799999670553866</v>
      </c>
      <c r="Q231">
        <f t="shared" si="48"/>
        <v>-89.984219432347516</v>
      </c>
      <c r="R231">
        <f t="shared" si="49"/>
        <v>34.820597269404367</v>
      </c>
      <c r="S231">
        <f t="shared" si="50"/>
        <v>89.973953983173004</v>
      </c>
    </row>
    <row r="232" spans="7:19" x14ac:dyDescent="0.25">
      <c r="G232">
        <f t="shared" si="41"/>
        <v>3.5800000000000032</v>
      </c>
      <c r="H232">
        <f t="shared" si="39"/>
        <v>38018.939632056441</v>
      </c>
      <c r="I232" t="str">
        <f t="shared" si="42"/>
        <v>238880.042890685j</v>
      </c>
      <c r="J232" t="str">
        <f>IMDIV(R_1,IMSUM('Opamp and C Stray Using B'!R_1,IMPRODUCT('Opamp and C Stray Using B'!R_f,IMSUM(1,IMPRODUCT(I232,C_s,R_1)))))</f>
        <v>0.199999883133662-0.000152883138115524j</v>
      </c>
      <c r="K232">
        <f t="shared" si="43"/>
        <v>-13.979402624441406</v>
      </c>
      <c r="L232">
        <f t="shared" si="44"/>
        <v>-4.3797809925309412E-2</v>
      </c>
      <c r="M232">
        <f t="shared" si="45"/>
        <v>0.19999988313366199</v>
      </c>
      <c r="N232">
        <f t="shared" si="46"/>
        <v>-1.5288313811552399E-4</v>
      </c>
      <c r="O232" t="str">
        <f t="shared" si="40"/>
        <v>0.0691830923055917-263.026780992528j</v>
      </c>
      <c r="P232">
        <f t="shared" si="47"/>
        <v>48.399999699541539</v>
      </c>
      <c r="Q232">
        <f t="shared" si="48"/>
        <v>-89.984929674855138</v>
      </c>
      <c r="R232">
        <f t="shared" si="49"/>
        <v>34.420597075100133</v>
      </c>
      <c r="S232">
        <f t="shared" si="50"/>
        <v>89.971272515219553</v>
      </c>
    </row>
    <row r="233" spans="7:19" x14ac:dyDescent="0.25">
      <c r="G233">
        <f t="shared" si="41"/>
        <v>3.6000000000000032</v>
      </c>
      <c r="H233">
        <f t="shared" si="39"/>
        <v>39810.717055350047</v>
      </c>
      <c r="I233" t="str">
        <f t="shared" si="42"/>
        <v>250138.112470459j</v>
      </c>
      <c r="J233" t="str">
        <f>IMDIV(R_1,IMSUM('Opamp and C Stray Using B'!R_1,IMPRODUCT('Opamp and C Stray Using B'!R_f,IMSUM(1,IMPRODUCT(I233,C_s,R_1)))))</f>
        <v>0.199999871858616-0.000160088289411354j</v>
      </c>
      <c r="K233">
        <f t="shared" si="43"/>
        <v>-13.979402869276063</v>
      </c>
      <c r="L233">
        <f t="shared" si="44"/>
        <v>-4.5861936253072194E-2</v>
      </c>
      <c r="M233">
        <f t="shared" si="45"/>
        <v>0.19999987185861601</v>
      </c>
      <c r="N233">
        <f t="shared" si="46"/>
        <v>-1.60088289411354E-4</v>
      </c>
      <c r="O233" t="str">
        <f t="shared" si="40"/>
        <v>0.063095730466947-251.188627302025j</v>
      </c>
      <c r="P233">
        <f t="shared" si="47"/>
        <v>47.99999972597864</v>
      </c>
      <c r="Q233">
        <f t="shared" si="48"/>
        <v>-89.985607951188527</v>
      </c>
      <c r="R233">
        <f t="shared" si="49"/>
        <v>34.020596856702575</v>
      </c>
      <c r="S233">
        <f t="shared" si="50"/>
        <v>89.968530112558398</v>
      </c>
    </row>
    <row r="234" spans="7:19" x14ac:dyDescent="0.25">
      <c r="G234">
        <f t="shared" si="41"/>
        <v>3.6200000000000032</v>
      </c>
      <c r="H234">
        <f t="shared" si="39"/>
        <v>41686.938347033873</v>
      </c>
      <c r="I234" t="str">
        <f t="shared" si="42"/>
        <v>261926.758523384j</v>
      </c>
      <c r="J234" t="str">
        <f>IMDIV(R_1,IMSUM('Opamp and C Stray Using B'!R_1,IMPRODUCT('Opamp and C Stray Using B'!R_f,IMSUM(1,IMPRODUCT(I234,C_s,R_1)))))</f>
        <v>0.199999859495775-0.000167633007689154j</v>
      </c>
      <c r="K234">
        <f t="shared" si="43"/>
        <v>-13.979403137731927</v>
      </c>
      <c r="L234">
        <f t="shared" si="44"/>
        <v>-4.8023341729973142E-2</v>
      </c>
      <c r="M234">
        <f t="shared" si="45"/>
        <v>0.19999985949577501</v>
      </c>
      <c r="N234">
        <f t="shared" si="46"/>
        <v>-1.6763300768915399E-4</v>
      </c>
      <c r="O234" t="str">
        <f t="shared" si="40"/>
        <v>0.0575439904224039-239.883278098106j</v>
      </c>
      <c r="P234">
        <f t="shared" si="47"/>
        <v>47.59999975008958</v>
      </c>
      <c r="Q234">
        <f t="shared" si="48"/>
        <v>-89.98625570006196</v>
      </c>
      <c r="R234">
        <f t="shared" si="49"/>
        <v>33.620596612357652</v>
      </c>
      <c r="S234">
        <f t="shared" si="50"/>
        <v>89.965720958208067</v>
      </c>
    </row>
    <row r="235" spans="7:19" x14ac:dyDescent="0.25">
      <c r="G235">
        <f t="shared" si="41"/>
        <v>3.6400000000000032</v>
      </c>
      <c r="H235">
        <f t="shared" si="39"/>
        <v>43651.58322401694</v>
      </c>
      <c r="I235" t="str">
        <f t="shared" si="42"/>
        <v>274270.98634827j</v>
      </c>
      <c r="J235" t="str">
        <f>IMDIV(R_1,IMSUM('Opamp and C Stray Using B'!R_1,IMPRODUCT('Opamp and C Stray Using B'!R_f,IMSUM(1,IMPRODUCT(I235,C_s,R_1)))))</f>
        <v>0.199999845940191-0.000175533296049659j</v>
      </c>
      <c r="K235">
        <f t="shared" si="43"/>
        <v>-13.979403432087917</v>
      </c>
      <c r="L235">
        <f t="shared" si="44"/>
        <v>-5.0286610962150938E-2</v>
      </c>
      <c r="M235">
        <f t="shared" si="45"/>
        <v>0.19999984594019099</v>
      </c>
      <c r="N235">
        <f t="shared" si="46"/>
        <v>-1.7553329604965901E-4</v>
      </c>
      <c r="O235" t="str">
        <f t="shared" si="40"/>
        <v>0.052480743270748-229.086753254132j</v>
      </c>
      <c r="P235">
        <f t="shared" si="47"/>
        <v>47.199999772078968</v>
      </c>
      <c r="Q235">
        <f t="shared" si="48"/>
        <v>-89.986874295436962</v>
      </c>
      <c r="R235">
        <f t="shared" si="49"/>
        <v>33.220596339991047</v>
      </c>
      <c r="S235">
        <f t="shared" si="50"/>
        <v>89.962839093600891</v>
      </c>
    </row>
    <row r="236" spans="7:19" x14ac:dyDescent="0.25">
      <c r="G236">
        <f t="shared" si="41"/>
        <v>3.6600000000000033</v>
      </c>
      <c r="H236">
        <f t="shared" si="39"/>
        <v>45708.81896148785</v>
      </c>
      <c r="I236" t="str">
        <f t="shared" si="42"/>
        <v>287196.979707352j</v>
      </c>
      <c r="J236" t="str">
        <f>IMDIV(R_1,IMSUM('Opamp and C Stray Using B'!R_1,IMPRODUCT('Opamp and C Stray Using B'!R_f,IMSUM(1,IMPRODUCT(I236,C_s,R_1)))))</f>
        <v>0.199999831076791-0.000183805911767153j</v>
      </c>
      <c r="K236">
        <f t="shared" si="43"/>
        <v>-13.97940375484281</v>
      </c>
      <c r="L236">
        <f t="shared" si="44"/>
        <v>-5.2656544618770985E-2</v>
      </c>
      <c r="M236">
        <f t="shared" si="45"/>
        <v>0.19999983107679101</v>
      </c>
      <c r="N236">
        <f t="shared" si="46"/>
        <v>-1.8380591176715301E-4</v>
      </c>
      <c r="O236" t="str">
        <f t="shared" si="40"/>
        <v>0.0478630069413957-218.776151923669j</v>
      </c>
      <c r="P236">
        <f t="shared" si="47"/>
        <v>46.799999792133548</v>
      </c>
      <c r="Q236">
        <f t="shared" si="48"/>
        <v>-89.987465049436693</v>
      </c>
      <c r="R236">
        <f t="shared" si="49"/>
        <v>32.820596037290741</v>
      </c>
      <c r="S236">
        <f t="shared" si="50"/>
        <v>89.959878405944536</v>
      </c>
    </row>
    <row r="237" spans="7:19" x14ac:dyDescent="0.25">
      <c r="G237">
        <f t="shared" si="41"/>
        <v>3.6800000000000033</v>
      </c>
      <c r="H237">
        <f t="shared" si="39"/>
        <v>47863.009232264194</v>
      </c>
      <c r="I237" t="str">
        <f t="shared" si="42"/>
        <v>300732.156365563j</v>
      </c>
      <c r="J237" t="str">
        <f>IMDIV(R_1,IMSUM('Opamp and C Stray Using B'!R_1,IMPRODUCT('Opamp and C Stray Using B'!R_f,IMSUM(1,IMPRODUCT(I237,C_s,R_1)))))</f>
        <v>0.1999998147794-0.000192468401828231j</v>
      </c>
      <c r="K237">
        <f t="shared" si="43"/>
        <v>-13.979404108736464</v>
      </c>
      <c r="L237">
        <f t="shared" si="44"/>
        <v>-5.5138169614348677E-2</v>
      </c>
      <c r="M237">
        <f t="shared" si="45"/>
        <v>0.19999981477939999</v>
      </c>
      <c r="N237">
        <f t="shared" si="46"/>
        <v>-1.9246840182823101E-4</v>
      </c>
      <c r="O237" t="str">
        <f t="shared" si="40"/>
        <v>0.0436515813185555-208.929603965295j</v>
      </c>
      <c r="P237">
        <f t="shared" si="47"/>
        <v>46.399999810423544</v>
      </c>
      <c r="Q237">
        <f t="shared" si="48"/>
        <v>-89.988029215129089</v>
      </c>
      <c r="R237">
        <f t="shared" si="49"/>
        <v>32.420595701687077</v>
      </c>
      <c r="S237">
        <f t="shared" si="50"/>
        <v>89.956832615256559</v>
      </c>
    </row>
    <row r="238" spans="7:19" x14ac:dyDescent="0.25">
      <c r="G238">
        <f t="shared" si="41"/>
        <v>3.7000000000000033</v>
      </c>
      <c r="H238">
        <f t="shared" si="39"/>
        <v>50118.72336272768</v>
      </c>
      <c r="I238" t="str">
        <f t="shared" si="42"/>
        <v>314905.226247289j</v>
      </c>
      <c r="J238" t="str">
        <f>IMDIV(R_1,IMSUM('Opamp and C Stray Using B'!R_1,IMPRODUCT('Opamp and C Stray Using B'!R_f,IMSUM(1,IMPRODUCT(I238,C_s,R_1)))))</f>
        <v>0.199999796909669-0.000201539140144804j</v>
      </c>
      <c r="K238">
        <f t="shared" si="43"/>
        <v>-13.979404496773114</v>
      </c>
      <c r="L238">
        <f t="shared" si="44"/>
        <v>-5.7736749770888454E-2</v>
      </c>
      <c r="M238">
        <f t="shared" si="45"/>
        <v>0.19999979690966899</v>
      </c>
      <c r="N238">
        <f t="shared" si="46"/>
        <v>-2.01539140144804E-4</v>
      </c>
      <c r="O238" t="str">
        <f t="shared" si="40"/>
        <v>0.0398107154704558-199.526223553604j</v>
      </c>
      <c r="P238">
        <f t="shared" si="47"/>
        <v>45.999999827104176</v>
      </c>
      <c r="Q238">
        <f t="shared" si="48"/>
        <v>-89.988567989184787</v>
      </c>
      <c r="R238">
        <f t="shared" si="49"/>
        <v>32.020595330331062</v>
      </c>
      <c r="S238">
        <f t="shared" si="50"/>
        <v>89.953695261044331</v>
      </c>
    </row>
    <row r="239" spans="7:19" x14ac:dyDescent="0.25">
      <c r="G239">
        <f t="shared" si="41"/>
        <v>3.7200000000000033</v>
      </c>
      <c r="H239">
        <f t="shared" si="39"/>
        <v>52480.746024977721</v>
      </c>
      <c r="I239" t="str">
        <f t="shared" si="42"/>
        <v>329746.252333963j</v>
      </c>
      <c r="J239" t="str">
        <f>IMDIV(R_1,IMSUM('Opamp and C Stray Using B'!R_1,IMPRODUCT('Opamp and C Stray Using B'!R_f,IMSUM(1,IMPRODUCT(I239,C_s,R_1)))))</f>
        <v>0.199999777315902-0.000211037366520146j</v>
      </c>
      <c r="K239">
        <f t="shared" si="43"/>
        <v>-13.979404922246809</v>
      </c>
      <c r="L239">
        <f t="shared" si="44"/>
        <v>-6.0457796982439069E-2</v>
      </c>
      <c r="M239">
        <f t="shared" si="45"/>
        <v>0.19999977731590199</v>
      </c>
      <c r="N239">
        <f t="shared" si="46"/>
        <v>-2.1103736652014601E-4</v>
      </c>
      <c r="O239" t="str">
        <f t="shared" si="40"/>
        <v>0.036307804158753-190.546064878014j</v>
      </c>
      <c r="P239">
        <f t="shared" si="47"/>
        <v>45.599999842317153</v>
      </c>
      <c r="Q239">
        <f t="shared" si="48"/>
        <v>-89.989082514415401</v>
      </c>
      <c r="R239">
        <f t="shared" si="49"/>
        <v>31.620594920070346</v>
      </c>
      <c r="S239">
        <f t="shared" si="50"/>
        <v>89.950459688602166</v>
      </c>
    </row>
    <row r="240" spans="7:19" x14ac:dyDescent="0.25">
      <c r="G240">
        <f t="shared" si="41"/>
        <v>3.7400000000000033</v>
      </c>
      <c r="H240">
        <f t="shared" si="39"/>
        <v>54954.087385762934</v>
      </c>
      <c r="I240" t="str">
        <f t="shared" si="42"/>
        <v>345286.714431689j</v>
      </c>
      <c r="J240" t="str">
        <f>IMDIV(R_1,IMSUM('Opamp and C Stray Using B'!R_1,IMPRODUCT('Opamp and C Stray Using B'!R_f,IMSUM(1,IMPRODUCT(I240,C_s,R_1)))))</f>
        <v>0.199999755831768-0.000220983227450532j</v>
      </c>
      <c r="K240">
        <f t="shared" si="43"/>
        <v>-13.979405388769401</v>
      </c>
      <c r="L240">
        <f t="shared" si="44"/>
        <v>-6.3307082905745077E-2</v>
      </c>
      <c r="M240">
        <f t="shared" si="45"/>
        <v>0.19999975583176799</v>
      </c>
      <c r="N240">
        <f t="shared" si="46"/>
        <v>-2.20983227450532E-4</v>
      </c>
      <c r="O240" t="str">
        <f t="shared" si="40"/>
        <v>0.0331131110517803-181.970079835401j</v>
      </c>
      <c r="P240">
        <f t="shared" si="47"/>
        <v>45.199999856191504</v>
      </c>
      <c r="Q240">
        <f t="shared" si="48"/>
        <v>-89.989573882197618</v>
      </c>
      <c r="R240">
        <f t="shared" si="49"/>
        <v>31.220594467422103</v>
      </c>
      <c r="S240">
        <f t="shared" si="50"/>
        <v>89.94711903489663</v>
      </c>
    </row>
    <row r="241" spans="7:19" x14ac:dyDescent="0.25">
      <c r="G241">
        <f t="shared" si="41"/>
        <v>3.7600000000000033</v>
      </c>
      <c r="H241">
        <f t="shared" si="39"/>
        <v>57543.993733716183</v>
      </c>
      <c r="I241" t="str">
        <f t="shared" si="42"/>
        <v>361559.57594412j</v>
      </c>
      <c r="J241" t="str">
        <f>IMDIV(R_1,IMSUM('Opamp and C Stray Using B'!R_1,IMPRODUCT('Opamp and C Stray Using B'!R_f,IMSUM(1,IMPRODUCT(I241,C_s,R_1)))))</f>
        <v>0.199999732274889-0.000231397818848788j</v>
      </c>
      <c r="K241">
        <f t="shared" si="43"/>
        <v>-13.979405900301181</v>
      </c>
      <c r="L241">
        <f t="shared" si="44"/>
        <v>-6.6290651201758644E-2</v>
      </c>
      <c r="M241">
        <f t="shared" si="45"/>
        <v>0.19999973227488901</v>
      </c>
      <c r="N241">
        <f t="shared" si="46"/>
        <v>-2.31397818848788E-4</v>
      </c>
      <c r="O241" t="str">
        <f t="shared" si="40"/>
        <v>0.0301995162920089-173.780077626862j</v>
      </c>
      <c r="P241">
        <f t="shared" si="47"/>
        <v>44.799999868845113</v>
      </c>
      <c r="Q241">
        <f t="shared" si="48"/>
        <v>-89.990043134788067</v>
      </c>
      <c r="R241">
        <f t="shared" si="49"/>
        <v>30.820593968543932</v>
      </c>
      <c r="S241">
        <f t="shared" si="50"/>
        <v>89.943666214010179</v>
      </c>
    </row>
    <row r="242" spans="7:19" x14ac:dyDescent="0.25">
      <c r="G242">
        <f t="shared" si="41"/>
        <v>3.7800000000000034</v>
      </c>
      <c r="H242">
        <f t="shared" si="39"/>
        <v>60255.958607436274</v>
      </c>
      <c r="I242" t="str">
        <f t="shared" si="42"/>
        <v>378599.353792265j</v>
      </c>
      <c r="J242" t="str">
        <f>IMDIV(R_1,IMSUM('Opamp and C Stray Using B'!R_1,IMPRODUCT('Opamp and C Stray Using B'!R_f,IMSUM(1,IMPRODUCT(I242,C_s,R_1)))))</f>
        <v>0.199999706445291-0.000242303230780255j</v>
      </c>
      <c r="K242">
        <f t="shared" si="43"/>
        <v>-13.979406461184565</v>
      </c>
      <c r="L242">
        <f t="shared" si="44"/>
        <v>-6.9414830353979329E-2</v>
      </c>
      <c r="M242">
        <f t="shared" si="45"/>
        <v>0.199999706445291</v>
      </c>
      <c r="N242">
        <f t="shared" si="46"/>
        <v>-2.4230323078025499E-4</v>
      </c>
      <c r="O242" t="str">
        <f t="shared" si="40"/>
        <v>0.0275422862748036-165.958686172873j</v>
      </c>
      <c r="P242">
        <f t="shared" si="47"/>
        <v>44.399999880385302</v>
      </c>
      <c r="Q242">
        <f t="shared" si="48"/>
        <v>-89.990491267534168</v>
      </c>
      <c r="R242">
        <f t="shared" si="49"/>
        <v>30.420593419200735</v>
      </c>
      <c r="S242">
        <f t="shared" si="50"/>
        <v>89.940093902111855</v>
      </c>
    </row>
    <row r="243" spans="7:19" x14ac:dyDescent="0.25">
      <c r="G243">
        <f t="shared" si="41"/>
        <v>3.8000000000000034</v>
      </c>
      <c r="H243">
        <f t="shared" si="39"/>
        <v>63095.734448019837</v>
      </c>
      <c r="I243" t="str">
        <f t="shared" si="42"/>
        <v>396442.191629503j</v>
      </c>
      <c r="J243" t="str">
        <f>IMDIV(R_1,IMSUM('Opamp and C Stray Using B'!R_1,IMPRODUCT('Opamp and C Stray Using B'!R_f,IMSUM(1,IMPRODUCT(I243,C_s,R_1)))))</f>
        <v>0.199999678123708-0.000253722594305785j</v>
      </c>
      <c r="K243">
        <f t="shared" si="43"/>
        <v>-13.979407076180868</v>
      </c>
      <c r="L243">
        <f t="shared" si="44"/>
        <v>-7.2686247090773135E-2</v>
      </c>
      <c r="M243">
        <f t="shared" si="45"/>
        <v>0.199999678123708</v>
      </c>
      <c r="N243">
        <f t="shared" si="46"/>
        <v>-2.5372259430578499E-4</v>
      </c>
      <c r="O243" t="str">
        <f t="shared" si="40"/>
        <v>0.0251188636841381-158.489315265039j</v>
      </c>
      <c r="P243">
        <f t="shared" si="47"/>
        <v>43.999999890910118</v>
      </c>
      <c r="Q243">
        <f t="shared" si="48"/>
        <v>-89.990919230985341</v>
      </c>
      <c r="R243">
        <f t="shared" si="49"/>
        <v>30.020592814729248</v>
      </c>
      <c r="S243">
        <f t="shared" si="50"/>
        <v>89.936394521923887</v>
      </c>
    </row>
    <row r="244" spans="7:19" x14ac:dyDescent="0.25">
      <c r="G244">
        <f t="shared" si="41"/>
        <v>3.8200000000000034</v>
      </c>
      <c r="H244">
        <f t="shared" si="39"/>
        <v>66069.344800760126</v>
      </c>
      <c r="I244" t="str">
        <f t="shared" si="42"/>
        <v>415125.936507118j</v>
      </c>
      <c r="J244" t="str">
        <f>IMDIV(R_1,IMSUM('Opamp and C Stray Using B'!R_1,IMPRODUCT('Opamp and C Stray Using B'!R_f,IMSUM(1,IMPRODUCT(I244,C_s,R_1)))))</f>
        <v>0.199999647069718-0.000265680130530911j</v>
      </c>
      <c r="K244">
        <f t="shared" si="43"/>
        <v>-13.979407750510845</v>
      </c>
      <c r="L244">
        <f t="shared" si="44"/>
        <v>-7.6111840440128864E-2</v>
      </c>
      <c r="M244">
        <f t="shared" si="45"/>
        <v>0.19999964706971801</v>
      </c>
      <c r="N244">
        <f t="shared" si="46"/>
        <v>-2.6568013053091102E-4</v>
      </c>
      <c r="O244" t="str">
        <f t="shared" si="40"/>
        <v>0.0229086760028699-151.356121376251j</v>
      </c>
      <c r="P244">
        <f t="shared" si="47"/>
        <v>43.599999900508806</v>
      </c>
      <c r="Q244">
        <f t="shared" si="48"/>
        <v>-89.991327932909243</v>
      </c>
      <c r="R244">
        <f t="shared" si="49"/>
        <v>29.620592149997961</v>
      </c>
      <c r="S244">
        <f t="shared" si="50"/>
        <v>89.932560226650622</v>
      </c>
    </row>
    <row r="245" spans="7:19" x14ac:dyDescent="0.25">
      <c r="G245">
        <f t="shared" si="41"/>
        <v>3.8400000000000034</v>
      </c>
      <c r="H245">
        <f t="shared" si="39"/>
        <v>69183.097091894306</v>
      </c>
      <c r="I245" t="str">
        <f t="shared" si="42"/>
        <v>434690.219152969j</v>
      </c>
      <c r="J245" t="str">
        <f>IMDIV(R_1,IMSUM('Opamp and C Stray Using B'!R_1,IMPRODUCT('Opamp and C Stray Using B'!R_f,IMSUM(1,IMPRODUCT(I245,C_s,R_1)))))</f>
        <v>0.199999613019707-0.000278201201964947j</v>
      </c>
      <c r="K245">
        <f t="shared" si="43"/>
        <v>-13.979408489898805</v>
      </c>
      <c r="L245">
        <f t="shared" si="44"/>
        <v>-7.9698876446632205E-2</v>
      </c>
      <c r="M245">
        <f t="shared" si="45"/>
        <v>0.19999961301970701</v>
      </c>
      <c r="N245">
        <f t="shared" si="46"/>
        <v>-2.7820120196494699E-4</v>
      </c>
      <c r="O245" t="str">
        <f t="shared" si="40"/>
        <v>0.0208929608720242-144.54397405464j</v>
      </c>
      <c r="P245">
        <f t="shared" si="47"/>
        <v>43.199999909262957</v>
      </c>
      <c r="Q245">
        <f t="shared" si="48"/>
        <v>-89.991718240217267</v>
      </c>
      <c r="R245">
        <f t="shared" si="49"/>
        <v>29.220591419364151</v>
      </c>
      <c r="S245">
        <f t="shared" si="50"/>
        <v>89.928582883336105</v>
      </c>
    </row>
    <row r="246" spans="7:19" x14ac:dyDescent="0.25">
      <c r="G246">
        <f t="shared" si="41"/>
        <v>3.8600000000000034</v>
      </c>
      <c r="H246">
        <f t="shared" si="39"/>
        <v>72443.596007499684</v>
      </c>
      <c r="I246" t="str">
        <f t="shared" si="42"/>
        <v>455176.538033576j</v>
      </c>
      <c r="J246" t="str">
        <f>IMDIV(R_1,IMSUM('Opamp and C Stray Using B'!R_1,IMPRODUCT('Opamp and C Stray Using B'!R_f,IMSUM(1,IMPRODUCT(I246,C_s,R_1)))))</f>
        <v>0.199999575684626-0.000291312366298598j</v>
      </c>
      <c r="K246">
        <f t="shared" si="43"/>
        <v>-13.979409300621423</v>
      </c>
      <c r="L246">
        <f t="shared" si="44"/>
        <v>-8.3454963581840735E-2</v>
      </c>
      <c r="M246">
        <f t="shared" si="45"/>
        <v>0.19999957568462601</v>
      </c>
      <c r="N246">
        <f t="shared" si="46"/>
        <v>-2.9131236629859801E-4</v>
      </c>
      <c r="O246" t="str">
        <f t="shared" si="40"/>
        <v>0.0190546068165541-138.038423830019j</v>
      </c>
      <c r="P246">
        <f t="shared" si="47"/>
        <v>42.799999917246794</v>
      </c>
      <c r="Q246">
        <f t="shared" si="48"/>
        <v>-89.992090980803425</v>
      </c>
      <c r="R246">
        <f t="shared" si="49"/>
        <v>28.82059061662537</v>
      </c>
      <c r="S246">
        <f t="shared" si="50"/>
        <v>89.924454055614731</v>
      </c>
    </row>
    <row r="247" spans="7:19" x14ac:dyDescent="0.25">
      <c r="G247">
        <f t="shared" si="41"/>
        <v>3.8800000000000034</v>
      </c>
      <c r="H247">
        <f t="shared" si="39"/>
        <v>75857.757502919063</v>
      </c>
      <c r="I247" t="str">
        <f t="shared" si="42"/>
        <v>476628.347377933j</v>
      </c>
      <c r="J247" t="str">
        <f>IMDIV(R_1,IMSUM('Opamp and C Stray Using B'!R_1,IMPRODUCT('Opamp and C Stray Using B'!R_f,IMSUM(1,IMPRODUCT(I247,C_s,R_1)))))</f>
        <v>0.199999534747539-0.00030504143271384j</v>
      </c>
      <c r="K247">
        <f t="shared" si="43"/>
        <v>-13.979410189560957</v>
      </c>
      <c r="L247">
        <f t="shared" si="44"/>
        <v>-8.7388068880723674E-2</v>
      </c>
      <c r="M247">
        <f t="shared" si="45"/>
        <v>0.19999953474753901</v>
      </c>
      <c r="N247">
        <f t="shared" si="46"/>
        <v>-3.0504143271384E-4</v>
      </c>
      <c r="O247" t="str">
        <f t="shared" si="40"/>
        <v>0.0173780079854983-131.825671564772j</v>
      </c>
      <c r="P247">
        <f t="shared" si="47"/>
        <v>42.399999924528196</v>
      </c>
      <c r="Q247">
        <f t="shared" si="48"/>
        <v>-89.992446945300358</v>
      </c>
      <c r="R247">
        <f t="shared" si="49"/>
        <v>28.420589734967237</v>
      </c>
      <c r="S247">
        <f t="shared" si="50"/>
        <v>89.920164985818914</v>
      </c>
    </row>
    <row r="248" spans="7:19" x14ac:dyDescent="0.25">
      <c r="G248">
        <f t="shared" si="41"/>
        <v>3.9000000000000035</v>
      </c>
      <c r="H248">
        <f t="shared" si="39"/>
        <v>79432.823472428863</v>
      </c>
      <c r="I248" t="str">
        <f t="shared" si="42"/>
        <v>499091.149349755j</v>
      </c>
      <c r="J248" t="str">
        <f>IMDIV(R_1,IMSUM('Opamp and C Stray Using B'!R_1,IMPRODUCT('Opamp and C Stray Using B'!R_f,IMSUM(1,IMPRODUCT(I248,C_s,R_1)))))</f>
        <v>0.199999489860936-0.000319417520844989j</v>
      </c>
      <c r="K248">
        <f t="shared" si="43"/>
        <v>-13.979411164263523</v>
      </c>
      <c r="L248">
        <f t="shared" si="44"/>
        <v>-9.1506534838328976E-2</v>
      </c>
      <c r="M248">
        <f t="shared" si="45"/>
        <v>0.19999948986093599</v>
      </c>
      <c r="N248">
        <f t="shared" si="46"/>
        <v>-3.19417520844989E-4</v>
      </c>
      <c r="O248" t="str">
        <f t="shared" si="40"/>
        <v>0.0158489316734222-125.892539184153j</v>
      </c>
      <c r="P248">
        <f t="shared" si="47"/>
        <v>41.999999931168865</v>
      </c>
      <c r="Q248">
        <f t="shared" si="48"/>
        <v>-89.992786888756356</v>
      </c>
      <c r="R248">
        <f t="shared" si="49"/>
        <v>28.020588766905341</v>
      </c>
      <c r="S248">
        <f t="shared" si="50"/>
        <v>89.915706576405313</v>
      </c>
    </row>
    <row r="249" spans="7:19" x14ac:dyDescent="0.25">
      <c r="G249">
        <f t="shared" si="41"/>
        <v>3.9200000000000035</v>
      </c>
      <c r="H249">
        <f t="shared" si="39"/>
        <v>83176.377110267815</v>
      </c>
      <c r="I249" t="str">
        <f t="shared" si="42"/>
        <v>522612.590563663j</v>
      </c>
      <c r="J249" t="str">
        <f>IMDIV(R_1,IMSUM('Opamp and C Stray Using B'!R_1,IMPRODUCT('Opamp and C Stray Using B'!R_f,IMSUM(1,IMPRODUCT(I249,C_s,R_1)))))</f>
        <v>0.199999440643777-0.000334471122515608j</v>
      </c>
      <c r="K249">
        <f t="shared" si="43"/>
        <v>-13.979412233003409</v>
      </c>
      <c r="L249">
        <f t="shared" si="44"/>
        <v>-9.5819097102497808E-2</v>
      </c>
      <c r="M249">
        <f t="shared" si="45"/>
        <v>0.199999440643777</v>
      </c>
      <c r="N249">
        <f t="shared" si="46"/>
        <v>-3.3447112251560799E-4</v>
      </c>
      <c r="O249" t="str">
        <f t="shared" si="40"/>
        <v>0.0144543974985294-120.226441723939j</v>
      </c>
      <c r="P249">
        <f t="shared" si="47"/>
        <v>41.599999937225235</v>
      </c>
      <c r="Q249">
        <f t="shared" si="48"/>
        <v>-89.993111532236966</v>
      </c>
      <c r="R249">
        <f t="shared" si="49"/>
        <v>27.620587704221826</v>
      </c>
      <c r="S249">
        <f t="shared" si="50"/>
        <v>89.911069370660542</v>
      </c>
    </row>
    <row r="250" spans="7:19" x14ac:dyDescent="0.25">
      <c r="G250">
        <f t="shared" si="41"/>
        <v>3.9400000000000035</v>
      </c>
      <c r="H250">
        <f t="shared" si="39"/>
        <v>87096.358995608811</v>
      </c>
      <c r="I250" t="str">
        <f t="shared" si="42"/>
        <v>547242.563150048j</v>
      </c>
      <c r="J250" t="str">
        <f>IMDIV(R_1,IMSUM('Opamp and C Stray Using B'!R_1,IMPRODUCT('Opamp and C Stray Using B'!R_f,IMSUM(1,IMPRODUCT(I250,C_s,R_1)))))</f>
        <v>0.199999386678263-0.0003502341663816j</v>
      </c>
      <c r="K250">
        <f t="shared" si="43"/>
        <v>-13.979413404853091</v>
      </c>
      <c r="L250">
        <f t="shared" si="44"/>
        <v>-0.10033490300008216</v>
      </c>
      <c r="M250">
        <f t="shared" si="45"/>
        <v>0.199999386678263</v>
      </c>
      <c r="N250">
        <f t="shared" si="46"/>
        <v>-3.5023416638160001E-4</v>
      </c>
      <c r="O250" t="str">
        <f t="shared" si="40"/>
        <v>0.0131825672117838-114.815360636126j</v>
      </c>
      <c r="P250">
        <f t="shared" si="47"/>
        <v>41.199999942748761</v>
      </c>
      <c r="Q250">
        <f t="shared" si="48"/>
        <v>-89.993421564354477</v>
      </c>
      <c r="R250">
        <f t="shared" si="49"/>
        <v>27.22058653789567</v>
      </c>
      <c r="S250">
        <f t="shared" si="50"/>
        <v>89.906243532645433</v>
      </c>
    </row>
    <row r="251" spans="7:19" x14ac:dyDescent="0.25">
      <c r="G251">
        <f t="shared" si="41"/>
        <v>3.9600000000000035</v>
      </c>
      <c r="H251">
        <f t="shared" si="39"/>
        <v>91201.083935591741</v>
      </c>
      <c r="I251" t="str">
        <f t="shared" si="42"/>
        <v>573033.310582962j</v>
      </c>
      <c r="J251" t="str">
        <f>IMDIV(R_1,IMSUM('Opamp and C Stray Using B'!R_1,IMPRODUCT('Opamp and C Stray Using B'!R_f,IMSUM(1,IMPRODUCT(I251,C_s,R_1)))))</f>
        <v>0.199999327506287-0.00036674008561694j</v>
      </c>
      <c r="K251">
        <f t="shared" si="43"/>
        <v>-13.979414689760358</v>
      </c>
      <c r="L251">
        <f t="shared" si="44"/>
        <v>-0.10506353093590461</v>
      </c>
      <c r="M251">
        <f t="shared" si="45"/>
        <v>0.19999932750628699</v>
      </c>
      <c r="N251">
        <f t="shared" si="46"/>
        <v>-3.6674008561694003E-4</v>
      </c>
      <c r="O251" t="str">
        <f t="shared" si="40"/>
        <v>0.01202264420163-109.647818296061j</v>
      </c>
      <c r="P251">
        <f t="shared" si="47"/>
        <v>40.799999947786254</v>
      </c>
      <c r="Q251">
        <f t="shared" si="48"/>
        <v>-89.99371764272847</v>
      </c>
      <c r="R251">
        <f t="shared" si="49"/>
        <v>26.820585258025897</v>
      </c>
      <c r="S251">
        <f t="shared" si="50"/>
        <v>89.901218826335622</v>
      </c>
    </row>
    <row r="252" spans="7:19" x14ac:dyDescent="0.25">
      <c r="G252">
        <f t="shared" si="41"/>
        <v>3.9800000000000035</v>
      </c>
      <c r="H252">
        <f t="shared" si="39"/>
        <v>95499.258602144386</v>
      </c>
      <c r="I252" t="str">
        <f t="shared" si="42"/>
        <v>600039.538495537j</v>
      </c>
      <c r="J252" t="str">
        <f>IMDIV(R_1,IMSUM('Opamp and C Stray Using B'!R_1,IMPRODUCT('Opamp and C Stray Using B'!R_f,IMSUM(1,IMPRODUCT(I252,C_s,R_1)))))</f>
        <v>0.199999262625546-0.000384023888784897j</v>
      </c>
      <c r="K252">
        <f t="shared" si="43"/>
        <v>-13.979416098632708</v>
      </c>
      <c r="L252">
        <f t="shared" si="44"/>
        <v>-0.11001501070554055</v>
      </c>
      <c r="M252">
        <f t="shared" si="45"/>
        <v>0.19999926262554599</v>
      </c>
      <c r="N252">
        <f t="shared" si="46"/>
        <v>-3.8402388878489702E-4</v>
      </c>
      <c r="O252" t="str">
        <f t="shared" si="40"/>
        <v>0.0109647818412052-104.712853656936j</v>
      </c>
      <c r="P252">
        <f t="shared" si="47"/>
        <v>40.399999952380526</v>
      </c>
      <c r="Q252">
        <f t="shared" si="48"/>
        <v>-89.994000395380837</v>
      </c>
      <c r="R252">
        <f t="shared" si="49"/>
        <v>26.420583853747818</v>
      </c>
      <c r="S252">
        <f t="shared" si="50"/>
        <v>89.895984593913624</v>
      </c>
    </row>
    <row r="253" spans="7:19" x14ac:dyDescent="0.25">
      <c r="G253">
        <f t="shared" si="41"/>
        <v>4.0000000000000036</v>
      </c>
      <c r="H253">
        <f t="shared" si="39"/>
        <v>100000.00000000099</v>
      </c>
      <c r="I253" t="str">
        <f t="shared" si="42"/>
        <v>628318.530717965j</v>
      </c>
      <c r="J253" t="str">
        <f>IMDIV(R_1,IMSUM('Opamp and C Stray Using B'!R_1,IMPRODUCT('Opamp and C Stray Using B'!R_f,IMSUM(1,IMPRODUCT(I253,C_s,R_1)))))</f>
        <v>0.199999191485276-0.000402122234044189j</v>
      </c>
      <c r="K253">
        <f t="shared" si="43"/>
        <v>-13.979417643430022</v>
      </c>
      <c r="L253">
        <f t="shared" si="44"/>
        <v>-0.11519984476492266</v>
      </c>
      <c r="M253">
        <f t="shared" si="45"/>
        <v>0.19999919148527601</v>
      </c>
      <c r="N253">
        <f t="shared" si="46"/>
        <v>-4.0212223404418901E-4</v>
      </c>
      <c r="O253" t="str">
        <f t="shared" si="40"/>
        <v>0.0099999998999998-99.999998999999j</v>
      </c>
      <c r="P253">
        <f t="shared" si="47"/>
        <v>39.999999956570463</v>
      </c>
      <c r="Q253">
        <f t="shared" si="48"/>
        <v>-89.994270422067785</v>
      </c>
      <c r="R253">
        <f t="shared" si="49"/>
        <v>26.020582313140441</v>
      </c>
      <c r="S253">
        <f t="shared" si="50"/>
        <v>89.890529733167298</v>
      </c>
    </row>
    <row r="254" spans="7:19" x14ac:dyDescent="0.25">
      <c r="G254">
        <f t="shared" si="41"/>
        <v>4.0200000000000031</v>
      </c>
      <c r="H254">
        <f t="shared" si="39"/>
        <v>104712.85480509077</v>
      </c>
      <c r="I254" t="str">
        <f t="shared" si="42"/>
        <v>657930.270784176j</v>
      </c>
      <c r="J254" t="str">
        <f>IMDIV(R_1,IMSUM('Opamp and C Stray Using B'!R_1,IMPRODUCT('Opamp and C Stray Using B'!R_f,IMSUM(1,IMPRODUCT(I254,C_s,R_1)))))</f>
        <v>0.19999911348158-0.000421073506846498j</v>
      </c>
      <c r="K254">
        <f t="shared" si="43"/>
        <v>-13.979419337265927</v>
      </c>
      <c r="L254">
        <f t="shared" si="44"/>
        <v>-0.12062903050178889</v>
      </c>
      <c r="M254">
        <f t="shared" si="45"/>
        <v>0.19999911348158</v>
      </c>
      <c r="N254">
        <f t="shared" si="46"/>
        <v>-4.2107350684649798E-4</v>
      </c>
      <c r="O254" t="str">
        <f t="shared" si="40"/>
        <v>0.00912010831038254-95.4992577311791j</v>
      </c>
      <c r="P254">
        <f t="shared" si="47"/>
        <v>39.599999960391791</v>
      </c>
      <c r="Q254">
        <f t="shared" si="48"/>
        <v>-89.994528295552101</v>
      </c>
      <c r="R254">
        <f t="shared" si="49"/>
        <v>25.620580623125864</v>
      </c>
      <c r="S254">
        <f t="shared" si="50"/>
        <v>89.88484267394611</v>
      </c>
    </row>
    <row r="255" spans="7:19" x14ac:dyDescent="0.25">
      <c r="G255">
        <f t="shared" si="41"/>
        <v>4.0400000000000027</v>
      </c>
      <c r="H255">
        <f t="shared" si="39"/>
        <v>109647.81961431933</v>
      </c>
      <c r="I255" t="str">
        <f t="shared" si="42"/>
        <v>688937.569164969j</v>
      </c>
      <c r="J255" t="str">
        <f>IMDIV(R_1,IMSUM('Opamp and C Stray Using B'!R_1,IMPRODUCT('Opamp and C Stray Using B'!R_f,IMSUM(1,IMPRODUCT(I255,C_s,R_1)))))</f>
        <v>0.199999027952297-0.000440917901288999j</v>
      </c>
      <c r="K255">
        <f t="shared" si="43"/>
        <v>-13.979421194519354</v>
      </c>
      <c r="L255">
        <f t="shared" si="44"/>
        <v>-0.12631408355610863</v>
      </c>
      <c r="M255">
        <f t="shared" si="45"/>
        <v>0.19999902795229699</v>
      </c>
      <c r="N255">
        <f t="shared" si="46"/>
        <v>-4.4091790128899898E-4</v>
      </c>
      <c r="O255" t="str">
        <f t="shared" si="40"/>
        <v>0.00831763764184354-91.201083177013j</v>
      </c>
      <c r="P255">
        <f t="shared" si="47"/>
        <v>39.19999996387692</v>
      </c>
      <c r="Q255">
        <f t="shared" si="48"/>
        <v>-89.994774562817966</v>
      </c>
      <c r="R255">
        <f t="shared" si="49"/>
        <v>25.220578769357566</v>
      </c>
      <c r="S255">
        <f t="shared" si="50"/>
        <v>89.878911353625924</v>
      </c>
    </row>
    <row r="256" spans="7:19" x14ac:dyDescent="0.25">
      <c r="G256">
        <f t="shared" si="41"/>
        <v>4.0600000000000023</v>
      </c>
      <c r="H256">
        <f t="shared" si="39"/>
        <v>114815.36214968891</v>
      </c>
      <c r="I256" t="str">
        <f t="shared" si="42"/>
        <v>721406.196497429j</v>
      </c>
      <c r="J256" t="str">
        <f>IMDIV(R_1,IMSUM('Opamp and C Stray Using B'!R_1,IMPRODUCT('Opamp and C Stray Using B'!R_f,IMSUM(1,IMPRODUCT(I256,C_s,R_1)))))</f>
        <v>0.199998934171388-0.000461697505293188j</v>
      </c>
      <c r="K256">
        <f t="shared" si="43"/>
        <v>-13.979423230956289</v>
      </c>
      <c r="L256">
        <f t="shared" si="44"/>
        <v>-0.13226706223882506</v>
      </c>
      <c r="M256">
        <f t="shared" si="45"/>
        <v>0.199998934171388</v>
      </c>
      <c r="N256">
        <f t="shared" si="46"/>
        <v>-4.61697505293188E-4</v>
      </c>
      <c r="O256" t="str">
        <f t="shared" si="40"/>
        <v>0.00758577569274775-87.0963583349141j</v>
      </c>
      <c r="P256">
        <f t="shared" si="47"/>
        <v>38.799999967055342</v>
      </c>
      <c r="Q256">
        <f t="shared" si="48"/>
        <v>-89.995009746231219</v>
      </c>
      <c r="R256">
        <f t="shared" si="49"/>
        <v>24.820576736099053</v>
      </c>
      <c r="S256">
        <f t="shared" si="50"/>
        <v>89.872723191529957</v>
      </c>
    </row>
    <row r="257" spans="7:19" x14ac:dyDescent="0.25">
      <c r="G257">
        <f t="shared" si="41"/>
        <v>4.0800000000000018</v>
      </c>
      <c r="H257">
        <f t="shared" si="39"/>
        <v>120226.44346174195</v>
      </c>
      <c r="I257" t="str">
        <f t="shared" si="42"/>
        <v>755405.023093274j</v>
      </c>
      <c r="J257" t="str">
        <f>IMDIV(R_1,IMSUM('Opamp and C Stray Using B'!R_1,IMPRODUCT('Opamp and C Stray Using B'!R_f,IMSUM(1,IMPRODUCT(I257,C_s,R_1)))))</f>
        <v>0.199998831342767-0.000483456389789155j</v>
      </c>
      <c r="K257">
        <f t="shared" si="43"/>
        <v>-13.979425463863898</v>
      </c>
      <c r="L257">
        <f t="shared" si="44"/>
        <v>-0.13850059310057108</v>
      </c>
      <c r="M257">
        <f t="shared" si="45"/>
        <v>0.199998831342767</v>
      </c>
      <c r="N257">
        <f t="shared" si="46"/>
        <v>-4.83456389789155E-4</v>
      </c>
      <c r="O257" t="str">
        <f t="shared" si="40"/>
        <v>0.00691830966132627-83.1763765348267j</v>
      </c>
      <c r="P257">
        <f t="shared" si="47"/>
        <v>38.399999969954109</v>
      </c>
      <c r="Q257">
        <f t="shared" si="48"/>
        <v>-89.995234344647386</v>
      </c>
      <c r="R257">
        <f t="shared" si="49"/>
        <v>24.420574506090212</v>
      </c>
      <c r="S257">
        <f t="shared" si="50"/>
        <v>89.86626506225204</v>
      </c>
    </row>
    <row r="258" spans="7:19" x14ac:dyDescent="0.25">
      <c r="G258">
        <f t="shared" si="41"/>
        <v>4.1000000000000014</v>
      </c>
      <c r="H258">
        <f t="shared" si="39"/>
        <v>125892.54117941715</v>
      </c>
      <c r="I258" t="str">
        <f t="shared" si="42"/>
        <v>791006.165022015j</v>
      </c>
      <c r="J258" t="str">
        <f>IMDIV(R_1,IMSUM('Opamp and C Stray Using B'!R_1,IMPRODUCT('Opamp and C Stray Using B'!R_f,IMSUM(1,IMPRODUCT(I258,C_s,R_1)))))</f>
        <v>0.199998718593548-0.000506240702092796j</v>
      </c>
      <c r="K258">
        <f t="shared" si="43"/>
        <v>-13.979427912197069</v>
      </c>
      <c r="L258">
        <f t="shared" si="44"/>
        <v>-0.14502789770442609</v>
      </c>
      <c r="M258">
        <f t="shared" si="45"/>
        <v>0.19999871859354801</v>
      </c>
      <c r="N258">
        <f t="shared" si="46"/>
        <v>-5.0624070209279604E-4</v>
      </c>
      <c r="O258" t="str">
        <f t="shared" si="40"/>
        <v>0.00630957340499119-79.4328229712407j</v>
      </c>
      <c r="P258">
        <f t="shared" si="47"/>
        <v>37.999999972597848</v>
      </c>
      <c r="Q258">
        <f t="shared" si="48"/>
        <v>-89.995448834469798</v>
      </c>
      <c r="R258">
        <f t="shared" si="49"/>
        <v>24.020572060400781</v>
      </c>
      <c r="S258">
        <f t="shared" si="50"/>
        <v>89.859523267825779</v>
      </c>
    </row>
    <row r="259" spans="7:19" x14ac:dyDescent="0.25">
      <c r="G259">
        <f t="shared" si="41"/>
        <v>4.120000000000001</v>
      </c>
      <c r="H259">
        <f t="shared" ref="H259:H322" si="51">$B$3*10^G259</f>
        <v>131825.67385564116</v>
      </c>
      <c r="I259" t="str">
        <f t="shared" si="42"/>
        <v>828285.137078813j</v>
      </c>
      <c r="J259" t="str">
        <f>IMDIV(R_1,IMSUM('Opamp and C Stray Using B'!R_1,IMPRODUCT('Opamp and C Stray Using B'!R_f,IMSUM(1,IMPRODUCT(I259,C_s,R_1)))))</f>
        <v>0.199998594966633-0.000530098763672024j</v>
      </c>
      <c r="K259">
        <f t="shared" si="43"/>
        <v>-13.979430596739459</v>
      </c>
      <c r="L259">
        <f t="shared" si="44"/>
        <v>-0.15186282065931611</v>
      </c>
      <c r="M259">
        <f t="shared" si="45"/>
        <v>0.199998594966633</v>
      </c>
      <c r="N259">
        <f t="shared" si="46"/>
        <v>-5.3009876367202395E-4</v>
      </c>
      <c r="O259" t="str">
        <f t="shared" ref="O259:O322" si="52">IMDIV(Aolv,IMSUM(1,IMDIV(I259,wc)))</f>
        <v>0.00575439934025843-75.8577570664024j</v>
      </c>
      <c r="P259">
        <f t="shared" si="47"/>
        <v>37.599999975008942</v>
      </c>
      <c r="Q259">
        <f t="shared" si="48"/>
        <v>-89.99565367066009</v>
      </c>
      <c r="R259">
        <f t="shared" si="49"/>
        <v>23.620569378269483</v>
      </c>
      <c r="S259">
        <f t="shared" si="50"/>
        <v>89.852483508680592</v>
      </c>
    </row>
    <row r="260" spans="7:19" x14ac:dyDescent="0.25">
      <c r="G260">
        <f t="shared" ref="G260:G323" si="53">G259+(1/ppd)</f>
        <v>4.1400000000000006</v>
      </c>
      <c r="H260">
        <f t="shared" si="51"/>
        <v>138038.4264602889</v>
      </c>
      <c r="I260" t="str">
        <f t="shared" ref="I260:I323" si="54">COMPLEX(0,H260*2*PI(),"j")</f>
        <v>867321.012961477j</v>
      </c>
      <c r="J260" t="str">
        <f>IMDIV(R_1,IMSUM('Opamp and C Stray Using B'!R_1,IMPRODUCT('Opamp and C Stray Using B'!R_f,IMSUM(1,IMPRODUCT(I260,C_s,R_1)))))</f>
        <v>0.199998459412593-0.000555081172507086j</v>
      </c>
      <c r="K260">
        <f t="shared" ref="K260:K323" si="55">20*LOG(IMABS(J260))</f>
        <v>-13.9794335402797</v>
      </c>
      <c r="L260">
        <f t="shared" ref="L260:L323" si="56">DEGREES(IMARGUMENT(J260))</f>
        <v>-0.15901985897329199</v>
      </c>
      <c r="M260">
        <f t="shared" ref="M260:M323" si="57">IMREAL(J260)</f>
        <v>0.199998459412593</v>
      </c>
      <c r="N260">
        <f t="shared" ref="N260:N323" si="58">IMAGINARY(J260)</f>
        <v>-5.55081172507086E-4</v>
      </c>
      <c r="O260" t="str">
        <f t="shared" si="52"/>
        <v>0.0052480745749554-72.4435956273093j</v>
      </c>
      <c r="P260">
        <f t="shared" ref="P260:P323" si="59">20*LOG(IMABS(O260))</f>
        <v>37.199999977207867</v>
      </c>
      <c r="Q260">
        <f t="shared" ref="Q260:Q323" si="60">DEGREES(IMARGUMENT(O260))</f>
        <v>-89.99584928770328</v>
      </c>
      <c r="R260">
        <f t="shared" ref="R260:R323" si="61">P260+K260</f>
        <v>23.220566436928166</v>
      </c>
      <c r="S260">
        <f t="shared" ref="S260:S323" si="62">(Q260+L260)-(-180)</f>
        <v>89.845130853323425</v>
      </c>
    </row>
    <row r="261" spans="7:19" x14ac:dyDescent="0.25">
      <c r="G261">
        <f t="shared" si="53"/>
        <v>4.16</v>
      </c>
      <c r="H261">
        <f t="shared" si="51"/>
        <v>144543.9770745929</v>
      </c>
      <c r="I261" t="str">
        <f t="shared" si="54"/>
        <v>908196.592996385j</v>
      </c>
      <c r="J261" t="str">
        <f>IMDIV(R_1,IMSUM('Opamp and C Stray Using B'!R_1,IMPRODUCT('Opamp and C Stray Using B'!R_f,IMSUM(1,IMPRODUCT(I261,C_s,R_1)))))</f>
        <v>0.199998310780754-0.000581240910259563j</v>
      </c>
      <c r="K261">
        <f t="shared" si="55"/>
        <v>-13.979436767805142</v>
      </c>
      <c r="L261">
        <f t="shared" si="56"/>
        <v>-0.16651419278872912</v>
      </c>
      <c r="M261">
        <f t="shared" si="57"/>
        <v>0.199998310780754</v>
      </c>
      <c r="N261">
        <f t="shared" si="58"/>
        <v>-5.8124091025956305E-4</v>
      </c>
      <c r="O261" t="str">
        <f t="shared" si="52"/>
        <v>0.00478630090031769-69.1830967607624j</v>
      </c>
      <c r="P261">
        <f t="shared" si="59"/>
        <v>36.799999979213339</v>
      </c>
      <c r="Q261">
        <f t="shared" si="60"/>
        <v>-89.996036100529324</v>
      </c>
      <c r="R261">
        <f t="shared" si="61"/>
        <v>22.820563211408199</v>
      </c>
      <c r="S261">
        <f t="shared" si="62"/>
        <v>89.837449706681952</v>
      </c>
    </row>
    <row r="262" spans="7:19" x14ac:dyDescent="0.25">
      <c r="G262">
        <f t="shared" si="53"/>
        <v>4.18</v>
      </c>
      <c r="H262">
        <f t="shared" si="51"/>
        <v>151356.12484362096</v>
      </c>
      <c r="I262" t="str">
        <f t="shared" si="54"/>
        <v>950998.579769078j</v>
      </c>
      <c r="J262" t="str">
        <f>IMDIV(R_1,IMSUM('Opamp and C Stray Using B'!R_1,IMPRODUCT('Opamp and C Stray Using B'!R_f,IMSUM(1,IMPRODUCT(I262,C_s,R_1)))))</f>
        <v>0.199998147809437-0.000608633454474306j</v>
      </c>
      <c r="K262">
        <f t="shared" si="55"/>
        <v>-13.97944030671367</v>
      </c>
      <c r="L262">
        <f t="shared" si="56"/>
        <v>-0.17436171756431609</v>
      </c>
      <c r="M262">
        <f t="shared" si="57"/>
        <v>0.199998147809437</v>
      </c>
      <c r="N262">
        <f t="shared" si="58"/>
        <v>-6.0863345447430598E-4</v>
      </c>
      <c r="O262" t="str">
        <f t="shared" si="52"/>
        <v>0.00436515830334704-66.0693445123564j</v>
      </c>
      <c r="P262">
        <f t="shared" si="59"/>
        <v>36.399999981042349</v>
      </c>
      <c r="Q262">
        <f t="shared" si="60"/>
        <v>-89.99621450539324</v>
      </c>
      <c r="R262">
        <f t="shared" si="61"/>
        <v>22.420559674328679</v>
      </c>
      <c r="S262">
        <f t="shared" si="62"/>
        <v>89.82942377704245</v>
      </c>
    </row>
    <row r="263" spans="7:19" x14ac:dyDescent="0.25">
      <c r="G263">
        <f t="shared" si="53"/>
        <v>4.1999999999999993</v>
      </c>
      <c r="H263">
        <f t="shared" si="51"/>
        <v>158489.3192461112</v>
      </c>
      <c r="I263" t="str">
        <f t="shared" si="54"/>
        <v>995817.762032061j</v>
      </c>
      <c r="J263" t="str">
        <f>IMDIV(R_1,IMSUM('Opamp and C Stray Using B'!R_1,IMPRODUCT('Opamp and C Stray Using B'!R_f,IMSUM(1,IMPRODUCT(I263,C_s,R_1)))))</f>
        <v>0.199997969115248-0.000637316896048971j</v>
      </c>
      <c r="K263">
        <f t="shared" si="55"/>
        <v>-13.979444187046333</v>
      </c>
      <c r="L263">
        <f t="shared" si="56"/>
        <v>-0.18257907777180951</v>
      </c>
      <c r="M263">
        <f t="shared" si="57"/>
        <v>0.199997969115248</v>
      </c>
      <c r="N263">
        <f t="shared" si="58"/>
        <v>-6.3731689604897099E-4</v>
      </c>
      <c r="O263" t="str">
        <f t="shared" si="52"/>
        <v>0.00398107168968606-63.0957341968308j</v>
      </c>
      <c r="P263">
        <f t="shared" si="59"/>
        <v>35.999999982710442</v>
      </c>
      <c r="Q263">
        <f t="shared" si="60"/>
        <v>-89.996384880715652</v>
      </c>
      <c r="R263">
        <f t="shared" si="61"/>
        <v>22.020555795664109</v>
      </c>
      <c r="S263">
        <f t="shared" si="62"/>
        <v>89.821036041512542</v>
      </c>
    </row>
    <row r="264" spans="7:19" x14ac:dyDescent="0.25">
      <c r="G264">
        <f t="shared" si="53"/>
        <v>4.2199999999999989</v>
      </c>
      <c r="H264">
        <f t="shared" si="51"/>
        <v>165958.69074375587</v>
      </c>
      <c r="I264" t="str">
        <f t="shared" si="54"/>
        <v>1042749.20727993j</v>
      </c>
      <c r="J264" t="str">
        <f>IMDIV(R_1,IMSUM('Opamp and C Stray Using B'!R_1,IMPRODUCT('Opamp and C Stray Using B'!R_f,IMSUM(1,IMPRODUCT(I264,C_s,R_1)))))</f>
        <v>0.199997773181332-0.000667352062216272j</v>
      </c>
      <c r="K264">
        <f t="shared" si="55"/>
        <v>-13.97944844174255</v>
      </c>
      <c r="L264">
        <f t="shared" si="56"/>
        <v>-0.19118370217861833</v>
      </c>
      <c r="M264">
        <f t="shared" si="57"/>
        <v>0.19999777318133199</v>
      </c>
      <c r="N264">
        <f t="shared" si="58"/>
        <v>-6.6735206221627203E-4</v>
      </c>
      <c r="O264" t="str">
        <f t="shared" si="52"/>
        <v>0.00363078053451845-60.2559583886596j</v>
      </c>
      <c r="P264">
        <f t="shared" si="59"/>
        <v>35.599999984231722</v>
      </c>
      <c r="Q264">
        <f t="shared" si="60"/>
        <v>-89.996547587885459</v>
      </c>
      <c r="R264">
        <f t="shared" si="61"/>
        <v>21.620551542489174</v>
      </c>
      <c r="S264">
        <f t="shared" si="62"/>
        <v>89.812268709935921</v>
      </c>
    </row>
    <row r="265" spans="7:19" x14ac:dyDescent="0.25">
      <c r="G265">
        <f t="shared" si="53"/>
        <v>4.2399999999999984</v>
      </c>
      <c r="H265">
        <f t="shared" si="51"/>
        <v>173780.08287493698</v>
      </c>
      <c r="I265" t="str">
        <f t="shared" si="54"/>
        <v>1091892.46340025j</v>
      </c>
      <c r="J265" t="str">
        <f>IMDIV(R_1,IMSUM('Opamp and C Stray Using B'!R_1,IMPRODUCT('Opamp and C Stray Using B'!R_f,IMSUM(1,IMPRODUCT(I265,C_s,R_1)))))</f>
        <v>0.199997558344506-0.000698802645295418j</v>
      </c>
      <c r="K265">
        <f t="shared" si="55"/>
        <v>-13.979453106919413</v>
      </c>
      <c r="L265">
        <f t="shared" si="56"/>
        <v>-0.20019384079064778</v>
      </c>
      <c r="M265">
        <f t="shared" si="57"/>
        <v>0.199997558344506</v>
      </c>
      <c r="N265">
        <f t="shared" si="58"/>
        <v>-6.9880264529541801E-4</v>
      </c>
      <c r="O265" t="str">
        <f t="shared" si="52"/>
        <v>0.00331131120386119-57.5439935431701j</v>
      </c>
      <c r="P265">
        <f t="shared" si="59"/>
        <v>35.199999985619229</v>
      </c>
      <c r="Q265">
        <f t="shared" si="60"/>
        <v>-89.99670297202637</v>
      </c>
      <c r="R265">
        <f t="shared" si="61"/>
        <v>21.220546878699814</v>
      </c>
      <c r="S265">
        <f t="shared" si="62"/>
        <v>89.803103187182984</v>
      </c>
    </row>
    <row r="266" spans="7:19" x14ac:dyDescent="0.25">
      <c r="G266">
        <f t="shared" si="53"/>
        <v>4.259999999999998</v>
      </c>
      <c r="H266">
        <f t="shared" si="51"/>
        <v>181970.08586099773</v>
      </c>
      <c r="I266" t="str">
        <f t="shared" si="54"/>
        <v>1143351.76982803j</v>
      </c>
      <c r="J266" t="str">
        <f>IMDIV(R_1,IMSUM('Opamp and C Stray Using B'!R_1,IMPRODUCT('Opamp and C Stray Using B'!R_f,IMSUM(1,IMPRODUCT(I266,C_s,R_1)))))</f>
        <v>0.199997322781142-0.000731735337480597j</v>
      </c>
      <c r="K266">
        <f t="shared" si="55"/>
        <v>-13.979458222178325</v>
      </c>
      <c r="L266">
        <f t="shared" si="56"/>
        <v>-0.20962860353326995</v>
      </c>
      <c r="M266">
        <f t="shared" si="57"/>
        <v>0.19999732278114199</v>
      </c>
      <c r="N266">
        <f t="shared" si="58"/>
        <v>-7.3173533748059703E-4</v>
      </c>
      <c r="O266" t="str">
        <f t="shared" si="52"/>
        <v>0.00301995171128192-54.9540872198039j</v>
      </c>
      <c r="P266">
        <f t="shared" si="59"/>
        <v>34.799999986884536</v>
      </c>
      <c r="Q266">
        <f t="shared" si="60"/>
        <v>-89.996851362728975</v>
      </c>
      <c r="R266">
        <f t="shared" si="61"/>
        <v>20.820541764706213</v>
      </c>
      <c r="S266">
        <f t="shared" si="62"/>
        <v>89.793520033737749</v>
      </c>
    </row>
    <row r="267" spans="7:19" x14ac:dyDescent="0.25">
      <c r="G267">
        <f t="shared" si="53"/>
        <v>4.2799999999999976</v>
      </c>
      <c r="H267">
        <f t="shared" si="51"/>
        <v>190546.0717963237</v>
      </c>
      <c r="I267" t="str">
        <f t="shared" si="54"/>
        <v>1197236.27865145j</v>
      </c>
      <c r="J267" t="str">
        <f>IMDIV(R_1,IMSUM('Opamp and C Stray Using B'!R_1,IMPRODUCT('Opamp and C Stray Using B'!R_f,IMSUM(1,IMPRODUCT(I267,C_s,R_1)))))</f>
        <v>0.199997064491687-0.000766219971946372j</v>
      </c>
      <c r="K267">
        <f t="shared" si="55"/>
        <v>-13.979463830941278</v>
      </c>
      <c r="L267">
        <f t="shared" si="56"/>
        <v>-0.2195080007518706</v>
      </c>
      <c r="M267">
        <f t="shared" si="57"/>
        <v>0.199997064491687</v>
      </c>
      <c r="N267">
        <f t="shared" si="58"/>
        <v>-7.6621997194637197E-4</v>
      </c>
      <c r="O267" t="str">
        <f t="shared" si="52"/>
        <v>0.00275422869575241-52.4807458804335j</v>
      </c>
      <c r="P267">
        <f t="shared" si="59"/>
        <v>34.399999988038573</v>
      </c>
      <c r="Q267">
        <f t="shared" si="60"/>
        <v>-89.996993074749838</v>
      </c>
      <c r="R267">
        <f t="shared" si="61"/>
        <v>20.420536157097295</v>
      </c>
      <c r="S267">
        <f t="shared" si="62"/>
        <v>89.783498924498289</v>
      </c>
    </row>
    <row r="268" spans="7:19" x14ac:dyDescent="0.25">
      <c r="G268">
        <f t="shared" si="53"/>
        <v>4.2999999999999972</v>
      </c>
      <c r="H268">
        <f t="shared" si="51"/>
        <v>199526.23149688687</v>
      </c>
      <c r="I268" t="str">
        <f t="shared" si="54"/>
        <v>1253660.28613815j</v>
      </c>
      <c r="J268" t="str">
        <f>IMDIV(R_1,IMSUM('Opamp and C Stray Using B'!R_1,IMPRODUCT('Opamp and C Stray Using B'!R_f,IMSUM(1,IMPRODUCT(I268,C_s,R_1)))))</f>
        <v>0.199996781283698-0.000802329670562656j</v>
      </c>
      <c r="K268">
        <f t="shared" si="55"/>
        <v>-13.979469980819239</v>
      </c>
      <c r="L268">
        <f t="shared" si="56"/>
        <v>-0.22985298561727432</v>
      </c>
      <c r="M268">
        <f t="shared" si="57"/>
        <v>0.19999678128369799</v>
      </c>
      <c r="N268">
        <f t="shared" si="58"/>
        <v>-8.0232967056265603E-4</v>
      </c>
      <c r="O268" t="str">
        <f t="shared" si="52"/>
        <v>0.00251188642520006-50.1187232368352j</v>
      </c>
      <c r="P268">
        <f t="shared" si="59"/>
        <v>33.999999989091101</v>
      </c>
      <c r="Q268">
        <f t="shared" si="60"/>
        <v>-89.997128408679146</v>
      </c>
      <c r="R268">
        <f t="shared" si="61"/>
        <v>20.020530008271862</v>
      </c>
      <c r="S268">
        <f t="shared" si="62"/>
        <v>89.773018605703584</v>
      </c>
    </row>
    <row r="269" spans="7:19" x14ac:dyDescent="0.25">
      <c r="G269">
        <f t="shared" si="53"/>
        <v>4.3199999999999967</v>
      </c>
      <c r="H269">
        <f t="shared" si="51"/>
        <v>208929.61308540276</v>
      </c>
      <c r="I269" t="str">
        <f t="shared" si="54"/>
        <v>1312743.47517292j</v>
      </c>
      <c r="J269" t="str">
        <f>IMDIV(R_1,IMSUM('Opamp and C Stray Using B'!R_1,IMPRODUCT('Opamp and C Stray Using B'!R_f,IMSUM(1,IMPRODUCT(I269,C_s,R_1)))))</f>
        <v>0.199996470753235-0.000840140998524546j</v>
      </c>
      <c r="K269">
        <f t="shared" si="55"/>
        <v>-13.979476724016324</v>
      </c>
      <c r="L269">
        <f t="shared" si="56"/>
        <v>-0.24068549852520157</v>
      </c>
      <c r="M269">
        <f t="shared" si="57"/>
        <v>0.19999647075323501</v>
      </c>
      <c r="N269">
        <f t="shared" si="58"/>
        <v>-8.40140998524546E-4</v>
      </c>
      <c r="O269" t="str">
        <f t="shared" si="52"/>
        <v>0.00229086764751972-47.8630091226162j</v>
      </c>
      <c r="P269">
        <f t="shared" si="59"/>
        <v>33.599999990050918</v>
      </c>
      <c r="Q269">
        <f t="shared" si="60"/>
        <v>-89.997257651578295</v>
      </c>
      <c r="R269">
        <f t="shared" si="61"/>
        <v>19.620523266034596</v>
      </c>
      <c r="S269">
        <f t="shared" si="62"/>
        <v>89.76205684989651</v>
      </c>
    </row>
    <row r="270" spans="7:19" x14ac:dyDescent="0.25">
      <c r="G270">
        <f t="shared" si="53"/>
        <v>4.3399999999999963</v>
      </c>
      <c r="H270">
        <f t="shared" si="51"/>
        <v>218776.16239495357</v>
      </c>
      <c r="I270" t="str">
        <f t="shared" si="54"/>
        <v>1374611.16912111j</v>
      </c>
      <c r="J270" t="str">
        <f>IMDIV(R_1,IMSUM('Opamp and C Stray Using B'!R_1,IMPRODUCT('Opamp and C Stray Using B'!R_f,IMSUM(1,IMPRODUCT(I270,C_s,R_1)))))</f>
        <v>0.199996130264462-0.000879734126216095j</v>
      </c>
      <c r="K270">
        <f t="shared" si="55"/>
        <v>-13.979484117772845</v>
      </c>
      <c r="L270">
        <f t="shared" si="56"/>
        <v>-0.25202851358309636</v>
      </c>
      <c r="M270">
        <f t="shared" si="57"/>
        <v>0.199996130264462</v>
      </c>
      <c r="N270">
        <f t="shared" si="58"/>
        <v>-8.7973412621609505E-4</v>
      </c>
      <c r="O270" t="str">
        <f t="shared" si="52"/>
        <v>0.0020892961264889-45.7088188659885j</v>
      </c>
      <c r="P270">
        <f t="shared" si="59"/>
        <v>33.199999990926351</v>
      </c>
      <c r="Q270">
        <f t="shared" si="60"/>
        <v>-89.997381077588798</v>
      </c>
      <c r="R270">
        <f t="shared" si="61"/>
        <v>19.220515873153506</v>
      </c>
      <c r="S270">
        <f t="shared" si="62"/>
        <v>89.750590408828103</v>
      </c>
    </row>
    <row r="271" spans="7:19" x14ac:dyDescent="0.25">
      <c r="G271">
        <f t="shared" si="53"/>
        <v>4.3599999999999959</v>
      </c>
      <c r="H271">
        <f t="shared" si="51"/>
        <v>229086.76527677546</v>
      </c>
      <c r="I271" t="str">
        <f t="shared" si="54"/>
        <v>1439394.59765633j</v>
      </c>
      <c r="J271" t="str">
        <f>IMDIV(R_1,IMSUM('Opamp and C Stray Using B'!R_1,IMPRODUCT('Opamp and C Stray Using B'!R_f,IMSUM(1,IMPRODUCT(I271,C_s,R_1)))))</f>
        <v>0.199995756927278-0.000921192998641j</v>
      </c>
      <c r="K271">
        <f t="shared" si="55"/>
        <v>-13.979492224851224</v>
      </c>
      <c r="L271">
        <f t="shared" si="56"/>
        <v>-0.26390608728194159</v>
      </c>
      <c r="M271">
        <f t="shared" si="57"/>
        <v>0.199995756927278</v>
      </c>
      <c r="N271">
        <f t="shared" si="58"/>
        <v>-9.2119299864100001E-4</v>
      </c>
      <c r="O271" t="str">
        <f t="shared" si="52"/>
        <v>0.0019054607143325-43.6515831408407j</v>
      </c>
      <c r="P271">
        <f t="shared" si="59"/>
        <v>32.799999991724789</v>
      </c>
      <c r="Q271">
        <f t="shared" si="60"/>
        <v>-89.997498948513794</v>
      </c>
      <c r="R271">
        <f t="shared" si="61"/>
        <v>18.820507766873565</v>
      </c>
      <c r="S271">
        <f t="shared" si="62"/>
        <v>89.738594964204268</v>
      </c>
    </row>
    <row r="272" spans="7:19" x14ac:dyDescent="0.25">
      <c r="G272">
        <f t="shared" si="53"/>
        <v>4.3799999999999955</v>
      </c>
      <c r="H272">
        <f t="shared" si="51"/>
        <v>239883.29190194668</v>
      </c>
      <c r="I272" t="str">
        <f t="shared" si="54"/>
        <v>1507231.17511618j</v>
      </c>
      <c r="J272" t="str">
        <f>IMDIV(R_1,IMSUM('Opamp and C Stray Using B'!R_1,IMPRODUCT('Opamp and C Stray Using B'!R_f,IMSUM(1,IMPRODUCT(I272,C_s,R_1)))))</f>
        <v>0.199995347572798-0.000964605512767737j</v>
      </c>
      <c r="K272">
        <f t="shared" si="55"/>
        <v>-13.979501114068507</v>
      </c>
      <c r="L272">
        <f t="shared" si="56"/>
        <v>-0.27634340945516311</v>
      </c>
      <c r="M272">
        <f t="shared" si="57"/>
        <v>0.19999534757279799</v>
      </c>
      <c r="N272">
        <f t="shared" si="58"/>
        <v>-9.6460551276773701E-4</v>
      </c>
      <c r="O272" t="str">
        <f t="shared" si="52"/>
        <v>0.00173780082572947-41.6869382745905j</v>
      </c>
      <c r="P272">
        <f t="shared" si="59"/>
        <v>32.39999999245294</v>
      </c>
      <c r="Q272">
        <f t="shared" si="60"/>
        <v>-89.997611514373276</v>
      </c>
      <c r="R272">
        <f t="shared" si="61"/>
        <v>18.420498878384436</v>
      </c>
      <c r="S272">
        <f t="shared" si="62"/>
        <v>89.726045076171559</v>
      </c>
    </row>
    <row r="273" spans="7:19" x14ac:dyDescent="0.25">
      <c r="G273">
        <f t="shared" si="53"/>
        <v>4.399999999999995</v>
      </c>
      <c r="H273">
        <f t="shared" si="51"/>
        <v>251188.64315095547</v>
      </c>
      <c r="I273" t="str">
        <f t="shared" si="54"/>
        <v>1578264.79197646j</v>
      </c>
      <c r="J273" t="str">
        <f>IMDIV(R_1,IMSUM('Opamp and C Stray Using B'!R_1,IMPRODUCT('Opamp and C Stray Using B'!R_f,IMSUM(1,IMPRODUCT(I273,C_s,R_1)))))</f>
        <v>0.199994898726463-0.0010100637031516j</v>
      </c>
      <c r="K273">
        <f t="shared" si="55"/>
        <v>-13.979510860880493</v>
      </c>
      <c r="L273">
        <f t="shared" si="56"/>
        <v>-0.28936685663140221</v>
      </c>
      <c r="M273">
        <f t="shared" si="57"/>
        <v>0.19999489872646301</v>
      </c>
      <c r="N273">
        <f t="shared" si="58"/>
        <v>-1.0100637031515999E-3</v>
      </c>
      <c r="O273" t="str">
        <f t="shared" si="52"/>
        <v>0.00158489318994925-39.8107169922543j</v>
      </c>
      <c r="P273">
        <f t="shared" si="59"/>
        <v>31.999999993116962</v>
      </c>
      <c r="Q273">
        <f t="shared" si="60"/>
        <v>-89.997719013934542</v>
      </c>
      <c r="R273">
        <f t="shared" si="61"/>
        <v>18.02048913223647</v>
      </c>
      <c r="S273">
        <f t="shared" si="62"/>
        <v>89.712914129434054</v>
      </c>
    </row>
    <row r="274" spans="7:19" x14ac:dyDescent="0.25">
      <c r="G274">
        <f t="shared" si="53"/>
        <v>4.4199999999999946</v>
      </c>
      <c r="H274">
        <f t="shared" si="51"/>
        <v>263026.79918953503</v>
      </c>
      <c r="I274" t="str">
        <f t="shared" si="54"/>
        <v>1652646.12006216j</v>
      </c>
      <c r="J274" t="str">
        <f>IMDIV(R_1,IMSUM('Opamp and C Stray Using B'!R_1,IMPRODUCT('Opamp and C Stray Using B'!R_f,IMSUM(1,IMPRODUCT(I274,C_s,R_1)))))</f>
        <v>0.199994406578558-0.00105766393621181j</v>
      </c>
      <c r="K274">
        <f t="shared" si="55"/>
        <v>-13.979521548022213</v>
      </c>
      <c r="L274">
        <f t="shared" si="56"/>
        <v>-0.3030040478928484</v>
      </c>
      <c r="M274">
        <f t="shared" si="57"/>
        <v>0.19999440657855799</v>
      </c>
      <c r="N274">
        <f t="shared" si="58"/>
        <v>-1.05766393621181E-3</v>
      </c>
      <c r="O274" t="str">
        <f t="shared" si="52"/>
        <v>0.00144543976865667-38.0189395771025j</v>
      </c>
      <c r="P274">
        <f t="shared" si="59"/>
        <v>31.599999993722641</v>
      </c>
      <c r="Q274">
        <f t="shared" si="60"/>
        <v>-89.997821675218574</v>
      </c>
      <c r="R274">
        <f t="shared" si="61"/>
        <v>17.620478445700428</v>
      </c>
      <c r="S274">
        <f t="shared" si="62"/>
        <v>89.699174276888584</v>
      </c>
    </row>
    <row r="275" spans="7:19" x14ac:dyDescent="0.25">
      <c r="G275">
        <f t="shared" si="53"/>
        <v>4.4399999999999942</v>
      </c>
      <c r="H275">
        <f t="shared" si="51"/>
        <v>275422.87033381331</v>
      </c>
      <c r="I275" t="str">
        <f t="shared" si="54"/>
        <v>1730532.93214264j</v>
      </c>
      <c r="J275" t="str">
        <f>IMDIV(R_1,IMSUM('Opamp and C Stray Using B'!R_1,IMPRODUCT('Opamp and C Stray Using B'!R_f,IMSUM(1,IMPRODUCT(I275,C_s,R_1)))))</f>
        <v>0.199993866951896-0.00110750711355779j</v>
      </c>
      <c r="K275">
        <f t="shared" si="55"/>
        <v>-13.979533266209812</v>
      </c>
      <c r="L275">
        <f t="shared" si="56"/>
        <v>-0.31728390335588097</v>
      </c>
      <c r="M275">
        <f t="shared" si="57"/>
        <v>0.199993866951896</v>
      </c>
      <c r="N275">
        <f t="shared" si="58"/>
        <v>-1.1075071135577901E-3</v>
      </c>
      <c r="O275" t="str">
        <f t="shared" si="52"/>
        <v>0.00131825673681864-36.3078054291476j</v>
      </c>
      <c r="P275">
        <f t="shared" si="59"/>
        <v>31.199999994274997</v>
      </c>
      <c r="Q275">
        <f t="shared" si="60"/>
        <v>-89.997919715983699</v>
      </c>
      <c r="R275">
        <f t="shared" si="61"/>
        <v>17.220466728065183</v>
      </c>
      <c r="S275">
        <f t="shared" si="62"/>
        <v>89.684796380660416</v>
      </c>
    </row>
    <row r="276" spans="7:19" x14ac:dyDescent="0.25">
      <c r="G276">
        <f t="shared" si="53"/>
        <v>4.4599999999999937</v>
      </c>
      <c r="H276">
        <f t="shared" si="51"/>
        <v>288403.15031265654</v>
      </c>
      <c r="I276" t="str">
        <f t="shared" si="54"/>
        <v>1812090.43658879j</v>
      </c>
      <c r="J276" t="str">
        <f>IMDIV(R_1,IMSUM('Opamp and C Stray Using B'!R_1,IMPRODUCT('Opamp and C Stray Using B'!R_f,IMSUM(1,IMPRODUCT(I276,C_s,R_1)))))</f>
        <v>0.199993275266373-0.00115969888477524j</v>
      </c>
      <c r="K276">
        <f t="shared" si="55"/>
        <v>-13.979546114910717</v>
      </c>
      <c r="L276">
        <f t="shared" si="56"/>
        <v>-0.33223670539611927</v>
      </c>
      <c r="M276">
        <f t="shared" si="57"/>
        <v>0.19999327526637301</v>
      </c>
      <c r="N276">
        <f t="shared" si="58"/>
        <v>-1.1596988847752401E-3</v>
      </c>
      <c r="O276" t="str">
        <f t="shared" si="52"/>
        <v>0.001202264433172-34.6736850035667j</v>
      </c>
      <c r="P276">
        <f t="shared" si="59"/>
        <v>30.799999994778751</v>
      </c>
      <c r="Q276">
        <f t="shared" si="60"/>
        <v>-89.998013344187541</v>
      </c>
      <c r="R276">
        <f t="shared" si="61"/>
        <v>16.820453879868033</v>
      </c>
      <c r="S276">
        <f t="shared" si="62"/>
        <v>89.669749950416346</v>
      </c>
    </row>
    <row r="277" spans="7:19" x14ac:dyDescent="0.25">
      <c r="G277">
        <f t="shared" si="53"/>
        <v>4.4799999999999933</v>
      </c>
      <c r="H277">
        <f t="shared" si="51"/>
        <v>301995.1720401973</v>
      </c>
      <c r="I277" t="str">
        <f t="shared" si="54"/>
        <v>1897491.62780214j</v>
      </c>
      <c r="J277" t="str">
        <f>IMDIV(R_1,IMSUM('Opamp and C Stray Using B'!R_1,IMPRODUCT('Opamp and C Stray Using B'!R_f,IMSUM(1,IMPRODUCT(I277,C_s,R_1)))))</f>
        <v>0.199992626500122-0.00121434987009966j</v>
      </c>
      <c r="K277">
        <f t="shared" si="55"/>
        <v>-13.979560203187415</v>
      </c>
      <c r="L277">
        <f t="shared" si="56"/>
        <v>-0.34789416274543983</v>
      </c>
      <c r="M277">
        <f t="shared" si="57"/>
        <v>0.19999262650012201</v>
      </c>
      <c r="N277">
        <f t="shared" si="58"/>
        <v>-1.2143498700996601E-3</v>
      </c>
      <c r="O277" t="str">
        <f t="shared" si="52"/>
        <v>0.00109647819494095-33.1131121119518j</v>
      </c>
      <c r="P277">
        <f t="shared" si="59"/>
        <v>30.399999995238183</v>
      </c>
      <c r="Q277">
        <f t="shared" si="60"/>
        <v>-89.998102758428061</v>
      </c>
      <c r="R277">
        <f t="shared" si="61"/>
        <v>16.420439792050768</v>
      </c>
      <c r="S277">
        <f t="shared" si="62"/>
        <v>89.654003078826506</v>
      </c>
    </row>
    <row r="278" spans="7:19" x14ac:dyDescent="0.25">
      <c r="G278">
        <f t="shared" si="53"/>
        <v>4.4999999999999929</v>
      </c>
      <c r="H278">
        <f t="shared" si="51"/>
        <v>316227.76601683337</v>
      </c>
      <c r="I278" t="str">
        <f t="shared" si="54"/>
        <v>1986917.65315919j</v>
      </c>
      <c r="J278" t="str">
        <f>IMDIV(R_1,IMSUM('Opamp and C Stray Using B'!R_1,IMPRODUCT('Opamp and C Stray Using B'!R_f,IMSUM(1,IMPRODUCT(I278,C_s,R_1)))))</f>
        <v>0.199991915146912-0.00127157589342244j</v>
      </c>
      <c r="K278">
        <f t="shared" si="55"/>
        <v>-13.979575650623078</v>
      </c>
      <c r="L278">
        <f t="shared" si="56"/>
        <v>-0.36428947759435615</v>
      </c>
      <c r="M278">
        <f t="shared" si="57"/>
        <v>0.199991915146912</v>
      </c>
      <c r="N278">
        <f t="shared" si="58"/>
        <v>-1.27157589342244E-3</v>
      </c>
      <c r="O278" t="str">
        <f t="shared" si="52"/>
        <v>0.000999999999000031-31.6227765700615j</v>
      </c>
      <c r="P278">
        <f t="shared" si="59"/>
        <v>29.999999995657191</v>
      </c>
      <c r="Q278">
        <f t="shared" si="60"/>
        <v>-89.998188148364846</v>
      </c>
      <c r="R278">
        <f t="shared" si="61"/>
        <v>16.020424345034115</v>
      </c>
      <c r="S278">
        <f t="shared" si="62"/>
        <v>89.637522374040799</v>
      </c>
    </row>
    <row r="279" spans="7:19" x14ac:dyDescent="0.25">
      <c r="G279">
        <f t="shared" si="53"/>
        <v>4.5199999999999925</v>
      </c>
      <c r="H279">
        <f t="shared" si="51"/>
        <v>331131.12148258556</v>
      </c>
      <c r="I279" t="str">
        <f t="shared" si="54"/>
        <v>2080558.19724928j</v>
      </c>
      <c r="J279" t="str">
        <f>IMDIV(R_1,IMSUM('Opamp and C Stray Using B'!R_1,IMPRODUCT('Opamp and C Stray Using B'!R_f,IMSUM(1,IMPRODUCT(I279,C_s,R_1)))))</f>
        <v>0.199991135169443-0.00133149822609272j</v>
      </c>
      <c r="K279">
        <f t="shared" si="55"/>
        <v>-13.979592588336349</v>
      </c>
      <c r="L279">
        <f t="shared" si="56"/>
        <v>-0.38145741583914772</v>
      </c>
      <c r="M279">
        <f t="shared" si="57"/>
        <v>0.199991135169443</v>
      </c>
      <c r="N279">
        <f t="shared" si="58"/>
        <v>-1.33149822609272E-3</v>
      </c>
      <c r="O279" t="str">
        <f t="shared" si="52"/>
        <v>0.000912010838524174-30.1995171764783j</v>
      </c>
      <c r="P279">
        <f t="shared" si="59"/>
        <v>29.599999996039308</v>
      </c>
      <c r="Q279">
        <f t="shared" si="60"/>
        <v>-89.998269695121408</v>
      </c>
      <c r="R279">
        <f t="shared" si="61"/>
        <v>15.62040740770296</v>
      </c>
      <c r="S279">
        <f t="shared" si="62"/>
        <v>89.620272889039441</v>
      </c>
    </row>
    <row r="280" spans="7:19" x14ac:dyDescent="0.25">
      <c r="G280">
        <f t="shared" si="53"/>
        <v>4.539999999999992</v>
      </c>
      <c r="H280">
        <f t="shared" si="51"/>
        <v>346736.85045252583</v>
      </c>
      <c r="I280" t="str">
        <f t="shared" si="54"/>
        <v>2178611.88422104j</v>
      </c>
      <c r="J280" t="str">
        <f>IMDIV(R_1,IMSUM('Opamp and C Stray Using B'!R_1,IMPRODUCT('Opamp and C Stray Using B'!R_f,IMSUM(1,IMPRODUCT(I280,C_s,R_1)))))</f>
        <v>0.199990279948148-0.00139424384199593j</v>
      </c>
      <c r="K280">
        <f t="shared" si="55"/>
        <v>-13.97961116009369</v>
      </c>
      <c r="L280">
        <f t="shared" si="56"/>
        <v>-0.39943438061919334</v>
      </c>
      <c r="M280">
        <f t="shared" si="57"/>
        <v>0.199990279948148</v>
      </c>
      <c r="N280">
        <f t="shared" si="58"/>
        <v>-1.3942438419959301E-3</v>
      </c>
      <c r="O280" t="str">
        <f t="shared" si="52"/>
        <v>0.000831763770410862-28.8403150072781j</v>
      </c>
      <c r="P280">
        <f t="shared" si="59"/>
        <v>29.199999996387803</v>
      </c>
      <c r="Q280">
        <f t="shared" si="60"/>
        <v>-89.998347571669342</v>
      </c>
      <c r="R280">
        <f t="shared" si="61"/>
        <v>15.220388836294113</v>
      </c>
      <c r="S280">
        <f t="shared" si="62"/>
        <v>89.60221804771146</v>
      </c>
    </row>
    <row r="281" spans="7:19" x14ac:dyDescent="0.25">
      <c r="G281">
        <f t="shared" si="53"/>
        <v>4.5599999999999916</v>
      </c>
      <c r="H281">
        <f t="shared" si="51"/>
        <v>363078.05477009452</v>
      </c>
      <c r="I281" t="str">
        <f t="shared" si="54"/>
        <v>2281286.6990908j</v>
      </c>
      <c r="J281" t="str">
        <f>IMDIV(R_1,IMSUM('Opamp and C Stray Using B'!R_1,IMPRODUCT('Opamp and C Stray Using B'!R_f,IMSUM(1,IMPRODUCT(I281,C_s,R_1)))))</f>
        <v>0.199989342225052-0.00145994568440937j</v>
      </c>
      <c r="K281">
        <f t="shared" si="55"/>
        <v>-13.979631523529401</v>
      </c>
      <c r="L281">
        <f t="shared" si="56"/>
        <v>-0.41825848929671877</v>
      </c>
      <c r="M281">
        <f t="shared" si="57"/>
        <v>0.19998934222505199</v>
      </c>
      <c r="N281">
        <f t="shared" si="58"/>
        <v>-1.4599456844093699E-3</v>
      </c>
      <c r="O281" t="str">
        <f t="shared" si="52"/>
        <v>0.000758577574453774-27.5422870124893j</v>
      </c>
      <c r="P281">
        <f t="shared" si="59"/>
        <v>28.799999996705729</v>
      </c>
      <c r="Q281">
        <f t="shared" si="60"/>
        <v>-89.998421943195254</v>
      </c>
      <c r="R281">
        <f t="shared" si="61"/>
        <v>14.820368473176329</v>
      </c>
      <c r="S281">
        <f t="shared" si="62"/>
        <v>89.583319567508028</v>
      </c>
    </row>
    <row r="282" spans="7:19" x14ac:dyDescent="0.25">
      <c r="G282">
        <f t="shared" si="53"/>
        <v>4.5799999999999912</v>
      </c>
      <c r="H282">
        <f t="shared" si="51"/>
        <v>380189.39632055402</v>
      </c>
      <c r="I282" t="str">
        <f t="shared" si="54"/>
        <v>2388800.42890678j</v>
      </c>
      <c r="J282" t="str">
        <f>IMDIV(R_1,IMSUM('Opamp and C Stray Using B'!R_1,IMPRODUCT('Opamp and C Stray Using B'!R_f,IMSUM(1,IMPRODUCT(I282,C_s,R_1)))))</f>
        <v>0.19998831404223-0.00152874294515336j</v>
      </c>
      <c r="K282">
        <f t="shared" si="55"/>
        <v>-13.979653851482928</v>
      </c>
      <c r="L282">
        <f t="shared" si="56"/>
        <v>-0.43796965403762173</v>
      </c>
      <c r="M282">
        <f t="shared" si="57"/>
        <v>0.19998831404223</v>
      </c>
      <c r="N282">
        <f t="shared" si="58"/>
        <v>-1.5287429451533599E-3</v>
      </c>
      <c r="O282" t="str">
        <f t="shared" si="52"/>
        <v>0.000691830970440333-26.3026799007573j</v>
      </c>
      <c r="P282">
        <f t="shared" si="59"/>
        <v>28.399999996995579</v>
      </c>
      <c r="Q282">
        <f t="shared" si="60"/>
        <v>-89.998492967451114</v>
      </c>
      <c r="R282">
        <f t="shared" si="61"/>
        <v>14.420346145512651</v>
      </c>
      <c r="S282">
        <f t="shared" si="62"/>
        <v>89.563537378511271</v>
      </c>
    </row>
    <row r="283" spans="7:19" x14ac:dyDescent="0.25">
      <c r="G283">
        <f t="shared" si="53"/>
        <v>4.5999999999999908</v>
      </c>
      <c r="H283">
        <f t="shared" si="51"/>
        <v>398107.17055348901</v>
      </c>
      <c r="I283" t="str">
        <f t="shared" si="54"/>
        <v>2501381.12470452j</v>
      </c>
      <c r="J283" t="str">
        <f>IMDIV(R_1,IMSUM('Opamp and C Stray Using B'!R_1,IMPRODUCT('Opamp and C Stray Using B'!R_f,IMSUM(1,IMPRODUCT(I283,C_s,R_1)))))</f>
        <v>0.199987186674336-0.00160078135657582j</v>
      </c>
      <c r="K283">
        <f t="shared" si="55"/>
        <v>-13.979678333465166</v>
      </c>
      <c r="L283">
        <f t="shared" si="56"/>
        <v>-0.45860966615911619</v>
      </c>
      <c r="M283">
        <f t="shared" si="57"/>
        <v>0.19998718667433599</v>
      </c>
      <c r="N283">
        <f t="shared" si="58"/>
        <v>-1.60078135657582E-3</v>
      </c>
      <c r="O283" t="str">
        <f t="shared" si="52"/>
        <v>0.000630957344082112-25.1188642992474j</v>
      </c>
      <c r="P283">
        <f t="shared" si="59"/>
        <v>27.999999997259973</v>
      </c>
      <c r="Q283">
        <f t="shared" si="60"/>
        <v>-89.998560795088892</v>
      </c>
      <c r="R283">
        <f t="shared" si="61"/>
        <v>14.020321663794807</v>
      </c>
      <c r="S283">
        <f t="shared" si="62"/>
        <v>89.542829538751988</v>
      </c>
    </row>
    <row r="284" spans="7:19" x14ac:dyDescent="0.25">
      <c r="G284">
        <f t="shared" si="53"/>
        <v>4.6199999999999903</v>
      </c>
      <c r="H284">
        <f t="shared" si="51"/>
        <v>416869.38347032666</v>
      </c>
      <c r="I284" t="str">
        <f t="shared" si="54"/>
        <v>2619267.58523377j</v>
      </c>
      <c r="J284" t="str">
        <f>IMDIV(R_1,IMSUM('Opamp and C Stray Using B'!R_1,IMPRODUCT('Opamp and C Stray Using B'!R_f,IMSUM(1,IMPRODUCT(I284,C_s,R_1)))))</f>
        <v>0.199985950554629-0.00167621349692769j</v>
      </c>
      <c r="K284">
        <f t="shared" si="55"/>
        <v>-13.979705177266306</v>
      </c>
      <c r="L284">
        <f t="shared" si="56"/>
        <v>-0.4802222844172615</v>
      </c>
      <c r="M284">
        <f t="shared" si="57"/>
        <v>0.19998595055462901</v>
      </c>
      <c r="N284">
        <f t="shared" si="58"/>
        <v>-1.6762134969276899E-3</v>
      </c>
      <c r="O284" t="str">
        <f t="shared" si="52"/>
        <v>0.000575439937006049-23.9883291763915j</v>
      </c>
      <c r="P284">
        <f t="shared" si="59"/>
        <v>27.599999997501055</v>
      </c>
      <c r="Q284">
        <f t="shared" si="60"/>
        <v>-89.998625569980106</v>
      </c>
      <c r="R284">
        <f t="shared" si="61"/>
        <v>13.620294820234749</v>
      </c>
      <c r="S284">
        <f t="shared" si="62"/>
        <v>89.521152145602628</v>
      </c>
    </row>
    <row r="285" spans="7:19" x14ac:dyDescent="0.25">
      <c r="G285">
        <f t="shared" si="53"/>
        <v>4.6399999999999899</v>
      </c>
      <c r="H285">
        <f t="shared" si="51"/>
        <v>436515.83224015596</v>
      </c>
      <c r="I285" t="str">
        <f t="shared" si="54"/>
        <v>2742709.86348262j</v>
      </c>
      <c r="J285" t="str">
        <f>IMDIV(R_1,IMSUM('Opamp and C Stray Using B'!R_1,IMPRODUCT('Opamp and C Stray Using B'!R_f,IMSUM(1,IMPRODUCT(I285,C_s,R_1)))))</f>
        <v>0.199984595193886-0.00175519910970513j</v>
      </c>
      <c r="K285">
        <f t="shared" si="55"/>
        <v>-13.979734610718243</v>
      </c>
      <c r="L285">
        <f t="shared" si="56"/>
        <v>-0.50285332741468314</v>
      </c>
      <c r="M285">
        <f t="shared" si="57"/>
        <v>0.19998459519388601</v>
      </c>
      <c r="N285">
        <f t="shared" si="58"/>
        <v>-1.75519910970513E-3</v>
      </c>
      <c r="O285" t="str">
        <f t="shared" si="52"/>
        <v>0.000524807459974374-22.9086765156556j</v>
      </c>
      <c r="P285">
        <f t="shared" si="59"/>
        <v>27.199999997720987</v>
      </c>
      <c r="Q285">
        <f t="shared" si="60"/>
        <v>-89.99868742952097</v>
      </c>
      <c r="R285">
        <f t="shared" si="61"/>
        <v>13.220265387002744</v>
      </c>
      <c r="S285">
        <f t="shared" si="62"/>
        <v>89.498459243064346</v>
      </c>
    </row>
    <row r="286" spans="7:19" x14ac:dyDescent="0.25">
      <c r="G286">
        <f t="shared" si="53"/>
        <v>4.6599999999999895</v>
      </c>
      <c r="H286">
        <f t="shared" si="51"/>
        <v>457088.18961486447</v>
      </c>
      <c r="I286" t="str">
        <f t="shared" si="54"/>
        <v>2871969.79707343j</v>
      </c>
      <c r="J286" t="str">
        <f>IMDIV(R_1,IMSUM('Opamp and C Stray Using B'!R_1,IMPRODUCT('Opamp and C Stray Using B'!R_f,IMSUM(1,IMPRODUCT(I286,C_s,R_1)))))</f>
        <v>0.199983109091499-0.001837905437554j</v>
      </c>
      <c r="K286">
        <f t="shared" si="55"/>
        <v>-13.979766883627246</v>
      </c>
      <c r="L286">
        <f t="shared" si="56"/>
        <v>-0.52655077031673714</v>
      </c>
      <c r="M286">
        <f t="shared" si="57"/>
        <v>0.199983109091499</v>
      </c>
      <c r="N286">
        <f t="shared" si="58"/>
        <v>-1.8379054375539999E-3</v>
      </c>
      <c r="O286" t="str">
        <f t="shared" si="52"/>
        <v>0.000478630092093575-21.8776162290248j</v>
      </c>
      <c r="P286">
        <f t="shared" si="59"/>
        <v>26.799999997921557</v>
      </c>
      <c r="Q286">
        <f t="shared" si="60"/>
        <v>-89.998746504923872</v>
      </c>
      <c r="R286">
        <f t="shared" si="61"/>
        <v>12.820233114294311</v>
      </c>
      <c r="S286">
        <f t="shared" si="62"/>
        <v>89.474702724759396</v>
      </c>
    </row>
    <row r="287" spans="7:19" x14ac:dyDescent="0.25">
      <c r="G287">
        <f t="shared" si="53"/>
        <v>4.6799999999999891</v>
      </c>
      <c r="H287">
        <f t="shared" si="51"/>
        <v>478630.0923226272</v>
      </c>
      <c r="I287" t="str">
        <f t="shared" si="54"/>
        <v>3007321.56365554j</v>
      </c>
      <c r="J287" t="str">
        <f>IMDIV(R_1,IMSUM('Opamp and C Stray Using B'!R_1,IMPRODUCT('Opamp and C Stray Using B'!R_f,IMSUM(1,IMPRODUCT(I287,C_s,R_1)))))</f>
        <v>0.19998147963802-0.00192450757135092j</v>
      </c>
      <c r="K287">
        <f t="shared" si="55"/>
        <v>-13.979802269892648</v>
      </c>
      <c r="L287">
        <f t="shared" si="56"/>
        <v>-0.55136484607229275</v>
      </c>
      <c r="M287">
        <f t="shared" si="57"/>
        <v>0.19998147963801999</v>
      </c>
      <c r="N287">
        <f t="shared" si="58"/>
        <v>-1.9245075713509199E-3</v>
      </c>
      <c r="O287" t="str">
        <f t="shared" si="52"/>
        <v>0.000436515832049641-20.8929612994208j</v>
      </c>
      <c r="P287">
        <f t="shared" si="59"/>
        <v>26.399999998104452</v>
      </c>
      <c r="Q287">
        <f t="shared" si="60"/>
        <v>-89.998802921495667</v>
      </c>
      <c r="R287">
        <f t="shared" si="61"/>
        <v>12.420197728211804</v>
      </c>
      <c r="S287">
        <f t="shared" si="62"/>
        <v>89.449832232432044</v>
      </c>
    </row>
    <row r="288" spans="7:19" x14ac:dyDescent="0.25">
      <c r="G288">
        <f t="shared" si="53"/>
        <v>4.6999999999999886</v>
      </c>
      <c r="H288">
        <f t="shared" si="51"/>
        <v>501187.23362725956</v>
      </c>
      <c r="I288" t="str">
        <f t="shared" si="54"/>
        <v>3149052.26247278j</v>
      </c>
      <c r="J288" t="str">
        <f>IMDIV(R_1,IMSUM('Opamp and C Stray Using B'!R_1,IMPRODUCT('Opamp and C Stray Using B'!R_f,IMSUM(1,IMPRODUCT(I288,C_s,R_1)))))</f>
        <v>0.199979693008328-0.00201518881509276j</v>
      </c>
      <c r="K288">
        <f t="shared" si="55"/>
        <v>-13.979841069829718</v>
      </c>
      <c r="L288">
        <f t="shared" si="56"/>
        <v>-0.57734815134335893</v>
      </c>
      <c r="M288">
        <f t="shared" si="57"/>
        <v>0.19997969300832799</v>
      </c>
      <c r="N288">
        <f t="shared" si="58"/>
        <v>-2.01518881509276E-3</v>
      </c>
      <c r="O288" t="str">
        <f t="shared" si="52"/>
        <v>0.000398107170395027-19.952623141746j</v>
      </c>
      <c r="P288">
        <f t="shared" si="59"/>
        <v>25.999999998271257</v>
      </c>
      <c r="Q288">
        <f t="shared" si="60"/>
        <v>-89.998856798903461</v>
      </c>
      <c r="R288">
        <f t="shared" si="61"/>
        <v>12.020158928441539</v>
      </c>
      <c r="S288">
        <f t="shared" si="62"/>
        <v>89.423795049753181</v>
      </c>
    </row>
    <row r="289" spans="7:19" x14ac:dyDescent="0.25">
      <c r="G289">
        <f t="shared" si="53"/>
        <v>4.7199999999999882</v>
      </c>
      <c r="H289">
        <f t="shared" si="51"/>
        <v>524807.46024975914</v>
      </c>
      <c r="I289" t="str">
        <f t="shared" si="54"/>
        <v>3297462.52333952j</v>
      </c>
      <c r="J289" t="str">
        <f>IMDIV(R_1,IMSUM('Opamp and C Stray Using B'!R_1,IMPRODUCT('Opamp and C Stray Using B'!R_f,IMSUM(1,IMPRODUCT(I289,C_s,R_1)))))</f>
        <v>0.199977734044518-0.0021101410672453j</v>
      </c>
      <c r="K289">
        <f t="shared" si="55"/>
        <v>-13.979883612716296</v>
      </c>
      <c r="L289">
        <f t="shared" si="56"/>
        <v>-0.60455575735661826</v>
      </c>
      <c r="M289">
        <f t="shared" si="57"/>
        <v>0.19997773404451799</v>
      </c>
      <c r="N289">
        <f t="shared" si="58"/>
        <v>-2.1101410672452999E-3</v>
      </c>
      <c r="O289" t="str">
        <f t="shared" si="52"/>
        <v>0.000363078054638294-19.0546071727147j</v>
      </c>
      <c r="P289">
        <f t="shared" si="59"/>
        <v>25.599999998423417</v>
      </c>
      <c r="Q289">
        <f t="shared" si="60"/>
        <v>-89.99890825142846</v>
      </c>
      <c r="R289">
        <f t="shared" si="61"/>
        <v>11.620116385707121</v>
      </c>
      <c r="S289">
        <f t="shared" si="62"/>
        <v>89.396535991214918</v>
      </c>
    </row>
    <row r="290" spans="7:19" x14ac:dyDescent="0.25">
      <c r="G290">
        <f t="shared" si="53"/>
        <v>4.7399999999999878</v>
      </c>
      <c r="H290">
        <f t="shared" si="51"/>
        <v>549540.87385760946</v>
      </c>
      <c r="I290" t="str">
        <f t="shared" si="54"/>
        <v>3452867.14431676j</v>
      </c>
      <c r="J290" t="str">
        <f>IMDIV(R_1,IMSUM('Opamp and C Stray Using B'!R_1,IMPRODUCT('Opamp and C Stray Using B'!R_f,IMSUM(1,IMPRODUCT(I290,C_s,R_1)))))</f>
        <v>0.199975586127524-0.00220956521921668j</v>
      </c>
      <c r="K290">
        <f t="shared" si="55"/>
        <v>-13.979930259584883</v>
      </c>
      <c r="L290">
        <f t="shared" si="56"/>
        <v>-0.63304532589813289</v>
      </c>
      <c r="M290">
        <f t="shared" si="57"/>
        <v>0.199975586127524</v>
      </c>
      <c r="N290">
        <f t="shared" si="58"/>
        <v>-2.2095652192166801E-3</v>
      </c>
      <c r="O290" t="str">
        <f t="shared" si="52"/>
        <v>0.000331131121372962-18.1970085800748j</v>
      </c>
      <c r="P290">
        <f t="shared" si="59"/>
        <v>25.199999998562184</v>
      </c>
      <c r="Q290">
        <f t="shared" si="60"/>
        <v>-89.998957388208382</v>
      </c>
      <c r="R290">
        <f t="shared" si="61"/>
        <v>11.220069738977301</v>
      </c>
      <c r="S290">
        <f t="shared" si="62"/>
        <v>89.36799728589348</v>
      </c>
    </row>
    <row r="291" spans="7:19" x14ac:dyDescent="0.25">
      <c r="G291">
        <f t="shared" si="53"/>
        <v>4.7599999999999874</v>
      </c>
      <c r="H291">
        <f t="shared" si="51"/>
        <v>575439.93733714102</v>
      </c>
      <c r="I291" t="str">
        <f t="shared" si="54"/>
        <v>3615595.75944107j</v>
      </c>
      <c r="J291" t="str">
        <f>IMDIV(R_1,IMSUM('Opamp and C Stray Using B'!R_1,IMPRODUCT('Opamp and C Stray Using B'!R_f,IMSUM(1,IMPRODUCT(I291,C_s,R_1)))))</f>
        <v>0.199973231036406-0.00231367157163827j</v>
      </c>
      <c r="K291">
        <f t="shared" si="55"/>
        <v>-13.979981406283306</v>
      </c>
      <c r="L291">
        <f t="shared" si="56"/>
        <v>-0.66287723068184534</v>
      </c>
      <c r="M291">
        <f t="shared" si="57"/>
        <v>0.19997323103640599</v>
      </c>
      <c r="N291">
        <f t="shared" si="58"/>
        <v>-2.3136715716382699E-3</v>
      </c>
      <c r="O291" t="str">
        <f t="shared" si="52"/>
        <v>0.000301995171949016-17.3780082822461j</v>
      </c>
      <c r="P291">
        <f t="shared" si="59"/>
        <v>24.799999998688662</v>
      </c>
      <c r="Q291">
        <f t="shared" si="60"/>
        <v>-89.999004313468888</v>
      </c>
      <c r="R291">
        <f t="shared" si="61"/>
        <v>10.820018592405356</v>
      </c>
      <c r="S291">
        <f t="shared" si="62"/>
        <v>89.338118455849269</v>
      </c>
    </row>
    <row r="292" spans="7:19" x14ac:dyDescent="0.25">
      <c r="G292">
        <f t="shared" si="53"/>
        <v>4.7799999999999869</v>
      </c>
      <c r="H292">
        <f t="shared" si="51"/>
        <v>602559.58607433992</v>
      </c>
      <c r="I292" t="str">
        <f t="shared" si="54"/>
        <v>3785993.53792251j</v>
      </c>
      <c r="J292" t="str">
        <f>IMDIV(R_1,IMSUM('Opamp and C Stray Using B'!R_1,IMPRODUCT('Opamp and C Stray Using B'!R_f,IMSUM(1,IMPRODUCT(I292,C_s,R_1)))))</f>
        <v>0.199970648794101-0.00242268026914764j</v>
      </c>
      <c r="K292">
        <f t="shared" si="55"/>
        <v>-13.98003748683063</v>
      </c>
      <c r="L292">
        <f t="shared" si="56"/>
        <v>-0.69411468433120804</v>
      </c>
      <c r="M292">
        <f t="shared" si="57"/>
        <v>0.19997064879410101</v>
      </c>
      <c r="N292">
        <f t="shared" si="58"/>
        <v>-2.4226802691476399E-3</v>
      </c>
      <c r="O292" t="str">
        <f t="shared" si="52"/>
        <v>0.000275422870257974-16.5958690698052j</v>
      </c>
      <c r="P292">
        <f t="shared" si="59"/>
        <v>24.399999998804102</v>
      </c>
      <c r="Q292">
        <f t="shared" si="60"/>
        <v>-89.999049126744779</v>
      </c>
      <c r="R292">
        <f t="shared" si="61"/>
        <v>10.419962511973472</v>
      </c>
      <c r="S292">
        <f t="shared" si="62"/>
        <v>89.306836188924009</v>
      </c>
    </row>
    <row r="293" spans="7:19" x14ac:dyDescent="0.25">
      <c r="G293">
        <f t="shared" si="53"/>
        <v>4.7999999999999865</v>
      </c>
      <c r="H293">
        <f t="shared" si="51"/>
        <v>630957.34448017448</v>
      </c>
      <c r="I293" t="str">
        <f t="shared" si="54"/>
        <v>3964421.91629488j</v>
      </c>
      <c r="J293" t="str">
        <f>IMDIV(R_1,IMSUM('Opamp and C Stray Using B'!R_1,IMPRODUCT('Opamp and C Stray Using B'!R_f,IMSUM(1,IMPRODUCT(I293,C_s,R_1)))))</f>
        <v>0.199967817498365-0.00253682175438136j</v>
      </c>
      <c r="K293">
        <f t="shared" si="55"/>
        <v>-13.980098977095691</v>
      </c>
      <c r="L293">
        <f t="shared" si="56"/>
        <v>-0.72682387122284797</v>
      </c>
      <c r="M293">
        <f t="shared" si="57"/>
        <v>0.19996781749836501</v>
      </c>
      <c r="N293">
        <f t="shared" si="58"/>
        <v>-2.5368217543813602E-3</v>
      </c>
      <c r="O293" t="str">
        <f t="shared" si="52"/>
        <v>0.000251188643087878-15.8489319206305j</v>
      </c>
      <c r="P293">
        <f t="shared" si="59"/>
        <v>23.999999998909338</v>
      </c>
      <c r="Q293">
        <f t="shared" si="60"/>
        <v>-89.999091923091001</v>
      </c>
      <c r="R293">
        <f t="shared" si="61"/>
        <v>10.019901021813647</v>
      </c>
      <c r="S293">
        <f t="shared" si="62"/>
        <v>89.274084205686151</v>
      </c>
    </row>
    <row r="294" spans="7:19" x14ac:dyDescent="0.25">
      <c r="G294">
        <f t="shared" si="53"/>
        <v>4.8199999999999861</v>
      </c>
      <c r="H294">
        <f t="shared" si="51"/>
        <v>660693.44800757489</v>
      </c>
      <c r="I294" t="str">
        <f t="shared" si="54"/>
        <v>4151259.36507101j</v>
      </c>
      <c r="J294" t="str">
        <f>IMDIV(R_1,IMSUM('Opamp and C Stray Using B'!R_1,IMPRODUCT('Opamp and C Stray Using B'!R_f,IMSUM(1,IMPRODUCT(I294,C_s,R_1)))))</f>
        <v>0.199964713136473-0.00265633724189286j</v>
      </c>
      <c r="K294">
        <f t="shared" si="55"/>
        <v>-13.980166398829914</v>
      </c>
      <c r="L294">
        <f t="shared" si="56"/>
        <v>-0.76107408645024477</v>
      </c>
      <c r="M294">
        <f t="shared" si="57"/>
        <v>0.19996471313647299</v>
      </c>
      <c r="N294">
        <f t="shared" si="58"/>
        <v>-2.6563372418928598E-3</v>
      </c>
      <c r="O294" t="str">
        <f t="shared" si="52"/>
        <v>0.000229086765224312-15.1356124808952j</v>
      </c>
      <c r="P294">
        <f t="shared" si="59"/>
        <v>23.599999999005369</v>
      </c>
      <c r="Q294">
        <f t="shared" si="60"/>
        <v>-89.999132793284375</v>
      </c>
      <c r="R294">
        <f t="shared" si="61"/>
        <v>9.6198336001754559</v>
      </c>
      <c r="S294">
        <f t="shared" si="62"/>
        <v>89.239793120265375</v>
      </c>
    </row>
    <row r="295" spans="7:19" x14ac:dyDescent="0.25">
      <c r="G295">
        <f t="shared" si="53"/>
        <v>4.8399999999999856</v>
      </c>
      <c r="H295">
        <f t="shared" si="51"/>
        <v>691830.97091891442</v>
      </c>
      <c r="I295" t="str">
        <f t="shared" si="54"/>
        <v>4346902.19152951j</v>
      </c>
      <c r="J295" t="str">
        <f>IMDIV(R_1,IMSUM('Opamp and C Stray Using B'!R_1,IMPRODUCT('Opamp and C Stray Using B'!R_f,IMSUM(1,IMPRODUCT(I295,C_s,R_1)))))</f>
        <v>0.199961309382127-0.00278147921271768j</v>
      </c>
      <c r="K295">
        <f t="shared" si="55"/>
        <v>-13.980240324088429</v>
      </c>
      <c r="L295">
        <f t="shared" si="56"/>
        <v>-0.79693788117522668</v>
      </c>
      <c r="M295">
        <f t="shared" si="57"/>
        <v>0.199961309382127</v>
      </c>
      <c r="N295">
        <f t="shared" si="58"/>
        <v>-2.7814792127176802E-3</v>
      </c>
      <c r="O295" t="str">
        <f t="shared" si="52"/>
        <v>0.000208929613041766-14.4543977044398j</v>
      </c>
      <c r="P295">
        <f t="shared" si="59"/>
        <v>23.199999999092917</v>
      </c>
      <c r="Q295">
        <f t="shared" si="60"/>
        <v>-89.999171824016031</v>
      </c>
      <c r="R295">
        <f t="shared" si="61"/>
        <v>9.2197596750044877</v>
      </c>
      <c r="S295">
        <f t="shared" si="62"/>
        <v>89.203890294808744</v>
      </c>
    </row>
    <row r="296" spans="7:19" x14ac:dyDescent="0.25">
      <c r="G296">
        <f t="shared" si="53"/>
        <v>4.8599999999999852</v>
      </c>
      <c r="H296">
        <f t="shared" si="51"/>
        <v>724435.96007496677</v>
      </c>
      <c r="I296" t="str">
        <f t="shared" si="54"/>
        <v>4551765.38033557j</v>
      </c>
      <c r="J296" t="str">
        <f>IMDIV(R_1,IMSUM('Opamp and C Stray Using B'!R_1,IMPRODUCT('Opamp and C Stray Using B'!R_f,IMSUM(1,IMPRODUCT(I296,C_s,R_1)))))</f>
        <v>0.199957577372883-0.00291251193030931j</v>
      </c>
      <c r="K296">
        <f t="shared" si="55"/>
        <v>-13.980321380076271</v>
      </c>
      <c r="L296">
        <f t="shared" si="56"/>
        <v>-0.83449121464426435</v>
      </c>
      <c r="M296">
        <f t="shared" si="57"/>
        <v>0.199957577372883</v>
      </c>
      <c r="N296">
        <f t="shared" si="58"/>
        <v>-2.9125119303093101E-3</v>
      </c>
      <c r="O296" t="str">
        <f t="shared" si="52"/>
        <v>0.000190546071760029-13.803842643399j</v>
      </c>
      <c r="P296">
        <f t="shared" si="59"/>
        <v>22.79999999917273</v>
      </c>
      <c r="Q296">
        <f t="shared" si="60"/>
        <v>-89.999209098075369</v>
      </c>
      <c r="R296">
        <f t="shared" si="61"/>
        <v>8.8196786190964591</v>
      </c>
      <c r="S296">
        <f t="shared" si="62"/>
        <v>89.166299687280372</v>
      </c>
    </row>
    <row r="297" spans="7:19" x14ac:dyDescent="0.25">
      <c r="G297">
        <f t="shared" si="53"/>
        <v>4.8799999999999848</v>
      </c>
      <c r="H297">
        <f t="shared" si="51"/>
        <v>758577.57502915792</v>
      </c>
      <c r="I297" t="str">
        <f t="shared" si="54"/>
        <v>4766283.47377913j</v>
      </c>
      <c r="J297" t="str">
        <f>IMDIV(R_1,IMSUM('Opamp and C Stray Using B'!R_1,IMPRODUCT('Opamp and C Stray Using B'!R_f,IMSUM(1,IMPRODUCT(I297,C_s,R_1)))))</f>
        <v>0.19995348546623-0.00304971197856712j</v>
      </c>
      <c r="K297">
        <f t="shared" si="55"/>
        <v>-13.980410254460855</v>
      </c>
      <c r="L297">
        <f t="shared" si="56"/>
        <v>-0.87381361315642914</v>
      </c>
      <c r="M297">
        <f t="shared" si="57"/>
        <v>0.19995348546623001</v>
      </c>
      <c r="N297">
        <f t="shared" si="58"/>
        <v>-3.0497119785671198E-3</v>
      </c>
      <c r="O297" t="str">
        <f t="shared" si="52"/>
        <v>0.000173780082844749-13.1825673832736j</v>
      </c>
      <c r="P297">
        <f t="shared" si="59"/>
        <v>22.399999999245544</v>
      </c>
      <c r="Q297">
        <f t="shared" si="60"/>
        <v>-89.9992446945257</v>
      </c>
      <c r="R297">
        <f t="shared" si="61"/>
        <v>8.4195897447846892</v>
      </c>
      <c r="S297">
        <f t="shared" si="62"/>
        <v>89.126941692317871</v>
      </c>
    </row>
    <row r="298" spans="7:19" x14ac:dyDescent="0.25">
      <c r="G298">
        <f t="shared" si="53"/>
        <v>4.8999999999999844</v>
      </c>
      <c r="H298">
        <f t="shared" si="51"/>
        <v>794328.23472425411</v>
      </c>
      <c r="I298" t="str">
        <f t="shared" si="54"/>
        <v>4990911.49349733j</v>
      </c>
      <c r="J298" t="str">
        <f>IMDIV(R_1,IMSUM('Opamp and C Stray Using B'!R_1,IMPRODUCT('Opamp and C Stray Using B'!R_f,IMSUM(1,IMPRODUCT(I298,C_s,R_1)))))</f>
        <v>0.199948998972288-0.00319336882266905j</v>
      </c>
      <c r="K298">
        <f t="shared" si="55"/>
        <v>-13.980507701195403</v>
      </c>
      <c r="L298">
        <f t="shared" si="56"/>
        <v>-0.9149883362791229</v>
      </c>
      <c r="M298">
        <f t="shared" si="57"/>
        <v>0.19994899897228799</v>
      </c>
      <c r="N298">
        <f t="shared" si="58"/>
        <v>-3.1933688226690499E-3</v>
      </c>
      <c r="O298" t="str">
        <f t="shared" si="52"/>
        <v>0.000158489319221003-12.5892541159468j</v>
      </c>
      <c r="P298">
        <f t="shared" si="59"/>
        <v>21.999999999311957</v>
      </c>
      <c r="Q298">
        <f t="shared" si="60"/>
        <v>-89.999278688871868</v>
      </c>
      <c r="R298">
        <f t="shared" si="61"/>
        <v>8.0194922981165533</v>
      </c>
      <c r="S298">
        <f t="shared" si="62"/>
        <v>89.085732974849009</v>
      </c>
    </row>
    <row r="299" spans="7:19" x14ac:dyDescent="0.25">
      <c r="G299">
        <f t="shared" si="53"/>
        <v>4.9199999999999839</v>
      </c>
      <c r="H299">
        <f t="shared" si="51"/>
        <v>831763.77110264078</v>
      </c>
      <c r="I299" t="str">
        <f t="shared" si="54"/>
        <v>5226125.9056364j</v>
      </c>
      <c r="J299" t="str">
        <f>IMDIV(R_1,IMSUM('Opamp and C Stray Using B'!R_1,IMPRODUCT('Opamp and C Stray Using B'!R_f,IMSUM(1,IMPRODUCT(I299,C_s,R_1)))))</f>
        <v>0.199944079860904-0.00334378539340706j</v>
      </c>
      <c r="K299">
        <f t="shared" si="55"/>
        <v>-13.980614546902085</v>
      </c>
      <c r="L299">
        <f t="shared" si="56"/>
        <v>-0.95810255061701033</v>
      </c>
      <c r="M299">
        <f t="shared" si="57"/>
        <v>0.19994407986090401</v>
      </c>
      <c r="N299">
        <f t="shared" si="58"/>
        <v>-3.3437853934070601E-3</v>
      </c>
      <c r="O299" t="str">
        <f t="shared" si="52"/>
        <v>0.00014454397705371-12.0226443444368j</v>
      </c>
      <c r="P299">
        <f t="shared" si="59"/>
        <v>21.599999999372592</v>
      </c>
      <c r="Q299">
        <f t="shared" si="60"/>
        <v>-89.999311153220404</v>
      </c>
      <c r="R299">
        <f t="shared" si="61"/>
        <v>7.6193854524705067</v>
      </c>
      <c r="S299">
        <f t="shared" si="62"/>
        <v>89.042586296162582</v>
      </c>
    </row>
    <row r="300" spans="7:19" x14ac:dyDescent="0.25">
      <c r="G300">
        <f t="shared" si="53"/>
        <v>4.9399999999999835</v>
      </c>
      <c r="H300">
        <f t="shared" si="51"/>
        <v>870963.58995604888</v>
      </c>
      <c r="I300" t="str">
        <f t="shared" si="54"/>
        <v>5472425.63150023j</v>
      </c>
      <c r="J300" t="str">
        <f>IMDIV(R_1,IMSUM('Opamp and C Stray Using B'!R_1,IMPRODUCT('Opamp and C Stray Using B'!R_f,IMSUM(1,IMPRODUCT(I300,C_s,R_1)))))</f>
        <v>0.199938686440712-0.00350127869570125j</v>
      </c>
      <c r="K300">
        <f t="shared" si="55"/>
        <v>-13.980731697868594</v>
      </c>
      <c r="L300">
        <f t="shared" si="56"/>
        <v>-1.0032475114488069</v>
      </c>
      <c r="M300">
        <f t="shared" si="57"/>
        <v>0.199938686440712</v>
      </c>
      <c r="N300">
        <f t="shared" si="58"/>
        <v>-3.5012786957012501E-3</v>
      </c>
      <c r="O300" t="str">
        <f t="shared" si="52"/>
        <v>0.000131825673838272-11.4815362134557j</v>
      </c>
      <c r="P300">
        <f t="shared" si="59"/>
        <v>21.199999999427817</v>
      </c>
      <c r="Q300">
        <f t="shared" si="60"/>
        <v>-89.99934215643259</v>
      </c>
      <c r="R300">
        <f t="shared" si="61"/>
        <v>7.2192683015592234</v>
      </c>
      <c r="S300">
        <f t="shared" si="62"/>
        <v>88.997410332118605</v>
      </c>
    </row>
    <row r="301" spans="7:19" x14ac:dyDescent="0.25">
      <c r="G301">
        <f t="shared" si="53"/>
        <v>4.9599999999999831</v>
      </c>
      <c r="H301">
        <f t="shared" si="51"/>
        <v>912010.83935587457</v>
      </c>
      <c r="I301" t="str">
        <f t="shared" si="54"/>
        <v>5730333.10582935j</v>
      </c>
      <c r="J301" t="str">
        <f>IMDIV(R_1,IMSUM('Opamp and C Stray Using B'!R_1,IMPRODUCT('Opamp and C Stray Using B'!R_f,IMSUM(1,IMPRODUCT(I301,C_s,R_1)))))</f>
        <v>0.199932773007493-0.00366618044193633j</v>
      </c>
      <c r="K301">
        <f t="shared" si="55"/>
        <v>-13.980860147716943</v>
      </c>
      <c r="L301">
        <f t="shared" si="56"/>
        <v>-1.0505187525551412</v>
      </c>
      <c r="M301">
        <f t="shared" si="57"/>
        <v>0.19993277300749299</v>
      </c>
      <c r="N301">
        <f t="shared" si="58"/>
        <v>-3.6661804419363302E-3</v>
      </c>
      <c r="O301" t="str">
        <f t="shared" si="52"/>
        <v>0.000120226443447296-10.964781960114j</v>
      </c>
      <c r="P301">
        <f t="shared" si="59"/>
        <v>20.799999999478182</v>
      </c>
      <c r="Q301">
        <f t="shared" si="60"/>
        <v>-89.999371764270364</v>
      </c>
      <c r="R301">
        <f t="shared" si="61"/>
        <v>6.8191398517612392</v>
      </c>
      <c r="S301">
        <f t="shared" si="62"/>
        <v>88.950109483174501</v>
      </c>
    </row>
    <row r="302" spans="7:19" x14ac:dyDescent="0.25">
      <c r="G302">
        <f t="shared" si="53"/>
        <v>4.9799999999999827</v>
      </c>
      <c r="H302">
        <f t="shared" si="51"/>
        <v>954992.58602139901</v>
      </c>
      <c r="I302" t="str">
        <f t="shared" si="54"/>
        <v>6000395.38495509j</v>
      </c>
      <c r="J302" t="str">
        <f>IMDIV(R_1,IMSUM('Opamp and C Stray Using B'!R_1,IMPRODUCT('Opamp and C Stray Using B'!R_f,IMSUM(1,IMPRODUCT(I302,C_s,R_1)))))</f>
        <v>0.199926289458934-0.00383883771072188j</v>
      </c>
      <c r="K302">
        <f t="shared" si="55"/>
        <v>-13.981000985808507</v>
      </c>
      <c r="L302">
        <f t="shared" si="56"/>
        <v>-1.1000162845689809</v>
      </c>
      <c r="M302">
        <f t="shared" si="57"/>
        <v>0.19992628945893401</v>
      </c>
      <c r="N302">
        <f t="shared" si="58"/>
        <v>-3.8388377107218801E-3</v>
      </c>
      <c r="O302" t="str">
        <f t="shared" si="52"/>
        <v>0.000109647819602304-10.4712854793612j</v>
      </c>
      <c r="P302">
        <f t="shared" si="59"/>
        <v>20.399999999524102</v>
      </c>
      <c r="Q302">
        <f t="shared" si="60"/>
        <v>-89.999400039535914</v>
      </c>
      <c r="R302">
        <f t="shared" si="61"/>
        <v>6.4189990137155952</v>
      </c>
      <c r="S302">
        <f t="shared" si="62"/>
        <v>88.900583675895106</v>
      </c>
    </row>
    <row r="303" spans="7:19" x14ac:dyDescent="0.25">
      <c r="G303">
        <f t="shared" si="53"/>
        <v>4.9999999999999822</v>
      </c>
      <c r="H303">
        <f t="shared" si="51"/>
        <v>999999.99999995937</v>
      </c>
      <c r="I303" t="str">
        <f t="shared" si="54"/>
        <v>6283185.30717933j</v>
      </c>
      <c r="J303" t="str">
        <f>IMDIV(R_1,IMSUM('Opamp and C Stray Using B'!R_1,IMPRODUCT('Opamp and C Stray Using B'!R_f,IMSUM(1,IMPRODUCT(I303,C_s,R_1)))))</f>
        <v>0.199919180872606-0.00401961363162265j</v>
      </c>
      <c r="K303">
        <f t="shared" si="55"/>
        <v>-13.981155406455754</v>
      </c>
      <c r="L303">
        <f t="shared" si="56"/>
        <v>-1.1518448021877079</v>
      </c>
      <c r="M303">
        <f t="shared" si="57"/>
        <v>0.19991918087260599</v>
      </c>
      <c r="N303">
        <f t="shared" si="58"/>
        <v>-4.01961363162265E-3</v>
      </c>
      <c r="O303" t="str">
        <f t="shared" si="52"/>
        <v>0.0000999999999900082-9.99999999900041j</v>
      </c>
      <c r="P303">
        <f t="shared" si="59"/>
        <v>19.999999999566064</v>
      </c>
      <c r="Q303">
        <f t="shared" si="60"/>
        <v>-89.999427042204886</v>
      </c>
      <c r="R303">
        <f t="shared" si="61"/>
        <v>6.0188445931103107</v>
      </c>
      <c r="S303">
        <f t="shared" si="62"/>
        <v>88.848728155607404</v>
      </c>
    </row>
    <row r="304" spans="7:19" x14ac:dyDescent="0.25">
      <c r="G304">
        <f t="shared" si="53"/>
        <v>5.0199999999999818</v>
      </c>
      <c r="H304">
        <f t="shared" si="51"/>
        <v>1047128.5480508568</v>
      </c>
      <c r="I304" t="str">
        <f t="shared" si="54"/>
        <v>6579302.70784144j</v>
      </c>
      <c r="J304" t="str">
        <f>IMDIV(R_1,IMSUM('Opamp and C Stray Using B'!R_1,IMPRODUCT('Opamp and C Stray Using B'!R_f,IMSUM(1,IMPRODUCT(I304,C_s,R_1)))))</f>
        <v>0.199911387043682-0.00420888809633548j</v>
      </c>
      <c r="K304">
        <f t="shared" si="55"/>
        <v>-13.981324719017977</v>
      </c>
      <c r="L304">
        <f t="shared" si="56"/>
        <v>-1.2061139005928079</v>
      </c>
      <c r="M304">
        <f t="shared" si="57"/>
        <v>0.199911387043682</v>
      </c>
      <c r="N304">
        <f t="shared" si="58"/>
        <v>-4.2088880963354804E-3</v>
      </c>
      <c r="O304" t="str">
        <f t="shared" si="52"/>
        <v>0.0000912010839272802-9.54992585934376j</v>
      </c>
      <c r="P304">
        <f t="shared" si="59"/>
        <v>19.59999999960425</v>
      </c>
      <c r="Q304">
        <f t="shared" si="60"/>
        <v>-89.999452829553562</v>
      </c>
      <c r="R304">
        <f t="shared" si="61"/>
        <v>5.6186752805862739</v>
      </c>
      <c r="S304">
        <f t="shared" si="62"/>
        <v>88.794433269853627</v>
      </c>
    </row>
    <row r="305" spans="7:19" x14ac:dyDescent="0.25">
      <c r="G305">
        <f t="shared" si="53"/>
        <v>5.0399999999999814</v>
      </c>
      <c r="H305">
        <f t="shared" si="51"/>
        <v>1096478.1961431401</v>
      </c>
      <c r="I305" t="str">
        <f t="shared" si="54"/>
        <v>6889375.69164935j</v>
      </c>
      <c r="J305" t="str">
        <f>IMDIV(R_1,IMSUM('Opamp and C Stray Using B'!R_1,IMPRODUCT('Opamp and C Stray Using B'!R_f,IMSUM(1,IMPRODUCT(I305,C_s,R_1)))))</f>
        <v>0.199902841978628-0.00440705849670139j</v>
      </c>
      <c r="K305">
        <f t="shared" si="55"/>
        <v>-13.981510358964293</v>
      </c>
      <c r="L305">
        <f t="shared" si="56"/>
        <v>-1.2629383014284405</v>
      </c>
      <c r="M305">
        <f t="shared" si="57"/>
        <v>0.19990284197862801</v>
      </c>
      <c r="N305">
        <f t="shared" si="58"/>
        <v>-4.4070584967013902E-3</v>
      </c>
      <c r="O305" t="str">
        <f t="shared" si="52"/>
        <v>0.0000831763771033556-9.12010839280089j</v>
      </c>
      <c r="P305">
        <f t="shared" si="59"/>
        <v>19.199999999639122</v>
      </c>
      <c r="Q305">
        <f t="shared" si="60"/>
        <v>-89.999477456280374</v>
      </c>
      <c r="R305">
        <f t="shared" si="61"/>
        <v>5.2184896406748287</v>
      </c>
      <c r="S305">
        <f t="shared" si="62"/>
        <v>88.737584242291192</v>
      </c>
    </row>
    <row r="306" spans="7:19" x14ac:dyDescent="0.25">
      <c r="G306">
        <f t="shared" si="53"/>
        <v>5.059999999999981</v>
      </c>
      <c r="H306">
        <f t="shared" si="51"/>
        <v>1148153.6214968334</v>
      </c>
      <c r="I306" t="str">
        <f t="shared" si="54"/>
        <v>7214061.96497394j</v>
      </c>
      <c r="J306" t="str">
        <f>IMDIV(R_1,IMSUM('Opamp and C Stray Using B'!R_1,IMPRODUCT('Opamp and C Stray Using B'!R_f,IMSUM(1,IMPRODUCT(I306,C_s,R_1)))))</f>
        <v>0.199893473340693-0.00461454048983559j</v>
      </c>
      <c r="K306">
        <f t="shared" si="55"/>
        <v>-13.981713899997711</v>
      </c>
      <c r="L306">
        <f t="shared" si="56"/>
        <v>-1.3224380886953531</v>
      </c>
      <c r="M306">
        <f t="shared" si="57"/>
        <v>0.19989347334069299</v>
      </c>
      <c r="N306">
        <f t="shared" si="58"/>
        <v>-4.6145404898355899E-3</v>
      </c>
      <c r="O306" t="str">
        <f t="shared" si="52"/>
        <v>0.0000758577574971709-8.70963589890051j</v>
      </c>
      <c r="P306">
        <f t="shared" si="59"/>
        <v>18.799999999670948</v>
      </c>
      <c r="Q306">
        <f t="shared" si="60"/>
        <v>-89.999500974621867</v>
      </c>
      <c r="R306">
        <f t="shared" si="61"/>
        <v>4.8182860996732373</v>
      </c>
      <c r="S306">
        <f t="shared" si="62"/>
        <v>88.678060936682783</v>
      </c>
    </row>
    <row r="307" spans="7:19" x14ac:dyDescent="0.25">
      <c r="G307">
        <f t="shared" si="53"/>
        <v>5.0799999999999805</v>
      </c>
      <c r="H307">
        <f t="shared" si="51"/>
        <v>1202264.4346173611</v>
      </c>
      <c r="I307" t="str">
        <f t="shared" si="54"/>
        <v>7554050.23093238j</v>
      </c>
      <c r="J307" t="str">
        <f>IMDIV(R_1,IMSUM('Opamp and C Stray Using B'!R_1,IMPRODUCT('Opamp and C Stray Using B'!R_f,IMSUM(1,IMPRODUCT(I307,C_s,R_1)))))</f>
        <v>0.199883201842727-0.00483176879052657j</v>
      </c>
      <c r="K307">
        <f t="shared" si="55"/>
        <v>-13.981937067339153</v>
      </c>
      <c r="L307">
        <f t="shared" si="56"/>
        <v>-1.3847389549186981</v>
      </c>
      <c r="M307">
        <f t="shared" si="57"/>
        <v>0.19988320184272701</v>
      </c>
      <c r="N307">
        <f t="shared" si="58"/>
        <v>-4.8317687905265697E-3</v>
      </c>
      <c r="O307" t="str">
        <f t="shared" si="52"/>
        <v>0.0000691830970871134-8.31763771045164j</v>
      </c>
      <c r="P307">
        <f t="shared" si="59"/>
        <v>18.399999999699926</v>
      </c>
      <c r="Q307">
        <f t="shared" si="60"/>
        <v>-89.999523434463654</v>
      </c>
      <c r="R307">
        <f t="shared" si="61"/>
        <v>4.4180629323607725</v>
      </c>
      <c r="S307">
        <f t="shared" si="62"/>
        <v>88.615737610617643</v>
      </c>
    </row>
    <row r="308" spans="7:19" x14ac:dyDescent="0.25">
      <c r="G308">
        <f t="shared" si="53"/>
        <v>5.0999999999999801</v>
      </c>
      <c r="H308">
        <f t="shared" si="51"/>
        <v>1258925.4117941104</v>
      </c>
      <c r="I308" t="str">
        <f t="shared" si="54"/>
        <v>7910061.65021976j</v>
      </c>
      <c r="J308" t="str">
        <f>IMDIV(R_1,IMSUM('Opamp and C Stray Using B'!R_1,IMPRODUCT('Opamp and C Stray Using B'!R_f,IMSUM(1,IMPRODUCT(I308,C_s,R_1)))))</f>
        <v>0.199871940582372-0.00505919799089799j</v>
      </c>
      <c r="K308">
        <f t="shared" si="55"/>
        <v>-13.982181752283207</v>
      </c>
      <c r="L308">
        <f t="shared" si="56"/>
        <v>-1.4499724579497684</v>
      </c>
      <c r="M308">
        <f t="shared" si="57"/>
        <v>0.19987194058237201</v>
      </c>
      <c r="N308">
        <f t="shared" si="58"/>
        <v>-5.05919799089799E-3</v>
      </c>
      <c r="O308" t="str">
        <f t="shared" si="52"/>
        <v>0.000063095734444044-7.94328234674199j</v>
      </c>
      <c r="P308">
        <f t="shared" si="59"/>
        <v>17.999999999726374</v>
      </c>
      <c r="Q308">
        <f t="shared" si="60"/>
        <v>-89.999544883446035</v>
      </c>
      <c r="R308">
        <f t="shared" si="61"/>
        <v>4.0178182474431665</v>
      </c>
      <c r="S308">
        <f t="shared" si="62"/>
        <v>88.550482658604196</v>
      </c>
    </row>
    <row r="309" spans="7:19" x14ac:dyDescent="0.25">
      <c r="G309">
        <f t="shared" si="53"/>
        <v>5.1199999999999797</v>
      </c>
      <c r="H309">
        <f t="shared" si="51"/>
        <v>1318256.7385563473</v>
      </c>
      <c r="I309" t="str">
        <f t="shared" si="54"/>
        <v>8282851.37078772j</v>
      </c>
      <c r="J309" t="str">
        <f>IMDIV(R_1,IMSUM('Opamp and C Stray Using B'!R_1,IMPRODUCT('Opamp and C Stray Using B'!R_f,IMSUM(1,IMPRODUCT(I309,C_s,R_1)))))</f>
        <v>0.199859594314281-0.00529730340713959j</v>
      </c>
      <c r="K309">
        <f t="shared" si="55"/>
        <v>-13.982450028145248</v>
      </c>
      <c r="L309">
        <f t="shared" si="56"/>
        <v>-1.5182762887603829</v>
      </c>
      <c r="M309">
        <f t="shared" si="57"/>
        <v>0.19985959431428099</v>
      </c>
      <c r="N309">
        <f t="shared" si="58"/>
        <v>-5.29730340713959E-3</v>
      </c>
      <c r="O309" t="str">
        <f t="shared" si="52"/>
        <v>0.0000575439937304094-7.58577574985565j</v>
      </c>
      <c r="P309">
        <f t="shared" si="59"/>
        <v>17.599999999750466</v>
      </c>
      <c r="Q309">
        <f t="shared" si="60"/>
        <v>-89.999565367065188</v>
      </c>
      <c r="R309">
        <f t="shared" si="61"/>
        <v>3.617549971605218</v>
      </c>
      <c r="S309">
        <f t="shared" si="62"/>
        <v>88.482158344174422</v>
      </c>
    </row>
    <row r="310" spans="7:19" x14ac:dyDescent="0.25">
      <c r="G310">
        <f t="shared" si="53"/>
        <v>5.1399999999999793</v>
      </c>
      <c r="H310">
        <f t="shared" si="51"/>
        <v>1380384.2646028195</v>
      </c>
      <c r="I310" t="str">
        <f t="shared" si="54"/>
        <v>8673210.12961433j</v>
      </c>
      <c r="J310" t="str">
        <f>IMDIV(R_1,IMSUM('Opamp and C Stray Using B'!R_1,IMPRODUCT('Opamp and C Stray Using B'!R_f,IMSUM(1,IMPRODUCT(I310,C_s,R_1)))))</f>
        <v>0.199846058653509-0.00554658195288675j</v>
      </c>
      <c r="K310">
        <f t="shared" si="55"/>
        <v>-13.98274416773226</v>
      </c>
      <c r="L310">
        <f t="shared" si="56"/>
        <v>-1.5897945505843363</v>
      </c>
      <c r="M310">
        <f t="shared" si="57"/>
        <v>0.19984605865350899</v>
      </c>
      <c r="N310">
        <f t="shared" si="58"/>
        <v>-5.5465819528867496E-3</v>
      </c>
      <c r="O310" t="str">
        <f t="shared" si="52"/>
        <v>0.000052480746022228-7.24435960037005j</v>
      </c>
      <c r="P310">
        <f t="shared" si="59"/>
        <v>17.199999999772484</v>
      </c>
      <c r="Q310">
        <f t="shared" si="60"/>
        <v>-89.999584928769607</v>
      </c>
      <c r="R310">
        <f t="shared" si="61"/>
        <v>3.2172558320402231</v>
      </c>
      <c r="S310">
        <f t="shared" si="62"/>
        <v>88.410620520646063</v>
      </c>
    </row>
    <row r="311" spans="7:19" x14ac:dyDescent="0.25">
      <c r="G311">
        <f t="shared" si="53"/>
        <v>5.1599999999999788</v>
      </c>
      <c r="H311">
        <f t="shared" si="51"/>
        <v>1445439.7707458588</v>
      </c>
      <c r="I311" t="str">
        <f t="shared" si="54"/>
        <v>9081965.92996341j</v>
      </c>
      <c r="J311" t="str">
        <f>IMDIV(R_1,IMSUM('Opamp and C Stray Using B'!R_1,IMPRODUCT('Opamp and C Stray Using B'!R_f,IMSUM(1,IMPRODUCT(I311,C_s,R_1)))))</f>
        <v>0.199831219203735-0.00580755303856438j</v>
      </c>
      <c r="K311">
        <f t="shared" si="55"/>
        <v>-13.983066662480477</v>
      </c>
      <c r="L311">
        <f t="shared" si="56"/>
        <v>-1.6646780497535196</v>
      </c>
      <c r="M311">
        <f t="shared" si="57"/>
        <v>0.19983121920373501</v>
      </c>
      <c r="N311">
        <f t="shared" si="58"/>
        <v>-5.80755303856438E-3</v>
      </c>
      <c r="O311" t="str">
        <f t="shared" si="52"/>
        <v>0.0000478630092299774-6.91830970885856j</v>
      </c>
      <c r="P311">
        <f t="shared" si="59"/>
        <v>16.799999999792544</v>
      </c>
      <c r="Q311">
        <f t="shared" si="60"/>
        <v>-89.999603610052304</v>
      </c>
      <c r="R311">
        <f t="shared" si="61"/>
        <v>2.8169333373120669</v>
      </c>
      <c r="S311">
        <f t="shared" si="62"/>
        <v>88.335718340194177</v>
      </c>
    </row>
    <row r="312" spans="7:19" x14ac:dyDescent="0.25">
      <c r="G312">
        <f t="shared" si="53"/>
        <v>5.1799999999999784</v>
      </c>
      <c r="H312">
        <f t="shared" si="51"/>
        <v>1513561.2484361334</v>
      </c>
      <c r="I312" t="str">
        <f t="shared" si="54"/>
        <v>9509985.7976903j</v>
      </c>
      <c r="J312" t="str">
        <f>IMDIV(R_1,IMSUM('Opamp and C Stray Using B'!R_1,IMPRODUCT('Opamp and C Stray Using B'!R_f,IMSUM(1,IMPRODUCT(I312,C_s,R_1)))))</f>
        <v>0.199814950603382-0.00608075949569392j</v>
      </c>
      <c r="K312">
        <f t="shared" si="55"/>
        <v>-13.983420243417765</v>
      </c>
      <c r="L312">
        <f t="shared" si="56"/>
        <v>-1.7430845985647436</v>
      </c>
      <c r="M312">
        <f t="shared" si="57"/>
        <v>0.199814950603382</v>
      </c>
      <c r="N312">
        <f t="shared" si="58"/>
        <v>-6.0807594956939198E-3</v>
      </c>
      <c r="O312" t="str">
        <f t="shared" si="52"/>
        <v>0.0000436515832221156-6.6069344797879j</v>
      </c>
      <c r="P312">
        <f t="shared" si="59"/>
        <v>16.399999999810873</v>
      </c>
      <c r="Q312">
        <f t="shared" si="60"/>
        <v>-89.999621450538783</v>
      </c>
      <c r="R312">
        <f t="shared" si="61"/>
        <v>2.4165797563931086</v>
      </c>
      <c r="S312">
        <f t="shared" si="62"/>
        <v>88.257293950896468</v>
      </c>
    </row>
    <row r="313" spans="7:19" x14ac:dyDescent="0.25">
      <c r="G313">
        <f t="shared" si="53"/>
        <v>5.199999999999978</v>
      </c>
      <c r="H313">
        <f t="shared" si="51"/>
        <v>1584893.1924610347</v>
      </c>
      <c r="I313" t="str">
        <f t="shared" si="54"/>
        <v>9958177.62032012j</v>
      </c>
      <c r="J313" t="str">
        <f>IMDIV(R_1,IMSUM('Opamp and C Stray Using B'!R_1,IMPRODUCT('Opamp and C Stray Using B'!R_f,IMSUM(1,IMPRODUCT(I313,C_s,R_1)))))</f>
        <v>0.19979711548212-0.00636676852479541j</v>
      </c>
      <c r="K313">
        <f t="shared" si="55"/>
        <v>-13.98380790412228</v>
      </c>
      <c r="L313">
        <f t="shared" si="56"/>
        <v>-1.8251793304983244</v>
      </c>
      <c r="M313">
        <f t="shared" si="57"/>
        <v>0.19979711548212001</v>
      </c>
      <c r="N313">
        <f t="shared" si="58"/>
        <v>-6.3667685247954103E-3</v>
      </c>
      <c r="O313" t="str">
        <f t="shared" si="52"/>
        <v>0.000039810717053769-6.30957344455108j</v>
      </c>
      <c r="P313">
        <f t="shared" si="59"/>
        <v>15.999999999827567</v>
      </c>
      <c r="Q313">
        <f t="shared" si="60"/>
        <v>-89.999638488071099</v>
      </c>
      <c r="R313">
        <f t="shared" si="61"/>
        <v>2.0161920957052875</v>
      </c>
      <c r="S313">
        <f t="shared" si="62"/>
        <v>88.175182181430571</v>
      </c>
    </row>
    <row r="314" spans="7:19" x14ac:dyDescent="0.25">
      <c r="G314">
        <f t="shared" si="53"/>
        <v>5.2199999999999775</v>
      </c>
      <c r="H314">
        <f t="shared" si="51"/>
        <v>1659586.9074374777</v>
      </c>
      <c r="I314" t="str">
        <f t="shared" si="54"/>
        <v>10427492.0727988j</v>
      </c>
      <c r="J314" t="str">
        <f>IMDIV(R_1,IMSUM('Opamp and C Stray Using B'!R_1,IMPRODUCT('Opamp and C Stray Using B'!R_f,IMSUM(1,IMPRODUCT(I314,C_s,R_1)))))</f>
        <v>0.199777563319613-0.00666617266508264j</v>
      </c>
      <c r="K314">
        <f t="shared" si="55"/>
        <v>-13.984232925863797</v>
      </c>
      <c r="L314">
        <f t="shared" si="56"/>
        <v>-1.911135028088063</v>
      </c>
      <c r="M314">
        <f t="shared" si="57"/>
        <v>0.19977756331961299</v>
      </c>
      <c r="N314">
        <f t="shared" si="58"/>
        <v>-6.6661726650826397E-3</v>
      </c>
      <c r="O314" t="str">
        <f t="shared" si="52"/>
        <v>0.0000363078054756954-6.02559586052509j</v>
      </c>
      <c r="P314">
        <f t="shared" si="59"/>
        <v>15.599999999842733</v>
      </c>
      <c r="Q314">
        <f t="shared" si="60"/>
        <v>-89.999654758788125</v>
      </c>
      <c r="R314">
        <f t="shared" si="61"/>
        <v>1.6157670739789367</v>
      </c>
      <c r="S314">
        <f t="shared" si="62"/>
        <v>88.089210213123806</v>
      </c>
    </row>
    <row r="315" spans="7:19" x14ac:dyDescent="0.25">
      <c r="G315">
        <f t="shared" si="53"/>
        <v>5.2399999999999771</v>
      </c>
      <c r="H315">
        <f t="shared" si="51"/>
        <v>1737800.8287492855</v>
      </c>
      <c r="I315" t="str">
        <f t="shared" si="54"/>
        <v>10918924.634002j</v>
      </c>
      <c r="J315" t="str">
        <f>IMDIV(R_1,IMSUM('Opamp and C Stray Using B'!R_1,IMPRODUCT('Opamp and C Stray Using B'!R_f,IMSUM(1,IMPRODUCT(I315,C_s,R_1)))))</f>
        <v>0.199756129197623-0.0069795907836442j</v>
      </c>
      <c r="K315">
        <f t="shared" si="55"/>
        <v>-13.98469890513354</v>
      </c>
      <c r="L315">
        <f t="shared" si="56"/>
        <v>-2.001132463715714</v>
      </c>
      <c r="M315">
        <f t="shared" si="57"/>
        <v>0.19975612919762301</v>
      </c>
      <c r="N315">
        <f t="shared" si="58"/>
        <v>-6.9795907836441998E-3</v>
      </c>
      <c r="O315" t="str">
        <f t="shared" si="52"/>
        <v>0.0000331131121471663-5.75439937318134j</v>
      </c>
      <c r="P315">
        <f t="shared" si="59"/>
        <v>15.19999999985667</v>
      </c>
      <c r="Q315">
        <f t="shared" si="60"/>
        <v>-89.999670297202286</v>
      </c>
      <c r="R315">
        <f t="shared" si="61"/>
        <v>1.2153010947231309</v>
      </c>
      <c r="S315">
        <f t="shared" si="62"/>
        <v>87.999197239081994</v>
      </c>
    </row>
    <row r="316" spans="7:19" x14ac:dyDescent="0.25">
      <c r="G316">
        <f t="shared" si="53"/>
        <v>5.2599999999999767</v>
      </c>
      <c r="H316">
        <f t="shared" si="51"/>
        <v>1819700.8586098887</v>
      </c>
      <c r="I316" t="str">
        <f t="shared" si="54"/>
        <v>11433517.6982797j</v>
      </c>
      <c r="J316" t="str">
        <f>IMDIV(R_1,IMSUM('Opamp and C Stray Using B'!R_1,IMPRODUCT('Opamp and C Stray Using B'!R_f,IMSUM(1,IMPRODUCT(I316,C_s,R_1)))))</f>
        <v>0.199732632435926-0.00730766908121647j</v>
      </c>
      <c r="K316">
        <f t="shared" si="55"/>
        <v>-13.985209783783413</v>
      </c>
      <c r="L316">
        <f t="shared" si="56"/>
        <v>-2.0953607535685594</v>
      </c>
      <c r="M316">
        <f t="shared" si="57"/>
        <v>0.19973263243592601</v>
      </c>
      <c r="N316">
        <f t="shared" si="58"/>
        <v>-7.3076690812164703E-3</v>
      </c>
      <c r="O316" t="str">
        <f t="shared" si="52"/>
        <v>0.0000301995172031116-5.4954087384106j</v>
      </c>
      <c r="P316">
        <f t="shared" si="59"/>
        <v>14.799999999869339</v>
      </c>
      <c r="Q316">
        <f t="shared" si="60"/>
        <v>-89.999685136272589</v>
      </c>
      <c r="R316">
        <f t="shared" si="61"/>
        <v>0.81479021608592639</v>
      </c>
      <c r="S316">
        <f t="shared" si="62"/>
        <v>87.904954110158855</v>
      </c>
    </row>
    <row r="317" spans="7:19" x14ac:dyDescent="0.25">
      <c r="G317">
        <f t="shared" si="53"/>
        <v>5.2799999999999763</v>
      </c>
      <c r="H317">
        <f t="shared" si="51"/>
        <v>1905460.7179631444</v>
      </c>
      <c r="I317" t="str">
        <f t="shared" si="54"/>
        <v>11972362.7865139j</v>
      </c>
      <c r="J317" t="str">
        <f>IMDIV(R_1,IMSUM('Opamp and C Stray Using B'!R_1,IMPRODUCT('Opamp and C Stray Using B'!R_f,IMSUM(1,IMPRODUCT(I317,C_s,R_1)))))</f>
        <v>0.199706875101626-0.00765108211096857j</v>
      </c>
      <c r="K317">
        <f t="shared" si="55"/>
        <v>-13.985769882019044</v>
      </c>
      <c r="L317">
        <f t="shared" si="56"/>
        <v>-2.1940177249560886</v>
      </c>
      <c r="M317">
        <f t="shared" si="57"/>
        <v>0.19970687510162599</v>
      </c>
      <c r="N317">
        <f t="shared" si="58"/>
        <v>-7.6510821109685703E-3</v>
      </c>
      <c r="O317" t="str">
        <f t="shared" si="52"/>
        <v>0.0000275422870326259-5.24807460235345j</v>
      </c>
      <c r="P317">
        <f t="shared" si="59"/>
        <v>14.399999999880828</v>
      </c>
      <c r="Q317">
        <f t="shared" si="60"/>
        <v>-89.999699307474714</v>
      </c>
      <c r="R317">
        <f t="shared" si="61"/>
        <v>0.41423011786178421</v>
      </c>
      <c r="S317">
        <f t="shared" si="62"/>
        <v>87.806282967569203</v>
      </c>
    </row>
    <row r="318" spans="7:19" x14ac:dyDescent="0.25">
      <c r="G318">
        <f t="shared" si="53"/>
        <v>5.2999999999999758</v>
      </c>
      <c r="H318">
        <f t="shared" si="51"/>
        <v>1995262.3149687715</v>
      </c>
      <c r="I318" t="str">
        <f t="shared" si="54"/>
        <v>12536602.8613809j</v>
      </c>
      <c r="J318" t="str">
        <f>IMDIV(R_1,IMSUM('Opamp and C Stray Using B'!R_1,IMPRODUCT('Opamp and C Stray Using B'!R_f,IMSUM(1,IMPRODUCT(I318,C_s,R_1)))))</f>
        <v>0.199678640380696-0.00801053380593047j</v>
      </c>
      <c r="K318">
        <f t="shared" si="55"/>
        <v>-13.986383934509332</v>
      </c>
      <c r="L318">
        <f t="shared" si="56"/>
        <v>-2.2973102971296671</v>
      </c>
      <c r="M318">
        <f t="shared" si="57"/>
        <v>0.19967864038069599</v>
      </c>
      <c r="N318">
        <f t="shared" si="58"/>
        <v>-8.0105338059304702E-3</v>
      </c>
      <c r="O318" t="str">
        <f t="shared" si="52"/>
        <v>0.0000251188643144676-5.01187233614711j</v>
      </c>
      <c r="P318">
        <f t="shared" si="59"/>
        <v>13.999999999891394</v>
      </c>
      <c r="Q318">
        <f t="shared" si="60"/>
        <v>-89.999712840867673</v>
      </c>
      <c r="R318">
        <f t="shared" si="61"/>
        <v>1.3616065382061393E-2</v>
      </c>
      <c r="S318">
        <f t="shared" si="62"/>
        <v>87.702976862002657</v>
      </c>
    </row>
    <row r="319" spans="7:19" x14ac:dyDescent="0.25">
      <c r="G319">
        <f t="shared" si="53"/>
        <v>5.3199999999999754</v>
      </c>
      <c r="H319">
        <f t="shared" si="51"/>
        <v>2089296.1308539221</v>
      </c>
      <c r="I319" t="str">
        <f t="shared" si="54"/>
        <v>13127434.7517285j</v>
      </c>
      <c r="J319" t="str">
        <f>IMDIV(R_1,IMSUM('Opamp and C Stray Using B'!R_1,IMPRODUCT('Opamp and C Stray Using B'!R_f,IMSUM(1,IMPRODUCT(I319,C_s,R_1)))))</f>
        <v>0.19964769079963-0.00838675850977731j</v>
      </c>
      <c r="K319">
        <f t="shared" si="55"/>
        <v>-13.987057129901256</v>
      </c>
      <c r="L319">
        <f t="shared" si="56"/>
        <v>-2.4054548756854759</v>
      </c>
      <c r="M319">
        <f t="shared" si="57"/>
        <v>0.19964769079962999</v>
      </c>
      <c r="N319">
        <f t="shared" si="58"/>
        <v>-8.38675850977731E-3</v>
      </c>
      <c r="O319" t="str">
        <f t="shared" si="52"/>
        <v>0.0000229086765271555-4.78630092311701j</v>
      </c>
      <c r="P319">
        <f t="shared" si="59"/>
        <v>13.599999999901009</v>
      </c>
      <c r="Q319">
        <f t="shared" si="60"/>
        <v>-89.999725765157621</v>
      </c>
      <c r="R319">
        <f t="shared" si="61"/>
        <v>-0.38705713000024744</v>
      </c>
      <c r="S319">
        <f t="shared" si="62"/>
        <v>87.594819359156901</v>
      </c>
    </row>
    <row r="320" spans="7:19" x14ac:dyDescent="0.25">
      <c r="G320">
        <f t="shared" si="53"/>
        <v>5.339999999999975</v>
      </c>
      <c r="H320">
        <f t="shared" si="51"/>
        <v>2187761.623949429</v>
      </c>
      <c r="I320" t="str">
        <f t="shared" si="54"/>
        <v>13746111.6912104j</v>
      </c>
      <c r="J320" t="str">
        <f>IMDIV(R_1,IMSUM('Opamp and C Stray Using B'!R_1,IMPRODUCT('Opamp and C Stray Using B'!R_f,IMSUM(1,IMPRODUCT(I320,C_s,R_1)))))</f>
        <v>0.199613766284215-0.00878052200462716j</v>
      </c>
      <c r="K320">
        <f t="shared" si="55"/>
        <v>-13.987795154051604</v>
      </c>
      <c r="L320">
        <f t="shared" si="56"/>
        <v>-2.5186777605542208</v>
      </c>
      <c r="M320">
        <f t="shared" si="57"/>
        <v>0.19961376628421501</v>
      </c>
      <c r="N320">
        <f t="shared" si="58"/>
        <v>-8.7805220046271604E-3</v>
      </c>
      <c r="O320" t="str">
        <f t="shared" si="52"/>
        <v>0.0000208929613081062-4.57088189605351j</v>
      </c>
      <c r="P320">
        <f t="shared" si="59"/>
        <v>13.199999999909755</v>
      </c>
      <c r="Q320">
        <f t="shared" si="60"/>
        <v>-89.999738107758702</v>
      </c>
      <c r="R320">
        <f t="shared" si="61"/>
        <v>-0.78779515414184864</v>
      </c>
      <c r="S320">
        <f t="shared" si="62"/>
        <v>87.481584131687072</v>
      </c>
    </row>
    <row r="321" spans="7:19" x14ac:dyDescent="0.25">
      <c r="G321">
        <f t="shared" si="53"/>
        <v>5.3599999999999746</v>
      </c>
      <c r="H321">
        <f t="shared" si="51"/>
        <v>2290867.6527676433</v>
      </c>
      <c r="I321" t="str">
        <f t="shared" si="54"/>
        <v>14393945.9765626j</v>
      </c>
      <c r="J321" t="str">
        <f>IMDIV(R_1,IMSUM('Opamp and C Stray Using B'!R_1,IMPRODUCT('Opamp and C Stray Using B'!R_f,IMSUM(1,IMPRODUCT(I321,C_s,R_1)))))</f>
        <v>0.199576582041423-0.00919262252829206j</v>
      </c>
      <c r="K321">
        <f t="shared" si="55"/>
        <v>-13.98860423731591</v>
      </c>
      <c r="L321">
        <f t="shared" si="56"/>
        <v>-2.6372155674899713</v>
      </c>
      <c r="M321">
        <f t="shared" si="57"/>
        <v>0.19957658204142301</v>
      </c>
      <c r="N321">
        <f t="shared" si="58"/>
        <v>-9.1926225282920604E-3</v>
      </c>
      <c r="O321" t="str">
        <f t="shared" si="52"/>
        <v>0.0000190546071792716-4.36515832231874j</v>
      </c>
      <c r="P321">
        <f t="shared" si="59"/>
        <v>12.799999999917757</v>
      </c>
      <c r="Q321">
        <f t="shared" si="60"/>
        <v>-89.99974989485122</v>
      </c>
      <c r="R321">
        <f t="shared" si="61"/>
        <v>-1.1886042373981525</v>
      </c>
      <c r="S321">
        <f t="shared" si="62"/>
        <v>87.363034537658805</v>
      </c>
    </row>
    <row r="322" spans="7:19" x14ac:dyDescent="0.25">
      <c r="G322">
        <f t="shared" si="53"/>
        <v>5.3799999999999741</v>
      </c>
      <c r="H322">
        <f t="shared" si="51"/>
        <v>2398832.9190193499</v>
      </c>
      <c r="I322" t="str">
        <f t="shared" si="54"/>
        <v>15072311.7511611j</v>
      </c>
      <c r="J322" t="str">
        <f>IMDIV(R_1,IMSUM('Opamp and C Stray Using B'!R_1,IMPRODUCT('Opamp and C Stray Using B'!R_f,IMSUM(1,IMPRODUCT(I322,C_s,R_1)))))</f>
        <v>0.199535826249448-0.00962389177202306j</v>
      </c>
      <c r="K322">
        <f t="shared" si="55"/>
        <v>-13.989491206262709</v>
      </c>
      <c r="L322">
        <f t="shared" si="56"/>
        <v>-2.7613156628613944</v>
      </c>
      <c r="M322">
        <f t="shared" si="57"/>
        <v>0.19953582624944799</v>
      </c>
      <c r="N322">
        <f t="shared" si="58"/>
        <v>-9.6238917720230608E-3</v>
      </c>
      <c r="O322" t="str">
        <f t="shared" si="52"/>
        <v>0.0000173780082871938-4.16869383463115j</v>
      </c>
      <c r="P322">
        <f t="shared" si="59"/>
        <v>12.399999999925026</v>
      </c>
      <c r="Q322">
        <f t="shared" si="60"/>
        <v>-89.999761151437198</v>
      </c>
      <c r="R322">
        <f t="shared" si="61"/>
        <v>-1.5894912063376836</v>
      </c>
      <c r="S322">
        <f t="shared" si="62"/>
        <v>87.23892318570141</v>
      </c>
    </row>
    <row r="323" spans="7:19" x14ac:dyDescent="0.25">
      <c r="G323">
        <f t="shared" si="53"/>
        <v>5.3999999999999737</v>
      </c>
      <c r="H323">
        <f t="shared" ref="H323:H353" si="63">$B$3*10^G323</f>
        <v>2511886.4315094328</v>
      </c>
      <c r="I323" t="str">
        <f t="shared" si="54"/>
        <v>15782647.9197638j</v>
      </c>
      <c r="J323" t="str">
        <f>IMDIV(R_1,IMSUM('Opamp and C Stray Using B'!R_1,IMPRODUCT('Opamp and C Stray Using B'!R_f,IMSUM(1,IMPRODUCT(I323,C_s,R_1)))))</f>
        <v>0.199491157539857-0.0100751958481847j</v>
      </c>
      <c r="K323">
        <f t="shared" si="55"/>
        <v>-13.990463540212957</v>
      </c>
      <c r="L323">
        <f t="shared" si="56"/>
        <v>-2.8912366114203372</v>
      </c>
      <c r="M323">
        <f t="shared" si="57"/>
        <v>0.19949115753985699</v>
      </c>
      <c r="N323">
        <f t="shared" si="58"/>
        <v>-1.00751958481847E-2</v>
      </c>
      <c r="O323" t="str">
        <f t="shared" ref="O323:O353" si="64">IMDIV(Aolv,IMSUM(1,IMDIV(I323,wc)))</f>
        <v>0.0000158489319243618-3.98107170547211j</v>
      </c>
      <c r="P323">
        <f t="shared" si="59"/>
        <v>11.999999999931676</v>
      </c>
      <c r="Q323">
        <f t="shared" si="60"/>
        <v>-89.999771901393345</v>
      </c>
      <c r="R323">
        <f t="shared" si="61"/>
        <v>-1.9904635402812811</v>
      </c>
      <c r="S323">
        <f t="shared" si="62"/>
        <v>87.108991487186316</v>
      </c>
    </row>
    <row r="324" spans="7:19" x14ac:dyDescent="0.25">
      <c r="G324">
        <f t="shared" ref="G324:G353" si="65">G323+(1/ppd)</f>
        <v>5.4199999999999733</v>
      </c>
      <c r="H324">
        <f t="shared" si="63"/>
        <v>2630267.9918952221</v>
      </c>
      <c r="I324" t="str">
        <f t="shared" ref="I324:I353" si="66">COMPLEX(0,H324*2*PI(),"j")</f>
        <v>16526461.2006208j</v>
      </c>
      <c r="J324" t="str">
        <f>IMDIV(R_1,IMSUM('Opamp and C Stray Using B'!R_1,IMPRODUCT('Opamp and C Stray Using B'!R_f,IMSUM(1,IMPRODUCT(I324,C_s,R_1)))))</f>
        <v>0.199442202254782-0.0105474362154561j</v>
      </c>
      <c r="K324">
        <f t="shared" ref="K324:K353" si="67">20*LOG(IMABS(J324))</f>
        <v>-13.99152943303703</v>
      </c>
      <c r="L324">
        <f t="shared" ref="L324:L353" si="68">DEGREES(IMARGUMENT(J324))</f>
        <v>-3.0272486365712967</v>
      </c>
      <c r="M324">
        <f t="shared" ref="M324:M353" si="69">IMREAL(J324)</f>
        <v>0.19944220225478199</v>
      </c>
      <c r="N324">
        <f t="shared" ref="N324:N353" si="70">IMAGINARY(J324)</f>
        <v>-1.0547436215456099E-2</v>
      </c>
      <c r="O324" t="str">
        <f t="shared" si="64"/>
        <v>0.0000144543977072521-3.80189396315089j</v>
      </c>
      <c r="P324">
        <f t="shared" ref="P324:P353" si="71">20*LOG(IMABS(O324))</f>
        <v>11.599999999937756</v>
      </c>
      <c r="Q324">
        <f t="shared" ref="Q324:Q353" si="72">DEGREES(IMARGUMENT(O324))</f>
        <v>-89.999782167521758</v>
      </c>
      <c r="R324">
        <f t="shared" ref="R324:R353" si="73">P324+K324</f>
        <v>-2.391529433099274</v>
      </c>
      <c r="S324">
        <f t="shared" ref="S324:S353" si="74">(Q324+L324)-(-180)</f>
        <v>86.972969195906941</v>
      </c>
    </row>
    <row r="325" spans="7:19" x14ac:dyDescent="0.25">
      <c r="G325">
        <f t="shared" si="65"/>
        <v>5.4399999999999729</v>
      </c>
      <c r="H325">
        <f t="shared" si="63"/>
        <v>2754228.7033379986</v>
      </c>
      <c r="I325" t="str">
        <f t="shared" si="66"/>
        <v>17305329.3214256j</v>
      </c>
      <c r="J325" t="str">
        <f>IMDIV(R_1,IMSUM('Opamp and C Stray Using B'!R_1,IMPRODUCT('Opamp and C Stray Using B'!R_f,IMSUM(1,IMPRODUCT(I325,C_s,R_1)))))</f>
        <v>0.199388551461005-0.0110415505470551j</v>
      </c>
      <c r="K325">
        <f t="shared" si="67"/>
        <v>-13.992697860677609</v>
      </c>
      <c r="L325">
        <f t="shared" si="68"/>
        <v>-3.1696340924883852</v>
      </c>
      <c r="M325">
        <f t="shared" si="69"/>
        <v>0.19938855146100501</v>
      </c>
      <c r="N325">
        <f t="shared" si="70"/>
        <v>-1.10415505470551E-2</v>
      </c>
      <c r="O325" t="str">
        <f t="shared" si="64"/>
        <v>0.0000131825673853919-3.63078054765337j</v>
      </c>
      <c r="P325">
        <f t="shared" si="71"/>
        <v>11.199999999943273</v>
      </c>
      <c r="Q325">
        <f t="shared" si="72"/>
        <v>-89.999791971598285</v>
      </c>
      <c r="R325">
        <f t="shared" si="73"/>
        <v>-2.7926978607343358</v>
      </c>
      <c r="S325">
        <f t="shared" si="74"/>
        <v>86.830573935913336</v>
      </c>
    </row>
    <row r="326" spans="7:19" x14ac:dyDescent="0.25">
      <c r="G326">
        <f t="shared" si="65"/>
        <v>5.4599999999999724</v>
      </c>
      <c r="H326">
        <f t="shared" si="63"/>
        <v>2884031.5031264247</v>
      </c>
      <c r="I326" t="str">
        <f t="shared" si="66"/>
        <v>18120904.365887j</v>
      </c>
      <c r="J326" t="str">
        <f>IMDIV(R_1,IMSUM('Opamp and C Stray Using B'!R_1,IMPRODUCT('Opamp and C Stray Using B'!R_f,IMSUM(1,IMPRODUCT(I326,C_s,R_1)))))</f>
        <v>0.19932975770176-0.0115585135250849j</v>
      </c>
      <c r="K326">
        <f t="shared" si="67"/>
        <v>-13.993978654902953</v>
      </c>
      <c r="L326">
        <f t="shared" si="68"/>
        <v>-3.3186879472191215</v>
      </c>
      <c r="M326">
        <f t="shared" si="69"/>
        <v>0.19932975770176001</v>
      </c>
      <c r="N326">
        <f t="shared" si="70"/>
        <v>-1.15585135250849E-2</v>
      </c>
      <c r="O326" t="str">
        <f t="shared" si="64"/>
        <v>0.0000120226443460311-3.46736850448385j</v>
      </c>
      <c r="P326">
        <f t="shared" si="71"/>
        <v>10.799999999948337</v>
      </c>
      <c r="Q326">
        <f t="shared" si="72"/>
        <v>-89.999801334418677</v>
      </c>
      <c r="R326">
        <f t="shared" si="73"/>
        <v>-3.1939786549546163</v>
      </c>
      <c r="S326">
        <f t="shared" si="74"/>
        <v>86.681510718362205</v>
      </c>
    </row>
    <row r="327" spans="7:19" x14ac:dyDescent="0.25">
      <c r="G327">
        <f t="shared" si="65"/>
        <v>5.479999999999972</v>
      </c>
      <c r="H327">
        <f t="shared" si="63"/>
        <v>3019951.7204018258</v>
      </c>
      <c r="I327" t="str">
        <f t="shared" si="66"/>
        <v>18974916.2780205j</v>
      </c>
      <c r="J327" t="str">
        <f>IMDIV(R_1,IMSUM('Opamp and C Stray Using B'!R_1,IMPRODUCT('Opamp and C Stray Using B'!R_f,IMSUM(1,IMPRODUCT(I327,C_s,R_1)))))</f>
        <v>0.199265331466025-0.0120993375413755j</v>
      </c>
      <c r="K327">
        <f t="shared" si="67"/>
        <v>-13.995382583836026</v>
      </c>
      <c r="L327">
        <f t="shared" si="68"/>
        <v>-3.4747182756745674</v>
      </c>
      <c r="M327">
        <f t="shared" si="69"/>
        <v>0.19926533146602499</v>
      </c>
      <c r="N327">
        <f t="shared" si="70"/>
        <v>-1.20993375413755E-2</v>
      </c>
      <c r="O327" t="str">
        <f t="shared" si="64"/>
        <v>0.000010964781961313-3.31131121478981j</v>
      </c>
      <c r="P327">
        <f t="shared" si="71"/>
        <v>10.399999999952922</v>
      </c>
      <c r="Q327">
        <f t="shared" si="72"/>
        <v>-89.999810275842734</v>
      </c>
      <c r="R327">
        <f t="shared" si="73"/>
        <v>-3.5953825838831044</v>
      </c>
      <c r="S327">
        <f t="shared" si="74"/>
        <v>86.525471448482705</v>
      </c>
    </row>
    <row r="328" spans="7:19" x14ac:dyDescent="0.25">
      <c r="G328">
        <f t="shared" si="65"/>
        <v>5.4999999999999716</v>
      </c>
      <c r="H328">
        <f t="shared" si="63"/>
        <v>3162277.6601681737</v>
      </c>
      <c r="I328" t="str">
        <f t="shared" si="66"/>
        <v>19869176.5315909j</v>
      </c>
      <c r="J328" t="str">
        <f>IMDIV(R_1,IMSUM('Opamp and C Stray Using B'!R_1,IMPRODUCT('Opamp and C Stray Using B'!R_f,IMSUM(1,IMPRODUCT(I328,C_s,R_1)))))</f>
        <v>0.199194737354152-0.0126650732820913j</v>
      </c>
      <c r="K328">
        <f t="shared" si="67"/>
        <v>-13.996921439845005</v>
      </c>
      <c r="L328">
        <f t="shared" si="68"/>
        <v>-3.638046761125366</v>
      </c>
      <c r="M328">
        <f t="shared" si="69"/>
        <v>0.199194737354152</v>
      </c>
      <c r="N328">
        <f t="shared" si="70"/>
        <v>-1.2665073282091301E-2</v>
      </c>
      <c r="O328" t="str">
        <f t="shared" si="64"/>
        <v>9.99999999990132E-06-3.16227766013697j</v>
      </c>
      <c r="P328">
        <f t="shared" si="71"/>
        <v>9.999999999957156</v>
      </c>
      <c r="Q328">
        <f t="shared" si="72"/>
        <v>-89.999818814836416</v>
      </c>
      <c r="R328">
        <f t="shared" si="73"/>
        <v>-3.9969214398878492</v>
      </c>
      <c r="S328">
        <f t="shared" si="74"/>
        <v>86.362134424038217</v>
      </c>
    </row>
    <row r="329" spans="7:19" x14ac:dyDescent="0.25">
      <c r="G329">
        <f t="shared" si="65"/>
        <v>5.5199999999999712</v>
      </c>
      <c r="H329">
        <f t="shared" si="63"/>
        <v>3311311.2148256949</v>
      </c>
      <c r="I329" t="str">
        <f t="shared" si="66"/>
        <v>20805581.9724918j</v>
      </c>
      <c r="J329" t="str">
        <f>IMDIV(R_1,IMSUM('Opamp and C Stray Using B'!R_1,IMPRODUCT('Opamp and C Stray Using B'!R_f,IMSUM(1,IMPRODUCT(I329,C_s,R_1)))))</f>
        <v>0.199117389917815-0.0132568101698679j</v>
      </c>
      <c r="K329">
        <f t="shared" si="67"/>
        <v>-13.998608135424298</v>
      </c>
      <c r="L329">
        <f t="shared" si="68"/>
        <v>-3.8090092035019416</v>
      </c>
      <c r="M329">
        <f t="shared" si="69"/>
        <v>0.199117389917815</v>
      </c>
      <c r="N329">
        <f t="shared" si="70"/>
        <v>-1.32568101698679E-2</v>
      </c>
      <c r="O329" t="str">
        <f t="shared" si="64"/>
        <v>9.12010839347708E-06-3.01995172037467j</v>
      </c>
      <c r="P329">
        <f t="shared" si="71"/>
        <v>9.5999999999609535</v>
      </c>
      <c r="Q329">
        <f t="shared" si="72"/>
        <v>-89.9998269695121</v>
      </c>
      <c r="R329">
        <f t="shared" si="73"/>
        <v>-4.3986081354633448</v>
      </c>
      <c r="S329">
        <f t="shared" si="74"/>
        <v>86.191163826985957</v>
      </c>
    </row>
    <row r="330" spans="7:19" x14ac:dyDescent="0.25">
      <c r="G330">
        <f t="shared" si="65"/>
        <v>5.5399999999999707</v>
      </c>
      <c r="H330">
        <f t="shared" si="63"/>
        <v>3467368.5045250896</v>
      </c>
      <c r="I330" t="str">
        <f t="shared" si="66"/>
        <v>21786118.8422093j</v>
      </c>
      <c r="J330" t="str">
        <f>IMDIV(R_1,IMSUM('Opamp and C Stray Using B'!R_1,IMPRODUCT('Opamp and C Stray Using B'!R_f,IMSUM(1,IMPRODUCT(I330,C_s,R_1)))))</f>
        <v>0.199032649151525-0.0138756766332636j</v>
      </c>
      <c r="K330">
        <f t="shared" si="67"/>
        <v>-14.000456807740594</v>
      </c>
      <c r="L330">
        <f t="shared" si="68"/>
        <v>-3.9879560324237153</v>
      </c>
      <c r="M330">
        <f t="shared" si="69"/>
        <v>0.19903264915152499</v>
      </c>
      <c r="N330">
        <f t="shared" si="70"/>
        <v>-1.38756766332636E-2</v>
      </c>
      <c r="O330" t="str">
        <f t="shared" si="64"/>
        <v>8.31763771095861E-06-2.88403150310281j</v>
      </c>
      <c r="P330">
        <f t="shared" si="71"/>
        <v>9.1999999999644562</v>
      </c>
      <c r="Q330">
        <f t="shared" si="72"/>
        <v>-89.999834757166894</v>
      </c>
      <c r="R330">
        <f t="shared" si="73"/>
        <v>-4.800456807776138</v>
      </c>
      <c r="S330">
        <f t="shared" si="74"/>
        <v>86.012209210409395</v>
      </c>
    </row>
    <row r="331" spans="7:19" x14ac:dyDescent="0.25">
      <c r="G331">
        <f t="shared" si="65"/>
        <v>5.5599999999999703</v>
      </c>
      <c r="H331">
        <f t="shared" si="63"/>
        <v>3630780.5477007688</v>
      </c>
      <c r="I331" t="str">
        <f t="shared" si="66"/>
        <v>22812866.9909069j</v>
      </c>
      <c r="J331" t="str">
        <f>IMDIV(R_1,IMSUM('Opamp and C Stray Using B'!R_1,IMPRODUCT('Opamp and C Stray Using B'!R_f,IMSUM(1,IMPRODUCT(I331,C_s,R_1)))))</f>
        <v>0.198939815612474-0.0145228401688413j</v>
      </c>
      <c r="K331">
        <f t="shared" si="67"/>
        <v>-14.00248293256309</v>
      </c>
      <c r="L331">
        <f t="shared" si="68"/>
        <v>-4.1752528224564607</v>
      </c>
      <c r="M331">
        <f t="shared" si="69"/>
        <v>0.19893981561247401</v>
      </c>
      <c r="N331">
        <f t="shared" si="70"/>
        <v>-1.4522840168841301E-2</v>
      </c>
      <c r="O331" t="str">
        <f t="shared" si="64"/>
        <v>7.58577575023531E-06-2.75422870331746j</v>
      </c>
      <c r="P331">
        <f t="shared" si="71"/>
        <v>8.7999999999676444</v>
      </c>
      <c r="Q331">
        <f t="shared" si="72"/>
        <v>-89.999842194319484</v>
      </c>
      <c r="R331">
        <f t="shared" si="73"/>
        <v>-5.202482932595446</v>
      </c>
      <c r="S331">
        <f t="shared" si="74"/>
        <v>85.824904983224059</v>
      </c>
    </row>
    <row r="332" spans="7:19" x14ac:dyDescent="0.25">
      <c r="G332">
        <f t="shared" si="65"/>
        <v>5.5799999999999699</v>
      </c>
      <c r="H332">
        <f t="shared" si="63"/>
        <v>3801893.9632053552</v>
      </c>
      <c r="I332" t="str">
        <f t="shared" si="66"/>
        <v>23888004.2890667j</v>
      </c>
      <c r="J332" t="str">
        <f>IMDIV(R_1,IMSUM('Opamp and C Stray Using B'!R_1,IMPRODUCT('Opamp and C Stray Using B'!R_f,IMSUM(1,IMPRODUCT(I332,C_s,R_1)))))</f>
        <v>0.198838125145159-0.0151995071561521j</v>
      </c>
      <c r="K332">
        <f t="shared" si="67"/>
        <v>-14.004703448346099</v>
      </c>
      <c r="L332">
        <f t="shared" si="68"/>
        <v>-4.3712808076052312</v>
      </c>
      <c r="M332">
        <f t="shared" si="69"/>
        <v>0.198838125145159</v>
      </c>
      <c r="N332">
        <f t="shared" si="70"/>
        <v>-1.5199507156152099E-2</v>
      </c>
      <c r="O332" t="str">
        <f t="shared" si="64"/>
        <v>6.91830970914242E-06-2.63026799187736j</v>
      </c>
      <c r="P332">
        <f t="shared" si="71"/>
        <v>8.3999999999705306</v>
      </c>
      <c r="Q332">
        <f t="shared" si="72"/>
        <v>-89.999849296745083</v>
      </c>
      <c r="R332">
        <f t="shared" si="73"/>
        <v>-5.6047034483755684</v>
      </c>
      <c r="S332">
        <f t="shared" si="74"/>
        <v>85.628869895649686</v>
      </c>
    </row>
    <row r="333" spans="7:19" x14ac:dyDescent="0.25">
      <c r="G333">
        <f t="shared" si="65"/>
        <v>5.5999999999999694</v>
      </c>
      <c r="H333">
        <f t="shared" si="63"/>
        <v>3981071.7055346956</v>
      </c>
      <c r="I333" t="str">
        <f t="shared" si="66"/>
        <v>25013811.247044j</v>
      </c>
      <c r="J333" t="str">
        <f>IMDIV(R_1,IMSUM('Opamp and C Stray Using B'!R_1,IMPRODUCT('Opamp and C Stray Using B'!R_f,IMSUM(1,IMPRODUCT(I333,C_s,R_1)))))</f>
        <v>0.198726743187389-0.0159069223802532j</v>
      </c>
      <c r="K333">
        <f t="shared" si="67"/>
        <v>-14.00713689127638</v>
      </c>
      <c r="L333">
        <f t="shared" si="68"/>
        <v>-4.5764373914902059</v>
      </c>
      <c r="M333">
        <f t="shared" si="69"/>
        <v>0.198726743187389</v>
      </c>
      <c r="N333">
        <f t="shared" si="70"/>
        <v>-1.5906922380253201E-2</v>
      </c>
      <c r="O333" t="str">
        <f t="shared" si="64"/>
        <v>6.30957344476299E-06-2.5118864314939j</v>
      </c>
      <c r="P333">
        <f t="shared" si="71"/>
        <v>7.9999999999731806</v>
      </c>
      <c r="Q333">
        <f t="shared" si="72"/>
        <v>-89.999856079508859</v>
      </c>
      <c r="R333">
        <f t="shared" si="73"/>
        <v>-6.0071368913031993</v>
      </c>
      <c r="S333">
        <f t="shared" si="74"/>
        <v>85.423706529000938</v>
      </c>
    </row>
    <row r="334" spans="7:19" x14ac:dyDescent="0.25">
      <c r="G334">
        <f t="shared" si="65"/>
        <v>5.619999999999969</v>
      </c>
      <c r="H334">
        <f t="shared" si="63"/>
        <v>4168693.8347030636</v>
      </c>
      <c r="I334" t="str">
        <f t="shared" si="66"/>
        <v>26192675.8523364j</v>
      </c>
      <c r="J334" t="str">
        <f>IMDIV(R_1,IMSUM('Opamp and C Stray Using B'!R_1,IMPRODUCT('Opamp and C Stray Using B'!R_f,IMSUM(1,IMPRODUCT(I334,C_s,R_1)))))</f>
        <v>0.198604758634735-0.0166463682100836j</v>
      </c>
      <c r="K334">
        <f t="shared" si="67"/>
        <v>-14.009803542146832</v>
      </c>
      <c r="L334">
        <f t="shared" si="68"/>
        <v>-4.7911366490139677</v>
      </c>
      <c r="M334">
        <f t="shared" si="69"/>
        <v>0.19860475863473501</v>
      </c>
      <c r="N334">
        <f t="shared" si="70"/>
        <v>-1.6646368210083601E-2</v>
      </c>
      <c r="O334" t="str">
        <f t="shared" si="64"/>
        <v>5.75439937333927E-06-2.39883291900586j</v>
      </c>
      <c r="P334">
        <f t="shared" si="71"/>
        <v>7.5999999999756369</v>
      </c>
      <c r="Q334">
        <f t="shared" si="72"/>
        <v>-89.999862556997982</v>
      </c>
      <c r="R334">
        <f t="shared" si="73"/>
        <v>-6.4098035421711952</v>
      </c>
      <c r="S334">
        <f t="shared" si="74"/>
        <v>85.209000793988054</v>
      </c>
    </row>
    <row r="335" spans="7:19" x14ac:dyDescent="0.25">
      <c r="G335">
        <f t="shared" si="65"/>
        <v>5.6399999999999686</v>
      </c>
      <c r="H335">
        <f t="shared" si="63"/>
        <v>4365158.3224013466</v>
      </c>
      <c r="I335" t="str">
        <f t="shared" si="66"/>
        <v>27427098.6348248j</v>
      </c>
      <c r="J335" t="str">
        <f>IMDIV(R_1,IMSUM('Opamp and C Stray Using B'!R_1,IMPRODUCT('Opamp and C Stray Using B'!R_f,IMSUM(1,IMPRODUCT(I335,C_s,R_1)))))</f>
        <v>0.198471177241616-0.0174191633740019j</v>
      </c>
      <c r="K335">
        <f t="shared" si="67"/>
        <v>-14.012725585960808</v>
      </c>
      <c r="L335">
        <f t="shared" si="68"/>
        <v>-5.0158098146001944</v>
      </c>
      <c r="M335">
        <f t="shared" si="69"/>
        <v>0.198471177241616</v>
      </c>
      <c r="N335">
        <f t="shared" si="70"/>
        <v>-1.74191633740019E-2</v>
      </c>
      <c r="O335" t="str">
        <f t="shared" si="64"/>
        <v>5.24807460247095E-06-2.29086765275592j</v>
      </c>
      <c r="P335">
        <f t="shared" si="71"/>
        <v>7.1999999999778517</v>
      </c>
      <c r="Q335">
        <f t="shared" si="72"/>
        <v>-89.999868742952074</v>
      </c>
      <c r="R335">
        <f t="shared" si="73"/>
        <v>-6.8127255859829567</v>
      </c>
      <c r="S335">
        <f t="shared" si="74"/>
        <v>84.984321442447737</v>
      </c>
    </row>
    <row r="336" spans="7:19" x14ac:dyDescent="0.25">
      <c r="G336">
        <f t="shared" si="65"/>
        <v>5.6599999999999682</v>
      </c>
      <c r="H336">
        <f t="shared" si="63"/>
        <v>4570881.8961484218</v>
      </c>
      <c r="I336" t="str">
        <f t="shared" si="66"/>
        <v>28719697.9707329j</v>
      </c>
      <c r="J336" t="str">
        <f>IMDIV(R_1,IMSUM('Opamp and C Stray Using B'!R_1,IMPRODUCT('Opamp and C Stray Using B'!R_f,IMSUM(1,IMPRODUCT(I336,C_s,R_1)))))</f>
        <v>0.19832491453896-0.0182266612660172j</v>
      </c>
      <c r="K336">
        <f t="shared" si="67"/>
        <v>-14.01592728521463</v>
      </c>
      <c r="L336">
        <f t="shared" si="68"/>
        <v>-5.2509057512604755</v>
      </c>
      <c r="M336">
        <f t="shared" si="69"/>
        <v>0.19832491453896001</v>
      </c>
      <c r="N336">
        <f t="shared" si="70"/>
        <v>-1.8226661266017199E-2</v>
      </c>
      <c r="O336" t="str">
        <f t="shared" si="64"/>
        <v>4.78630092320417E-06-2.18776162393924j</v>
      </c>
      <c r="P336">
        <f t="shared" si="71"/>
        <v>6.7999999999798435</v>
      </c>
      <c r="Q336">
        <f t="shared" si="72"/>
        <v>-89.999874650492373</v>
      </c>
      <c r="R336">
        <f t="shared" si="73"/>
        <v>-7.2159272852347867</v>
      </c>
      <c r="S336">
        <f t="shared" si="74"/>
        <v>84.749219598247151</v>
      </c>
    </row>
    <row r="337" spans="7:19" x14ac:dyDescent="0.25">
      <c r="G337">
        <f t="shared" si="65"/>
        <v>5.6799999999999677</v>
      </c>
      <c r="H337">
        <f t="shared" si="63"/>
        <v>4786300.9232260305</v>
      </c>
      <c r="I337" t="str">
        <f t="shared" si="66"/>
        <v>30073215.6365539j</v>
      </c>
      <c r="J337" t="str">
        <f>IMDIV(R_1,IMSUM('Opamp and C Stray Using B'!R_1,IMPRODUCT('Opamp and C Stray Using B'!R_f,IMSUM(1,IMPRODUCT(I337,C_s,R_1)))))</f>
        <v>0.198164788251024-0.0190702477076643j</v>
      </c>
      <c r="K337">
        <f t="shared" si="67"/>
        <v>-14.01943516784308</v>
      </c>
      <c r="L337">
        <f t="shared" si="68"/>
        <v>-5.4968913938117332</v>
      </c>
      <c r="M337">
        <f t="shared" si="69"/>
        <v>0.19816478825102399</v>
      </c>
      <c r="N337">
        <f t="shared" si="70"/>
        <v>-1.9070247707664301E-2</v>
      </c>
      <c r="O337" t="str">
        <f t="shared" si="64"/>
        <v>4.36515832238325E-06-2.08929613084507j</v>
      </c>
      <c r="P337">
        <f t="shared" si="71"/>
        <v>6.3999999999816692</v>
      </c>
      <c r="Q337">
        <f t="shared" si="72"/>
        <v>-89.999880292149555</v>
      </c>
      <c r="R337">
        <f t="shared" si="73"/>
        <v>-7.6194351678614103</v>
      </c>
      <c r="S337">
        <f t="shared" si="74"/>
        <v>84.503228314038708</v>
      </c>
    </row>
    <row r="338" spans="7:19" x14ac:dyDescent="0.25">
      <c r="G338">
        <f t="shared" si="65"/>
        <v>5.6999999999999673</v>
      </c>
      <c r="H338">
        <f t="shared" si="63"/>
        <v>5011872.3362723524</v>
      </c>
      <c r="I338" t="str">
        <f t="shared" si="66"/>
        <v>31490522.6247263j</v>
      </c>
      <c r="J338" t="str">
        <f>IMDIV(R_1,IMSUM('Opamp and C Stray Using B'!R_1,IMPRODUCT('Opamp and C Stray Using B'!R_f,IMSUM(1,IMPRODUCT(I338,C_s,R_1)))))</f>
        <v>0.197989510197645-0.0199513380810798j</v>
      </c>
      <c r="K338">
        <f t="shared" si="67"/>
        <v>-14.023278230843879</v>
      </c>
      <c r="L338">
        <f t="shared" si="68"/>
        <v>-5.7542521585175326</v>
      </c>
      <c r="M338">
        <f t="shared" si="69"/>
        <v>0.19798951019764499</v>
      </c>
      <c r="N338">
        <f t="shared" si="70"/>
        <v>-1.9951338081079802E-2</v>
      </c>
      <c r="O338" t="str">
        <f t="shared" si="64"/>
        <v>0.0000039810717055197-1.99526231496108j</v>
      </c>
      <c r="P338">
        <f t="shared" si="71"/>
        <v>5.9999999999833351</v>
      </c>
      <c r="Q338">
        <f t="shared" si="72"/>
        <v>-89.999885679890326</v>
      </c>
      <c r="R338">
        <f t="shared" si="73"/>
        <v>-8.0232782308605444</v>
      </c>
      <c r="S338">
        <f t="shared" si="74"/>
        <v>84.245862161592143</v>
      </c>
    </row>
    <row r="339" spans="7:19" x14ac:dyDescent="0.25">
      <c r="G339">
        <f t="shared" si="65"/>
        <v>5.7199999999999669</v>
      </c>
      <c r="H339">
        <f t="shared" si="63"/>
        <v>5248074.6024973365</v>
      </c>
      <c r="I339" t="str">
        <f t="shared" si="66"/>
        <v>32974625.2333936j</v>
      </c>
      <c r="J339" t="str">
        <f>IMDIV(R_1,IMSUM('Opamp and C Stray Using B'!R_1,IMPRODUCT('Opamp and C Stray Using B'!R_f,IMSUM(1,IMPRODUCT(I339,C_s,R_1)))))</f>
        <v>0.197797677673165-0.0208713737385862j</v>
      </c>
      <c r="K339">
        <f t="shared" si="67"/>
        <v>-14.027488160619681</v>
      </c>
      <c r="L339">
        <f t="shared" si="68"/>
        <v>-6.0234923102433777</v>
      </c>
      <c r="M339">
        <f t="shared" si="69"/>
        <v>0.197797677673165</v>
      </c>
      <c r="N339">
        <f t="shared" si="70"/>
        <v>-2.0871373738586201E-2</v>
      </c>
      <c r="O339" t="str">
        <f t="shared" si="64"/>
        <v>3.63078054768838E-06-1.90546071795647j</v>
      </c>
      <c r="P339">
        <f t="shared" si="71"/>
        <v>5.5999999999848749</v>
      </c>
      <c r="Q339">
        <f t="shared" si="72"/>
        <v>-89.999890825142842</v>
      </c>
      <c r="R339">
        <f t="shared" si="73"/>
        <v>-8.4274881606348053</v>
      </c>
      <c r="S339">
        <f t="shared" si="74"/>
        <v>83.976616864613774</v>
      </c>
    </row>
    <row r="340" spans="7:19" x14ac:dyDescent="0.25">
      <c r="G340">
        <f t="shared" si="65"/>
        <v>5.7399999999999665</v>
      </c>
      <c r="H340">
        <f t="shared" si="63"/>
        <v>5495408.7385758273</v>
      </c>
      <c r="I340" t="str">
        <f t="shared" si="66"/>
        <v>34528671.4431659j</v>
      </c>
      <c r="J340" t="str">
        <f>IMDIV(R_1,IMSUM('Opamp and C Stray Using B'!R_1,IMPRODUCT('Opamp and C Stray Using B'!R_f,IMSUM(1,IMPRODUCT(I340,C_s,R_1)))))</f>
        <v>0.197587764299739-0.0218318175830254j</v>
      </c>
      <c r="K340">
        <f t="shared" si="67"/>
        <v>-14.032099571088779</v>
      </c>
      <c r="L340">
        <f t="shared" si="68"/>
        <v>-6.3051352768975137</v>
      </c>
      <c r="M340">
        <f t="shared" si="69"/>
        <v>0.19758776429973901</v>
      </c>
      <c r="N340">
        <f t="shared" si="70"/>
        <v>-2.1831817583025399E-2</v>
      </c>
      <c r="O340" t="str">
        <f t="shared" si="64"/>
        <v>3.31131121481546E-06-1.8197008586041j</v>
      </c>
      <c r="P340">
        <f t="shared" si="71"/>
        <v>5.1999999999862965</v>
      </c>
      <c r="Q340">
        <f t="shared" si="72"/>
        <v>-89.99989573882084</v>
      </c>
      <c r="R340">
        <f t="shared" si="73"/>
        <v>-8.8320995711024821</v>
      </c>
      <c r="S340">
        <f t="shared" si="74"/>
        <v>83.694968984281644</v>
      </c>
    </row>
    <row r="341" spans="7:19" x14ac:dyDescent="0.25">
      <c r="G341">
        <f t="shared" si="65"/>
        <v>5.759999999999966</v>
      </c>
      <c r="H341">
        <f t="shared" si="63"/>
        <v>5754399.3733711299</v>
      </c>
      <c r="I341" t="str">
        <f t="shared" si="66"/>
        <v>36155957.5944089j</v>
      </c>
      <c r="J341" t="str">
        <f>IMDIV(R_1,IMSUM('Opamp and C Stray Using B'!R_1,IMPRODUCT('Opamp and C Stray Using B'!R_f,IMSUM(1,IMPRODUCT(I341,C_s,R_1)))))</f>
        <v>0.197358110361134-0.0228341487012155j</v>
      </c>
      <c r="K341">
        <f t="shared" si="67"/>
        <v>-14.037150260609723</v>
      </c>
      <c r="L341">
        <f t="shared" si="68"/>
        <v>-6.5997238994530285</v>
      </c>
      <c r="M341">
        <f t="shared" si="69"/>
        <v>0.19735811036113399</v>
      </c>
      <c r="N341">
        <f t="shared" si="70"/>
        <v>-2.2834148701215501E-2</v>
      </c>
      <c r="O341" t="str">
        <f t="shared" si="64"/>
        <v>3.01995172039336E-06-1.73780082874426j</v>
      </c>
      <c r="P341">
        <f t="shared" si="71"/>
        <v>4.7999999999875458</v>
      </c>
      <c r="Q341">
        <f t="shared" si="72"/>
        <v>-89.999900431346873</v>
      </c>
      <c r="R341">
        <f t="shared" si="73"/>
        <v>-9.237150260622176</v>
      </c>
      <c r="S341">
        <f t="shared" si="74"/>
        <v>83.400375669200102</v>
      </c>
    </row>
    <row r="342" spans="7:19" x14ac:dyDescent="0.25">
      <c r="G342">
        <f t="shared" si="65"/>
        <v>5.7799999999999656</v>
      </c>
      <c r="H342">
        <f t="shared" si="63"/>
        <v>6025595.8607431054</v>
      </c>
      <c r="I342" t="str">
        <f t="shared" si="66"/>
        <v>37859935.3792232j</v>
      </c>
      <c r="J342" t="str">
        <f>IMDIV(R_1,IMSUM('Opamp and C Stray Using B'!R_1,IMPRODUCT('Opamp and C Stray Using B'!R_f,IMSUM(1,IMPRODUCT(I342,C_s,R_1)))))</f>
        <v>0.197106912633571-0.0238798559203366j</v>
      </c>
      <c r="K342">
        <f t="shared" si="67"/>
        <v>-14.042681488745771</v>
      </c>
      <c r="L342">
        <f t="shared" si="68"/>
        <v>-6.9078206042163597</v>
      </c>
      <c r="M342">
        <f t="shared" si="69"/>
        <v>0.197106912633571</v>
      </c>
      <c r="N342">
        <f t="shared" si="70"/>
        <v>-2.3879855920336601E-2</v>
      </c>
      <c r="O342" t="str">
        <f t="shared" si="64"/>
        <v>2.75422870333102E-06-1.65958690743312j</v>
      </c>
      <c r="P342">
        <f t="shared" si="71"/>
        <v>4.3999999999887205</v>
      </c>
      <c r="Q342">
        <f t="shared" si="72"/>
        <v>-89.999904912674467</v>
      </c>
      <c r="R342">
        <f t="shared" si="73"/>
        <v>-9.6426814887570504</v>
      </c>
      <c r="S342">
        <f t="shared" si="74"/>
        <v>83.092274483109179</v>
      </c>
    </row>
    <row r="343" spans="7:19" x14ac:dyDescent="0.25">
      <c r="G343">
        <f t="shared" si="65"/>
        <v>5.7999999999999652</v>
      </c>
      <c r="H343">
        <f t="shared" si="63"/>
        <v>6309573.4448014377</v>
      </c>
      <c r="I343" t="str">
        <f t="shared" si="66"/>
        <v>39644219.1629469j</v>
      </c>
      <c r="J343" t="str">
        <f>IMDIV(R_1,IMSUM('Opamp and C Stray Using B'!R_1,IMPRODUCT('Opamp and C Stray Using B'!R_f,IMSUM(1,IMPRODUCT(I343,C_s,R_1)))))</f>
        <v>0.196832213743303-0.0249704301438962j</v>
      </c>
      <c r="K343">
        <f t="shared" si="67"/>
        <v>-14.048738273846668</v>
      </c>
      <c r="L343">
        <f t="shared" si="68"/>
        <v>-7.2300074822002127</v>
      </c>
      <c r="M343">
        <f t="shared" si="69"/>
        <v>0.19683221374330301</v>
      </c>
      <c r="N343">
        <f t="shared" si="70"/>
        <v>-2.4970430143896199E-2</v>
      </c>
      <c r="O343" t="str">
        <f t="shared" si="64"/>
        <v>2.51188643150366E-06-1.58489319245726j</v>
      </c>
      <c r="P343">
        <f t="shared" si="71"/>
        <v>3.9999999999897895</v>
      </c>
      <c r="Q343">
        <f t="shared" si="72"/>
        <v>-89.99990919230909</v>
      </c>
      <c r="R343">
        <f t="shared" si="73"/>
        <v>-10.048738273856879</v>
      </c>
      <c r="S343">
        <f t="shared" si="74"/>
        <v>82.770083325490702</v>
      </c>
    </row>
    <row r="344" spans="7:19" x14ac:dyDescent="0.25">
      <c r="G344">
        <f t="shared" si="65"/>
        <v>5.8199999999999648</v>
      </c>
      <c r="H344">
        <f t="shared" si="63"/>
        <v>6606934.4800754283</v>
      </c>
      <c r="I344" t="str">
        <f t="shared" si="66"/>
        <v>41512593.6507081j</v>
      </c>
      <c r="J344" t="str">
        <f>IMDIV(R_1,IMSUM('Opamp and C Stray Using B'!R_1,IMPRODUCT('Opamp and C Stray Using B'!R_f,IMSUM(1,IMPRODUCT(I344,C_s,R_1)))))</f>
        <v>0.196531891096655-0.026107355310402j</v>
      </c>
      <c r="K344">
        <f t="shared" si="67"/>
        <v>-14.05536971235194</v>
      </c>
      <c r="L344">
        <f t="shared" si="68"/>
        <v>-7.5668862584806611</v>
      </c>
      <c r="M344">
        <f t="shared" si="69"/>
        <v>0.196531891096655</v>
      </c>
      <c r="N344">
        <f t="shared" si="70"/>
        <v>-2.6107355310402001E-2</v>
      </c>
      <c r="O344" t="str">
        <f t="shared" si="64"/>
        <v>0.0000022908676527629-1.51356124843286j</v>
      </c>
      <c r="P344">
        <f t="shared" si="71"/>
        <v>3.5999999999907342</v>
      </c>
      <c r="Q344">
        <f t="shared" si="72"/>
        <v>-89.999913279328439</v>
      </c>
      <c r="R344">
        <f t="shared" si="73"/>
        <v>-10.455369712361206</v>
      </c>
      <c r="S344">
        <f t="shared" si="74"/>
        <v>82.433200462190896</v>
      </c>
    </row>
    <row r="345" spans="7:19" x14ac:dyDescent="0.25">
      <c r="G345">
        <f t="shared" si="65"/>
        <v>5.8399999999999643</v>
      </c>
      <c r="H345">
        <f t="shared" si="63"/>
        <v>6918309.7091888068</v>
      </c>
      <c r="I345" t="str">
        <f t="shared" si="66"/>
        <v>43469021.915293j</v>
      </c>
      <c r="J345" t="str">
        <f>IMDIV(R_1,IMSUM('Opamp and C Stray Using B'!R_1,IMPRODUCT('Opamp and C Stray Using B'!R_f,IMSUM(1,IMPRODUCT(I345,C_s,R_1)))))</f>
        <v>0.196203645447784-0.0272920978042563j</v>
      </c>
      <c r="K345">
        <f t="shared" si="67"/>
        <v>-14.062629320609535</v>
      </c>
      <c r="L345">
        <f t="shared" si="68"/>
        <v>-7.9190781322596875</v>
      </c>
      <c r="M345">
        <f t="shared" si="69"/>
        <v>0.19620364544778399</v>
      </c>
      <c r="N345">
        <f t="shared" si="70"/>
        <v>-2.7292097804256302E-2</v>
      </c>
      <c r="O345" t="str">
        <f t="shared" si="64"/>
        <v>2.08929613085001E-06-1.44543977074302j</v>
      </c>
      <c r="P345">
        <f t="shared" si="71"/>
        <v>3.1999999999916002</v>
      </c>
      <c r="Q345">
        <f t="shared" si="72"/>
        <v>-89.999917182401589</v>
      </c>
      <c r="R345">
        <f t="shared" si="73"/>
        <v>-10.862629320617934</v>
      </c>
      <c r="S345">
        <f t="shared" si="74"/>
        <v>82.081004685338726</v>
      </c>
    </row>
    <row r="346" spans="7:19" x14ac:dyDescent="0.25">
      <c r="G346">
        <f t="shared" si="65"/>
        <v>5.8599999999999639</v>
      </c>
      <c r="H346">
        <f t="shared" si="63"/>
        <v>7244359.6007493027</v>
      </c>
      <c r="I346" t="str">
        <f t="shared" si="66"/>
        <v>45517653.8033534j</v>
      </c>
      <c r="J346" t="str">
        <f>IMDIV(R_1,IMSUM('Opamp and C Stray Using B'!R_1,IMPRODUCT('Opamp and C Stray Using B'!R_f,IMSUM(1,IMPRODUCT(I346,C_s,R_1)))))</f>
        <v>0.195844989192955-0.0285260941350606j</v>
      </c>
      <c r="K346">
        <f t="shared" si="67"/>
        <v>-14.07057539984881</v>
      </c>
      <c r="L346">
        <f t="shared" si="68"/>
        <v>-8.2872234660124633</v>
      </c>
      <c r="M346">
        <f t="shared" si="69"/>
        <v>0.19584498919295501</v>
      </c>
      <c r="N346">
        <f t="shared" si="70"/>
        <v>-2.85260941350606E-2</v>
      </c>
      <c r="O346" t="str">
        <f t="shared" si="64"/>
        <v>1.90546071795993E-06-1.38038426460037j</v>
      </c>
      <c r="P346">
        <f t="shared" si="71"/>
        <v>2.799999999992449</v>
      </c>
      <c r="Q346">
        <f t="shared" si="72"/>
        <v>-89.999920909807543</v>
      </c>
      <c r="R346">
        <f t="shared" si="73"/>
        <v>-11.27057539985636</v>
      </c>
      <c r="S346">
        <f t="shared" si="74"/>
        <v>81.712855624179994</v>
      </c>
    </row>
    <row r="347" spans="7:19" x14ac:dyDescent="0.25">
      <c r="G347">
        <f t="shared" si="65"/>
        <v>5.8799999999999635</v>
      </c>
      <c r="H347">
        <f t="shared" si="63"/>
        <v>7585775.7502912087</v>
      </c>
      <c r="I347" t="str">
        <f t="shared" si="66"/>
        <v>47662834.7377889j</v>
      </c>
      <c r="J347" t="str">
        <f>IMDIV(R_1,IMSUM('Opamp and C Stray Using B'!R_1,IMPRODUCT('Opamp and C Stray Using B'!R_f,IMSUM(1,IMPRODUCT(I347,C_s,R_1)))))</f>
        <v>0.195453234508091-0.0298107366890415j</v>
      </c>
      <c r="K347">
        <f t="shared" si="67"/>
        <v>-14.079271424744185</v>
      </c>
      <c r="L347">
        <f t="shared" si="68"/>
        <v>-8.6719812995963093</v>
      </c>
      <c r="M347">
        <f t="shared" si="69"/>
        <v>0.19545323450809099</v>
      </c>
      <c r="N347">
        <f t="shared" si="70"/>
        <v>-2.9810736689041498E-2</v>
      </c>
      <c r="O347" t="str">
        <f t="shared" si="64"/>
        <v>1.73780082874664E-06-1.31825673855423j</v>
      </c>
      <c r="P347">
        <f t="shared" si="71"/>
        <v>2.3999999999932022</v>
      </c>
      <c r="Q347">
        <f t="shared" si="72"/>
        <v>-89.999924469452566</v>
      </c>
      <c r="R347">
        <f t="shared" si="73"/>
        <v>-11.679271424750983</v>
      </c>
      <c r="S347">
        <f t="shared" si="74"/>
        <v>81.328094230951123</v>
      </c>
    </row>
    <row r="348" spans="7:19" x14ac:dyDescent="0.25">
      <c r="G348">
        <f t="shared" si="65"/>
        <v>5.8999999999999631</v>
      </c>
      <c r="H348">
        <f t="shared" si="63"/>
        <v>7943282.347242156</v>
      </c>
      <c r="I348" t="str">
        <f t="shared" si="66"/>
        <v>49909114.9349709j</v>
      </c>
      <c r="J348" t="str">
        <f>IMDIV(R_1,IMSUM('Opamp and C Stray Using B'!R_1,IMPRODUCT('Opamp and C Stray Using B'!R_f,IMSUM(1,IMPRODUCT(I348,C_s,R_1)))))</f>
        <v>0.195025481479465-0.0311473573453013j</v>
      </c>
      <c r="K348">
        <f t="shared" si="67"/>
        <v>-14.088786455738374</v>
      </c>
      <c r="L348">
        <f t="shared" si="68"/>
        <v>-9.0740286625284394</v>
      </c>
      <c r="M348">
        <f t="shared" si="69"/>
        <v>0.195025481479465</v>
      </c>
      <c r="N348">
        <f t="shared" si="70"/>
        <v>-3.1147357345301298E-2</v>
      </c>
      <c r="O348" t="str">
        <f t="shared" si="64"/>
        <v>1.58489319245886E-06-1.25892541179228j</v>
      </c>
      <c r="P348">
        <f t="shared" si="71"/>
        <v>1.999999999993862</v>
      </c>
      <c r="Q348">
        <f t="shared" si="72"/>
        <v>-89.999927868887184</v>
      </c>
      <c r="R348">
        <f t="shared" si="73"/>
        <v>-12.088786455744511</v>
      </c>
      <c r="S348">
        <f t="shared" si="74"/>
        <v>80.926043468584382</v>
      </c>
    </row>
    <row r="349" spans="7:19" x14ac:dyDescent="0.25">
      <c r="G349">
        <f t="shared" si="65"/>
        <v>5.9199999999999626</v>
      </c>
      <c r="H349">
        <f t="shared" si="63"/>
        <v>8317637.7110260036</v>
      </c>
      <c r="I349" t="str">
        <f t="shared" si="66"/>
        <v>52261259.0563614j</v>
      </c>
      <c r="J349" t="str">
        <f>IMDIV(R_1,IMSUM('Opamp and C Stray Using B'!R_1,IMPRODUCT('Opamp and C Stray Using B'!R_f,IMSUM(1,IMPRODUCT(I349,C_s,R_1)))))</f>
        <v>0.194558606416055-0.0325372087409732j</v>
      </c>
      <c r="K349">
        <f t="shared" si="67"/>
        <v>-14.099195574957671</v>
      </c>
      <c r="L349">
        <f t="shared" si="68"/>
        <v>-9.4940596548479572</v>
      </c>
      <c r="M349">
        <f t="shared" si="69"/>
        <v>0.19455860641605499</v>
      </c>
      <c r="N349">
        <f t="shared" si="70"/>
        <v>-3.2537208740973197E-2</v>
      </c>
      <c r="O349" t="str">
        <f t="shared" si="64"/>
        <v>1.44543977074409E-06-1.20226443461578j</v>
      </c>
      <c r="P349">
        <f t="shared" si="71"/>
        <v>1.5999999999944803</v>
      </c>
      <c r="Q349">
        <f t="shared" si="72"/>
        <v>-89.999931115322042</v>
      </c>
      <c r="R349">
        <f t="shared" si="73"/>
        <v>-12.49919557496319</v>
      </c>
      <c r="S349">
        <f t="shared" si="74"/>
        <v>80.506009229829999</v>
      </c>
    </row>
    <row r="350" spans="7:19" x14ac:dyDescent="0.25">
      <c r="G350">
        <f t="shared" si="65"/>
        <v>5.9399999999999622</v>
      </c>
      <c r="H350">
        <f t="shared" si="63"/>
        <v>8709635.8995600641</v>
      </c>
      <c r="I350" t="str">
        <f t="shared" si="66"/>
        <v>54724256.3149997j</v>
      </c>
      <c r="J350" t="str">
        <f>IMDIV(R_1,IMSUM('Opamp and C Stray Using B'!R_1,IMPRODUCT('Opamp and C Stray Using B'!R_f,IMSUM(1,IMPRODUCT(I350,C_s,R_1)))))</f>
        <v>0.194049250576881-0.0339814429641691j</v>
      </c>
      <c r="K350">
        <f t="shared" si="67"/>
        <v>-14.110580345130312</v>
      </c>
      <c r="L350">
        <f t="shared" si="68"/>
        <v>-9.9327842640889799</v>
      </c>
      <c r="M350">
        <f t="shared" si="69"/>
        <v>0.19404925057688099</v>
      </c>
      <c r="N350">
        <f t="shared" si="70"/>
        <v>-3.3981442964169099E-2</v>
      </c>
      <c r="O350" t="str">
        <f t="shared" si="64"/>
        <v>1.31825673855489E-06-1.14815362149547j</v>
      </c>
      <c r="P350">
        <f t="shared" si="71"/>
        <v>1.1999999999950368</v>
      </c>
      <c r="Q350">
        <f t="shared" si="72"/>
        <v>-89.99993421564325</v>
      </c>
      <c r="R350">
        <f t="shared" si="73"/>
        <v>-12.910580345135276</v>
      </c>
      <c r="S350">
        <f t="shared" si="74"/>
        <v>80.06728152026777</v>
      </c>
    </row>
    <row r="351" spans="7:19" x14ac:dyDescent="0.25">
      <c r="G351">
        <f t="shared" si="65"/>
        <v>5.9599999999999618</v>
      </c>
      <c r="H351">
        <f t="shared" si="63"/>
        <v>9120108.3935583029</v>
      </c>
      <c r="I351" t="str">
        <f t="shared" si="66"/>
        <v>57303331.0582907j</v>
      </c>
      <c r="J351" t="str">
        <f>IMDIV(R_1,IMSUM('Opamp and C Stray Using B'!R_1,IMPRODUCT('Opamp and C Stray Using B'!R_f,IMSUM(1,IMPRODUCT(I351,C_s,R_1)))))</f>
        <v>0.193493809597958-0.0354810874531892j</v>
      </c>
      <c r="K351">
        <f t="shared" si="67"/>
        <v>-14.123029290402751</v>
      </c>
      <c r="L351">
        <f t="shared" si="68"/>
        <v>-10.390926882966333</v>
      </c>
      <c r="M351">
        <f t="shared" si="69"/>
        <v>0.19349380959795801</v>
      </c>
      <c r="N351">
        <f t="shared" si="70"/>
        <v>-3.5481087453189203E-2</v>
      </c>
      <c r="O351" t="str">
        <f t="shared" si="64"/>
        <v>1.20226443461618E-06-1.09647819614196j</v>
      </c>
      <c r="P351">
        <f t="shared" si="71"/>
        <v>0.79999999999551874</v>
      </c>
      <c r="Q351">
        <f t="shared" si="72"/>
        <v>-89.999937176427039</v>
      </c>
      <c r="R351">
        <f t="shared" si="73"/>
        <v>-13.323029290407232</v>
      </c>
      <c r="S351">
        <f t="shared" si="74"/>
        <v>79.60913594060662</v>
      </c>
    </row>
    <row r="352" spans="7:19" x14ac:dyDescent="0.25">
      <c r="G352">
        <f t="shared" si="65"/>
        <v>5.9799999999999613</v>
      </c>
      <c r="H352">
        <f t="shared" si="63"/>
        <v>9549925.8602135256</v>
      </c>
      <c r="I352" t="str">
        <f t="shared" si="66"/>
        <v>60003953.849548j</v>
      </c>
      <c r="J352" t="str">
        <f>IMDIV(R_1,IMSUM('Opamp and C Stray Using B'!R_1,IMPRODUCT('Opamp and C Stray Using B'!R_f,IMSUM(1,IMPRODUCT(I352,C_s,R_1)))))</f>
        <v>0.192888423961658-0.0370370178864236j</v>
      </c>
      <c r="K352">
        <f t="shared" si="67"/>
        <v>-14.136638397322026</v>
      </c>
      <c r="L352">
        <f t="shared" si="68"/>
        <v>-10.869224489484077</v>
      </c>
      <c r="M352">
        <f t="shared" si="69"/>
        <v>0.19288842396165801</v>
      </c>
      <c r="N352">
        <f t="shared" si="70"/>
        <v>-3.70370178864236E-2</v>
      </c>
      <c r="O352" t="str">
        <f t="shared" si="64"/>
        <v>1.09647819614217E-06-1.04712854804984j</v>
      </c>
      <c r="P352">
        <f t="shared" si="71"/>
        <v>0.39999999999597252</v>
      </c>
      <c r="Q352">
        <f t="shared" si="72"/>
        <v>-89.999940003953583</v>
      </c>
      <c r="R352">
        <f t="shared" si="73"/>
        <v>-13.736638397326052</v>
      </c>
      <c r="S352">
        <f t="shared" si="74"/>
        <v>79.130835506562335</v>
      </c>
    </row>
    <row r="353" spans="7:19" x14ac:dyDescent="0.25">
      <c r="G353">
        <f t="shared" si="65"/>
        <v>5.9999999999999609</v>
      </c>
      <c r="H353">
        <f t="shared" si="63"/>
        <v>9999999.9999991078</v>
      </c>
      <c r="I353" t="str">
        <f t="shared" si="66"/>
        <v>62831853.0717903j</v>
      </c>
      <c r="J353" t="str">
        <f>IMDIV(R_1,IMSUM('Opamp and C Stray Using B'!R_1,IMPRODUCT('Opamp and C Stray Using B'!R_f,IMSUM(1,IMPRODUCT(I353,C_s,R_1)))))</f>
        <v>0.192228970916362-0.0386499278616263j</v>
      </c>
      <c r="K353">
        <f t="shared" si="67"/>
        <v>-14.151511633502583</v>
      </c>
      <c r="L353">
        <f t="shared" si="68"/>
        <v>-11.368424448415299</v>
      </c>
      <c r="M353">
        <f t="shared" si="69"/>
        <v>0.19222897091636201</v>
      </c>
      <c r="N353">
        <f t="shared" si="70"/>
        <v>-3.8649927861626299E-2</v>
      </c>
      <c r="O353" t="str">
        <f t="shared" si="64"/>
        <v>9.99999999999176E-07-0.999999999999088j</v>
      </c>
      <c r="P353">
        <f t="shared" si="71"/>
        <v>-3.5786192283799859E-12</v>
      </c>
      <c r="Q353">
        <f t="shared" si="72"/>
        <v>-89.999942704220487</v>
      </c>
      <c r="R353">
        <f t="shared" si="73"/>
        <v>-14.151511633506162</v>
      </c>
      <c r="S353">
        <f t="shared" si="74"/>
        <v>78.631632847364216</v>
      </c>
    </row>
  </sheetData>
  <conditionalFormatting sqref="B15">
    <cfRule type="cellIs" dxfId="3" priority="1" operator="lessThan">
      <formula>45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2942-4FD9-4C1A-9032-855E380D17BD}">
  <sheetPr codeName="Sheet11"/>
  <dimension ref="A1:S353"/>
  <sheetViews>
    <sheetView showGridLines="0" zoomScaleNormal="100" workbookViewId="0">
      <selection activeCell="F25" sqref="F25"/>
    </sheetView>
  </sheetViews>
  <sheetFormatPr defaultRowHeight="15" x14ac:dyDescent="0.25"/>
  <cols>
    <col min="1" max="1" width="27.85546875" customWidth="1"/>
    <col min="2" max="2" width="13.140625" customWidth="1"/>
    <col min="3" max="3" width="5.7109375" customWidth="1"/>
    <col min="4" max="4" width="86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28.28515625" customWidth="1"/>
    <col min="11" max="12" width="9.140625" customWidth="1"/>
    <col min="15" max="15" width="39.42578125" bestFit="1" customWidth="1"/>
    <col min="16" max="17" width="9.140625" customWidth="1"/>
    <col min="18" max="18" width="17" bestFit="1" customWidth="1"/>
    <col min="19" max="19" width="15" customWidth="1"/>
  </cols>
  <sheetData>
    <row r="1" spans="1:19" ht="15" customHeight="1" x14ac:dyDescent="0.25">
      <c r="A1" s="1" t="s">
        <v>43</v>
      </c>
      <c r="F1" s="6" t="s">
        <v>46</v>
      </c>
      <c r="G1" s="5">
        <v>50</v>
      </c>
    </row>
    <row r="2" spans="1:19" ht="15" customHeight="1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45</v>
      </c>
      <c r="K2" s="3" t="s">
        <v>5</v>
      </c>
      <c r="L2" s="18" t="s">
        <v>39</v>
      </c>
      <c r="M2" s="3" t="s">
        <v>7</v>
      </c>
      <c r="N2" s="3" t="s">
        <v>8</v>
      </c>
      <c r="O2" s="3" t="s">
        <v>38</v>
      </c>
      <c r="P2" s="3" t="s">
        <v>5</v>
      </c>
      <c r="Q2" s="18" t="s">
        <v>40</v>
      </c>
      <c r="R2" s="18" t="s">
        <v>42</v>
      </c>
      <c r="S2" s="18" t="s">
        <v>41</v>
      </c>
    </row>
    <row r="3" spans="1:19" ht="15" customHeight="1" x14ac:dyDescent="0.35">
      <c r="A3" s="6" t="s">
        <v>22</v>
      </c>
      <c r="B3" s="5">
        <v>10</v>
      </c>
      <c r="C3" t="s">
        <v>10</v>
      </c>
      <c r="F3" s="6" t="s">
        <v>25</v>
      </c>
      <c r="G3" s="5">
        <v>-1</v>
      </c>
      <c r="H3">
        <f t="shared" ref="H3:H66" si="0">$B$3*10^G3</f>
        <v>1</v>
      </c>
      <c r="I3" t="str">
        <f>COMPLEX(0,H3*2*PI(),"j")</f>
        <v>6.28318530717959j</v>
      </c>
      <c r="J3" t="str">
        <f>IMDIV(R_1,IMSUM('Opamp and C Stray Using B (2)'!R_1,IMPRODUCT('Opamp and C Stray Using B (2)'!R_f,IMSUM(1,IMPRODUCT(I3,C_s,R_1)))))</f>
        <v>0.199999999999191-4.0212385965787E-07j</v>
      </c>
      <c r="K3">
        <f>20*LOG(IMABS(J3))</f>
        <v>-13.979400086737954</v>
      </c>
      <c r="L3">
        <f>DEGREES(IMARGUMENT(J3))</f>
        <v>-1.1519999999984565E-4</v>
      </c>
      <c r="M3">
        <f>IMREAL(J3)</f>
        <v>0.19999999999919099</v>
      </c>
      <c r="N3">
        <f>IMAGINARY(J3)</f>
        <v>-4.0212385965786998E-7</v>
      </c>
      <c r="O3" t="str">
        <f t="shared" ref="O3:O12" si="1">IMDIV(Aolv,IMSUM(1,IMDIV(I3,wc)))</f>
        <v>990099.00990099-99009.900990099j</v>
      </c>
      <c r="P3">
        <f>20*LOG(IMABS(O3))</f>
        <v>119.95678626217357</v>
      </c>
      <c r="Q3">
        <f>DEGREES(IMARGUMENT(O3))</f>
        <v>-5.710593137499643</v>
      </c>
      <c r="R3">
        <f>P3+K3</f>
        <v>105.97738617543561</v>
      </c>
      <c r="S3">
        <f>(Q3+L3)-(-180)</f>
        <v>174.28929166250035</v>
      </c>
    </row>
    <row r="4" spans="1:19" ht="15" customHeight="1" x14ac:dyDescent="0.35">
      <c r="A4" s="6" t="s">
        <v>27</v>
      </c>
      <c r="B4" s="5">
        <v>120</v>
      </c>
      <c r="C4" t="s">
        <v>17</v>
      </c>
      <c r="G4">
        <f t="shared" ref="G4:G11" si="2">G3+(1/ppd)</f>
        <v>-0.98</v>
      </c>
      <c r="H4">
        <f t="shared" si="0"/>
        <v>1.0471285480508996</v>
      </c>
      <c r="I4" t="str">
        <f t="shared" ref="I4:I67" si="3">COMPLEX(0,H4*2*PI(),"j")</f>
        <v>6.57930270784171j</v>
      </c>
      <c r="J4" t="str">
        <f>IMDIV(R_1,IMSUM('Opamp and C Stray Using B (2)'!R_1,IMPRODUCT('Opamp and C Stray Using B (2)'!R_f,IMSUM(1,IMPRODUCT(I4,C_s,R_1)))))</f>
        <v>0.199999999999113-4.21075373300002E-07j</v>
      </c>
      <c r="K4">
        <f t="shared" ref="K4:K67" si="4">20*LOG(IMABS(J4))</f>
        <v>-13.979400086739647</v>
      </c>
      <c r="L4">
        <f t="shared" ref="L4:L67" si="5">DEGREES(IMARGUMENT(J4))</f>
        <v>-1.2062920873528547E-4</v>
      </c>
      <c r="M4">
        <f t="shared" ref="M4:M67" si="6">IMREAL(J4)</f>
        <v>0.199999999999113</v>
      </c>
      <c r="N4">
        <f t="shared" ref="N4:N67" si="7">IMAGINARY(J4)</f>
        <v>-4.2107537330000198E-7</v>
      </c>
      <c r="O4" t="str">
        <f t="shared" si="1"/>
        <v>989154.140522919-103577.15389643j</v>
      </c>
      <c r="P4">
        <f t="shared" ref="P4:P67" si="8">20*LOG(IMABS(O4))</f>
        <v>119.9526397325788</v>
      </c>
      <c r="Q4">
        <f t="shared" ref="Q4:Q67" si="9">DEGREES(IMARGUMENT(O4))</f>
        <v>-5.9778196640987522</v>
      </c>
      <c r="R4">
        <f t="shared" ref="R4:R67" si="10">P4+K4</f>
        <v>105.97323964583916</v>
      </c>
      <c r="S4">
        <f t="shared" ref="S4:S67" si="11">(Q4+L4)-(-180)</f>
        <v>174.02205970669252</v>
      </c>
    </row>
    <row r="5" spans="1:19" ht="15" customHeight="1" x14ac:dyDescent="0.35">
      <c r="A5" s="6" t="s">
        <v>35</v>
      </c>
      <c r="B5" s="13">
        <v>400000</v>
      </c>
      <c r="C5" t="s">
        <v>12</v>
      </c>
      <c r="G5">
        <f t="shared" si="2"/>
        <v>-0.96</v>
      </c>
      <c r="H5">
        <f t="shared" si="0"/>
        <v>1.0964781961431849</v>
      </c>
      <c r="I5" t="str">
        <f t="shared" si="3"/>
        <v>6.88937569164964j</v>
      </c>
      <c r="J5" t="str">
        <f>IMDIV(R_1,IMSUM('Opamp and C Stray Using B (2)'!R_1,IMPRODUCT('Opamp and C Stray Using B (2)'!R_f,IMSUM(1,IMPRODUCT(I5,C_s,R_1)))))</f>
        <v>0.199999999999028-4.40920044263433E-07j</v>
      </c>
      <c r="K5">
        <f t="shared" si="4"/>
        <v>-13.979400086741482</v>
      </c>
      <c r="L5">
        <f t="shared" si="5"/>
        <v>-1.2631428819549005E-4</v>
      </c>
      <c r="M5">
        <f t="shared" si="6"/>
        <v>0.19999999999902801</v>
      </c>
      <c r="N5">
        <f t="shared" si="7"/>
        <v>-4.4092004426343302E-7</v>
      </c>
      <c r="O5" t="str">
        <f t="shared" si="1"/>
        <v>988120.182474828-108345.223525268j</v>
      </c>
      <c r="P5">
        <f t="shared" si="8"/>
        <v>119.94809769902774</v>
      </c>
      <c r="Q5">
        <f t="shared" si="9"/>
        <v>-6.2573605177506941</v>
      </c>
      <c r="R5">
        <f t="shared" si="10"/>
        <v>105.96869761228626</v>
      </c>
      <c r="S5">
        <f t="shared" si="11"/>
        <v>173.74251316796111</v>
      </c>
    </row>
    <row r="6" spans="1:19" ht="15" customHeight="1" x14ac:dyDescent="0.35">
      <c r="A6" s="6" t="s">
        <v>36</v>
      </c>
      <c r="B6" s="13">
        <v>3.9999999999999999E-12</v>
      </c>
      <c r="C6" t="s">
        <v>11</v>
      </c>
      <c r="G6">
        <f t="shared" si="2"/>
        <v>-0.94</v>
      </c>
      <c r="H6">
        <f t="shared" si="0"/>
        <v>1.148153621496883</v>
      </c>
      <c r="I6" t="str">
        <f t="shared" si="3"/>
        <v>7.21406196497425j</v>
      </c>
      <c r="J6" t="str">
        <f>IMDIV(R_1,IMSUM('Opamp and C Stray Using B (2)'!R_1,IMPRODUCT('Opamp and C Stray Using B (2)'!R_f,IMSUM(1,IMPRODUCT(I6,C_s,R_1)))))</f>
        <v>0.199999999998934-4.61699965755892E-07j</v>
      </c>
      <c r="K6">
        <f t="shared" si="4"/>
        <v>-13.979400086743528</v>
      </c>
      <c r="L6">
        <f t="shared" si="5"/>
        <v>-1.3226729719620624E-4</v>
      </c>
      <c r="M6">
        <f t="shared" si="6"/>
        <v>0.199999999998934</v>
      </c>
      <c r="N6">
        <f t="shared" si="7"/>
        <v>-4.6169996575589198E-7</v>
      </c>
      <c r="O6" t="str">
        <f t="shared" si="1"/>
        <v>986988.951636248-113321.493919857j</v>
      </c>
      <c r="P6">
        <f t="shared" si="8"/>
        <v>119.94312291200268</v>
      </c>
      <c r="Q6">
        <f t="shared" si="9"/>
        <v>-6.5497552930741145</v>
      </c>
      <c r="R6">
        <f t="shared" si="10"/>
        <v>105.96372282525915</v>
      </c>
      <c r="S6">
        <f t="shared" si="11"/>
        <v>173.4501124396287</v>
      </c>
    </row>
    <row r="7" spans="1:19" ht="15" customHeight="1" x14ac:dyDescent="0.25">
      <c r="A7" s="6" t="s">
        <v>34</v>
      </c>
      <c r="B7" s="13">
        <v>100000</v>
      </c>
      <c r="C7" t="s">
        <v>12</v>
      </c>
      <c r="G7">
        <f t="shared" si="2"/>
        <v>-0.91999999999999993</v>
      </c>
      <c r="H7">
        <f t="shared" si="0"/>
        <v>1.2022644346174129</v>
      </c>
      <c r="I7" t="str">
        <f t="shared" si="3"/>
        <v>7.5540502309327j</v>
      </c>
      <c r="J7" t="str">
        <f>IMDIV(R_1,IMSUM('Opamp and C Stray Using B (2)'!R_1,IMPRODUCT('Opamp and C Stray Using B (2)'!R_f,IMSUM(1,IMPRODUCT(I7,C_s,R_1)))))</f>
        <v>0.199999999998831-4.83459214776867E-07j</v>
      </c>
      <c r="K7">
        <f t="shared" si="4"/>
        <v>-13.979400086745768</v>
      </c>
      <c r="L7">
        <f t="shared" si="5"/>
        <v>-1.3850086286765618E-4</v>
      </c>
      <c r="M7">
        <f t="shared" si="6"/>
        <v>0.199999999998831</v>
      </c>
      <c r="N7">
        <f t="shared" si="7"/>
        <v>-4.8345921477686704E-7</v>
      </c>
      <c r="O7" t="str">
        <f t="shared" si="1"/>
        <v>985751.554983522-118513.40359255j</v>
      </c>
      <c r="P7">
        <f t="shared" si="8"/>
        <v>119.93767470827919</v>
      </c>
      <c r="Q7">
        <f t="shared" si="9"/>
        <v>-6.8555631473533358</v>
      </c>
      <c r="R7">
        <f t="shared" si="10"/>
        <v>105.95827462153342</v>
      </c>
      <c r="S7">
        <f t="shared" si="11"/>
        <v>173.14429835178379</v>
      </c>
    </row>
    <row r="8" spans="1:19" ht="15" customHeight="1" x14ac:dyDescent="0.25">
      <c r="G8">
        <f t="shared" si="2"/>
        <v>-0.89999999999999991</v>
      </c>
      <c r="H8">
        <f t="shared" si="0"/>
        <v>1.2589254117941673</v>
      </c>
      <c r="I8" t="str">
        <f t="shared" si="3"/>
        <v>7.91006165022012j</v>
      </c>
      <c r="J8" t="str">
        <f>IMDIV(R_1,IMSUM('Opamp and C Stray Using B (2)'!R_1,IMPRODUCT('Opamp and C Stray Using B (2)'!R_f,IMSUM(1,IMPRODUCT(I8,C_s,R_1)))))</f>
        <v>0.199999999998719-5.06243945610845E-07j</v>
      </c>
      <c r="K8">
        <f t="shared" si="4"/>
        <v>-13.979400086748182</v>
      </c>
      <c r="L8">
        <f t="shared" si="5"/>
        <v>-1.4502820743837822E-4</v>
      </c>
      <c r="M8">
        <f t="shared" si="6"/>
        <v>0.19999999999871901</v>
      </c>
      <c r="N8">
        <f t="shared" si="7"/>
        <v>-5.0624394561084499E-7</v>
      </c>
      <c r="O8" t="str">
        <f t="shared" si="1"/>
        <v>984398.33775817-123928.40827317j</v>
      </c>
      <c r="P8">
        <f t="shared" si="8"/>
        <v>119.93170871687546</v>
      </c>
      <c r="Q8">
        <f t="shared" si="9"/>
        <v>-7.1753628965097134</v>
      </c>
      <c r="R8">
        <f t="shared" si="10"/>
        <v>105.95230863012728</v>
      </c>
      <c r="S8">
        <f t="shared" si="11"/>
        <v>172.82449207528285</v>
      </c>
    </row>
    <row r="9" spans="1:19" ht="15" customHeight="1" x14ac:dyDescent="0.25">
      <c r="B9" s="2" t="s">
        <v>13</v>
      </c>
      <c r="G9">
        <f t="shared" si="2"/>
        <v>-0.87999999999999989</v>
      </c>
      <c r="H9">
        <f t="shared" si="0"/>
        <v>1.318256738556407</v>
      </c>
      <c r="I9" t="str">
        <f t="shared" si="3"/>
        <v>8.2828513707881j</v>
      </c>
      <c r="J9" t="str">
        <f>IMDIV(R_1,IMSUM('Opamp and C Stray Using B (2)'!R_1,IMPRODUCT('Opamp and C Stray Using B (2)'!R_f,IMSUM(1,IMPRODUCT(I9,C_s,R_1)))))</f>
        <v>0.199999999998595-5.30102487726716E-07j</v>
      </c>
      <c r="K9">
        <f t="shared" si="4"/>
        <v>-13.979400086750884</v>
      </c>
      <c r="L9">
        <f t="shared" si="5"/>
        <v>-1.5186317628134295E-4</v>
      </c>
      <c r="M9">
        <f t="shared" si="6"/>
        <v>0.199999999998595</v>
      </c>
      <c r="N9">
        <f t="shared" si="7"/>
        <v>-5.3010248772671598E-7</v>
      </c>
      <c r="O9" t="str">
        <f t="shared" si="1"/>
        <v>982918.828453206-129573.936906241j</v>
      </c>
      <c r="P9">
        <f t="shared" si="8"/>
        <v>119.92517654342382</v>
      </c>
      <c r="Q9">
        <f t="shared" si="9"/>
        <v>-7.5097530040532607</v>
      </c>
      <c r="R9">
        <f t="shared" si="10"/>
        <v>105.94577645667293</v>
      </c>
      <c r="S9">
        <f t="shared" si="11"/>
        <v>172.49009513277045</v>
      </c>
    </row>
    <row r="10" spans="1:19" ht="15" customHeight="1" x14ac:dyDescent="0.35">
      <c r="A10" s="6" t="s">
        <v>27</v>
      </c>
      <c r="B10" s="11">
        <f>10^(B4/20)</f>
        <v>1000000</v>
      </c>
      <c r="C10" t="s">
        <v>14</v>
      </c>
      <c r="G10">
        <f t="shared" si="2"/>
        <v>-0.85999999999999988</v>
      </c>
      <c r="H10">
        <f t="shared" si="0"/>
        <v>1.380384264602885</v>
      </c>
      <c r="I10" t="str">
        <f t="shared" si="3"/>
        <v>8.67321012961474j</v>
      </c>
      <c r="J10" t="str">
        <f>IMDIV(R_1,IMSUM('Opamp and C Stray Using B (2)'!R_1,IMPRODUCT('Opamp and C Stray Using B (2)'!R_f,IMSUM(1,IMPRODUCT(I10,C_s,R_1)))))</f>
        <v>0.199999999998459-5.55085448291068E-07j</v>
      </c>
      <c r="K10">
        <f t="shared" si="4"/>
        <v>-13.979400086753845</v>
      </c>
      <c r="L10">
        <f t="shared" si="5"/>
        <v>-1.5902026728184439E-4</v>
      </c>
      <c r="M10">
        <f t="shared" si="6"/>
        <v>0.19999999999845899</v>
      </c>
      <c r="N10">
        <f t="shared" si="7"/>
        <v>-5.5508544829106798E-7</v>
      </c>
      <c r="O10" t="str">
        <f t="shared" si="1"/>
        <v>981301.681926184-135457.340055924j</v>
      </c>
      <c r="P10">
        <f t="shared" si="8"/>
        <v>119.91802543215003</v>
      </c>
      <c r="Q10">
        <f t="shared" si="9"/>
        <v>-7.8593514441058181</v>
      </c>
      <c r="R10">
        <f t="shared" si="10"/>
        <v>105.93862534539619</v>
      </c>
      <c r="S10">
        <f t="shared" si="11"/>
        <v>172.1404895356269</v>
      </c>
    </row>
    <row r="11" spans="1:19" ht="15" customHeight="1" x14ac:dyDescent="0.35">
      <c r="A11" s="6" t="s">
        <v>23</v>
      </c>
      <c r="B11" s="11">
        <f>2*PI()*B3</f>
        <v>62.831853071795862</v>
      </c>
      <c r="C11" t="s">
        <v>15</v>
      </c>
      <c r="G11">
        <f t="shared" si="2"/>
        <v>-0.83999999999999986</v>
      </c>
      <c r="H11">
        <f t="shared" si="0"/>
        <v>1.4454397707459279</v>
      </c>
      <c r="I11" t="str">
        <f t="shared" si="3"/>
        <v>9.08196592996384j</v>
      </c>
      <c r="J11" t="str">
        <f>IMDIV(R_1,IMSUM('Opamp and C Stray Using B (2)'!R_1,IMPRODUCT('Opamp and C Stray Using B (2)'!R_f,IMSUM(1,IMPRODUCT(I11,C_s,R_1)))))</f>
        <v>0.199999999998311-5.81245819512779E-07j</v>
      </c>
      <c r="K11">
        <f t="shared" si="4"/>
        <v>-13.979400086757048</v>
      </c>
      <c r="L11">
        <f t="shared" si="5"/>
        <v>-1.6651466158946256E-4</v>
      </c>
      <c r="M11">
        <f t="shared" si="6"/>
        <v>0.199999999998311</v>
      </c>
      <c r="N11">
        <f t="shared" si="7"/>
        <v>-5.8124581951277905E-7</v>
      </c>
      <c r="O11" t="str">
        <f t="shared" si="1"/>
        <v>979534.62106178-141585.829810524j</v>
      </c>
      <c r="P11">
        <f t="shared" si="8"/>
        <v>119.91019790479169</v>
      </c>
      <c r="Q11">
        <f t="shared" si="9"/>
        <v>-8.2247954172798181</v>
      </c>
      <c r="R11">
        <f t="shared" si="10"/>
        <v>105.93079781803463</v>
      </c>
      <c r="S11">
        <f t="shared" si="11"/>
        <v>171.77503806805859</v>
      </c>
    </row>
    <row r="12" spans="1:19" ht="15" customHeight="1" x14ac:dyDescent="0.25">
      <c r="A12" s="6" t="s">
        <v>44</v>
      </c>
      <c r="B12" s="11">
        <f>1/(2*PI()*((R_f*R_1)/(R_f+R_1))*C_s)</f>
        <v>497359.19716217293</v>
      </c>
      <c r="C12" s="8" t="s">
        <v>10</v>
      </c>
      <c r="G12">
        <f t="shared" ref="G12" si="12">G11+(1/ppd)</f>
        <v>-0.81999999999999984</v>
      </c>
      <c r="H12">
        <f t="shared" si="0"/>
        <v>1.5135612484362084</v>
      </c>
      <c r="I12" t="str">
        <f t="shared" si="3"/>
        <v>9.50998579769078j</v>
      </c>
      <c r="J12" t="str">
        <f>IMDIV(R_1,IMSUM('Opamp and C Stray Using B (2)'!R_1,IMPRODUCT('Opamp and C Stray Using B (2)'!R_f,IMSUM(1,IMPRODUCT(I12,C_s,R_1)))))</f>
        <v>0.199999999998148-6.08639091046571E-07j</v>
      </c>
      <c r="K12">
        <f t="shared" si="4"/>
        <v>-13.979400086760588</v>
      </c>
      <c r="L12">
        <f t="shared" si="5"/>
        <v>-1.7436225581931219E-4</v>
      </c>
      <c r="M12">
        <f t="shared" si="6"/>
        <v>0.19999999999814799</v>
      </c>
      <c r="N12">
        <f t="shared" si="7"/>
        <v>-6.0863909104657105E-7</v>
      </c>
      <c r="O12" t="str">
        <f t="shared" si="1"/>
        <v>977604.377542829-147966.410215043j</v>
      </c>
      <c r="P12">
        <f t="shared" si="8"/>
        <v>119.90163137598191</v>
      </c>
      <c r="Q12">
        <f t="shared" si="9"/>
        <v>-8.6067408957140668</v>
      </c>
      <c r="R12">
        <f t="shared" si="10"/>
        <v>105.92223128922132</v>
      </c>
      <c r="S12">
        <f t="shared" si="11"/>
        <v>171.39308474203011</v>
      </c>
    </row>
    <row r="13" spans="1:19" ht="15" customHeight="1" x14ac:dyDescent="0.25">
      <c r="A13" s="6" t="s">
        <v>29</v>
      </c>
      <c r="B13" s="16" cm="1">
        <f t="array" ref="B13">INDEX(R4:R353,MATCH(MIN(ABS(R4:R353)),ABS(R4:R353),0))</f>
        <v>-0.28824386437309713</v>
      </c>
      <c r="C13" s="8" t="s">
        <v>17</v>
      </c>
      <c r="G13">
        <f t="shared" ref="G13:G67" si="13">G12+(1/ppd)</f>
        <v>-0.79999999999999982</v>
      </c>
      <c r="H13">
        <f t="shared" si="0"/>
        <v>1.584893192461114</v>
      </c>
      <c r="I13" t="str">
        <f t="shared" si="3"/>
        <v>9.95817762032062j</v>
      </c>
      <c r="J13" t="str">
        <f>IMDIV(R_1,IMSUM('Opamp and C Stray Using B (2)'!R_1,IMPRODUCT('Opamp and C Stray Using B (2)'!R_f,IMSUM(1,IMPRODUCT(I13,C_s,R_1)))))</f>
        <v>0.199999999997969-6.37323367694048E-07j</v>
      </c>
      <c r="K13">
        <f t="shared" si="4"/>
        <v>-13.97940008676448</v>
      </c>
      <c r="L13">
        <f t="shared" si="5"/>
        <v>-1.8257969577090244E-4</v>
      </c>
      <c r="M13">
        <f t="shared" si="6"/>
        <v>0.199999999997969</v>
      </c>
      <c r="N13">
        <f t="shared" si="7"/>
        <v>-6.3732336769404797E-7</v>
      </c>
      <c r="O13" t="str">
        <f t="shared" ref="O13:O66" si="14">IMDIV(Aolv,IMSUM(1,IMDIV(I13,wc)))</f>
        <v>975496.632449664-154605.797203821j</v>
      </c>
      <c r="P13">
        <f t="shared" si="8"/>
        <v>119.89225774488042</v>
      </c>
      <c r="Q13">
        <f t="shared" si="9"/>
        <v>-9.0058619709314893</v>
      </c>
      <c r="R13">
        <f t="shared" si="10"/>
        <v>105.91285765811594</v>
      </c>
      <c r="S13">
        <f t="shared" si="11"/>
        <v>170.99395544937275</v>
      </c>
    </row>
    <row r="14" spans="1:19" ht="15" customHeight="1" x14ac:dyDescent="0.25">
      <c r="A14" s="6" t="s">
        <v>18</v>
      </c>
      <c r="B14" s="19">
        <f>_xlfn.XLOOKUP(B13,R4:R353,H4:H353)</f>
        <v>954992.58602139901</v>
      </c>
      <c r="C14" s="8" t="s">
        <v>10</v>
      </c>
      <c r="G14">
        <f t="shared" si="13"/>
        <v>-0.7799999999999998</v>
      </c>
      <c r="H14">
        <f t="shared" si="0"/>
        <v>1.6595869074375613</v>
      </c>
      <c r="I14" t="str">
        <f t="shared" si="3"/>
        <v>10.4274920727993j</v>
      </c>
      <c r="J14" t="str">
        <f>IMDIV(R_1,IMSUM('Opamp and C Stray Using B (2)'!R_1,IMPRODUCT('Opamp and C Stray Using B (2)'!R_f,IMSUM(1,IMPRODUCT(I14,C_s,R_1)))))</f>
        <v>0.199999999997773-6.67359492651726E-07j</v>
      </c>
      <c r="K14">
        <f t="shared" si="4"/>
        <v>-13.979400086768738</v>
      </c>
      <c r="L14">
        <f t="shared" si="5"/>
        <v>-1.9118441173609818E-4</v>
      </c>
      <c r="M14">
        <f t="shared" si="6"/>
        <v>0.19999999999777299</v>
      </c>
      <c r="N14">
        <f t="shared" si="7"/>
        <v>-6.6735949265172597E-7</v>
      </c>
      <c r="O14" t="str">
        <f t="shared" si="14"/>
        <v>973195.95759616-161510.326959775j</v>
      </c>
      <c r="P14">
        <f t="shared" si="8"/>
        <v>119.88200296315782</v>
      </c>
      <c r="Q14">
        <f t="shared" si="9"/>
        <v>-9.4228499754044535</v>
      </c>
      <c r="R14">
        <f t="shared" si="10"/>
        <v>105.90260287638908</v>
      </c>
      <c r="S14">
        <f t="shared" si="11"/>
        <v>170.57695884018381</v>
      </c>
    </row>
    <row r="15" spans="1:19" ht="15" customHeight="1" x14ac:dyDescent="0.25">
      <c r="A15" s="14" t="s">
        <v>20</v>
      </c>
      <c r="B15" s="17">
        <f>_xlfn.XLOOKUP(B13,R4:R353,S4:S353)</f>
        <v>27.511055795993457</v>
      </c>
      <c r="C15" s="7" t="s">
        <v>21</v>
      </c>
      <c r="G15">
        <f t="shared" si="13"/>
        <v>-0.75999999999999979</v>
      </c>
      <c r="H15">
        <f t="shared" si="0"/>
        <v>1.7378008287493762</v>
      </c>
      <c r="I15" t="str">
        <f t="shared" si="3"/>
        <v>10.9189246340026j</v>
      </c>
      <c r="J15" t="str">
        <f>IMDIV(R_1,IMSUM('Opamp and C Stray Using B (2)'!R_1,IMPRODUCT('Opamp and C Stray Using B (2)'!R_f,IMSUM(1,IMPRODUCT(I15,C_s,R_1)))))</f>
        <v>0.199999999997558-6.98811176567637E-07j</v>
      </c>
      <c r="K15">
        <f t="shared" si="4"/>
        <v>-13.97940008677341</v>
      </c>
      <c r="L15">
        <f t="shared" si="5"/>
        <v>-2.0019465547111453E-4</v>
      </c>
      <c r="M15">
        <f t="shared" si="6"/>
        <v>0.19999999999755799</v>
      </c>
      <c r="N15">
        <f t="shared" si="7"/>
        <v>-6.9881117656763699E-7</v>
      </c>
      <c r="O15" t="str">
        <f t="shared" si="14"/>
        <v>970685.758729549-168685.851597543j</v>
      </c>
      <c r="P15">
        <f t="shared" si="8"/>
        <v>119.8707865798454</v>
      </c>
      <c r="Q15">
        <f t="shared" si="9"/>
        <v>-9.8584123458402946</v>
      </c>
      <c r="R15">
        <f t="shared" si="10"/>
        <v>105.89138649307199</v>
      </c>
      <c r="S15">
        <f t="shared" si="11"/>
        <v>170.14138745950424</v>
      </c>
    </row>
    <row r="16" spans="1:19" ht="15" customHeight="1" x14ac:dyDescent="0.25">
      <c r="A16" s="14"/>
      <c r="C16" s="7"/>
      <c r="G16">
        <f t="shared" si="13"/>
        <v>-0.73999999999999977</v>
      </c>
      <c r="H16">
        <f t="shared" si="0"/>
        <v>1.8197008586099841</v>
      </c>
      <c r="I16" t="str">
        <f t="shared" si="3"/>
        <v>11.4335176982803j</v>
      </c>
      <c r="J16" t="str">
        <f>IMDIV(R_1,IMSUM('Opamp and C Stray Using B (2)'!R_1,IMPRODUCT('Opamp and C Stray Using B (2)'!R_f,IMSUM(1,IMPRODUCT(I16,C_s,R_1)))))</f>
        <v>0.199999999997323-7.31745132680145E-07j</v>
      </c>
      <c r="K16">
        <f t="shared" si="4"/>
        <v>-13.979400086778499</v>
      </c>
      <c r="L16">
        <f t="shared" si="5"/>
        <v>-2.0962953891093424E-4</v>
      </c>
      <c r="M16">
        <f t="shared" si="6"/>
        <v>0.19999999999732301</v>
      </c>
      <c r="N16">
        <f t="shared" si="7"/>
        <v>-7.3174513268014495E-7</v>
      </c>
      <c r="O16" t="str">
        <f t="shared" si="14"/>
        <v>967948.221972129-176137.621061269j</v>
      </c>
      <c r="P16">
        <f t="shared" si="8"/>
        <v>119.85852126406309</v>
      </c>
      <c r="Q16">
        <f t="shared" si="9"/>
        <v>-10.313271193276307</v>
      </c>
      <c r="R16">
        <f t="shared" si="10"/>
        <v>105.87912117728459</v>
      </c>
      <c r="S16">
        <f t="shared" si="11"/>
        <v>169.68651917718478</v>
      </c>
    </row>
    <row r="17" spans="1:19" ht="15" customHeight="1" x14ac:dyDescent="0.25">
      <c r="A17" s="6"/>
      <c r="C17" s="8"/>
      <c r="G17">
        <f t="shared" si="13"/>
        <v>-0.71999999999999975</v>
      </c>
      <c r="H17">
        <f t="shared" si="0"/>
        <v>1.9054607179632479</v>
      </c>
      <c r="I17" t="str">
        <f t="shared" si="3"/>
        <v>11.9723627865145j</v>
      </c>
      <c r="J17" t="str">
        <f>IMDIV(R_1,IMSUM('Opamp and C Stray Using B (2)'!R_1,IMPRODUCT('Opamp and C Stray Using B (2)'!R_f,IMSUM(1,IMPRODUCT(I17,C_s,R_1)))))</f>
        <v>0.199999999997064-7.66231218325681E-07j</v>
      </c>
      <c r="K17">
        <f t="shared" si="4"/>
        <v>-13.979400086784139</v>
      </c>
      <c r="L17">
        <f t="shared" si="5"/>
        <v>-2.1950907470829175E-4</v>
      </c>
      <c r="M17">
        <f t="shared" si="6"/>
        <v>0.199999999997064</v>
      </c>
      <c r="N17">
        <f t="shared" si="7"/>
        <v>-7.6623121832568102E-7</v>
      </c>
      <c r="O17" t="str">
        <f t="shared" si="14"/>
        <v>964964.265168014-183870.150151591j</v>
      </c>
      <c r="P17">
        <f t="shared" si="8"/>
        <v>119.84511230724415</v>
      </c>
      <c r="Q17">
        <f t="shared" si="9"/>
        <v>-10.788161542168142</v>
      </c>
      <c r="R17">
        <f t="shared" si="10"/>
        <v>105.86571222046001</v>
      </c>
      <c r="S17">
        <f t="shared" si="11"/>
        <v>169.21161894875715</v>
      </c>
    </row>
    <row r="18" spans="1:19" ht="15" customHeight="1" x14ac:dyDescent="0.25">
      <c r="A18" s="6"/>
      <c r="C18" s="8"/>
      <c r="G18">
        <f t="shared" si="13"/>
        <v>-0.69999999999999973</v>
      </c>
      <c r="H18">
        <f t="shared" si="0"/>
        <v>1.9952623149688806</v>
      </c>
      <c r="I18" t="str">
        <f t="shared" si="3"/>
        <v>12.5366028613816j</v>
      </c>
      <c r="J18" t="str">
        <f>IMDIV(R_1,IMSUM('Opamp and C Stray Using B (2)'!R_1,IMPRODUCT('Opamp and C Stray Using B (2)'!R_f,IMSUM(1,IMPRODUCT(I18,C_s,R_1)))))</f>
        <v>0.199999999996781-8.02342583115511E-07j</v>
      </c>
      <c r="K18">
        <f t="shared" si="4"/>
        <v>-13.979400086790282</v>
      </c>
      <c r="L18">
        <f t="shared" si="5"/>
        <v>-2.2985421868318263E-4</v>
      </c>
      <c r="M18">
        <f t="shared" si="6"/>
        <v>0.199999999996781</v>
      </c>
      <c r="N18">
        <f t="shared" si="7"/>
        <v>-8.0234258311551096E-7</v>
      </c>
      <c r="O18" t="str">
        <f t="shared" si="14"/>
        <v>961713.496117745-191887.069660071j</v>
      </c>
      <c r="P18">
        <f t="shared" si="8"/>
        <v>119.83045710720467</v>
      </c>
      <c r="Q18">
        <f t="shared" si="9"/>
        <v>-11.283829197867838</v>
      </c>
      <c r="R18">
        <f t="shared" si="10"/>
        <v>105.85105702041439</v>
      </c>
      <c r="S18">
        <f t="shared" si="11"/>
        <v>168.71594094791348</v>
      </c>
    </row>
    <row r="19" spans="1:19" ht="15" customHeight="1" x14ac:dyDescent="0.25">
      <c r="G19">
        <f t="shared" si="13"/>
        <v>-0.67999999999999972</v>
      </c>
      <c r="H19">
        <f t="shared" si="0"/>
        <v>2.0892961308540405</v>
      </c>
      <c r="I19" t="str">
        <f t="shared" si="3"/>
        <v>13.1274347517293j</v>
      </c>
      <c r="J19" t="str">
        <f>IMDIV(R_1,IMSUM('Opamp and C Stray Using B (2)'!R_1,IMPRODUCT('Opamp and C Stray Using B (2)'!R_f,IMSUM(1,IMPRODUCT(I19,C_s,R_1)))))</f>
        <v>0.199999999996471-8.4015582409585E-07j</v>
      </c>
      <c r="K19">
        <f t="shared" si="4"/>
        <v>-13.979400086797</v>
      </c>
      <c r="L19">
        <f t="shared" si="5"/>
        <v>-2.4068691427297015E-4</v>
      </c>
      <c r="M19">
        <f t="shared" si="6"/>
        <v>0.199999999996471</v>
      </c>
      <c r="N19">
        <f t="shared" si="7"/>
        <v>-8.4015582409585E-7</v>
      </c>
      <c r="O19" t="str">
        <f t="shared" si="14"/>
        <v>958174.18003701-200190.960703558j</v>
      </c>
      <c r="P19">
        <f t="shared" si="8"/>
        <v>119.81444463726747</v>
      </c>
      <c r="Q19">
        <f t="shared" si="9"/>
        <v>-11.801028199327847</v>
      </c>
      <c r="R19">
        <f t="shared" si="10"/>
        <v>105.83504455047047</v>
      </c>
      <c r="S19">
        <f t="shared" si="11"/>
        <v>168.19873111375787</v>
      </c>
    </row>
    <row r="20" spans="1:19" x14ac:dyDescent="0.25">
      <c r="A20" s="8"/>
      <c r="G20">
        <f t="shared" si="13"/>
        <v>-0.6599999999999997</v>
      </c>
      <c r="H20">
        <f t="shared" si="0"/>
        <v>2.1877616239495539</v>
      </c>
      <c r="I20" t="str">
        <f t="shared" si="3"/>
        <v>13.7461116912112j</v>
      </c>
      <c r="J20" t="str">
        <f>IMDIV(R_1,IMSUM('Opamp and C Stray Using B (2)'!R_1,IMPRODUCT('Opamp and C Stray Using B (2)'!R_f,IMSUM(1,IMPRODUCT(I20,C_s,R_1)))))</f>
        <v>0.19999999999613-8.79751148220494E-07j</v>
      </c>
      <c r="K20">
        <f t="shared" si="4"/>
        <v>-13.979400086804416</v>
      </c>
      <c r="L20">
        <f t="shared" si="5"/>
        <v>-2.5203013907736343E-4</v>
      </c>
      <c r="M20">
        <f t="shared" si="6"/>
        <v>0.19999999999613</v>
      </c>
      <c r="N20">
        <f t="shared" si="7"/>
        <v>-8.7975114822049396E-7</v>
      </c>
      <c r="O20" t="str">
        <f t="shared" si="14"/>
        <v>954323.218960337-208783.171528544j</v>
      </c>
      <c r="P20">
        <f t="shared" si="8"/>
        <v>119.79695490466108</v>
      </c>
      <c r="Q20">
        <f t="shared" si="9"/>
        <v>-12.340517811694946</v>
      </c>
      <c r="R20">
        <f t="shared" si="10"/>
        <v>105.81755481785666</v>
      </c>
      <c r="S20">
        <f t="shared" si="11"/>
        <v>167.65923015816597</v>
      </c>
    </row>
    <row r="21" spans="1:19" x14ac:dyDescent="0.25">
      <c r="A21" s="8"/>
      <c r="G21">
        <f t="shared" si="13"/>
        <v>-0.63999999999999968</v>
      </c>
      <c r="H21">
        <f t="shared" si="0"/>
        <v>2.2908676527677745</v>
      </c>
      <c r="I21" t="str">
        <f t="shared" si="3"/>
        <v>14.3939459765635j</v>
      </c>
      <c r="J21" t="str">
        <f>IMDIV(R_1,IMSUM('Opamp and C Stray Using B (2)'!R_1,IMPRODUCT('Opamp and C Stray Using B (2)'!R_f,IMSUM(1,IMPRODUCT(I21,C_s,R_1)))))</f>
        <v>0.199999999995757-9.2121254248052E-07j</v>
      </c>
      <c r="K21">
        <f t="shared" si="4"/>
        <v>-13.979400086812507</v>
      </c>
      <c r="L21">
        <f t="shared" si="5"/>
        <v>-2.6390795359698178E-4</v>
      </c>
      <c r="M21">
        <f t="shared" si="6"/>
        <v>0.19999999999575699</v>
      </c>
      <c r="N21">
        <f t="shared" si="7"/>
        <v>-9.2121254248052003E-7</v>
      </c>
      <c r="O21" t="str">
        <f t="shared" si="14"/>
        <v>950136.146221023-217663.616310318j</v>
      </c>
      <c r="P21">
        <f t="shared" si="8"/>
        <v>119.77785840358415</v>
      </c>
      <c r="Q21">
        <f t="shared" si="9"/>
        <v>-12.903059011845798</v>
      </c>
      <c r="R21">
        <f t="shared" si="10"/>
        <v>105.79845831677164</v>
      </c>
      <c r="S21">
        <f t="shared" si="11"/>
        <v>167.09667708020061</v>
      </c>
    </row>
    <row r="22" spans="1:19" x14ac:dyDescent="0.25">
      <c r="G22">
        <f t="shared" si="13"/>
        <v>-0.61999999999999966</v>
      </c>
      <c r="H22">
        <f t="shared" si="0"/>
        <v>2.3988329190194917</v>
      </c>
      <c r="I22" t="str">
        <f t="shared" si="3"/>
        <v>15.072311751162j</v>
      </c>
      <c r="J22" t="str">
        <f>IMDIV(R_1,IMSUM('Opamp and C Stray Using B (2)'!R_1,IMPRODUCT('Opamp and C Stray Using B (2)'!R_f,IMSUM(1,IMPRODUCT(I22,C_s,R_1)))))</f>
        <v>0.199999999995347-9.64627952051928E-07j</v>
      </c>
      <c r="K22">
        <f t="shared" si="4"/>
        <v>-13.979400086821423</v>
      </c>
      <c r="L22">
        <f t="shared" si="5"/>
        <v>-2.7634555226890335E-4</v>
      </c>
      <c r="M22">
        <f t="shared" si="6"/>
        <v>0.19999999999534701</v>
      </c>
      <c r="N22">
        <f t="shared" si="7"/>
        <v>-9.64627952051928E-7</v>
      </c>
      <c r="O22" t="str">
        <f t="shared" si="14"/>
        <v>945587.139566125-226830.55581927j</v>
      </c>
      <c r="P22">
        <f t="shared" si="8"/>
        <v>119.75701556966277</v>
      </c>
      <c r="Q22">
        <f t="shared" si="9"/>
        <v>-13.489410419100313</v>
      </c>
      <c r="R22">
        <f t="shared" si="10"/>
        <v>105.77761548284134</v>
      </c>
      <c r="S22">
        <f t="shared" si="11"/>
        <v>166.51031323534741</v>
      </c>
    </row>
    <row r="23" spans="1:19" x14ac:dyDescent="0.25">
      <c r="A23" s="6"/>
      <c r="G23">
        <f t="shared" si="13"/>
        <v>-0.59999999999999964</v>
      </c>
      <c r="H23">
        <f t="shared" si="0"/>
        <v>2.5118864315095819</v>
      </c>
      <c r="I23" t="str">
        <f t="shared" si="3"/>
        <v>15.7826479197648j</v>
      </c>
      <c r="J23" t="str">
        <f>IMDIV(R_1,IMSUM('Opamp and C Stray Using B (2)'!R_1,IMPRODUCT('Opamp and C Stray Using B (2)'!R_f,IMSUM(1,IMPRODUCT(I23,C_s,R_1)))))</f>
        <v>0.199999999994899-1.01008946683918E-06j</v>
      </c>
      <c r="K23">
        <f t="shared" si="4"/>
        <v>-13.979400086831134</v>
      </c>
      <c r="L23">
        <f t="shared" si="5"/>
        <v>-2.8936931690744277E-4</v>
      </c>
      <c r="M23">
        <f t="shared" si="6"/>
        <v>0.19999999999489901</v>
      </c>
      <c r="N23">
        <f t="shared" si="7"/>
        <v>-1.0100894668391801E-6</v>
      </c>
      <c r="O23" t="str">
        <f t="shared" si="14"/>
        <v>940649.056897232-236280.360283245j</v>
      </c>
      <c r="P23">
        <f t="shared" si="8"/>
        <v>119.73427624403897</v>
      </c>
      <c r="Q23">
        <f t="shared" si="9"/>
        <v>-14.100323623589263</v>
      </c>
      <c r="R23">
        <f t="shared" si="10"/>
        <v>105.75487615720783</v>
      </c>
      <c r="S23">
        <f t="shared" si="11"/>
        <v>165.89938700709382</v>
      </c>
    </row>
    <row r="24" spans="1:19" x14ac:dyDescent="0.25">
      <c r="A24" s="6"/>
      <c r="G24">
        <f t="shared" si="13"/>
        <v>-0.57999999999999963</v>
      </c>
      <c r="H24">
        <f t="shared" si="0"/>
        <v>2.6302679918953835</v>
      </c>
      <c r="I24" t="str">
        <f t="shared" si="3"/>
        <v>16.5264612006218j</v>
      </c>
      <c r="J24" t="str">
        <f>IMDIV(R_1,IMSUM('Opamp and C Stray Using B (2)'!R_1,IMPRODUCT('Opamp and C Stray Using B (2)'!R_f,IMSUM(1,IMPRODUCT(I24,C_s,R_1)))))</f>
        <v>0.199999999994406-1.05769351681021E-06j</v>
      </c>
      <c r="K24">
        <f t="shared" si="4"/>
        <v>-13.979400086841858</v>
      </c>
      <c r="L24">
        <f t="shared" si="5"/>
        <v>-3.0300687266352237E-4</v>
      </c>
      <c r="M24">
        <f t="shared" si="6"/>
        <v>0.19999999999440601</v>
      </c>
      <c r="N24">
        <f t="shared" si="7"/>
        <v>-1.0576935168102099E-6</v>
      </c>
      <c r="O24" t="str">
        <f t="shared" si="14"/>
        <v>935293.499046078-246007.255356873j</v>
      </c>
      <c r="P24">
        <f t="shared" si="8"/>
        <v>119.70947915700896</v>
      </c>
      <c r="Q24">
        <f t="shared" si="9"/>
        <v>-14.736537866356848</v>
      </c>
      <c r="R24">
        <f t="shared" si="10"/>
        <v>105.73007907016709</v>
      </c>
      <c r="S24">
        <f t="shared" si="11"/>
        <v>165.26315912677049</v>
      </c>
    </row>
    <row r="25" spans="1:19" x14ac:dyDescent="0.25">
      <c r="A25" s="6"/>
      <c r="G25">
        <f t="shared" si="13"/>
        <v>-0.55999999999999961</v>
      </c>
      <c r="H25">
        <f t="shared" si="0"/>
        <v>2.7542287033381685</v>
      </c>
      <c r="I25" t="str">
        <f t="shared" si="3"/>
        <v>17.3053293214267j</v>
      </c>
      <c r="J25" t="str">
        <f>IMDIV(R_1,IMSUM('Opamp and C Stray Using B (2)'!R_1,IMPRODUCT('Opamp and C Stray Using B (2)'!R_f,IMSUM(1,IMPRODUCT(I25,C_s,R_1)))))</f>
        <v>0.199999999993867-1.10754107653734E-06j</v>
      </c>
      <c r="K25">
        <f t="shared" si="4"/>
        <v>-13.979400086853548</v>
      </c>
      <c r="L25">
        <f t="shared" si="5"/>
        <v>-3.1728714662131261E-4</v>
      </c>
      <c r="M25">
        <f t="shared" si="6"/>
        <v>0.199999999993867</v>
      </c>
      <c r="N25">
        <f t="shared" si="7"/>
        <v>-1.10754107653734E-6</v>
      </c>
      <c r="O25" t="str">
        <f t="shared" si="14"/>
        <v>929490.90437477-256003.052832075j</v>
      </c>
      <c r="P25">
        <f t="shared" si="8"/>
        <v>119.68245144297079</v>
      </c>
      <c r="Q25">
        <f t="shared" si="9"/>
        <v>-15.398774028607072</v>
      </c>
      <c r="R25">
        <f t="shared" si="10"/>
        <v>105.70305135611724</v>
      </c>
      <c r="S25">
        <f t="shared" si="11"/>
        <v>164.60090868424629</v>
      </c>
    </row>
    <row r="26" spans="1:19" x14ac:dyDescent="0.25">
      <c r="A26" s="6"/>
      <c r="G26">
        <f t="shared" si="13"/>
        <v>-0.53999999999999959</v>
      </c>
      <c r="H26">
        <f t="shared" si="0"/>
        <v>2.8840315031266077</v>
      </c>
      <c r="I26" t="str">
        <f t="shared" si="3"/>
        <v>18.1209043658882j</v>
      </c>
      <c r="J26" t="str">
        <f>IMDIV(R_1,IMSUM('Opamp and C Stray Using B (2)'!R_1,IMPRODUCT('Opamp and C Stray Using B (2)'!R_f,IMSUM(1,IMPRODUCT(I26,C_s,R_1)))))</f>
        <v>0.199999999993275-1.15973787937785E-06j</v>
      </c>
      <c r="K26">
        <f t="shared" si="4"/>
        <v>-13.979400086866409</v>
      </c>
      <c r="L26">
        <f t="shared" si="5"/>
        <v>-3.3224042915646251E-4</v>
      </c>
      <c r="M26">
        <f t="shared" si="6"/>
        <v>0.199999999993275</v>
      </c>
      <c r="N26">
        <f t="shared" si="7"/>
        <v>-1.1597378793778499E-6</v>
      </c>
      <c r="O26" t="str">
        <f t="shared" si="14"/>
        <v>923210.6803029-266256.868601651j</v>
      </c>
      <c r="P26">
        <f t="shared" si="8"/>
        <v>119.65300820042359</v>
      </c>
      <c r="Q26">
        <f t="shared" si="9"/>
        <v>-16.087727892932879</v>
      </c>
      <c r="R26">
        <f t="shared" si="10"/>
        <v>105.67360811355718</v>
      </c>
      <c r="S26">
        <f t="shared" si="11"/>
        <v>163.91193986663797</v>
      </c>
    </row>
    <row r="27" spans="1:19" x14ac:dyDescent="0.25">
      <c r="A27" s="6"/>
      <c r="G27">
        <f t="shared" si="13"/>
        <v>-0.51999999999999957</v>
      </c>
      <c r="H27">
        <f t="shared" si="0"/>
        <v>3.0199517204020192</v>
      </c>
      <c r="I27" t="str">
        <f t="shared" si="3"/>
        <v>18.9749162780217j</v>
      </c>
      <c r="J27" t="str">
        <f>IMDIV(R_1,IMSUM('Opamp and C Stray Using B (2)'!R_1,IMPRODUCT('Opamp and C Stray Using B (2)'!R_f,IMSUM(1,IMPRODUCT(I27,C_s,R_1)))))</f>
        <v>0.199999999992626-1.21439464174861E-06j</v>
      </c>
      <c r="K27">
        <f t="shared" si="4"/>
        <v>-13.979400086880505</v>
      </c>
      <c r="L27">
        <f t="shared" si="5"/>
        <v>-3.4789843818603625E-4</v>
      </c>
      <c r="M27">
        <f t="shared" si="6"/>
        <v>0.19999999999262599</v>
      </c>
      <c r="N27">
        <f t="shared" si="7"/>
        <v>-1.21439464174861E-6</v>
      </c>
      <c r="O27" t="str">
        <f t="shared" si="14"/>
        <v>916421.377069513-276754.831429427j</v>
      </c>
      <c r="P27">
        <f t="shared" si="8"/>
        <v>119.62095211284543</v>
      </c>
      <c r="Q27">
        <f t="shared" si="9"/>
        <v>-16.804062647338601</v>
      </c>
      <c r="R27">
        <f t="shared" si="10"/>
        <v>105.64155202596493</v>
      </c>
      <c r="S27">
        <f t="shared" si="11"/>
        <v>163.19558945422321</v>
      </c>
    </row>
    <row r="28" spans="1:19" x14ac:dyDescent="0.25">
      <c r="A28" s="6"/>
      <c r="G28">
        <f t="shared" si="13"/>
        <v>-0.49999999999999956</v>
      </c>
      <c r="H28">
        <f t="shared" si="0"/>
        <v>3.1622776601683826</v>
      </c>
      <c r="I28" t="str">
        <f t="shared" si="3"/>
        <v>19.8691765315922j</v>
      </c>
      <c r="J28" t="str">
        <f>IMDIV(R_1,IMSUM('Opamp and C Stray Using B (2)'!R_1,IMPRODUCT('Opamp and C Stray Using B (2)'!R_f,IMSUM(1,IMPRODUCT(I28,C_s,R_1)))))</f>
        <v>0.199999999991915-1.27162729797049E-06j</v>
      </c>
      <c r="K28">
        <f t="shared" si="4"/>
        <v>-13.979400086895934</v>
      </c>
      <c r="L28">
        <f t="shared" si="5"/>
        <v>-3.6429438644648677E-4</v>
      </c>
      <c r="M28">
        <f t="shared" si="6"/>
        <v>0.19999999999191501</v>
      </c>
      <c r="N28">
        <f t="shared" si="7"/>
        <v>-1.27162729797049E-6</v>
      </c>
      <c r="O28" t="str">
        <f t="shared" si="14"/>
        <v>909090.909090909-287479.787288035j</v>
      </c>
      <c r="P28">
        <f t="shared" si="8"/>
        <v>119.58607314841774</v>
      </c>
      <c r="Q28">
        <f t="shared" si="9"/>
        <v>-17.548400613792332</v>
      </c>
      <c r="R28">
        <f t="shared" si="10"/>
        <v>105.6066730615218</v>
      </c>
      <c r="S28">
        <f t="shared" si="11"/>
        <v>162.45123509182122</v>
      </c>
    </row>
    <row r="29" spans="1:19" x14ac:dyDescent="0.25">
      <c r="D29" s="9"/>
      <c r="G29">
        <f t="shared" si="13"/>
        <v>-0.47999999999999954</v>
      </c>
      <c r="H29">
        <f t="shared" si="0"/>
        <v>3.3113112148259143</v>
      </c>
      <c r="I29" t="str">
        <f t="shared" si="3"/>
        <v>20.8055819724932j</v>
      </c>
      <c r="J29" t="str">
        <f>IMDIV(R_1,IMSUM('Opamp and C Stray Using B (2)'!R_1,IMPRODUCT('Opamp and C Stray Using B (2)'!R_f,IMSUM(1,IMPRODUCT(I29,C_s,R_1)))))</f>
        <v>0.199999999991135-1.33155724618054E-06j</v>
      </c>
      <c r="K29">
        <f t="shared" si="4"/>
        <v>-13.979400086912872</v>
      </c>
      <c r="L29">
        <f t="shared" si="5"/>
        <v>-3.814630519423086E-4</v>
      </c>
      <c r="M29">
        <f t="shared" si="6"/>
        <v>0.19999999999113499</v>
      </c>
      <c r="N29">
        <f t="shared" si="7"/>
        <v>-1.33155724618054E-6</v>
      </c>
      <c r="O29" t="str">
        <f t="shared" si="14"/>
        <v>901186.829121667-298411.005392399j</v>
      </c>
      <c r="P29">
        <f t="shared" si="8"/>
        <v>119.54814835868504</v>
      </c>
      <c r="Q29">
        <f t="shared" si="9"/>
        <v>-18.321314197383963</v>
      </c>
      <c r="R29">
        <f t="shared" si="10"/>
        <v>105.56874827177217</v>
      </c>
      <c r="S29">
        <f t="shared" si="11"/>
        <v>161.67830433956411</v>
      </c>
    </row>
    <row r="30" spans="1:19" x14ac:dyDescent="0.25">
      <c r="G30">
        <f t="shared" si="13"/>
        <v>-0.45999999999999952</v>
      </c>
      <c r="H30">
        <f t="shared" si="0"/>
        <v>3.4673685045253198</v>
      </c>
      <c r="I30" t="str">
        <f t="shared" si="3"/>
        <v>21.7861188422107j</v>
      </c>
      <c r="J30" t="str">
        <f>IMDIV(R_1,IMSUM('Opamp and C Stray Using B (2)'!R_1,IMPRODUCT('Opamp and C Stray Using B (2)'!R_f,IMSUM(1,IMPRODUCT(I30,C_s,R_1)))))</f>
        <v>0.199999999990279-1.39431160583372E-06j</v>
      </c>
      <c r="K30">
        <f t="shared" si="4"/>
        <v>-13.979400086931475</v>
      </c>
      <c r="L30">
        <f t="shared" si="5"/>
        <v>-3.9944085171484637E-4</v>
      </c>
      <c r="M30">
        <f t="shared" si="6"/>
        <v>0.19999999999027901</v>
      </c>
      <c r="N30">
        <f t="shared" si="7"/>
        <v>-1.3943116058337199E-6</v>
      </c>
      <c r="O30" t="str">
        <f t="shared" si="14"/>
        <v>892676.660006154-309523.893563019j</v>
      </c>
      <c r="P30">
        <f t="shared" si="8"/>
        <v>119.50694179824777</v>
      </c>
      <c r="Q30">
        <f t="shared" si="9"/>
        <v>-19.123316070287611</v>
      </c>
      <c r="R30">
        <f t="shared" si="10"/>
        <v>105.52754171131629</v>
      </c>
      <c r="S30">
        <f t="shared" si="11"/>
        <v>160.87628448886068</v>
      </c>
    </row>
    <row r="31" spans="1:19" x14ac:dyDescent="0.25">
      <c r="B31" s="10"/>
      <c r="G31">
        <f t="shared" si="13"/>
        <v>-0.4399999999999995</v>
      </c>
      <c r="H31">
        <f t="shared" si="0"/>
        <v>3.6307805477010175</v>
      </c>
      <c r="I31" t="str">
        <f t="shared" si="3"/>
        <v>22.8128669909085j</v>
      </c>
      <c r="J31" t="str">
        <f>IMDIV(R_1,IMSUM('Opamp and C Stray Using B (2)'!R_1,IMPRODUCT('Opamp and C Stray Using B (2)'!R_f,IMSUM(1,IMPRODUCT(I31,C_s,R_1)))))</f>
        <v>0.199999999989342-1.46002348734034E-06j</v>
      </c>
      <c r="K31">
        <f t="shared" si="4"/>
        <v>-13.979400086951806</v>
      </c>
      <c r="L31">
        <f t="shared" si="5"/>
        <v>-4.1826591908772766E-4</v>
      </c>
      <c r="M31">
        <f t="shared" si="6"/>
        <v>0.19999999998934201</v>
      </c>
      <c r="N31">
        <f t="shared" si="7"/>
        <v>-1.4600234873403399E-6</v>
      </c>
      <c r="O31" t="str">
        <f t="shared" si="14"/>
        <v>883528.288056439-320789.73216189j</v>
      </c>
      <c r="P31">
        <f t="shared" si="8"/>
        <v>119.46220458936322</v>
      </c>
      <c r="Q31">
        <f t="shared" si="9"/>
        <v>-19.954848626980858</v>
      </c>
      <c r="R31">
        <f t="shared" si="10"/>
        <v>105.48280450241143</v>
      </c>
      <c r="S31">
        <f t="shared" si="11"/>
        <v>160.04473310710006</v>
      </c>
    </row>
    <row r="32" spans="1:19" x14ac:dyDescent="0.25">
      <c r="B32" s="10"/>
      <c r="G32">
        <f t="shared" si="13"/>
        <v>-0.41999999999999948</v>
      </c>
      <c r="H32">
        <f t="shared" si="0"/>
        <v>3.8018939632056159</v>
      </c>
      <c r="I32" t="str">
        <f t="shared" si="3"/>
        <v>23.8880042890683j</v>
      </c>
      <c r="J32" t="str">
        <f>IMDIV(R_1,IMSUM('Opamp and C Stray Using B (2)'!R_1,IMPRODUCT('Opamp and C Stray Using B (2)'!R_f,IMSUM(1,IMPRODUCT(I32,C_s,R_1)))))</f>
        <v>0.199999999988313-1.52883227441104E-06j</v>
      </c>
      <c r="K32">
        <f t="shared" si="4"/>
        <v>-13.979400086974163</v>
      </c>
      <c r="L32">
        <f t="shared" si="5"/>
        <v>-4.37978184552758E-4</v>
      </c>
      <c r="M32">
        <f t="shared" si="6"/>
        <v>0.199999999988313</v>
      </c>
      <c r="N32">
        <f t="shared" si="7"/>
        <v>-1.5288322744110399E-6</v>
      </c>
      <c r="O32" t="str">
        <f t="shared" si="14"/>
        <v>873710.420945081-332175.437498094j</v>
      </c>
      <c r="P32">
        <f t="shared" si="8"/>
        <v>119.41367515672795</v>
      </c>
      <c r="Q32">
        <f t="shared" si="9"/>
        <v>-20.816272773735669</v>
      </c>
      <c r="R32">
        <f t="shared" si="10"/>
        <v>105.43427506975378</v>
      </c>
      <c r="S32">
        <f t="shared" si="11"/>
        <v>159.18328924807977</v>
      </c>
    </row>
    <row r="33" spans="7:19" x14ac:dyDescent="0.25">
      <c r="G33">
        <f t="shared" si="13"/>
        <v>-0.39999999999999947</v>
      </c>
      <c r="H33">
        <f t="shared" si="0"/>
        <v>3.9810717055349776</v>
      </c>
      <c r="I33" t="str">
        <f t="shared" si="3"/>
        <v>25.0138112470457j</v>
      </c>
      <c r="J33" t="str">
        <f>IMDIV(R_1,IMSUM('Opamp and C Stray Using B (2)'!R_1,IMPRODUCT('Opamp and C Stray Using B (2)'!R_f,IMSUM(1,IMPRODUCT(I33,C_s,R_1)))))</f>
        <v>0.199999999987186-1.60088391970836E-06j</v>
      </c>
      <c r="K33">
        <f t="shared" si="4"/>
        <v>-13.979400086998625</v>
      </c>
      <c r="L33">
        <f t="shared" si="5"/>
        <v>-4.5861946046783488E-4</v>
      </c>
      <c r="M33">
        <f t="shared" si="6"/>
        <v>0.19999999998718601</v>
      </c>
      <c r="N33">
        <f t="shared" si="7"/>
        <v>-1.6008839197083601E-6</v>
      </c>
      <c r="O33" t="str">
        <f t="shared" si="14"/>
        <v>863193.11139679-343643.367219446j</v>
      </c>
      <c r="P33">
        <f t="shared" si="8"/>
        <v>119.36107965856621</v>
      </c>
      <c r="Q33">
        <f t="shared" si="9"/>
        <v>-21.70785614630908</v>
      </c>
      <c r="R33">
        <f t="shared" si="10"/>
        <v>105.38167957156759</v>
      </c>
      <c r="S33">
        <f t="shared" si="11"/>
        <v>158.29168523423044</v>
      </c>
    </row>
    <row r="34" spans="7:19" x14ac:dyDescent="0.25">
      <c r="G34">
        <f t="shared" si="13"/>
        <v>-0.37999999999999945</v>
      </c>
      <c r="H34">
        <f t="shared" si="0"/>
        <v>4.1686938347033582</v>
      </c>
      <c r="I34" t="str">
        <f t="shared" si="3"/>
        <v>26.1926758523383j</v>
      </c>
      <c r="J34" t="str">
        <f>IMDIV(R_1,IMSUM('Opamp and C Stray Using B (2)'!R_1,IMPRODUCT('Opamp and C Stray Using B (2)'!R_f,IMSUM(1,IMPRODUCT(I34,C_s,R_1)))))</f>
        <v>0.19999999998595-1.67633125443188E-06j</v>
      </c>
      <c r="K34">
        <f t="shared" si="4"/>
        <v>-13.979400087025461</v>
      </c>
      <c r="L34">
        <f t="shared" si="5"/>
        <v>-4.8023352974657912E-4</v>
      </c>
      <c r="M34">
        <f t="shared" si="6"/>
        <v>0.19999999998595</v>
      </c>
      <c r="N34">
        <f t="shared" si="7"/>
        <v>-1.6763312544318801E-6</v>
      </c>
      <c r="O34" t="str">
        <f t="shared" si="14"/>
        <v>851948.345852573-355151.181684135j</v>
      </c>
      <c r="P34">
        <f t="shared" si="8"/>
        <v>119.30413264025799</v>
      </c>
      <c r="Q34">
        <f t="shared" si="9"/>
        <v>-22.629760884775852</v>
      </c>
      <c r="R34">
        <f t="shared" si="10"/>
        <v>105.32473255323254</v>
      </c>
      <c r="S34">
        <f t="shared" si="11"/>
        <v>157.36975888169439</v>
      </c>
    </row>
    <row r="35" spans="7:19" x14ac:dyDescent="0.25">
      <c r="G35">
        <f t="shared" si="13"/>
        <v>-0.35999999999999943</v>
      </c>
      <c r="H35">
        <f t="shared" si="0"/>
        <v>4.3651583224016655</v>
      </c>
      <c r="I35" t="str">
        <f t="shared" si="3"/>
        <v>27.4270986348268j</v>
      </c>
      <c r="J35" t="str">
        <f>IMDIV(R_1,IMSUM('Opamp and C Stray Using B (2)'!R_1,IMPRODUCT('Opamp and C Stray Using B (2)'!R_f,IMSUM(1,IMPRODUCT(I35,C_s,R_1)))))</f>
        <v>0.199999999984594-0.0000017553343124937j</v>
      </c>
      <c r="K35">
        <f t="shared" si="4"/>
        <v>-13.979400087054913</v>
      </c>
      <c r="L35">
        <f t="shared" si="5"/>
        <v>-5.0286623872775884E-4</v>
      </c>
      <c r="M35">
        <f t="shared" si="6"/>
        <v>0.199999999984594</v>
      </c>
      <c r="N35">
        <f t="shared" si="7"/>
        <v>-1.7553343124937E-6</v>
      </c>
      <c r="O35" t="str">
        <f t="shared" si="14"/>
        <v>839950.694634753-366651.776509195j</v>
      </c>
      <c r="P35">
        <f t="shared" si="8"/>
        <v>119.24253793589835</v>
      </c>
      <c r="Q35">
        <f t="shared" si="9"/>
        <v>-23.582031133036242</v>
      </c>
      <c r="R35">
        <f t="shared" si="10"/>
        <v>105.26313784884344</v>
      </c>
      <c r="S35">
        <f t="shared" si="11"/>
        <v>156.41746600072503</v>
      </c>
    </row>
    <row r="36" spans="7:19" x14ac:dyDescent="0.25">
      <c r="G36">
        <f t="shared" si="13"/>
        <v>-0.33999999999999941</v>
      </c>
      <c r="H36">
        <f t="shared" si="0"/>
        <v>4.5708818961487561</v>
      </c>
      <c r="I36" t="str">
        <f t="shared" si="3"/>
        <v>28.719697970735j</v>
      </c>
      <c r="J36" t="str">
        <f>IMDIV(R_1,IMSUM('Opamp and C Stray Using B (2)'!R_1,IMPRODUCT('Opamp and C Stray Using B (2)'!R_f,IMSUM(1,IMPRODUCT(I36,C_s,R_1)))))</f>
        <v>0.199999999983108-1.83806066997179E-06j</v>
      </c>
      <c r="K36">
        <f t="shared" si="4"/>
        <v>-13.979400087087173</v>
      </c>
      <c r="L36">
        <f t="shared" si="5"/>
        <v>-5.2656559442150919E-4</v>
      </c>
      <c r="M36">
        <f t="shared" si="6"/>
        <v>0.199999999983108</v>
      </c>
      <c r="N36">
        <f t="shared" si="7"/>
        <v>-1.8380606699717901E-6</v>
      </c>
      <c r="O36" t="str">
        <f t="shared" si="14"/>
        <v>827178.01696314-378093.302262904j</v>
      </c>
      <c r="P36">
        <f t="shared" si="8"/>
        <v>119.17598984117294</v>
      </c>
      <c r="Q36">
        <f t="shared" si="9"/>
        <v>-24.564580471759552</v>
      </c>
      <c r="R36">
        <f t="shared" si="10"/>
        <v>105.19658975408576</v>
      </c>
      <c r="S36">
        <f t="shared" si="11"/>
        <v>155.43489296264602</v>
      </c>
    </row>
    <row r="37" spans="7:19" x14ac:dyDescent="0.25">
      <c r="G37">
        <f t="shared" si="13"/>
        <v>-0.3199999999999994</v>
      </c>
      <c r="H37">
        <f t="shared" si="0"/>
        <v>4.7863009232263893</v>
      </c>
      <c r="I37" t="str">
        <f t="shared" si="3"/>
        <v>30.0732156365561j</v>
      </c>
      <c r="J37" t="str">
        <f>IMDIV(R_1,IMSUM('Opamp and C Stray Using B (2)'!R_1,IMPRODUCT('Opamp and C Stray Using B (2)'!R_f,IMSUM(1,IMPRODUCT(I37,C_s,R_1)))))</f>
        <v>0.199999999981478-1.92468580056134E-06j</v>
      </c>
      <c r="K37">
        <f t="shared" si="4"/>
        <v>-13.979400087122576</v>
      </c>
      <c r="L37">
        <f t="shared" si="5"/>
        <v>-5.5138186633865661E-4</v>
      </c>
      <c r="M37">
        <f t="shared" si="6"/>
        <v>0.19999999998147799</v>
      </c>
      <c r="N37">
        <f t="shared" si="7"/>
        <v>-1.9246858005613399E-6</v>
      </c>
      <c r="O37" t="str">
        <f t="shared" si="14"/>
        <v>813612.210505587-389419.287429115j</v>
      </c>
      <c r="P37">
        <f t="shared" si="8"/>
        <v>119.10417457755648</v>
      </c>
      <c r="Q37">
        <f t="shared" si="9"/>
        <v>-25.577179536019539</v>
      </c>
      <c r="R37">
        <f t="shared" si="10"/>
        <v>105.12477449043391</v>
      </c>
      <c r="S37">
        <f t="shared" si="11"/>
        <v>154.42226908211413</v>
      </c>
    </row>
    <row r="38" spans="7:19" x14ac:dyDescent="0.25">
      <c r="G38">
        <f t="shared" si="13"/>
        <v>-0.29999999999999938</v>
      </c>
      <c r="H38">
        <f t="shared" si="0"/>
        <v>5.0118723362727291</v>
      </c>
      <c r="I38" t="str">
        <f t="shared" si="3"/>
        <v>31.4905226247286j</v>
      </c>
      <c r="J38" t="str">
        <f>IMDIV(R_1,IMSUM('Opamp and C Stray Using B (2)'!R_1,IMPRODUCT('Opamp and C Stray Using B (2)'!R_f,IMSUM(1,IMPRODUCT(I38,C_s,R_1)))))</f>
        <v>0.199999999979691-2.01539344777797E-06j</v>
      </c>
      <c r="K38">
        <f t="shared" si="4"/>
        <v>-13.979400087161377</v>
      </c>
      <c r="L38">
        <f t="shared" si="5"/>
        <v>-5.7736769311907262E-4</v>
      </c>
      <c r="M38">
        <f t="shared" si="6"/>
        <v>0.19999999997969101</v>
      </c>
      <c r="N38">
        <f t="shared" si="7"/>
        <v>-2.01539344777797E-6</v>
      </c>
      <c r="O38" t="str">
        <f t="shared" si="14"/>
        <v>799239.991086898-400568.880137128j</v>
      </c>
      <c r="P38">
        <f t="shared" si="8"/>
        <v>119.02677206291304</v>
      </c>
      <c r="Q38">
        <f t="shared" si="9"/>
        <v>-26.619444110792848</v>
      </c>
      <c r="R38">
        <f t="shared" si="10"/>
        <v>105.04737197575166</v>
      </c>
      <c r="S38">
        <f t="shared" si="11"/>
        <v>153.37997852151403</v>
      </c>
    </row>
    <row r="39" spans="7:19" x14ac:dyDescent="0.25">
      <c r="G39">
        <f t="shared" si="13"/>
        <v>-0.27999999999999936</v>
      </c>
      <c r="H39">
        <f t="shared" si="0"/>
        <v>5.2480746024977343</v>
      </c>
      <c r="I39" t="str">
        <f t="shared" si="3"/>
        <v>32.9746252333961j</v>
      </c>
      <c r="J39" t="str">
        <f>IMDIV(R_1,IMSUM('Opamp and C Stray Using B (2)'!R_1,IMPRODUCT('Opamp and C Stray Using B (2)'!R_f,IMSUM(1,IMPRODUCT(I39,C_s,R_1)))))</f>
        <v>0.199999999977732-2.11037601470237E-06j</v>
      </c>
      <c r="K39">
        <f t="shared" si="4"/>
        <v>-13.97940008720391</v>
      </c>
      <c r="L39">
        <f t="shared" si="5"/>
        <v>-6.0457819418529733E-4</v>
      </c>
      <c r="M39">
        <f t="shared" si="6"/>
        <v>0.19999999997773199</v>
      </c>
      <c r="N39">
        <f t="shared" si="7"/>
        <v>-2.1103760147023701E-6</v>
      </c>
      <c r="O39" t="str">
        <f t="shared" si="14"/>
        <v>784053.683887815-411477.222540642j</v>
      </c>
      <c r="P39">
        <f t="shared" si="8"/>
        <v>118.94345799697264</v>
      </c>
      <c r="Q39">
        <f t="shared" si="9"/>
        <v>-27.690824036480493</v>
      </c>
      <c r="R39">
        <f t="shared" si="10"/>
        <v>104.96405790976873</v>
      </c>
      <c r="S39">
        <f t="shared" si="11"/>
        <v>152.30857138532531</v>
      </c>
    </row>
    <row r="40" spans="7:19" x14ac:dyDescent="0.25">
      <c r="G40">
        <f t="shared" si="13"/>
        <v>-0.25999999999999934</v>
      </c>
      <c r="H40">
        <f t="shared" si="0"/>
        <v>5.4954087385762538</v>
      </c>
      <c r="I40" t="str">
        <f t="shared" si="3"/>
        <v>34.5286714431686j</v>
      </c>
      <c r="J40" t="str">
        <f>IMDIV(R_1,IMSUM('Opamp and C Stray Using B (2)'!R_1,IMPRODUCT('Opamp and C Stray Using B (2)'!R_f,IMSUM(1,IMPRODUCT(I40,C_s,R_1)))))</f>
        <v>0.199999999975583-0.000002209834972093j</v>
      </c>
      <c r="K40">
        <f t="shared" si="4"/>
        <v>-13.979400087250585</v>
      </c>
      <c r="L40">
        <f t="shared" si="5"/>
        <v>-6.3307108665822055E-4</v>
      </c>
      <c r="M40">
        <f t="shared" si="6"/>
        <v>0.19999999997558299</v>
      </c>
      <c r="N40">
        <f t="shared" si="7"/>
        <v>-2.2098349720929998E-6</v>
      </c>
      <c r="O40" t="str">
        <f t="shared" si="14"/>
        <v>768052.003167584-422075.968988813j</v>
      </c>
      <c r="P40">
        <f t="shared" si="8"/>
        <v>118.85390626182718</v>
      </c>
      <c r="Q40">
        <f t="shared" si="9"/>
        <v>-28.790593289891955</v>
      </c>
      <c r="R40">
        <f t="shared" si="10"/>
        <v>104.8745061745766</v>
      </c>
      <c r="S40">
        <f t="shared" si="11"/>
        <v>151.20877363902139</v>
      </c>
    </row>
    <row r="41" spans="7:19" x14ac:dyDescent="0.25">
      <c r="G41">
        <f t="shared" si="13"/>
        <v>-0.23999999999999935</v>
      </c>
      <c r="H41">
        <f t="shared" si="0"/>
        <v>5.7543993733715784</v>
      </c>
      <c r="I41" t="str">
        <f t="shared" si="3"/>
        <v>36.1559575944117j</v>
      </c>
      <c r="J41" t="str">
        <f>IMDIV(R_1,IMSUM('Opamp and C Stray Using B (2)'!R_1,IMPRODUCT('Opamp and C Stray Using B (2)'!R_f,IMSUM(1,IMPRODUCT(I41,C_s,R_1)))))</f>
        <v>0.199999999973227-0.0000023139812857326j</v>
      </c>
      <c r="K41">
        <f t="shared" si="4"/>
        <v>-13.979400087301755</v>
      </c>
      <c r="L41">
        <f t="shared" si="5"/>
        <v>-6.6290680778282945E-4</v>
      </c>
      <c r="M41">
        <f t="shared" si="6"/>
        <v>0.19999999997322701</v>
      </c>
      <c r="N41">
        <f t="shared" si="7"/>
        <v>-2.3139812857326E-6</v>
      </c>
      <c r="O41" t="str">
        <f t="shared" si="14"/>
        <v>751240.79353371-432293.955156155j</v>
      </c>
      <c r="P41">
        <f t="shared" si="8"/>
        <v>118.75779162758541</v>
      </c>
      <c r="Q41">
        <f t="shared" si="9"/>
        <v>-29.917841630566709</v>
      </c>
      <c r="R41">
        <f t="shared" si="10"/>
        <v>104.77839154028365</v>
      </c>
      <c r="S41">
        <f t="shared" si="11"/>
        <v>150.0814954626255</v>
      </c>
    </row>
    <row r="42" spans="7:19" x14ac:dyDescent="0.25">
      <c r="G42">
        <f t="shared" si="13"/>
        <v>-0.21999999999999936</v>
      </c>
      <c r="H42">
        <f t="shared" si="0"/>
        <v>6.0255958607435867</v>
      </c>
      <c r="I42" t="str">
        <f t="shared" si="3"/>
        <v>37.8599353792262j</v>
      </c>
      <c r="J42" t="str">
        <f>IMDIV(R_1,IMSUM('Opamp and C Stray Using B (2)'!R_1,IMPRODUCT('Opamp and C Stray Using B (2)'!R_f,IMSUM(1,IMPRODUCT(I42,C_s,R_1)))))</f>
        <v>0.199999999970644-2.42303586391483E-06j</v>
      </c>
      <c r="K42">
        <f t="shared" si="4"/>
        <v>-13.979400087357845</v>
      </c>
      <c r="L42">
        <f t="shared" si="5"/>
        <v>-6.9414864312370057E-4</v>
      </c>
      <c r="M42">
        <f t="shared" si="6"/>
        <v>0.19999999997064399</v>
      </c>
      <c r="N42">
        <f t="shared" si="7"/>
        <v>-2.42303586391483E-6</v>
      </c>
      <c r="O42" t="str">
        <f t="shared" si="14"/>
        <v>733633.702413807-442058.020056662j</v>
      </c>
      <c r="P42">
        <f t="shared" si="8"/>
        <v>118.65479274183417</v>
      </c>
      <c r="Q42">
        <f t="shared" si="9"/>
        <v>-31.071468214576662</v>
      </c>
      <c r="R42">
        <f t="shared" si="10"/>
        <v>104.67539265447633</v>
      </c>
      <c r="S42">
        <f t="shared" si="11"/>
        <v>148.92783763678023</v>
      </c>
    </row>
    <row r="43" spans="7:19" x14ac:dyDescent="0.25">
      <c r="G43">
        <f t="shared" si="13"/>
        <v>-0.19999999999999937</v>
      </c>
      <c r="H43">
        <f t="shared" si="0"/>
        <v>6.3095734448019414</v>
      </c>
      <c r="I43" t="str">
        <f t="shared" si="3"/>
        <v>39.64421916295j</v>
      </c>
      <c r="J43" t="str">
        <f>IMDIV(R_1,IMSUM('Opamp and C Stray Using B (2)'!R_1,IMPRODUCT('Opamp and C Stray Using B (2)'!R_f,IMSUM(1,IMPRODUCT(I43,C_s,R_1)))))</f>
        <v>0.199999999967812-2.53723002602046E-06j</v>
      </c>
      <c r="K43">
        <f t="shared" si="4"/>
        <v>-13.979400087419336</v>
      </c>
      <c r="L43">
        <f t="shared" si="5"/>
        <v>-7.2686286080218994E-4</v>
      </c>
      <c r="M43">
        <f t="shared" si="6"/>
        <v>0.19999999996781201</v>
      </c>
      <c r="N43">
        <f t="shared" si="7"/>
        <v>-2.53723002602046E-6</v>
      </c>
      <c r="O43" t="str">
        <f t="shared" si="14"/>
        <v>715252.751049199-451293.976434155j</v>
      </c>
      <c r="P43">
        <f t="shared" si="8"/>
        <v>118.54459536890707</v>
      </c>
      <c r="Q43">
        <f t="shared" si="9"/>
        <v>-32.25017757479344</v>
      </c>
      <c r="R43">
        <f t="shared" si="10"/>
        <v>104.56519528148773</v>
      </c>
      <c r="S43">
        <f t="shared" si="11"/>
        <v>147.74909556234576</v>
      </c>
    </row>
    <row r="44" spans="7:19" x14ac:dyDescent="0.25">
      <c r="G44">
        <f t="shared" si="13"/>
        <v>-0.17999999999999938</v>
      </c>
      <c r="H44">
        <f t="shared" si="0"/>
        <v>6.60693448007597</v>
      </c>
      <c r="I44" t="str">
        <f t="shared" si="3"/>
        <v>41.5125936507115j</v>
      </c>
      <c r="J44" t="str">
        <f>IMDIV(R_1,IMSUM('Opamp and C Stray Using B (2)'!R_1,IMPRODUCT('Opamp and C Stray Using B (2)'!R_f,IMSUM(1,IMPRODUCT(I44,C_s,R_1)))))</f>
        <v>0.199999999964707-0.0000026568059931767j</v>
      </c>
      <c r="K44">
        <f t="shared" si="4"/>
        <v>-13.979400087486752</v>
      </c>
      <c r="L44">
        <f t="shared" si="5"/>
        <v>-7.6111885205998005E-4</v>
      </c>
      <c r="M44">
        <f t="shared" si="6"/>
        <v>0.19999999996470699</v>
      </c>
      <c r="N44">
        <f t="shared" si="7"/>
        <v>-2.6568059931767001E-6</v>
      </c>
      <c r="O44" t="str">
        <f t="shared" si="14"/>
        <v>696128.7704296-459927.717592421j</v>
      </c>
      <c r="P44">
        <f t="shared" si="8"/>
        <v>118.42689583165492</v>
      </c>
      <c r="Q44">
        <f t="shared" si="9"/>
        <v>-33.452478345094278</v>
      </c>
      <c r="R44">
        <f t="shared" si="10"/>
        <v>104.44749574416817</v>
      </c>
      <c r="S44">
        <f t="shared" si="11"/>
        <v>146.54676053605365</v>
      </c>
    </row>
    <row r="45" spans="7:19" x14ac:dyDescent="0.25">
      <c r="G45">
        <f t="shared" si="13"/>
        <v>-0.15999999999999939</v>
      </c>
      <c r="H45">
        <f t="shared" si="0"/>
        <v>6.9183097091893755</v>
      </c>
      <c r="I45" t="str">
        <f t="shared" si="3"/>
        <v>43.4690219152966j</v>
      </c>
      <c r="J45" t="str">
        <f>IMDIV(R_1,IMSUM('Opamp and C Stray Using B (2)'!R_1,IMPRODUCT('Opamp and C Stray Using B (2)'!R_f,IMSUM(1,IMPRODUCT(I45,C_s,R_1)))))</f>
        <v>0.199999999961302-2.78201740204068E-06j</v>
      </c>
      <c r="K45">
        <f t="shared" si="4"/>
        <v>-13.979400087560691</v>
      </c>
      <c r="L45">
        <f t="shared" si="5"/>
        <v>-7.9698927844721072E-4</v>
      </c>
      <c r="M45">
        <f t="shared" si="6"/>
        <v>0.19999999996130199</v>
      </c>
      <c r="N45">
        <f t="shared" si="7"/>
        <v>-2.7820174020406801E-6</v>
      </c>
      <c r="O45" t="str">
        <f t="shared" si="14"/>
        <v>676301.669492736-467886.440639258j</v>
      </c>
      <c r="P45">
        <f t="shared" si="8"/>
        <v>118.30140459509607</v>
      </c>
      <c r="Q45">
        <f t="shared" si="9"/>
        <v>-34.676685063915208</v>
      </c>
      <c r="R45">
        <f t="shared" si="10"/>
        <v>104.32200450753538</v>
      </c>
      <c r="S45">
        <f t="shared" si="11"/>
        <v>145.32251794680633</v>
      </c>
    </row>
    <row r="46" spans="7:19" x14ac:dyDescent="0.25">
      <c r="G46">
        <f t="shared" si="13"/>
        <v>-0.1399999999999994</v>
      </c>
      <c r="H46">
        <f t="shared" si="0"/>
        <v>7.2443596007499096</v>
      </c>
      <c r="I46" t="str">
        <f t="shared" si="3"/>
        <v>45.5176538033572j</v>
      </c>
      <c r="J46" t="str">
        <f>IMDIV(R_1,IMSUM('Opamp and C Stray Using B (2)'!R_1,IMPRODUCT('Opamp and C Stray Using B (2)'!R_f,IMSUM(1,IMPRODUCT(I46,C_s,R_1)))))</f>
        <v>0.199999999957568-2.91312984279682E-06j</v>
      </c>
      <c r="K46">
        <f t="shared" si="4"/>
        <v>-13.979400087641782</v>
      </c>
      <c r="L46">
        <f t="shared" si="5"/>
        <v>-8.3455022594737321E-4</v>
      </c>
      <c r="M46">
        <f t="shared" si="6"/>
        <v>0.19999999995756801</v>
      </c>
      <c r="N46">
        <f t="shared" si="7"/>
        <v>-2.9131298427968201E-6</v>
      </c>
      <c r="O46" t="str">
        <f t="shared" si="14"/>
        <v>655820.505912394-475099.957837512j</v>
      </c>
      <c r="P46">
        <f t="shared" si="8"/>
        <v>118.16784991877979</v>
      </c>
      <c r="Q46">
        <f t="shared" si="9"/>
        <v>-35.92092332877521</v>
      </c>
      <c r="R46">
        <f t="shared" si="10"/>
        <v>104.18844983113802</v>
      </c>
      <c r="S46">
        <f t="shared" si="11"/>
        <v>144.07824212099885</v>
      </c>
    </row>
    <row r="47" spans="7:19" x14ac:dyDescent="0.25">
      <c r="G47">
        <f t="shared" si="13"/>
        <v>-0.1199999999999994</v>
      </c>
      <c r="H47">
        <f t="shared" si="0"/>
        <v>7.585775750291849</v>
      </c>
      <c r="I47" t="str">
        <f t="shared" si="3"/>
        <v>47.6628347377929j</v>
      </c>
      <c r="J47" t="str">
        <f>IMDIV(R_1,IMSUM('Opamp and C Stray Using B (2)'!R_1,IMPRODUCT('Opamp and C Stray Using B (2)'!R_f,IMSUM(1,IMPRODUCT(I47,C_s,R_1)))))</f>
        <v>0.199999999953475-3.05042142250914E-06j</v>
      </c>
      <c r="K47">
        <f t="shared" si="4"/>
        <v>-13.979400087730646</v>
      </c>
      <c r="L47">
        <f t="shared" si="5"/>
        <v>-8.7388136636585699E-4</v>
      </c>
      <c r="M47">
        <f t="shared" si="6"/>
        <v>0.19999999995347501</v>
      </c>
      <c r="N47">
        <f t="shared" si="7"/>
        <v>-3.0504214225091401E-6</v>
      </c>
      <c r="O47" t="str">
        <f t="shared" si="14"/>
        <v>634743.335052317-481502.059869923j</v>
      </c>
      <c r="P47">
        <f t="shared" si="8"/>
        <v>118.0259814938003</v>
      </c>
      <c r="Q47">
        <f t="shared" si="9"/>
        <v>-37.183138488143648</v>
      </c>
      <c r="R47">
        <f t="shared" si="10"/>
        <v>104.04658140606966</v>
      </c>
      <c r="S47">
        <f t="shared" si="11"/>
        <v>142.81598763048999</v>
      </c>
    </row>
    <row r="48" spans="7:19" x14ac:dyDescent="0.25">
      <c r="G48">
        <f t="shared" si="13"/>
        <v>-9.9999999999999395E-2</v>
      </c>
      <c r="H48">
        <f t="shared" si="0"/>
        <v>7.9432823472428264</v>
      </c>
      <c r="I48" t="str">
        <f t="shared" si="3"/>
        <v>49.9091149349751j</v>
      </c>
      <c r="J48" t="str">
        <f>IMDIV(R_1,IMSUM('Opamp and C Stray Using B (2)'!R_1,IMPRODUCT('Opamp and C Stray Using B (2)'!R_f,IMSUM(1,IMPRODUCT(I48,C_s,R_1)))))</f>
        <v>0.199999999948986-3.19418335502366E-06j</v>
      </c>
      <c r="K48">
        <f t="shared" si="4"/>
        <v>-13.979400087828129</v>
      </c>
      <c r="L48">
        <f t="shared" si="5"/>
        <v>-9.1506612632456959E-4</v>
      </c>
      <c r="M48">
        <f t="shared" si="6"/>
        <v>0.19999999994898601</v>
      </c>
      <c r="N48">
        <f t="shared" si="7"/>
        <v>-3.1941833550236599E-6</v>
      </c>
      <c r="O48" t="str">
        <f t="shared" si="14"/>
        <v>613136.820153142-487031.887996706j</v>
      </c>
      <c r="P48">
        <f t="shared" si="8"/>
        <v>117.8755739720566</v>
      </c>
      <c r="Q48">
        <f t="shared" si="9"/>
        <v>-38.461107952210021</v>
      </c>
      <c r="R48">
        <f t="shared" si="10"/>
        <v>103.89617388422847</v>
      </c>
      <c r="S48">
        <f t="shared" si="11"/>
        <v>141.53797698166366</v>
      </c>
    </row>
    <row r="49" spans="7:19" x14ac:dyDescent="0.25">
      <c r="G49">
        <f t="shared" si="13"/>
        <v>-7.9999999999999391E-2</v>
      </c>
      <c r="H49">
        <f t="shared" si="0"/>
        <v>8.3176377110267214</v>
      </c>
      <c r="I49" t="str">
        <f t="shared" si="3"/>
        <v>52.2612590563659j</v>
      </c>
      <c r="J49" t="str">
        <f>IMDIV(R_1,IMSUM('Opamp and C Stray Using B (2)'!R_1,IMPRODUCT('Opamp and C Stray Using B (2)'!R_f,IMSUM(1,IMPRODUCT(I49,C_s,R_1)))))</f>
        <v>0.199999999944064-3.34472057867198E-06j</v>
      </c>
      <c r="K49">
        <f t="shared" si="4"/>
        <v>-13.979400087935014</v>
      </c>
      <c r="L49">
        <f t="shared" si="5"/>
        <v>-9.5819186422095289E-4</v>
      </c>
      <c r="M49">
        <f t="shared" si="6"/>
        <v>0.19999999994406401</v>
      </c>
      <c r="N49">
        <f t="shared" si="7"/>
        <v>-3.3447205786719799E-6</v>
      </c>
      <c r="O49" t="str">
        <f t="shared" si="14"/>
        <v>591075.596314943-491635.266997677j</v>
      </c>
      <c r="P49">
        <f t="shared" si="8"/>
        <v>117.71643029041761</v>
      </c>
      <c r="Q49">
        <f t="shared" si="9"/>
        <v>-39.752457083430862</v>
      </c>
      <c r="R49">
        <f t="shared" si="10"/>
        <v>103.73703020248259</v>
      </c>
      <c r="S49">
        <f t="shared" si="11"/>
        <v>140.24658472470492</v>
      </c>
    </row>
    <row r="50" spans="7:19" x14ac:dyDescent="0.25">
      <c r="G50">
        <f t="shared" si="13"/>
        <v>-5.9999999999999387E-2</v>
      </c>
      <c r="H50">
        <f t="shared" si="0"/>
        <v>8.7096358995608192</v>
      </c>
      <c r="I50" t="str">
        <f t="shared" si="3"/>
        <v>54.7242563150044j</v>
      </c>
      <c r="J50" t="str">
        <f>IMDIV(R_1,IMSUM('Opamp and C Stray Using B (2)'!R_1,IMPRODUCT('Opamp and C Stray Using B (2)'!R_f,IMSUM(1,IMPRODUCT(I50,C_s,R_1)))))</f>
        <v>0.199999999938668-3.50235240308625E-06j</v>
      </c>
      <c r="K50">
        <f t="shared" si="4"/>
        <v>-13.979400088052177</v>
      </c>
      <c r="L50">
        <f t="shared" si="5"/>
        <v>-1.0033500555268434E-3</v>
      </c>
      <c r="M50">
        <f t="shared" si="6"/>
        <v>0.19999999993866799</v>
      </c>
      <c r="N50">
        <f t="shared" si="7"/>
        <v>-3.5023524030862499E-6</v>
      </c>
      <c r="O50" t="str">
        <f t="shared" si="14"/>
        <v>568641.391883667-495265.948072622j</v>
      </c>
      <c r="P50">
        <f t="shared" si="8"/>
        <v>117.54838469164488</v>
      </c>
      <c r="Q50">
        <f t="shared" si="9"/>
        <v>-41.054678496630203</v>
      </c>
      <c r="R50">
        <f t="shared" si="10"/>
        <v>103.56898460359271</v>
      </c>
      <c r="S50">
        <f t="shared" si="11"/>
        <v>138.94431815331427</v>
      </c>
    </row>
    <row r="51" spans="7:19" x14ac:dyDescent="0.25">
      <c r="G51">
        <f t="shared" si="13"/>
        <v>-3.9999999999999383E-2</v>
      </c>
      <c r="H51">
        <f t="shared" si="0"/>
        <v>9.1201083935591107</v>
      </c>
      <c r="I51" t="str">
        <f t="shared" si="3"/>
        <v>57.3033310582958j</v>
      </c>
      <c r="J51" t="str">
        <f>IMDIV(R_1,IMSUM('Opamp and C Stray Using B (2)'!R_1,IMPRODUCT('Opamp and C Stray Using B (2)'!R_f,IMSUM(1,IMPRODUCT(I51,C_s,R_1)))))</f>
        <v>0.19999999993275-3.66741318649777E-06j</v>
      </c>
      <c r="K51">
        <f t="shared" si="4"/>
        <v>-13.9794000881807</v>
      </c>
      <c r="L51">
        <f t="shared" si="5"/>
        <v>-1.0506364868202527E-3</v>
      </c>
      <c r="M51">
        <f t="shared" si="6"/>
        <v>0.19999999993275</v>
      </c>
      <c r="N51">
        <f t="shared" si="7"/>
        <v>-3.6674131864977699E-6</v>
      </c>
      <c r="O51" t="str">
        <f t="shared" si="14"/>
        <v>545921.922780483-497886.711017821j</v>
      </c>
      <c r="P51">
        <f t="shared" si="8"/>
        <v>117.37130534773851</v>
      </c>
      <c r="Q51">
        <f t="shared" si="9"/>
        <v>-42.365154463831608</v>
      </c>
      <c r="R51">
        <f t="shared" si="10"/>
        <v>103.39190525955782</v>
      </c>
      <c r="S51">
        <f t="shared" si="11"/>
        <v>137.63379489968156</v>
      </c>
    </row>
    <row r="52" spans="7:19" x14ac:dyDescent="0.25">
      <c r="G52">
        <f t="shared" si="13"/>
        <v>-1.9999999999999383E-2</v>
      </c>
      <c r="H52">
        <f t="shared" si="0"/>
        <v>9.5499258602143726</v>
      </c>
      <c r="I52" t="str">
        <f t="shared" si="3"/>
        <v>60.0039538495533j</v>
      </c>
      <c r="J52" t="str">
        <f>IMDIV(R_1,IMSUM('Opamp and C Stray Using B (2)'!R_1,IMPRODUCT('Opamp and C Stray Using B (2)'!R_f,IMSUM(1,IMPRODUCT(I52,C_s,R_1)))))</f>
        <v>0.199999999926262-3.84025304495555E-06j</v>
      </c>
      <c r="K52">
        <f t="shared" si="4"/>
        <v>-13.979400088321583</v>
      </c>
      <c r="L52">
        <f t="shared" si="5"/>
        <v>-1.1001514589614916E-3</v>
      </c>
      <c r="M52">
        <f t="shared" si="6"/>
        <v>0.199999999926262</v>
      </c>
      <c r="N52">
        <f t="shared" si="7"/>
        <v>-3.8402530449555504E-6</v>
      </c>
      <c r="O52" t="str">
        <f t="shared" si="14"/>
        <v>523009.587297562-499470.278287303j</v>
      </c>
      <c r="P52">
        <f t="shared" si="8"/>
        <v>117.18509649999712</v>
      </c>
      <c r="Q52">
        <f t="shared" si="9"/>
        <v>-43.681181988918347</v>
      </c>
      <c r="R52">
        <f t="shared" si="10"/>
        <v>103.20569641167553</v>
      </c>
      <c r="S52">
        <f t="shared" si="11"/>
        <v>136.31771785962269</v>
      </c>
    </row>
    <row r="53" spans="7:19" x14ac:dyDescent="0.25">
      <c r="G53">
        <f t="shared" si="13"/>
        <v>6.1756155744774333E-16</v>
      </c>
      <c r="H53">
        <f t="shared" si="0"/>
        <v>10.000000000000014</v>
      </c>
      <c r="I53" t="str">
        <f t="shared" si="3"/>
        <v>62.831853071796j</v>
      </c>
      <c r="J53" t="str">
        <f>IMDIV(R_1,IMSUM('Opamp and C Stray Using B (2)'!R_1,IMPRODUCT('Opamp and C Stray Using B (2)'!R_f,IMSUM(1,IMPRODUCT(I53,C_s,R_1)))))</f>
        <v>0.199999999919148-4.02123859496934E-06j</v>
      </c>
      <c r="K53">
        <f t="shared" si="4"/>
        <v>-13.979400088476059</v>
      </c>
      <c r="L53">
        <f t="shared" si="5"/>
        <v>-1.1519999998447733E-3</v>
      </c>
      <c r="M53">
        <f t="shared" si="6"/>
        <v>0.19999999991914799</v>
      </c>
      <c r="N53">
        <f t="shared" si="7"/>
        <v>-4.02123859496934E-6</v>
      </c>
      <c r="O53" t="str">
        <f t="shared" si="14"/>
        <v>500000-500000j</v>
      </c>
      <c r="P53">
        <f t="shared" si="8"/>
        <v>116.98970004336019</v>
      </c>
      <c r="Q53">
        <f t="shared" si="9"/>
        <v>-45</v>
      </c>
      <c r="R53">
        <f t="shared" si="10"/>
        <v>103.01029995488413</v>
      </c>
      <c r="S53">
        <f t="shared" si="11"/>
        <v>134.99884800000015</v>
      </c>
    </row>
    <row r="54" spans="7:19" x14ac:dyDescent="0.25">
      <c r="G54">
        <f t="shared" si="13"/>
        <v>2.0000000000000618E-2</v>
      </c>
      <c r="H54">
        <f t="shared" si="0"/>
        <v>10.47128548050901</v>
      </c>
      <c r="I54" t="str">
        <f t="shared" si="3"/>
        <v>65.7930270784172j</v>
      </c>
      <c r="J54" t="str">
        <f>IMDIV(R_1,IMSUM('Opamp and C Stray Using B (2)'!R_1,IMPRODUCT('Opamp and C Stray Using B (2)'!R_f,IMSUM(1,IMPRODUCT(I54,C_s,R_1)))))</f>
        <v>0.199999999911348-4.21075373115226E-06j</v>
      </c>
      <c r="K54">
        <f t="shared" si="4"/>
        <v>-13.979400088645422</v>
      </c>
      <c r="L54">
        <f t="shared" si="5"/>
        <v>-1.2062920871764098E-3</v>
      </c>
      <c r="M54">
        <f t="shared" si="6"/>
        <v>0.19999999991134801</v>
      </c>
      <c r="N54">
        <f t="shared" si="7"/>
        <v>-4.2107537311522596E-6</v>
      </c>
      <c r="O54" t="str">
        <f t="shared" si="14"/>
        <v>476990.412702438-499470.278287303j</v>
      </c>
      <c r="P54">
        <f t="shared" si="8"/>
        <v>116.78509649999712</v>
      </c>
      <c r="Q54">
        <f t="shared" si="9"/>
        <v>-46.31881801108166</v>
      </c>
      <c r="R54">
        <f t="shared" si="10"/>
        <v>102.8056964113517</v>
      </c>
      <c r="S54">
        <f t="shared" si="11"/>
        <v>133.67997569683115</v>
      </c>
    </row>
    <row r="55" spans="7:19" x14ac:dyDescent="0.25">
      <c r="G55">
        <f t="shared" si="13"/>
        <v>4.0000000000000618E-2</v>
      </c>
      <c r="H55">
        <f t="shared" si="0"/>
        <v>10.964781961431866</v>
      </c>
      <c r="I55" t="str">
        <f t="shared" si="3"/>
        <v>68.8937569164965j</v>
      </c>
      <c r="J55" t="str">
        <f>IMDIV(R_1,IMSUM('Opamp and C Stray Using B (2)'!R_1,IMPRODUCT('Opamp and C Stray Using B (2)'!R_f,IMSUM(1,IMPRODUCT(I55,C_s,R_1)))))</f>
        <v>0.199999999902795-4.40920044051277E-06j</v>
      </c>
      <c r="K55">
        <f t="shared" si="4"/>
        <v>-13.97940008883115</v>
      </c>
      <c r="L55">
        <f t="shared" si="5"/>
        <v>-1.2631428817523045E-3</v>
      </c>
      <c r="M55">
        <f t="shared" si="6"/>
        <v>0.19999999990279499</v>
      </c>
      <c r="N55">
        <f t="shared" si="7"/>
        <v>-4.40920044051277E-6</v>
      </c>
      <c r="O55" t="str">
        <f t="shared" si="14"/>
        <v>454078.077219514-497886.711017821j</v>
      </c>
      <c r="P55">
        <f t="shared" si="8"/>
        <v>116.5713053477385</v>
      </c>
      <c r="Q55">
        <f t="shared" si="9"/>
        <v>-47.634845536168555</v>
      </c>
      <c r="R55">
        <f t="shared" si="10"/>
        <v>102.59190525890735</v>
      </c>
      <c r="S55">
        <f t="shared" si="11"/>
        <v>132.36389132094968</v>
      </c>
    </row>
    <row r="56" spans="7:19" x14ac:dyDescent="0.25">
      <c r="G56">
        <f t="shared" si="13"/>
        <v>6.0000000000000622E-2</v>
      </c>
      <c r="H56">
        <f t="shared" si="0"/>
        <v>11.481536214968845</v>
      </c>
      <c r="I56" t="str">
        <f t="shared" si="3"/>
        <v>72.1406196497426j</v>
      </c>
      <c r="J56" t="str">
        <f>IMDIV(R_1,IMSUM('Opamp and C Stray Using B (2)'!R_1,IMPRODUCT('Opamp and C Stray Using B (2)'!R_f,IMSUM(1,IMPRODUCT(I56,C_s,R_1)))))</f>
        <v>0.199999999893417-4.61699965512304E-06j</v>
      </c>
      <c r="K56">
        <f t="shared" si="4"/>
        <v>-13.97940008903479</v>
      </c>
      <c r="L56">
        <f t="shared" si="5"/>
        <v>-1.322672971729448E-3</v>
      </c>
      <c r="M56">
        <f t="shared" si="6"/>
        <v>0.19999999989341699</v>
      </c>
      <c r="N56">
        <f t="shared" si="7"/>
        <v>-4.6169996551230401E-6</v>
      </c>
      <c r="O56" t="str">
        <f t="shared" si="14"/>
        <v>431358.608116329-495265.948072621j</v>
      </c>
      <c r="P56">
        <f t="shared" si="8"/>
        <v>116.34838469164485</v>
      </c>
      <c r="Q56">
        <f t="shared" si="9"/>
        <v>-48.945321503370039</v>
      </c>
      <c r="R56">
        <f t="shared" si="10"/>
        <v>102.36898460261006</v>
      </c>
      <c r="S56">
        <f t="shared" si="11"/>
        <v>131.05335582365822</v>
      </c>
    </row>
    <row r="57" spans="7:19" x14ac:dyDescent="0.25">
      <c r="G57">
        <f t="shared" si="13"/>
        <v>8.0000000000000626E-2</v>
      </c>
      <c r="H57">
        <f t="shared" si="0"/>
        <v>12.022644346174147</v>
      </c>
      <c r="I57" t="str">
        <f t="shared" si="3"/>
        <v>75.5405023093271j</v>
      </c>
      <c r="J57" t="str">
        <f>IMDIV(R_1,IMSUM('Opamp and C Stray Using B (2)'!R_1,IMPRODUCT('Opamp and C Stray Using B (2)'!R_f,IMSUM(1,IMPRODUCT(I57,C_s,R_1)))))</f>
        <v>0.199999999883134-4.83459214497191E-06j</v>
      </c>
      <c r="K57">
        <f t="shared" si="4"/>
        <v>-13.97940008925808</v>
      </c>
      <c r="L57">
        <f t="shared" si="5"/>
        <v>-1.3850086284094853E-3</v>
      </c>
      <c r="M57">
        <f t="shared" si="6"/>
        <v>0.19999999988313399</v>
      </c>
      <c r="N57">
        <f t="shared" si="7"/>
        <v>-4.8345921449719099E-6</v>
      </c>
      <c r="O57" t="str">
        <f t="shared" si="14"/>
        <v>408924.403685058-491635.266997678j</v>
      </c>
      <c r="P57">
        <f t="shared" si="8"/>
        <v>116.11643029041764</v>
      </c>
      <c r="Q57">
        <f t="shared" si="9"/>
        <v>-50.247542916569081</v>
      </c>
      <c r="R57">
        <f t="shared" si="10"/>
        <v>102.13703020115956</v>
      </c>
      <c r="S57">
        <f t="shared" si="11"/>
        <v>129.75107207480249</v>
      </c>
    </row>
    <row r="58" spans="7:19" x14ac:dyDescent="0.25">
      <c r="G58">
        <f t="shared" si="13"/>
        <v>0.10000000000000063</v>
      </c>
      <c r="H58">
        <f t="shared" si="0"/>
        <v>12.589254117941691</v>
      </c>
      <c r="I58" t="str">
        <f t="shared" si="3"/>
        <v>79.1006165022013j</v>
      </c>
      <c r="J58" t="str">
        <f>IMDIV(R_1,IMSUM('Opamp and C Stray Using B (2)'!R_1,IMPRODUCT('Opamp and C Stray Using B (2)'!R_f,IMSUM(1,IMPRODUCT(I58,C_s,R_1)))))</f>
        <v>0.199999999871859-5.06243945289734E-06j</v>
      </c>
      <c r="K58">
        <f t="shared" si="4"/>
        <v>-13.979400089502914</v>
      </c>
      <c r="L58">
        <f t="shared" si="5"/>
        <v>-1.4502820740771429E-3</v>
      </c>
      <c r="M58">
        <f t="shared" si="6"/>
        <v>0.19999999987185901</v>
      </c>
      <c r="N58">
        <f t="shared" si="7"/>
        <v>-5.0624394528973403E-6</v>
      </c>
      <c r="O58" t="str">
        <f t="shared" si="14"/>
        <v>386863.179846856-487031.887996705j</v>
      </c>
      <c r="P58">
        <f t="shared" si="8"/>
        <v>115.87557397205659</v>
      </c>
      <c r="Q58">
        <f t="shared" si="9"/>
        <v>-51.538892047790121</v>
      </c>
      <c r="R58">
        <f t="shared" si="10"/>
        <v>101.89617388255367</v>
      </c>
      <c r="S58">
        <f t="shared" si="11"/>
        <v>128.45965767013581</v>
      </c>
    </row>
    <row r="59" spans="7:19" x14ac:dyDescent="0.25">
      <c r="G59">
        <f t="shared" si="13"/>
        <v>0.12000000000000063</v>
      </c>
      <c r="H59">
        <f t="shared" si="0"/>
        <v>13.18256738556409</v>
      </c>
      <c r="I59" t="str">
        <f t="shared" si="3"/>
        <v>82.8285137078811j</v>
      </c>
      <c r="J59" t="str">
        <f>IMDIV(R_1,IMSUM('Opamp and C Stray Using B (2)'!R_1,IMPRODUCT('Opamp and C Stray Using B (2)'!R_f,IMSUM(1,IMPRODUCT(I59,C_s,R_1)))))</f>
        <v>0.199999999859496-5.30102487358031E-06j</v>
      </c>
      <c r="K59">
        <f t="shared" si="4"/>
        <v>-13.979400089771374</v>
      </c>
      <c r="L59">
        <f t="shared" si="5"/>
        <v>-1.518631762461358E-3</v>
      </c>
      <c r="M59">
        <f t="shared" si="6"/>
        <v>0.19999999985949601</v>
      </c>
      <c r="N59">
        <f t="shared" si="7"/>
        <v>-5.3010248735803104E-6</v>
      </c>
      <c r="O59" t="str">
        <f t="shared" si="14"/>
        <v>365256.664947682-481502.059869923j</v>
      </c>
      <c r="P59">
        <f t="shared" si="8"/>
        <v>115.62598149380028</v>
      </c>
      <c r="Q59">
        <f t="shared" si="9"/>
        <v>-52.816861511856409</v>
      </c>
      <c r="R59">
        <f t="shared" si="10"/>
        <v>101.64658140402891</v>
      </c>
      <c r="S59">
        <f t="shared" si="11"/>
        <v>127.18161985638113</v>
      </c>
    </row>
    <row r="60" spans="7:19" x14ac:dyDescent="0.25">
      <c r="G60">
        <f t="shared" si="13"/>
        <v>0.14000000000000062</v>
      </c>
      <c r="H60">
        <f t="shared" si="0"/>
        <v>13.803842646028869</v>
      </c>
      <c r="I60" t="str">
        <f t="shared" si="3"/>
        <v>86.7321012961476j</v>
      </c>
      <c r="J60" t="str">
        <f>IMDIV(R_1,IMSUM('Opamp and C Stray Using B (2)'!R_1,IMPRODUCT('Opamp and C Stray Using B (2)'!R_f,IMSUM(1,IMPRODUCT(I60,C_s,R_1)))))</f>
        <v>0.19999999984594-5.55085447867762E-06j</v>
      </c>
      <c r="K60">
        <f t="shared" si="4"/>
        <v>-13.97940009006575</v>
      </c>
      <c r="L60">
        <f t="shared" si="5"/>
        <v>-1.5902026724142146E-3</v>
      </c>
      <c r="M60">
        <f t="shared" si="6"/>
        <v>0.19999999984594</v>
      </c>
      <c r="N60">
        <f t="shared" si="7"/>
        <v>-5.5508544786776203E-6</v>
      </c>
      <c r="O60" t="str">
        <f t="shared" si="14"/>
        <v>344179.494087603-475099.957837511j</v>
      </c>
      <c r="P60">
        <f t="shared" si="8"/>
        <v>115.36784991877977</v>
      </c>
      <c r="Q60">
        <f t="shared" si="9"/>
        <v>-54.079076671224982</v>
      </c>
      <c r="R60">
        <f t="shared" si="10"/>
        <v>101.38844982871402</v>
      </c>
      <c r="S60">
        <f t="shared" si="11"/>
        <v>125.9193331261026</v>
      </c>
    </row>
    <row r="61" spans="7:19" x14ac:dyDescent="0.25">
      <c r="G61">
        <f t="shared" si="13"/>
        <v>0.16000000000000061</v>
      </c>
      <c r="H61">
        <f t="shared" si="0"/>
        <v>14.454397707459297</v>
      </c>
      <c r="I61" t="str">
        <f t="shared" si="3"/>
        <v>90.8196592996385j</v>
      </c>
      <c r="J61" t="str">
        <f>IMDIV(R_1,IMSUM('Opamp and C Stray Using B (2)'!R_1,IMPRODUCT('Opamp and C Stray Using B (2)'!R_f,IMSUM(1,IMPRODUCT(I61,C_s,R_1)))))</f>
        <v>0.199999999831077-5.81245819026758E-06j</v>
      </c>
      <c r="K61">
        <f t="shared" si="4"/>
        <v>-13.979400090388484</v>
      </c>
      <c r="L61">
        <f t="shared" si="5"/>
        <v>-1.6651466154305081E-3</v>
      </c>
      <c r="M61">
        <f t="shared" si="6"/>
        <v>0.199999999831077</v>
      </c>
      <c r="N61">
        <f t="shared" si="7"/>
        <v>-5.8124581902675802E-6</v>
      </c>
      <c r="O61" t="str">
        <f t="shared" si="14"/>
        <v>323698.330507262-467886.440639258j</v>
      </c>
      <c r="P61">
        <f t="shared" si="8"/>
        <v>115.10140459509607</v>
      </c>
      <c r="Q61">
        <f t="shared" si="9"/>
        <v>-55.323314936084941</v>
      </c>
      <c r="R61">
        <f t="shared" si="10"/>
        <v>101.12200450470759</v>
      </c>
      <c r="S61">
        <f t="shared" si="11"/>
        <v>124.67501991729964</v>
      </c>
    </row>
    <row r="62" spans="7:19" x14ac:dyDescent="0.25">
      <c r="G62">
        <f t="shared" si="13"/>
        <v>0.1800000000000006</v>
      </c>
      <c r="H62">
        <f t="shared" si="0"/>
        <v>15.135612484362104</v>
      </c>
      <c r="I62" t="str">
        <f t="shared" si="3"/>
        <v>95.0998579769079j</v>
      </c>
      <c r="J62" t="str">
        <f>IMDIV(R_1,IMSUM('Opamp and C Stray Using B (2)'!R_1,IMPRODUCT('Opamp and C Stray Using B (2)'!R_f,IMSUM(1,IMPRODUCT(I62,C_s,R_1)))))</f>
        <v>0.199999999814779-6.08639090488549E-06j</v>
      </c>
      <c r="K62">
        <f t="shared" si="4"/>
        <v>-13.979400090742404</v>
      </c>
      <c r="L62">
        <f t="shared" si="5"/>
        <v>-1.7436225576602622E-3</v>
      </c>
      <c r="M62">
        <f t="shared" si="6"/>
        <v>0.19999999981477901</v>
      </c>
      <c r="N62">
        <f t="shared" si="7"/>
        <v>-6.0863909048854898E-6</v>
      </c>
      <c r="O62" t="str">
        <f t="shared" si="14"/>
        <v>303871.2295704-459927.71759242j</v>
      </c>
      <c r="P62">
        <f t="shared" si="8"/>
        <v>114.82689583165489</v>
      </c>
      <c r="Q62">
        <f t="shared" si="9"/>
        <v>-56.547521654905722</v>
      </c>
      <c r="R62">
        <f t="shared" si="10"/>
        <v>100.84749574091249</v>
      </c>
      <c r="S62">
        <f t="shared" si="11"/>
        <v>123.45073472253662</v>
      </c>
    </row>
    <row r="63" spans="7:19" x14ac:dyDescent="0.25">
      <c r="G63">
        <f t="shared" si="13"/>
        <v>0.20000000000000059</v>
      </c>
      <c r="H63">
        <f t="shared" si="0"/>
        <v>15.848931924611158</v>
      </c>
      <c r="I63" t="str">
        <f t="shared" si="3"/>
        <v>99.5817762032063j</v>
      </c>
      <c r="J63" t="str">
        <f>IMDIV(R_1,IMSUM('Opamp and C Stray Using B (2)'!R_1,IMPRODUCT('Opamp and C Stray Using B (2)'!R_f,IMSUM(1,IMPRODUCT(I63,C_s,R_1)))))</f>
        <v>0.199999999796909-6.37323367053348E-06j</v>
      </c>
      <c r="K63">
        <f t="shared" si="4"/>
        <v>-13.979400091130451</v>
      </c>
      <c r="L63">
        <f t="shared" si="5"/>
        <v>-1.8257969570972044E-3</v>
      </c>
      <c r="M63">
        <f t="shared" si="6"/>
        <v>0.19999999979690899</v>
      </c>
      <c r="N63">
        <f t="shared" si="7"/>
        <v>-6.3732336705334798E-6</v>
      </c>
      <c r="O63" t="str">
        <f t="shared" si="14"/>
        <v>284747.2489508-451293.976434154j</v>
      </c>
      <c r="P63">
        <f t="shared" si="8"/>
        <v>114.54459536890704</v>
      </c>
      <c r="Q63">
        <f t="shared" si="9"/>
        <v>-57.749822425206617</v>
      </c>
      <c r="R63">
        <f t="shared" si="10"/>
        <v>100.56519527777658</v>
      </c>
      <c r="S63">
        <f t="shared" si="11"/>
        <v>122.24835177783629</v>
      </c>
    </row>
    <row r="64" spans="7:19" x14ac:dyDescent="0.25">
      <c r="G64">
        <f t="shared" si="13"/>
        <v>0.22000000000000058</v>
      </c>
      <c r="H64">
        <f t="shared" si="0"/>
        <v>16.595869074375628</v>
      </c>
      <c r="I64" t="str">
        <f t="shared" si="3"/>
        <v>104.274920727993j</v>
      </c>
      <c r="J64" t="str">
        <f>IMDIV(R_1,IMSUM('Opamp and C Stray Using B (2)'!R_1,IMPRODUCT('Opamp and C Stray Using B (2)'!R_f,IMSUM(1,IMPRODUCT(I64,C_s,R_1)))))</f>
        <v>0.199999999777316-6.67359491916103E-06j</v>
      </c>
      <c r="K64">
        <f t="shared" si="4"/>
        <v>-13.979400091555888</v>
      </c>
      <c r="L64">
        <f t="shared" si="5"/>
        <v>-1.9118441166585066E-3</v>
      </c>
      <c r="M64">
        <f t="shared" si="6"/>
        <v>0.199999999777316</v>
      </c>
      <c r="N64">
        <f t="shared" si="7"/>
        <v>-6.6735949191610301E-6</v>
      </c>
      <c r="O64" t="str">
        <f t="shared" si="14"/>
        <v>266366.297586193-442058.020056662j</v>
      </c>
      <c r="P64">
        <f t="shared" si="8"/>
        <v>114.25479274183418</v>
      </c>
      <c r="Q64">
        <f t="shared" si="9"/>
        <v>-58.928531785423274</v>
      </c>
      <c r="R64">
        <f t="shared" si="10"/>
        <v>100.27539265027829</v>
      </c>
      <c r="S64">
        <f t="shared" si="11"/>
        <v>121.06955637046008</v>
      </c>
    </row>
    <row r="65" spans="7:19" x14ac:dyDescent="0.25">
      <c r="G65">
        <f t="shared" si="13"/>
        <v>0.24000000000000057</v>
      </c>
      <c r="H65">
        <f t="shared" si="0"/>
        <v>17.378008287493778</v>
      </c>
      <c r="I65" t="str">
        <f t="shared" si="3"/>
        <v>109.189246340026j</v>
      </c>
      <c r="J65" t="str">
        <f>IMDIV(R_1,IMSUM('Opamp and C Stray Using B (2)'!R_1,IMPRODUCT('Opamp and C Stray Using B (2)'!R_f,IMSUM(1,IMPRODUCT(I65,C_s,R_1)))))</f>
        <v>0.199999999755831-6.98811175723029E-06j</v>
      </c>
      <c r="K65">
        <f t="shared" si="4"/>
        <v>-13.979400092022448</v>
      </c>
      <c r="L65">
        <f t="shared" si="5"/>
        <v>-2.0019465539046041E-3</v>
      </c>
      <c r="M65">
        <f t="shared" si="6"/>
        <v>0.19999999975583099</v>
      </c>
      <c r="N65">
        <f t="shared" si="7"/>
        <v>-6.9881117572302899E-6</v>
      </c>
      <c r="O65" t="str">
        <f t="shared" si="14"/>
        <v>248759.206466288-432293.955156154j</v>
      </c>
      <c r="P65">
        <f t="shared" si="8"/>
        <v>113.95779162758538</v>
      </c>
      <c r="Q65">
        <f t="shared" si="9"/>
        <v>-60.082158369433451</v>
      </c>
      <c r="R65">
        <f t="shared" si="10"/>
        <v>99.978391535562935</v>
      </c>
      <c r="S65">
        <f t="shared" si="11"/>
        <v>119.91583968401264</v>
      </c>
    </row>
    <row r="66" spans="7:19" x14ac:dyDescent="0.25">
      <c r="G66">
        <f t="shared" si="13"/>
        <v>0.26000000000000056</v>
      </c>
      <c r="H66">
        <f t="shared" si="0"/>
        <v>18.197008586099862</v>
      </c>
      <c r="I66" t="str">
        <f t="shared" si="3"/>
        <v>114.335176982803j</v>
      </c>
      <c r="J66" t="str">
        <f>IMDIV(R_1,IMSUM('Opamp and C Stray Using B (2)'!R_1,IMPRODUCT('Opamp and C Stray Using B (2)'!R_f,IMSUM(1,IMPRODUCT(I66,C_s,R_1)))))</f>
        <v>0.199999999732275-7.31745131710406E-06j</v>
      </c>
      <c r="K66">
        <f t="shared" si="4"/>
        <v>-13.97940009253394</v>
      </c>
      <c r="L66">
        <f t="shared" si="5"/>
        <v>-2.0962953881833077E-3</v>
      </c>
      <c r="M66">
        <f t="shared" si="6"/>
        <v>0.199999999732275</v>
      </c>
      <c r="N66">
        <f t="shared" si="7"/>
        <v>-7.3174513171040598E-6</v>
      </c>
      <c r="O66" t="str">
        <f t="shared" si="14"/>
        <v>231947.996832417-422075.968988814j</v>
      </c>
      <c r="P66">
        <f t="shared" si="8"/>
        <v>113.65390626182719</v>
      </c>
      <c r="Q66">
        <f t="shared" si="9"/>
        <v>-61.209406710107977</v>
      </c>
      <c r="R66">
        <f t="shared" si="10"/>
        <v>99.674506169293252</v>
      </c>
      <c r="S66">
        <f t="shared" si="11"/>
        <v>118.78849699450384</v>
      </c>
    </row>
    <row r="67" spans="7:19" x14ac:dyDescent="0.25">
      <c r="G67">
        <f t="shared" si="13"/>
        <v>0.28000000000000058</v>
      </c>
      <c r="H67">
        <f t="shared" ref="H67:H130" si="15">$B$3*10^G67</f>
        <v>19.054607179632498</v>
      </c>
      <c r="I67" t="str">
        <f t="shared" si="3"/>
        <v>119.723627865146j</v>
      </c>
      <c r="J67" t="str">
        <f>IMDIV(R_1,IMSUM('Opamp and C Stray Using B (2)'!R_1,IMPRODUCT('Opamp and C Stray Using B (2)'!R_f,IMSUM(1,IMPRODUCT(I67,C_s,R_1)))))</f>
        <v>0.199999999706445-0.0000076623121721228j</v>
      </c>
      <c r="K67">
        <f t="shared" si="4"/>
        <v>-13.97940009309484</v>
      </c>
      <c r="L67">
        <f t="shared" si="5"/>
        <v>-2.1950907460197067E-3</v>
      </c>
      <c r="M67">
        <f t="shared" si="6"/>
        <v>0.199999999706445</v>
      </c>
      <c r="N67">
        <f t="shared" si="7"/>
        <v>-7.6623121721227994E-6</v>
      </c>
      <c r="O67" t="str">
        <f t="shared" ref="O67:O130" si="16">IMDIV(Aolv,IMSUM(1,IMDIV(I67,wc)))</f>
        <v>215946.316112183-411477.222540641j</v>
      </c>
      <c r="P67">
        <f t="shared" si="8"/>
        <v>113.3434579969726</v>
      </c>
      <c r="Q67">
        <f t="shared" si="9"/>
        <v>-62.309175963519642</v>
      </c>
      <c r="R67">
        <f t="shared" si="10"/>
        <v>99.364057903877764</v>
      </c>
      <c r="S67">
        <f t="shared" si="11"/>
        <v>117.68862894573434</v>
      </c>
    </row>
    <row r="68" spans="7:19" x14ac:dyDescent="0.25">
      <c r="G68">
        <f t="shared" ref="G68:G131" si="17">G67+(1/ppd)</f>
        <v>0.3000000000000006</v>
      </c>
      <c r="H68">
        <f t="shared" si="15"/>
        <v>19.952623149688826</v>
      </c>
      <c r="I68" t="str">
        <f t="shared" ref="I68:I131" si="18">COMPLEX(0,H68*2*PI(),"j")</f>
        <v>125.366028613816j</v>
      </c>
      <c r="J68" t="str">
        <f>IMDIV(R_1,IMSUM('Opamp and C Stray Using B (2)'!R_1,IMPRODUCT('Opamp and C Stray Using B (2)'!R_f,IMSUM(1,IMPRODUCT(I68,C_s,R_1)))))</f>
        <v>0.199999999678123-8.02342581837146E-06j</v>
      </c>
      <c r="K68">
        <f t="shared" ref="K68:K131" si="19">20*LOG(IMABS(J68))</f>
        <v>-13.979400093709851</v>
      </c>
      <c r="L68">
        <f t="shared" ref="L68:L131" si="20">DEGREES(IMARGUMENT(J68))</f>
        <v>-2.2985421856110762E-3</v>
      </c>
      <c r="M68">
        <f t="shared" ref="M68:M131" si="21">IMREAL(J68)</f>
        <v>0.19999999967812301</v>
      </c>
      <c r="N68">
        <f t="shared" ref="N68:N131" si="22">IMAGINARY(J68)</f>
        <v>-8.0234258183714599E-6</v>
      </c>
      <c r="O68" t="str">
        <f t="shared" si="16"/>
        <v>200760.008913102-400568.880137128j</v>
      </c>
      <c r="P68">
        <f t="shared" ref="P68:P131" si="23">20*LOG(IMABS(O68))</f>
        <v>113.02677206291305</v>
      </c>
      <c r="Q68">
        <f t="shared" ref="Q68:Q131" si="24">DEGREES(IMARGUMENT(O68))</f>
        <v>-63.380555889207095</v>
      </c>
      <c r="R68">
        <f t="shared" ref="R68:R131" si="25">P68+K68</f>
        <v>99.047371969203198</v>
      </c>
      <c r="S68">
        <f t="shared" ref="S68:S131" si="26">(Q68+L68)-(-180)</f>
        <v>116.6171455686073</v>
      </c>
    </row>
    <row r="69" spans="7:19" x14ac:dyDescent="0.25">
      <c r="G69">
        <f t="shared" si="17"/>
        <v>0.32000000000000062</v>
      </c>
      <c r="H69">
        <f t="shared" si="15"/>
        <v>20.892961308540428</v>
      </c>
      <c r="I69" t="str">
        <f t="shared" si="18"/>
        <v>131.274347517293j</v>
      </c>
      <c r="J69" t="str">
        <f>IMDIV(R_1,IMSUM('Opamp and C Stray Using B (2)'!R_1,IMPRODUCT('Opamp and C Stray Using B (2)'!R_f,IMSUM(1,IMPRODUCT(I69,C_s,R_1)))))</f>
        <v>0.199999999647069-8.40155822628091E-06j</v>
      </c>
      <c r="K69">
        <f t="shared" si="19"/>
        <v>-13.979400094384179</v>
      </c>
      <c r="L69">
        <f t="shared" si="20"/>
        <v>-2.4068691413280997E-3</v>
      </c>
      <c r="M69">
        <f t="shared" si="21"/>
        <v>0.19999999964706899</v>
      </c>
      <c r="N69">
        <f t="shared" si="22"/>
        <v>-8.4015582262809092E-6</v>
      </c>
      <c r="O69" t="str">
        <f t="shared" si="16"/>
        <v>186387.789494412-389419.287429114j</v>
      </c>
      <c r="P69">
        <f t="shared" si="23"/>
        <v>112.70417457755644</v>
      </c>
      <c r="Q69">
        <f t="shared" si="24"/>
        <v>-64.422820463980571</v>
      </c>
      <c r="R69">
        <f t="shared" si="25"/>
        <v>98.724774483172268</v>
      </c>
      <c r="S69">
        <f t="shared" si="26"/>
        <v>115.5747726668781</v>
      </c>
    </row>
    <row r="70" spans="7:19" x14ac:dyDescent="0.25">
      <c r="G70">
        <f t="shared" si="17"/>
        <v>0.34000000000000064</v>
      </c>
      <c r="H70">
        <f t="shared" si="15"/>
        <v>21.877616239495559</v>
      </c>
      <c r="I70" t="str">
        <f t="shared" si="18"/>
        <v>137.461116912112j</v>
      </c>
      <c r="J70" t="str">
        <f>IMDIV(R_1,IMSUM('Opamp and C Stray Using B (2)'!R_1,IMPRODUCT('Opamp and C Stray Using B (2)'!R_f,IMSUM(1,IMPRODUCT(I70,C_s,R_1)))))</f>
        <v>0.199999999613019-8.79751146535281E-06j</v>
      </c>
      <c r="K70">
        <f t="shared" si="19"/>
        <v>-13.979400095123562</v>
      </c>
      <c r="L70">
        <f t="shared" si="20"/>
        <v>-2.5203013891643713E-3</v>
      </c>
      <c r="M70">
        <f t="shared" si="21"/>
        <v>0.19999999961301901</v>
      </c>
      <c r="N70">
        <f t="shared" si="22"/>
        <v>-8.79751146535281E-6</v>
      </c>
      <c r="O70" t="str">
        <f t="shared" si="16"/>
        <v>172821.983036859-378093.302262903j</v>
      </c>
      <c r="P70">
        <f t="shared" si="23"/>
        <v>112.37598984117291</v>
      </c>
      <c r="Q70">
        <f t="shared" si="24"/>
        <v>-65.435419528240587</v>
      </c>
      <c r="R70">
        <f t="shared" si="25"/>
        <v>98.396589746049344</v>
      </c>
      <c r="S70">
        <f t="shared" si="26"/>
        <v>114.56206017037024</v>
      </c>
    </row>
    <row r="71" spans="7:19" x14ac:dyDescent="0.25">
      <c r="G71">
        <f t="shared" si="17"/>
        <v>0.36000000000000065</v>
      </c>
      <c r="H71">
        <f t="shared" si="15"/>
        <v>22.908676527677766</v>
      </c>
      <c r="I71" t="str">
        <f t="shared" si="18"/>
        <v>143.939459765635j</v>
      </c>
      <c r="J71" t="str">
        <f>IMDIV(R_1,IMSUM('Opamp and C Stray Using B (2)'!R_1,IMPRODUCT('Opamp and C Stray Using B (2)'!R_f,IMSUM(1,IMPRODUCT(I71,C_s,R_1)))))</f>
        <v>0.199999999575684-9.21212540545637E-06j</v>
      </c>
      <c r="K71">
        <f t="shared" si="19"/>
        <v>-13.979400095934276</v>
      </c>
      <c r="L71">
        <f t="shared" si="20"/>
        <v>-2.6390795341221388E-3</v>
      </c>
      <c r="M71">
        <f t="shared" si="21"/>
        <v>0.19999999957568401</v>
      </c>
      <c r="N71">
        <f t="shared" si="22"/>
        <v>-9.2121254054563703E-6</v>
      </c>
      <c r="O71" t="str">
        <f t="shared" si="16"/>
        <v>160049.305365246-366651.776509194j</v>
      </c>
      <c r="P71">
        <f t="shared" si="23"/>
        <v>112.04253793589834</v>
      </c>
      <c r="Q71">
        <f t="shared" si="24"/>
        <v>-66.417968866963804</v>
      </c>
      <c r="R71">
        <f t="shared" si="25"/>
        <v>98.063137839964057</v>
      </c>
      <c r="S71">
        <f t="shared" si="26"/>
        <v>113.57939205350208</v>
      </c>
    </row>
    <row r="72" spans="7:19" x14ac:dyDescent="0.25">
      <c r="G72">
        <f t="shared" si="17"/>
        <v>0.38000000000000067</v>
      </c>
      <c r="H72">
        <f t="shared" si="15"/>
        <v>23.988329190194943</v>
      </c>
      <c r="I72" t="str">
        <f t="shared" si="18"/>
        <v>150.72311751162j</v>
      </c>
      <c r="J72" t="str">
        <f>IMDIV(R_1,IMSUM('Opamp and C Stray Using B (2)'!R_1,IMPRODUCT('Opamp and C Stray Using B (2)'!R_f,IMSUM(1,IMPRODUCT(I72,C_s,R_1)))))</f>
        <v>0.199999999534746-9.64627949830385E-06j</v>
      </c>
      <c r="K72">
        <f t="shared" si="19"/>
        <v>-13.979400096823248</v>
      </c>
      <c r="L72">
        <f t="shared" si="20"/>
        <v>-2.7634555205676165E-3</v>
      </c>
      <c r="M72">
        <f t="shared" si="21"/>
        <v>0.19999999953474601</v>
      </c>
      <c r="N72">
        <f t="shared" si="22"/>
        <v>-9.6462794983038504E-6</v>
      </c>
      <c r="O72" t="str">
        <f t="shared" si="16"/>
        <v>148051.654147426-355151.181684135j</v>
      </c>
      <c r="P72">
        <f t="shared" si="23"/>
        <v>111.704132640258</v>
      </c>
      <c r="Q72">
        <f t="shared" si="24"/>
        <v>-67.370239115224251</v>
      </c>
      <c r="R72">
        <f t="shared" si="25"/>
        <v>97.724732543434754</v>
      </c>
      <c r="S72">
        <f t="shared" si="26"/>
        <v>112.62699742925518</v>
      </c>
    </row>
    <row r="73" spans="7:19" x14ac:dyDescent="0.25">
      <c r="G73">
        <f t="shared" si="17"/>
        <v>0.40000000000000069</v>
      </c>
      <c r="H73">
        <f t="shared" si="15"/>
        <v>25.118864315095841</v>
      </c>
      <c r="I73" t="str">
        <f t="shared" si="18"/>
        <v>157.826479197648j</v>
      </c>
      <c r="J73" t="str">
        <f>IMDIV(R_1,IMSUM('Opamp and C Stray Using B (2)'!R_1,IMPRODUCT('Opamp and C Stray Using B (2)'!R_f,IMSUM(1,IMPRODUCT(I73,C_s,R_1)))))</f>
        <v>0.19999999948986-0.0000101008946428851j</v>
      </c>
      <c r="K73">
        <f t="shared" si="19"/>
        <v>-13.979400097797917</v>
      </c>
      <c r="L73">
        <f t="shared" si="20"/>
        <v>-2.8936931666387225E-3</v>
      </c>
      <c r="M73">
        <f t="shared" si="21"/>
        <v>0.19999999948986</v>
      </c>
      <c r="N73">
        <f t="shared" si="22"/>
        <v>-1.01008946428851E-5</v>
      </c>
      <c r="O73" t="str">
        <f t="shared" si="16"/>
        <v>136806.888603209-343643.367219445j</v>
      </c>
      <c r="P73">
        <f t="shared" si="23"/>
        <v>111.36107965856618</v>
      </c>
      <c r="Q73">
        <f t="shared" si="24"/>
        <v>-68.29214385369103</v>
      </c>
      <c r="R73">
        <f t="shared" si="25"/>
        <v>97.381679560768262</v>
      </c>
      <c r="S73">
        <f t="shared" si="26"/>
        <v>111.70496245314233</v>
      </c>
    </row>
    <row r="74" spans="7:19" x14ac:dyDescent="0.25">
      <c r="G74">
        <f t="shared" si="17"/>
        <v>0.42000000000000071</v>
      </c>
      <c r="H74">
        <f t="shared" si="15"/>
        <v>26.302679918953867</v>
      </c>
      <c r="I74" t="str">
        <f t="shared" si="18"/>
        <v>165.264612006218j</v>
      </c>
      <c r="J74" t="str">
        <f>IMDIV(R_1,IMSUM('Opamp and C Stray Using B (2)'!R_1,IMPRODUCT('Opamp and C Stray Using B (2)'!R_f,IMSUM(1,IMPRODUCT(I74,C_s,R_1)))))</f>
        <v>0.199999999440642-0.0000105769351388165j</v>
      </c>
      <c r="K74">
        <f t="shared" si="19"/>
        <v>-13.979400098866686</v>
      </c>
      <c r="L74">
        <f t="shared" si="20"/>
        <v>-3.0300687238386595E-3</v>
      </c>
      <c r="M74">
        <f t="shared" si="21"/>
        <v>0.19999999944064201</v>
      </c>
      <c r="N74">
        <f t="shared" si="22"/>
        <v>-1.05769351388165E-5</v>
      </c>
      <c r="O74" t="str">
        <f t="shared" si="16"/>
        <v>126289.579054919-332175.437498094j</v>
      </c>
      <c r="P74">
        <f t="shared" si="23"/>
        <v>111.01367515672794</v>
      </c>
      <c r="Q74">
        <f t="shared" si="24"/>
        <v>-69.183727226264295</v>
      </c>
      <c r="R74">
        <f t="shared" si="25"/>
        <v>97.034275057861251</v>
      </c>
      <c r="S74">
        <f t="shared" si="26"/>
        <v>110.81324270501186</v>
      </c>
    </row>
    <row r="75" spans="7:19" x14ac:dyDescent="0.25">
      <c r="G75">
        <f t="shared" si="17"/>
        <v>0.44000000000000072</v>
      </c>
      <c r="H75">
        <f t="shared" si="15"/>
        <v>27.542287033381715</v>
      </c>
      <c r="I75" t="str">
        <f t="shared" si="18"/>
        <v>173.053293214267j</v>
      </c>
      <c r="J75" t="str">
        <f>IMDIV(R_1,IMSUM('Opamp and C Stray Using B (2)'!R_1,IMPRODUCT('Opamp and C Stray Using B (2)'!R_f,IMSUM(1,IMPRODUCT(I75,C_s,R_1)))))</f>
        <v>0.199999999386676-0.000011075410731749j</v>
      </c>
      <c r="K75">
        <f t="shared" si="19"/>
        <v>-13.979400100038546</v>
      </c>
      <c r="L75">
        <f t="shared" si="20"/>
        <v>-3.1728714630022449E-3</v>
      </c>
      <c r="M75">
        <f t="shared" si="21"/>
        <v>0.19999999938667601</v>
      </c>
      <c r="N75">
        <f t="shared" si="22"/>
        <v>-1.1075410731749E-5</v>
      </c>
      <c r="O75" t="str">
        <f t="shared" si="16"/>
        <v>116471.71194356-320789.732161889j</v>
      </c>
      <c r="P75">
        <f t="shared" si="23"/>
        <v>110.6622045893632</v>
      </c>
      <c r="Q75">
        <f t="shared" si="24"/>
        <v>-70.045151373019237</v>
      </c>
      <c r="R75">
        <f t="shared" si="25"/>
        <v>96.682804489324653</v>
      </c>
      <c r="S75">
        <f t="shared" si="26"/>
        <v>109.95167575551775</v>
      </c>
    </row>
    <row r="76" spans="7:19" x14ac:dyDescent="0.25">
      <c r="G76">
        <f t="shared" si="17"/>
        <v>0.46000000000000074</v>
      </c>
      <c r="H76">
        <f t="shared" si="15"/>
        <v>28.840315031266112</v>
      </c>
      <c r="I76" t="str">
        <f t="shared" si="18"/>
        <v>181.209043658882j</v>
      </c>
      <c r="J76" t="str">
        <f>IMDIV(R_1,IMSUM('Opamp and C Stray Using B (2)'!R_1,IMPRODUCT('Opamp and C Stray Using B (2)'!R_f,IMSUM(1,IMPRODUCT(I76,C_s,R_1)))))</f>
        <v>0.199999999327504-0.0000115973787551725j</v>
      </c>
      <c r="K76">
        <f t="shared" si="19"/>
        <v>-13.979400101323442</v>
      </c>
      <c r="L76">
        <f t="shared" si="20"/>
        <v>-3.3224042878780224E-3</v>
      </c>
      <c r="M76">
        <f t="shared" si="21"/>
        <v>0.19999999932750401</v>
      </c>
      <c r="N76">
        <f t="shared" si="22"/>
        <v>-1.15973787551725E-5</v>
      </c>
      <c r="O76" t="str">
        <f t="shared" si="16"/>
        <v>107323.339993846-309523.893563019j</v>
      </c>
      <c r="P76">
        <f t="shared" si="23"/>
        <v>110.30694179824776</v>
      </c>
      <c r="Q76">
        <f t="shared" si="24"/>
        <v>-70.876683929712343</v>
      </c>
      <c r="R76">
        <f t="shared" si="25"/>
        <v>96.327541696924328</v>
      </c>
      <c r="S76">
        <f t="shared" si="26"/>
        <v>109.11999366599979</v>
      </c>
    </row>
    <row r="77" spans="7:19" x14ac:dyDescent="0.25">
      <c r="G77">
        <f t="shared" si="17"/>
        <v>0.48000000000000076</v>
      </c>
      <c r="H77">
        <f t="shared" si="15"/>
        <v>30.199517204020218</v>
      </c>
      <c r="I77" t="str">
        <f t="shared" si="18"/>
        <v>189.749162780217j</v>
      </c>
      <c r="J77" t="str">
        <f>IMDIV(R_1,IMSUM('Opamp and C Stray Using B (2)'!R_1,IMPRODUCT('Opamp and C Stray Using B (2)'!R_f,IMSUM(1,IMPRODUCT(I77,C_s,R_1)))))</f>
        <v>0.199999999262623-0.0000121439463731605j</v>
      </c>
      <c r="K77">
        <f t="shared" si="19"/>
        <v>-13.979400102732312</v>
      </c>
      <c r="L77">
        <f t="shared" si="20"/>
        <v>-3.4789843776275747E-3</v>
      </c>
      <c r="M77">
        <f t="shared" si="21"/>
        <v>0.19999999926262299</v>
      </c>
      <c r="N77">
        <f t="shared" si="22"/>
        <v>-1.21439463731605E-5</v>
      </c>
      <c r="O77" t="str">
        <f t="shared" si="16"/>
        <v>98813.1708783321-298411.005392398j</v>
      </c>
      <c r="P77">
        <f t="shared" si="23"/>
        <v>109.94814835868503</v>
      </c>
      <c r="Q77">
        <f t="shared" si="24"/>
        <v>-71.678685802616144</v>
      </c>
      <c r="R77">
        <f t="shared" si="25"/>
        <v>95.968748255952718</v>
      </c>
      <c r="S77">
        <f t="shared" si="26"/>
        <v>108.31783521300623</v>
      </c>
    </row>
    <row r="78" spans="7:19" x14ac:dyDescent="0.25">
      <c r="G78">
        <f t="shared" si="17"/>
        <v>0.50000000000000078</v>
      </c>
      <c r="H78">
        <f t="shared" si="15"/>
        <v>31.622776601683853</v>
      </c>
      <c r="I78" t="str">
        <f t="shared" si="18"/>
        <v>198.691765315922j</v>
      </c>
      <c r="J78" t="str">
        <f>IMDIV(R_1,IMSUM('Opamp and C Stray Using B (2)'!R_1,IMPRODUCT('Opamp and C Stray Using B (2)'!R_f,IMSUM(1,IMPRODUCT(I78,C_s,R_1)))))</f>
        <v>0.199999999191482-0.0000127162729288123j</v>
      </c>
      <c r="K78">
        <f t="shared" si="19"/>
        <v>-13.979400104277122</v>
      </c>
      <c r="L78">
        <f t="shared" si="20"/>
        <v>-3.6429438596049879E-3</v>
      </c>
      <c r="M78">
        <f t="shared" si="21"/>
        <v>0.19999999919148201</v>
      </c>
      <c r="N78">
        <f t="shared" si="22"/>
        <v>-1.27162729288123E-5</v>
      </c>
      <c r="O78" t="str">
        <f t="shared" si="16"/>
        <v>90909.0909090909-287479.787288034j</v>
      </c>
      <c r="P78">
        <f t="shared" si="23"/>
        <v>109.58607314841773</v>
      </c>
      <c r="Q78">
        <f t="shared" si="24"/>
        <v>-72.451599386207675</v>
      </c>
      <c r="R78">
        <f t="shared" si="25"/>
        <v>95.606673044140607</v>
      </c>
      <c r="S78">
        <f t="shared" si="26"/>
        <v>107.54475766993272</v>
      </c>
    </row>
    <row r="79" spans="7:19" x14ac:dyDescent="0.25">
      <c r="G79">
        <f t="shared" si="17"/>
        <v>0.52000000000000079</v>
      </c>
      <c r="H79">
        <f t="shared" si="15"/>
        <v>33.113112148259177</v>
      </c>
      <c r="I79" t="str">
        <f t="shared" si="18"/>
        <v>208.055819724932j</v>
      </c>
      <c r="J79" t="str">
        <f>IMDIV(R_1,IMSUM('Opamp and C Stray Using B (2)'!R_1,IMPRODUCT('Opamp and C Stray Using B (2)'!R_f,IMSUM(1,IMPRODUCT(I79,C_s,R_1)))))</f>
        <v>0.199999999113478-0.0000133155724033729j</v>
      </c>
      <c r="K79">
        <f t="shared" si="19"/>
        <v>-13.979400105970951</v>
      </c>
      <c r="L79">
        <f t="shared" si="20"/>
        <v>-3.8146305138431979E-3</v>
      </c>
      <c r="M79">
        <f t="shared" si="21"/>
        <v>0.19999999911347799</v>
      </c>
      <c r="N79">
        <f t="shared" si="22"/>
        <v>-1.33155724033729E-5</v>
      </c>
      <c r="O79" t="str">
        <f t="shared" si="16"/>
        <v>83578.6229304861-276754.831429426j</v>
      </c>
      <c r="P79">
        <f t="shared" si="23"/>
        <v>109.22095211284542</v>
      </c>
      <c r="Q79">
        <f t="shared" si="24"/>
        <v>-73.195937352661531</v>
      </c>
      <c r="R79">
        <f t="shared" si="25"/>
        <v>95.241552006874471</v>
      </c>
      <c r="S79">
        <f t="shared" si="26"/>
        <v>106.80024801682463</v>
      </c>
    </row>
    <row r="80" spans="7:19" x14ac:dyDescent="0.25">
      <c r="G80">
        <f t="shared" si="17"/>
        <v>0.54000000000000081</v>
      </c>
      <c r="H80">
        <f t="shared" si="15"/>
        <v>34.673685045253237</v>
      </c>
      <c r="I80" t="str">
        <f t="shared" si="18"/>
        <v>217.861188422108j</v>
      </c>
      <c r="J80" t="str">
        <f>IMDIV(R_1,IMSUM('Opamp and C Stray Using B (2)'!R_1,IMPRODUCT('Opamp and C Stray Using B (2)'!R_f,IMSUM(1,IMPRODUCT(I80,C_s,R_1)))))</f>
        <v>0.199999999027948-0.0000139431159912477j</v>
      </c>
      <c r="K80">
        <f t="shared" si="19"/>
        <v>-13.979400107828209</v>
      </c>
      <c r="L80">
        <f t="shared" si="20"/>
        <v>-3.9944085107418755E-3</v>
      </c>
      <c r="M80">
        <f t="shared" si="21"/>
        <v>0.19999999902794799</v>
      </c>
      <c r="N80">
        <f t="shared" si="22"/>
        <v>-1.3943115991247699E-5</v>
      </c>
      <c r="O80" t="str">
        <f t="shared" si="16"/>
        <v>76789.3196970997-266256.86860165j</v>
      </c>
      <c r="P80">
        <f t="shared" si="23"/>
        <v>108.85300820042355</v>
      </c>
      <c r="Q80">
        <f t="shared" si="24"/>
        <v>-73.912272107067182</v>
      </c>
      <c r="R80">
        <f t="shared" si="25"/>
        <v>94.873608092595333</v>
      </c>
      <c r="S80">
        <f t="shared" si="26"/>
        <v>106.08373348442208</v>
      </c>
    </row>
    <row r="81" spans="7:19" x14ac:dyDescent="0.25">
      <c r="G81">
        <f t="shared" si="17"/>
        <v>0.56000000000000083</v>
      </c>
      <c r="H81">
        <f t="shared" si="15"/>
        <v>36.307805477010206</v>
      </c>
      <c r="I81" t="str">
        <f t="shared" si="18"/>
        <v>228.128669909085j</v>
      </c>
      <c r="J81" t="str">
        <f>IMDIV(R_1,IMSUM('Opamp and C Stray Using B (2)'!R_1,IMPRODUCT('Opamp and C Stray Using B (2)'!R_f,IMSUM(1,IMPRODUCT(I81,C_s,R_1)))))</f>
        <v>0.199999998934166-0.0000146002347963743j</v>
      </c>
      <c r="K81">
        <f t="shared" si="19"/>
        <v>-13.979400109864661</v>
      </c>
      <c r="L81">
        <f t="shared" si="20"/>
        <v>-4.1826591835215365E-3</v>
      </c>
      <c r="M81">
        <f t="shared" si="21"/>
        <v>0.19999999893416601</v>
      </c>
      <c r="N81">
        <f t="shared" si="22"/>
        <v>-1.46002347963743E-5</v>
      </c>
      <c r="O81" t="str">
        <f t="shared" si="16"/>
        <v>70509.0956252294-256003.052832074j</v>
      </c>
      <c r="P81">
        <f t="shared" si="23"/>
        <v>108.48245144297078</v>
      </c>
      <c r="Q81">
        <f t="shared" si="24"/>
        <v>-74.601225971393006</v>
      </c>
      <c r="R81">
        <f t="shared" si="25"/>
        <v>94.503051333106129</v>
      </c>
      <c r="S81">
        <f t="shared" si="26"/>
        <v>105.39459136942347</v>
      </c>
    </row>
    <row r="82" spans="7:19" x14ac:dyDescent="0.25">
      <c r="G82">
        <f t="shared" si="17"/>
        <v>0.58000000000000085</v>
      </c>
      <c r="H82">
        <f t="shared" si="15"/>
        <v>38.018939632056195</v>
      </c>
      <c r="I82" t="str">
        <f t="shared" si="18"/>
        <v>238.880042890683j</v>
      </c>
      <c r="J82" t="str">
        <f>IMDIV(R_1,IMSUM('Opamp and C Stray Using B (2)'!R_1,IMPRODUCT('Opamp and C Stray Using B (2)'!R_f,IMSUM(1,IMPRODUCT(I82,C_s,R_1)))))</f>
        <v>0.199999998831336-0.0000152883226556692j</v>
      </c>
      <c r="K82">
        <f t="shared" si="19"/>
        <v>-13.979400112097593</v>
      </c>
      <c r="L82">
        <f t="shared" si="20"/>
        <v>-4.3797818370820626E-3</v>
      </c>
      <c r="M82">
        <f t="shared" si="21"/>
        <v>0.19999999883133601</v>
      </c>
      <c r="N82">
        <f t="shared" si="22"/>
        <v>-1.5288322655669201E-5</v>
      </c>
      <c r="O82" t="str">
        <f t="shared" si="16"/>
        <v>64706.5009539215-246007.255356873j</v>
      </c>
      <c r="P82">
        <f t="shared" si="23"/>
        <v>108.10947915700895</v>
      </c>
      <c r="Q82">
        <f t="shared" si="24"/>
        <v>-75.263462133643174</v>
      </c>
      <c r="R82">
        <f t="shared" si="25"/>
        <v>94.130079044911355</v>
      </c>
      <c r="S82">
        <f t="shared" si="26"/>
        <v>104.73215808451974</v>
      </c>
    </row>
    <row r="83" spans="7:19" x14ac:dyDescent="0.25">
      <c r="G83">
        <f t="shared" si="17"/>
        <v>0.60000000000000087</v>
      </c>
      <c r="H83">
        <f t="shared" si="15"/>
        <v>39.810717055349805</v>
      </c>
      <c r="I83" t="str">
        <f t="shared" si="18"/>
        <v>250.138112470458j</v>
      </c>
      <c r="J83" t="str">
        <f>IMDIV(R_1,IMSUM('Opamp and C Stray Using B (2)'!R_1,IMPRODUCT('Opamp and C Stray Using B (2)'!R_f,IMSUM(1,IMPRODUCT(I83,C_s,R_1)))))</f>
        <v>0.199999998718585-0.0000160088390955395j</v>
      </c>
      <c r="K83">
        <f t="shared" si="19"/>
        <v>-13.979400114545959</v>
      </c>
      <c r="L83">
        <f t="shared" si="20"/>
        <v>-4.5861945949816144E-3</v>
      </c>
      <c r="M83">
        <f t="shared" si="21"/>
        <v>0.19999999871858501</v>
      </c>
      <c r="N83">
        <f t="shared" si="22"/>
        <v>-1.6008839095539501E-5</v>
      </c>
      <c r="O83" t="str">
        <f t="shared" si="16"/>
        <v>59350.9431027671-236280.360283243j</v>
      </c>
      <c r="P83">
        <f t="shared" si="23"/>
        <v>107.73427624403894</v>
      </c>
      <c r="Q83">
        <f t="shared" si="24"/>
        <v>-75.899676376410852</v>
      </c>
      <c r="R83">
        <f t="shared" si="25"/>
        <v>93.754876129492985</v>
      </c>
      <c r="S83">
        <f t="shared" si="26"/>
        <v>104.09573742899417</v>
      </c>
    </row>
    <row r="84" spans="7:19" x14ac:dyDescent="0.25">
      <c r="G84">
        <f t="shared" si="17"/>
        <v>0.62000000000000088</v>
      </c>
      <c r="H84">
        <f t="shared" si="15"/>
        <v>41.686938347033625</v>
      </c>
      <c r="I84" t="str">
        <f t="shared" si="18"/>
        <v>261.926758523383j</v>
      </c>
      <c r="J84" t="str">
        <f>IMDIV(R_1,IMSUM('Opamp and C Stray Using B (2)'!R_1,IMPRODUCT('Opamp and C Stray Using B (2)'!R_f,IMSUM(1,IMPRODUCT(I84,C_s,R_1)))))</f>
        <v>0.199999998594957-0.0000167633124277306j</v>
      </c>
      <c r="K84">
        <f t="shared" si="19"/>
        <v>-13.979400117230492</v>
      </c>
      <c r="L84">
        <f t="shared" si="20"/>
        <v>-4.8023352863324487E-3</v>
      </c>
      <c r="M84">
        <f t="shared" si="21"/>
        <v>0.19999999859495701</v>
      </c>
      <c r="N84">
        <f t="shared" si="22"/>
        <v>-1.67633124277306E-5</v>
      </c>
      <c r="O84" t="str">
        <f t="shared" si="16"/>
        <v>54412.8604338751-226830.555819269j</v>
      </c>
      <c r="P84">
        <f t="shared" si="23"/>
        <v>107.35701556966274</v>
      </c>
      <c r="Q84">
        <f t="shared" si="24"/>
        <v>-76.510589580899691</v>
      </c>
      <c r="R84">
        <f t="shared" si="25"/>
        <v>93.377615452432238</v>
      </c>
      <c r="S84">
        <f t="shared" si="26"/>
        <v>103.48460808381398</v>
      </c>
    </row>
    <row r="85" spans="7:19" x14ac:dyDescent="0.25">
      <c r="G85">
        <f t="shared" si="17"/>
        <v>0.6400000000000009</v>
      </c>
      <c r="H85">
        <f t="shared" si="15"/>
        <v>43.651583224016697</v>
      </c>
      <c r="I85" t="str">
        <f t="shared" si="18"/>
        <v>274.270986348269j</v>
      </c>
      <c r="J85" t="str">
        <f>IMDIV(R_1,IMSUM('Opamp and C Stray Using B (2)'!R_1,IMPRODUCT('Opamp and C Stray Using B (2)'!R_f,IMSUM(1,IMPRODUCT(I85,C_s,R_1)))))</f>
        <v>0.199999998459401-0.0000175533429910759j</v>
      </c>
      <c r="K85">
        <f t="shared" si="19"/>
        <v>-13.979400120174052</v>
      </c>
      <c r="L85">
        <f t="shared" si="20"/>
        <v>-5.0286623744948064E-3</v>
      </c>
      <c r="M85">
        <f t="shared" si="21"/>
        <v>0.199999998459401</v>
      </c>
      <c r="N85">
        <f t="shared" si="22"/>
        <v>-1.7553342991075899E-5</v>
      </c>
      <c r="O85" t="str">
        <f t="shared" si="16"/>
        <v>49863.8537789758-217663.616310317j</v>
      </c>
      <c r="P85">
        <f t="shared" si="23"/>
        <v>106.97785840358414</v>
      </c>
      <c r="Q85">
        <f t="shared" si="24"/>
        <v>-77.096940988154316</v>
      </c>
      <c r="R85">
        <f t="shared" si="25"/>
        <v>92.998458283410088</v>
      </c>
      <c r="S85">
        <f t="shared" si="26"/>
        <v>102.89803034947118</v>
      </c>
    </row>
    <row r="86" spans="7:19" x14ac:dyDescent="0.25">
      <c r="G86">
        <f t="shared" si="17"/>
        <v>0.66000000000000092</v>
      </c>
      <c r="H86">
        <f t="shared" si="15"/>
        <v>45.708818961487616</v>
      </c>
      <c r="I86" t="str">
        <f t="shared" si="18"/>
        <v>287.196979707351j</v>
      </c>
      <c r="J86" t="str">
        <f>IMDIV(R_1,IMSUM('Opamp and C Stray Using B (2)'!R_1,IMPRODUCT('Opamp and C Stray Using B (2)'!R_f,IMSUM(1,IMPRODUCT(I86,C_s,R_1)))))</f>
        <v>0.199999998310767-0.0000183806065460247j</v>
      </c>
      <c r="K86">
        <f t="shared" si="19"/>
        <v>-13.979400123401593</v>
      </c>
      <c r="L86">
        <f t="shared" si="20"/>
        <v>-5.2656559295384724E-3</v>
      </c>
      <c r="M86">
        <f t="shared" si="21"/>
        <v>0.19999999831076701</v>
      </c>
      <c r="N86">
        <f t="shared" si="22"/>
        <v>-1.83806065460247E-5</v>
      </c>
      <c r="O86" t="str">
        <f t="shared" si="16"/>
        <v>45676.781039662-208783.171528542j</v>
      </c>
      <c r="P86">
        <f t="shared" si="23"/>
        <v>106.59695490466105</v>
      </c>
      <c r="Q86">
        <f t="shared" si="24"/>
        <v>-77.659482188305134</v>
      </c>
      <c r="R86">
        <f t="shared" si="25"/>
        <v>92.617554781259457</v>
      </c>
      <c r="S86">
        <f t="shared" si="26"/>
        <v>102.33525215576533</v>
      </c>
    </row>
    <row r="87" spans="7:19" x14ac:dyDescent="0.25">
      <c r="G87">
        <f t="shared" si="17"/>
        <v>0.68000000000000094</v>
      </c>
      <c r="H87">
        <f t="shared" si="15"/>
        <v>47.863009232263948</v>
      </c>
      <c r="I87" t="str">
        <f t="shared" si="18"/>
        <v>300.732156365562j</v>
      </c>
      <c r="J87" t="str">
        <f>IMDIV(R_1,IMSUM('Opamp and C Stray Using B (2)'!R_1,IMPRODUCT('Opamp and C Stray Using B (2)'!R_f,IMSUM(1,IMPRODUCT(I87,C_s,R_1)))))</f>
        <v>0.199999998147792-0.0000192468578291501j</v>
      </c>
      <c r="K87">
        <f t="shared" si="19"/>
        <v>-13.979400126940567</v>
      </c>
      <c r="L87">
        <f t="shared" si="20"/>
        <v>-5.5138186465355978E-3</v>
      </c>
      <c r="M87">
        <f t="shared" si="21"/>
        <v>0.19999999814779201</v>
      </c>
      <c r="N87">
        <f t="shared" si="22"/>
        <v>-1.9246857829150099E-5</v>
      </c>
      <c r="O87" t="str">
        <f t="shared" si="16"/>
        <v>41825.8199629892-200190.960703556j</v>
      </c>
      <c r="P87">
        <f t="shared" si="23"/>
        <v>106.21444463726743</v>
      </c>
      <c r="Q87">
        <f t="shared" si="24"/>
        <v>-78.198971800672254</v>
      </c>
      <c r="R87">
        <f t="shared" si="25"/>
        <v>92.235044510326873</v>
      </c>
      <c r="S87">
        <f t="shared" si="26"/>
        <v>101.79551438068121</v>
      </c>
    </row>
    <row r="88" spans="7:19" x14ac:dyDescent="0.25">
      <c r="G88">
        <f t="shared" si="17"/>
        <v>0.70000000000000095</v>
      </c>
      <c r="H88">
        <f t="shared" si="15"/>
        <v>50.118723362727351</v>
      </c>
      <c r="I88" t="str">
        <f t="shared" si="18"/>
        <v>314.905226247287j</v>
      </c>
      <c r="J88" t="str">
        <f>IMDIV(R_1,IMSUM('Opamp and C Stray Using B (2)'!R_1,IMPRODUCT('Opamp and C Stray Using B (2)'!R_f,IMSUM(1,IMPRODUCT(I88,C_s,R_1)))))</f>
        <v>0.199999997969095-0.0000201539342751727j</v>
      </c>
      <c r="K88">
        <f t="shared" si="19"/>
        <v>-13.979400130820911</v>
      </c>
      <c r="L88">
        <f t="shared" si="20"/>
        <v>-5.7736769118431983E-3</v>
      </c>
      <c r="M88">
        <f t="shared" si="21"/>
        <v>0.19999999796909501</v>
      </c>
      <c r="N88">
        <f t="shared" si="22"/>
        <v>-2.01539342751727E-5</v>
      </c>
      <c r="O88" t="str">
        <f t="shared" si="16"/>
        <v>38286.5038822545-191887.06966007j</v>
      </c>
      <c r="P88">
        <f t="shared" si="23"/>
        <v>105.83045710720464</v>
      </c>
      <c r="Q88">
        <f t="shared" si="24"/>
        <v>-78.716170802132211</v>
      </c>
      <c r="R88">
        <f t="shared" si="25"/>
        <v>91.851056976383731</v>
      </c>
      <c r="S88">
        <f t="shared" si="26"/>
        <v>101.27805552095595</v>
      </c>
    </row>
    <row r="89" spans="7:19" x14ac:dyDescent="0.25">
      <c r="G89">
        <f t="shared" si="17"/>
        <v>0.72000000000000097</v>
      </c>
      <c r="H89">
        <f t="shared" si="15"/>
        <v>52.480746024977385</v>
      </c>
      <c r="I89" t="str">
        <f t="shared" si="18"/>
        <v>329.746252333961j</v>
      </c>
      <c r="J89" t="str">
        <f>IMDIV(R_1,IMSUM('Opamp and C Stray Using B (2)'!R_1,IMPRODUCT('Opamp and C Stray Using B (2)'!R_f,IMSUM(1,IMPRODUCT(I89,C_s,R_1)))))</f>
        <v>0.199999997773157-0.0000211037599143996j</v>
      </c>
      <c r="K89">
        <f t="shared" si="19"/>
        <v>-13.97940013507565</v>
      </c>
      <c r="L89">
        <f t="shared" si="20"/>
        <v>-6.0457819196390091E-3</v>
      </c>
      <c r="M89">
        <f t="shared" si="21"/>
        <v>0.199999997773157</v>
      </c>
      <c r="N89">
        <f t="shared" si="22"/>
        <v>-2.1103759914399599E-5</v>
      </c>
      <c r="O89" t="str">
        <f t="shared" si="16"/>
        <v>35035.7348319862-183870.150151592j</v>
      </c>
      <c r="P89">
        <f t="shared" si="23"/>
        <v>105.44511230724413</v>
      </c>
      <c r="Q89">
        <f t="shared" si="24"/>
        <v>-79.211838457831817</v>
      </c>
      <c r="R89">
        <f t="shared" si="25"/>
        <v>91.46571217216848</v>
      </c>
      <c r="S89">
        <f t="shared" si="26"/>
        <v>100.78211576024854</v>
      </c>
    </row>
    <row r="90" spans="7:19" x14ac:dyDescent="0.25">
      <c r="G90">
        <f t="shared" si="17"/>
        <v>0.74000000000000099</v>
      </c>
      <c r="H90">
        <f t="shared" si="15"/>
        <v>54.954087385762591</v>
      </c>
      <c r="I90" t="str">
        <f t="shared" si="18"/>
        <v>345.286714431687j</v>
      </c>
      <c r="J90" t="str">
        <f>IMDIV(R_1,IMSUM('Opamp and C Stray Using B (2)'!R_1,IMPRODUCT('Opamp and C Stray Using B (2)'!R_f,IMSUM(1,IMPRODUCT(I90,C_s,R_1)))))</f>
        <v>0.199999997558315-0.0000220983494538419j</v>
      </c>
      <c r="K90">
        <f t="shared" si="19"/>
        <v>-13.979400139740887</v>
      </c>
      <c r="L90">
        <f t="shared" si="20"/>
        <v>-6.3307108410771799E-3</v>
      </c>
      <c r="M90">
        <f t="shared" si="21"/>
        <v>0.19999999755831499</v>
      </c>
      <c r="N90">
        <f t="shared" si="22"/>
        <v>-2.2098349453841899E-5</v>
      </c>
      <c r="O90" t="str">
        <f t="shared" si="16"/>
        <v>32051.7780278708-176137.621061268j</v>
      </c>
      <c r="P90">
        <f t="shared" si="23"/>
        <v>105.05852126406303</v>
      </c>
      <c r="Q90">
        <f t="shared" si="24"/>
        <v>-79.686728806723735</v>
      </c>
      <c r="R90">
        <f t="shared" si="25"/>
        <v>91.079121124322143</v>
      </c>
      <c r="S90">
        <f t="shared" si="26"/>
        <v>100.30694048243518</v>
      </c>
    </row>
    <row r="91" spans="7:19" x14ac:dyDescent="0.25">
      <c r="G91">
        <f t="shared" si="17"/>
        <v>0.76000000000000101</v>
      </c>
      <c r="H91">
        <f t="shared" si="15"/>
        <v>57.543993733715837</v>
      </c>
      <c r="I91" t="str">
        <f t="shared" si="18"/>
        <v>361.559575944118j</v>
      </c>
      <c r="J91" t="str">
        <f>IMDIV(R_1,IMSUM('Opamp and C Stray Using B (2)'!R_1,IMPRODUCT('Opamp and C Stray Using B (2)'!R_f,IMSUM(1,IMPRODUCT(I91,C_s,R_1)))))</f>
        <v>0.199999997322745-0.0000231398125506677j</v>
      </c>
      <c r="K91">
        <f t="shared" si="19"/>
        <v>-13.979400144856237</v>
      </c>
      <c r="L91">
        <f t="shared" si="20"/>
        <v>-6.6290680485445799E-3</v>
      </c>
      <c r="M91">
        <f t="shared" si="21"/>
        <v>0.19999999732274501</v>
      </c>
      <c r="N91">
        <f t="shared" si="22"/>
        <v>-2.3139812550667701E-5</v>
      </c>
      <c r="O91" t="str">
        <f t="shared" si="16"/>
        <v>29314.2412704502-168685.851597542j</v>
      </c>
      <c r="P91">
        <f t="shared" si="23"/>
        <v>104.67078657984536</v>
      </c>
      <c r="Q91">
        <f t="shared" si="24"/>
        <v>-80.14158765415975</v>
      </c>
      <c r="R91">
        <f t="shared" si="25"/>
        <v>90.691386434989113</v>
      </c>
      <c r="S91">
        <f t="shared" si="26"/>
        <v>99.851783277791711</v>
      </c>
    </row>
    <row r="92" spans="7:19" x14ac:dyDescent="0.25">
      <c r="G92">
        <f t="shared" si="17"/>
        <v>0.78000000000000103</v>
      </c>
      <c r="H92">
        <f t="shared" si="15"/>
        <v>60.255958607435929</v>
      </c>
      <c r="I92" t="str">
        <f t="shared" si="18"/>
        <v>378.599353792263j</v>
      </c>
      <c r="J92" t="str">
        <f>IMDIV(R_1,IMSUM('Opamp and C Stray Using B (2)'!R_1,IMPRODUCT('Opamp and C Stray Using B (2)'!R_f,IMSUM(1,IMPRODUCT(I92,C_s,R_1)))))</f>
        <v>0.199999997064449-0.0000242303582870575j</v>
      </c>
      <c r="K92">
        <f t="shared" si="19"/>
        <v>-13.97940015046505</v>
      </c>
      <c r="L92">
        <f t="shared" si="20"/>
        <v>-6.9414863976147885E-3</v>
      </c>
      <c r="M92">
        <f t="shared" si="21"/>
        <v>0.19999999706444899</v>
      </c>
      <c r="N92">
        <f t="shared" si="22"/>
        <v>-2.42303582870575E-5</v>
      </c>
      <c r="O92" t="str">
        <f t="shared" si="16"/>
        <v>26804.04240384-161510.326959774j</v>
      </c>
      <c r="P92">
        <f t="shared" si="23"/>
        <v>104.28200296315778</v>
      </c>
      <c r="Q92">
        <f t="shared" si="24"/>
        <v>-80.577150024595582</v>
      </c>
      <c r="R92">
        <f t="shared" si="25"/>
        <v>90.302602812692726</v>
      </c>
      <c r="S92">
        <f t="shared" si="26"/>
        <v>99.41590848900681</v>
      </c>
    </row>
    <row r="93" spans="7:19" x14ac:dyDescent="0.25">
      <c r="G93">
        <f t="shared" si="17"/>
        <v>0.80000000000000104</v>
      </c>
      <c r="H93">
        <f t="shared" si="15"/>
        <v>63.095734448019485</v>
      </c>
      <c r="I93" t="str">
        <f t="shared" si="18"/>
        <v>396.442191629501j</v>
      </c>
      <c r="J93" t="str">
        <f>IMDIV(R_1,IMSUM('Opamp and C Stray Using B (2)'!R_1,IMPRODUCT('Opamp and C Stray Using B (2)'!R_f,IMSUM(1,IMPRODUCT(I93,C_s,R_1)))))</f>
        <v>0.199999996781232-0.0000253722998559503j</v>
      </c>
      <c r="K93">
        <f t="shared" si="19"/>
        <v>-13.979400156615034</v>
      </c>
      <c r="L93">
        <f t="shared" si="20"/>
        <v>-7.2686285694184569E-3</v>
      </c>
      <c r="M93">
        <f t="shared" si="21"/>
        <v>0.19999999678123201</v>
      </c>
      <c r="N93">
        <f t="shared" si="22"/>
        <v>-2.5372299855950302E-5</v>
      </c>
      <c r="O93" t="str">
        <f t="shared" si="16"/>
        <v>24503.3675503359-154605.797203821j</v>
      </c>
      <c r="P93">
        <f t="shared" si="23"/>
        <v>103.89225774488041</v>
      </c>
      <c r="Q93">
        <f t="shared" si="24"/>
        <v>-80.994138029068509</v>
      </c>
      <c r="R93">
        <f t="shared" si="25"/>
        <v>89.912857588265382</v>
      </c>
      <c r="S93">
        <f t="shared" si="26"/>
        <v>98.998593342362071</v>
      </c>
    </row>
    <row r="94" spans="7:19" x14ac:dyDescent="0.25">
      <c r="G94">
        <f t="shared" si="17"/>
        <v>0.82000000000000106</v>
      </c>
      <c r="H94">
        <f t="shared" si="15"/>
        <v>66.069344800759765</v>
      </c>
      <c r="I94" t="str">
        <f t="shared" si="18"/>
        <v>415.125936507116j</v>
      </c>
      <c r="J94" t="str">
        <f>IMDIV(R_1,IMSUM('Opamp and C Stray Using B (2)'!R_1,IMPRODUCT('Opamp and C Stray Using B (2)'!R_f,IMSUM(1,IMPRODUCT(I94,C_s,R_1)))))</f>
        <v>0.199999996470691-0.0000265680594676209j</v>
      </c>
      <c r="K94">
        <f t="shared" si="19"/>
        <v>-13.979400163358349</v>
      </c>
      <c r="L94">
        <f t="shared" si="20"/>
        <v>-7.6111884762771198E-3</v>
      </c>
      <c r="M94">
        <f t="shared" si="21"/>
        <v>0.199999996470691</v>
      </c>
      <c r="N94">
        <f t="shared" si="22"/>
        <v>-2.6568059467620902E-5</v>
      </c>
      <c r="O94" t="str">
        <f t="shared" si="16"/>
        <v>22395.6224571703-147966.410215042j</v>
      </c>
      <c r="P94">
        <f t="shared" si="23"/>
        <v>103.50163137598187</v>
      </c>
      <c r="Q94">
        <f t="shared" si="24"/>
        <v>-81.39325910428596</v>
      </c>
      <c r="R94">
        <f t="shared" si="25"/>
        <v>89.522231212623524</v>
      </c>
      <c r="S94">
        <f t="shared" si="26"/>
        <v>98.599129707237765</v>
      </c>
    </row>
    <row r="95" spans="7:19" x14ac:dyDescent="0.25">
      <c r="G95">
        <f t="shared" si="17"/>
        <v>0.84000000000000108</v>
      </c>
      <c r="H95">
        <f t="shared" si="15"/>
        <v>69.183097091893842</v>
      </c>
      <c r="I95" t="str">
        <f t="shared" si="18"/>
        <v>434.690219152966j</v>
      </c>
      <c r="J95" t="str">
        <f>IMDIV(R_1,IMSUM('Opamp and C Stray Using B (2)'!R_1,IMPRODUCT('Opamp and C Stray Using B (2)'!R_f,IMSUM(1,IMPRODUCT(I95,C_s,R_1)))))</f>
        <v>0.19999999613019-0.0000278201734874958j</v>
      </c>
      <c r="K95">
        <f t="shared" si="19"/>
        <v>-13.979400170752225</v>
      </c>
      <c r="L95">
        <f t="shared" si="20"/>
        <v>-7.9698927335828534E-3</v>
      </c>
      <c r="M95">
        <f t="shared" si="21"/>
        <v>0.19999999613019001</v>
      </c>
      <c r="N95">
        <f t="shared" si="22"/>
        <v>-2.7820173487495801E-5</v>
      </c>
      <c r="O95" t="str">
        <f t="shared" si="16"/>
        <v>20465.3789382195-141585.829810524j</v>
      </c>
      <c r="P95">
        <f t="shared" si="23"/>
        <v>103.1101979047917</v>
      </c>
      <c r="Q95">
        <f t="shared" si="24"/>
        <v>-81.775204582720221</v>
      </c>
      <c r="R95">
        <f t="shared" si="25"/>
        <v>89.130797734039476</v>
      </c>
      <c r="S95">
        <f t="shared" si="26"/>
        <v>98.216825524546195</v>
      </c>
    </row>
    <row r="96" spans="7:19" x14ac:dyDescent="0.25">
      <c r="G96">
        <f t="shared" si="17"/>
        <v>0.8600000000000011</v>
      </c>
      <c r="H96">
        <f t="shared" si="15"/>
        <v>72.443596007499195</v>
      </c>
      <c r="I96" t="str">
        <f t="shared" si="18"/>
        <v>455.176538033573j</v>
      </c>
      <c r="J96" t="str">
        <f>IMDIV(R_1,IMSUM('Opamp and C Stray Using B (2)'!R_1,IMPRODUCT('Opamp and C Stray Using B (2)'!R_f,IMSUM(1,IMPRODUCT(I96,C_s,R_1)))))</f>
        <v>0.199999995756837-0.0000291312978161045j</v>
      </c>
      <c r="K96">
        <f t="shared" si="19"/>
        <v>-13.9794001788595</v>
      </c>
      <c r="L96">
        <f t="shared" si="20"/>
        <v>-8.3455022010450602E-3</v>
      </c>
      <c r="M96">
        <f t="shared" si="21"/>
        <v>0.199999995756837</v>
      </c>
      <c r="N96">
        <f t="shared" si="22"/>
        <v>-2.91312978161045E-5</v>
      </c>
      <c r="O96" t="str">
        <f t="shared" si="16"/>
        <v>18698.318073816-135457.340055925j</v>
      </c>
      <c r="P96">
        <f t="shared" si="23"/>
        <v>102.71802543215004</v>
      </c>
      <c r="Q96">
        <f t="shared" si="24"/>
        <v>-82.14064855589416</v>
      </c>
      <c r="R96">
        <f t="shared" si="25"/>
        <v>88.738625253290536</v>
      </c>
      <c r="S96">
        <f t="shared" si="26"/>
        <v>97.851005941904802</v>
      </c>
    </row>
    <row r="97" spans="7:19" x14ac:dyDescent="0.25">
      <c r="G97">
        <f t="shared" si="17"/>
        <v>0.88000000000000111</v>
      </c>
      <c r="H97">
        <f t="shared" si="15"/>
        <v>75.857757502918574</v>
      </c>
      <c r="I97" t="str">
        <f t="shared" si="18"/>
        <v>476.62834737793j</v>
      </c>
      <c r="J97" t="str">
        <f>IMDIV(R_1,IMSUM('Opamp and C Stray Using B (2)'!R_1,IMPRODUCT('Opamp and C Stray Using B (2)'!R_f,IMSUM(1,IMPRODUCT(I97,C_s,R_1)))))</f>
        <v>0.199999995347465-0.0000305042135225779j</v>
      </c>
      <c r="K97">
        <f t="shared" si="19"/>
        <v>-13.979400187748885</v>
      </c>
      <c r="L97">
        <f t="shared" si="20"/>
        <v>-8.7388135965734866E-3</v>
      </c>
      <c r="M97">
        <f t="shared" si="21"/>
        <v>0.19999999534746499</v>
      </c>
      <c r="N97">
        <f t="shared" si="22"/>
        <v>-3.0504213522577899E-5</v>
      </c>
      <c r="O97" t="str">
        <f t="shared" si="16"/>
        <v>17081.1715467934-129573.93690624j</v>
      </c>
      <c r="P97">
        <f t="shared" si="23"/>
        <v>102.32517654342377</v>
      </c>
      <c r="Q97">
        <f t="shared" si="24"/>
        <v>-82.490246995946734</v>
      </c>
      <c r="R97">
        <f t="shared" si="25"/>
        <v>88.345776355674886</v>
      </c>
      <c r="S97">
        <f t="shared" si="26"/>
        <v>97.501014190456686</v>
      </c>
    </row>
    <row r="98" spans="7:19" x14ac:dyDescent="0.25">
      <c r="G98">
        <f t="shared" si="17"/>
        <v>0.90000000000000113</v>
      </c>
      <c r="H98">
        <f t="shared" si="15"/>
        <v>79.432823472428396</v>
      </c>
      <c r="I98" t="str">
        <f t="shared" si="18"/>
        <v>499.091149349752j</v>
      </c>
      <c r="J98" t="str">
        <f>IMDIV(R_1,IMSUM('Opamp and C Stray Using B (2)'!R_1,IMPRODUCT('Opamp and C Stray Using B (2)'!R_f,IMSUM(1,IMPRODUCT(I98,C_s,R_1)))))</f>
        <v>0.199999994898596-0.0000319418327436432j</v>
      </c>
      <c r="K98">
        <f t="shared" si="19"/>
        <v>-13.979400197495968</v>
      </c>
      <c r="L98">
        <f t="shared" si="20"/>
        <v>-9.1506611862217438E-3</v>
      </c>
      <c r="M98">
        <f t="shared" si="21"/>
        <v>0.19999999489859599</v>
      </c>
      <c r="N98">
        <f t="shared" si="22"/>
        <v>-3.1941832743643198E-5</v>
      </c>
      <c r="O98" t="str">
        <f t="shared" si="16"/>
        <v>15601.6622418295-123928.408273169j</v>
      </c>
      <c r="P98">
        <f t="shared" si="23"/>
        <v>101.93170871687542</v>
      </c>
      <c r="Q98">
        <f t="shared" si="24"/>
        <v>-82.824637103490304</v>
      </c>
      <c r="R98">
        <f t="shared" si="25"/>
        <v>87.952308519379457</v>
      </c>
      <c r="S98">
        <f t="shared" si="26"/>
        <v>97.166212235323471</v>
      </c>
    </row>
    <row r="99" spans="7:19" x14ac:dyDescent="0.25">
      <c r="G99">
        <f t="shared" si="17"/>
        <v>0.92000000000000115</v>
      </c>
      <c r="H99">
        <f t="shared" si="15"/>
        <v>83.176377110267339</v>
      </c>
      <c r="I99" t="str">
        <f t="shared" si="18"/>
        <v>522.61259056366j</v>
      </c>
      <c r="J99" t="str">
        <f>IMDIV(R_1,IMSUM('Opamp and C Stray Using B (2)'!R_1,IMPRODUCT('Opamp and C Stray Using B (2)'!R_f,IMSUM(1,IMPRODUCT(I99,C_s,R_1)))))</f>
        <v>0.199999994406422-0.0000334472048606265j</v>
      </c>
      <c r="K99">
        <f t="shared" si="19"/>
        <v>-13.979400208183385</v>
      </c>
      <c r="L99">
        <f t="shared" si="20"/>
        <v>-9.5819185537741255E-3</v>
      </c>
      <c r="M99">
        <f t="shared" si="21"/>
        <v>0.19999999440642199</v>
      </c>
      <c r="N99">
        <f t="shared" si="22"/>
        <v>-3.3447204860626503E-5</v>
      </c>
      <c r="O99" t="str">
        <f t="shared" si="16"/>
        <v>14248.4450164782-118513.40359255j</v>
      </c>
      <c r="P99">
        <f t="shared" si="23"/>
        <v>101.53767470827918</v>
      </c>
      <c r="Q99">
        <f t="shared" si="24"/>
        <v>-83.144436852646692</v>
      </c>
      <c r="R99">
        <f t="shared" si="25"/>
        <v>87.558274500095791</v>
      </c>
      <c r="S99">
        <f t="shared" si="26"/>
        <v>96.845981228799531</v>
      </c>
    </row>
    <row r="100" spans="7:19" x14ac:dyDescent="0.25">
      <c r="G100">
        <f t="shared" si="17"/>
        <v>0.94000000000000117</v>
      </c>
      <c r="H100">
        <f t="shared" si="15"/>
        <v>87.096358995608341</v>
      </c>
      <c r="I100" t="str">
        <f t="shared" si="18"/>
        <v>547.242563150045j</v>
      </c>
      <c r="J100" t="str">
        <f>IMDIV(R_1,IMSUM('Opamp and C Stray Using B (2)'!R_1,IMPRODUCT('Opamp and C Stray Using B (2)'!R_f,IMSUM(1,IMPRODUCT(I100,C_s,R_1)))))</f>
        <v>0.199999993866764-0.0000350235229675652j</v>
      </c>
      <c r="K100">
        <f t="shared" si="19"/>
        <v>-13.979400219901905</v>
      </c>
      <c r="L100">
        <f t="shared" si="20"/>
        <v>-1.0033500453731041E-2</v>
      </c>
      <c r="M100">
        <f t="shared" si="21"/>
        <v>0.19999999386676401</v>
      </c>
      <c r="N100">
        <f t="shared" si="22"/>
        <v>-3.5023522967565202E-5</v>
      </c>
      <c r="O100" t="str">
        <f t="shared" si="16"/>
        <v>13011.048363752-113321.493919857j</v>
      </c>
      <c r="P100">
        <f t="shared" si="23"/>
        <v>101.14312291200267</v>
      </c>
      <c r="Q100">
        <f t="shared" si="24"/>
        <v>-83.450244706925929</v>
      </c>
      <c r="R100">
        <f t="shared" si="25"/>
        <v>87.163722692100762</v>
      </c>
      <c r="S100">
        <f t="shared" si="26"/>
        <v>96.539721792620341</v>
      </c>
    </row>
    <row r="101" spans="7:19" x14ac:dyDescent="0.25">
      <c r="G101">
        <f t="shared" si="17"/>
        <v>0.96000000000000119</v>
      </c>
      <c r="H101">
        <f t="shared" si="15"/>
        <v>91.201083935591228</v>
      </c>
      <c r="I101" t="str">
        <f t="shared" si="18"/>
        <v>573.033310582959j</v>
      </c>
      <c r="J101" t="str">
        <f>IMDIV(R_1,IMSUM('Opamp and C Stray Using B (2)'!R_1,IMPRODUCT('Opamp and C Stray Using B (2)'!R_f,IMSUM(1,IMPRODUCT(I101,C_s,R_1)))))</f>
        <v>0.19999999327504-0.0000366741306441492j</v>
      </c>
      <c r="K101">
        <f t="shared" si="19"/>
        <v>-13.97940023275104</v>
      </c>
      <c r="L101">
        <f t="shared" si="20"/>
        <v>-1.0506364751622027E-2</v>
      </c>
      <c r="M101">
        <f t="shared" si="21"/>
        <v>0.19999999327504001</v>
      </c>
      <c r="N101">
        <f t="shared" si="22"/>
        <v>-3.66741306441492E-5</v>
      </c>
      <c r="O101" t="str">
        <f t="shared" si="16"/>
        <v>11879.8175251715-108345.223525267j</v>
      </c>
      <c r="P101">
        <f t="shared" si="23"/>
        <v>100.74809769902771</v>
      </c>
      <c r="Q101">
        <f t="shared" si="24"/>
        <v>-83.742639482249331</v>
      </c>
      <c r="R101">
        <f t="shared" si="25"/>
        <v>86.768697466276677</v>
      </c>
      <c r="S101">
        <f t="shared" si="26"/>
        <v>96.246854152999049</v>
      </c>
    </row>
    <row r="102" spans="7:19" x14ac:dyDescent="0.25">
      <c r="G102">
        <f t="shared" si="17"/>
        <v>0.9800000000000012</v>
      </c>
      <c r="H102">
        <f t="shared" si="15"/>
        <v>95.499258602143883</v>
      </c>
      <c r="I102" t="str">
        <f t="shared" si="18"/>
        <v>600.039538495534j</v>
      </c>
      <c r="J102" t="str">
        <f>IMDIV(R_1,IMSUM('Opamp and C Stray Using B (2)'!R_1,IMPRODUCT('Opamp and C Stray Using B (2)'!R_f,IMSUM(1,IMPRODUCT(I102,C_s,R_1)))))</f>
        <v>0.199999992626229-0.0000384025290478568j</v>
      </c>
      <c r="K102">
        <f t="shared" si="19"/>
        <v>-13.979400246839774</v>
      </c>
      <c r="L102">
        <f t="shared" si="20"/>
        <v>-1.1001514455762532E-2</v>
      </c>
      <c r="M102">
        <f t="shared" si="21"/>
        <v>0.199999992626229</v>
      </c>
      <c r="N102">
        <f t="shared" si="22"/>
        <v>-3.8402529047856802E-5</v>
      </c>
      <c r="O102" t="str">
        <f t="shared" si="16"/>
        <v>10845.8594770813-103577.15389643j</v>
      </c>
      <c r="P102">
        <f t="shared" si="23"/>
        <v>100.35263973257882</v>
      </c>
      <c r="Q102">
        <f t="shared" si="24"/>
        <v>-84.022180335901268</v>
      </c>
      <c r="R102">
        <f t="shared" si="25"/>
        <v>86.373239485739049</v>
      </c>
      <c r="S102">
        <f t="shared" si="26"/>
        <v>95.966818149642975</v>
      </c>
    </row>
    <row r="103" spans="7:19" x14ac:dyDescent="0.25">
      <c r="G103">
        <f t="shared" si="17"/>
        <v>1.0000000000000011</v>
      </c>
      <c r="H103">
        <f t="shared" si="15"/>
        <v>100.00000000000028</v>
      </c>
      <c r="I103" t="str">
        <f t="shared" si="18"/>
        <v>628.31853071796j</v>
      </c>
      <c r="J103" t="str">
        <f>IMDIV(R_1,IMSUM('Opamp and C Stray Using B (2)'!R_1,IMPRODUCT('Opamp and C Stray Using B (2)'!R_f,IMSUM(1,IMPRODUCT(I103,C_s,R_1)))))</f>
        <v>0.19999999191482-0.0000402123843403278j</v>
      </c>
      <c r="K103">
        <f t="shared" si="19"/>
        <v>-13.979400262287843</v>
      </c>
      <c r="L103">
        <f t="shared" si="20"/>
        <v>-1.1519999844764647E-2</v>
      </c>
      <c r="M103">
        <f t="shared" si="21"/>
        <v>0.19999999191482001</v>
      </c>
      <c r="N103">
        <f t="shared" si="22"/>
        <v>-4.02123843403278E-5</v>
      </c>
      <c r="O103" t="str">
        <f t="shared" si="16"/>
        <v>9900.9900990099-99009.900990099j</v>
      </c>
      <c r="P103">
        <f t="shared" si="23"/>
        <v>99.956786262173566</v>
      </c>
      <c r="Q103">
        <f t="shared" si="24"/>
        <v>-84.289406862500371</v>
      </c>
      <c r="R103">
        <f t="shared" si="25"/>
        <v>85.977385999885726</v>
      </c>
      <c r="S103">
        <f t="shared" si="26"/>
        <v>95.699073137654864</v>
      </c>
    </row>
    <row r="104" spans="7:19" x14ac:dyDescent="0.25">
      <c r="G104">
        <f t="shared" si="17"/>
        <v>1.0200000000000011</v>
      </c>
      <c r="H104">
        <f t="shared" si="15"/>
        <v>104.71285480509023</v>
      </c>
      <c r="I104" t="str">
        <f t="shared" si="18"/>
        <v>657.930270784172j</v>
      </c>
      <c r="J104" t="str">
        <f>IMDIV(R_1,IMSUM('Opamp and C Stray Using B (2)'!R_1,IMPRODUCT('Opamp and C Stray Using B (2)'!R_f,IMSUM(1,IMPRODUCT(I104,C_s,R_1)))))</f>
        <v>0.199999991134777-0.0000421075354637236j</v>
      </c>
      <c r="K104">
        <f t="shared" si="19"/>
        <v>-13.979400279226248</v>
      </c>
      <c r="L104">
        <f t="shared" si="20"/>
        <v>-1.2062920695312285E-2</v>
      </c>
      <c r="M104">
        <f t="shared" si="21"/>
        <v>0.19999999113477701</v>
      </c>
      <c r="N104">
        <f t="shared" si="22"/>
        <v>-4.2107535463723602E-5</v>
      </c>
      <c r="O104" t="str">
        <f t="shared" si="16"/>
        <v>9037.68373823964-94636.166505661j</v>
      </c>
      <c r="P104">
        <f t="shared" si="23"/>
        <v>99.560571397014741</v>
      </c>
      <c r="Q104">
        <f t="shared" si="24"/>
        <v>-84.544839280213253</v>
      </c>
      <c r="R104">
        <f t="shared" si="25"/>
        <v>85.5811711177885</v>
      </c>
      <c r="S104">
        <f t="shared" si="26"/>
        <v>95.443097799091433</v>
      </c>
    </row>
    <row r="105" spans="7:19" x14ac:dyDescent="0.25">
      <c r="G105">
        <f t="shared" si="17"/>
        <v>1.0400000000000011</v>
      </c>
      <c r="H105">
        <f t="shared" si="15"/>
        <v>109.64781961431882</v>
      </c>
      <c r="I105" t="str">
        <f t="shared" si="18"/>
        <v>688.937569164966j</v>
      </c>
      <c r="J105" t="str">
        <f>IMDIV(R_1,IMSUM('Opamp and C Stray Using B (2)'!R_1,IMPRODUCT('Opamp and C Stray Using B (2)'!R_f,IMSUM(1,IMPRODUCT(I105,C_s,R_1)))))</f>
        <v>0.199999990279476-0.0000440920022835707j</v>
      </c>
      <c r="K105">
        <f t="shared" si="19"/>
        <v>-13.979400297798882</v>
      </c>
      <c r="L105">
        <f t="shared" si="20"/>
        <v>-1.2631428614929305E-2</v>
      </c>
      <c r="M105">
        <f t="shared" si="21"/>
        <v>0.19999999027947599</v>
      </c>
      <c r="N105">
        <f t="shared" si="22"/>
        <v>-4.4092002283570703E-5</v>
      </c>
      <c r="O105" t="str">
        <f t="shared" si="16"/>
        <v>8249.02530705347-90448.7638861752j</v>
      </c>
      <c r="P105">
        <f t="shared" si="23"/>
        <v>99.164026359710505</v>
      </c>
      <c r="Q105">
        <f t="shared" si="24"/>
        <v>-84.788978692381249</v>
      </c>
      <c r="R105">
        <f t="shared" si="25"/>
        <v>85.184626061911615</v>
      </c>
      <c r="S105">
        <f t="shared" si="26"/>
        <v>95.198389879003827</v>
      </c>
    </row>
    <row r="106" spans="7:19" x14ac:dyDescent="0.25">
      <c r="G106">
        <f t="shared" si="17"/>
        <v>1.0600000000000012</v>
      </c>
      <c r="H106">
        <f t="shared" si="15"/>
        <v>114.81536214968858</v>
      </c>
      <c r="I106" t="str">
        <f t="shared" si="18"/>
        <v>721.406196497426j</v>
      </c>
      <c r="J106" t="str">
        <f>IMDIV(R_1,IMSUM('Opamp and C Stray Using B (2)'!R_1,IMPRODUCT('Opamp and C Stray Using B (2)'!R_f,IMSUM(1,IMPRODUCT(I106,C_s,R_1)))))</f>
        <v>0.199999989341658-0.000046169994115357j</v>
      </c>
      <c r="K106">
        <f t="shared" si="19"/>
        <v>-13.97940031816333</v>
      </c>
      <c r="L106">
        <f t="shared" si="20"/>
        <v>-1.3226729484685699E-2</v>
      </c>
      <c r="M106">
        <f t="shared" si="21"/>
        <v>0.199999989341658</v>
      </c>
      <c r="N106">
        <f t="shared" si="22"/>
        <v>-4.6169994115357001E-5</v>
      </c>
      <c r="O106" t="str">
        <f t="shared" si="16"/>
        <v>7528.66498600881-86440.6396872284j</v>
      </c>
      <c r="P106">
        <f t="shared" si="23"/>
        <v>98.767179721353742</v>
      </c>
      <c r="Q106">
        <f t="shared" si="24"/>
        <v>-85.022307411507754</v>
      </c>
      <c r="R106">
        <f t="shared" si="25"/>
        <v>84.787779403190413</v>
      </c>
      <c r="S106">
        <f t="shared" si="26"/>
        <v>94.964465859007561</v>
      </c>
    </row>
    <row r="107" spans="7:19" x14ac:dyDescent="0.25">
      <c r="G107">
        <f t="shared" si="17"/>
        <v>1.0800000000000012</v>
      </c>
      <c r="H107">
        <f t="shared" si="15"/>
        <v>120.22644346174164</v>
      </c>
      <c r="I107" t="str">
        <f t="shared" si="18"/>
        <v>755.405023093272j</v>
      </c>
      <c r="J107" t="str">
        <f>IMDIV(R_1,IMSUM('Opamp and C Stray Using B (2)'!R_1,IMPRODUCT('Opamp and C Stray Using B (2)'!R_f,IMSUM(1,IMPRODUCT(I107,C_s,R_1)))))</f>
        <v>0.19999998831336-0.0000483459186529627j</v>
      </c>
      <c r="K107">
        <f t="shared" si="19"/>
        <v>-13.97940034049255</v>
      </c>
      <c r="L107">
        <f t="shared" si="20"/>
        <v>-1.3850086017024393E-2</v>
      </c>
      <c r="M107">
        <f t="shared" si="21"/>
        <v>0.19999998831335999</v>
      </c>
      <c r="N107">
        <f t="shared" si="22"/>
        <v>-4.83459186529627E-5</v>
      </c>
      <c r="O107" t="str">
        <f t="shared" si="16"/>
        <v>6870.77555595089-82604.8908915848j</v>
      </c>
      <c r="P107">
        <f t="shared" si="23"/>
        <v>98.370057619008136</v>
      </c>
      <c r="Q107">
        <f t="shared" si="24"/>
        <v>-85.245289334159864</v>
      </c>
      <c r="R107">
        <f t="shared" si="25"/>
        <v>84.39065727851559</v>
      </c>
      <c r="S107">
        <f t="shared" si="26"/>
        <v>94.740860579823106</v>
      </c>
    </row>
    <row r="108" spans="7:19" x14ac:dyDescent="0.25">
      <c r="G108">
        <f t="shared" si="17"/>
        <v>1.1000000000000012</v>
      </c>
      <c r="H108">
        <f t="shared" si="15"/>
        <v>125.89254117941708</v>
      </c>
      <c r="I108" t="str">
        <f t="shared" si="18"/>
        <v>791.006165022014j</v>
      </c>
      <c r="J108" t="str">
        <f>IMDIV(R_1,IMSUM('Opamp and C Stray Using B (2)'!R_1,IMPRODUCT('Opamp and C Stray Using B (2)'!R_f,IMSUM(1,IMPRODUCT(I108,C_s,R_1)))))</f>
        <v>0.199999987185854-0.0000506243913178669j</v>
      </c>
      <c r="K108">
        <f t="shared" si="19"/>
        <v>-13.979400364976033</v>
      </c>
      <c r="L108">
        <f t="shared" si="20"/>
        <v>-1.4502820434133376E-2</v>
      </c>
      <c r="M108">
        <f t="shared" si="21"/>
        <v>0.19999998718585399</v>
      </c>
      <c r="N108">
        <f t="shared" si="22"/>
        <v>-5.0624391317866899E-5</v>
      </c>
      <c r="O108" t="str">
        <f t="shared" si="16"/>
        <v>6270.01234143381-78934.7786889409j</v>
      </c>
      <c r="P108">
        <f t="shared" si="23"/>
        <v>97.972683956650584</v>
      </c>
      <c r="Q108">
        <f t="shared" si="24"/>
        <v>-85.45837035678413</v>
      </c>
      <c r="R108">
        <f t="shared" si="25"/>
        <v>83.993283591674555</v>
      </c>
      <c r="S108">
        <f t="shared" si="26"/>
        <v>94.527126822781739</v>
      </c>
    </row>
    <row r="109" spans="7:19" x14ac:dyDescent="0.25">
      <c r="G109">
        <f t="shared" si="17"/>
        <v>1.1200000000000012</v>
      </c>
      <c r="H109">
        <f t="shared" si="15"/>
        <v>131.8256738556411</v>
      </c>
      <c r="I109" t="str">
        <f t="shared" si="18"/>
        <v>828.285137078812j</v>
      </c>
      <c r="J109" t="str">
        <f>IMDIV(R_1,IMSUM('Opamp and C Stray Using B (2)'!R_1,IMPRODUCT('Opamp and C Stray Using B (2)'!R_f,IMSUM(1,IMPRODUCT(I109,C_s,R_1)))))</f>
        <v>0.199999985949569-0.0000530102450489597j</v>
      </c>
      <c r="K109">
        <f t="shared" si="19"/>
        <v>-13.979400391821613</v>
      </c>
      <c r="L109">
        <f t="shared" si="20"/>
        <v>-1.518631727254597E-2</v>
      </c>
      <c r="M109">
        <f t="shared" si="21"/>
        <v>0.199999985949569</v>
      </c>
      <c r="N109">
        <f t="shared" si="22"/>
        <v>-5.3010245048959703E-5</v>
      </c>
      <c r="O109" t="str">
        <f t="shared" si="16"/>
        <v>5721.47571709036-75423.7391854123j</v>
      </c>
      <c r="P109">
        <f t="shared" si="23"/>
        <v>97.575080590605523</v>
      </c>
      <c r="Q109">
        <f t="shared" si="24"/>
        <v>-85.661978823734188</v>
      </c>
      <c r="R109">
        <f t="shared" si="25"/>
        <v>83.59568019878391</v>
      </c>
      <c r="S109">
        <f t="shared" si="26"/>
        <v>94.322834858993261</v>
      </c>
    </row>
    <row r="110" spans="7:19" x14ac:dyDescent="0.25">
      <c r="G110">
        <f t="shared" si="17"/>
        <v>1.1400000000000012</v>
      </c>
      <c r="H110">
        <f t="shared" si="15"/>
        <v>138.03842646028889</v>
      </c>
      <c r="I110" t="str">
        <f t="shared" si="18"/>
        <v>867.321012961477j</v>
      </c>
      <c r="J110" t="str">
        <f>IMDIV(R_1,IMSUM('Opamp and C Stray Using B (2)'!R_1,IMPRODUCT('Opamp and C Stray Using B (2)'!R_f,IMSUM(1,IMPRODUCT(I110,C_s,R_1)))))</f>
        <v>0.199999984594008-0.0000555085405537135j</v>
      </c>
      <c r="K110">
        <f t="shared" si="19"/>
        <v>-13.979400421257262</v>
      </c>
      <c r="L110">
        <f t="shared" si="20"/>
        <v>-1.5902026319914442E-2</v>
      </c>
      <c r="M110">
        <f t="shared" si="21"/>
        <v>0.199999984594008</v>
      </c>
      <c r="N110">
        <f t="shared" si="22"/>
        <v>-5.5508540553713503E-5</v>
      </c>
      <c r="O110" t="str">
        <f t="shared" si="16"/>
        <v>5220.67610482409-72065.3914568749j</v>
      </c>
      <c r="P110">
        <f t="shared" si="23"/>
        <v>97.17726750048287</v>
      </c>
      <c r="Q110">
        <f t="shared" si="24"/>
        <v>-85.856525999966166</v>
      </c>
      <c r="R110">
        <f t="shared" si="25"/>
        <v>83.197867079225603</v>
      </c>
      <c r="S110">
        <f t="shared" si="26"/>
        <v>94.127571973713913</v>
      </c>
    </row>
    <row r="111" spans="7:19" x14ac:dyDescent="0.25">
      <c r="G111">
        <f t="shared" si="17"/>
        <v>1.1600000000000013</v>
      </c>
      <c r="H111">
        <f t="shared" si="15"/>
        <v>144.54397707459319</v>
      </c>
      <c r="I111" t="str">
        <f t="shared" si="18"/>
        <v>908.196592996387j</v>
      </c>
      <c r="J111" t="str">
        <f>IMDIV(R_1,IMSUM('Opamp and C Stray Using B (2)'!R_1,IMPRODUCT('Opamp and C Stray Using B (2)'!R_f,IMSUM(1,IMPRODUCT(I111,C_s,R_1)))))</f>
        <v>0.199999983107666-0.0000581245770424696j</v>
      </c>
      <c r="K111">
        <f t="shared" si="19"/>
        <v>-13.97940045353277</v>
      </c>
      <c r="L111">
        <f t="shared" si="20"/>
        <v>-1.6651465690189611E-2</v>
      </c>
      <c r="M111">
        <f t="shared" si="21"/>
        <v>0.19999998310766601</v>
      </c>
      <c r="N111">
        <f t="shared" si="22"/>
        <v>-5.8124577042469601E-5</v>
      </c>
      <c r="O111" t="str">
        <f t="shared" si="16"/>
        <v>4763.50137221076-68853.5433139625j</v>
      </c>
      <c r="P111">
        <f t="shared" si="23"/>
        <v>96.779262946598294</v>
      </c>
      <c r="Q111">
        <f t="shared" si="24"/>
        <v>-86.042406561888171</v>
      </c>
      <c r="R111">
        <f t="shared" si="25"/>
        <v>82.799862493065518</v>
      </c>
      <c r="S111">
        <f t="shared" si="26"/>
        <v>93.940941972421641</v>
      </c>
    </row>
    <row r="112" spans="7:19" x14ac:dyDescent="0.25">
      <c r="G112">
        <f t="shared" si="17"/>
        <v>1.1800000000000013</v>
      </c>
      <c r="H112">
        <f t="shared" si="15"/>
        <v>151.35612484362133</v>
      </c>
      <c r="I112" t="str">
        <f t="shared" si="18"/>
        <v>950.998579769081j</v>
      </c>
      <c r="J112" t="str">
        <f>IMDIV(R_1,IMSUM('Opamp and C Stray Using B (2)'!R_1,IMPRODUCT('Opamp and C Stray Using B (2)'!R_f,IMSUM(1,IMPRODUCT(I112,C_s,R_1)))))</f>
        <v>0.199999981477925-0.0000608639034685916j</v>
      </c>
      <c r="K112">
        <f t="shared" si="19"/>
        <v>-13.979400488922133</v>
      </c>
      <c r="L112">
        <f t="shared" si="20"/>
        <v>-1.7436225043726647E-2</v>
      </c>
      <c r="M112">
        <f t="shared" si="21"/>
        <v>0.199999981477925</v>
      </c>
      <c r="N112">
        <f t="shared" si="22"/>
        <v>-6.0863903468591603E-5</v>
      </c>
      <c r="O112" t="str">
        <f t="shared" si="16"/>
        <v>4346.18653009908-65782.195104334j</v>
      </c>
      <c r="P112">
        <f t="shared" si="23"/>
        <v>96.381083614815921</v>
      </c>
      <c r="Q112">
        <f t="shared" si="24"/>
        <v>-86.219999100764738</v>
      </c>
      <c r="R112">
        <f t="shared" si="25"/>
        <v>82.401683125893783</v>
      </c>
      <c r="S112">
        <f t="shared" si="26"/>
        <v>93.762564674191538</v>
      </c>
    </row>
    <row r="113" spans="7:19" x14ac:dyDescent="0.25">
      <c r="G113">
        <f t="shared" si="17"/>
        <v>1.2000000000000013</v>
      </c>
      <c r="H113">
        <f t="shared" si="15"/>
        <v>158.48931924611185</v>
      </c>
      <c r="I113" t="str">
        <f t="shared" si="18"/>
        <v>995.817762032065j</v>
      </c>
      <c r="J113" t="str">
        <f>IMDIV(R_1,IMSUM('Opamp and C Stray Using B (2)'!R_1,IMPRODUCT('Opamp and C Stray Using B (2)'!R_f,IMSUM(1,IMPRODUCT(I113,C_s,R_1)))))</f>
        <v>0.199999979690948-0.0000637323302983354j</v>
      </c>
      <c r="K113">
        <f t="shared" si="19"/>
        <v>-13.979400527725865</v>
      </c>
      <c r="L113">
        <f t="shared" si="20"/>
        <v>-1.8257968959148638E-2</v>
      </c>
      <c r="M113">
        <f t="shared" si="21"/>
        <v>0.19999997969094799</v>
      </c>
      <c r="N113">
        <f t="shared" si="22"/>
        <v>-6.3732330298335401E-5</v>
      </c>
      <c r="O113" t="str">
        <f t="shared" si="16"/>
        <v>3965.28561915217-62845.5418395825j</v>
      </c>
      <c r="P113">
        <f t="shared" si="23"/>
        <v>95.98274474971204</v>
      </c>
      <c r="Q113">
        <f t="shared" si="24"/>
        <v>-86.389666633884076</v>
      </c>
      <c r="R113">
        <f t="shared" si="25"/>
        <v>82.003344221986168</v>
      </c>
      <c r="S113">
        <f t="shared" si="26"/>
        <v>93.592075397156776</v>
      </c>
    </row>
    <row r="114" spans="7:19" x14ac:dyDescent="0.25">
      <c r="G114">
        <f t="shared" si="17"/>
        <v>1.2200000000000013</v>
      </c>
      <c r="H114">
        <f t="shared" si="15"/>
        <v>165.95869074375662</v>
      </c>
      <c r="I114" t="str">
        <f t="shared" si="18"/>
        <v>1042.74920727993j</v>
      </c>
      <c r="J114" t="str">
        <f>IMDIV(R_1,IMSUM('Opamp and C Stray Using B (2)'!R_1,IMPRODUCT('Opamp and C Stray Using B (2)'!R_f,IMSUM(1,IMPRODUCT(I114,C_s,R_1)))))</f>
        <v>0.199999977731568-0.0000667359418353908j</v>
      </c>
      <c r="K114">
        <f t="shared" si="19"/>
        <v>-13.979400570273256</v>
      </c>
      <c r="L114">
        <f t="shared" si="20"/>
        <v>-1.9118440464117845E-2</v>
      </c>
      <c r="M114">
        <f t="shared" si="21"/>
        <v>0.199999977731568</v>
      </c>
      <c r="N114">
        <f t="shared" si="22"/>
        <v>-6.6735941835390796E-5</v>
      </c>
      <c r="O114" t="str">
        <f t="shared" si="16"/>
        <v>3617.64567017328-60037.9738996775j</v>
      </c>
      <c r="P114">
        <f t="shared" si="23"/>
        <v>95.584260276912005</v>
      </c>
      <c r="Q114">
        <f t="shared" si="24"/>
        <v>-86.55175711940862</v>
      </c>
      <c r="R114">
        <f t="shared" si="25"/>
        <v>81.604859706638749</v>
      </c>
      <c r="S114">
        <f t="shared" si="26"/>
        <v>93.429124440127268</v>
      </c>
    </row>
    <row r="115" spans="7:19" x14ac:dyDescent="0.25">
      <c r="G115">
        <f t="shared" si="17"/>
        <v>1.2400000000000013</v>
      </c>
      <c r="H115">
        <f t="shared" si="15"/>
        <v>173.7800828749381</v>
      </c>
      <c r="I115" t="str">
        <f t="shared" si="18"/>
        <v>1091.89246340026j</v>
      </c>
      <c r="J115" t="str">
        <f>IMDIV(R_1,IMSUM('Opamp and C Stray Using B (2)'!R_1,IMPRODUCT('Opamp and C Stray Using B (2)'!R_f,IMSUM(1,IMPRODUCT(I115,C_s,R_1)))))</f>
        <v>0.19999997558315-0.0000698811091262329j</v>
      </c>
      <c r="K115">
        <f t="shared" si="19"/>
        <v>-13.979400616925568</v>
      </c>
      <c r="L115">
        <f t="shared" si="20"/>
        <v>-2.0019464732505678E-2</v>
      </c>
      <c r="M115">
        <f t="shared" si="21"/>
        <v>0.19999997558315</v>
      </c>
      <c r="N115">
        <f t="shared" si="22"/>
        <v>-6.9881109126232902E-5</v>
      </c>
      <c r="O115" t="str">
        <f t="shared" si="16"/>
        <v>3300.38262084029-57354.076536863j</v>
      </c>
      <c r="P115">
        <f t="shared" si="23"/>
        <v>95.185642915406106</v>
      </c>
      <c r="Q115">
        <f t="shared" si="24"/>
        <v>-86.706603971455039</v>
      </c>
      <c r="R115">
        <f t="shared" si="25"/>
        <v>81.206242298480532</v>
      </c>
      <c r="S115">
        <f t="shared" si="26"/>
        <v>93.273376563812462</v>
      </c>
    </row>
    <row r="116" spans="7:19" x14ac:dyDescent="0.25">
      <c r="G116">
        <f t="shared" si="17"/>
        <v>1.2600000000000013</v>
      </c>
      <c r="H116">
        <f t="shared" si="15"/>
        <v>181.97008586099898</v>
      </c>
      <c r="I116" t="str">
        <f t="shared" si="18"/>
        <v>1143.35176982804j</v>
      </c>
      <c r="J116" t="str">
        <f>IMDIV(R_1,IMSUM('Opamp and C Stray Using B (2)'!R_1,IMPRODUCT('Opamp and C Stray Using B (2)'!R_f,IMSUM(1,IMPRODUCT(I116,C_s,R_1)))))</f>
        <v>0.199999973227457-0.0000731745034736552j</v>
      </c>
      <c r="K116">
        <f t="shared" si="19"/>
        <v>-13.979400668078792</v>
      </c>
      <c r="L116">
        <f t="shared" si="20"/>
        <v>-2.0962952955801011E-2</v>
      </c>
      <c r="M116">
        <f t="shared" si="21"/>
        <v>0.199999973227457</v>
      </c>
      <c r="N116">
        <f t="shared" si="22"/>
        <v>-7.3174503473655197E-5</v>
      </c>
      <c r="O116" t="str">
        <f t="shared" si="16"/>
        <v>3010.85907136949-54788.6283732477j</v>
      </c>
      <c r="P116">
        <f t="shared" si="23"/>
        <v>94.786904280604375</v>
      </c>
      <c r="Q116">
        <f t="shared" si="24"/>
        <v>-86.854526572497434</v>
      </c>
      <c r="R116">
        <f t="shared" si="25"/>
        <v>80.807503612525579</v>
      </c>
      <c r="S116">
        <f t="shared" si="26"/>
        <v>93.124510474546767</v>
      </c>
    </row>
    <row r="117" spans="7:19" x14ac:dyDescent="0.25">
      <c r="G117">
        <f t="shared" si="17"/>
        <v>1.2800000000000014</v>
      </c>
      <c r="H117">
        <f t="shared" si="15"/>
        <v>190.54607179632535</v>
      </c>
      <c r="I117" t="str">
        <f t="shared" si="18"/>
        <v>1197.23627865146j</v>
      </c>
      <c r="J117" t="str">
        <f>IMDIV(R_1,IMSUM('Opamp and C Stray Using B (2)'!R_1,IMPRODUCT('Opamp and C Stray Using B (2)'!R_f,IMSUM(1,IMPRODUCT(I117,C_s,R_1)))))</f>
        <v>0.19999997064449-0.0000766231105871396j</v>
      </c>
      <c r="K117">
        <f t="shared" si="19"/>
        <v>-13.979400724167231</v>
      </c>
      <c r="L117">
        <f t="shared" si="20"/>
        <v>-2.1950906396969935E-2</v>
      </c>
      <c r="M117">
        <f t="shared" si="21"/>
        <v>0.19999997064448999</v>
      </c>
      <c r="N117">
        <f t="shared" si="22"/>
        <v>-7.6623110587139599E-5</v>
      </c>
      <c r="O117" t="str">
        <f t="shared" si="16"/>
        <v>2746.66376316321-52336.5990616063j</v>
      </c>
      <c r="P117">
        <f t="shared" si="23"/>
        <v>94.388054978841765</v>
      </c>
      <c r="Q117">
        <f t="shared" si="24"/>
        <v>-86.995830780667802</v>
      </c>
      <c r="R117">
        <f t="shared" si="25"/>
        <v>80.408654254674531</v>
      </c>
      <c r="S117">
        <f t="shared" si="26"/>
        <v>92.982218312935231</v>
      </c>
    </row>
    <row r="118" spans="7:19" x14ac:dyDescent="0.25">
      <c r="G118">
        <f t="shared" si="17"/>
        <v>1.3000000000000014</v>
      </c>
      <c r="H118">
        <f t="shared" si="15"/>
        <v>199.52623149688867</v>
      </c>
      <c r="I118" t="str">
        <f t="shared" si="18"/>
        <v>1253.66028613816j</v>
      </c>
      <c r="J118" t="str">
        <f>IMDIV(R_1,IMSUM('Opamp and C Stray Using B (2)'!R_1,IMPRODUCT('Opamp and C Stray Using B (2)'!R_f,IMSUM(1,IMPRODUCT(I118,C_s,R_1)))))</f>
        <v>0.199999967812324-0.0000802342454000709j</v>
      </c>
      <c r="K118">
        <f t="shared" si="19"/>
        <v>-13.97940078566694</v>
      </c>
      <c r="L118">
        <f t="shared" si="20"/>
        <v>-2.2985420635362644E-2</v>
      </c>
      <c r="M118">
        <f t="shared" si="21"/>
        <v>0.19999996781232399</v>
      </c>
      <c r="N118">
        <f t="shared" si="22"/>
        <v>-8.0234245400070901E-5</v>
      </c>
      <c r="O118" t="str">
        <f t="shared" si="16"/>
        <v>2505.59266728573-49993.1462569759j</v>
      </c>
      <c r="P118">
        <f t="shared" si="23"/>
        <v>93.989104694000389</v>
      </c>
      <c r="Q118">
        <f t="shared" si="24"/>
        <v>-87.130809429944989</v>
      </c>
      <c r="R118">
        <f t="shared" si="25"/>
        <v>80.009703908333449</v>
      </c>
      <c r="S118">
        <f t="shared" si="26"/>
        <v>92.846205149419646</v>
      </c>
    </row>
    <row r="119" spans="7:19" x14ac:dyDescent="0.25">
      <c r="G119">
        <f t="shared" si="17"/>
        <v>1.3200000000000014</v>
      </c>
      <c r="H119">
        <f t="shared" si="15"/>
        <v>208.92961308540464</v>
      </c>
      <c r="I119" t="str">
        <f t="shared" si="18"/>
        <v>1312.74347517293j</v>
      </c>
      <c r="J119" t="str">
        <f>IMDIV(R_1,IMSUM('Opamp and C Stray Using B (2)'!R_1,IMPRODUCT('Opamp and C Stray Using B (2)'!R_f,IMSUM(1,IMPRODUCT(I119,C_s,R_1)))))</f>
        <v>0.199999964706916-0.0000840155675852225j</v>
      </c>
      <c r="K119">
        <f t="shared" si="19"/>
        <v>-13.979400853100019</v>
      </c>
      <c r="L119">
        <f t="shared" si="20"/>
        <v>-2.4068690011674592E-2</v>
      </c>
      <c r="M119">
        <f t="shared" si="21"/>
        <v>0.199999964706916</v>
      </c>
      <c r="N119">
        <f t="shared" si="22"/>
        <v>-8.4015567585222502E-5</v>
      </c>
      <c r="O119" t="str">
        <f t="shared" si="16"/>
        <v>2285.63157333026-47753.6120271677j</v>
      </c>
      <c r="P119">
        <f t="shared" si="23"/>
        <v>93.590062266870774</v>
      </c>
      <c r="Q119">
        <f t="shared" si="24"/>
        <v>-87.259742821586343</v>
      </c>
      <c r="R119">
        <f t="shared" si="25"/>
        <v>79.610661413770757</v>
      </c>
      <c r="S119">
        <f t="shared" si="26"/>
        <v>92.716188488401983</v>
      </c>
    </row>
    <row r="120" spans="7:19" x14ac:dyDescent="0.25">
      <c r="G120">
        <f t="shared" si="17"/>
        <v>1.3400000000000014</v>
      </c>
      <c r="H120">
        <f t="shared" si="15"/>
        <v>218.77616239495606</v>
      </c>
      <c r="I120" t="str">
        <f t="shared" si="18"/>
        <v>1374.61116912112j</v>
      </c>
      <c r="J120" t="str">
        <f>IMDIV(R_1,IMSUM('Opamp and C Stray Using B (2)'!R_1,IMPRODUCT('Opamp and C Stray Using B (2)'!R_f,IMSUM(1,IMPRODUCT(I120,C_s,R_1)))))</f>
        <v>0.199999961301903-0.0000879750978014041j</v>
      </c>
      <c r="K120">
        <f t="shared" si="19"/>
        <v>-13.979400927038965</v>
      </c>
      <c r="L120">
        <f t="shared" si="20"/>
        <v>-2.5203012282384325E-2</v>
      </c>
      <c r="M120">
        <f t="shared" si="21"/>
        <v>0.19999996130190301</v>
      </c>
      <c r="N120">
        <f t="shared" si="22"/>
        <v>-8.7975097801404098E-5</v>
      </c>
      <c r="O120" t="str">
        <f t="shared" si="16"/>
        <v>2084.94007362514-45613.5188131165j</v>
      </c>
      <c r="P120">
        <f t="shared" si="23"/>
        <v>93.190935767831874</v>
      </c>
      <c r="Q120">
        <f t="shared" si="24"/>
        <v>-87.382899205471787</v>
      </c>
      <c r="R120">
        <f t="shared" si="25"/>
        <v>79.211534840792908</v>
      </c>
      <c r="S120">
        <f t="shared" si="26"/>
        <v>92.591897782245823</v>
      </c>
    </row>
    <row r="121" spans="7:19" x14ac:dyDescent="0.25">
      <c r="G121">
        <f t="shared" si="17"/>
        <v>1.3600000000000014</v>
      </c>
      <c r="H121">
        <f t="shared" si="15"/>
        <v>229.0867652767781</v>
      </c>
      <c r="I121" t="str">
        <f t="shared" si="18"/>
        <v>1439.39459765635j</v>
      </c>
      <c r="J121" t="str">
        <f>IMDIV(R_1,IMSUM('Opamp and C Stray Using B (2)'!R_1,IMPRODUCT('Opamp and C Stray Using B (2)'!R_f,IMSUM(1,IMPRODUCT(I121,C_s,R_1)))))</f>
        <v>0.199999957568382-0.0000921212347057369j</v>
      </c>
      <c r="K121">
        <f t="shared" si="19"/>
        <v>-13.979401008111342</v>
      </c>
      <c r="L121">
        <f t="shared" si="20"/>
        <v>-2.6390793493544354E-2</v>
      </c>
      <c r="M121">
        <f t="shared" si="21"/>
        <v>0.19999995756838199</v>
      </c>
      <c r="N121">
        <f t="shared" si="22"/>
        <v>-9.2121234705736896E-5</v>
      </c>
      <c r="O121" t="str">
        <f t="shared" si="16"/>
        <v>1901.83684256775-43568.5650348046j</v>
      </c>
      <c r="P121">
        <f t="shared" si="23"/>
        <v>92.791732563385821</v>
      </c>
      <c r="Q121">
        <f t="shared" si="24"/>
        <v>-87.50053525030205</v>
      </c>
      <c r="R121">
        <f t="shared" si="25"/>
        <v>78.812331555274483</v>
      </c>
      <c r="S121">
        <f t="shared" si="26"/>
        <v>92.473073956204402</v>
      </c>
    </row>
    <row r="122" spans="7:19" x14ac:dyDescent="0.25">
      <c r="G122">
        <f t="shared" si="17"/>
        <v>1.3800000000000014</v>
      </c>
      <c r="H122">
        <f t="shared" si="15"/>
        <v>239.88329190194992</v>
      </c>
      <c r="I122" t="str">
        <f t="shared" si="18"/>
        <v>1507.2311751162j</v>
      </c>
      <c r="J122" t="str">
        <f>IMDIV(R_1,IMSUM('Opamp and C Stray Using B (2)'!R_1,IMPRODUCT('Opamp and C Stray Using B (2)'!R_f,IMSUM(1,IMPRODUCT(I122,C_s,R_1)))))</f>
        <v>0.199999953474657-0.0000964627727676134j</v>
      </c>
      <c r="K122">
        <f t="shared" si="19"/>
        <v>-13.979401097005471</v>
      </c>
      <c r="L122">
        <f t="shared" si="20"/>
        <v>-2.7634553084259009E-2</v>
      </c>
      <c r="M122">
        <f t="shared" si="21"/>
        <v>0.19999995347465699</v>
      </c>
      <c r="N122">
        <f t="shared" si="22"/>
        <v>-9.6462772767613394E-5</v>
      </c>
      <c r="O122" t="str">
        <f t="shared" si="16"/>
        <v>1734.78611599929-41614.6204251706j</v>
      </c>
      <c r="P122">
        <f t="shared" si="23"/>
        <v>92.392459377048638</v>
      </c>
      <c r="Q122">
        <f t="shared" si="24"/>
        <v>-87.612896501826938</v>
      </c>
      <c r="R122">
        <f t="shared" si="25"/>
        <v>78.413058280043174</v>
      </c>
      <c r="S122">
        <f t="shared" si="26"/>
        <v>92.359468945088807</v>
      </c>
    </row>
    <row r="123" spans="7:19" x14ac:dyDescent="0.25">
      <c r="G123">
        <f t="shared" si="17"/>
        <v>1.4000000000000015</v>
      </c>
      <c r="H123">
        <f t="shared" si="15"/>
        <v>251.18864315095888</v>
      </c>
      <c r="I123" t="str">
        <f t="shared" si="18"/>
        <v>1578.26479197648j</v>
      </c>
      <c r="J123" t="str">
        <f>IMDIV(R_1,IMSUM('Opamp and C Stray Using B (2)'!R_1,IMPRODUCT('Opamp and C Stray Using B (2)'!R_f,IMSUM(1,IMPRODUCT(I123,C_s,R_1)))))</f>
        <v>0.199999948985976-0.000101008920922131j</v>
      </c>
      <c r="K123">
        <f t="shared" si="19"/>
        <v>-13.979401194475985</v>
      </c>
      <c r="L123">
        <f t="shared" si="20"/>
        <v>-2.8936929230674792E-2</v>
      </c>
      <c r="M123">
        <f t="shared" si="21"/>
        <v>0.19999994898597601</v>
      </c>
      <c r="N123">
        <f t="shared" si="22"/>
        <v>-1.01008920922131E-4</v>
      </c>
      <c r="O123" t="str">
        <f t="shared" si="16"/>
        <v>1582.38528080171-39747.721162663j</v>
      </c>
      <c r="P123">
        <f t="shared" si="23"/>
        <v>91.993122345056776</v>
      </c>
      <c r="Q123">
        <f t="shared" si="24"/>
        <v>-87.720217828482106</v>
      </c>
      <c r="R123">
        <f t="shared" si="25"/>
        <v>78.013721150580793</v>
      </c>
      <c r="S123">
        <f t="shared" si="26"/>
        <v>92.250845242287212</v>
      </c>
    </row>
    <row r="124" spans="7:19" x14ac:dyDescent="0.25">
      <c r="G124">
        <f t="shared" si="17"/>
        <v>1.4200000000000015</v>
      </c>
      <c r="H124">
        <f t="shared" si="15"/>
        <v>263.02679918953919</v>
      </c>
      <c r="I124" t="str">
        <f t="shared" si="18"/>
        <v>1652.64612006219j</v>
      </c>
      <c r="J124" t="str">
        <f>IMDIV(R_1,IMSUM('Opamp and C Stray Using B (2)'!R_1,IMPRODUCT('Opamp and C Stray Using B (2)'!R_f,IMSUM(1,IMPRODUCT(I124,C_s,R_1)))))</f>
        <v>0.199999944064237-0.000105769322102533j</v>
      </c>
      <c r="K124">
        <f t="shared" si="19"/>
        <v>-13.979401301350205</v>
      </c>
      <c r="L124">
        <f t="shared" si="20"/>
        <v>-3.0300684441814461E-2</v>
      </c>
      <c r="M124">
        <f t="shared" si="21"/>
        <v>0.19999994406423699</v>
      </c>
      <c r="N124">
        <f t="shared" si="22"/>
        <v>-1.05769322102533E-4</v>
      </c>
      <c r="O124" t="str">
        <f t="shared" si="16"/>
        <v>1443.35349020793-37964.0648628441j</v>
      </c>
      <c r="P124">
        <f t="shared" si="23"/>
        <v>91.593727067318213</v>
      </c>
      <c r="Q124">
        <f t="shared" si="24"/>
        <v>-87.822723853984215</v>
      </c>
      <c r="R124">
        <f t="shared" si="25"/>
        <v>77.614325765968005</v>
      </c>
      <c r="S124">
        <f t="shared" si="26"/>
        <v>92.146975461573973</v>
      </c>
    </row>
    <row r="125" spans="7:19" x14ac:dyDescent="0.25">
      <c r="G125">
        <f t="shared" si="17"/>
        <v>1.4400000000000015</v>
      </c>
      <c r="H125">
        <f t="shared" si="15"/>
        <v>275.42287033381763</v>
      </c>
      <c r="I125" t="str">
        <f t="shared" si="18"/>
        <v>1730.53293214267j</v>
      </c>
      <c r="J125" t="str">
        <f>IMDIV(R_1,IMSUM('Opamp and C Stray Using B (2)'!R_1,IMPRODUCT('Opamp and C Stray Using B (2)'!R_f,IMSUM(1,IMPRODUCT(I125,C_s,R_1)))))</f>
        <v>0.199999938667657-0.000110754073693086j</v>
      </c>
      <c r="K125">
        <f t="shared" si="19"/>
        <v>-13.979401418535486</v>
      </c>
      <c r="L125">
        <f t="shared" si="20"/>
        <v>-3.1728711419127933E-2</v>
      </c>
      <c r="M125">
        <f t="shared" si="21"/>
        <v>0.199999938667657</v>
      </c>
      <c r="N125">
        <f t="shared" si="22"/>
        <v>-1.1075407369308599E-4</v>
      </c>
      <c r="O125" t="str">
        <f t="shared" si="16"/>
        <v>1316.52122557933-36260.0054804454j</v>
      </c>
      <c r="P125">
        <f t="shared" si="23"/>
        <v>91.19427865400057</v>
      </c>
      <c r="Q125">
        <f t="shared" si="24"/>
        <v>-87.920629376582866</v>
      </c>
      <c r="R125">
        <f t="shared" si="25"/>
        <v>77.214877235465082</v>
      </c>
      <c r="S125">
        <f t="shared" si="26"/>
        <v>92.047641911997999</v>
      </c>
    </row>
    <row r="126" spans="7:19" x14ac:dyDescent="0.25">
      <c r="G126">
        <f t="shared" si="17"/>
        <v>1.4600000000000015</v>
      </c>
      <c r="H126">
        <f t="shared" si="15"/>
        <v>288.40315031266169</v>
      </c>
      <c r="I126" t="str">
        <f t="shared" si="18"/>
        <v>1812.09043658882j</v>
      </c>
      <c r="J126" t="str">
        <f>IMDIV(R_1,IMSUM('Opamp and C Stray Using B (2)'!R_1,IMPRODUCT('Opamp and C Stray Using B (2)'!R_f,IMSUM(1,IMPRODUCT(I126,C_s,R_1)))))</f>
        <v>0.199999932750425-0.000115973748945745j</v>
      </c>
      <c r="K126">
        <f t="shared" si="19"/>
        <v>-13.979401547026594</v>
      </c>
      <c r="L126">
        <f t="shared" si="20"/>
        <v>-3.3224039192180241E-2</v>
      </c>
      <c r="M126">
        <f t="shared" si="21"/>
        <v>0.19999993275042499</v>
      </c>
      <c r="N126">
        <f t="shared" si="22"/>
        <v>-1.15973748945745E-4</v>
      </c>
      <c r="O126" t="str">
        <f t="shared" si="16"/>
        <v>1200.8207305607-34632.0481654458j</v>
      </c>
      <c r="P126">
        <f t="shared" si="23"/>
        <v>90.794781768121666</v>
      </c>
      <c r="Q126">
        <f t="shared" si="24"/>
        <v>-88.01413977479163</v>
      </c>
      <c r="R126">
        <f t="shared" si="25"/>
        <v>76.815380221095069</v>
      </c>
      <c r="S126">
        <f t="shared" si="26"/>
        <v>91.952636186016193</v>
      </c>
    </row>
    <row r="127" spans="7:19" x14ac:dyDescent="0.25">
      <c r="G127">
        <f t="shared" si="17"/>
        <v>1.4800000000000015</v>
      </c>
      <c r="H127">
        <f t="shared" si="15"/>
        <v>301.99517204020287</v>
      </c>
      <c r="I127" t="str">
        <f t="shared" si="18"/>
        <v>1897.49162780217j</v>
      </c>
      <c r="J127" t="str">
        <f>IMDIV(R_1,IMSUM('Opamp and C Stray Using B (2)'!R_1,IMPRODUCT('Opamp and C Stray Using B (2)'!R_f,IMSUM(1,IMPRODUCT(I127,C_s,R_1)))))</f>
        <v>0.19999992626231-0.000121439419406011j</v>
      </c>
      <c r="K127">
        <f t="shared" si="19"/>
        <v>-13.979401687914262</v>
      </c>
      <c r="L127">
        <f t="shared" si="20"/>
        <v>-3.4789839543492782E-2</v>
      </c>
      <c r="M127">
        <f t="shared" si="21"/>
        <v>0.19999992626231</v>
      </c>
      <c r="N127">
        <f t="shared" si="22"/>
        <v>-1.2143941940601101E-4</v>
      </c>
      <c r="O127" t="str">
        <f t="shared" si="16"/>
        <v>1095.27724852145-33076.8441098953j</v>
      </c>
      <c r="P127">
        <f t="shared" si="23"/>
        <v>90.395240664476106</v>
      </c>
      <c r="Q127">
        <f t="shared" si="24"/>
        <v>-88.10345139952689</v>
      </c>
      <c r="R127">
        <f t="shared" si="25"/>
        <v>76.415838976561844</v>
      </c>
      <c r="S127">
        <f t="shared" si="26"/>
        <v>91.861758760929618</v>
      </c>
    </row>
    <row r="128" spans="7:19" x14ac:dyDescent="0.25">
      <c r="G128">
        <f t="shared" si="17"/>
        <v>1.5000000000000016</v>
      </c>
      <c r="H128">
        <f t="shared" si="15"/>
        <v>316.22776601683915</v>
      </c>
      <c r="I128" t="str">
        <f t="shared" si="18"/>
        <v>1986.91765315923j</v>
      </c>
      <c r="J128" t="str">
        <f>IMDIV(R_1,IMSUM('Opamp and C Stray Using B (2)'!R_1,IMPRODUCT('Opamp and C Stray Using B (2)'!R_f,IMSUM(1,IMPRODUCT(I128,C_s,R_1)))))</f>
        <v>0.199999919148233-0.000127162678395534j</v>
      </c>
      <c r="K128">
        <f t="shared" si="19"/>
        <v>-13.979401842394555</v>
      </c>
      <c r="L128">
        <f t="shared" si="20"/>
        <v>-3.6429433736165084E-2</v>
      </c>
      <c r="M128">
        <f t="shared" si="21"/>
        <v>0.19999991914823301</v>
      </c>
      <c r="N128">
        <f t="shared" si="22"/>
        <v>-1.27162678395534E-4</v>
      </c>
      <c r="O128" t="str">
        <f t="shared" si="16"/>
        <v>999.000999000992-31591.1854162674j</v>
      </c>
      <c r="P128">
        <f t="shared" si="23"/>
        <v>89.995659225206765</v>
      </c>
      <c r="Q128">
        <f t="shared" si="24"/>
        <v>-88.188751952672035</v>
      </c>
      <c r="R128">
        <f t="shared" si="25"/>
        <v>76.016257382812213</v>
      </c>
      <c r="S128">
        <f t="shared" si="26"/>
        <v>91.774818613591805</v>
      </c>
    </row>
    <row r="129" spans="7:19" x14ac:dyDescent="0.25">
      <c r="G129">
        <f t="shared" si="17"/>
        <v>1.5200000000000016</v>
      </c>
      <c r="H129">
        <f t="shared" si="15"/>
        <v>331.13112148259245</v>
      </c>
      <c r="I129" t="str">
        <f t="shared" si="18"/>
        <v>2080.55819724932j</v>
      </c>
      <c r="J129" t="str">
        <f>IMDIV(R_1,IMSUM('Opamp and C Stray Using B (2)'!R_1,IMPRODUCT('Opamp and C Stray Using B (2)'!R_f,IMSUM(1,IMPRODUCT(I129,C_s,R_1)))))</f>
        <v>0.199999911347804-0.00013315566560122j</v>
      </c>
      <c r="K129">
        <f t="shared" si="19"/>
        <v>-13.979402011778784</v>
      </c>
      <c r="L129">
        <f t="shared" si="20"/>
        <v>-3.8146299558537544E-2</v>
      </c>
      <c r="M129">
        <f t="shared" si="21"/>
        <v>0.19999991134780401</v>
      </c>
      <c r="N129">
        <f t="shared" si="22"/>
        <v>-1.3315566560122001E-4</v>
      </c>
      <c r="O129" t="str">
        <f t="shared" si="16"/>
        <v>911.179833471177-30172.0000129632j</v>
      </c>
      <c r="P129">
        <f t="shared" si="23"/>
        <v>89.596040992304964</v>
      </c>
      <c r="Q129">
        <f t="shared" si="24"/>
        <v>-88.270220852158374</v>
      </c>
      <c r="R129">
        <f t="shared" si="25"/>
        <v>75.616638980526176</v>
      </c>
      <c r="S129">
        <f t="shared" si="26"/>
        <v>91.691632848283092</v>
      </c>
    </row>
    <row r="130" spans="7:19" x14ac:dyDescent="0.25">
      <c r="G130">
        <f t="shared" si="17"/>
        <v>1.5400000000000016</v>
      </c>
      <c r="H130">
        <f t="shared" si="15"/>
        <v>346.73685045253302</v>
      </c>
      <c r="I130" t="str">
        <f t="shared" si="18"/>
        <v>2178.61188422108j</v>
      </c>
      <c r="J130" t="str">
        <f>IMDIV(R_1,IMSUM('Opamp and C Stray Using B (2)'!R_1,IMPRODUCT('Opamp and C Stray Using B (2)'!R_f,IMSUM(1,IMPRODUCT(I130,C_s,R_1)))))</f>
        <v>0.199999902794805-0.000139431092822983j</v>
      </c>
      <c r="K130">
        <f t="shared" si="19"/>
        <v>-13.979402197504868</v>
      </c>
      <c r="L130">
        <f t="shared" si="20"/>
        <v>-3.9944078700842746E-2</v>
      </c>
      <c r="M130">
        <f t="shared" si="21"/>
        <v>0.19999990279480501</v>
      </c>
      <c r="N130">
        <f t="shared" si="22"/>
        <v>-1.39431092822983E-4</v>
      </c>
      <c r="O130" t="str">
        <f t="shared" si="16"/>
        <v>831.072515093451-28816.3466381168j</v>
      </c>
      <c r="P130">
        <f t="shared" si="23"/>
        <v>89.196389197298927</v>
      </c>
      <c r="Q130">
        <f t="shared" si="24"/>
        <v>-88.34802958371634</v>
      </c>
      <c r="R130">
        <f t="shared" si="25"/>
        <v>75.216986999794059</v>
      </c>
      <c r="S130">
        <f t="shared" si="26"/>
        <v>91.612026337582819</v>
      </c>
    </row>
    <row r="131" spans="7:19" x14ac:dyDescent="0.25">
      <c r="G131">
        <f t="shared" si="17"/>
        <v>1.5600000000000016</v>
      </c>
      <c r="H131">
        <f t="shared" ref="H131:H194" si="27">$B$3*10^G131</f>
        <v>363.07805477010282</v>
      </c>
      <c r="I131" t="str">
        <f t="shared" si="18"/>
        <v>2281.28669909086j</v>
      </c>
      <c r="J131" t="str">
        <f>IMDIV(R_1,IMSUM('Opamp and C Stray Using B (2)'!R_1,IMPRODUCT('Opamp and C Stray Using B (2)'!R_f,IMSUM(1,IMPRODUCT(I131,C_s,R_1)))))</f>
        <v>0.199999893416628-0.000146002270934702j</v>
      </c>
      <c r="K131">
        <f t="shared" si="19"/>
        <v>-13.979402401149502</v>
      </c>
      <c r="L131">
        <f t="shared" si="20"/>
        <v>-4.182658447948237E-2</v>
      </c>
      <c r="M131">
        <f t="shared" si="21"/>
        <v>0.19999989341662799</v>
      </c>
      <c r="N131">
        <f t="shared" si="22"/>
        <v>-1.46002270934702E-4</v>
      </c>
      <c r="O131" t="str">
        <f t="shared" ref="O131:O194" si="28">IMDIV(Aolv,IMSUM(1,IMDIV(I131,wc)))</f>
        <v>758.002571276788-27521.4099089913j</v>
      </c>
      <c r="P131">
        <f t="shared" si="23"/>
        <v>88.796706788371011</v>
      </c>
      <c r="Q131">
        <f t="shared" si="24"/>
        <v>-88.422342039500492</v>
      </c>
      <c r="R131">
        <f t="shared" si="25"/>
        <v>74.817304387221512</v>
      </c>
      <c r="S131">
        <f t="shared" si="26"/>
        <v>91.535831376020028</v>
      </c>
    </row>
    <row r="132" spans="7:19" x14ac:dyDescent="0.25">
      <c r="G132">
        <f t="shared" ref="G132:G195" si="29">G131+(1/ppd)</f>
        <v>1.5800000000000016</v>
      </c>
      <c r="H132">
        <f t="shared" si="27"/>
        <v>380.18939632056276</v>
      </c>
      <c r="I132" t="str">
        <f t="shared" ref="I132:I195" si="30">COMPLEX(0,H132*2*PI(),"j")</f>
        <v>2388.80042890684j</v>
      </c>
      <c r="J132" t="str">
        <f>IMDIV(R_1,IMSUM('Opamp and C Stray Using B (2)'!R_1,IMPRODUCT('Opamp and C Stray Using B (2)'!R_f,IMSUM(1,IMPRODUCT(I132,C_s,R_1)))))</f>
        <v>0.199999883133662-0.000152883138115523j</v>
      </c>
      <c r="K132">
        <f t="shared" ref="K132:K195" si="31">20*LOG(IMABS(J132))</f>
        <v>-13.979402624441406</v>
      </c>
      <c r="L132">
        <f t="shared" ref="L132:L195" si="32">DEGREES(IMARGUMENT(J132))</f>
        <v>-4.3797809925309128E-2</v>
      </c>
      <c r="M132">
        <f t="shared" ref="M132:M195" si="33">IMREAL(J132)</f>
        <v>0.19999988313366199</v>
      </c>
      <c r="N132">
        <f t="shared" ref="N132:N195" si="34">IMAGINARY(J132)</f>
        <v>-1.5288313811552301E-4</v>
      </c>
      <c r="O132" t="str">
        <f t="shared" si="28"/>
        <v>691.3526717288-26284.4954909181j</v>
      </c>
      <c r="P132">
        <f t="shared" ref="P132:P195" si="35">20*LOG(IMABS(O132))</f>
        <v>88.396996455122093</v>
      </c>
      <c r="Q132">
        <f t="shared" ref="Q132:Q195" si="36">DEGREES(IMARGUMENT(O132))</f>
        <v>-88.493314843833403</v>
      </c>
      <c r="R132">
        <f t="shared" ref="R132:R195" si="37">P132+K132</f>
        <v>74.417593830680687</v>
      </c>
      <c r="S132">
        <f t="shared" ref="S132:S195" si="38">(Q132+L132)-(-180)</f>
        <v>91.462887346241288</v>
      </c>
    </row>
    <row r="133" spans="7:19" x14ac:dyDescent="0.25">
      <c r="G133">
        <f t="shared" si="29"/>
        <v>1.6000000000000016</v>
      </c>
      <c r="H133">
        <f t="shared" si="27"/>
        <v>398.10717055349897</v>
      </c>
      <c r="I133" t="str">
        <f t="shared" si="30"/>
        <v>2501.38112470458j</v>
      </c>
      <c r="J133" t="str">
        <f>IMDIV(R_1,IMSUM('Opamp and C Stray Using B (2)'!R_1,IMPRODUCT('Opamp and C Stray Using B (2)'!R_f,IMSUM(1,IMPRODUCT(I133,C_s,R_1)))))</f>
        <v>0.199999871858616-0.000160088289411352j</v>
      </c>
      <c r="K133">
        <f t="shared" si="31"/>
        <v>-13.979402869276063</v>
      </c>
      <c r="L133">
        <f t="shared" si="32"/>
        <v>-4.5861936253071618E-2</v>
      </c>
      <c r="M133">
        <f t="shared" si="33"/>
        <v>0.19999987185861601</v>
      </c>
      <c r="N133">
        <f t="shared" si="34"/>
        <v>-1.60088289411352E-4</v>
      </c>
      <c r="O133" t="str">
        <f t="shared" si="28"/>
        <v>630.559488339888-25103.0253768655j</v>
      </c>
      <c r="P133">
        <f t="shared" si="35"/>
        <v>87.997260651185002</v>
      </c>
      <c r="Q133">
        <f t="shared" si="36"/>
        <v>-88.561097666346328</v>
      </c>
      <c r="R133">
        <f t="shared" si="37"/>
        <v>74.017857781908944</v>
      </c>
      <c r="S133">
        <f t="shared" si="38"/>
        <v>91.393040397400597</v>
      </c>
    </row>
    <row r="134" spans="7:19" x14ac:dyDescent="0.25">
      <c r="G134">
        <f t="shared" si="29"/>
        <v>1.6200000000000017</v>
      </c>
      <c r="H134">
        <f t="shared" si="27"/>
        <v>416.86938347033708</v>
      </c>
      <c r="I134" t="str">
        <f t="shared" si="30"/>
        <v>2619.26758523383j</v>
      </c>
      <c r="J134" t="str">
        <f>IMDIV(R_1,IMSUM('Opamp and C Stray Using B (2)'!R_1,IMPRODUCT('Opamp and C Stray Using B (2)'!R_f,IMSUM(1,IMPRODUCT(I134,C_s,R_1)))))</f>
        <v>0.199999859495775-0.000167633007689153j</v>
      </c>
      <c r="K134">
        <f t="shared" si="31"/>
        <v>-13.979403137731927</v>
      </c>
      <c r="L134">
        <f t="shared" si="32"/>
        <v>-4.8023341729972864E-2</v>
      </c>
      <c r="M134">
        <f t="shared" si="33"/>
        <v>0.19999985949577501</v>
      </c>
      <c r="N134">
        <f t="shared" si="34"/>
        <v>-1.6763300768915301E-4</v>
      </c>
      <c r="O134" t="str">
        <f t="shared" si="28"/>
        <v>575.10899665216-23974.5332862629j</v>
      </c>
      <c r="P134">
        <f t="shared" si="35"/>
        <v>87.597501614871817</v>
      </c>
      <c r="Q134">
        <f t="shared" si="36"/>
        <v>-88.625833522820344</v>
      </c>
      <c r="R134">
        <f t="shared" si="37"/>
        <v>73.618098477139895</v>
      </c>
      <c r="S134">
        <f t="shared" si="38"/>
        <v>91.326143135449684</v>
      </c>
    </row>
    <row r="135" spans="7:19" x14ac:dyDescent="0.25">
      <c r="G135">
        <f t="shared" si="29"/>
        <v>1.6400000000000017</v>
      </c>
      <c r="H135">
        <f t="shared" si="27"/>
        <v>436.51583224016781</v>
      </c>
      <c r="I135" t="str">
        <f t="shared" si="30"/>
        <v>2742.70986348269j</v>
      </c>
      <c r="J135" t="str">
        <f>IMDIV(R_1,IMSUM('Opamp and C Stray Using B (2)'!R_1,IMPRODUCT('Opamp and C Stray Using B (2)'!R_f,IMSUM(1,IMPRODUCT(I135,C_s,R_1)))))</f>
        <v>0.199999845940191-0.000175533296049659j</v>
      </c>
      <c r="K135">
        <f t="shared" si="31"/>
        <v>-13.979403432087917</v>
      </c>
      <c r="L135">
        <f t="shared" si="32"/>
        <v>-5.0286610962150938E-2</v>
      </c>
      <c r="M135">
        <f t="shared" si="33"/>
        <v>0.19999984594019099</v>
      </c>
      <c r="N135">
        <f t="shared" si="34"/>
        <v>-1.7553329604965901E-4</v>
      </c>
      <c r="O135" t="str">
        <f t="shared" si="28"/>
        <v>524.532181847593-22896.6601895953j</v>
      </c>
      <c r="P135">
        <f t="shared" si="35"/>
        <v>87.197721388023467</v>
      </c>
      <c r="Q135">
        <f t="shared" si="36"/>
        <v>-88.687659064051573</v>
      </c>
      <c r="R135">
        <f t="shared" si="37"/>
        <v>73.218317955935547</v>
      </c>
      <c r="S135">
        <f t="shared" si="38"/>
        <v>91.262054324986281</v>
      </c>
    </row>
    <row r="136" spans="7:19" x14ac:dyDescent="0.25">
      <c r="G136">
        <f t="shared" si="29"/>
        <v>1.6600000000000017</v>
      </c>
      <c r="H136">
        <f t="shared" si="27"/>
        <v>457.08818961487691</v>
      </c>
      <c r="I136" t="str">
        <f t="shared" si="30"/>
        <v>2871.96979707351j</v>
      </c>
      <c r="J136" t="str">
        <f>IMDIV(R_1,IMSUM('Opamp and C Stray Using B (2)'!R_1,IMPRODUCT('Opamp and C Stray Using B (2)'!R_f,IMSUM(1,IMPRODUCT(I136,C_s,R_1)))))</f>
        <v>0.199999831076791-0.000183805911767151j</v>
      </c>
      <c r="K136">
        <f t="shared" si="31"/>
        <v>-13.97940375484281</v>
      </c>
      <c r="L136">
        <f t="shared" si="32"/>
        <v>-5.2656544618770409E-2</v>
      </c>
      <c r="M136">
        <f t="shared" si="33"/>
        <v>0.19999983107679101</v>
      </c>
      <c r="N136">
        <f t="shared" si="34"/>
        <v>-1.83805911767151E-4</v>
      </c>
      <c r="O136" t="str">
        <f t="shared" si="28"/>
        <v>478.401115152721-21867.1499634896j</v>
      </c>
      <c r="P136">
        <f t="shared" si="35"/>
        <v>86.797921833217202</v>
      </c>
      <c r="Q136">
        <f t="shared" si="36"/>
        <v>-88.746704853079208</v>
      </c>
      <c r="R136">
        <f t="shared" si="37"/>
        <v>72.818518078374396</v>
      </c>
      <c r="S136">
        <f t="shared" si="38"/>
        <v>91.200638602302021</v>
      </c>
    </row>
    <row r="137" spans="7:19" x14ac:dyDescent="0.25">
      <c r="G137">
        <f t="shared" si="29"/>
        <v>1.6800000000000017</v>
      </c>
      <c r="H137">
        <f t="shared" si="27"/>
        <v>478.63009232264039</v>
      </c>
      <c r="I137" t="str">
        <f t="shared" si="30"/>
        <v>3007.32156365562j</v>
      </c>
      <c r="J137" t="str">
        <f>IMDIV(R_1,IMSUM('Opamp and C Stray Using B (2)'!R_1,IMPRODUCT('Opamp and C Stray Using B (2)'!R_f,IMSUM(1,IMPRODUCT(I137,C_s,R_1)))))</f>
        <v>0.1999998147794-0.00019246840182823j</v>
      </c>
      <c r="K137">
        <f t="shared" si="31"/>
        <v>-13.979404108736464</v>
      </c>
      <c r="L137">
        <f t="shared" si="32"/>
        <v>-5.5138169614348392E-2</v>
      </c>
      <c r="M137">
        <f t="shared" si="33"/>
        <v>0.19999981477939999</v>
      </c>
      <c r="N137">
        <f t="shared" si="34"/>
        <v>-1.9246840182823001E-4</v>
      </c>
      <c r="O137" t="str">
        <f t="shared" si="28"/>
        <v>436.325369308452-20883.8451794814j</v>
      </c>
      <c r="P137">
        <f t="shared" si="35"/>
        <v>86.398104649473083</v>
      </c>
      <c r="Q137">
        <f t="shared" si="36"/>
        <v>-88.80309563112489</v>
      </c>
      <c r="R137">
        <f t="shared" si="37"/>
        <v>72.418700540736623</v>
      </c>
      <c r="S137">
        <f t="shared" si="38"/>
        <v>91.141766199260758</v>
      </c>
    </row>
    <row r="138" spans="7:19" x14ac:dyDescent="0.25">
      <c r="G138">
        <f t="shared" si="29"/>
        <v>1.7000000000000017</v>
      </c>
      <c r="H138">
        <f t="shared" si="27"/>
        <v>501.1872336272744</v>
      </c>
      <c r="I138" t="str">
        <f t="shared" si="30"/>
        <v>3149.05226247287j</v>
      </c>
      <c r="J138" t="str">
        <f>IMDIV(R_1,IMSUM('Opamp and C Stray Using B (2)'!R_1,IMPRODUCT('Opamp and C Stray Using B (2)'!R_f,IMSUM(1,IMPRODUCT(I138,C_s,R_1)))))</f>
        <v>0.199999796909669-0.000201539140144803j</v>
      </c>
      <c r="K138">
        <f t="shared" si="31"/>
        <v>-13.979404496773114</v>
      </c>
      <c r="L138">
        <f t="shared" si="32"/>
        <v>-5.7736749770888156E-2</v>
      </c>
      <c r="M138">
        <f t="shared" si="33"/>
        <v>0.19999979690966899</v>
      </c>
      <c r="N138">
        <f t="shared" si="34"/>
        <v>-2.01539140144803E-4</v>
      </c>
      <c r="O138" t="str">
        <f t="shared" si="28"/>
        <v>397.948744304874-19944.6830283607j</v>
      </c>
      <c r="P138">
        <f t="shared" si="35"/>
        <v>85.998271386590062</v>
      </c>
      <c r="Q138">
        <f t="shared" si="36"/>
        <v>-88.856950572599075</v>
      </c>
      <c r="R138">
        <f t="shared" si="37"/>
        <v>72.018866889816948</v>
      </c>
      <c r="S138">
        <f t="shared" si="38"/>
        <v>91.085312677630043</v>
      </c>
    </row>
    <row r="139" spans="7:19" x14ac:dyDescent="0.25">
      <c r="G139">
        <f t="shared" si="29"/>
        <v>1.7200000000000017</v>
      </c>
      <c r="H139">
        <f t="shared" si="27"/>
        <v>524.80746024977498</v>
      </c>
      <c r="I139" t="str">
        <f t="shared" si="30"/>
        <v>3297.46252333962j</v>
      </c>
      <c r="J139" t="str">
        <f>IMDIV(R_1,IMSUM('Opamp and C Stray Using B (2)'!R_1,IMPRODUCT('Opamp and C Stray Using B (2)'!R_f,IMSUM(1,IMPRODUCT(I139,C_s,R_1)))))</f>
        <v>0.199999777315902-0.000211037366520146j</v>
      </c>
      <c r="K139">
        <f t="shared" si="31"/>
        <v>-13.979404922246809</v>
      </c>
      <c r="L139">
        <f t="shared" si="32"/>
        <v>-6.0457796982439069E-2</v>
      </c>
      <c r="M139">
        <f t="shared" si="33"/>
        <v>0.19999977731590199</v>
      </c>
      <c r="N139">
        <f t="shared" si="34"/>
        <v>-2.1103736652014601E-4</v>
      </c>
      <c r="O139" t="str">
        <f t="shared" si="28"/>
        <v>362.94627694188-19047.6913808979j</v>
      </c>
      <c r="P139">
        <f t="shared" si="35"/>
        <v>85.598423458229604</v>
      </c>
      <c r="Q139">
        <f t="shared" si="36"/>
        <v>-88.908383529533324</v>
      </c>
      <c r="R139">
        <f t="shared" si="37"/>
        <v>71.619018535982789</v>
      </c>
      <c r="S139">
        <f t="shared" si="38"/>
        <v>91.031158673484242</v>
      </c>
    </row>
    <row r="140" spans="7:19" x14ac:dyDescent="0.25">
      <c r="G140">
        <f t="shared" si="29"/>
        <v>1.7400000000000018</v>
      </c>
      <c r="H140">
        <f t="shared" si="27"/>
        <v>549.54087385762716</v>
      </c>
      <c r="I140" t="str">
        <f t="shared" si="30"/>
        <v>3452.86714431687j</v>
      </c>
      <c r="J140" t="str">
        <f>IMDIV(R_1,IMSUM('Opamp and C Stray Using B (2)'!R_1,IMPRODUCT('Opamp and C Stray Using B (2)'!R_f,IMSUM(1,IMPRODUCT(I140,C_s,R_1)))))</f>
        <v>0.199999755831768-0.000220983227450531j</v>
      </c>
      <c r="K140">
        <f t="shared" si="31"/>
        <v>-13.979405388769401</v>
      </c>
      <c r="L140">
        <f t="shared" si="32"/>
        <v>-6.3307082905744799E-2</v>
      </c>
      <c r="M140">
        <f t="shared" si="33"/>
        <v>0.19999975583176799</v>
      </c>
      <c r="N140">
        <f t="shared" si="34"/>
        <v>-2.2098322745053099E-4</v>
      </c>
      <c r="O140" t="str">
        <f t="shared" si="28"/>
        <v>331.021509958761-18190.9849848409j</v>
      </c>
      <c r="P140">
        <f t="shared" si="35"/>
        <v>85.198562153856187</v>
      </c>
      <c r="Q140">
        <f t="shared" si="36"/>
        <v>-88.957503265798508</v>
      </c>
      <c r="R140">
        <f t="shared" si="37"/>
        <v>71.21915676508678</v>
      </c>
      <c r="S140">
        <f t="shared" si="38"/>
        <v>90.979189651295741</v>
      </c>
    </row>
    <row r="141" spans="7:19" x14ac:dyDescent="0.25">
      <c r="G141">
        <f t="shared" si="29"/>
        <v>1.7600000000000018</v>
      </c>
      <c r="H141">
        <f t="shared" si="27"/>
        <v>575.43993733715956</v>
      </c>
      <c r="I141" t="str">
        <f t="shared" si="30"/>
        <v>3615.59575944118j</v>
      </c>
      <c r="J141" t="str">
        <f>IMDIV(R_1,IMSUM('Opamp and C Stray Using B (2)'!R_1,IMPRODUCT('Opamp and C Stray Using B (2)'!R_f,IMSUM(1,IMPRODUCT(I141,C_s,R_1)))))</f>
        <v>0.199999732274889-0.000231397818848787j</v>
      </c>
      <c r="K141">
        <f t="shared" si="31"/>
        <v>-13.979405900301181</v>
      </c>
      <c r="L141">
        <f t="shared" si="32"/>
        <v>-6.6290651201758366E-2</v>
      </c>
      <c r="M141">
        <f t="shared" si="33"/>
        <v>0.19999973227488901</v>
      </c>
      <c r="N141">
        <f t="shared" si="34"/>
        <v>-2.31397818848787E-4</v>
      </c>
      <c r="O141" t="str">
        <f t="shared" si="28"/>
        <v>301.903998490236-17372.7617973059j</v>
      </c>
      <c r="P141">
        <f t="shared" si="35"/>
        <v>84.79868864963295</v>
      </c>
      <c r="Q141">
        <f t="shared" si="36"/>
        <v>-89.004413681467398</v>
      </c>
      <c r="R141">
        <f t="shared" si="37"/>
        <v>70.819282749331762</v>
      </c>
      <c r="S141">
        <f t="shared" si="38"/>
        <v>90.929295667330848</v>
      </c>
    </row>
    <row r="142" spans="7:19" x14ac:dyDescent="0.25">
      <c r="G142">
        <f t="shared" si="29"/>
        <v>1.7800000000000018</v>
      </c>
      <c r="H142">
        <f t="shared" si="27"/>
        <v>602.55958607436037</v>
      </c>
      <c r="I142" t="str">
        <f t="shared" si="30"/>
        <v>3785.99353792263j</v>
      </c>
      <c r="J142" t="str">
        <f>IMDIV(R_1,IMSUM('Opamp and C Stray Using B (2)'!R_1,IMPRODUCT('Opamp and C Stray Using B (2)'!R_f,IMSUM(1,IMPRODUCT(I142,C_s,R_1)))))</f>
        <v>0.199999706445291-0.000242303230780254j</v>
      </c>
      <c r="K142">
        <f t="shared" si="31"/>
        <v>-13.979406461184565</v>
      </c>
      <c r="L142">
        <f t="shared" si="32"/>
        <v>-6.9414830353979037E-2</v>
      </c>
      <c r="M142">
        <f t="shared" si="33"/>
        <v>0.199999706445291</v>
      </c>
      <c r="N142">
        <f t="shared" si="34"/>
        <v>-2.4230323078025401E-4</v>
      </c>
      <c r="O142" t="str">
        <f t="shared" si="28"/>
        <v>275.34703346352-16591.2994510582j</v>
      </c>
      <c r="P142">
        <f t="shared" si="35"/>
        <v>84.398804018365013</v>
      </c>
      <c r="Q142">
        <f t="shared" si="36"/>
        <v>-89.049214027676982</v>
      </c>
      <c r="R142">
        <f t="shared" si="37"/>
        <v>70.419397557180446</v>
      </c>
      <c r="S142">
        <f t="shared" si="38"/>
        <v>90.881371141969041</v>
      </c>
    </row>
    <row r="143" spans="7:19" x14ac:dyDescent="0.25">
      <c r="G143">
        <f t="shared" si="29"/>
        <v>1.8000000000000018</v>
      </c>
      <c r="H143">
        <f t="shared" si="27"/>
        <v>630.95734448019641</v>
      </c>
      <c r="I143" t="str">
        <f t="shared" si="30"/>
        <v>3964.42191629502j</v>
      </c>
      <c r="J143" t="str">
        <f>IMDIV(R_1,IMSUM('Opamp and C Stray Using B (2)'!R_1,IMPRODUCT('Opamp and C Stray Using B (2)'!R_f,IMSUM(1,IMPRODUCT(I143,C_s,R_1)))))</f>
        <v>0.199999678123708-0.000253722594305785j</v>
      </c>
      <c r="K143">
        <f t="shared" si="31"/>
        <v>-13.979407076180868</v>
      </c>
      <c r="L143">
        <f t="shared" si="32"/>
        <v>-7.2686247090773135E-2</v>
      </c>
      <c r="M143">
        <f t="shared" si="33"/>
        <v>0.199999678123708</v>
      </c>
      <c r="N143">
        <f t="shared" si="34"/>
        <v>-2.5372259430578499E-4</v>
      </c>
      <c r="O143" t="str">
        <f t="shared" si="28"/>
        <v>251.125563261459-15844.9518526544j</v>
      </c>
      <c r="P143">
        <f t="shared" si="35"/>
        <v>83.998909238571287</v>
      </c>
      <c r="Q143">
        <f t="shared" si="36"/>
        <v>-89.091999112341426</v>
      </c>
      <c r="R143">
        <f t="shared" si="37"/>
        <v>70.019502162390424</v>
      </c>
      <c r="S143">
        <f t="shared" si="38"/>
        <v>90.835314640567802</v>
      </c>
    </row>
    <row r="144" spans="7:19" x14ac:dyDescent="0.25">
      <c r="G144">
        <f t="shared" si="29"/>
        <v>1.8200000000000018</v>
      </c>
      <c r="H144">
        <f t="shared" si="27"/>
        <v>660.69344800759927</v>
      </c>
      <c r="I144" t="str">
        <f t="shared" si="30"/>
        <v>4151.25936507117j</v>
      </c>
      <c r="J144" t="str">
        <f>IMDIV(R_1,IMSUM('Opamp and C Stray Using B (2)'!R_1,IMPRODUCT('Opamp and C Stray Using B (2)'!R_f,IMSUM(1,IMPRODUCT(I144,C_s,R_1)))))</f>
        <v>0.199999647069718-0.000265680130530911j</v>
      </c>
      <c r="K144">
        <f t="shared" si="31"/>
        <v>-13.979407750510845</v>
      </c>
      <c r="L144">
        <f t="shared" si="32"/>
        <v>-7.6111840440128864E-2</v>
      </c>
      <c r="M144">
        <f t="shared" si="33"/>
        <v>0.19999964706971801</v>
      </c>
      <c r="N144">
        <f t="shared" si="34"/>
        <v>-2.6568013053091102E-4</v>
      </c>
      <c r="O144" t="str">
        <f t="shared" si="28"/>
        <v>229.03429655064-15132.1459100038j</v>
      </c>
      <c r="P144">
        <f t="shared" si="35"/>
        <v>83.599005202762683</v>
      </c>
      <c r="Q144">
        <f t="shared" si="36"/>
        <v>-89.132859497060153</v>
      </c>
      <c r="R144">
        <f t="shared" si="37"/>
        <v>69.619597452251838</v>
      </c>
      <c r="S144">
        <f t="shared" si="38"/>
        <v>90.791028662499713</v>
      </c>
    </row>
    <row r="145" spans="7:19" x14ac:dyDescent="0.25">
      <c r="G145">
        <f t="shared" si="29"/>
        <v>1.8400000000000019</v>
      </c>
      <c r="H145">
        <f t="shared" si="27"/>
        <v>691.83097091893967</v>
      </c>
      <c r="I145" t="str">
        <f t="shared" si="30"/>
        <v>4346.90219152967j</v>
      </c>
      <c r="J145" t="str">
        <f>IMDIV(R_1,IMSUM('Opamp and C Stray Using B (2)'!R_1,IMPRODUCT('Opamp and C Stray Using B (2)'!R_f,IMSUM(1,IMPRODUCT(I145,C_s,R_1)))))</f>
        <v>0.199999613019707-0.000278201201964945j</v>
      </c>
      <c r="K145">
        <f t="shared" si="31"/>
        <v>-13.979408489898805</v>
      </c>
      <c r="L145">
        <f t="shared" si="32"/>
        <v>-7.9698876446631622E-2</v>
      </c>
      <c r="M145">
        <f t="shared" si="33"/>
        <v>0.19999961301970701</v>
      </c>
      <c r="N145">
        <f t="shared" si="34"/>
        <v>-2.7820120196494499E-4</v>
      </c>
      <c r="O145" t="str">
        <f t="shared" si="28"/>
        <v>208.885970620381-14451.3783865643j</v>
      </c>
      <c r="P145">
        <f t="shared" si="35"/>
        <v>83.199092724994244</v>
      </c>
      <c r="Q145">
        <f t="shared" si="36"/>
        <v>-89.171881685559157</v>
      </c>
      <c r="R145">
        <f t="shared" si="37"/>
        <v>69.219684235095443</v>
      </c>
      <c r="S145">
        <f t="shared" si="38"/>
        <v>90.748419437994215</v>
      </c>
    </row>
    <row r="146" spans="7:19" x14ac:dyDescent="0.25">
      <c r="G146">
        <f t="shared" si="29"/>
        <v>1.8600000000000019</v>
      </c>
      <c r="H146">
        <f t="shared" si="27"/>
        <v>724.4359600749932</v>
      </c>
      <c r="I146" t="str">
        <f t="shared" si="30"/>
        <v>4551.76538033573j</v>
      </c>
      <c r="J146" t="str">
        <f>IMDIV(R_1,IMSUM('Opamp and C Stray Using B (2)'!R_1,IMPRODUCT('Opamp and C Stray Using B (2)'!R_f,IMSUM(1,IMPRODUCT(I146,C_s,R_1)))))</f>
        <v>0.199999575684626-0.000291312366298597j</v>
      </c>
      <c r="K146">
        <f t="shared" si="31"/>
        <v>-13.979409300621423</v>
      </c>
      <c r="L146">
        <f t="shared" si="32"/>
        <v>-8.345496358184043E-2</v>
      </c>
      <c r="M146">
        <f t="shared" si="33"/>
        <v>0.19999957568462601</v>
      </c>
      <c r="N146">
        <f t="shared" si="34"/>
        <v>-2.9131236629859698E-4</v>
      </c>
      <c r="O146" t="str">
        <f t="shared" si="28"/>
        <v>190.509770907838-13801.2128791287j</v>
      </c>
      <c r="P146">
        <f t="shared" si="35"/>
        <v>82.799172547756086</v>
      </c>
      <c r="Q146">
        <f t="shared" si="36"/>
        <v>-89.209148303995761</v>
      </c>
      <c r="R146">
        <f t="shared" si="37"/>
        <v>68.819763247134659</v>
      </c>
      <c r="S146">
        <f t="shared" si="38"/>
        <v>90.707396732422396</v>
      </c>
    </row>
    <row r="147" spans="7:19" x14ac:dyDescent="0.25">
      <c r="G147">
        <f t="shared" si="29"/>
        <v>1.8800000000000019</v>
      </c>
      <c r="H147">
        <f t="shared" si="27"/>
        <v>758.57757502918776</v>
      </c>
      <c r="I147" t="str">
        <f t="shared" si="30"/>
        <v>4766.28347377931j</v>
      </c>
      <c r="J147" t="str">
        <f>IMDIV(R_1,IMSUM('Opamp and C Stray Using B (2)'!R_1,IMPRODUCT('Opamp and C Stray Using B (2)'!R_f,IMSUM(1,IMPRODUCT(I147,C_s,R_1)))))</f>
        <v>0.199999534747539-0.000305041432713839j</v>
      </c>
      <c r="K147">
        <f t="shared" si="31"/>
        <v>-13.979410189560957</v>
      </c>
      <c r="L147">
        <f t="shared" si="32"/>
        <v>-8.7388068880723396E-2</v>
      </c>
      <c r="M147">
        <f t="shared" si="33"/>
        <v>0.19999953474753901</v>
      </c>
      <c r="N147">
        <f t="shared" si="34"/>
        <v>-3.0504143271383903E-4</v>
      </c>
      <c r="O147" t="str">
        <f t="shared" si="28"/>
        <v>173.749888604895-13180.2769159492j</v>
      </c>
      <c r="P147">
        <f t="shared" si="35"/>
        <v>82.399245348259186</v>
      </c>
      <c r="Q147">
        <f t="shared" si="36"/>
        <v>-89.244738273448277</v>
      </c>
      <c r="R147">
        <f t="shared" si="37"/>
        <v>68.419835158698234</v>
      </c>
      <c r="S147">
        <f t="shared" si="38"/>
        <v>90.667873657670995</v>
      </c>
    </row>
    <row r="148" spans="7:19" x14ac:dyDescent="0.25">
      <c r="G148">
        <f t="shared" si="29"/>
        <v>1.9000000000000019</v>
      </c>
      <c r="H148">
        <f t="shared" si="27"/>
        <v>794.32823472428538</v>
      </c>
      <c r="I148" t="str">
        <f t="shared" si="30"/>
        <v>4990.91149349753j</v>
      </c>
      <c r="J148" t="str">
        <f>IMDIV(R_1,IMSUM('Opamp and C Stray Using B (2)'!R_1,IMPRODUCT('Opamp and C Stray Using B (2)'!R_f,IMSUM(1,IMPRODUCT(I148,C_s,R_1)))))</f>
        <v>0.199999489860936-0.000319417520844987j</v>
      </c>
      <c r="K148">
        <f t="shared" si="31"/>
        <v>-13.979411164263523</v>
      </c>
      <c r="L148">
        <f t="shared" si="32"/>
        <v>-9.1506534838328407E-2</v>
      </c>
      <c r="M148">
        <f t="shared" si="33"/>
        <v>0.19999948986093599</v>
      </c>
      <c r="N148">
        <f t="shared" si="34"/>
        <v>-3.1941752084498699E-4</v>
      </c>
      <c r="O148" t="str">
        <f t="shared" si="28"/>
        <v>158.464204362235-12587.2591718043j</v>
      </c>
      <c r="P148">
        <f t="shared" si="35"/>
        <v>81.999311744171223</v>
      </c>
      <c r="Q148">
        <f t="shared" si="36"/>
        <v>-89.278726974904188</v>
      </c>
      <c r="R148">
        <f t="shared" si="37"/>
        <v>68.019900579907699</v>
      </c>
      <c r="S148">
        <f t="shared" si="38"/>
        <v>90.629766490257481</v>
      </c>
    </row>
    <row r="149" spans="7:19" x14ac:dyDescent="0.25">
      <c r="G149">
        <f t="shared" si="29"/>
        <v>1.9200000000000019</v>
      </c>
      <c r="H149">
        <f t="shared" si="27"/>
        <v>831.76377110267492</v>
      </c>
      <c r="I149" t="str">
        <f t="shared" si="30"/>
        <v>5226.12590563661j</v>
      </c>
      <c r="J149" t="str">
        <f>IMDIV(R_1,IMSUM('Opamp and C Stray Using B (2)'!R_1,IMPRODUCT('Opamp and C Stray Using B (2)'!R_f,IMSUM(1,IMPRODUCT(I149,C_s,R_1)))))</f>
        <v>0.199999440643777-0.000334471122515607j</v>
      </c>
      <c r="K149">
        <f t="shared" si="31"/>
        <v>-13.979412233003409</v>
      </c>
      <c r="L149">
        <f t="shared" si="32"/>
        <v>-9.581909710249753E-2</v>
      </c>
      <c r="M149">
        <f t="shared" si="33"/>
        <v>0.199999440643777</v>
      </c>
      <c r="N149">
        <f t="shared" si="34"/>
        <v>-3.3447112251560701E-4</v>
      </c>
      <c r="O149" t="str">
        <f t="shared" si="28"/>
        <v>144.523087132798-12020.9067964977j</v>
      </c>
      <c r="P149">
        <f t="shared" si="35"/>
        <v>81.59937229884774</v>
      </c>
      <c r="Q149">
        <f t="shared" si="36"/>
        <v>-89.311186407050343</v>
      </c>
      <c r="R149">
        <f t="shared" si="37"/>
        <v>67.619960065844339</v>
      </c>
      <c r="S149">
        <f t="shared" si="38"/>
        <v>90.592994495847165</v>
      </c>
    </row>
    <row r="150" spans="7:19" x14ac:dyDescent="0.25">
      <c r="G150">
        <f t="shared" si="29"/>
        <v>1.9400000000000019</v>
      </c>
      <c r="H150">
        <f t="shared" si="27"/>
        <v>870.96358995608455</v>
      </c>
      <c r="I150" t="str">
        <f t="shared" si="30"/>
        <v>5472.42563150046j</v>
      </c>
      <c r="J150" t="str">
        <f>IMDIV(R_1,IMSUM('Opamp and C Stray Using B (2)'!R_1,IMPRODUCT('Opamp and C Stray Using B (2)'!R_f,IMSUM(1,IMPRODUCT(I150,C_s,R_1)))))</f>
        <v>0.199999386678263-0.000350234166381598j</v>
      </c>
      <c r="K150">
        <f t="shared" si="31"/>
        <v>-13.979413404853091</v>
      </c>
      <c r="L150">
        <f t="shared" si="32"/>
        <v>-0.10033490300008159</v>
      </c>
      <c r="M150">
        <f t="shared" si="33"/>
        <v>0.199999386678263</v>
      </c>
      <c r="N150">
        <f t="shared" si="34"/>
        <v>-3.50234166381598E-4</v>
      </c>
      <c r="O150" t="str">
        <f t="shared" si="28"/>
        <v>131.808298137918-11480.0228532203j</v>
      </c>
      <c r="P150">
        <f t="shared" si="35"/>
        <v>81.199427526105254</v>
      </c>
      <c r="Q150">
        <f t="shared" si="36"/>
        <v>-89.342185337160018</v>
      </c>
      <c r="R150">
        <f t="shared" si="37"/>
        <v>67.220014121252163</v>
      </c>
      <c r="S150">
        <f t="shared" si="38"/>
        <v>90.557479759839907</v>
      </c>
    </row>
    <row r="151" spans="7:19" x14ac:dyDescent="0.25">
      <c r="G151">
        <f t="shared" si="29"/>
        <v>1.960000000000002</v>
      </c>
      <c r="H151">
        <f t="shared" si="27"/>
        <v>912.01083935591453</v>
      </c>
      <c r="I151" t="str">
        <f t="shared" si="30"/>
        <v>5730.3331058296j</v>
      </c>
      <c r="J151" t="str">
        <f>IMDIV(R_1,IMSUM('Opamp and C Stray Using B (2)'!R_1,IMPRODUCT('Opamp and C Stray Using B (2)'!R_f,IMSUM(1,IMPRODUCT(I151,C_s,R_1)))))</f>
        <v>0.199999327506287-0.000366740085616938j</v>
      </c>
      <c r="K151">
        <f t="shared" si="31"/>
        <v>-13.979414689760358</v>
      </c>
      <c r="L151">
        <f t="shared" si="32"/>
        <v>-0.10506353093590402</v>
      </c>
      <c r="M151">
        <f t="shared" si="33"/>
        <v>0.19999932750628699</v>
      </c>
      <c r="N151">
        <f t="shared" si="34"/>
        <v>-3.6674008561693802E-4</v>
      </c>
      <c r="O151" t="str">
        <f t="shared" si="28"/>
        <v>120.211990801625-10963.4638631635j</v>
      </c>
      <c r="P151">
        <f t="shared" si="35"/>
        <v>80.799477894575034</v>
      </c>
      <c r="Q151">
        <f t="shared" si="36"/>
        <v>-89.371789445361927</v>
      </c>
      <c r="R151">
        <f t="shared" si="37"/>
        <v>66.820063204814673</v>
      </c>
      <c r="S151">
        <f t="shared" si="38"/>
        <v>90.523147023702165</v>
      </c>
    </row>
    <row r="152" spans="7:19" x14ac:dyDescent="0.25">
      <c r="G152">
        <f t="shared" si="29"/>
        <v>1.980000000000002</v>
      </c>
      <c r="H152">
        <f t="shared" si="27"/>
        <v>954.99258602144084</v>
      </c>
      <c r="I152" t="str">
        <f t="shared" si="30"/>
        <v>6000.39538495535j</v>
      </c>
      <c r="J152" t="str">
        <f>IMDIV(R_1,IMSUM('Opamp and C Stray Using B (2)'!R_1,IMPRODUCT('Opamp and C Stray Using B (2)'!R_f,IMSUM(1,IMPRODUCT(I152,C_s,R_1)))))</f>
        <v>0.199999262625546-0.000384023888784895j</v>
      </c>
      <c r="K152">
        <f t="shared" si="31"/>
        <v>-13.979416098632708</v>
      </c>
      <c r="L152">
        <f t="shared" si="32"/>
        <v>-0.11001501070553998</v>
      </c>
      <c r="M152">
        <f t="shared" si="33"/>
        <v>0.19999926262554599</v>
      </c>
      <c r="N152">
        <f t="shared" si="34"/>
        <v>-3.8402388878489501E-4</v>
      </c>
      <c r="O152" t="str">
        <f t="shared" si="28"/>
        <v>109.635798288084-10470.1374527662j</v>
      </c>
      <c r="P152">
        <f t="shared" si="35"/>
        <v>80.399523831674799</v>
      </c>
      <c r="Q152">
        <f t="shared" si="36"/>
        <v>-89.400061462566626</v>
      </c>
      <c r="R152">
        <f t="shared" si="37"/>
        <v>66.420107733042087</v>
      </c>
      <c r="S152">
        <f t="shared" si="38"/>
        <v>90.489923526727836</v>
      </c>
    </row>
    <row r="153" spans="7:19" x14ac:dyDescent="0.25">
      <c r="G153">
        <f t="shared" si="29"/>
        <v>2.0000000000000018</v>
      </c>
      <c r="H153">
        <f t="shared" si="27"/>
        <v>1000.0000000000048</v>
      </c>
      <c r="I153" t="str">
        <f t="shared" si="30"/>
        <v>6283.18530717962j</v>
      </c>
      <c r="J153" t="str">
        <f>IMDIV(R_1,IMSUM('Opamp and C Stray Using B (2)'!R_1,IMPRODUCT('Opamp and C Stray Using B (2)'!R_f,IMSUM(1,IMPRODUCT(I153,C_s,R_1)))))</f>
        <v>0.199999191485276-0.000402122234044189j</v>
      </c>
      <c r="K153">
        <f t="shared" si="31"/>
        <v>-13.979417643430022</v>
      </c>
      <c r="L153">
        <f t="shared" si="32"/>
        <v>-0.11519984476492266</v>
      </c>
      <c r="M153">
        <f t="shared" si="33"/>
        <v>0.19999919148527601</v>
      </c>
      <c r="N153">
        <f t="shared" si="34"/>
        <v>-4.0212223404418901E-4</v>
      </c>
      <c r="O153" t="str">
        <f t="shared" si="28"/>
        <v>99.990000999898-9999.0000999899j</v>
      </c>
      <c r="P153">
        <f t="shared" si="35"/>
        <v>79.999565727231285</v>
      </c>
      <c r="Q153">
        <f t="shared" si="36"/>
        <v>-89.427061302316517</v>
      </c>
      <c r="R153">
        <f t="shared" si="37"/>
        <v>66.02014808380126</v>
      </c>
      <c r="S153">
        <f t="shared" si="38"/>
        <v>90.457738852918567</v>
      </c>
    </row>
    <row r="154" spans="7:19" x14ac:dyDescent="0.25">
      <c r="G154">
        <f t="shared" si="29"/>
        <v>2.0200000000000018</v>
      </c>
      <c r="H154">
        <f t="shared" si="27"/>
        <v>1047.1285480509046</v>
      </c>
      <c r="I154" t="str">
        <f t="shared" si="30"/>
        <v>6579.30270784174j</v>
      </c>
      <c r="J154" t="str">
        <f>IMDIV(R_1,IMSUM('Opamp and C Stray Using B (2)'!R_1,IMPRODUCT('Opamp and C Stray Using B (2)'!R_f,IMSUM(1,IMPRODUCT(I154,C_s,R_1)))))</f>
        <v>0.19999911348158-0.000421073506846498j</v>
      </c>
      <c r="K154">
        <f t="shared" si="31"/>
        <v>-13.979419337265927</v>
      </c>
      <c r="L154">
        <f t="shared" si="32"/>
        <v>-0.12062903050178889</v>
      </c>
      <c r="M154">
        <f t="shared" si="33"/>
        <v>0.19999911348158</v>
      </c>
      <c r="N154">
        <f t="shared" si="34"/>
        <v>-4.2107350684649798E-4</v>
      </c>
      <c r="O154" t="str">
        <f t="shared" si="28"/>
        <v>91.1927670563865-9549.05497604989j</v>
      </c>
      <c r="P154">
        <f t="shared" si="35"/>
        <v>79.599603936785371</v>
      </c>
      <c r="Q154">
        <f t="shared" si="36"/>
        <v>-89.452846186815975</v>
      </c>
      <c r="R154">
        <f t="shared" si="37"/>
        <v>65.620184599519447</v>
      </c>
      <c r="S154">
        <f t="shared" si="38"/>
        <v>90.426524782682236</v>
      </c>
    </row>
    <row r="155" spans="7:19" x14ac:dyDescent="0.25">
      <c r="G155">
        <f t="shared" si="29"/>
        <v>2.0400000000000018</v>
      </c>
      <c r="H155">
        <f t="shared" si="27"/>
        <v>1096.47819614319</v>
      </c>
      <c r="I155" t="str">
        <f t="shared" si="30"/>
        <v>6889.37569164967j</v>
      </c>
      <c r="J155" t="str">
        <f>IMDIV(R_1,IMSUM('Opamp and C Stray Using B (2)'!R_1,IMPRODUCT('Opamp and C Stray Using B (2)'!R_f,IMSUM(1,IMPRODUCT(I155,C_s,R_1)))))</f>
        <v>0.199999027952297-0.000440917901288999j</v>
      </c>
      <c r="K155">
        <f t="shared" si="31"/>
        <v>-13.979421194519354</v>
      </c>
      <c r="L155">
        <f t="shared" si="32"/>
        <v>-0.12631408355610863</v>
      </c>
      <c r="M155">
        <f t="shared" si="33"/>
        <v>0.19999902795229699</v>
      </c>
      <c r="N155">
        <f t="shared" si="34"/>
        <v>-4.4091790128899898E-4</v>
      </c>
      <c r="O155" t="str">
        <f t="shared" si="28"/>
        <v>83.1694593759492-9119.34987907451j</v>
      </c>
      <c r="P155">
        <f t="shared" si="35"/>
        <v>79.199638784606009</v>
      </c>
      <c r="Q155">
        <f t="shared" si="36"/>
        <v>-89.477470767388738</v>
      </c>
      <c r="R155">
        <f t="shared" si="37"/>
        <v>65.220217590086662</v>
      </c>
      <c r="S155">
        <f t="shared" si="38"/>
        <v>90.396215149055152</v>
      </c>
    </row>
    <row r="156" spans="7:19" x14ac:dyDescent="0.25">
      <c r="G156">
        <f t="shared" si="29"/>
        <v>2.0600000000000018</v>
      </c>
      <c r="H156">
        <f t="shared" si="27"/>
        <v>1148.1536214968876</v>
      </c>
      <c r="I156" t="str">
        <f t="shared" si="30"/>
        <v>7214.06196497428j</v>
      </c>
      <c r="J156" t="str">
        <f>IMDIV(R_1,IMSUM('Opamp and C Stray Using B (2)'!R_1,IMPRODUCT('Opamp and C Stray Using B (2)'!R_f,IMSUM(1,IMPRODUCT(I156,C_s,R_1)))))</f>
        <v>0.199998934171388-0.000461697505293184j</v>
      </c>
      <c r="K156">
        <f t="shared" si="31"/>
        <v>-13.979423230956289</v>
      </c>
      <c r="L156">
        <f t="shared" si="32"/>
        <v>-0.13226706223882392</v>
      </c>
      <c r="M156">
        <f t="shared" si="33"/>
        <v>0.199998934171388</v>
      </c>
      <c r="N156">
        <f t="shared" si="34"/>
        <v>-4.6169750529318398E-4</v>
      </c>
      <c r="O156" t="str">
        <f t="shared" si="28"/>
        <v>75.8520035400268-8708.97525622767j</v>
      </c>
      <c r="P156">
        <f t="shared" si="35"/>
        <v>78.7996705664399</v>
      </c>
      <c r="Q156">
        <f t="shared" si="36"/>
        <v>-89.500987239600633</v>
      </c>
      <c r="R156">
        <f t="shared" si="37"/>
        <v>64.820247335483614</v>
      </c>
      <c r="S156">
        <f t="shared" si="38"/>
        <v>90.366745698160543</v>
      </c>
    </row>
    <row r="157" spans="7:19" x14ac:dyDescent="0.25">
      <c r="G157">
        <f t="shared" si="29"/>
        <v>2.0800000000000018</v>
      </c>
      <c r="H157">
        <f t="shared" si="27"/>
        <v>1202.2644346174188</v>
      </c>
      <c r="I157" t="str">
        <f t="shared" si="30"/>
        <v>7554.05023093274j</v>
      </c>
      <c r="J157" t="str">
        <f>IMDIV(R_1,IMSUM('Opamp and C Stray Using B (2)'!R_1,IMPRODUCT('Opamp and C Stray Using B (2)'!R_f,IMSUM(1,IMPRODUCT(I157,C_s,R_1)))))</f>
        <v>0.199998831342767-0.000483456389789155j</v>
      </c>
      <c r="K157">
        <f t="shared" si="31"/>
        <v>-13.979425463863898</v>
      </c>
      <c r="L157">
        <f t="shared" si="32"/>
        <v>-0.13850059310057108</v>
      </c>
      <c r="M157">
        <f t="shared" si="33"/>
        <v>0.199998831342767</v>
      </c>
      <c r="N157">
        <f t="shared" si="34"/>
        <v>-4.83456389789155E-4</v>
      </c>
      <c r="O157" t="str">
        <f t="shared" si="28"/>
        <v>69.1783111220778-8317.06231089729j</v>
      </c>
      <c r="P157">
        <f t="shared" si="35"/>
        <v>78.399699552019712</v>
      </c>
      <c r="Q157">
        <f t="shared" si="36"/>
        <v>-89.523445453276409</v>
      </c>
      <c r="R157">
        <f t="shared" si="37"/>
        <v>64.420274088155821</v>
      </c>
      <c r="S157">
        <f t="shared" si="38"/>
        <v>90.338053953623017</v>
      </c>
    </row>
    <row r="158" spans="7:19" x14ac:dyDescent="0.25">
      <c r="G158">
        <f t="shared" si="29"/>
        <v>2.1000000000000019</v>
      </c>
      <c r="H158">
        <f t="shared" si="27"/>
        <v>1258.9254117941732</v>
      </c>
      <c r="I158" t="str">
        <f t="shared" si="30"/>
        <v>7910.06165022016j</v>
      </c>
      <c r="J158" t="str">
        <f>IMDIV(R_1,IMSUM('Opamp and C Stray Using B (2)'!R_1,IMPRODUCT('Opamp and C Stray Using B (2)'!R_f,IMSUM(1,IMPRODUCT(I158,C_s,R_1)))))</f>
        <v>0.199998718593548-0.000506240702092796j</v>
      </c>
      <c r="K158">
        <f t="shared" si="31"/>
        <v>-13.979427912197069</v>
      </c>
      <c r="L158">
        <f t="shared" si="32"/>
        <v>-0.14502789770442609</v>
      </c>
      <c r="M158">
        <f t="shared" si="33"/>
        <v>0.19999871859354801</v>
      </c>
      <c r="N158">
        <f t="shared" si="34"/>
        <v>-5.0624070209279604E-4</v>
      </c>
      <c r="O158" t="str">
        <f t="shared" si="28"/>
        <v>63.0917536274863-7942.78119162995j</v>
      </c>
      <c r="P158">
        <f t="shared" si="35"/>
        <v>77.999725987351383</v>
      </c>
      <c r="Q158">
        <f t="shared" si="36"/>
        <v>-89.54489301763094</v>
      </c>
      <c r="R158">
        <f t="shared" si="37"/>
        <v>64.020298075154315</v>
      </c>
      <c r="S158">
        <f t="shared" si="38"/>
        <v>90.310079084664636</v>
      </c>
    </row>
    <row r="159" spans="7:19" x14ac:dyDescent="0.25">
      <c r="G159">
        <f t="shared" si="29"/>
        <v>2.1200000000000019</v>
      </c>
      <c r="H159">
        <f t="shared" si="27"/>
        <v>1318.2567385564132</v>
      </c>
      <c r="I159" t="str">
        <f t="shared" si="30"/>
        <v>8282.85137078814j</v>
      </c>
      <c r="J159" t="str">
        <f>IMDIV(R_1,IMSUM('Opamp and C Stray Using B (2)'!R_1,IMPRODUCT('Opamp and C Stray Using B (2)'!R_f,IMSUM(1,IMPRODUCT(I159,C_s,R_1)))))</f>
        <v>0.199998594966633-0.000530098763672025j</v>
      </c>
      <c r="K159">
        <f t="shared" si="31"/>
        <v>-13.979430596739459</v>
      </c>
      <c r="L159">
        <f t="shared" si="32"/>
        <v>-0.15186282065931644</v>
      </c>
      <c r="M159">
        <f t="shared" si="33"/>
        <v>0.199998594966633</v>
      </c>
      <c r="N159">
        <f t="shared" si="34"/>
        <v>-5.3009876367202504E-4</v>
      </c>
      <c r="O159" t="str">
        <f t="shared" si="28"/>
        <v>57.5406826130357-7585.339259577j</v>
      </c>
      <c r="P159">
        <f t="shared" si="35"/>
        <v>77.599750096800676</v>
      </c>
      <c r="Q159">
        <f t="shared" si="36"/>
        <v>-89.565375401726058</v>
      </c>
      <c r="R159">
        <f t="shared" si="37"/>
        <v>63.620319500061214</v>
      </c>
      <c r="S159">
        <f t="shared" si="38"/>
        <v>90.282761777614624</v>
      </c>
    </row>
    <row r="160" spans="7:19" x14ac:dyDescent="0.25">
      <c r="G160">
        <f t="shared" si="29"/>
        <v>2.1400000000000019</v>
      </c>
      <c r="H160">
        <f t="shared" si="27"/>
        <v>1380.3842646028909</v>
      </c>
      <c r="I160" t="str">
        <f t="shared" si="30"/>
        <v>8673.21012961478j</v>
      </c>
      <c r="J160" t="str">
        <f>IMDIV(R_1,IMSUM('Opamp and C Stray Using B (2)'!R_1,IMPRODUCT('Opamp and C Stray Using B (2)'!R_f,IMSUM(1,IMPRODUCT(I160,C_s,R_1)))))</f>
        <v>0.199998459412593-0.000555081172507086j</v>
      </c>
      <c r="K160">
        <f t="shared" si="31"/>
        <v>-13.9794335402797</v>
      </c>
      <c r="L160">
        <f t="shared" si="32"/>
        <v>-0.15901985897329199</v>
      </c>
      <c r="M160">
        <f t="shared" si="33"/>
        <v>0.199998459412593</v>
      </c>
      <c r="N160">
        <f t="shared" si="34"/>
        <v>-5.55081172507086E-4</v>
      </c>
      <c r="O160" t="str">
        <f t="shared" si="28"/>
        <v>52.4779919408099-7243.97943130513j</v>
      </c>
      <c r="P160">
        <f t="shared" si="35"/>
        <v>77.19977208499644</v>
      </c>
      <c r="Q160">
        <f t="shared" si="36"/>
        <v>-89.584936030455935</v>
      </c>
      <c r="R160">
        <f t="shared" si="37"/>
        <v>63.220338544716739</v>
      </c>
      <c r="S160">
        <f t="shared" si="38"/>
        <v>90.25604411057077</v>
      </c>
    </row>
    <row r="161" spans="7:19" x14ac:dyDescent="0.25">
      <c r="G161">
        <f t="shared" si="29"/>
        <v>2.1600000000000019</v>
      </c>
      <c r="H161">
        <f t="shared" si="27"/>
        <v>1445.439770745935</v>
      </c>
      <c r="I161" t="str">
        <f t="shared" si="30"/>
        <v>9081.96592996389j</v>
      </c>
      <c r="J161" t="str">
        <f>IMDIV(R_1,IMSUM('Opamp and C Stray Using B (2)'!R_1,IMPRODUCT('Opamp and C Stray Using B (2)'!R_f,IMSUM(1,IMPRODUCT(I161,C_s,R_1)))))</f>
        <v>0.199998310780754-0.000581240910259563j</v>
      </c>
      <c r="K161">
        <f t="shared" si="31"/>
        <v>-13.979436767805142</v>
      </c>
      <c r="L161">
        <f t="shared" si="32"/>
        <v>-0.16651419278872912</v>
      </c>
      <c r="M161">
        <f t="shared" si="33"/>
        <v>0.199998310780754</v>
      </c>
      <c r="N161">
        <f t="shared" si="34"/>
        <v>-5.8124091025956305E-4</v>
      </c>
      <c r="O161" t="str">
        <f t="shared" si="28"/>
        <v>47.8607184742528-6917.978593916j</v>
      </c>
      <c r="P161">
        <f t="shared" si="35"/>
        <v>76.79979213856636</v>
      </c>
      <c r="Q161">
        <f t="shared" si="36"/>
        <v>-89.603616376256042</v>
      </c>
      <c r="R161">
        <f t="shared" si="37"/>
        <v>62.82035537076122</v>
      </c>
      <c r="S161">
        <f t="shared" si="38"/>
        <v>90.229869430955233</v>
      </c>
    </row>
    <row r="162" spans="7:19" x14ac:dyDescent="0.25">
      <c r="G162">
        <f t="shared" si="29"/>
        <v>2.1800000000000019</v>
      </c>
      <c r="H162">
        <f t="shared" si="27"/>
        <v>1513.5612484362155</v>
      </c>
      <c r="I162" t="str">
        <f t="shared" si="30"/>
        <v>9509.98579769082j</v>
      </c>
      <c r="J162" t="str">
        <f>IMDIV(R_1,IMSUM('Opamp and C Stray Using B (2)'!R_1,IMPRODUCT('Opamp and C Stray Using B (2)'!R_f,IMSUM(1,IMPRODUCT(I162,C_s,R_1)))))</f>
        <v>0.199998147809437-0.00060863345447431j</v>
      </c>
      <c r="K162">
        <f t="shared" si="31"/>
        <v>-13.97944030671367</v>
      </c>
      <c r="L162">
        <f t="shared" si="32"/>
        <v>-0.17436171756431726</v>
      </c>
      <c r="M162">
        <f t="shared" si="33"/>
        <v>0.199998147809437</v>
      </c>
      <c r="N162">
        <f t="shared" si="34"/>
        <v>-6.0863345447430999E-4</v>
      </c>
      <c r="O162" t="str">
        <f t="shared" si="28"/>
        <v>43.6496778464707-6606.6460895143j</v>
      </c>
      <c r="P162">
        <f t="shared" si="35"/>
        <v>76.399810427720254</v>
      </c>
      <c r="Q162">
        <f t="shared" si="36"/>
        <v>-89.621456046722372</v>
      </c>
      <c r="R162">
        <f t="shared" si="37"/>
        <v>62.420370121006584</v>
      </c>
      <c r="S162">
        <f t="shared" si="38"/>
        <v>90.204182235713304</v>
      </c>
    </row>
    <row r="163" spans="7:19" x14ac:dyDescent="0.25">
      <c r="G163">
        <f t="shared" si="29"/>
        <v>2.200000000000002</v>
      </c>
      <c r="H163">
        <f t="shared" si="27"/>
        <v>1584.8931924611211</v>
      </c>
      <c r="I163" t="str">
        <f t="shared" si="30"/>
        <v>9958.17762032066j</v>
      </c>
      <c r="J163" t="str">
        <f>IMDIV(R_1,IMSUM('Opamp and C Stray Using B (2)'!R_1,IMPRODUCT('Opamp and C Stray Using B (2)'!R_f,IMSUM(1,IMPRODUCT(I163,C_s,R_1)))))</f>
        <v>0.199997969115248-0.000637316896048971j</v>
      </c>
      <c r="K163">
        <f t="shared" si="31"/>
        <v>-13.979444187046333</v>
      </c>
      <c r="L163">
        <f t="shared" si="32"/>
        <v>-0.18257907777180951</v>
      </c>
      <c r="M163">
        <f t="shared" si="33"/>
        <v>0.199997969115248</v>
      </c>
      <c r="N163">
        <f t="shared" si="34"/>
        <v>-6.3731689604897099E-4</v>
      </c>
      <c r="O163" t="str">
        <f t="shared" si="28"/>
        <v>39.8091322252502-6309.32226615836j</v>
      </c>
      <c r="P163">
        <f t="shared" si="35"/>
        <v>75.999827107694045</v>
      </c>
      <c r="Q163">
        <f t="shared" si="36"/>
        <v>-89.638492868320157</v>
      </c>
      <c r="R163">
        <f t="shared" si="37"/>
        <v>62.020382920647712</v>
      </c>
      <c r="S163">
        <f t="shared" si="38"/>
        <v>90.178928053908038</v>
      </c>
    </row>
    <row r="164" spans="7:19" x14ac:dyDescent="0.25">
      <c r="G164">
        <f t="shared" si="29"/>
        <v>2.220000000000002</v>
      </c>
      <c r="H164">
        <f t="shared" si="27"/>
        <v>1659.5869074375696</v>
      </c>
      <c r="I164" t="str">
        <f t="shared" si="30"/>
        <v>10427.4920727993j</v>
      </c>
      <c r="J164" t="str">
        <f>IMDIV(R_1,IMSUM('Opamp and C Stray Using B (2)'!R_1,IMPRODUCT('Opamp and C Stray Using B (2)'!R_f,IMSUM(1,IMPRODUCT(I164,C_s,R_1)))))</f>
        <v>0.199997773181332-0.000667352062216272j</v>
      </c>
      <c r="K164">
        <f t="shared" si="31"/>
        <v>-13.97944844174255</v>
      </c>
      <c r="L164">
        <f t="shared" si="32"/>
        <v>-0.19118370217861833</v>
      </c>
      <c r="M164">
        <f t="shared" si="33"/>
        <v>0.19999777318133199</v>
      </c>
      <c r="N164">
        <f t="shared" si="34"/>
        <v>-6.6735206221627203E-4</v>
      </c>
      <c r="O164" t="str">
        <f t="shared" si="28"/>
        <v>36.3064872681329-6025.37709252418j</v>
      </c>
      <c r="P164">
        <f t="shared" si="35"/>
        <v>75.599842320066813</v>
      </c>
      <c r="Q164">
        <f t="shared" si="36"/>
        <v>-89.6547629663538</v>
      </c>
      <c r="R164">
        <f t="shared" si="37"/>
        <v>61.620393878324265</v>
      </c>
      <c r="S164">
        <f t="shared" si="38"/>
        <v>90.15405333146758</v>
      </c>
    </row>
    <row r="165" spans="7:19" x14ac:dyDescent="0.25">
      <c r="G165">
        <f t="shared" si="29"/>
        <v>2.240000000000002</v>
      </c>
      <c r="H165">
        <f t="shared" si="27"/>
        <v>1737.8008287493847</v>
      </c>
      <c r="I165" t="str">
        <f t="shared" si="30"/>
        <v>10918.9246340026j</v>
      </c>
      <c r="J165" t="str">
        <f>IMDIV(R_1,IMSUM('Opamp and C Stray Using B (2)'!R_1,IMPRODUCT('Opamp and C Stray Using B (2)'!R_f,IMSUM(1,IMPRODUCT(I165,C_s,R_1)))))</f>
        <v>0.199997558344506-0.000698802645295426j</v>
      </c>
      <c r="K165">
        <f t="shared" si="31"/>
        <v>-13.979453106919413</v>
      </c>
      <c r="L165">
        <f t="shared" si="32"/>
        <v>-0.20019384079065008</v>
      </c>
      <c r="M165">
        <f t="shared" si="33"/>
        <v>0.199997558344506</v>
      </c>
      <c r="N165">
        <f t="shared" si="34"/>
        <v>-6.9880264529542603E-4</v>
      </c>
      <c r="O165" t="str">
        <f t="shared" si="28"/>
        <v>33.1120157063694-5754.20883360912j</v>
      </c>
      <c r="P165">
        <f t="shared" si="35"/>
        <v>75.199856193962049</v>
      </c>
      <c r="Q165">
        <f t="shared" si="36"/>
        <v>-89.670300841362689</v>
      </c>
      <c r="R165">
        <f t="shared" si="37"/>
        <v>61.220403087042634</v>
      </c>
      <c r="S165">
        <f t="shared" si="38"/>
        <v>90.129505317846665</v>
      </c>
    </row>
    <row r="166" spans="7:19" x14ac:dyDescent="0.25">
      <c r="G166">
        <f t="shared" si="29"/>
        <v>2.260000000000002</v>
      </c>
      <c r="H166">
        <f t="shared" si="27"/>
        <v>1819.7008586099926</v>
      </c>
      <c r="I166" t="str">
        <f t="shared" si="30"/>
        <v>11433.5176982804j</v>
      </c>
      <c r="J166" t="str">
        <f>IMDIV(R_1,IMSUM('Opamp and C Stray Using B (2)'!R_1,IMPRODUCT('Opamp and C Stray Using B (2)'!R_f,IMSUM(1,IMPRODUCT(I166,C_s,R_1)))))</f>
        <v>0.199997322781142-0.000731735337480601j</v>
      </c>
      <c r="K166">
        <f t="shared" si="31"/>
        <v>-13.979458222178325</v>
      </c>
      <c r="L166">
        <f t="shared" si="32"/>
        <v>-0.20962860353327112</v>
      </c>
      <c r="M166">
        <f t="shared" si="33"/>
        <v>0.19999732278114199</v>
      </c>
      <c r="N166">
        <f t="shared" si="34"/>
        <v>-7.3173533748060104E-4</v>
      </c>
      <c r="O166" t="str">
        <f t="shared" si="28"/>
        <v>30.1986052207217-5495.24278489717j</v>
      </c>
      <c r="P166">
        <f t="shared" si="35"/>
        <v>74.799868847143514</v>
      </c>
      <c r="Q166">
        <f t="shared" si="36"/>
        <v>-89.685139442100365</v>
      </c>
      <c r="R166">
        <f t="shared" si="37"/>
        <v>60.820410624965191</v>
      </c>
      <c r="S166">
        <f t="shared" si="38"/>
        <v>90.10523195436636</v>
      </c>
    </row>
    <row r="167" spans="7:19" x14ac:dyDescent="0.25">
      <c r="G167">
        <f t="shared" si="29"/>
        <v>2.280000000000002</v>
      </c>
      <c r="H167">
        <f t="shared" si="27"/>
        <v>1905.4607179632562</v>
      </c>
      <c r="I167" t="str">
        <f t="shared" si="30"/>
        <v>11972.3627865146j</v>
      </c>
      <c r="J167" t="str">
        <f>IMDIV(R_1,IMSUM('Opamp and C Stray Using B (2)'!R_1,IMPRODUCT('Opamp and C Stray Using B (2)'!R_f,IMSUM(1,IMPRODUCT(I167,C_s,R_1)))))</f>
        <v>0.199997064491687-0.00076621997194638j</v>
      </c>
      <c r="K167">
        <f t="shared" si="31"/>
        <v>-13.979463830941278</v>
      </c>
      <c r="L167">
        <f t="shared" si="32"/>
        <v>-0.21950800075187291</v>
      </c>
      <c r="M167">
        <f t="shared" si="33"/>
        <v>0.199997064491687</v>
      </c>
      <c r="N167">
        <f t="shared" si="34"/>
        <v>-7.6621997194637999E-4</v>
      </c>
      <c r="O167" t="str">
        <f t="shared" si="28"/>
        <v>27.5415284766987-5247.93006250158j</v>
      </c>
      <c r="P167">
        <f t="shared" si="35"/>
        <v>74.399880387014377</v>
      </c>
      <c r="Q167">
        <f t="shared" si="36"/>
        <v>-89.699310235248092</v>
      </c>
      <c r="R167">
        <f t="shared" si="37"/>
        <v>60.4204165560731</v>
      </c>
      <c r="S167">
        <f t="shared" si="38"/>
        <v>90.081181764000036</v>
      </c>
    </row>
    <row r="168" spans="7:19" x14ac:dyDescent="0.25">
      <c r="G168">
        <f t="shared" si="29"/>
        <v>2.300000000000002</v>
      </c>
      <c r="H168">
        <f t="shared" si="27"/>
        <v>1995.2623149688907</v>
      </c>
      <c r="I168" t="str">
        <f t="shared" si="30"/>
        <v>12536.6028613817j</v>
      </c>
      <c r="J168" t="str">
        <f>IMDIV(R_1,IMSUM('Opamp and C Stray Using B (2)'!R_1,IMPRODUCT('Opamp and C Stray Using B (2)'!R_f,IMSUM(1,IMPRODUCT(I168,C_s,R_1)))))</f>
        <v>0.199996781283698-0.000802329670562668j</v>
      </c>
      <c r="K168">
        <f t="shared" si="31"/>
        <v>-13.979469980819239</v>
      </c>
      <c r="L168">
        <f t="shared" si="32"/>
        <v>-0.22985298561727774</v>
      </c>
      <c r="M168">
        <f t="shared" si="33"/>
        <v>0.19999678128369799</v>
      </c>
      <c r="N168">
        <f t="shared" si="34"/>
        <v>-8.0232967056266796E-4</v>
      </c>
      <c r="O168" t="str">
        <f t="shared" si="28"/>
        <v>25.1182333735993-5011.74644689369j</v>
      </c>
      <c r="P168">
        <f t="shared" si="35"/>
        <v>73.999890911528354</v>
      </c>
      <c r="Q168">
        <f t="shared" si="36"/>
        <v>-89.71284327200739</v>
      </c>
      <c r="R168">
        <f t="shared" si="37"/>
        <v>60.020420930709115</v>
      </c>
      <c r="S168">
        <f t="shared" si="38"/>
        <v>90.057303742375325</v>
      </c>
    </row>
    <row r="169" spans="7:19" x14ac:dyDescent="0.25">
      <c r="G169">
        <f t="shared" si="29"/>
        <v>2.3200000000000021</v>
      </c>
      <c r="H169">
        <f t="shared" si="27"/>
        <v>2089.2961308540507</v>
      </c>
      <c r="I169" t="str">
        <f t="shared" si="30"/>
        <v>13127.4347517293j</v>
      </c>
      <c r="J169" t="str">
        <f>IMDIV(R_1,IMSUM('Opamp and C Stray Using B (2)'!R_1,IMPRODUCT('Opamp and C Stray Using B (2)'!R_f,IMSUM(1,IMPRODUCT(I169,C_s,R_1)))))</f>
        <v>0.199996470753235-0.000840140998524555j</v>
      </c>
      <c r="K169">
        <f t="shared" si="31"/>
        <v>-13.979476724016324</v>
      </c>
      <c r="L169">
        <f t="shared" si="32"/>
        <v>-0.24068549852520416</v>
      </c>
      <c r="M169">
        <f t="shared" si="33"/>
        <v>0.19999647075323501</v>
      </c>
      <c r="N169">
        <f t="shared" si="34"/>
        <v>-8.4014099852455499E-4</v>
      </c>
      <c r="O169" t="str">
        <f t="shared" si="28"/>
        <v>22.9081517322396-4786.19127791857j</v>
      </c>
      <c r="P169">
        <f t="shared" si="35"/>
        <v>73.599900510021499</v>
      </c>
      <c r="Q169">
        <f t="shared" si="36"/>
        <v>-89.725767251709883</v>
      </c>
      <c r="R169">
        <f t="shared" si="37"/>
        <v>59.620423786005176</v>
      </c>
      <c r="S169">
        <f t="shared" si="38"/>
        <v>90.033547249764908</v>
      </c>
    </row>
    <row r="170" spans="7:19" x14ac:dyDescent="0.25">
      <c r="G170">
        <f t="shared" si="29"/>
        <v>2.3400000000000021</v>
      </c>
      <c r="H170">
        <f t="shared" si="27"/>
        <v>2187.7616239495642</v>
      </c>
      <c r="I170" t="str">
        <f t="shared" si="30"/>
        <v>13746.1116912113j</v>
      </c>
      <c r="J170" t="str">
        <f>IMDIV(R_1,IMSUM('Opamp and C Stray Using B (2)'!R_1,IMPRODUCT('Opamp and C Stray Using B (2)'!R_f,IMSUM(1,IMPRODUCT(I170,C_s,R_1)))))</f>
        <v>0.199996130264462-0.000879734126216107j</v>
      </c>
      <c r="K170">
        <f t="shared" si="31"/>
        <v>-13.979484117772845</v>
      </c>
      <c r="L170">
        <f t="shared" si="32"/>
        <v>-0.25202851358309974</v>
      </c>
      <c r="M170">
        <f t="shared" si="33"/>
        <v>0.199996130264462</v>
      </c>
      <c r="N170">
        <f t="shared" si="34"/>
        <v>-8.7973412621610697E-4</v>
      </c>
      <c r="O170" t="str">
        <f t="shared" si="28"/>
        <v>20.8925248018277-4570.78639888533j</v>
      </c>
      <c r="P170">
        <f t="shared" si="35"/>
        <v>73.199909263969715</v>
      </c>
      <c r="Q170">
        <f t="shared" si="36"/>
        <v>-89.738109582576541</v>
      </c>
      <c r="R170">
        <f t="shared" si="37"/>
        <v>59.220425146196874</v>
      </c>
      <c r="S170">
        <f t="shared" si="38"/>
        <v>90.00986190384036</v>
      </c>
    </row>
    <row r="171" spans="7:19" x14ac:dyDescent="0.25">
      <c r="G171">
        <f t="shared" si="29"/>
        <v>2.3600000000000021</v>
      </c>
      <c r="H171">
        <f t="shared" si="27"/>
        <v>2290.8676527677844</v>
      </c>
      <c r="I171" t="str">
        <f t="shared" si="30"/>
        <v>14393.9459765635j</v>
      </c>
      <c r="J171" t="str">
        <f>IMDIV(R_1,IMSUM('Opamp and C Stray Using B (2)'!R_1,IMPRODUCT('Opamp and C Stray Using B (2)'!R_f,IMSUM(1,IMPRODUCT(I171,C_s,R_1)))))</f>
        <v>0.199995756927278-0.000921192998641012j</v>
      </c>
      <c r="K171">
        <f t="shared" si="31"/>
        <v>-13.979492224851224</v>
      </c>
      <c r="L171">
        <f t="shared" si="32"/>
        <v>-0.26390608728194503</v>
      </c>
      <c r="M171">
        <f t="shared" si="33"/>
        <v>0.199995756927278</v>
      </c>
      <c r="N171">
        <f t="shared" si="34"/>
        <v>-9.2119299864101205E-4</v>
      </c>
      <c r="O171" t="str">
        <f t="shared" si="28"/>
        <v>19.0542441084958-4365.0751476094j</v>
      </c>
      <c r="P171">
        <f t="shared" si="35"/>
        <v>72.799917247680852</v>
      </c>
      <c r="Q171">
        <f t="shared" si="36"/>
        <v>-89.749896439753599</v>
      </c>
      <c r="R171">
        <f t="shared" si="37"/>
        <v>58.820425022829625</v>
      </c>
      <c r="S171">
        <f t="shared" si="38"/>
        <v>89.986197472964463</v>
      </c>
    </row>
    <row r="172" spans="7:19" x14ac:dyDescent="0.25">
      <c r="G172">
        <f t="shared" si="29"/>
        <v>2.3800000000000021</v>
      </c>
      <c r="H172">
        <f t="shared" si="27"/>
        <v>2398.8329190195041</v>
      </c>
      <c r="I172" t="str">
        <f t="shared" si="30"/>
        <v>15072.3117511621j</v>
      </c>
      <c r="J172" t="str">
        <f>IMDIV(R_1,IMSUM('Opamp and C Stray Using B (2)'!R_1,IMPRODUCT('Opamp and C Stray Using B (2)'!R_f,IMSUM(1,IMPRODUCT(I172,C_s,R_1)))))</f>
        <v>0.199995347572798-0.000964605512767757j</v>
      </c>
      <c r="K172">
        <f t="shared" si="31"/>
        <v>-13.979501114068507</v>
      </c>
      <c r="L172">
        <f t="shared" si="32"/>
        <v>-0.27634340945516883</v>
      </c>
      <c r="M172">
        <f t="shared" si="33"/>
        <v>0.19999534757279799</v>
      </c>
      <c r="N172">
        <f t="shared" si="34"/>
        <v>-9.6460551276775696E-4</v>
      </c>
      <c r="O172" t="str">
        <f t="shared" si="28"/>
        <v>17.3777062975694-4168.62139236622j</v>
      </c>
      <c r="P172">
        <f t="shared" si="35"/>
        <v>72.399924528924643</v>
      </c>
      <c r="Q172">
        <f t="shared" si="36"/>
        <v>-89.761152820745636</v>
      </c>
      <c r="R172">
        <f t="shared" si="37"/>
        <v>58.420423414856138</v>
      </c>
      <c r="S172">
        <f t="shared" si="38"/>
        <v>89.962503769799198</v>
      </c>
    </row>
    <row r="173" spans="7:19" x14ac:dyDescent="0.25">
      <c r="G173">
        <f t="shared" si="29"/>
        <v>2.4000000000000021</v>
      </c>
      <c r="H173">
        <f t="shared" si="27"/>
        <v>2511.8864315095939</v>
      </c>
      <c r="I173" t="str">
        <f t="shared" si="30"/>
        <v>15782.6479197648j</v>
      </c>
      <c r="J173" t="str">
        <f>IMDIV(R_1,IMSUM('Opamp and C Stray Using B (2)'!R_1,IMPRODUCT('Opamp and C Stray Using B (2)'!R_f,IMSUM(1,IMPRODUCT(I173,C_s,R_1)))))</f>
        <v>0.199994898726463-0.00101006370315161j</v>
      </c>
      <c r="K173">
        <f t="shared" si="31"/>
        <v>-13.979510860880493</v>
      </c>
      <c r="L173">
        <f t="shared" si="32"/>
        <v>-0.28936685663140504</v>
      </c>
      <c r="M173">
        <f t="shared" si="33"/>
        <v>0.19999489872646301</v>
      </c>
      <c r="N173">
        <f t="shared" si="34"/>
        <v>-1.0100637031516099E-3</v>
      </c>
      <c r="O173" t="str">
        <f t="shared" si="28"/>
        <v>15.8486807399489-3981.00861080049j</v>
      </c>
      <c r="P173">
        <f t="shared" si="35"/>
        <v>71.999931169508613</v>
      </c>
      <c r="Q173">
        <f t="shared" si="36"/>
        <v>-89.771902598362203</v>
      </c>
      <c r="R173">
        <f t="shared" si="37"/>
        <v>58.020420308628118</v>
      </c>
      <c r="S173">
        <f t="shared" si="38"/>
        <v>89.938730545006393</v>
      </c>
    </row>
    <row r="174" spans="7:19" x14ac:dyDescent="0.25">
      <c r="G174">
        <f t="shared" si="29"/>
        <v>2.4200000000000021</v>
      </c>
      <c r="H174">
        <f t="shared" si="27"/>
        <v>2630.2679918953959</v>
      </c>
      <c r="I174" t="str">
        <f t="shared" si="30"/>
        <v>16526.4612006219j</v>
      </c>
      <c r="J174" t="str">
        <f>IMDIV(R_1,IMSUM('Opamp and C Stray Using B (2)'!R_1,IMPRODUCT('Opamp and C Stray Using B (2)'!R_f,IMSUM(1,IMPRODUCT(I174,C_s,R_1)))))</f>
        <v>0.199994406578558-0.00105766393621182j</v>
      </c>
      <c r="K174">
        <f t="shared" si="31"/>
        <v>-13.979521548022213</v>
      </c>
      <c r="L174">
        <f t="shared" si="32"/>
        <v>-0.30300404789285124</v>
      </c>
      <c r="M174">
        <f t="shared" si="33"/>
        <v>0.19999440657855799</v>
      </c>
      <c r="N174">
        <f t="shared" si="34"/>
        <v>-1.05766393621182E-3</v>
      </c>
      <c r="O174" t="str">
        <f t="shared" si="28"/>
        <v>14.454188780866-3801.83900991253j</v>
      </c>
      <c r="P174">
        <f t="shared" si="35"/>
        <v>71.599937225802009</v>
      </c>
      <c r="Q174">
        <f t="shared" si="36"/>
        <v>-89.782168571288707</v>
      </c>
      <c r="R174">
        <f t="shared" si="37"/>
        <v>57.620415677779796</v>
      </c>
      <c r="S174">
        <f t="shared" si="38"/>
        <v>89.914827380818437</v>
      </c>
    </row>
    <row r="175" spans="7:19" x14ac:dyDescent="0.25">
      <c r="G175">
        <f t="shared" si="29"/>
        <v>2.4400000000000022</v>
      </c>
      <c r="H175">
        <f t="shared" si="27"/>
        <v>2754.2287033381804</v>
      </c>
      <c r="I175" t="str">
        <f t="shared" si="30"/>
        <v>17305.3293214267j</v>
      </c>
      <c r="J175" t="str">
        <f>IMDIV(R_1,IMSUM('Opamp and C Stray Using B (2)'!R_1,IMPRODUCT('Opamp and C Stray Using B (2)'!R_f,IMSUM(1,IMPRODUCT(I175,C_s,R_1)))))</f>
        <v>0.199993866951896-0.00110750711355781j</v>
      </c>
      <c r="K175">
        <f t="shared" si="31"/>
        <v>-13.979533266209812</v>
      </c>
      <c r="L175">
        <f t="shared" si="32"/>
        <v>-0.31728390335588669</v>
      </c>
      <c r="M175">
        <f t="shared" si="33"/>
        <v>0.199993866951896</v>
      </c>
      <c r="N175">
        <f t="shared" si="34"/>
        <v>-1.1075071135578101E-3</v>
      </c>
      <c r="O175" t="str">
        <f t="shared" si="28"/>
        <v>13.182393607772-3630.73268532273j</v>
      </c>
      <c r="P175">
        <f t="shared" si="35"/>
        <v>71.199942749214628</v>
      </c>
      <c r="Q175">
        <f t="shared" si="36"/>
        <v>-89.791972512387446</v>
      </c>
      <c r="R175">
        <f t="shared" si="37"/>
        <v>57.220409483004815</v>
      </c>
      <c r="S175">
        <f t="shared" si="38"/>
        <v>89.890743584256668</v>
      </c>
    </row>
    <row r="176" spans="7:19" x14ac:dyDescent="0.25">
      <c r="G176">
        <f t="shared" si="29"/>
        <v>2.4600000000000022</v>
      </c>
      <c r="H176">
        <f t="shared" si="27"/>
        <v>2884.0315031266227</v>
      </c>
      <c r="I176" t="str">
        <f t="shared" si="30"/>
        <v>18120.9043658883j</v>
      </c>
      <c r="J176" t="str">
        <f>IMDIV(R_1,IMSUM('Opamp and C Stray Using B (2)'!R_1,IMPRODUCT('Opamp and C Stray Using B (2)'!R_f,IMSUM(1,IMPRODUCT(I176,C_s,R_1)))))</f>
        <v>0.199993275266373-0.00115969888477527j</v>
      </c>
      <c r="K176">
        <f t="shared" si="31"/>
        <v>-13.979546114910717</v>
      </c>
      <c r="L176">
        <f t="shared" si="32"/>
        <v>-0.33223670539612782</v>
      </c>
      <c r="M176">
        <f t="shared" si="33"/>
        <v>0.19999327526637301</v>
      </c>
      <c r="N176">
        <f t="shared" si="34"/>
        <v>-1.15969888477527E-3</v>
      </c>
      <c r="O176" t="str">
        <f t="shared" si="28"/>
        <v>12.0224998039346-3467.32681808812j</v>
      </c>
      <c r="P176">
        <f t="shared" si="35"/>
        <v>70.799947786632814</v>
      </c>
      <c r="Q176">
        <f t="shared" si="36"/>
        <v>-89.801335214830246</v>
      </c>
      <c r="R176">
        <f t="shared" si="37"/>
        <v>56.820401671722095</v>
      </c>
      <c r="S176">
        <f t="shared" si="38"/>
        <v>89.866428079773627</v>
      </c>
    </row>
    <row r="177" spans="7:19" x14ac:dyDescent="0.25">
      <c r="G177">
        <f t="shared" si="29"/>
        <v>2.4800000000000022</v>
      </c>
      <c r="H177">
        <f t="shared" si="27"/>
        <v>3019.9517204020331</v>
      </c>
      <c r="I177" t="str">
        <f t="shared" si="30"/>
        <v>18974.9162780218j</v>
      </c>
      <c r="J177" t="str">
        <f>IMDIV(R_1,IMSUM('Opamp and C Stray Using B (2)'!R_1,IMPRODUCT('Opamp and C Stray Using B (2)'!R_f,IMSUM(1,IMPRODUCT(I177,C_s,R_1)))))</f>
        <v>0.199992626500122-0.00121434987009968j</v>
      </c>
      <c r="K177">
        <f t="shared" si="31"/>
        <v>-13.979560203187415</v>
      </c>
      <c r="L177">
        <f t="shared" si="32"/>
        <v>-0.34789416274544555</v>
      </c>
      <c r="M177">
        <f t="shared" si="33"/>
        <v>0.19999262650012201</v>
      </c>
      <c r="N177">
        <f t="shared" si="34"/>
        <v>-1.21434987009968E-3</v>
      </c>
      <c r="O177" t="str">
        <f t="shared" si="28"/>
        <v>10.9646617363065-3311.27490741851j</v>
      </c>
      <c r="P177">
        <f t="shared" si="35"/>
        <v>70.399952380817993</v>
      </c>
      <c r="Q177">
        <f t="shared" si="36"/>
        <v>-89.810276536159577</v>
      </c>
      <c r="R177">
        <f t="shared" si="37"/>
        <v>56.420392177630575</v>
      </c>
      <c r="S177">
        <f t="shared" si="38"/>
        <v>89.841829301094975</v>
      </c>
    </row>
    <row r="178" spans="7:19" x14ac:dyDescent="0.25">
      <c r="G178">
        <f t="shared" si="29"/>
        <v>2.5000000000000022</v>
      </c>
      <c r="H178">
        <f t="shared" si="27"/>
        <v>3162.2776601683968</v>
      </c>
      <c r="I178" t="str">
        <f t="shared" si="30"/>
        <v>19869.1765315923j</v>
      </c>
      <c r="J178" t="str">
        <f>IMDIV(R_1,IMSUM('Opamp and C Stray Using B (2)'!R_1,IMPRODUCT('Opamp and C Stray Using B (2)'!R_f,IMSUM(1,IMPRODUCT(I178,C_s,R_1)))))</f>
        <v>0.199991915146912-0.00127157589342247j</v>
      </c>
      <c r="K178">
        <f t="shared" si="31"/>
        <v>-13.979575650623078</v>
      </c>
      <c r="L178">
        <f t="shared" si="32"/>
        <v>-0.36428947759436475</v>
      </c>
      <c r="M178">
        <f t="shared" si="33"/>
        <v>0.199991915146912</v>
      </c>
      <c r="N178">
        <f t="shared" si="34"/>
        <v>-1.27157589342247E-3</v>
      </c>
      <c r="O178" t="str">
        <f t="shared" si="28"/>
        <v>9.99990000099992-3162.24603770799j</v>
      </c>
      <c r="P178">
        <f t="shared" si="35"/>
        <v>69.99995657076893</v>
      </c>
      <c r="Q178">
        <f t="shared" si="36"/>
        <v>-89.81881544037077</v>
      </c>
      <c r="R178">
        <f t="shared" si="37"/>
        <v>56.020380920145854</v>
      </c>
      <c r="S178">
        <f t="shared" si="38"/>
        <v>89.816895082034861</v>
      </c>
    </row>
    <row r="179" spans="7:19" x14ac:dyDescent="0.25">
      <c r="G179">
        <f t="shared" si="29"/>
        <v>2.5200000000000022</v>
      </c>
      <c r="H179">
        <f t="shared" si="27"/>
        <v>3311.3112148259315</v>
      </c>
      <c r="I179" t="str">
        <f t="shared" si="30"/>
        <v>20805.5819724933j</v>
      </c>
      <c r="J179" t="str">
        <f>IMDIV(R_1,IMSUM('Opamp and C Stray Using B (2)'!R_1,IMPRODUCT('Opamp and C Stray Using B (2)'!R_f,IMSUM(1,IMPRODUCT(I179,C_s,R_1)))))</f>
        <v>0.199991135169443-0.00133149822609275j</v>
      </c>
      <c r="K179">
        <f t="shared" si="31"/>
        <v>-13.979592588336349</v>
      </c>
      <c r="L179">
        <f t="shared" si="32"/>
        <v>-0.38145741583915632</v>
      </c>
      <c r="M179">
        <f t="shared" si="33"/>
        <v>0.199991135169443</v>
      </c>
      <c r="N179">
        <f t="shared" si="34"/>
        <v>-1.33149822609275E-3</v>
      </c>
      <c r="O179" t="str">
        <f t="shared" si="28"/>
        <v>9.12002521794045-3019.92417836615j</v>
      </c>
      <c r="P179">
        <f t="shared" si="35"/>
        <v>69.599960392053063</v>
      </c>
      <c r="Q179">
        <f t="shared" si="36"/>
        <v>-89.826970038103752</v>
      </c>
      <c r="R179">
        <f t="shared" si="37"/>
        <v>55.620367803716718</v>
      </c>
      <c r="S179">
        <f t="shared" si="38"/>
        <v>89.791572546057097</v>
      </c>
    </row>
    <row r="180" spans="7:19" x14ac:dyDescent="0.25">
      <c r="G180">
        <f t="shared" si="29"/>
        <v>2.5400000000000023</v>
      </c>
      <c r="H180">
        <f t="shared" si="27"/>
        <v>3467.3685045253369</v>
      </c>
      <c r="I180" t="str">
        <f t="shared" si="30"/>
        <v>21786.1188422108j</v>
      </c>
      <c r="J180" t="str">
        <f>IMDIV(R_1,IMSUM('Opamp and C Stray Using B (2)'!R_1,IMPRODUCT('Opamp and C Stray Using B (2)'!R_f,IMSUM(1,IMPRODUCT(I180,C_s,R_1)))))</f>
        <v>0.199990279948148-0.00139424384199596j</v>
      </c>
      <c r="K180">
        <f t="shared" si="31"/>
        <v>-13.97961116009369</v>
      </c>
      <c r="L180">
        <f t="shared" si="32"/>
        <v>-0.39943438061920195</v>
      </c>
      <c r="M180">
        <f t="shared" si="33"/>
        <v>0.199990279948148</v>
      </c>
      <c r="N180">
        <f t="shared" si="34"/>
        <v>-1.39424384199596E-3</v>
      </c>
      <c r="O180" t="str">
        <f t="shared" si="28"/>
        <v>8.31756852850499-2884.00751499693j</v>
      </c>
      <c r="P180">
        <f t="shared" si="35"/>
        <v>69.199963877108587</v>
      </c>
      <c r="Q180">
        <f t="shared" si="36"/>
        <v>-89.834757625029141</v>
      </c>
      <c r="R180">
        <f t="shared" si="37"/>
        <v>55.220352717014897</v>
      </c>
      <c r="S180">
        <f t="shared" si="38"/>
        <v>89.765807994351661</v>
      </c>
    </row>
    <row r="181" spans="7:19" x14ac:dyDescent="0.25">
      <c r="G181">
        <f t="shared" si="29"/>
        <v>2.5600000000000023</v>
      </c>
      <c r="H181">
        <f t="shared" si="27"/>
        <v>3630.7805477010343</v>
      </c>
      <c r="I181" t="str">
        <f t="shared" si="30"/>
        <v>22812.8669909086j</v>
      </c>
      <c r="J181" t="str">
        <f>IMDIV(R_1,IMSUM('Opamp and C Stray Using B (2)'!R_1,IMPRODUCT('Opamp and C Stray Using B (2)'!R_f,IMSUM(1,IMPRODUCT(I181,C_s,R_1)))))</f>
        <v>0.199989342225052-0.00145994568440941j</v>
      </c>
      <c r="K181">
        <f t="shared" si="31"/>
        <v>-13.979631523529401</v>
      </c>
      <c r="L181">
        <f t="shared" si="32"/>
        <v>-0.41825848929673026</v>
      </c>
      <c r="M181">
        <f t="shared" si="33"/>
        <v>0.19998934222505199</v>
      </c>
      <c r="N181">
        <f t="shared" si="34"/>
        <v>-1.45994568440941E-3</v>
      </c>
      <c r="O181" t="str">
        <f t="shared" si="28"/>
        <v>7.5857182067345-2754.20781053533j</v>
      </c>
      <c r="P181">
        <f t="shared" si="35"/>
        <v>68.799967055519403</v>
      </c>
      <c r="Q181">
        <f t="shared" si="36"/>
        <v>-89.84219471850929</v>
      </c>
      <c r="R181">
        <f t="shared" si="37"/>
        <v>54.820335531990004</v>
      </c>
      <c r="S181">
        <f t="shared" si="38"/>
        <v>89.739546792193977</v>
      </c>
    </row>
    <row r="182" spans="7:19" x14ac:dyDescent="0.25">
      <c r="G182">
        <f t="shared" si="29"/>
        <v>2.5800000000000023</v>
      </c>
      <c r="H182">
        <f t="shared" si="27"/>
        <v>3801.8939632056336</v>
      </c>
      <c r="I182" t="str">
        <f t="shared" si="30"/>
        <v>23888.0042890684j</v>
      </c>
      <c r="J182" t="str">
        <f>IMDIV(R_1,IMSUM('Opamp and C Stray Using B (2)'!R_1,IMPRODUCT('Opamp and C Stray Using B (2)'!R_f,IMSUM(1,IMPRODUCT(I182,C_s,R_1)))))</f>
        <v>0.19998831404223-0.00152874294515339j</v>
      </c>
      <c r="K182">
        <f t="shared" si="31"/>
        <v>-13.979653851482928</v>
      </c>
      <c r="L182">
        <f t="shared" si="32"/>
        <v>-0.43796965403763038</v>
      </c>
      <c r="M182">
        <f t="shared" si="33"/>
        <v>0.19998831404223</v>
      </c>
      <c r="N182">
        <f t="shared" si="34"/>
        <v>-1.52874294515339E-3</v>
      </c>
      <c r="O182" t="str">
        <f t="shared" si="28"/>
        <v>6.9182618465112-2630.24979501267j</v>
      </c>
      <c r="P182">
        <f t="shared" si="35"/>
        <v>68.399969954266567</v>
      </c>
      <c r="Q182">
        <f t="shared" si="36"/>
        <v>-89.849297092611863</v>
      </c>
      <c r="R182">
        <f t="shared" si="37"/>
        <v>54.420316102783637</v>
      </c>
      <c r="S182">
        <f t="shared" si="38"/>
        <v>89.712733253350507</v>
      </c>
    </row>
    <row r="183" spans="7:19" x14ac:dyDescent="0.25">
      <c r="G183">
        <f t="shared" si="29"/>
        <v>2.6000000000000023</v>
      </c>
      <c r="H183">
        <f t="shared" si="27"/>
        <v>3981.0717055349969</v>
      </c>
      <c r="I183" t="str">
        <f t="shared" si="30"/>
        <v>25013.8112470459j</v>
      </c>
      <c r="J183" t="str">
        <f>IMDIV(R_1,IMSUM('Opamp and C Stray Using B (2)'!R_1,IMPRODUCT('Opamp and C Stray Using B (2)'!R_f,IMSUM(1,IMPRODUCT(I183,C_s,R_1)))))</f>
        <v>0.199987186674336-0.00160078135657587j</v>
      </c>
      <c r="K183">
        <f t="shared" si="31"/>
        <v>-13.979678333465166</v>
      </c>
      <c r="L183">
        <f t="shared" si="32"/>
        <v>-0.45860966615913062</v>
      </c>
      <c r="M183">
        <f t="shared" si="33"/>
        <v>0.19998718667433599</v>
      </c>
      <c r="N183">
        <f t="shared" si="34"/>
        <v>-1.6007813565758701E-3</v>
      </c>
      <c r="O183" t="str">
        <f t="shared" si="28"/>
        <v>6.30953363433598-2511.87058267764j</v>
      </c>
      <c r="P183">
        <f t="shared" si="35"/>
        <v>67.999972597957097</v>
      </c>
      <c r="Q183">
        <f t="shared" si="36"/>
        <v>-89.856079811549478</v>
      </c>
      <c r="R183">
        <f t="shared" si="37"/>
        <v>54.02029426449193</v>
      </c>
      <c r="S183">
        <f t="shared" si="38"/>
        <v>89.685310522291388</v>
      </c>
    </row>
    <row r="184" spans="7:19" x14ac:dyDescent="0.25">
      <c r="G184">
        <f t="shared" si="29"/>
        <v>2.6200000000000023</v>
      </c>
      <c r="H184">
        <f t="shared" si="27"/>
        <v>4168.6938347033793</v>
      </c>
      <c r="I184" t="str">
        <f t="shared" si="30"/>
        <v>26192.6758523384j</v>
      </c>
      <c r="J184" t="str">
        <f>IMDIV(R_1,IMSUM('Opamp and C Stray Using B (2)'!R_1,IMPRODUCT('Opamp and C Stray Using B (2)'!R_f,IMSUM(1,IMPRODUCT(I184,C_s,R_1)))))</f>
        <v>0.199985950554629-0.00167621349692774j</v>
      </c>
      <c r="K184">
        <f t="shared" si="31"/>
        <v>-13.979705177266306</v>
      </c>
      <c r="L184">
        <f t="shared" si="32"/>
        <v>-0.48022228441727588</v>
      </c>
      <c r="M184">
        <f t="shared" si="33"/>
        <v>0.19998595055462901</v>
      </c>
      <c r="N184">
        <f t="shared" si="34"/>
        <v>-1.67621349692774E-3</v>
      </c>
      <c r="O184" t="str">
        <f t="shared" si="28"/>
        <v>5.75436626044989-2398.81911525626j</v>
      </c>
      <c r="P184">
        <f t="shared" si="35"/>
        <v>67.599975009032903</v>
      </c>
      <c r="Q184">
        <f t="shared" si="36"/>
        <v>-89.862557261616203</v>
      </c>
      <c r="R184">
        <f t="shared" si="37"/>
        <v>53.620269831766599</v>
      </c>
      <c r="S184">
        <f t="shared" si="38"/>
        <v>89.657220453966517</v>
      </c>
    </row>
    <row r="185" spans="7:19" x14ac:dyDescent="0.25">
      <c r="G185">
        <f t="shared" si="29"/>
        <v>2.6400000000000023</v>
      </c>
      <c r="H185">
        <f t="shared" si="27"/>
        <v>4365.1583224016858</v>
      </c>
      <c r="I185" t="str">
        <f t="shared" si="30"/>
        <v>27427.098634827j</v>
      </c>
      <c r="J185" t="str">
        <f>IMDIV(R_1,IMSUM('Opamp and C Stray Using B (2)'!R_1,IMPRODUCT('Opamp and C Stray Using B (2)'!R_f,IMSUM(1,IMPRODUCT(I185,C_s,R_1)))))</f>
        <v>0.199984595193886-0.00175519910970517j</v>
      </c>
      <c r="K185">
        <f t="shared" si="31"/>
        <v>-13.979734610718243</v>
      </c>
      <c r="L185">
        <f t="shared" si="32"/>
        <v>-0.50285332741469457</v>
      </c>
      <c r="M185">
        <f t="shared" si="33"/>
        <v>0.19998459519388601</v>
      </c>
      <c r="N185">
        <f t="shared" si="34"/>
        <v>-1.7551991097051699E-3</v>
      </c>
      <c r="O185" t="str">
        <f t="shared" si="28"/>
        <v>5.24804706035516-2290.85563018651j</v>
      </c>
      <c r="P185">
        <f t="shared" si="35"/>
        <v>67.199977207961354</v>
      </c>
      <c r="Q185">
        <f t="shared" si="36"/>
        <v>-89.868743181688245</v>
      </c>
      <c r="R185">
        <f t="shared" si="37"/>
        <v>53.220242597243114</v>
      </c>
      <c r="S185">
        <f t="shared" si="38"/>
        <v>89.628403490897057</v>
      </c>
    </row>
    <row r="186" spans="7:19" x14ac:dyDescent="0.25">
      <c r="G186">
        <f t="shared" si="29"/>
        <v>2.6600000000000024</v>
      </c>
      <c r="H186">
        <f t="shared" si="27"/>
        <v>4570.8818961487768</v>
      </c>
      <c r="I186" t="str">
        <f t="shared" si="30"/>
        <v>28719.6979707352j</v>
      </c>
      <c r="J186" t="str">
        <f>IMDIV(R_1,IMSUM('Opamp and C Stray Using B (2)'!R_1,IMPRODUCT('Opamp and C Stray Using B (2)'!R_f,IMSUM(1,IMPRODUCT(I186,C_s,R_1)))))</f>
        <v>0.199983109091499-0.00183790543755406j</v>
      </c>
      <c r="K186">
        <f t="shared" si="31"/>
        <v>-13.979766883627246</v>
      </c>
      <c r="L186">
        <f t="shared" si="32"/>
        <v>-0.52655077031675446</v>
      </c>
      <c r="M186">
        <f t="shared" si="33"/>
        <v>0.199983109091499</v>
      </c>
      <c r="N186">
        <f t="shared" si="34"/>
        <v>-1.83790543755406E-3</v>
      </c>
      <c r="O186" t="str">
        <f t="shared" si="28"/>
        <v>4.78627801465944-2187.75115271418j</v>
      </c>
      <c r="P186">
        <f t="shared" si="35"/>
        <v>66.799979213408903</v>
      </c>
      <c r="Q186">
        <f t="shared" si="36"/>
        <v>-89.874650692353256</v>
      </c>
      <c r="R186">
        <f t="shared" si="37"/>
        <v>52.820212329781654</v>
      </c>
      <c r="S186">
        <f t="shared" si="38"/>
        <v>89.598798537329984</v>
      </c>
    </row>
    <row r="187" spans="7:19" x14ac:dyDescent="0.25">
      <c r="G187">
        <f t="shared" si="29"/>
        <v>2.6800000000000024</v>
      </c>
      <c r="H187">
        <f t="shared" si="27"/>
        <v>4786.3009232264139</v>
      </c>
      <c r="I187" t="str">
        <f t="shared" si="30"/>
        <v>30073.2156365563j</v>
      </c>
      <c r="J187" t="str">
        <f>IMDIV(R_1,IMSUM('Opamp and C Stray Using B (2)'!R_1,IMPRODUCT('Opamp and C Stray Using B (2)'!R_f,IMSUM(1,IMPRODUCT(I187,C_s,R_1)))))</f>
        <v>0.19998147963802-0.00192450757135096j</v>
      </c>
      <c r="K187">
        <f t="shared" si="31"/>
        <v>-13.979802269892648</v>
      </c>
      <c r="L187">
        <f t="shared" si="32"/>
        <v>-0.55136484607230418</v>
      </c>
      <c r="M187">
        <f t="shared" si="33"/>
        <v>0.19998147963801999</v>
      </c>
      <c r="N187">
        <f t="shared" si="34"/>
        <v>-1.92450757135096E-3</v>
      </c>
      <c r="O187" t="str">
        <f t="shared" si="28"/>
        <v>4.36513926787761-2089.28701078544j</v>
      </c>
      <c r="P187">
        <f t="shared" si="35"/>
        <v>66.399981042399588</v>
      </c>
      <c r="Q187">
        <f t="shared" si="36"/>
        <v>-89.880292323729833</v>
      </c>
      <c r="R187">
        <f t="shared" si="37"/>
        <v>52.420178772506944</v>
      </c>
      <c r="S187">
        <f t="shared" si="38"/>
        <v>89.568342830197864</v>
      </c>
    </row>
    <row r="188" spans="7:19" x14ac:dyDescent="0.25">
      <c r="G188">
        <f t="shared" si="29"/>
        <v>2.7000000000000024</v>
      </c>
      <c r="H188">
        <f t="shared" si="27"/>
        <v>5011.8723362727533</v>
      </c>
      <c r="I188" t="str">
        <f t="shared" si="30"/>
        <v>31490.5226247288j</v>
      </c>
      <c r="J188" t="str">
        <f>IMDIV(R_1,IMSUM('Opamp and C Stray Using B (2)'!R_1,IMPRODUCT('Opamp and C Stray Using B (2)'!R_f,IMSUM(1,IMPRODUCT(I188,C_s,R_1)))))</f>
        <v>0.199979693008328-0.00201518881509282j</v>
      </c>
      <c r="K188">
        <f t="shared" si="31"/>
        <v>-13.979841069829718</v>
      </c>
      <c r="L188">
        <f t="shared" si="32"/>
        <v>-0.57734815134337614</v>
      </c>
      <c r="M188">
        <f t="shared" si="33"/>
        <v>0.19997969300832799</v>
      </c>
      <c r="N188">
        <f t="shared" si="34"/>
        <v>-2.0151888150928199E-3</v>
      </c>
      <c r="O188" t="str">
        <f t="shared" si="28"/>
        <v>3.98105585666608-1995.25437171814j</v>
      </c>
      <c r="P188">
        <f t="shared" si="35"/>
        <v>65.999982710459605</v>
      </c>
      <c r="Q188">
        <f t="shared" si="36"/>
        <v>-89.885680042035943</v>
      </c>
      <c r="R188">
        <f t="shared" si="37"/>
        <v>52.020141640629888</v>
      </c>
      <c r="S188">
        <f t="shared" si="38"/>
        <v>89.536971806620684</v>
      </c>
    </row>
    <row r="189" spans="7:19" x14ac:dyDescent="0.25">
      <c r="G189">
        <f t="shared" si="29"/>
        <v>2.7200000000000024</v>
      </c>
      <c r="H189">
        <f t="shared" si="27"/>
        <v>5248.074602497758</v>
      </c>
      <c r="I189" t="str">
        <f t="shared" si="30"/>
        <v>32974.6252333963j</v>
      </c>
      <c r="J189" t="str">
        <f>IMDIV(R_1,IMSUM('Opamp and C Stray Using B (2)'!R_1,IMPRODUCT('Opamp and C Stray Using B (2)'!R_f,IMSUM(1,IMPRODUCT(I189,C_s,R_1)))))</f>
        <v>0.199977734044518-0.00211014106724536j</v>
      </c>
      <c r="K189">
        <f t="shared" si="31"/>
        <v>-13.979883612716296</v>
      </c>
      <c r="L189">
        <f t="shared" si="32"/>
        <v>-0.60455575735663558</v>
      </c>
      <c r="M189">
        <f t="shared" si="33"/>
        <v>0.19997773404451799</v>
      </c>
      <c r="N189">
        <f t="shared" si="34"/>
        <v>-2.1101410672453602E-3</v>
      </c>
      <c r="O189" t="str">
        <f t="shared" si="28"/>
        <v>3.63076736518144-1905.45379967864j</v>
      </c>
      <c r="P189">
        <f t="shared" si="35"/>
        <v>65.599984231748977</v>
      </c>
      <c r="Q189">
        <f t="shared" si="36"/>
        <v>-89.890825274962438</v>
      </c>
      <c r="R189">
        <f t="shared" si="37"/>
        <v>51.620100619032684</v>
      </c>
      <c r="S189">
        <f t="shared" si="38"/>
        <v>89.504618967680926</v>
      </c>
    </row>
    <row r="190" spans="7:19" x14ac:dyDescent="0.25">
      <c r="G190">
        <f t="shared" si="29"/>
        <v>2.7400000000000024</v>
      </c>
      <c r="H190">
        <f t="shared" si="27"/>
        <v>5495.4087385762778</v>
      </c>
      <c r="I190" t="str">
        <f t="shared" si="30"/>
        <v>34528.6714431688j</v>
      </c>
      <c r="J190" t="str">
        <f>IMDIV(R_1,IMSUM('Opamp and C Stray Using B (2)'!R_1,IMPRODUCT('Opamp and C Stray Using B (2)'!R_f,IMSUM(1,IMPRODUCT(I190,C_s,R_1)))))</f>
        <v>0.199975586127524-0.00220956521921676j</v>
      </c>
      <c r="K190">
        <f t="shared" si="31"/>
        <v>-13.979930259584883</v>
      </c>
      <c r="L190">
        <f t="shared" si="32"/>
        <v>-0.63304532589815576</v>
      </c>
      <c r="M190">
        <f t="shared" si="33"/>
        <v>0.199975586127524</v>
      </c>
      <c r="N190">
        <f t="shared" si="34"/>
        <v>-2.2095652192167599E-3</v>
      </c>
      <c r="O190" t="str">
        <f t="shared" si="28"/>
        <v>3.31130025008022-1819.69483303406j</v>
      </c>
      <c r="P190">
        <f t="shared" si="35"/>
        <v>65.199985619181845</v>
      </c>
      <c r="Q190">
        <f t="shared" si="36"/>
        <v>-89.895738935905484</v>
      </c>
      <c r="R190">
        <f t="shared" si="37"/>
        <v>51.220055359596962</v>
      </c>
      <c r="S190">
        <f t="shared" si="38"/>
        <v>89.471215738196364</v>
      </c>
    </row>
    <row r="191" spans="7:19" x14ac:dyDescent="0.25">
      <c r="G191">
        <f t="shared" si="29"/>
        <v>2.7600000000000025</v>
      </c>
      <c r="H191">
        <f t="shared" si="27"/>
        <v>5754.399373371607</v>
      </c>
      <c r="I191" t="str">
        <f t="shared" si="30"/>
        <v>36155.9575944119j</v>
      </c>
      <c r="J191" t="str">
        <f>IMDIV(R_1,IMSUM('Opamp and C Stray Using B (2)'!R_1,IMPRODUCT('Opamp and C Stray Using B (2)'!R_f,IMSUM(1,IMPRODUCT(I191,C_s,R_1)))))</f>
        <v>0.199973231036406-0.00231367157163835j</v>
      </c>
      <c r="K191">
        <f t="shared" si="31"/>
        <v>-13.979981406283306</v>
      </c>
      <c r="L191">
        <f t="shared" si="32"/>
        <v>-0.66287723068186821</v>
      </c>
      <c r="M191">
        <f t="shared" si="33"/>
        <v>0.19997323103640599</v>
      </c>
      <c r="N191">
        <f t="shared" si="34"/>
        <v>-2.3136715716383502E-3</v>
      </c>
      <c r="O191" t="str">
        <f t="shared" si="28"/>
        <v>3.01994260032112-1737.79558069061j</v>
      </c>
      <c r="P191">
        <f t="shared" si="35"/>
        <v>64.799986884536068</v>
      </c>
      <c r="Q191">
        <f t="shared" si="36"/>
        <v>-89.900431447108986</v>
      </c>
      <c r="R191">
        <f t="shared" si="37"/>
        <v>50.82000547825276</v>
      </c>
      <c r="S191">
        <f t="shared" si="38"/>
        <v>89.436691322209143</v>
      </c>
    </row>
    <row r="192" spans="7:19" x14ac:dyDescent="0.25">
      <c r="G192">
        <f t="shared" si="29"/>
        <v>2.7800000000000025</v>
      </c>
      <c r="H192">
        <f t="shared" si="27"/>
        <v>6025.595860743615</v>
      </c>
      <c r="I192" t="str">
        <f t="shared" si="30"/>
        <v>37859.9353792264j</v>
      </c>
      <c r="J192" t="str">
        <f>IMDIV(R_1,IMSUM('Opamp and C Stray Using B (2)'!R_1,IMPRODUCT('Opamp and C Stray Using B (2)'!R_f,IMSUM(1,IMPRODUCT(I192,C_s,R_1)))))</f>
        <v>0.199970648794101-0.00242268026914773j</v>
      </c>
      <c r="K192">
        <f t="shared" si="31"/>
        <v>-13.98003748683063</v>
      </c>
      <c r="L192">
        <f t="shared" si="32"/>
        <v>-0.69411468433123391</v>
      </c>
      <c r="M192">
        <f t="shared" si="33"/>
        <v>0.19997064879410101</v>
      </c>
      <c r="N192">
        <f t="shared" si="34"/>
        <v>-2.4226802691477301E-3</v>
      </c>
      <c r="O192" t="str">
        <f t="shared" si="28"/>
        <v>2.75422111758328-1659.58233656824j</v>
      </c>
      <c r="P192">
        <f t="shared" si="35"/>
        <v>64.399988038553118</v>
      </c>
      <c r="Q192">
        <f t="shared" si="36"/>
        <v>-89.904912761765942</v>
      </c>
      <c r="R192">
        <f t="shared" si="37"/>
        <v>50.419950551722486</v>
      </c>
      <c r="S192">
        <f t="shared" si="38"/>
        <v>89.400972553902818</v>
      </c>
    </row>
    <row r="193" spans="7:19" x14ac:dyDescent="0.25">
      <c r="G193">
        <f t="shared" si="29"/>
        <v>2.8000000000000025</v>
      </c>
      <c r="H193">
        <f t="shared" si="27"/>
        <v>6309.5734448019712</v>
      </c>
      <c r="I193" t="str">
        <f t="shared" si="30"/>
        <v>39644.2191629502j</v>
      </c>
      <c r="J193" t="str">
        <f>IMDIV(R_1,IMSUM('Opamp and C Stray Using B (2)'!R_1,IMPRODUCT('Opamp and C Stray Using B (2)'!R_f,IMSUM(1,IMPRODUCT(I193,C_s,R_1)))))</f>
        <v>0.199967817498365-0.00253682175438145j</v>
      </c>
      <c r="K193">
        <f t="shared" si="31"/>
        <v>-13.980098977095691</v>
      </c>
      <c r="L193">
        <f t="shared" si="32"/>
        <v>-0.72682387122287362</v>
      </c>
      <c r="M193">
        <f t="shared" si="33"/>
        <v>0.19996781749836501</v>
      </c>
      <c r="N193">
        <f t="shared" si="34"/>
        <v>-2.53682175438145E-3</v>
      </c>
      <c r="O193" t="str">
        <f t="shared" si="28"/>
        <v>2.51188012195195-1584.8892113994j</v>
      </c>
      <c r="P193">
        <f t="shared" si="35"/>
        <v>63.999989091029491</v>
      </c>
      <c r="Q193">
        <f t="shared" si="36"/>
        <v>-89.909192385125721</v>
      </c>
      <c r="R193">
        <f t="shared" si="37"/>
        <v>50.019890113933798</v>
      </c>
      <c r="S193">
        <f t="shared" si="38"/>
        <v>89.363983743651403</v>
      </c>
    </row>
    <row r="194" spans="7:19" x14ac:dyDescent="0.25">
      <c r="G194">
        <f t="shared" si="29"/>
        <v>2.8200000000000025</v>
      </c>
      <c r="H194">
        <f t="shared" si="27"/>
        <v>6606.9344800760055</v>
      </c>
      <c r="I194" t="str">
        <f t="shared" si="30"/>
        <v>41512.5936507118j</v>
      </c>
      <c r="J194" t="str">
        <f>IMDIV(R_1,IMSUM('Opamp and C Stray Using B (2)'!R_1,IMPRODUCT('Opamp and C Stray Using B (2)'!R_f,IMSUM(1,IMPRODUCT(I194,C_s,R_1)))))</f>
        <v>0.199964713136473-0.00265633724189297j</v>
      </c>
      <c r="K194">
        <f t="shared" si="31"/>
        <v>-13.980166398829914</v>
      </c>
      <c r="L194">
        <f t="shared" si="32"/>
        <v>-0.76107408645027641</v>
      </c>
      <c r="M194">
        <f t="shared" si="33"/>
        <v>0.19996471313647299</v>
      </c>
      <c r="N194">
        <f t="shared" si="34"/>
        <v>-2.65633724189297E-3</v>
      </c>
      <c r="O194" t="str">
        <f t="shared" si="28"/>
        <v>2.29086240470516-1513.55778107564j</v>
      </c>
      <c r="P194">
        <f t="shared" si="35"/>
        <v>63.599990050899549</v>
      </c>
      <c r="Q194">
        <f t="shared" si="36"/>
        <v>-89.913279394651838</v>
      </c>
      <c r="R194">
        <f t="shared" si="37"/>
        <v>49.619823652069634</v>
      </c>
      <c r="S194">
        <f t="shared" si="38"/>
        <v>89.325646518897884</v>
      </c>
    </row>
    <row r="195" spans="7:19" x14ac:dyDescent="0.25">
      <c r="G195">
        <f t="shared" si="29"/>
        <v>2.8400000000000025</v>
      </c>
      <c r="H195">
        <f t="shared" ref="H195:H258" si="39">$B$3*10^G195</f>
        <v>6918.3097091894106</v>
      </c>
      <c r="I195" t="str">
        <f t="shared" si="30"/>
        <v>43469.0219152968j</v>
      </c>
      <c r="J195" t="str">
        <f>IMDIV(R_1,IMSUM('Opamp and C Stray Using B (2)'!R_1,IMPRODUCT('Opamp and C Stray Using B (2)'!R_f,IMSUM(1,IMPRODUCT(I195,C_s,R_1)))))</f>
        <v>0.199961309382127-0.00278147921271779j</v>
      </c>
      <c r="K195">
        <f t="shared" si="31"/>
        <v>-13.980240324088429</v>
      </c>
      <c r="L195">
        <f t="shared" si="32"/>
        <v>-0.7969378811752581</v>
      </c>
      <c r="M195">
        <f t="shared" si="33"/>
        <v>0.199961309382127</v>
      </c>
      <c r="N195">
        <f t="shared" si="34"/>
        <v>-2.7814792127177899E-3</v>
      </c>
      <c r="O195" t="str">
        <f t="shared" ref="O195:O258" si="40">IMDIV(Aolv,IMSUM(1,IMDIV(I195,wc)))</f>
        <v>2.08929176570481-1445.43675080051j</v>
      </c>
      <c r="P195">
        <f t="shared" si="35"/>
        <v>63.199990926311635</v>
      </c>
      <c r="Q195">
        <f t="shared" si="36"/>
        <v>-89.917182459272667</v>
      </c>
      <c r="R195">
        <f t="shared" si="37"/>
        <v>49.219750602223208</v>
      </c>
      <c r="S195">
        <f t="shared" si="38"/>
        <v>89.28587965955208</v>
      </c>
    </row>
    <row r="196" spans="7:19" x14ac:dyDescent="0.25">
      <c r="G196">
        <f t="shared" ref="G196:G259" si="41">G195+(1/ppd)</f>
        <v>2.8600000000000025</v>
      </c>
      <c r="H196">
        <f t="shared" si="39"/>
        <v>7244.3596007499473</v>
      </c>
      <c r="I196" t="str">
        <f t="shared" ref="I196:I259" si="42">COMPLEX(0,H196*2*PI(),"j")</f>
        <v>45517.6538033574j</v>
      </c>
      <c r="J196" t="str">
        <f>IMDIV(R_1,IMSUM('Opamp and C Stray Using B (2)'!R_1,IMPRODUCT('Opamp and C Stray Using B (2)'!R_f,IMSUM(1,IMPRODUCT(I196,C_s,R_1)))))</f>
        <v>0.199957577372883-0.00291251193030942j</v>
      </c>
      <c r="K196">
        <f t="shared" ref="K196:K259" si="43">20*LOG(IMABS(J196))</f>
        <v>-13.980321380076271</v>
      </c>
      <c r="L196">
        <f t="shared" ref="L196:L259" si="44">DEGREES(IMARGUMENT(J196))</f>
        <v>-0.83449121464429576</v>
      </c>
      <c r="M196">
        <f t="shared" ref="M196:M259" si="45">IMREAL(J196)</f>
        <v>0.199957577372883</v>
      </c>
      <c r="N196">
        <f t="shared" ref="N196:N259" si="46">IMAGINARY(J196)</f>
        <v>-2.9125119303094198E-3</v>
      </c>
      <c r="O196" t="str">
        <f t="shared" si="40"/>
        <v>1.9054570871896-1380.3816343399j</v>
      </c>
      <c r="P196">
        <f t="shared" ref="P196:P259" si="47">20*LOG(IMABS(O196))</f>
        <v>62.799991724697094</v>
      </c>
      <c r="Q196">
        <f t="shared" ref="Q196:Q259" si="48">DEGREES(IMARGUMENT(O196))</f>
        <v>-89.920909857766347</v>
      </c>
      <c r="R196">
        <f t="shared" ref="R196:R259" si="49">P196+K196</f>
        <v>48.819670344620825</v>
      </c>
      <c r="S196">
        <f t="shared" ref="S196:S259" si="50">(Q196+L196)-(-180)</f>
        <v>89.244598927589351</v>
      </c>
    </row>
    <row r="197" spans="7:19" x14ac:dyDescent="0.25">
      <c r="G197">
        <f t="shared" si="41"/>
        <v>2.8800000000000026</v>
      </c>
      <c r="H197">
        <f t="shared" si="39"/>
        <v>7585.7757502918857</v>
      </c>
      <c r="I197" t="str">
        <f t="shared" si="42"/>
        <v>47662.8347377932j</v>
      </c>
      <c r="J197" t="str">
        <f>IMDIV(R_1,IMSUM('Opamp and C Stray Using B (2)'!R_1,IMPRODUCT('Opamp and C Stray Using B (2)'!R_f,IMSUM(1,IMPRODUCT(I197,C_s,R_1)))))</f>
        <v>0.19995348546623-0.00304971197856725j</v>
      </c>
      <c r="K197">
        <f t="shared" si="43"/>
        <v>-13.980410254460855</v>
      </c>
      <c r="L197">
        <f t="shared" si="44"/>
        <v>-0.87381361315646644</v>
      </c>
      <c r="M197">
        <f t="shared" si="45"/>
        <v>0.19995348546623001</v>
      </c>
      <c r="N197">
        <f t="shared" si="46"/>
        <v>-3.0497119785672499E-3</v>
      </c>
      <c r="O197" t="str">
        <f t="shared" si="40"/>
        <v>1.73779780880288-1318.25444769273j</v>
      </c>
      <c r="P197">
        <f t="shared" si="47"/>
        <v>62.399992452833416</v>
      </c>
      <c r="Q197">
        <f t="shared" si="48"/>
        <v>-89.924469496318352</v>
      </c>
      <c r="R197">
        <f t="shared" si="49"/>
        <v>48.419582198372559</v>
      </c>
      <c r="S197">
        <f t="shared" si="50"/>
        <v>89.201716890525176</v>
      </c>
    </row>
    <row r="198" spans="7:19" x14ac:dyDescent="0.25">
      <c r="G198">
        <f t="shared" si="41"/>
        <v>2.9000000000000026</v>
      </c>
      <c r="H198">
        <f t="shared" si="39"/>
        <v>7943.2823472428699</v>
      </c>
      <c r="I198" t="str">
        <f t="shared" si="42"/>
        <v>49909.1149349754j</v>
      </c>
      <c r="J198" t="str">
        <f>IMDIV(R_1,IMSUM('Opamp and C Stray Using B (2)'!R_1,IMPRODUCT('Opamp and C Stray Using B (2)'!R_f,IMSUM(1,IMPRODUCT(I198,C_s,R_1)))))</f>
        <v>0.199948998972288-0.00319336882266919j</v>
      </c>
      <c r="K198">
        <f t="shared" si="43"/>
        <v>-13.980507701195403</v>
      </c>
      <c r="L198">
        <f t="shared" si="44"/>
        <v>-0.91498833627916309</v>
      </c>
      <c r="M198">
        <f t="shared" si="45"/>
        <v>0.19994899897228799</v>
      </c>
      <c r="N198">
        <f t="shared" si="46"/>
        <v>-3.19336882266919E-3</v>
      </c>
      <c r="O198" t="str">
        <f t="shared" si="40"/>
        <v>1.58489068057864-1258.92341653501j</v>
      </c>
      <c r="P198">
        <f t="shared" si="47"/>
        <v>61.999993116901742</v>
      </c>
      <c r="Q198">
        <f t="shared" si="48"/>
        <v>-89.927868925289104</v>
      </c>
      <c r="R198">
        <f t="shared" si="49"/>
        <v>48.019485415706342</v>
      </c>
      <c r="S198">
        <f t="shared" si="50"/>
        <v>89.15714273843173</v>
      </c>
    </row>
    <row r="199" spans="7:19" x14ac:dyDescent="0.25">
      <c r="G199">
        <f t="shared" si="41"/>
        <v>2.9200000000000026</v>
      </c>
      <c r="H199">
        <f t="shared" si="39"/>
        <v>8317.6377110267658</v>
      </c>
      <c r="I199" t="str">
        <f t="shared" si="42"/>
        <v>52261.2590563662j</v>
      </c>
      <c r="J199" t="str">
        <f>IMDIV(R_1,IMSUM('Opamp and C Stray Using B (2)'!R_1,IMPRODUCT('Opamp and C Stray Using B (2)'!R_f,IMSUM(1,IMPRODUCT(I199,C_s,R_1)))))</f>
        <v>0.199944079860904-0.0033437853934072j</v>
      </c>
      <c r="K199">
        <f t="shared" si="43"/>
        <v>-13.980614546902085</v>
      </c>
      <c r="L199">
        <f t="shared" si="44"/>
        <v>-0.95810255061705052</v>
      </c>
      <c r="M199">
        <f t="shared" si="45"/>
        <v>0.19994407986090401</v>
      </c>
      <c r="N199">
        <f t="shared" si="46"/>
        <v>-3.3437853934072002E-3</v>
      </c>
      <c r="O199" t="str">
        <f t="shared" si="40"/>
        <v>1.4454376814528-1202.26269681909j</v>
      </c>
      <c r="P199">
        <f t="shared" si="47"/>
        <v>61.599993722539324</v>
      </c>
      <c r="Q199">
        <f t="shared" si="48"/>
        <v>-89.931115355227277</v>
      </c>
      <c r="R199">
        <f t="shared" si="49"/>
        <v>47.619379175637235</v>
      </c>
      <c r="S199">
        <f t="shared" si="50"/>
        <v>89.110782094155667</v>
      </c>
    </row>
    <row r="200" spans="7:19" x14ac:dyDescent="0.25">
      <c r="G200">
        <f t="shared" si="41"/>
        <v>2.9400000000000026</v>
      </c>
      <c r="H200">
        <f t="shared" si="39"/>
        <v>8709.6358995608643</v>
      </c>
      <c r="I200" t="str">
        <f t="shared" si="42"/>
        <v>54724.2563150047j</v>
      </c>
      <c r="J200" t="str">
        <f>IMDIV(R_1,IMSUM('Opamp and C Stray Using B (2)'!R_1,IMPRODUCT('Opamp and C Stray Using B (2)'!R_f,IMSUM(1,IMPRODUCT(I200,C_s,R_1)))))</f>
        <v>0.199938686440712-0.00350127869570141j</v>
      </c>
      <c r="K200">
        <f t="shared" si="43"/>
        <v>-13.980731697868594</v>
      </c>
      <c r="L200">
        <f t="shared" si="44"/>
        <v>-1.0032475114488526</v>
      </c>
      <c r="M200">
        <f t="shared" si="45"/>
        <v>0.199938686440712</v>
      </c>
      <c r="N200">
        <f t="shared" si="46"/>
        <v>-3.5012786957014101E-3</v>
      </c>
      <c r="O200" t="str">
        <f t="shared" si="40"/>
        <v>1.31825500075785-1148.15210793762j</v>
      </c>
      <c r="P200">
        <f t="shared" si="47"/>
        <v>61.19999427488743</v>
      </c>
      <c r="Q200">
        <f t="shared" si="48"/>
        <v>-89.934215672162438</v>
      </c>
      <c r="R200">
        <f t="shared" si="49"/>
        <v>47.219262577018839</v>
      </c>
      <c r="S200">
        <f t="shared" si="50"/>
        <v>89.062536816388715</v>
      </c>
    </row>
    <row r="201" spans="7:19" x14ac:dyDescent="0.25">
      <c r="G201">
        <f t="shared" si="41"/>
        <v>2.9600000000000026</v>
      </c>
      <c r="H201">
        <f t="shared" si="39"/>
        <v>9120.108393559156</v>
      </c>
      <c r="I201" t="str">
        <f t="shared" si="42"/>
        <v>57303.3310582961j</v>
      </c>
      <c r="J201" t="str">
        <f>IMDIV(R_1,IMSUM('Opamp and C Stray Using B (2)'!R_1,IMPRODUCT('Opamp and C Stray Using B (2)'!R_f,IMSUM(1,IMPRODUCT(I201,C_s,R_1)))))</f>
        <v>0.199932773007493-0.00366618044193649j</v>
      </c>
      <c r="K201">
        <f t="shared" si="43"/>
        <v>-13.980860147716943</v>
      </c>
      <c r="L201">
        <f t="shared" si="44"/>
        <v>-1.0505187525551869</v>
      </c>
      <c r="M201">
        <f t="shared" si="45"/>
        <v>0.19993277300749299</v>
      </c>
      <c r="N201">
        <f t="shared" si="46"/>
        <v>-3.6661804419364898E-3</v>
      </c>
      <c r="O201" t="str">
        <f t="shared" si="40"/>
        <v>1.20226298917937-1096.47687788803j</v>
      </c>
      <c r="P201">
        <f t="shared" si="47"/>
        <v>60.799994778635032</v>
      </c>
      <c r="Q201">
        <f t="shared" si="48"/>
        <v>-89.937176452209712</v>
      </c>
      <c r="R201">
        <f t="shared" si="49"/>
        <v>46.819134630918086</v>
      </c>
      <c r="S201">
        <f t="shared" si="50"/>
        <v>89.012304795235096</v>
      </c>
    </row>
    <row r="202" spans="7:19" x14ac:dyDescent="0.25">
      <c r="G202">
        <f t="shared" si="41"/>
        <v>2.9800000000000026</v>
      </c>
      <c r="H202">
        <f t="shared" si="39"/>
        <v>9549.9258602144273</v>
      </c>
      <c r="I202" t="str">
        <f t="shared" si="42"/>
        <v>60003.9538495537j</v>
      </c>
      <c r="J202" t="str">
        <f>IMDIV(R_1,IMSUM('Opamp and C Stray Using B (2)'!R_1,IMPRODUCT('Opamp and C Stray Using B (2)'!R_f,IMSUM(1,IMPRODUCT(I202,C_s,R_1)))))</f>
        <v>0.199926289458934-0.00383883771072205j</v>
      </c>
      <c r="K202">
        <f t="shared" si="43"/>
        <v>-13.981000985808507</v>
      </c>
      <c r="L202">
        <f t="shared" si="44"/>
        <v>-1.1000162845690296</v>
      </c>
      <c r="M202">
        <f t="shared" si="45"/>
        <v>0.19992628945893401</v>
      </c>
      <c r="N202">
        <f t="shared" si="46"/>
        <v>-3.8388377107220501E-3</v>
      </c>
      <c r="O202" t="str">
        <f t="shared" si="40"/>
        <v>1.09647699388005-1047.12739989853j</v>
      </c>
      <c r="P202">
        <f t="shared" si="47"/>
        <v>60.399995238058253</v>
      </c>
      <c r="Q202">
        <f t="shared" si="48"/>
        <v>-89.940003975517129</v>
      </c>
      <c r="R202">
        <f t="shared" si="49"/>
        <v>46.418994252249746</v>
      </c>
      <c r="S202">
        <f t="shared" si="50"/>
        <v>88.959979739913848</v>
      </c>
    </row>
    <row r="203" spans="7:19" x14ac:dyDescent="0.25">
      <c r="G203">
        <f t="shared" si="41"/>
        <v>3.0000000000000027</v>
      </c>
      <c r="H203">
        <f t="shared" si="39"/>
        <v>10000.000000000069</v>
      </c>
      <c r="I203" t="str">
        <f t="shared" si="42"/>
        <v>62831.8530717963j</v>
      </c>
      <c r="J203" t="str">
        <f>IMDIV(R_1,IMSUM('Opamp and C Stray Using B (2)'!R_1,IMPRODUCT('Opamp and C Stray Using B (2)'!R_f,IMSUM(1,IMPRODUCT(I203,C_s,R_1)))))</f>
        <v>0.199919180872606-0.00401961363162285j</v>
      </c>
      <c r="K203">
        <f t="shared" si="43"/>
        <v>-13.981155406455754</v>
      </c>
      <c r="L203">
        <f t="shared" si="44"/>
        <v>-1.1518448021877652</v>
      </c>
      <c r="M203">
        <f t="shared" si="45"/>
        <v>0.19991918087260599</v>
      </c>
      <c r="N203">
        <f t="shared" si="46"/>
        <v>-4.0196136316228504E-3</v>
      </c>
      <c r="O203" t="str">
        <f t="shared" si="40"/>
        <v>0.99999900000098-999.99900000099j</v>
      </c>
      <c r="P203">
        <f t="shared" si="47"/>
        <v>59.999995657057269</v>
      </c>
      <c r="Q203">
        <f t="shared" si="48"/>
        <v>-89.94270423958551</v>
      </c>
      <c r="R203">
        <f t="shared" si="49"/>
        <v>46.018840250601514</v>
      </c>
      <c r="S203">
        <f t="shared" si="50"/>
        <v>88.905450958226723</v>
      </c>
    </row>
    <row r="204" spans="7:19" x14ac:dyDescent="0.25">
      <c r="G204">
        <f t="shared" si="41"/>
        <v>3.0200000000000027</v>
      </c>
      <c r="H204">
        <f t="shared" si="39"/>
        <v>10471.285480509066</v>
      </c>
      <c r="I204" t="str">
        <f t="shared" si="42"/>
        <v>65793.0270784175j</v>
      </c>
      <c r="J204" t="str">
        <f>IMDIV(R_1,IMSUM('Opamp and C Stray Using B (2)'!R_1,IMPRODUCT('Opamp and C Stray Using B (2)'!R_f,IMSUM(1,IMPRODUCT(I204,C_s,R_1)))))</f>
        <v>0.199911387043682-0.00420888809633568j</v>
      </c>
      <c r="K204">
        <f t="shared" si="43"/>
        <v>-13.981324719017977</v>
      </c>
      <c r="L204">
        <f t="shared" si="44"/>
        <v>-1.2061139005928649</v>
      </c>
      <c r="M204">
        <f t="shared" si="45"/>
        <v>0.199911387043682</v>
      </c>
      <c r="N204">
        <f t="shared" si="46"/>
        <v>-4.2088880963356799E-3</v>
      </c>
      <c r="O204" t="str">
        <f t="shared" si="40"/>
        <v>0.912010007592879-954.991715058631j</v>
      </c>
      <c r="P204">
        <f t="shared" si="47"/>
        <v>59.599996039188966</v>
      </c>
      <c r="Q204">
        <f t="shared" si="48"/>
        <v>-89.94528297198886</v>
      </c>
      <c r="R204">
        <f t="shared" si="49"/>
        <v>45.618671320170989</v>
      </c>
      <c r="S204">
        <f t="shared" si="50"/>
        <v>88.848603127418272</v>
      </c>
    </row>
    <row r="205" spans="7:19" x14ac:dyDescent="0.25">
      <c r="G205">
        <f t="shared" si="41"/>
        <v>3.0400000000000027</v>
      </c>
      <c r="H205">
        <f t="shared" si="39"/>
        <v>10964.781961431923</v>
      </c>
      <c r="I205" t="str">
        <f t="shared" si="42"/>
        <v>68893.7569164968j</v>
      </c>
      <c r="J205" t="str">
        <f>IMDIV(R_1,IMSUM('Opamp and C Stray Using B (2)'!R_1,IMPRODUCT('Opamp and C Stray Using B (2)'!R_f,IMSUM(1,IMPRODUCT(I205,C_s,R_1)))))</f>
        <v>0.199902841978628-0.00440705849670159j</v>
      </c>
      <c r="K205">
        <f t="shared" si="43"/>
        <v>-13.981510358964293</v>
      </c>
      <c r="L205">
        <f t="shared" si="44"/>
        <v>-1.2629383014284978</v>
      </c>
      <c r="M205">
        <f t="shared" si="45"/>
        <v>0.19990284197862801</v>
      </c>
      <c r="N205">
        <f t="shared" si="46"/>
        <v>-4.4070584967015897E-3</v>
      </c>
      <c r="O205" t="str">
        <f t="shared" si="40"/>
        <v>0.831763079272268-912.010080778962j</v>
      </c>
      <c r="P205">
        <f t="shared" si="47"/>
        <v>59.199996387697311</v>
      </c>
      <c r="Q205">
        <f t="shared" si="48"/>
        <v>-89.947745642522477</v>
      </c>
      <c r="R205">
        <f t="shared" si="49"/>
        <v>45.218486028733018</v>
      </c>
      <c r="S205">
        <f t="shared" si="50"/>
        <v>88.789316056049032</v>
      </c>
    </row>
    <row r="206" spans="7:19" x14ac:dyDescent="0.25">
      <c r="G206">
        <f t="shared" si="41"/>
        <v>3.0600000000000027</v>
      </c>
      <c r="H206">
        <f t="shared" si="39"/>
        <v>11481.53621496891</v>
      </c>
      <c r="I206" t="str">
        <f t="shared" si="42"/>
        <v>72140.619649743j</v>
      </c>
      <c r="J206" t="str">
        <f>IMDIV(R_1,IMSUM('Opamp and C Stray Using B (2)'!R_1,IMPRODUCT('Opamp and C Stray Using B (2)'!R_f,IMSUM(1,IMPRODUCT(I206,C_s,R_1)))))</f>
        <v>0.199893473340693-0.00461454048983583j</v>
      </c>
      <c r="K206">
        <f t="shared" si="43"/>
        <v>-13.981713899997711</v>
      </c>
      <c r="L206">
        <f t="shared" si="44"/>
        <v>-1.3224380886954221</v>
      </c>
      <c r="M206">
        <f t="shared" si="45"/>
        <v>0.19989347334069299</v>
      </c>
      <c r="N206">
        <f t="shared" si="46"/>
        <v>-4.6145404898358302E-3</v>
      </c>
      <c r="O206" t="str">
        <f t="shared" si="40"/>
        <v>0.758576999589673-870.962929263128j</v>
      </c>
      <c r="P206">
        <f t="shared" si="47"/>
        <v>58.799996705540643</v>
      </c>
      <c r="Q206">
        <f t="shared" si="48"/>
        <v>-89.950097474804267</v>
      </c>
      <c r="R206">
        <f t="shared" si="49"/>
        <v>44.818282805542935</v>
      </c>
      <c r="S206">
        <f t="shared" si="50"/>
        <v>88.727464436500313</v>
      </c>
    </row>
    <row r="207" spans="7:19" x14ac:dyDescent="0.25">
      <c r="G207">
        <f t="shared" si="41"/>
        <v>3.0800000000000027</v>
      </c>
      <c r="H207">
        <f t="shared" si="39"/>
        <v>12022.644346174213</v>
      </c>
      <c r="I207" t="str">
        <f t="shared" si="42"/>
        <v>75540.5023093275j</v>
      </c>
      <c r="J207" t="str">
        <f>IMDIV(R_1,IMSUM('Opamp and C Stray Using B (2)'!R_1,IMPRODUCT('Opamp and C Stray Using B (2)'!R_f,IMSUM(1,IMPRODUCT(I207,C_s,R_1)))))</f>
        <v>0.199883201842727-0.00483176879052681j</v>
      </c>
      <c r="K207">
        <f t="shared" si="43"/>
        <v>-13.981937067339153</v>
      </c>
      <c r="L207">
        <f t="shared" si="44"/>
        <v>-1.384738954918767</v>
      </c>
      <c r="M207">
        <f t="shared" si="45"/>
        <v>0.19988320184272701</v>
      </c>
      <c r="N207">
        <f t="shared" si="46"/>
        <v>-4.83176879052681E-3</v>
      </c>
      <c r="O207" t="str">
        <f t="shared" si="40"/>
        <v>0.691830492289167-831.763195663127j</v>
      </c>
      <c r="P207">
        <f t="shared" si="47"/>
        <v>58.399996995417254</v>
      </c>
      <c r="Q207">
        <f t="shared" si="48"/>
        <v>-89.952343457354019</v>
      </c>
      <c r="R207">
        <f t="shared" si="49"/>
        <v>44.418059928078101</v>
      </c>
      <c r="S207">
        <f t="shared" si="50"/>
        <v>88.662917587727208</v>
      </c>
    </row>
    <row r="208" spans="7:19" x14ac:dyDescent="0.25">
      <c r="G208">
        <f t="shared" si="41"/>
        <v>3.1000000000000028</v>
      </c>
      <c r="H208">
        <f t="shared" si="39"/>
        <v>12589.254117941757</v>
      </c>
      <c r="I208" t="str">
        <f t="shared" si="42"/>
        <v>79100.6165022018j</v>
      </c>
      <c r="J208" t="str">
        <f>IMDIV(R_1,IMSUM('Opamp and C Stray Using B (2)'!R_1,IMPRODUCT('Opamp and C Stray Using B (2)'!R_f,IMSUM(1,IMPRODUCT(I208,C_s,R_1)))))</f>
        <v>0.199871940582372-0.00505919799089827j</v>
      </c>
      <c r="K208">
        <f t="shared" si="43"/>
        <v>-13.982181752283205</v>
      </c>
      <c r="L208">
        <f t="shared" si="44"/>
        <v>-1.4499724579498485</v>
      </c>
      <c r="M208">
        <f t="shared" si="45"/>
        <v>0.19987194058237201</v>
      </c>
      <c r="N208">
        <f t="shared" si="46"/>
        <v>-5.0591979908982702E-3</v>
      </c>
      <c r="O208" t="str">
        <f t="shared" si="40"/>
        <v>0.630956946373261-794.327733537356j</v>
      </c>
      <c r="P208">
        <f t="shared" si="47"/>
        <v>57.999997259787847</v>
      </c>
      <c r="Q208">
        <f t="shared" si="48"/>
        <v>-89.954488354174188</v>
      </c>
      <c r="R208">
        <f t="shared" si="49"/>
        <v>44.017815507504643</v>
      </c>
      <c r="S208">
        <f t="shared" si="50"/>
        <v>88.595539187875957</v>
      </c>
    </row>
    <row r="209" spans="7:19" x14ac:dyDescent="0.25">
      <c r="G209">
        <f t="shared" si="41"/>
        <v>3.1200000000000028</v>
      </c>
      <c r="H209">
        <f t="shared" si="39"/>
        <v>13182.567385564171</v>
      </c>
      <c r="I209" t="str">
        <f t="shared" si="42"/>
        <v>82828.5137078816j</v>
      </c>
      <c r="J209" t="str">
        <f>IMDIV(R_1,IMSUM('Opamp and C Stray Using B (2)'!R_1,IMPRODUCT('Opamp and C Stray Using B (2)'!R_f,IMSUM(1,IMPRODUCT(I209,C_s,R_1)))))</f>
        <v>0.199859594314281-0.00529730340713983j</v>
      </c>
      <c r="K209">
        <f t="shared" si="43"/>
        <v>-13.982450028145248</v>
      </c>
      <c r="L209">
        <f t="shared" si="44"/>
        <v>-1.5182762887604517</v>
      </c>
      <c r="M209">
        <f t="shared" si="45"/>
        <v>0.19985959431428099</v>
      </c>
      <c r="N209">
        <f t="shared" si="46"/>
        <v>-5.2973034071398303E-3</v>
      </c>
      <c r="O209" t="str">
        <f t="shared" si="40"/>
        <v>0.575439606206215-758.577138513595j</v>
      </c>
      <c r="P209">
        <f t="shared" si="47"/>
        <v>57.599997500896734</v>
      </c>
      <c r="Q209">
        <f t="shared" si="48"/>
        <v>-89.956536714854408</v>
      </c>
      <c r="R209">
        <f t="shared" si="49"/>
        <v>43.617547472751482</v>
      </c>
      <c r="S209">
        <f t="shared" si="50"/>
        <v>88.525186996385145</v>
      </c>
    </row>
    <row r="210" spans="7:19" x14ac:dyDescent="0.25">
      <c r="G210">
        <f t="shared" si="41"/>
        <v>3.1400000000000028</v>
      </c>
      <c r="H210">
        <f t="shared" si="39"/>
        <v>13803.84264602895</v>
      </c>
      <c r="I210" t="str">
        <f t="shared" si="42"/>
        <v>86732.1012961481j</v>
      </c>
      <c r="J210" t="str">
        <f>IMDIV(R_1,IMSUM('Opamp and C Stray Using B (2)'!R_1,IMPRODUCT('Opamp and C Stray Using B (2)'!R_f,IMSUM(1,IMPRODUCT(I210,C_s,R_1)))))</f>
        <v>0.199846058653509-0.00554658195288707j</v>
      </c>
      <c r="K210">
        <f t="shared" si="43"/>
        <v>-13.98274416773226</v>
      </c>
      <c r="L210">
        <f t="shared" si="44"/>
        <v>-1.589794550584428</v>
      </c>
      <c r="M210">
        <f t="shared" si="45"/>
        <v>0.19984605865350899</v>
      </c>
      <c r="N210">
        <f t="shared" si="46"/>
        <v>-5.5465819528870697E-3</v>
      </c>
      <c r="O210" t="str">
        <f t="shared" si="40"/>
        <v>0.524807184827035-724.435579885785j</v>
      </c>
      <c r="P210">
        <f t="shared" si="47"/>
        <v>57.199997720790662</v>
      </c>
      <c r="Q210">
        <f t="shared" si="48"/>
        <v>-89.958492884221286</v>
      </c>
      <c r="R210">
        <f t="shared" si="49"/>
        <v>43.217253553058399</v>
      </c>
      <c r="S210">
        <f t="shared" si="50"/>
        <v>88.451712565194285</v>
      </c>
    </row>
    <row r="211" spans="7:19" x14ac:dyDescent="0.25">
      <c r="G211">
        <f t="shared" si="41"/>
        <v>3.1600000000000028</v>
      </c>
      <c r="H211">
        <f t="shared" si="39"/>
        <v>14454.397707459377</v>
      </c>
      <c r="I211" t="str">
        <f t="shared" si="42"/>
        <v>90819.6592996391j</v>
      </c>
      <c r="J211" t="str">
        <f>IMDIV(R_1,IMSUM('Opamp and C Stray Using B (2)'!R_1,IMPRODUCT('Opamp and C Stray Using B (2)'!R_f,IMSUM(1,IMPRODUCT(I211,C_s,R_1)))))</f>
        <v>0.199831219203735-0.00580755303856469j</v>
      </c>
      <c r="K211">
        <f t="shared" si="43"/>
        <v>-13.983066662480477</v>
      </c>
      <c r="L211">
        <f t="shared" si="44"/>
        <v>-1.6646780497536084</v>
      </c>
      <c r="M211">
        <f t="shared" si="45"/>
        <v>0.19983121920373501</v>
      </c>
      <c r="N211">
        <f t="shared" si="46"/>
        <v>-5.8075530385646897E-3</v>
      </c>
      <c r="O211" t="str">
        <f t="shared" si="40"/>
        <v>0.478629863235974-691.830639787967j</v>
      </c>
      <c r="P211">
        <f t="shared" si="47"/>
        <v>56.799997921336342</v>
      </c>
      <c r="Q211">
        <f t="shared" si="48"/>
        <v>-89.960361011554042</v>
      </c>
      <c r="R211">
        <f t="shared" si="49"/>
        <v>42.816931258855867</v>
      </c>
      <c r="S211">
        <f t="shared" si="50"/>
        <v>88.374960938692354</v>
      </c>
    </row>
    <row r="212" spans="7:19" x14ac:dyDescent="0.25">
      <c r="G212">
        <f t="shared" si="41"/>
        <v>3.1800000000000028</v>
      </c>
      <c r="H212">
        <f t="shared" si="39"/>
        <v>15135.612484362187</v>
      </c>
      <c r="I212" t="str">
        <f t="shared" si="42"/>
        <v>95099.8579769084j</v>
      </c>
      <c r="J212" t="str">
        <f>IMDIV(R_1,IMSUM('Opamp and C Stray Using B (2)'!R_1,IMPRODUCT('Opamp and C Stray Using B (2)'!R_f,IMSUM(1,IMPRODUCT(I212,C_s,R_1)))))</f>
        <v>0.199814950603382-0.00608075949569428j</v>
      </c>
      <c r="K212">
        <f t="shared" si="43"/>
        <v>-13.983420243417763</v>
      </c>
      <c r="L212">
        <f t="shared" si="44"/>
        <v>-1.7430845985648464</v>
      </c>
      <c r="M212">
        <f t="shared" si="45"/>
        <v>0.199814950603382</v>
      </c>
      <c r="N212">
        <f t="shared" si="46"/>
        <v>-6.0807594956942797E-3</v>
      </c>
      <c r="O212" t="str">
        <f t="shared" si="40"/>
        <v>0.436515641694171-660.693159604566j</v>
      </c>
      <c r="P212">
        <f t="shared" si="47"/>
        <v>56.399998104236168</v>
      </c>
      <c r="Q212">
        <f t="shared" si="48"/>
        <v>-89.962145059385321</v>
      </c>
      <c r="R212">
        <f t="shared" si="49"/>
        <v>42.416577860818407</v>
      </c>
      <c r="S212">
        <f t="shared" si="50"/>
        <v>88.29477034204983</v>
      </c>
    </row>
    <row r="213" spans="7:19" x14ac:dyDescent="0.25">
      <c r="G213">
        <f t="shared" si="41"/>
        <v>3.2000000000000028</v>
      </c>
      <c r="H213">
        <f t="shared" si="39"/>
        <v>15848.931924611257</v>
      </c>
      <c r="I213" t="str">
        <f t="shared" si="42"/>
        <v>99581.7762032069j</v>
      </c>
      <c r="J213" t="str">
        <f>IMDIV(R_1,IMSUM('Opamp and C Stray Using B (2)'!R_1,IMPRODUCT('Opamp and C Stray Using B (2)'!R_f,IMSUM(1,IMPRODUCT(I213,C_s,R_1)))))</f>
        <v>0.19979711548212-0.00636676852479577j</v>
      </c>
      <c r="K213">
        <f t="shared" si="43"/>
        <v>-13.98380790412228</v>
      </c>
      <c r="L213">
        <f t="shared" si="44"/>
        <v>-1.8251793304984276</v>
      </c>
      <c r="M213">
        <f t="shared" si="45"/>
        <v>0.19979711548212001</v>
      </c>
      <c r="N213">
        <f t="shared" si="46"/>
        <v>-6.3667685247957703E-3</v>
      </c>
      <c r="O213" t="str">
        <f t="shared" si="40"/>
        <v>0.398107012064233-630.957093291643j</v>
      </c>
      <c r="P213">
        <f t="shared" si="47"/>
        <v>55.99999827104277</v>
      </c>
      <c r="Q213">
        <f t="shared" si="48"/>
        <v>-89.963848811905862</v>
      </c>
      <c r="R213">
        <f t="shared" si="49"/>
        <v>42.01619036692049</v>
      </c>
      <c r="S213">
        <f t="shared" si="50"/>
        <v>88.210971857595709</v>
      </c>
    </row>
    <row r="214" spans="7:19" x14ac:dyDescent="0.25">
      <c r="G214">
        <f t="shared" si="41"/>
        <v>3.2200000000000029</v>
      </c>
      <c r="H214">
        <f t="shared" si="39"/>
        <v>16595.869074375729</v>
      </c>
      <c r="I214" t="str">
        <f t="shared" si="42"/>
        <v>104274.920727994j</v>
      </c>
      <c r="J214" t="str">
        <f>IMDIV(R_1,IMSUM('Opamp and C Stray Using B (2)'!R_1,IMPRODUCT('Opamp and C Stray Using B (2)'!R_f,IMSUM(1,IMPRODUCT(I214,C_s,R_1)))))</f>
        <v>0.199777563319613-0.00666617266508299j</v>
      </c>
      <c r="K214">
        <f t="shared" si="43"/>
        <v>-13.984232925863797</v>
      </c>
      <c r="L214">
        <f t="shared" si="44"/>
        <v>-1.9111350280881632</v>
      </c>
      <c r="M214">
        <f t="shared" si="45"/>
        <v>0.19977756331961299</v>
      </c>
      <c r="N214">
        <f t="shared" si="46"/>
        <v>-6.6661726650829901E-3</v>
      </c>
      <c r="O214" t="str">
        <f t="shared" si="40"/>
        <v>0.363077922944467-602.559367298268j</v>
      </c>
      <c r="P214">
        <f t="shared" si="47"/>
        <v>55.599998423172238</v>
      </c>
      <c r="Q214">
        <f t="shared" si="48"/>
        <v>-89.965475882991115</v>
      </c>
      <c r="R214">
        <f t="shared" si="49"/>
        <v>41.615765497308445</v>
      </c>
      <c r="S214">
        <f t="shared" si="50"/>
        <v>88.123389088920717</v>
      </c>
    </row>
    <row r="215" spans="7:19" x14ac:dyDescent="0.25">
      <c r="G215">
        <f t="shared" si="41"/>
        <v>3.2400000000000029</v>
      </c>
      <c r="H215">
        <f t="shared" si="39"/>
        <v>17378.008287493882</v>
      </c>
      <c r="I215" t="str">
        <f t="shared" si="42"/>
        <v>109189.246340027j</v>
      </c>
      <c r="J215" t="str">
        <f>IMDIV(R_1,IMSUM('Opamp and C Stray Using B (2)'!R_1,IMPRODUCT('Opamp and C Stray Using B (2)'!R_f,IMSUM(1,IMPRODUCT(I215,C_s,R_1)))))</f>
        <v>0.199756129197623-0.00697959078364464j</v>
      </c>
      <c r="K215">
        <f t="shared" si="43"/>
        <v>-13.98469890513354</v>
      </c>
      <c r="L215">
        <f t="shared" si="44"/>
        <v>-2.0011324637158405</v>
      </c>
      <c r="M215">
        <f t="shared" si="45"/>
        <v>0.19975612919762301</v>
      </c>
      <c r="N215">
        <f t="shared" si="46"/>
        <v>-6.9795907836446404E-3</v>
      </c>
      <c r="O215" t="str">
        <f t="shared" si="40"/>
        <v>0.331131011834802-575.439746791143j</v>
      </c>
      <c r="P215">
        <f t="shared" si="47"/>
        <v>55.199998561915969</v>
      </c>
      <c r="Q215">
        <f t="shared" si="48"/>
        <v>-89.967029723866474</v>
      </c>
      <c r="R215">
        <f t="shared" si="49"/>
        <v>41.215299656782427</v>
      </c>
      <c r="S215">
        <f t="shared" si="50"/>
        <v>88.031837812417692</v>
      </c>
    </row>
    <row r="216" spans="7:19" x14ac:dyDescent="0.25">
      <c r="G216">
        <f t="shared" si="41"/>
        <v>3.2600000000000029</v>
      </c>
      <c r="H216">
        <f t="shared" si="39"/>
        <v>18197.008586099961</v>
      </c>
      <c r="I216" t="str">
        <f t="shared" si="42"/>
        <v>114335.176982804j</v>
      </c>
      <c r="J216" t="str">
        <f>IMDIV(R_1,IMSUM('Opamp and C Stray Using B (2)'!R_1,IMPRODUCT('Opamp and C Stray Using B (2)'!R_f,IMSUM(1,IMPRODUCT(I216,C_s,R_1)))))</f>
        <v>0.199732632435926-0.00730766908121691j</v>
      </c>
      <c r="K216">
        <f t="shared" si="43"/>
        <v>-13.985209783783413</v>
      </c>
      <c r="L216">
        <f t="shared" si="44"/>
        <v>-2.0953607535686851</v>
      </c>
      <c r="M216">
        <f t="shared" si="45"/>
        <v>0.19973263243592601</v>
      </c>
      <c r="N216">
        <f t="shared" si="46"/>
        <v>-7.3076690812169101E-3</v>
      </c>
      <c r="O216" t="str">
        <f t="shared" si="40"/>
        <v>0.30199508083914-549.540707898979j</v>
      </c>
      <c r="P216">
        <f t="shared" si="47"/>
        <v>54.799998688451758</v>
      </c>
      <c r="Q216">
        <f t="shared" si="48"/>
        <v>-89.968513630427609</v>
      </c>
      <c r="R216">
        <f t="shared" si="49"/>
        <v>40.814788904668347</v>
      </c>
      <c r="S216">
        <f t="shared" si="50"/>
        <v>87.936125616003707</v>
      </c>
    </row>
    <row r="217" spans="7:19" x14ac:dyDescent="0.25">
      <c r="G217">
        <f t="shared" si="41"/>
        <v>3.2800000000000029</v>
      </c>
      <c r="H217">
        <f t="shared" si="39"/>
        <v>19054.607179632618</v>
      </c>
      <c r="I217" t="str">
        <f t="shared" si="42"/>
        <v>119723.627865146j</v>
      </c>
      <c r="J217" t="str">
        <f>IMDIV(R_1,IMSUM('Opamp and C Stray Using B (2)'!R_1,IMPRODUCT('Opamp and C Stray Using B (2)'!R_f,IMSUM(1,IMPRODUCT(I217,C_s,R_1)))))</f>
        <v>0.199706875101626-0.00765108211096905j</v>
      </c>
      <c r="K217">
        <f t="shared" si="43"/>
        <v>-13.985769882019044</v>
      </c>
      <c r="L217">
        <f t="shared" si="44"/>
        <v>-2.1940177249562258</v>
      </c>
      <c r="M217">
        <f t="shared" si="45"/>
        <v>0.19970687510162599</v>
      </c>
      <c r="N217">
        <f t="shared" si="46"/>
        <v>-7.6510821109690499E-3</v>
      </c>
      <c r="O217" t="str">
        <f t="shared" si="40"/>
        <v>0.275422794476076-524.807315705832j</v>
      </c>
      <c r="P217">
        <f t="shared" si="47"/>
        <v>54.399998803853784</v>
      </c>
      <c r="Q217">
        <f t="shared" si="48"/>
        <v>-89.969930750231299</v>
      </c>
      <c r="R217">
        <f t="shared" si="49"/>
        <v>40.414228921834741</v>
      </c>
      <c r="S217">
        <f t="shared" si="50"/>
        <v>87.836051524812476</v>
      </c>
    </row>
    <row r="218" spans="7:19" x14ac:dyDescent="0.25">
      <c r="G218">
        <f t="shared" si="41"/>
        <v>3.3000000000000029</v>
      </c>
      <c r="H218">
        <f t="shared" si="39"/>
        <v>19952.623149688949</v>
      </c>
      <c r="I218" t="str">
        <f t="shared" si="42"/>
        <v>125366.028613817j</v>
      </c>
      <c r="J218" t="str">
        <f>IMDIV(R_1,IMSUM('Opamp and C Stray Using B (2)'!R_1,IMPRODUCT('Opamp and C Stray Using B (2)'!R_f,IMSUM(1,IMPRODUCT(I218,C_s,R_1)))))</f>
        <v>0.199678640380696-0.00801053380593099j</v>
      </c>
      <c r="K218">
        <f t="shared" si="43"/>
        <v>-13.98638393450933</v>
      </c>
      <c r="L218">
        <f t="shared" si="44"/>
        <v>-2.2973102971298158</v>
      </c>
      <c r="M218">
        <f t="shared" si="45"/>
        <v>0.19967864038069599</v>
      </c>
      <c r="N218">
        <f t="shared" si="46"/>
        <v>-8.0105338059309906E-3</v>
      </c>
      <c r="O218" t="str">
        <f t="shared" si="40"/>
        <v>0.251188580055234-501.187107734758j</v>
      </c>
      <c r="P218">
        <f t="shared" si="47"/>
        <v>53.999998909101635</v>
      </c>
      <c r="Q218">
        <f t="shared" si="48"/>
        <v>-89.971284089171704</v>
      </c>
      <c r="R218">
        <f t="shared" si="49"/>
        <v>40.013614974592301</v>
      </c>
      <c r="S218">
        <f t="shared" si="50"/>
        <v>87.731405613698485</v>
      </c>
    </row>
    <row r="219" spans="7:19" x14ac:dyDescent="0.25">
      <c r="G219">
        <f t="shared" si="41"/>
        <v>3.3200000000000029</v>
      </c>
      <c r="H219">
        <f t="shared" si="39"/>
        <v>20892.961308540547</v>
      </c>
      <c r="I219" t="str">
        <f t="shared" si="42"/>
        <v>131274.347517294j</v>
      </c>
      <c r="J219" t="str">
        <f>IMDIV(R_1,IMSUM('Opamp and C Stray Using B (2)'!R_1,IMPRODUCT('Opamp and C Stray Using B (2)'!R_f,IMSUM(1,IMPRODUCT(I219,C_s,R_1)))))</f>
        <v>0.19964769079963-0.00838675850977787j</v>
      </c>
      <c r="K219">
        <f t="shared" si="43"/>
        <v>-13.987057129901256</v>
      </c>
      <c r="L219">
        <f t="shared" si="44"/>
        <v>-2.4054548756856362</v>
      </c>
      <c r="M219">
        <f t="shared" si="45"/>
        <v>0.19964769079962999</v>
      </c>
      <c r="N219">
        <f t="shared" si="46"/>
        <v>-8.3867585097778703E-3</v>
      </c>
      <c r="O219" t="str">
        <f t="shared" si="40"/>
        <v>0.229086712796039-478.629982674839j</v>
      </c>
      <c r="P219">
        <f t="shared" si="47"/>
        <v>53.599999005088847</v>
      </c>
      <c r="Q219">
        <f t="shared" si="48"/>
        <v>-89.972576517856083</v>
      </c>
      <c r="R219">
        <f t="shared" si="49"/>
        <v>39.612941875187587</v>
      </c>
      <c r="S219">
        <f t="shared" si="50"/>
        <v>87.621968606458282</v>
      </c>
    </row>
    <row r="220" spans="7:19" x14ac:dyDescent="0.25">
      <c r="G220">
        <f t="shared" si="41"/>
        <v>3.340000000000003</v>
      </c>
      <c r="H220">
        <f t="shared" si="39"/>
        <v>21877.616239495685</v>
      </c>
      <c r="I220" t="str">
        <f t="shared" si="42"/>
        <v>137461.116912113j</v>
      </c>
      <c r="J220" t="str">
        <f>IMDIV(R_1,IMSUM('Opamp and C Stray Using B (2)'!R_1,IMPRODUCT('Opamp and C Stray Using B (2)'!R_f,IMSUM(1,IMPRODUCT(I220,C_s,R_1)))))</f>
        <v>0.199613766284215-0.00878052200462776j</v>
      </c>
      <c r="K220">
        <f t="shared" si="43"/>
        <v>-13.9877951540516</v>
      </c>
      <c r="L220">
        <f t="shared" si="44"/>
        <v>-2.5186777605543926</v>
      </c>
      <c r="M220">
        <f t="shared" si="45"/>
        <v>0.19961376628421501</v>
      </c>
      <c r="N220">
        <f t="shared" si="46"/>
        <v>-8.7805220046277607E-3</v>
      </c>
      <c r="O220" t="str">
        <f t="shared" si="40"/>
        <v>0.208929569433826-457.088094115633j</v>
      </c>
      <c r="P220">
        <f t="shared" si="47"/>
        <v>53.19999909263025</v>
      </c>
      <c r="Q220">
        <f t="shared" si="48"/>
        <v>-89.9738107776937</v>
      </c>
      <c r="R220">
        <f t="shared" si="49"/>
        <v>39.212203938578654</v>
      </c>
      <c r="S220">
        <f t="shared" si="50"/>
        <v>87.507511461751903</v>
      </c>
    </row>
    <row r="221" spans="7:19" x14ac:dyDescent="0.25">
      <c r="G221">
        <f t="shared" si="41"/>
        <v>3.360000000000003</v>
      </c>
      <c r="H221">
        <f t="shared" si="39"/>
        <v>22908.676527677912</v>
      </c>
      <c r="I221" t="str">
        <f t="shared" si="42"/>
        <v>143939.459765636j</v>
      </c>
      <c r="J221" t="str">
        <f>IMDIV(R_1,IMSUM('Opamp and C Stray Using B (2)'!R_1,IMPRODUCT('Opamp and C Stray Using B (2)'!R_f,IMSUM(1,IMPRODUCT(I221,C_s,R_1)))))</f>
        <v>0.199576582041423-0.00919262252829269j</v>
      </c>
      <c r="K221">
        <f t="shared" si="43"/>
        <v>-13.988604237315908</v>
      </c>
      <c r="L221">
        <f t="shared" si="44"/>
        <v>-2.6372155674901512</v>
      </c>
      <c r="M221">
        <f t="shared" si="45"/>
        <v>0.19957658204142301</v>
      </c>
      <c r="N221">
        <f t="shared" si="46"/>
        <v>-9.1926225282926901E-3</v>
      </c>
      <c r="O221" t="str">
        <f t="shared" si="40"/>
        <v>0.190546035488522-436.5157490638j</v>
      </c>
      <c r="P221">
        <f t="shared" si="47"/>
        <v>52.799999172468908</v>
      </c>
      <c r="Q221">
        <f t="shared" si="48"/>
        <v>-89.974989486710555</v>
      </c>
      <c r="R221">
        <f t="shared" si="49"/>
        <v>38.811394935153004</v>
      </c>
      <c r="S221">
        <f t="shared" si="50"/>
        <v>87.3877949457993</v>
      </c>
    </row>
    <row r="222" spans="7:19" x14ac:dyDescent="0.25">
      <c r="G222">
        <f t="shared" si="41"/>
        <v>3.380000000000003</v>
      </c>
      <c r="H222">
        <f t="shared" si="39"/>
        <v>23988.329190195091</v>
      </c>
      <c r="I222" t="str">
        <f t="shared" si="42"/>
        <v>150723.117511621j</v>
      </c>
      <c r="J222" t="str">
        <f>IMDIV(R_1,IMSUM('Opamp and C Stray Using B (2)'!R_1,IMPRODUCT('Opamp and C Stray Using B (2)'!R_f,IMSUM(1,IMPRODUCT(I222,C_s,R_1)))))</f>
        <v>0.199535826249448-0.00962389177202369j</v>
      </c>
      <c r="K222">
        <f t="shared" si="43"/>
        <v>-13.989491206262709</v>
      </c>
      <c r="L222">
        <f t="shared" si="44"/>
        <v>-2.7613156628615747</v>
      </c>
      <c r="M222">
        <f t="shared" si="45"/>
        <v>0.19953582624944799</v>
      </c>
      <c r="N222">
        <f t="shared" si="46"/>
        <v>-9.6238917720236905E-3</v>
      </c>
      <c r="O222" t="str">
        <f t="shared" si="40"/>
        <v>0.173780052675423-416.869311026749j</v>
      </c>
      <c r="P222">
        <f t="shared" si="47"/>
        <v>52.399999245282693</v>
      </c>
      <c r="Q222">
        <f t="shared" si="48"/>
        <v>-89.976115145102497</v>
      </c>
      <c r="R222">
        <f t="shared" si="49"/>
        <v>38.410508039019987</v>
      </c>
      <c r="S222">
        <f t="shared" si="50"/>
        <v>87.262569192035926</v>
      </c>
    </row>
    <row r="223" spans="7:19" x14ac:dyDescent="0.25">
      <c r="G223">
        <f t="shared" si="41"/>
        <v>3.400000000000003</v>
      </c>
      <c r="H223">
        <f t="shared" si="39"/>
        <v>25118.864315095991</v>
      </c>
      <c r="I223" t="str">
        <f t="shared" si="42"/>
        <v>157826.479197649j</v>
      </c>
      <c r="J223" t="str">
        <f>IMDIV(R_1,IMSUM('Opamp and C Stray Using B (2)'!R_1,IMPRODUCT('Opamp and C Stray Using B (2)'!R_f,IMSUM(1,IMPRODUCT(I223,C_s,R_1)))))</f>
        <v>0.199491157539857-0.0100751958481853j</v>
      </c>
      <c r="K223">
        <f t="shared" si="43"/>
        <v>-13.990463540212957</v>
      </c>
      <c r="L223">
        <f t="shared" si="44"/>
        <v>-2.8912366114205081</v>
      </c>
      <c r="M223">
        <f t="shared" si="45"/>
        <v>0.19949115753985699</v>
      </c>
      <c r="N223">
        <f t="shared" si="46"/>
        <v>-1.00751958481853E-2</v>
      </c>
      <c r="O223" t="str">
        <f t="shared" si="40"/>
        <v>0.158489294127249-398.10710745777j</v>
      </c>
      <c r="P223">
        <f t="shared" si="47"/>
        <v>51.999999311689621</v>
      </c>
      <c r="Q223">
        <f t="shared" si="48"/>
        <v>-89.977190140538426</v>
      </c>
      <c r="R223">
        <f t="shared" si="49"/>
        <v>38.009535771476664</v>
      </c>
      <c r="S223">
        <f t="shared" si="50"/>
        <v>87.131573248041065</v>
      </c>
    </row>
    <row r="224" spans="7:19" x14ac:dyDescent="0.25">
      <c r="G224">
        <f t="shared" si="41"/>
        <v>3.420000000000003</v>
      </c>
      <c r="H224">
        <f t="shared" si="39"/>
        <v>26302.679918954014</v>
      </c>
      <c r="I224" t="str">
        <f t="shared" si="42"/>
        <v>165264.612006219j</v>
      </c>
      <c r="J224" t="str">
        <f>IMDIV(R_1,IMSUM('Opamp and C Stray Using B (2)'!R_1,IMPRODUCT('Opamp and C Stray Using B (2)'!R_f,IMSUM(1,IMPRODUCT(I224,C_s,R_1)))))</f>
        <v>0.199442202254782-0.0105474362154567j</v>
      </c>
      <c r="K224">
        <f t="shared" si="43"/>
        <v>-13.991529433037028</v>
      </c>
      <c r="L224">
        <f t="shared" si="44"/>
        <v>-3.0272486365714681</v>
      </c>
      <c r="M224">
        <f t="shared" si="45"/>
        <v>0.19944220225478199</v>
      </c>
      <c r="N224">
        <f t="shared" si="46"/>
        <v>-1.05474362154567E-2</v>
      </c>
      <c r="O224" t="str">
        <f t="shared" si="40"/>
        <v>0.144543956181634-380.189341366481j</v>
      </c>
      <c r="P224">
        <f t="shared" si="47"/>
        <v>51.599999372253514</v>
      </c>
      <c r="Q224">
        <f t="shared" si="48"/>
        <v>-89.978216753224757</v>
      </c>
      <c r="R224">
        <f t="shared" si="49"/>
        <v>37.608469939216484</v>
      </c>
      <c r="S224">
        <f t="shared" si="50"/>
        <v>86.994534610203772</v>
      </c>
    </row>
    <row r="225" spans="7:19" x14ac:dyDescent="0.25">
      <c r="G225">
        <f t="shared" si="41"/>
        <v>3.4400000000000031</v>
      </c>
      <c r="H225">
        <f t="shared" si="39"/>
        <v>27542.287033381886</v>
      </c>
      <c r="I225" t="str">
        <f t="shared" si="42"/>
        <v>173053.293214268j</v>
      </c>
      <c r="J225" t="str">
        <f>IMDIV(R_1,IMSUM('Opamp and C Stray Using B (2)'!R_1,IMPRODUCT('Opamp and C Stray Using B (2)'!R_f,IMSUM(1,IMPRODUCT(I225,C_s,R_1)))))</f>
        <v>0.199388551461005-0.0110415505470558j</v>
      </c>
      <c r="K225">
        <f t="shared" si="43"/>
        <v>-13.992697860677609</v>
      </c>
      <c r="L225">
        <f t="shared" si="44"/>
        <v>-3.1696340924885864</v>
      </c>
      <c r="M225">
        <f t="shared" si="45"/>
        <v>0.19938855146100501</v>
      </c>
      <c r="N225">
        <f t="shared" si="46"/>
        <v>-1.1041550547055801E-2</v>
      </c>
      <c r="O225" t="str">
        <f t="shared" si="40"/>
        <v>0.131825656477632-363.078006907095j</v>
      </c>
      <c r="P225">
        <f t="shared" si="47"/>
        <v>51.199999427488329</v>
      </c>
      <c r="Q225">
        <f t="shared" si="48"/>
        <v>-89.979197160741975</v>
      </c>
      <c r="R225">
        <f t="shared" si="49"/>
        <v>37.20730156681072</v>
      </c>
      <c r="S225">
        <f t="shared" si="50"/>
        <v>86.851168746769432</v>
      </c>
    </row>
    <row r="226" spans="7:19" x14ac:dyDescent="0.25">
      <c r="G226">
        <f t="shared" si="41"/>
        <v>3.4600000000000031</v>
      </c>
      <c r="H226">
        <f t="shared" si="39"/>
        <v>28840.315031266287</v>
      </c>
      <c r="I226" t="str">
        <f t="shared" si="42"/>
        <v>181209.043658883j</v>
      </c>
      <c r="J226" t="str">
        <f>IMDIV(R_1,IMSUM('Opamp and C Stray Using B (2)'!R_1,IMPRODUCT('Opamp and C Stray Using B (2)'!R_f,IMSUM(1,IMPRODUCT(I226,C_s,R_1)))))</f>
        <v>0.19932975770176-0.0115585135250857j</v>
      </c>
      <c r="K226">
        <f t="shared" si="43"/>
        <v>-13.993978654902953</v>
      </c>
      <c r="L226">
        <f t="shared" si="44"/>
        <v>-3.3186879472193511</v>
      </c>
      <c r="M226">
        <f t="shared" si="45"/>
        <v>0.19932975770176001</v>
      </c>
      <c r="N226">
        <f t="shared" si="46"/>
        <v>-1.15585135250857E-2</v>
      </c>
      <c r="O226" t="str">
        <f t="shared" si="40"/>
        <v>0.120226429007343-346.736808765595j</v>
      </c>
      <c r="P226">
        <f t="shared" si="47"/>
        <v>50.799999477863139</v>
      </c>
      <c r="Q226">
        <f t="shared" si="48"/>
        <v>-89.980133442663572</v>
      </c>
      <c r="R226">
        <f t="shared" si="49"/>
        <v>36.806020822960186</v>
      </c>
      <c r="S226">
        <f t="shared" si="50"/>
        <v>86.701178610117083</v>
      </c>
    </row>
    <row r="227" spans="7:19" x14ac:dyDescent="0.25">
      <c r="G227">
        <f t="shared" si="41"/>
        <v>3.4800000000000031</v>
      </c>
      <c r="H227">
        <f t="shared" si="39"/>
        <v>30199.517204020391</v>
      </c>
      <c r="I227" t="str">
        <f t="shared" si="42"/>
        <v>189749.162780218j</v>
      </c>
      <c r="J227" t="str">
        <f>IMDIV(R_1,IMSUM('Opamp and C Stray Using B (2)'!R_1,IMPRODUCT('Opamp and C Stray Using B (2)'!R_f,IMSUM(1,IMPRODUCT(I227,C_s,R_1)))))</f>
        <v>0.199265331466025-0.0120993375413763j</v>
      </c>
      <c r="K227">
        <f t="shared" si="43"/>
        <v>-13.995382583836022</v>
      </c>
      <c r="L227">
        <f t="shared" si="44"/>
        <v>-3.474718275674797</v>
      </c>
      <c r="M227">
        <f t="shared" si="45"/>
        <v>0.19926533146602499</v>
      </c>
      <c r="N227">
        <f t="shared" si="46"/>
        <v>-1.20993375413763E-2</v>
      </c>
      <c r="O227" t="str">
        <f t="shared" si="40"/>
        <v>0.109647807591674-331.131085174787j</v>
      </c>
      <c r="P227">
        <f t="shared" si="47"/>
        <v>50.399999523805533</v>
      </c>
      <c r="Q227">
        <f t="shared" si="48"/>
        <v>-89.981027584967052</v>
      </c>
      <c r="R227">
        <f t="shared" si="49"/>
        <v>36.404616939969515</v>
      </c>
      <c r="S227">
        <f t="shared" si="50"/>
        <v>86.544254139358145</v>
      </c>
    </row>
    <row r="228" spans="7:19" x14ac:dyDescent="0.25">
      <c r="G228">
        <f t="shared" si="41"/>
        <v>3.5000000000000031</v>
      </c>
      <c r="H228">
        <f t="shared" si="39"/>
        <v>31622.776601684025</v>
      </c>
      <c r="I228" t="str">
        <f t="shared" si="42"/>
        <v>198691.765315923j</v>
      </c>
      <c r="J228" t="str">
        <f>IMDIV(R_1,IMSUM('Opamp and C Stray Using B (2)'!R_1,IMPRODUCT('Opamp and C Stray Using B (2)'!R_f,IMSUM(1,IMPRODUCT(I228,C_s,R_1)))))</f>
        <v>0.199194737354152-0.0126650732820922j</v>
      </c>
      <c r="K228">
        <f t="shared" si="43"/>
        <v>-13.996921439845</v>
      </c>
      <c r="L228">
        <f t="shared" si="44"/>
        <v>-3.6380467611256226</v>
      </c>
      <c r="M228">
        <f t="shared" si="45"/>
        <v>0.199194737354152</v>
      </c>
      <c r="N228">
        <f t="shared" si="46"/>
        <v>-1.2665073282092199E-2</v>
      </c>
      <c r="O228" t="str">
        <f t="shared" si="40"/>
        <v>0.0999999900000003-316.227734394063j</v>
      </c>
      <c r="P228">
        <f t="shared" si="47"/>
        <v>49.999999565705494</v>
      </c>
      <c r="Q228">
        <f t="shared" si="48"/>
        <v>-89.981881484246344</v>
      </c>
      <c r="R228">
        <f t="shared" si="49"/>
        <v>36.003078125860497</v>
      </c>
      <c r="S228">
        <f t="shared" si="50"/>
        <v>86.380071754628034</v>
      </c>
    </row>
    <row r="229" spans="7:19" x14ac:dyDescent="0.25">
      <c r="G229">
        <f t="shared" si="41"/>
        <v>3.5200000000000031</v>
      </c>
      <c r="H229">
        <f t="shared" si="39"/>
        <v>33113.112148259344</v>
      </c>
      <c r="I229" t="str">
        <f t="shared" si="42"/>
        <v>208055.819724933j</v>
      </c>
      <c r="J229" t="str">
        <f>IMDIV(R_1,IMSUM('Opamp and C Stray Using B (2)'!R_1,IMPRODUCT('Opamp and C Stray Using B (2)'!R_f,IMSUM(1,IMPRODUCT(I229,C_s,R_1)))))</f>
        <v>0.199117389917814-0.0132568101698688j</v>
      </c>
      <c r="K229">
        <f t="shared" si="43"/>
        <v>-13.998608135424337</v>
      </c>
      <c r="L229">
        <f t="shared" si="44"/>
        <v>-3.8090092035022192</v>
      </c>
      <c r="M229">
        <f t="shared" si="45"/>
        <v>0.199117389917814</v>
      </c>
      <c r="N229">
        <f t="shared" si="46"/>
        <v>-1.32568101698688E-2</v>
      </c>
      <c r="O229" t="str">
        <f t="shared" si="40"/>
        <v>0.0912010756179524-301.995144497914j</v>
      </c>
      <c r="P229">
        <f t="shared" si="47"/>
        <v>49.599999603918654</v>
      </c>
      <c r="Q229">
        <f t="shared" si="48"/>
        <v>-89.982696951734795</v>
      </c>
      <c r="R229">
        <f t="shared" si="49"/>
        <v>35.601391468494313</v>
      </c>
      <c r="S229">
        <f t="shared" si="50"/>
        <v>86.208293844762991</v>
      </c>
    </row>
    <row r="230" spans="7:19" x14ac:dyDescent="0.25">
      <c r="G230">
        <f t="shared" si="41"/>
        <v>3.5400000000000031</v>
      </c>
      <c r="H230">
        <f t="shared" si="39"/>
        <v>34673.685045253471</v>
      </c>
      <c r="I230" t="str">
        <f t="shared" si="42"/>
        <v>217861.188422109j</v>
      </c>
      <c r="J230" t="str">
        <f>IMDIV(R_1,IMSUM('Opamp and C Stray Using B (2)'!R_1,IMPRODUCT('Opamp and C Stray Using B (2)'!R_f,IMSUM(1,IMPRODUCT(I230,C_s,R_1)))))</f>
        <v>0.199032649151525-0.0138756766332646j</v>
      </c>
      <c r="K230">
        <f t="shared" si="43"/>
        <v>-14.000456807740594</v>
      </c>
      <c r="L230">
        <f t="shared" si="44"/>
        <v>-3.9879560324240022</v>
      </c>
      <c r="M230">
        <f t="shared" si="45"/>
        <v>0.19903264915152499</v>
      </c>
      <c r="N230">
        <f t="shared" si="46"/>
        <v>-1.38756766332646E-2</v>
      </c>
      <c r="O230" t="str">
        <f t="shared" si="40"/>
        <v>0.0831763701919568-288.403126324331j</v>
      </c>
      <c r="P230">
        <f t="shared" si="47"/>
        <v>49.199999638769533</v>
      </c>
      <c r="Q230">
        <f t="shared" si="48"/>
        <v>-89.983475717146959</v>
      </c>
      <c r="R230">
        <f t="shared" si="49"/>
        <v>35.199542831028936</v>
      </c>
      <c r="S230">
        <f t="shared" si="50"/>
        <v>86.028568250429032</v>
      </c>
    </row>
    <row r="231" spans="7:19" x14ac:dyDescent="0.25">
      <c r="G231">
        <f t="shared" si="41"/>
        <v>3.5600000000000032</v>
      </c>
      <c r="H231">
        <f t="shared" si="39"/>
        <v>36307.80547701045</v>
      </c>
      <c r="I231" t="str">
        <f t="shared" si="42"/>
        <v>228128.669909087j</v>
      </c>
      <c r="J231" t="str">
        <f>IMDIV(R_1,IMSUM('Opamp and C Stray Using B (2)'!R_1,IMPRODUCT('Opamp and C Stray Using B (2)'!R_f,IMSUM(1,IMPRODUCT(I231,C_s,R_1)))))</f>
        <v>0.198939815612474-0.0145228401688424j</v>
      </c>
      <c r="K231">
        <f t="shared" si="43"/>
        <v>-14.002482932563087</v>
      </c>
      <c r="L231">
        <f t="shared" si="44"/>
        <v>-4.175252822456776</v>
      </c>
      <c r="M231">
        <f t="shared" si="45"/>
        <v>0.19893981561247401</v>
      </c>
      <c r="N231">
        <f t="shared" si="46"/>
        <v>-1.4522840168842401E-2</v>
      </c>
      <c r="O231" t="str">
        <f t="shared" si="40"/>
        <v>0.0758577517485179-275.422849440854j</v>
      </c>
      <c r="P231">
        <f t="shared" si="47"/>
        <v>48.799999670553866</v>
      </c>
      <c r="Q231">
        <f t="shared" si="48"/>
        <v>-89.984219432347516</v>
      </c>
      <c r="R231">
        <f t="shared" si="49"/>
        <v>34.797516737990776</v>
      </c>
      <c r="S231">
        <f t="shared" si="50"/>
        <v>85.840527745195715</v>
      </c>
    </row>
    <row r="232" spans="7:19" x14ac:dyDescent="0.25">
      <c r="G232">
        <f t="shared" si="41"/>
        <v>3.5800000000000032</v>
      </c>
      <c r="H232">
        <f t="shared" si="39"/>
        <v>38018.939632056441</v>
      </c>
      <c r="I232" t="str">
        <f t="shared" si="42"/>
        <v>238880.042890685j</v>
      </c>
      <c r="J232" t="str">
        <f>IMDIV(R_1,IMSUM('Opamp and C Stray Using B (2)'!R_1,IMPRODUCT('Opamp and C Stray Using B (2)'!R_f,IMSUM(1,IMPRODUCT(I232,C_s,R_1)))))</f>
        <v>0.198838125145159-0.0151995071561532j</v>
      </c>
      <c r="K232">
        <f t="shared" si="43"/>
        <v>-14.004703448346095</v>
      </c>
      <c r="L232">
        <f t="shared" si="44"/>
        <v>-4.3712808076055474</v>
      </c>
      <c r="M232">
        <f t="shared" si="45"/>
        <v>0.198838125145159</v>
      </c>
      <c r="N232">
        <f t="shared" si="46"/>
        <v>-1.5199507156153201E-2</v>
      </c>
      <c r="O232" t="str">
        <f t="shared" si="40"/>
        <v>0.0691830923055917-263.026780992528j</v>
      </c>
      <c r="P232">
        <f t="shared" si="47"/>
        <v>48.399999699541539</v>
      </c>
      <c r="Q232">
        <f t="shared" si="48"/>
        <v>-89.984929674855138</v>
      </c>
      <c r="R232">
        <f t="shared" si="49"/>
        <v>34.395296251195447</v>
      </c>
      <c r="S232">
        <f t="shared" si="50"/>
        <v>85.643789517539318</v>
      </c>
    </row>
    <row r="233" spans="7:19" x14ac:dyDescent="0.25">
      <c r="G233">
        <f t="shared" si="41"/>
        <v>3.6000000000000032</v>
      </c>
      <c r="H233">
        <f t="shared" si="39"/>
        <v>39810.717055350047</v>
      </c>
      <c r="I233" t="str">
        <f t="shared" si="42"/>
        <v>250138.112470459j</v>
      </c>
      <c r="J233" t="str">
        <f>IMDIV(R_1,IMSUM('Opamp and C Stray Using B (2)'!R_1,IMPRODUCT('Opamp and C Stray Using B (2)'!R_f,IMSUM(1,IMPRODUCT(I233,C_s,R_1)))))</f>
        <v>0.198726743187388-0.0159069223802545j</v>
      </c>
      <c r="K233">
        <f t="shared" si="43"/>
        <v>-14.007136891276419</v>
      </c>
      <c r="L233">
        <f t="shared" si="44"/>
        <v>-4.5764373914906002</v>
      </c>
      <c r="M233">
        <f t="shared" si="45"/>
        <v>0.19872674318738801</v>
      </c>
      <c r="N233">
        <f t="shared" si="46"/>
        <v>-1.5906922380254498E-2</v>
      </c>
      <c r="O233" t="str">
        <f t="shared" si="40"/>
        <v>0.063095730466947-251.188627302025j</v>
      </c>
      <c r="P233">
        <f t="shared" si="47"/>
        <v>47.99999972597864</v>
      </c>
      <c r="Q233">
        <f t="shared" si="48"/>
        <v>-89.985607951188527</v>
      </c>
      <c r="R233">
        <f t="shared" si="49"/>
        <v>33.992862834702223</v>
      </c>
      <c r="S233">
        <f t="shared" si="50"/>
        <v>85.437954657320873</v>
      </c>
    </row>
    <row r="234" spans="7:19" x14ac:dyDescent="0.25">
      <c r="G234">
        <f t="shared" si="41"/>
        <v>3.6200000000000032</v>
      </c>
      <c r="H234">
        <f t="shared" si="39"/>
        <v>41686.938347033873</v>
      </c>
      <c r="I234" t="str">
        <f t="shared" si="42"/>
        <v>261926.758523384j</v>
      </c>
      <c r="J234" t="str">
        <f>IMDIV(R_1,IMSUM('Opamp and C Stray Using B (2)'!R_1,IMPRODUCT('Opamp and C Stray Using B (2)'!R_f,IMSUM(1,IMPRODUCT(I234,C_s,R_1)))))</f>
        <v>0.198604758634735-0.0166463682100849j</v>
      </c>
      <c r="K234">
        <f t="shared" si="43"/>
        <v>-14.009803542146829</v>
      </c>
      <c r="L234">
        <f t="shared" si="44"/>
        <v>-4.7911366490143399</v>
      </c>
      <c r="M234">
        <f t="shared" si="45"/>
        <v>0.19860475863473501</v>
      </c>
      <c r="N234">
        <f t="shared" si="46"/>
        <v>-1.6646368210084899E-2</v>
      </c>
      <c r="O234" t="str">
        <f t="shared" si="40"/>
        <v>0.0575439904224039-239.883278098106j</v>
      </c>
      <c r="P234">
        <f t="shared" si="47"/>
        <v>47.59999975008958</v>
      </c>
      <c r="Q234">
        <f t="shared" si="48"/>
        <v>-89.98625570006196</v>
      </c>
      <c r="R234">
        <f t="shared" si="49"/>
        <v>33.590196207942753</v>
      </c>
      <c r="S234">
        <f t="shared" si="50"/>
        <v>85.222607650923706</v>
      </c>
    </row>
    <row r="235" spans="7:19" x14ac:dyDescent="0.25">
      <c r="G235">
        <f t="shared" si="41"/>
        <v>3.6400000000000032</v>
      </c>
      <c r="H235">
        <f t="shared" si="39"/>
        <v>43651.58322401694</v>
      </c>
      <c r="I235" t="str">
        <f t="shared" si="42"/>
        <v>274270.98634827j</v>
      </c>
      <c r="J235" t="str">
        <f>IMDIV(R_1,IMSUM('Opamp and C Stray Using B (2)'!R_1,IMPRODUCT('Opamp and C Stray Using B (2)'!R_f,IMSUM(1,IMPRODUCT(I235,C_s,R_1)))))</f>
        <v>0.198471177241616-0.0174191633740033j</v>
      </c>
      <c r="K235">
        <f t="shared" si="43"/>
        <v>-14.012725585960801</v>
      </c>
      <c r="L235">
        <f t="shared" si="44"/>
        <v>-5.0158098146005949</v>
      </c>
      <c r="M235">
        <f t="shared" si="45"/>
        <v>0.198471177241616</v>
      </c>
      <c r="N235">
        <f t="shared" si="46"/>
        <v>-1.7419163374003298E-2</v>
      </c>
      <c r="O235" t="str">
        <f t="shared" si="40"/>
        <v>0.052480743270748-229.086753254132j</v>
      </c>
      <c r="P235">
        <f t="shared" si="47"/>
        <v>47.199999772078968</v>
      </c>
      <c r="Q235">
        <f t="shared" si="48"/>
        <v>-89.986874295436962</v>
      </c>
      <c r="R235">
        <f t="shared" si="49"/>
        <v>33.187274186118167</v>
      </c>
      <c r="S235">
        <f t="shared" si="50"/>
        <v>84.997315889962437</v>
      </c>
    </row>
    <row r="236" spans="7:19" x14ac:dyDescent="0.25">
      <c r="G236">
        <f t="shared" si="41"/>
        <v>3.6600000000000033</v>
      </c>
      <c r="H236">
        <f t="shared" si="39"/>
        <v>45708.81896148785</v>
      </c>
      <c r="I236" t="str">
        <f t="shared" si="42"/>
        <v>287196.979707352j</v>
      </c>
      <c r="J236" t="str">
        <f>IMDIV(R_1,IMSUM('Opamp and C Stray Using B (2)'!R_1,IMPRODUCT('Opamp and C Stray Using B (2)'!R_f,IMSUM(1,IMPRODUCT(I236,C_s,R_1)))))</f>
        <v>0.19832491453896-0.0182266612660186j</v>
      </c>
      <c r="K236">
        <f t="shared" si="43"/>
        <v>-14.015927285214625</v>
      </c>
      <c r="L236">
        <f t="shared" si="44"/>
        <v>-5.250905751260877</v>
      </c>
      <c r="M236">
        <f t="shared" si="45"/>
        <v>0.19832491453896001</v>
      </c>
      <c r="N236">
        <f t="shared" si="46"/>
        <v>-1.8226661266018601E-2</v>
      </c>
      <c r="O236" t="str">
        <f t="shared" si="40"/>
        <v>0.0478630069413957-218.776151923669j</v>
      </c>
      <c r="P236">
        <f t="shared" si="47"/>
        <v>46.799999792133548</v>
      </c>
      <c r="Q236">
        <f t="shared" si="48"/>
        <v>-89.987465049436693</v>
      </c>
      <c r="R236">
        <f t="shared" si="49"/>
        <v>32.784072506918925</v>
      </c>
      <c r="S236">
        <f t="shared" si="50"/>
        <v>84.761629199302433</v>
      </c>
    </row>
    <row r="237" spans="7:19" x14ac:dyDescent="0.25">
      <c r="G237">
        <f t="shared" si="41"/>
        <v>3.6800000000000033</v>
      </c>
      <c r="H237">
        <f t="shared" si="39"/>
        <v>47863.009232264194</v>
      </c>
      <c r="I237" t="str">
        <f t="shared" si="42"/>
        <v>300732.156365563j</v>
      </c>
      <c r="J237" t="str">
        <f>IMDIV(R_1,IMSUM('Opamp and C Stray Using B (2)'!R_1,IMPRODUCT('Opamp and C Stray Using B (2)'!R_f,IMSUM(1,IMPRODUCT(I237,C_s,R_1)))))</f>
        <v>0.198164788251023-0.0190702477076657j</v>
      </c>
      <c r="K237">
        <f t="shared" si="43"/>
        <v>-14.01943516784312</v>
      </c>
      <c r="L237">
        <f t="shared" si="44"/>
        <v>-5.4968913938121604</v>
      </c>
      <c r="M237">
        <f t="shared" si="45"/>
        <v>0.19816478825102299</v>
      </c>
      <c r="N237">
        <f t="shared" si="46"/>
        <v>-1.9070247707665699E-2</v>
      </c>
      <c r="O237" t="str">
        <f t="shared" si="40"/>
        <v>0.0436515813185555-208.929603965295j</v>
      </c>
      <c r="P237">
        <f t="shared" si="47"/>
        <v>46.399999810423544</v>
      </c>
      <c r="Q237">
        <f t="shared" si="48"/>
        <v>-89.988029215129089</v>
      </c>
      <c r="R237">
        <f t="shared" si="49"/>
        <v>32.380564642580424</v>
      </c>
      <c r="S237">
        <f t="shared" si="50"/>
        <v>84.515079391058748</v>
      </c>
    </row>
    <row r="238" spans="7:19" x14ac:dyDescent="0.25">
      <c r="G238">
        <f t="shared" si="41"/>
        <v>3.7000000000000033</v>
      </c>
      <c r="H238">
        <f t="shared" si="39"/>
        <v>50118.72336272768</v>
      </c>
      <c r="I238" t="str">
        <f t="shared" si="42"/>
        <v>314905.226247289j</v>
      </c>
      <c r="J238" t="str">
        <f>IMDIV(R_1,IMSUM('Opamp and C Stray Using B (2)'!R_1,IMPRODUCT('Opamp and C Stray Using B (2)'!R_f,IMSUM(1,IMPRODUCT(I238,C_s,R_1)))))</f>
        <v>0.197989510197645-0.0199513380810815j</v>
      </c>
      <c r="K238">
        <f t="shared" si="43"/>
        <v>-14.023278230843871</v>
      </c>
      <c r="L238">
        <f t="shared" si="44"/>
        <v>-5.7542521585180193</v>
      </c>
      <c r="M238">
        <f t="shared" si="45"/>
        <v>0.19798951019764499</v>
      </c>
      <c r="N238">
        <f t="shared" si="46"/>
        <v>-1.9951338081081502E-2</v>
      </c>
      <c r="O238" t="str">
        <f t="shared" si="40"/>
        <v>0.0398107154704558-199.526223553604j</v>
      </c>
      <c r="P238">
        <f t="shared" si="47"/>
        <v>45.999999827104176</v>
      </c>
      <c r="Q238">
        <f t="shared" si="48"/>
        <v>-89.988567989184787</v>
      </c>
      <c r="R238">
        <f t="shared" si="49"/>
        <v>31.976721596260305</v>
      </c>
      <c r="S238">
        <f t="shared" si="50"/>
        <v>84.257179852297199</v>
      </c>
    </row>
    <row r="239" spans="7:19" x14ac:dyDescent="0.25">
      <c r="G239">
        <f t="shared" si="41"/>
        <v>3.7200000000000033</v>
      </c>
      <c r="H239">
        <f t="shared" si="39"/>
        <v>52480.746024977721</v>
      </c>
      <c r="I239" t="str">
        <f t="shared" si="42"/>
        <v>329746.252333963j</v>
      </c>
      <c r="J239" t="str">
        <f>IMDIV(R_1,IMSUM('Opamp and C Stray Using B (2)'!R_1,IMPRODUCT('Opamp and C Stray Using B (2)'!R_f,IMSUM(1,IMPRODUCT(I239,C_s,R_1)))))</f>
        <v>0.197797677673165-0.0208713737385879j</v>
      </c>
      <c r="K239">
        <f t="shared" si="43"/>
        <v>-14.027488160619674</v>
      </c>
      <c r="L239">
        <f t="shared" si="44"/>
        <v>-6.0234923102438644</v>
      </c>
      <c r="M239">
        <f t="shared" si="45"/>
        <v>0.197797677673165</v>
      </c>
      <c r="N239">
        <f t="shared" si="46"/>
        <v>-2.0871373738587901E-2</v>
      </c>
      <c r="O239" t="str">
        <f t="shared" si="40"/>
        <v>0.036307804158753-190.546064878014j</v>
      </c>
      <c r="P239">
        <f t="shared" si="47"/>
        <v>45.599999842317153</v>
      </c>
      <c r="Q239">
        <f t="shared" si="48"/>
        <v>-89.989082514415401</v>
      </c>
      <c r="R239">
        <f t="shared" si="49"/>
        <v>31.572511681697478</v>
      </c>
      <c r="S239">
        <f t="shared" si="50"/>
        <v>83.987425175340732</v>
      </c>
    </row>
    <row r="240" spans="7:19" x14ac:dyDescent="0.25">
      <c r="G240">
        <f t="shared" si="41"/>
        <v>3.7400000000000033</v>
      </c>
      <c r="H240">
        <f t="shared" si="39"/>
        <v>54954.087385762934</v>
      </c>
      <c r="I240" t="str">
        <f t="shared" si="42"/>
        <v>345286.714431689j</v>
      </c>
      <c r="J240" t="str">
        <f>IMDIV(R_1,IMSUM('Opamp and C Stray Using B (2)'!R_1,IMPRODUCT('Opamp and C Stray Using B (2)'!R_f,IMSUM(1,IMPRODUCT(I240,C_s,R_1)))))</f>
        <v>0.197587764299739-0.0218318175830272j</v>
      </c>
      <c r="K240">
        <f t="shared" si="43"/>
        <v>-14.03209957108877</v>
      </c>
      <c r="L240">
        <f t="shared" si="44"/>
        <v>-6.3051352768980298</v>
      </c>
      <c r="M240">
        <f t="shared" si="45"/>
        <v>0.19758776429973901</v>
      </c>
      <c r="N240">
        <f t="shared" si="46"/>
        <v>-2.1831817583027199E-2</v>
      </c>
      <c r="O240" t="str">
        <f t="shared" si="40"/>
        <v>0.0331131110517803-181.970079835401j</v>
      </c>
      <c r="P240">
        <f t="shared" si="47"/>
        <v>45.199999856191504</v>
      </c>
      <c r="Q240">
        <f t="shared" si="48"/>
        <v>-89.989573882197618</v>
      </c>
      <c r="R240">
        <f t="shared" si="49"/>
        <v>31.167900285102732</v>
      </c>
      <c r="S240">
        <f t="shared" si="50"/>
        <v>83.705290840904354</v>
      </c>
    </row>
    <row r="241" spans="7:19" x14ac:dyDescent="0.25">
      <c r="G241">
        <f t="shared" si="41"/>
        <v>3.7600000000000033</v>
      </c>
      <c r="H241">
        <f t="shared" si="39"/>
        <v>57543.993733716183</v>
      </c>
      <c r="I241" t="str">
        <f t="shared" si="42"/>
        <v>361559.57594412j</v>
      </c>
      <c r="J241" t="str">
        <f>IMDIV(R_1,IMSUM('Opamp and C Stray Using B (2)'!R_1,IMPRODUCT('Opamp and C Stray Using B (2)'!R_f,IMSUM(1,IMPRODUCT(I241,C_s,R_1)))))</f>
        <v>0.197358110361134-0.0228341487012174j</v>
      </c>
      <c r="K241">
        <f t="shared" si="43"/>
        <v>-14.037150260609714</v>
      </c>
      <c r="L241">
        <f t="shared" si="44"/>
        <v>-6.5997238994535721</v>
      </c>
      <c r="M241">
        <f t="shared" si="45"/>
        <v>0.19735811036113399</v>
      </c>
      <c r="N241">
        <f t="shared" si="46"/>
        <v>-2.2834148701217399E-2</v>
      </c>
      <c r="O241" t="str">
        <f t="shared" si="40"/>
        <v>0.0301995162920089-173.780077626862j</v>
      </c>
      <c r="P241">
        <f t="shared" si="47"/>
        <v>44.799999868845113</v>
      </c>
      <c r="Q241">
        <f t="shared" si="48"/>
        <v>-89.990043134788067</v>
      </c>
      <c r="R241">
        <f t="shared" si="49"/>
        <v>30.762849608235399</v>
      </c>
      <c r="S241">
        <f t="shared" si="50"/>
        <v>83.410232965758354</v>
      </c>
    </row>
    <row r="242" spans="7:19" x14ac:dyDescent="0.25">
      <c r="G242">
        <f t="shared" si="41"/>
        <v>3.7800000000000034</v>
      </c>
      <c r="H242">
        <f t="shared" si="39"/>
        <v>60255.958607436274</v>
      </c>
      <c r="I242" t="str">
        <f t="shared" si="42"/>
        <v>378599.353792265j</v>
      </c>
      <c r="J242" t="str">
        <f>IMDIV(R_1,IMSUM('Opamp and C Stray Using B (2)'!R_1,IMPRODUCT('Opamp and C Stray Using B (2)'!R_f,IMSUM(1,IMPRODUCT(I242,C_s,R_1)))))</f>
        <v>0.19710691263357-0.0238798559203386j</v>
      </c>
      <c r="K242">
        <f t="shared" si="43"/>
        <v>-14.042681488745805</v>
      </c>
      <c r="L242">
        <f t="shared" si="44"/>
        <v>-6.9078206042169672</v>
      </c>
      <c r="M242">
        <f t="shared" si="45"/>
        <v>0.19710691263357</v>
      </c>
      <c r="N242">
        <f t="shared" si="46"/>
        <v>-2.3879855920338599E-2</v>
      </c>
      <c r="O242" t="str">
        <f t="shared" si="40"/>
        <v>0.0275422862748036-165.958686172873j</v>
      </c>
      <c r="P242">
        <f t="shared" si="47"/>
        <v>44.399999880385302</v>
      </c>
      <c r="Q242">
        <f t="shared" si="48"/>
        <v>-89.990491267534168</v>
      </c>
      <c r="R242">
        <f t="shared" si="49"/>
        <v>30.357318391639495</v>
      </c>
      <c r="S242">
        <f t="shared" si="50"/>
        <v>83.101688128248867</v>
      </c>
    </row>
    <row r="243" spans="7:19" x14ac:dyDescent="0.25">
      <c r="G243">
        <f t="shared" si="41"/>
        <v>3.8000000000000034</v>
      </c>
      <c r="H243">
        <f t="shared" si="39"/>
        <v>63095.734448019837</v>
      </c>
      <c r="I243" t="str">
        <f t="shared" si="42"/>
        <v>396442.191629503j</v>
      </c>
      <c r="J243" t="str">
        <f>IMDIV(R_1,IMSUM('Opamp and C Stray Using B (2)'!R_1,IMPRODUCT('Opamp and C Stray Using B (2)'!R_f,IMSUM(1,IMPRODUCT(I243,C_s,R_1)))))</f>
        <v>0.196832213743303-0.0249704301438981j</v>
      </c>
      <c r="K243">
        <f t="shared" si="43"/>
        <v>-14.048738273846659</v>
      </c>
      <c r="L243">
        <f t="shared" si="44"/>
        <v>-7.230007482200759</v>
      </c>
      <c r="M243">
        <f t="shared" si="45"/>
        <v>0.19683221374330301</v>
      </c>
      <c r="N243">
        <f t="shared" si="46"/>
        <v>-2.49704301438981E-2</v>
      </c>
      <c r="O243" t="str">
        <f t="shared" si="40"/>
        <v>0.0251188636841381-158.489315265039j</v>
      </c>
      <c r="P243">
        <f t="shared" si="47"/>
        <v>43.999999890910118</v>
      </c>
      <c r="Q243">
        <f t="shared" si="48"/>
        <v>-89.990919230985341</v>
      </c>
      <c r="R243">
        <f t="shared" si="49"/>
        <v>29.951261617063459</v>
      </c>
      <c r="S243">
        <f t="shared" si="50"/>
        <v>82.779073286813897</v>
      </c>
    </row>
    <row r="244" spans="7:19" x14ac:dyDescent="0.25">
      <c r="G244">
        <f t="shared" si="41"/>
        <v>3.8200000000000034</v>
      </c>
      <c r="H244">
        <f t="shared" si="39"/>
        <v>66069.344800760126</v>
      </c>
      <c r="I244" t="str">
        <f t="shared" si="42"/>
        <v>415125.936507118j</v>
      </c>
      <c r="J244" t="str">
        <f>IMDIV(R_1,IMSUM('Opamp and C Stray Using B (2)'!R_1,IMPRODUCT('Opamp and C Stray Using B (2)'!R_f,IMSUM(1,IMPRODUCT(I244,C_s,R_1)))))</f>
        <v>0.196531891096654-0.0261073553104043j</v>
      </c>
      <c r="K244">
        <f t="shared" si="43"/>
        <v>-14.05536971235197</v>
      </c>
      <c r="L244">
        <f t="shared" si="44"/>
        <v>-7.5668862584813574</v>
      </c>
      <c r="M244">
        <f t="shared" si="45"/>
        <v>0.196531891096654</v>
      </c>
      <c r="N244">
        <f t="shared" si="46"/>
        <v>-2.6107355310404302E-2</v>
      </c>
      <c r="O244" t="str">
        <f t="shared" si="40"/>
        <v>0.0229086760028699-151.356121376251j</v>
      </c>
      <c r="P244">
        <f t="shared" si="47"/>
        <v>43.599999900508806</v>
      </c>
      <c r="Q244">
        <f t="shared" si="48"/>
        <v>-89.991327932909243</v>
      </c>
      <c r="R244">
        <f t="shared" si="49"/>
        <v>29.544630188156837</v>
      </c>
      <c r="S244">
        <f t="shared" si="50"/>
        <v>82.441785808609396</v>
      </c>
    </row>
    <row r="245" spans="7:19" x14ac:dyDescent="0.25">
      <c r="G245">
        <f t="shared" si="41"/>
        <v>3.8400000000000034</v>
      </c>
      <c r="H245">
        <f t="shared" si="39"/>
        <v>69183.097091894306</v>
      </c>
      <c r="I245" t="str">
        <f t="shared" si="42"/>
        <v>434690.219152969j</v>
      </c>
      <c r="J245" t="str">
        <f>IMDIV(R_1,IMSUM('Opamp and C Stray Using B (2)'!R_1,IMPRODUCT('Opamp and C Stray Using B (2)'!R_f,IMSUM(1,IMPRODUCT(I245,C_s,R_1)))))</f>
        <v>0.196203645447783-0.0272920978042587j</v>
      </c>
      <c r="K245">
        <f t="shared" si="43"/>
        <v>-14.062629320609567</v>
      </c>
      <c r="L245">
        <f t="shared" si="44"/>
        <v>-7.9190781322604149</v>
      </c>
      <c r="M245">
        <f t="shared" si="45"/>
        <v>0.19620364544778299</v>
      </c>
      <c r="N245">
        <f t="shared" si="46"/>
        <v>-2.7292097804258699E-2</v>
      </c>
      <c r="O245" t="str">
        <f t="shared" si="40"/>
        <v>0.0208929608720242-144.54397405464j</v>
      </c>
      <c r="P245">
        <f t="shared" si="47"/>
        <v>43.199999909262957</v>
      </c>
      <c r="Q245">
        <f t="shared" si="48"/>
        <v>-89.991718240217267</v>
      </c>
      <c r="R245">
        <f t="shared" si="49"/>
        <v>29.13737058865339</v>
      </c>
      <c r="S245">
        <f t="shared" si="50"/>
        <v>82.089203627522323</v>
      </c>
    </row>
    <row r="246" spans="7:19" x14ac:dyDescent="0.25">
      <c r="G246">
        <f t="shared" si="41"/>
        <v>3.8600000000000034</v>
      </c>
      <c r="H246">
        <f t="shared" si="39"/>
        <v>72443.596007499684</v>
      </c>
      <c r="I246" t="str">
        <f t="shared" si="42"/>
        <v>455176.538033576j</v>
      </c>
      <c r="J246" t="str">
        <f>IMDIV(R_1,IMSUM('Opamp and C Stray Using B (2)'!R_1,IMPRODUCT('Opamp and C Stray Using B (2)'!R_f,IMSUM(1,IMPRODUCT(I246,C_s,R_1)))))</f>
        <v>0.195844989192954-0.028526094135063j</v>
      </c>
      <c r="K246">
        <f t="shared" si="43"/>
        <v>-14.070575399848838</v>
      </c>
      <c r="L246">
        <f t="shared" si="44"/>
        <v>-8.2872234660131916</v>
      </c>
      <c r="M246">
        <f t="shared" si="45"/>
        <v>0.19584498919295401</v>
      </c>
      <c r="N246">
        <f t="shared" si="46"/>
        <v>-2.8526094135063001E-2</v>
      </c>
      <c r="O246" t="str">
        <f t="shared" si="40"/>
        <v>0.0190546068165541-138.038423830019j</v>
      </c>
      <c r="P246">
        <f t="shared" si="47"/>
        <v>42.799999917246794</v>
      </c>
      <c r="Q246">
        <f t="shared" si="48"/>
        <v>-89.992090980803425</v>
      </c>
      <c r="R246">
        <f t="shared" si="49"/>
        <v>28.729424517397955</v>
      </c>
      <c r="S246">
        <f t="shared" si="50"/>
        <v>81.720685553183387</v>
      </c>
    </row>
    <row r="247" spans="7:19" x14ac:dyDescent="0.25">
      <c r="G247">
        <f t="shared" si="41"/>
        <v>3.8800000000000034</v>
      </c>
      <c r="H247">
        <f t="shared" si="39"/>
        <v>75857.757502919063</v>
      </c>
      <c r="I247" t="str">
        <f t="shared" si="42"/>
        <v>476628.347377933j</v>
      </c>
      <c r="J247" t="str">
        <f>IMDIV(R_1,IMSUM('Opamp and C Stray Using B (2)'!R_1,IMPRODUCT('Opamp and C Stray Using B (2)'!R_f,IMSUM(1,IMPRODUCT(I247,C_s,R_1)))))</f>
        <v>0.19545323450809-0.029810736689044j</v>
      </c>
      <c r="K247">
        <f t="shared" si="43"/>
        <v>-14.07927142474421</v>
      </c>
      <c r="L247">
        <f t="shared" si="44"/>
        <v>-8.6719812995970695</v>
      </c>
      <c r="M247">
        <f t="shared" si="45"/>
        <v>0.19545323450808999</v>
      </c>
      <c r="N247">
        <f t="shared" si="46"/>
        <v>-2.9810736689044E-2</v>
      </c>
      <c r="O247" t="str">
        <f t="shared" si="40"/>
        <v>0.0173780079854983-131.825671564772j</v>
      </c>
      <c r="P247">
        <f t="shared" si="47"/>
        <v>42.399999924528196</v>
      </c>
      <c r="Q247">
        <f t="shared" si="48"/>
        <v>-89.992446945300358</v>
      </c>
      <c r="R247">
        <f t="shared" si="49"/>
        <v>28.320728499783986</v>
      </c>
      <c r="S247">
        <f t="shared" si="50"/>
        <v>81.335571755102578</v>
      </c>
    </row>
    <row r="248" spans="7:19" x14ac:dyDescent="0.25">
      <c r="G248">
        <f t="shared" si="41"/>
        <v>3.9000000000000035</v>
      </c>
      <c r="H248">
        <f t="shared" si="39"/>
        <v>79432.823472428863</v>
      </c>
      <c r="I248" t="str">
        <f t="shared" si="42"/>
        <v>499091.149349755j</v>
      </c>
      <c r="J248" t="str">
        <f>IMDIV(R_1,IMSUM('Opamp and C Stray Using B (2)'!R_1,IMPRODUCT('Opamp and C Stray Using B (2)'!R_f,IMSUM(1,IMPRODUCT(I248,C_s,R_1)))))</f>
        <v>0.195025481479464-0.031147357345304j</v>
      </c>
      <c r="K248">
        <f t="shared" si="43"/>
        <v>-14.088786455738397</v>
      </c>
      <c r="L248">
        <f t="shared" si="44"/>
        <v>-9.0740286625292601</v>
      </c>
      <c r="M248">
        <f t="shared" si="45"/>
        <v>0.195025481479464</v>
      </c>
      <c r="N248">
        <f t="shared" si="46"/>
        <v>-3.1147357345304001E-2</v>
      </c>
      <c r="O248" t="str">
        <f t="shared" si="40"/>
        <v>0.0158489316734222-125.892539184153j</v>
      </c>
      <c r="P248">
        <f t="shared" si="47"/>
        <v>41.999999931168865</v>
      </c>
      <c r="Q248">
        <f t="shared" si="48"/>
        <v>-89.992786888756356</v>
      </c>
      <c r="R248">
        <f t="shared" si="49"/>
        <v>27.911213475430468</v>
      </c>
      <c r="S248">
        <f t="shared" si="50"/>
        <v>80.933184448714385</v>
      </c>
    </row>
    <row r="249" spans="7:19" x14ac:dyDescent="0.25">
      <c r="G249">
        <f t="shared" si="41"/>
        <v>3.9200000000000035</v>
      </c>
      <c r="H249">
        <f t="shared" si="39"/>
        <v>83176.377110267815</v>
      </c>
      <c r="I249" t="str">
        <f t="shared" si="42"/>
        <v>522612.590563663j</v>
      </c>
      <c r="J249" t="str">
        <f>IMDIV(R_1,IMSUM('Opamp and C Stray Using B (2)'!R_1,IMPRODUCT('Opamp and C Stray Using B (2)'!R_f,IMSUM(1,IMPRODUCT(I249,C_s,R_1)))))</f>
        <v>0.194558606416054-0.032537208740976j</v>
      </c>
      <c r="K249">
        <f t="shared" si="43"/>
        <v>-14.099195574957692</v>
      </c>
      <c r="L249">
        <f t="shared" si="44"/>
        <v>-9.4940596548488099</v>
      </c>
      <c r="M249">
        <f t="shared" si="45"/>
        <v>0.19455860641605399</v>
      </c>
      <c r="N249">
        <f t="shared" si="46"/>
        <v>-3.2537208740976001E-2</v>
      </c>
      <c r="O249" t="str">
        <f t="shared" si="40"/>
        <v>0.0144543974985294-120.226441723939j</v>
      </c>
      <c r="P249">
        <f t="shared" si="47"/>
        <v>41.599999937225235</v>
      </c>
      <c r="Q249">
        <f t="shared" si="48"/>
        <v>-89.993111532236966</v>
      </c>
      <c r="R249">
        <f t="shared" si="49"/>
        <v>27.500804362267544</v>
      </c>
      <c r="S249">
        <f t="shared" si="50"/>
        <v>80.512828812914222</v>
      </c>
    </row>
    <row r="250" spans="7:19" x14ac:dyDescent="0.25">
      <c r="G250">
        <f t="shared" si="41"/>
        <v>3.9400000000000035</v>
      </c>
      <c r="H250">
        <f t="shared" si="39"/>
        <v>87096.358995608811</v>
      </c>
      <c r="I250" t="str">
        <f t="shared" si="42"/>
        <v>547242.563150048j</v>
      </c>
      <c r="J250" t="str">
        <f>IMDIV(R_1,IMSUM('Opamp and C Stray Using B (2)'!R_1,IMPRODUCT('Opamp and C Stray Using B (2)'!R_f,IMSUM(1,IMPRODUCT(I250,C_s,R_1)))))</f>
        <v>0.19404925057688-0.033981442964172j</v>
      </c>
      <c r="K250">
        <f t="shared" si="43"/>
        <v>-14.110580345130334</v>
      </c>
      <c r="L250">
        <f t="shared" si="44"/>
        <v>-9.9327842640898609</v>
      </c>
      <c r="M250">
        <f t="shared" si="45"/>
        <v>0.19404925057687999</v>
      </c>
      <c r="N250">
        <f t="shared" si="46"/>
        <v>-3.3981442964172E-2</v>
      </c>
      <c r="O250" t="str">
        <f t="shared" si="40"/>
        <v>0.0131825672117838-114.815360636126j</v>
      </c>
      <c r="P250">
        <f t="shared" si="47"/>
        <v>41.199999942748761</v>
      </c>
      <c r="Q250">
        <f t="shared" si="48"/>
        <v>-89.993421564354477</v>
      </c>
      <c r="R250">
        <f t="shared" si="49"/>
        <v>27.089419597618427</v>
      </c>
      <c r="S250">
        <f t="shared" si="50"/>
        <v>80.073794171555662</v>
      </c>
    </row>
    <row r="251" spans="7:19" x14ac:dyDescent="0.25">
      <c r="G251">
        <f t="shared" si="41"/>
        <v>3.9600000000000035</v>
      </c>
      <c r="H251">
        <f t="shared" si="39"/>
        <v>91201.083935591741</v>
      </c>
      <c r="I251" t="str">
        <f t="shared" si="42"/>
        <v>573033.310582962j</v>
      </c>
      <c r="J251" t="str">
        <f>IMDIV(R_1,IMSUM('Opamp and C Stray Using B (2)'!R_1,IMPRODUCT('Opamp and C Stray Using B (2)'!R_f,IMSUM(1,IMPRODUCT(I251,C_s,R_1)))))</f>
        <v>0.193493809597956-0.0354810874531924j</v>
      </c>
      <c r="K251">
        <f t="shared" si="43"/>
        <v>-14.123029290402812</v>
      </c>
      <c r="L251">
        <f t="shared" si="44"/>
        <v>-10.390926882967356</v>
      </c>
      <c r="M251">
        <f t="shared" si="45"/>
        <v>0.19349380959795601</v>
      </c>
      <c r="N251">
        <f t="shared" si="46"/>
        <v>-3.5481087453192402E-2</v>
      </c>
      <c r="O251" t="str">
        <f t="shared" si="40"/>
        <v>0.01202264420163-109.647818296061j</v>
      </c>
      <c r="P251">
        <f t="shared" si="47"/>
        <v>40.799999947786254</v>
      </c>
      <c r="Q251">
        <f t="shared" si="48"/>
        <v>-89.99371764272847</v>
      </c>
      <c r="R251">
        <f t="shared" si="49"/>
        <v>26.676970657383443</v>
      </c>
      <c r="S251">
        <f t="shared" si="50"/>
        <v>79.615355474304181</v>
      </c>
    </row>
    <row r="252" spans="7:19" x14ac:dyDescent="0.25">
      <c r="G252">
        <f t="shared" si="41"/>
        <v>3.9800000000000035</v>
      </c>
      <c r="H252">
        <f t="shared" si="39"/>
        <v>95499.258602144386</v>
      </c>
      <c r="I252" t="str">
        <f t="shared" si="42"/>
        <v>600039.538495537j</v>
      </c>
      <c r="J252" t="str">
        <f>IMDIV(R_1,IMSUM('Opamp and C Stray Using B (2)'!R_1,IMPRODUCT('Opamp and C Stray Using B (2)'!R_f,IMSUM(1,IMPRODUCT(I252,C_s,R_1)))))</f>
        <v>0.192888423961657-0.0370370178864269j</v>
      </c>
      <c r="K252">
        <f t="shared" si="43"/>
        <v>-14.136638397322042</v>
      </c>
      <c r="L252">
        <f t="shared" si="44"/>
        <v>-10.869224489485079</v>
      </c>
      <c r="M252">
        <f t="shared" si="45"/>
        <v>0.19288842396165701</v>
      </c>
      <c r="N252">
        <f t="shared" si="46"/>
        <v>-3.7037017886426903E-2</v>
      </c>
      <c r="O252" t="str">
        <f t="shared" si="40"/>
        <v>0.0109647818412052-104.712853656936j</v>
      </c>
      <c r="P252">
        <f t="shared" si="47"/>
        <v>40.399999952380526</v>
      </c>
      <c r="Q252">
        <f t="shared" si="48"/>
        <v>-89.994000395380837</v>
      </c>
      <c r="R252">
        <f t="shared" si="49"/>
        <v>26.263361555058484</v>
      </c>
      <c r="S252">
        <f t="shared" si="50"/>
        <v>79.136775115134085</v>
      </c>
    </row>
    <row r="253" spans="7:19" x14ac:dyDescent="0.25">
      <c r="G253">
        <f t="shared" si="41"/>
        <v>4.0000000000000036</v>
      </c>
      <c r="H253">
        <f t="shared" si="39"/>
        <v>100000.00000000099</v>
      </c>
      <c r="I253" t="str">
        <f t="shared" si="42"/>
        <v>628318.530717965j</v>
      </c>
      <c r="J253" t="str">
        <f>IMDIV(R_1,IMSUM('Opamp and C Stray Using B (2)'!R_1,IMPRODUCT('Opamp and C Stray Using B (2)'!R_f,IMSUM(1,IMPRODUCT(I253,C_s,R_1)))))</f>
        <v>0.19222897091636-0.0386499278616299j</v>
      </c>
      <c r="K253">
        <f t="shared" si="43"/>
        <v>-14.15151163350264</v>
      </c>
      <c r="L253">
        <f t="shared" si="44"/>
        <v>-11.368424448416448</v>
      </c>
      <c r="M253">
        <f t="shared" si="45"/>
        <v>0.19222897091635999</v>
      </c>
      <c r="N253">
        <f t="shared" si="46"/>
        <v>-3.86499278616299E-2</v>
      </c>
      <c r="O253" t="str">
        <f t="shared" si="40"/>
        <v>0.0099999998999998-99.999998999999j</v>
      </c>
      <c r="P253">
        <f t="shared" si="47"/>
        <v>39.999999956570463</v>
      </c>
      <c r="Q253">
        <f t="shared" si="48"/>
        <v>-89.994270422067785</v>
      </c>
      <c r="R253">
        <f t="shared" si="49"/>
        <v>25.848488323067823</v>
      </c>
      <c r="S253">
        <f t="shared" si="50"/>
        <v>78.637305129515767</v>
      </c>
    </row>
    <row r="254" spans="7:19" x14ac:dyDescent="0.25">
      <c r="G254">
        <f t="shared" si="41"/>
        <v>4.0200000000000031</v>
      </c>
      <c r="H254">
        <f t="shared" si="39"/>
        <v>104712.85480509077</v>
      </c>
      <c r="I254" t="str">
        <f t="shared" si="42"/>
        <v>657930.270784176j</v>
      </c>
      <c r="J254" t="str">
        <f>IMDIV(R_1,IMSUM('Opamp and C Stray Using B (2)'!R_1,IMPRODUCT('Opamp and C Stray Using B (2)'!R_f,IMSUM(1,IMPRODUCT(I254,C_s,R_1)))))</f>
        <v>0.191511058326028-0.0403202951880345j</v>
      </c>
      <c r="K254">
        <f t="shared" si="43"/>
        <v>-14.16776148061069</v>
      </c>
      <c r="L254">
        <f t="shared" si="44"/>
        <v>-11.889281890601151</v>
      </c>
      <c r="M254">
        <f t="shared" si="45"/>
        <v>0.19151105832602799</v>
      </c>
      <c r="N254">
        <f t="shared" si="46"/>
        <v>-4.0320295188034497E-2</v>
      </c>
      <c r="O254" t="str">
        <f t="shared" si="40"/>
        <v>0.00912010831038254-95.4992577311791j</v>
      </c>
      <c r="P254">
        <f t="shared" si="47"/>
        <v>39.599999960391791</v>
      </c>
      <c r="Q254">
        <f t="shared" si="48"/>
        <v>-89.994528295552101</v>
      </c>
      <c r="R254">
        <f t="shared" si="49"/>
        <v>25.432238479781102</v>
      </c>
      <c r="S254">
        <f t="shared" si="50"/>
        <v>78.116189813846745</v>
      </c>
    </row>
    <row r="255" spans="7:19" x14ac:dyDescent="0.25">
      <c r="G255">
        <f t="shared" si="41"/>
        <v>4.0400000000000027</v>
      </c>
      <c r="H255">
        <f t="shared" si="39"/>
        <v>109647.81961431933</v>
      </c>
      <c r="I255" t="str">
        <f t="shared" si="42"/>
        <v>688937.569164969j</v>
      </c>
      <c r="J255" t="str">
        <f>IMDIV(R_1,IMSUM('Opamp and C Stray Using B (2)'!R_1,IMPRODUCT('Opamp and C Stray Using B (2)'!R_f,IMSUM(1,IMPRODUCT(I255,C_s,R_1)))))</f>
        <v>0.190730021007231-0.0420483446526417j</v>
      </c>
      <c r="K255">
        <f t="shared" si="43"/>
        <v>-14.185509477261073</v>
      </c>
      <c r="L255">
        <f t="shared" si="44"/>
        <v>-12.432556624408043</v>
      </c>
      <c r="M255">
        <f t="shared" si="45"/>
        <v>0.19073002100723099</v>
      </c>
      <c r="N255">
        <f t="shared" si="46"/>
        <v>-4.2048344652641699E-2</v>
      </c>
      <c r="O255" t="str">
        <f t="shared" si="40"/>
        <v>0.00831763764184354-91.201083177013j</v>
      </c>
      <c r="P255">
        <f t="shared" si="47"/>
        <v>39.19999996387692</v>
      </c>
      <c r="Q255">
        <f t="shared" si="48"/>
        <v>-89.994774562817966</v>
      </c>
      <c r="R255">
        <f t="shared" si="49"/>
        <v>25.014490486615848</v>
      </c>
      <c r="S255">
        <f t="shared" si="50"/>
        <v>77.572668812773998</v>
      </c>
    </row>
    <row r="256" spans="7:19" x14ac:dyDescent="0.25">
      <c r="G256">
        <f t="shared" si="41"/>
        <v>4.0600000000000023</v>
      </c>
      <c r="H256">
        <f t="shared" si="39"/>
        <v>114815.36214968891</v>
      </c>
      <c r="I256" t="str">
        <f t="shared" si="42"/>
        <v>721406.196497429j</v>
      </c>
      <c r="J256" t="str">
        <f>IMDIV(R_1,IMSUM('Opamp and C Stray Using B (2)'!R_1,IMPRODUCT('Opamp and C Stray Using B (2)'!R_f,IMSUM(1,IMPRODUCT(I256,C_s,R_1)))))</f>
        <v>0.189880920193929-0.0438340071758511j</v>
      </c>
      <c r="K256">
        <f t="shared" si="43"/>
        <v>-14.204886766226579</v>
      </c>
      <c r="L256">
        <f t="shared" si="44"/>
        <v>-12.999009532219491</v>
      </c>
      <c r="M256">
        <f t="shared" si="45"/>
        <v>0.18988092019392899</v>
      </c>
      <c r="N256">
        <f t="shared" si="46"/>
        <v>-4.3834007175851099E-2</v>
      </c>
      <c r="O256" t="str">
        <f t="shared" si="40"/>
        <v>0.00758577569274775-87.0963583349141j</v>
      </c>
      <c r="P256">
        <f t="shared" si="47"/>
        <v>38.799999967055342</v>
      </c>
      <c r="Q256">
        <f t="shared" si="48"/>
        <v>-89.995009746231219</v>
      </c>
      <c r="R256">
        <f t="shared" si="49"/>
        <v>24.595113200828763</v>
      </c>
      <c r="S256">
        <f t="shared" si="50"/>
        <v>77.005980721549292</v>
      </c>
    </row>
    <row r="257" spans="7:19" x14ac:dyDescent="0.25">
      <c r="G257">
        <f t="shared" si="41"/>
        <v>4.0800000000000018</v>
      </c>
      <c r="H257">
        <f t="shared" si="39"/>
        <v>120226.44346174195</v>
      </c>
      <c r="I257" t="str">
        <f t="shared" si="42"/>
        <v>755405.023093274j</v>
      </c>
      <c r="J257" t="str">
        <f>IMDIV(R_1,IMSUM('Opamp and C Stray Using B (2)'!R_1,IMPRODUCT('Opamp and C Stray Using B (2)'!R_f,IMSUM(1,IMPRODUCT(I257,C_s,R_1)))))</f>
        <v>0.188958546856179-0.0456768753445003j</v>
      </c>
      <c r="K257">
        <f t="shared" si="43"/>
        <v>-14.226034638991864</v>
      </c>
      <c r="L257">
        <f t="shared" si="44"/>
        <v>-13.589398404131671</v>
      </c>
      <c r="M257">
        <f t="shared" si="45"/>
        <v>0.18895854685617899</v>
      </c>
      <c r="N257">
        <f t="shared" si="46"/>
        <v>-4.5676875344500302E-2</v>
      </c>
      <c r="O257" t="str">
        <f t="shared" si="40"/>
        <v>0.00691830966132627-83.1763765348267j</v>
      </c>
      <c r="P257">
        <f t="shared" si="47"/>
        <v>38.399999969954109</v>
      </c>
      <c r="Q257">
        <f t="shared" si="48"/>
        <v>-89.995234344647386</v>
      </c>
      <c r="R257">
        <f t="shared" si="49"/>
        <v>24.173965330962247</v>
      </c>
      <c r="S257">
        <f t="shared" si="50"/>
        <v>76.415367251220943</v>
      </c>
    </row>
    <row r="258" spans="7:19" x14ac:dyDescent="0.25">
      <c r="G258">
        <f t="shared" si="41"/>
        <v>4.1000000000000014</v>
      </c>
      <c r="H258">
        <f t="shared" si="39"/>
        <v>125892.54117941715</v>
      </c>
      <c r="I258" t="str">
        <f t="shared" si="42"/>
        <v>791006.165022015j</v>
      </c>
      <c r="J258" t="str">
        <f>IMDIV(R_1,IMSUM('Opamp and C Stray Using B (2)'!R_1,IMPRODUCT('Opamp and C Stray Using B (2)'!R_f,IMSUM(1,IMPRODUCT(I258,C_s,R_1)))))</f>
        <v>0.187957429685148-0.047576155405646j</v>
      </c>
      <c r="K258">
        <f t="shared" si="43"/>
        <v>-14.249105069146086</v>
      </c>
      <c r="L258">
        <f t="shared" si="44"/>
        <v>-14.204473161510792</v>
      </c>
      <c r="M258">
        <f t="shared" si="45"/>
        <v>0.187957429685148</v>
      </c>
      <c r="N258">
        <f t="shared" si="46"/>
        <v>-4.7576155405645998E-2</v>
      </c>
      <c r="O258" t="str">
        <f t="shared" si="40"/>
        <v>0.00630957340499119-79.4328229712407j</v>
      </c>
      <c r="P258">
        <f t="shared" si="47"/>
        <v>37.999999972597848</v>
      </c>
      <c r="Q258">
        <f t="shared" si="48"/>
        <v>-89.995448834469798</v>
      </c>
      <c r="R258">
        <f t="shared" si="49"/>
        <v>23.750894903451762</v>
      </c>
      <c r="S258">
        <f t="shared" si="50"/>
        <v>75.800078004019412</v>
      </c>
    </row>
    <row r="259" spans="7:19" x14ac:dyDescent="0.25">
      <c r="G259">
        <f t="shared" si="41"/>
        <v>4.120000000000001</v>
      </c>
      <c r="H259">
        <f t="shared" ref="H259:H322" si="51">$B$3*10^G259</f>
        <v>131825.67385564116</v>
      </c>
      <c r="I259" t="str">
        <f t="shared" si="42"/>
        <v>828285.137078813j</v>
      </c>
      <c r="J259" t="str">
        <f>IMDIV(R_1,IMSUM('Opamp and C Stray Using B (2)'!R_1,IMPRODUCT('Opamp and C Stray Using B (2)'!R_f,IMSUM(1,IMPRODUCT(I259,C_s,R_1)))))</f>
        <v>0.186871848639585-0.0495306159253151j</v>
      </c>
      <c r="K259">
        <f t="shared" si="43"/>
        <v>-14.274261224399744</v>
      </c>
      <c r="L259">
        <f t="shared" si="44"/>
        <v>-14.844970424910469</v>
      </c>
      <c r="M259">
        <f t="shared" si="45"/>
        <v>0.186871848639585</v>
      </c>
      <c r="N259">
        <f t="shared" si="46"/>
        <v>-4.9530615925315102E-2</v>
      </c>
      <c r="O259" t="str">
        <f t="shared" ref="O259:O322" si="52">IMDIV(Aolv,IMSUM(1,IMDIV(I259,wc)))</f>
        <v>0.00575439934025843-75.8577570664024j</v>
      </c>
      <c r="P259">
        <f t="shared" si="47"/>
        <v>37.599999975008942</v>
      </c>
      <c r="Q259">
        <f t="shared" si="48"/>
        <v>-89.99565367066009</v>
      </c>
      <c r="R259">
        <f t="shared" si="49"/>
        <v>23.325738750609197</v>
      </c>
      <c r="S259">
        <f t="shared" si="50"/>
        <v>75.159375904429439</v>
      </c>
    </row>
    <row r="260" spans="7:19" x14ac:dyDescent="0.25">
      <c r="G260">
        <f t="shared" ref="G260:G323" si="53">G259+(1/ppd)</f>
        <v>4.1400000000000006</v>
      </c>
      <c r="H260">
        <f t="shared" si="51"/>
        <v>138038.4264602889</v>
      </c>
      <c r="I260" t="str">
        <f t="shared" ref="I260:I323" si="54">COMPLEX(0,H260*2*PI(),"j")</f>
        <v>867321.012961477j</v>
      </c>
      <c r="J260" t="str">
        <f>IMDIV(R_1,IMSUM('Opamp and C Stray Using B (2)'!R_1,IMPRODUCT('Opamp and C Stray Using B (2)'!R_f,IMSUM(1,IMPRODUCT(I260,C_s,R_1)))))</f>
        <v>0.185695855023247-0.0515385334660832j</v>
      </c>
      <c r="K260">
        <f t="shared" ref="K260:K323" si="55">20*LOG(IMABS(J260))</f>
        <v>-14.301677945145052</v>
      </c>
      <c r="L260">
        <f t="shared" ref="L260:L323" si="56">DEGREES(IMARGUMENT(J260))</f>
        <v>-15.511607384505247</v>
      </c>
      <c r="M260">
        <f t="shared" ref="M260:M323" si="57">IMREAL(J260)</f>
        <v>0.18569585502324701</v>
      </c>
      <c r="N260">
        <f t="shared" ref="N260:N323" si="58">IMAGINARY(J260)</f>
        <v>-5.1538533466083197E-2</v>
      </c>
      <c r="O260" t="str">
        <f t="shared" si="52"/>
        <v>0.0052480745749554-72.4435956273093j</v>
      </c>
      <c r="P260">
        <f t="shared" ref="P260:P323" si="59">20*LOG(IMABS(O260))</f>
        <v>37.199999977207867</v>
      </c>
      <c r="Q260">
        <f t="shared" ref="Q260:Q323" si="60">DEGREES(IMARGUMENT(O260))</f>
        <v>-89.99584928770328</v>
      </c>
      <c r="R260">
        <f t="shared" ref="R260:R323" si="61">P260+K260</f>
        <v>22.898322032062815</v>
      </c>
      <c r="S260">
        <f t="shared" ref="S260:S323" si="62">(Q260+L260)-(-180)</f>
        <v>74.492543327791481</v>
      </c>
    </row>
    <row r="261" spans="7:19" x14ac:dyDescent="0.25">
      <c r="G261">
        <f t="shared" si="53"/>
        <v>4.16</v>
      </c>
      <c r="H261">
        <f t="shared" si="51"/>
        <v>144543.9770745929</v>
      </c>
      <c r="I261" t="str">
        <f t="shared" si="54"/>
        <v>908196.592996385j</v>
      </c>
      <c r="J261" t="str">
        <f>IMDIV(R_1,IMSUM('Opamp and C Stray Using B (2)'!R_1,IMPRODUCT('Opamp and C Stray Using B (2)'!R_f,IMSUM(1,IMPRODUCT(I261,C_s,R_1)))))</f>
        <v>0.184423299122305-0.05359763581825j</v>
      </c>
      <c r="K261">
        <f t="shared" si="55"/>
        <v>-14.331542175476308</v>
      </c>
      <c r="L261">
        <f t="shared" si="56"/>
        <v>-16.205074937021198</v>
      </c>
      <c r="M261">
        <f t="shared" si="57"/>
        <v>0.18442329912230501</v>
      </c>
      <c r="N261">
        <f t="shared" si="58"/>
        <v>-5.359763581825E-2</v>
      </c>
      <c r="O261" t="str">
        <f t="shared" si="52"/>
        <v>0.00478630090031769-69.1830967607624j</v>
      </c>
      <c r="P261">
        <f t="shared" si="59"/>
        <v>36.799999979213339</v>
      </c>
      <c r="Q261">
        <f t="shared" si="60"/>
        <v>-89.996036100529324</v>
      </c>
      <c r="R261">
        <f t="shared" si="61"/>
        <v>22.468457803737031</v>
      </c>
      <c r="S261">
        <f t="shared" si="62"/>
        <v>73.798888962449482</v>
      </c>
    </row>
    <row r="262" spans="7:19" x14ac:dyDescent="0.25">
      <c r="G262">
        <f t="shared" si="53"/>
        <v>4.18</v>
      </c>
      <c r="H262">
        <f t="shared" si="51"/>
        <v>151356.12484362096</v>
      </c>
      <c r="I262" t="str">
        <f t="shared" si="54"/>
        <v>950998.579769078j</v>
      </c>
      <c r="J262" t="str">
        <f>IMDIV(R_1,IMSUM('Opamp and C Stray Using B (2)'!R_1,IMPRODUCT('Opamp and C Stray Using B (2)'!R_f,IMSUM(1,IMPRODUCT(I262,C_s,R_1)))))</f>
        <v>0.183047866468463-0.0557050435332056j</v>
      </c>
      <c r="K262">
        <f t="shared" si="55"/>
        <v>-14.364053330489437</v>
      </c>
      <c r="L262">
        <f t="shared" si="56"/>
        <v>-16.926030061572082</v>
      </c>
      <c r="M262">
        <f t="shared" si="57"/>
        <v>0.18304786646846299</v>
      </c>
      <c r="N262">
        <f t="shared" si="58"/>
        <v>-5.57050435332056E-2</v>
      </c>
      <c r="O262" t="str">
        <f t="shared" si="52"/>
        <v>0.00436515830334704-66.0693445123564j</v>
      </c>
      <c r="P262">
        <f t="shared" si="59"/>
        <v>36.399999981042349</v>
      </c>
      <c r="Q262">
        <f t="shared" si="60"/>
        <v>-89.99621450539324</v>
      </c>
      <c r="R262">
        <f t="shared" si="61"/>
        <v>22.035946650552912</v>
      </c>
      <c r="S262">
        <f t="shared" si="62"/>
        <v>73.077755433034682</v>
      </c>
    </row>
    <row r="263" spans="7:19" x14ac:dyDescent="0.25">
      <c r="G263">
        <f t="shared" si="53"/>
        <v>4.1999999999999993</v>
      </c>
      <c r="H263">
        <f t="shared" si="51"/>
        <v>158489.3192461112</v>
      </c>
      <c r="I263" t="str">
        <f t="shared" si="54"/>
        <v>995817.762032061j</v>
      </c>
      <c r="J263" t="str">
        <f>IMDIV(R_1,IMSUM('Opamp and C Stray Using B (2)'!R_1,IMPRODUCT('Opamp and C Stray Using B (2)'!R_f,IMSUM(1,IMPRODUCT(I263,C_s,R_1)))))</f>
        <v>0.181563123798059-0.0578572107546027j</v>
      </c>
      <c r="K263">
        <f t="shared" si="55"/>
        <v>-14.399423581535693</v>
      </c>
      <c r="L263">
        <f t="shared" si="56"/>
        <v>-17.675087418282253</v>
      </c>
      <c r="M263">
        <f t="shared" si="57"/>
        <v>0.181563123798059</v>
      </c>
      <c r="N263">
        <f t="shared" si="58"/>
        <v>-5.7857210754602699E-2</v>
      </c>
      <c r="O263" t="str">
        <f t="shared" si="52"/>
        <v>0.00398107168968606-63.0957341968308j</v>
      </c>
      <c r="P263">
        <f t="shared" si="59"/>
        <v>35.999999982710442</v>
      </c>
      <c r="Q263">
        <f t="shared" si="60"/>
        <v>-89.996384880715652</v>
      </c>
      <c r="R263">
        <f t="shared" si="61"/>
        <v>21.600576401174749</v>
      </c>
      <c r="S263">
        <f t="shared" si="62"/>
        <v>72.328527701002088</v>
      </c>
    </row>
    <row r="264" spans="7:19" x14ac:dyDescent="0.25">
      <c r="G264">
        <f t="shared" si="53"/>
        <v>4.2199999999999989</v>
      </c>
      <c r="H264">
        <f t="shared" si="51"/>
        <v>165958.69074375587</v>
      </c>
      <c r="I264" t="str">
        <f t="shared" si="54"/>
        <v>1042749.20727993j</v>
      </c>
      <c r="J264" t="str">
        <f>IMDIV(R_1,IMSUM('Opamp and C Stray Using B (2)'!R_1,IMPRODUCT('Opamp and C Stray Using B (2)'!R_f,IMSUM(1,IMPRODUCT(I264,C_s,R_1)))))</f>
        <v>0.17996257573868-0.0600498666213001j</v>
      </c>
      <c r="K264">
        <f t="shared" si="55"/>
        <v>-14.437878038995557</v>
      </c>
      <c r="L264">
        <f t="shared" si="56"/>
        <v>-18.452810168510624</v>
      </c>
      <c r="M264">
        <f t="shared" si="57"/>
        <v>0.17996257573867999</v>
      </c>
      <c r="N264">
        <f t="shared" si="58"/>
        <v>-6.0049866621300102E-2</v>
      </c>
      <c r="O264" t="str">
        <f t="shared" si="52"/>
        <v>0.00363078053451845-60.2559583886596j</v>
      </c>
      <c r="P264">
        <f t="shared" si="59"/>
        <v>35.599999984231722</v>
      </c>
      <c r="Q264">
        <f t="shared" si="60"/>
        <v>-89.996547587885459</v>
      </c>
      <c r="R264">
        <f t="shared" si="61"/>
        <v>21.162121945236166</v>
      </c>
      <c r="S264">
        <f t="shared" si="62"/>
        <v>71.550642243603917</v>
      </c>
    </row>
    <row r="265" spans="7:19" x14ac:dyDescent="0.25">
      <c r="G265">
        <f t="shared" si="53"/>
        <v>4.2399999999999984</v>
      </c>
      <c r="H265">
        <f t="shared" si="51"/>
        <v>173780.08287493698</v>
      </c>
      <c r="I265" t="str">
        <f t="shared" si="54"/>
        <v>1091892.46340025j</v>
      </c>
      <c r="J265" t="str">
        <f>IMDIV(R_1,IMSUM('Opamp and C Stray Using B (2)'!R_1,IMPRODUCT('Opamp and C Stray Using B (2)'!R_f,IMSUM(1,IMPRODUCT(I265,C_s,R_1)))))</f>
        <v>0.178239733160659-0.0622779588213105j</v>
      </c>
      <c r="K265">
        <f t="shared" si="55"/>
        <v>-14.47965481015971</v>
      </c>
      <c r="L265">
        <f t="shared" si="56"/>
        <v>-19.259700034292276</v>
      </c>
      <c r="M265">
        <f t="shared" si="57"/>
        <v>0.178239733160659</v>
      </c>
      <c r="N265">
        <f t="shared" si="58"/>
        <v>-6.22779588213105E-2</v>
      </c>
      <c r="O265" t="str">
        <f t="shared" si="52"/>
        <v>0.00331131120386119-57.5439935431701j</v>
      </c>
      <c r="P265">
        <f t="shared" si="59"/>
        <v>35.199999985619229</v>
      </c>
      <c r="Q265">
        <f t="shared" si="60"/>
        <v>-89.99670297202637</v>
      </c>
      <c r="R265">
        <f t="shared" si="61"/>
        <v>20.720345175459521</v>
      </c>
      <c r="S265">
        <f t="shared" si="62"/>
        <v>70.743596993681351</v>
      </c>
    </row>
    <row r="266" spans="7:19" x14ac:dyDescent="0.25">
      <c r="G266">
        <f t="shared" si="53"/>
        <v>4.259999999999998</v>
      </c>
      <c r="H266">
        <f t="shared" si="51"/>
        <v>181970.08586099773</v>
      </c>
      <c r="I266" t="str">
        <f t="shared" si="54"/>
        <v>1143351.76982803j</v>
      </c>
      <c r="J266" t="str">
        <f>IMDIV(R_1,IMSUM('Opamp and C Stray Using B (2)'!R_1,IMPRODUCT('Opamp and C Stray Using B (2)'!R_f,IMSUM(1,IMPRODUCT(I266,C_s,R_1)))))</f>
        <v>0.176388193968292-0.0645356012001333j</v>
      </c>
      <c r="K266">
        <f t="shared" si="55"/>
        <v>-14.525004908078499</v>
      </c>
      <c r="L266">
        <f t="shared" si="56"/>
        <v>-20.096186637565509</v>
      </c>
      <c r="M266">
        <f t="shared" si="57"/>
        <v>0.176388193968292</v>
      </c>
      <c r="N266">
        <f t="shared" si="58"/>
        <v>-6.4535601200133297E-2</v>
      </c>
      <c r="O266" t="str">
        <f t="shared" si="52"/>
        <v>0.00301995171128192-54.9540872198039j</v>
      </c>
      <c r="P266">
        <f t="shared" si="59"/>
        <v>34.799999986884536</v>
      </c>
      <c r="Q266">
        <f t="shared" si="60"/>
        <v>-89.996851362728975</v>
      </c>
      <c r="R266">
        <f t="shared" si="61"/>
        <v>20.274995078806036</v>
      </c>
      <c r="S266">
        <f t="shared" si="62"/>
        <v>69.906961999705516</v>
      </c>
    </row>
    <row r="267" spans="7:19" x14ac:dyDescent="0.25">
      <c r="G267">
        <f t="shared" si="53"/>
        <v>4.2799999999999976</v>
      </c>
      <c r="H267">
        <f t="shared" si="51"/>
        <v>190546.0717963237</v>
      </c>
      <c r="I267" t="str">
        <f t="shared" si="54"/>
        <v>1197236.27865145j</v>
      </c>
      <c r="J267" t="str">
        <f>IMDIV(R_1,IMSUM('Opamp and C Stray Using B (2)'!R_1,IMPRODUCT('Opamp and C Stray Using B (2)'!R_f,IMSUM(1,IMPRODUCT(I267,C_s,R_1)))))</f>
        <v>0.174401736861667-0.0668160276577956j</v>
      </c>
      <c r="K267">
        <f t="shared" si="55"/>
        <v>-14.574191985922123</v>
      </c>
      <c r="L267">
        <f t="shared" si="56"/>
        <v>-20.962616187048724</v>
      </c>
      <c r="M267">
        <f t="shared" si="57"/>
        <v>0.17440173686166699</v>
      </c>
      <c r="N267">
        <f t="shared" si="58"/>
        <v>-6.6816027657795596E-2</v>
      </c>
      <c r="O267" t="str">
        <f t="shared" si="52"/>
        <v>0.00275422869575241-52.4807458804335j</v>
      </c>
      <c r="P267">
        <f t="shared" si="59"/>
        <v>34.399999988038573</v>
      </c>
      <c r="Q267">
        <f t="shared" si="60"/>
        <v>-89.996993074749838</v>
      </c>
      <c r="R267">
        <f t="shared" si="61"/>
        <v>19.82580800211645</v>
      </c>
      <c r="S267">
        <f t="shared" si="62"/>
        <v>69.040390738201438</v>
      </c>
    </row>
    <row r="268" spans="7:19" x14ac:dyDescent="0.25">
      <c r="G268">
        <f t="shared" si="53"/>
        <v>4.2999999999999972</v>
      </c>
      <c r="H268">
        <f t="shared" si="51"/>
        <v>199526.23149688687</v>
      </c>
      <c r="I268" t="str">
        <f t="shared" si="54"/>
        <v>1253660.28613815j</v>
      </c>
      <c r="J268" t="str">
        <f>IMDIV(R_1,IMSUM('Opamp and C Stray Using B (2)'!R_1,IMPRODUCT('Opamp and C Stray Using B (2)'!R_f,IMSUM(1,IMPRODUCT(I268,C_s,R_1)))))</f>
        <v>0.172274428262885-0.0691115548897073j</v>
      </c>
      <c r="K268">
        <f t="shared" si="55"/>
        <v>-14.627491870651326</v>
      </c>
      <c r="L268">
        <f t="shared" si="56"/>
        <v>-21.859239612251645</v>
      </c>
      <c r="M268">
        <f t="shared" si="57"/>
        <v>0.172274428262885</v>
      </c>
      <c r="N268">
        <f t="shared" si="58"/>
        <v>-6.91115548897073E-2</v>
      </c>
      <c r="O268" t="str">
        <f t="shared" si="52"/>
        <v>0.00251188642520006-50.1187232368352j</v>
      </c>
      <c r="P268">
        <f t="shared" si="59"/>
        <v>33.999999989091101</v>
      </c>
      <c r="Q268">
        <f t="shared" si="60"/>
        <v>-89.997128408679146</v>
      </c>
      <c r="R268">
        <f t="shared" si="61"/>
        <v>19.372508118439775</v>
      </c>
      <c r="S268">
        <f t="shared" si="62"/>
        <v>68.143631979069212</v>
      </c>
    </row>
    <row r="269" spans="7:19" x14ac:dyDescent="0.25">
      <c r="G269">
        <f t="shared" si="53"/>
        <v>4.3199999999999967</v>
      </c>
      <c r="H269">
        <f t="shared" si="51"/>
        <v>208929.61308540276</v>
      </c>
      <c r="I269" t="str">
        <f t="shared" si="54"/>
        <v>1312743.47517292j</v>
      </c>
      <c r="J269" t="str">
        <f>IMDIV(R_1,IMSUM('Opamp and C Stray Using B (2)'!R_1,IMPRODUCT('Opamp and C Stray Using B (2)'!R_f,IMSUM(1,IMPRODUCT(I269,C_s,R_1)))))</f>
        <v>0.170000742160807-0.0714135568147689j</v>
      </c>
      <c r="K269">
        <f t="shared" si="55"/>
        <v>-14.685191869833943</v>
      </c>
      <c r="L269">
        <f t="shared" si="56"/>
        <v>-22.786200279757441</v>
      </c>
      <c r="M269">
        <f t="shared" si="57"/>
        <v>0.17000074216080699</v>
      </c>
      <c r="N269">
        <f t="shared" si="58"/>
        <v>-7.1413556814768894E-2</v>
      </c>
      <c r="O269" t="str">
        <f t="shared" si="52"/>
        <v>0.00229086764751972-47.8630091226162j</v>
      </c>
      <c r="P269">
        <f t="shared" si="59"/>
        <v>33.599999990050918</v>
      </c>
      <c r="Q269">
        <f t="shared" si="60"/>
        <v>-89.997257651578295</v>
      </c>
      <c r="R269">
        <f t="shared" si="61"/>
        <v>18.914808120216975</v>
      </c>
      <c r="S269">
        <f t="shared" si="62"/>
        <v>67.216542068664268</v>
      </c>
    </row>
    <row r="270" spans="7:19" x14ac:dyDescent="0.25">
      <c r="G270">
        <f t="shared" si="53"/>
        <v>4.3399999999999963</v>
      </c>
      <c r="H270">
        <f t="shared" si="51"/>
        <v>218776.16239495357</v>
      </c>
      <c r="I270" t="str">
        <f t="shared" si="54"/>
        <v>1374611.16912111j</v>
      </c>
      <c r="J270" t="str">
        <f>IMDIV(R_1,IMSUM('Opamp and C Stray Using B (2)'!R_1,IMPRODUCT('Opamp and C Stray Using B (2)'!R_f,IMSUM(1,IMPRODUCT(I270,C_s,R_1)))))</f>
        <v>0.167575692081442-0.0737124537626723j</v>
      </c>
      <c r="K270">
        <f t="shared" si="55"/>
        <v>-14.747589826463223</v>
      </c>
      <c r="L270">
        <f t="shared" si="56"/>
        <v>-23.743521466024248</v>
      </c>
      <c r="M270">
        <f t="shared" si="57"/>
        <v>0.16757569208144199</v>
      </c>
      <c r="N270">
        <f t="shared" si="58"/>
        <v>-7.3712453762672298E-2</v>
      </c>
      <c r="O270" t="str">
        <f t="shared" si="52"/>
        <v>0.0020892961264889-45.7088188659885j</v>
      </c>
      <c r="P270">
        <f t="shared" si="59"/>
        <v>33.199999990926351</v>
      </c>
      <c r="Q270">
        <f t="shared" si="60"/>
        <v>-89.997381077588798</v>
      </c>
      <c r="R270">
        <f t="shared" si="61"/>
        <v>18.452410164463128</v>
      </c>
      <c r="S270">
        <f t="shared" si="62"/>
        <v>66.259097456386954</v>
      </c>
    </row>
    <row r="271" spans="7:19" x14ac:dyDescent="0.25">
      <c r="G271">
        <f t="shared" si="53"/>
        <v>4.3599999999999959</v>
      </c>
      <c r="H271">
        <f t="shared" si="51"/>
        <v>229086.76527677546</v>
      </c>
      <c r="I271" t="str">
        <f t="shared" si="54"/>
        <v>1439394.59765633j</v>
      </c>
      <c r="J271" t="str">
        <f>IMDIV(R_1,IMSUM('Opamp and C Stray Using B (2)'!R_1,IMPRODUCT('Opamp and C Stray Using B (2)'!R_f,IMSUM(1,IMPRODUCT(I271,C_s,R_1)))))</f>
        <v>0.164994973738356-0.0759977196286203j</v>
      </c>
      <c r="K271">
        <f t="shared" si="55"/>
        <v>-14.81499289885415</v>
      </c>
      <c r="L271">
        <f t="shared" si="56"/>
        <v>-24.731093802494144</v>
      </c>
      <c r="M271">
        <f t="shared" si="57"/>
        <v>0.164994973738356</v>
      </c>
      <c r="N271">
        <f t="shared" si="58"/>
        <v>-7.59977196286203E-2</v>
      </c>
      <c r="O271" t="str">
        <f t="shared" si="52"/>
        <v>0.0019054607143325-43.6515831408407j</v>
      </c>
      <c r="P271">
        <f t="shared" si="59"/>
        <v>32.799999991724789</v>
      </c>
      <c r="Q271">
        <f t="shared" si="60"/>
        <v>-89.997498948513794</v>
      </c>
      <c r="R271">
        <f t="shared" si="61"/>
        <v>17.985007092870639</v>
      </c>
      <c r="S271">
        <f t="shared" si="62"/>
        <v>65.271407248992062</v>
      </c>
    </row>
    <row r="272" spans="7:19" x14ac:dyDescent="0.25">
      <c r="G272">
        <f t="shared" si="53"/>
        <v>4.3799999999999955</v>
      </c>
      <c r="H272">
        <f t="shared" si="51"/>
        <v>239883.29190194668</v>
      </c>
      <c r="I272" t="str">
        <f t="shared" si="54"/>
        <v>1507231.17511618j</v>
      </c>
      <c r="J272" t="str">
        <f>IMDIV(R_1,IMSUM('Opamp and C Stray Using B (2)'!R_1,IMPRODUCT('Opamp and C Stray Using B (2)'!R_f,IMSUM(1,IMPRODUCT(I272,C_s,R_1)))))</f>
        <v>0.162255116169296-0.0782579102119873j</v>
      </c>
      <c r="K272">
        <f t="shared" si="55"/>
        <v>-14.887716046320993</v>
      </c>
      <c r="L272">
        <f t="shared" si="56"/>
        <v>-25.748662951346496</v>
      </c>
      <c r="M272">
        <f t="shared" si="57"/>
        <v>0.162255116169296</v>
      </c>
      <c r="N272">
        <f t="shared" si="58"/>
        <v>-7.8257910211987303E-2</v>
      </c>
      <c r="O272" t="str">
        <f t="shared" si="52"/>
        <v>0.00173780082572947-41.6869382745905j</v>
      </c>
      <c r="P272">
        <f t="shared" si="59"/>
        <v>32.39999999245294</v>
      </c>
      <c r="Q272">
        <f t="shared" si="60"/>
        <v>-89.997611514373276</v>
      </c>
      <c r="R272">
        <f t="shared" si="61"/>
        <v>17.512283946131948</v>
      </c>
      <c r="S272">
        <f t="shared" si="62"/>
        <v>64.253725534280221</v>
      </c>
    </row>
    <row r="273" spans="7:19" x14ac:dyDescent="0.25">
      <c r="G273">
        <f t="shared" si="53"/>
        <v>4.399999999999995</v>
      </c>
      <c r="H273">
        <f t="shared" si="51"/>
        <v>251188.64315095547</v>
      </c>
      <c r="I273" t="str">
        <f t="shared" si="54"/>
        <v>1578264.79197646j</v>
      </c>
      <c r="J273" t="str">
        <f>IMDIV(R_1,IMSUM('Opamp and C Stray Using B (2)'!R_1,IMPRODUCT('Opamp and C Stray Using B (2)'!R_f,IMSUM(1,IMPRODUCT(I273,C_s,R_1)))))</f>
        <v>0.1593536383431-0.0804807157984849j</v>
      </c>
      <c r="K273">
        <f t="shared" si="55"/>
        <v>-14.966080206537038</v>
      </c>
      <c r="L273">
        <f t="shared" si="56"/>
        <v>-26.795817811826428</v>
      </c>
      <c r="M273">
        <f t="shared" si="57"/>
        <v>0.15935363834310001</v>
      </c>
      <c r="N273">
        <f t="shared" si="58"/>
        <v>-8.0480715798484898E-2</v>
      </c>
      <c r="O273" t="str">
        <f t="shared" si="52"/>
        <v>0.00158489318994925-39.8107169922543j</v>
      </c>
      <c r="P273">
        <f t="shared" si="59"/>
        <v>31.999999993116962</v>
      </c>
      <c r="Q273">
        <f t="shared" si="60"/>
        <v>-89.997719013934542</v>
      </c>
      <c r="R273">
        <f t="shared" si="61"/>
        <v>17.033919786579922</v>
      </c>
      <c r="S273">
        <f t="shared" si="62"/>
        <v>63.206463174239033</v>
      </c>
    </row>
    <row r="274" spans="7:19" x14ac:dyDescent="0.25">
      <c r="G274">
        <f t="shared" si="53"/>
        <v>4.4199999999999946</v>
      </c>
      <c r="H274">
        <f t="shared" si="51"/>
        <v>263026.79918953503</v>
      </c>
      <c r="I274" t="str">
        <f t="shared" si="54"/>
        <v>1652646.12006216j</v>
      </c>
      <c r="J274" t="str">
        <f>IMDIV(R_1,IMSUM('Opamp and C Stray Using B (2)'!R_1,IMPRODUCT('Opamp and C Stray Using B (2)'!R_f,IMSUM(1,IMPRODUCT(I274,C_s,R_1)))))</f>
        <v>0.156289207358764-0.0826530406876968j</v>
      </c>
      <c r="K274">
        <f t="shared" si="55"/>
        <v>-15.050410157369749</v>
      </c>
      <c r="L274">
        <f t="shared" si="56"/>
        <v>-27.871979595328568</v>
      </c>
      <c r="M274">
        <f t="shared" si="57"/>
        <v>0.156289207358764</v>
      </c>
      <c r="N274">
        <f t="shared" si="58"/>
        <v>-8.2653040687696799E-2</v>
      </c>
      <c r="O274" t="str">
        <f t="shared" si="52"/>
        <v>0.00144543976865667-38.0189395771025j</v>
      </c>
      <c r="P274">
        <f t="shared" si="59"/>
        <v>31.599999993722641</v>
      </c>
      <c r="Q274">
        <f t="shared" si="60"/>
        <v>-89.997821675218574</v>
      </c>
      <c r="R274">
        <f t="shared" si="61"/>
        <v>16.549589836352894</v>
      </c>
      <c r="S274">
        <f t="shared" si="62"/>
        <v>62.130198729452857</v>
      </c>
    </row>
    <row r="275" spans="7:19" x14ac:dyDescent="0.25">
      <c r="G275">
        <f t="shared" si="53"/>
        <v>4.4399999999999942</v>
      </c>
      <c r="H275">
        <f t="shared" si="51"/>
        <v>275422.87033381331</v>
      </c>
      <c r="I275" t="str">
        <f t="shared" si="54"/>
        <v>1730532.93214264j</v>
      </c>
      <c r="J275" t="str">
        <f>IMDIV(R_1,IMSUM('Opamp and C Stray Using B (2)'!R_1,IMPRODUCT('Opamp and C Stray Using B (2)'!R_f,IMSUM(1,IMPRODUCT(I275,C_s,R_1)))))</f>
        <v>0.153061793504061-0.0847611117797097j</v>
      </c>
      <c r="K275">
        <f t="shared" si="55"/>
        <v>-15.141032064600973</v>
      </c>
      <c r="L275">
        <f t="shared" si="56"/>
        <v>-28.976392139447388</v>
      </c>
      <c r="M275">
        <f t="shared" si="57"/>
        <v>0.15306179350406099</v>
      </c>
      <c r="N275">
        <f t="shared" si="58"/>
        <v>-8.47611117797097E-2</v>
      </c>
      <c r="O275" t="str">
        <f t="shared" si="52"/>
        <v>0.00131825673681864-36.3078054291476j</v>
      </c>
      <c r="P275">
        <f t="shared" si="59"/>
        <v>31.199999994274997</v>
      </c>
      <c r="Q275">
        <f t="shared" si="60"/>
        <v>-89.997919715983699</v>
      </c>
      <c r="R275">
        <f t="shared" si="61"/>
        <v>16.058967929674026</v>
      </c>
      <c r="S275">
        <f t="shared" si="62"/>
        <v>61.025688144568917</v>
      </c>
    </row>
    <row r="276" spans="7:19" x14ac:dyDescent="0.25">
      <c r="G276">
        <f t="shared" si="53"/>
        <v>4.4599999999999937</v>
      </c>
      <c r="H276">
        <f t="shared" si="51"/>
        <v>288403.15031265654</v>
      </c>
      <c r="I276" t="str">
        <f t="shared" si="54"/>
        <v>1812090.43658879j</v>
      </c>
      <c r="J276" t="str">
        <f>IMDIV(R_1,IMSUM('Opamp and C Stray Using B (2)'!R_1,IMPRODUCT('Opamp and C Stray Using B (2)'!R_f,IMSUM(1,IMPRODUCT(I276,C_s,R_1)))))</f>
        <v>0.149672816655322-0.0867906174970932j</v>
      </c>
      <c r="K276">
        <f t="shared" si="55"/>
        <v>-15.238270727209805</v>
      </c>
      <c r="L276">
        <f t="shared" si="56"/>
        <v>-30.108113853843605</v>
      </c>
      <c r="M276">
        <f t="shared" si="57"/>
        <v>0.14967281665532201</v>
      </c>
      <c r="N276">
        <f t="shared" si="58"/>
        <v>-8.67906174970932E-2</v>
      </c>
      <c r="O276" t="str">
        <f t="shared" si="52"/>
        <v>0.001202264433172-34.6736850035667j</v>
      </c>
      <c r="P276">
        <f t="shared" si="59"/>
        <v>30.799999994778751</v>
      </c>
      <c r="Q276">
        <f t="shared" si="60"/>
        <v>-89.998013344187541</v>
      </c>
      <c r="R276">
        <f t="shared" si="61"/>
        <v>15.561729267568946</v>
      </c>
      <c r="S276">
        <f t="shared" si="62"/>
        <v>59.893872801968854</v>
      </c>
    </row>
    <row r="277" spans="7:19" x14ac:dyDescent="0.25">
      <c r="G277">
        <f t="shared" si="53"/>
        <v>4.4799999999999933</v>
      </c>
      <c r="H277">
        <f t="shared" si="51"/>
        <v>301995.1720401973</v>
      </c>
      <c r="I277" t="str">
        <f t="shared" si="54"/>
        <v>1897491.62780214j</v>
      </c>
      <c r="J277" t="str">
        <f>IMDIV(R_1,IMSUM('Opamp and C Stray Using B (2)'!R_1,IMPRODUCT('Opamp and C Stray Using B (2)'!R_f,IMSUM(1,IMPRODUCT(I277,C_s,R_1)))))</f>
        <v>0.146125277855087-0.0887268772288926j</v>
      </c>
      <c r="K277">
        <f t="shared" si="55"/>
        <v>-15.342446543607075</v>
      </c>
      <c r="L277">
        <f t="shared" si="56"/>
        <v>-31.266011700699032</v>
      </c>
      <c r="M277">
        <f t="shared" si="57"/>
        <v>0.146125277855087</v>
      </c>
      <c r="N277">
        <f t="shared" si="58"/>
        <v>-8.8726877228892595E-2</v>
      </c>
      <c r="O277" t="str">
        <f t="shared" si="52"/>
        <v>0.00109647819494095-33.1131121119518j</v>
      </c>
      <c r="P277">
        <f t="shared" si="59"/>
        <v>30.399999995238183</v>
      </c>
      <c r="Q277">
        <f t="shared" si="60"/>
        <v>-89.998102758428061</v>
      </c>
      <c r="R277">
        <f t="shared" si="61"/>
        <v>15.057553451631108</v>
      </c>
      <c r="S277">
        <f t="shared" si="62"/>
        <v>58.735885540872914</v>
      </c>
    </row>
    <row r="278" spans="7:19" x14ac:dyDescent="0.25">
      <c r="G278">
        <f t="shared" si="53"/>
        <v>4.4999999999999929</v>
      </c>
      <c r="H278">
        <f t="shared" si="51"/>
        <v>316227.76601683337</v>
      </c>
      <c r="I278" t="str">
        <f t="shared" si="54"/>
        <v>1986917.65315919j</v>
      </c>
      <c r="J278" t="str">
        <f>IMDIV(R_1,IMSUM('Opamp and C Stray Using B (2)'!R_1,IMPRODUCT('Opamp and C Stray Using B (2)'!R_f,IMSUM(1,IMPRODUCT(I278,C_s,R_1)))))</f>
        <v>0.142423869479519-0.0905550401600306j</v>
      </c>
      <c r="K278">
        <f t="shared" si="55"/>
        <v>-15.453872235006497</v>
      </c>
      <c r="L278">
        <f t="shared" si="56"/>
        <v>-32.448757606509176</v>
      </c>
      <c r="M278">
        <f t="shared" si="57"/>
        <v>0.14242386947951899</v>
      </c>
      <c r="N278">
        <f t="shared" si="58"/>
        <v>-9.0555040160030603E-2</v>
      </c>
      <c r="O278" t="str">
        <f t="shared" si="52"/>
        <v>0.000999999999000031-31.6227765700615j</v>
      </c>
      <c r="P278">
        <f t="shared" si="59"/>
        <v>29.999999995657191</v>
      </c>
      <c r="Q278">
        <f t="shared" si="60"/>
        <v>-89.998188148364846</v>
      </c>
      <c r="R278">
        <f t="shared" si="61"/>
        <v>14.546127760650695</v>
      </c>
      <c r="S278">
        <f t="shared" si="62"/>
        <v>57.553054245125978</v>
      </c>
    </row>
    <row r="279" spans="7:19" x14ac:dyDescent="0.25">
      <c r="G279">
        <f t="shared" si="53"/>
        <v>4.5199999999999925</v>
      </c>
      <c r="H279">
        <f t="shared" si="51"/>
        <v>331131.12148258556</v>
      </c>
      <c r="I279" t="str">
        <f t="shared" si="54"/>
        <v>2080558.19724928j</v>
      </c>
      <c r="J279" t="str">
        <f>IMDIV(R_1,IMSUM('Opamp and C Stray Using B (2)'!R_1,IMPRODUCT('Opamp and C Stray Using B (2)'!R_f,IMSUM(1,IMPRODUCT(I279,C_s,R_1)))))</f>
        <v>0.138575057282719-0.0922603108364316j</v>
      </c>
      <c r="K279">
        <f t="shared" si="55"/>
        <v>-15.572849375473368</v>
      </c>
      <c r="L279">
        <f t="shared" si="56"/>
        <v>-33.654827677154486</v>
      </c>
      <c r="M279">
        <f t="shared" si="57"/>
        <v>0.13857505728271899</v>
      </c>
      <c r="N279">
        <f t="shared" si="58"/>
        <v>-9.2260310836431603E-2</v>
      </c>
      <c r="O279" t="str">
        <f t="shared" si="52"/>
        <v>0.000912010838524174-30.1995171764783j</v>
      </c>
      <c r="P279">
        <f t="shared" si="59"/>
        <v>29.599999996039308</v>
      </c>
      <c r="Q279">
        <f t="shared" si="60"/>
        <v>-89.998269695121408</v>
      </c>
      <c r="R279">
        <f t="shared" si="61"/>
        <v>14.027150620565941</v>
      </c>
      <c r="S279">
        <f t="shared" si="62"/>
        <v>56.346902627724106</v>
      </c>
    </row>
    <row r="280" spans="7:19" x14ac:dyDescent="0.25">
      <c r="G280">
        <f t="shared" si="53"/>
        <v>4.539999999999992</v>
      </c>
      <c r="H280">
        <f t="shared" si="51"/>
        <v>346736.85045252583</v>
      </c>
      <c r="I280" t="str">
        <f t="shared" si="54"/>
        <v>2178611.88422104j</v>
      </c>
      <c r="J280" t="str">
        <f>IMDIV(R_1,IMSUM('Opamp and C Stray Using B (2)'!R_1,IMPRODUCT('Opamp and C Stray Using B (2)'!R_f,IMSUM(1,IMPRODUCT(I280,C_s,R_1)))))</f>
        <v>0.134587127852286-0.0938281971846931j</v>
      </c>
      <c r="K280">
        <f t="shared" si="55"/>
        <v>-15.699664791438037</v>
      </c>
      <c r="L280">
        <f t="shared" si="56"/>
        <v>-34.882504542556802</v>
      </c>
      <c r="M280">
        <f t="shared" si="57"/>
        <v>0.13458712785228599</v>
      </c>
      <c r="N280">
        <f t="shared" si="58"/>
        <v>-9.3828197184693096E-2</v>
      </c>
      <c r="O280" t="str">
        <f t="shared" si="52"/>
        <v>0.000831763770410862-28.8403150072781j</v>
      </c>
      <c r="P280">
        <f t="shared" si="59"/>
        <v>29.199999996387803</v>
      </c>
      <c r="Q280">
        <f t="shared" si="60"/>
        <v>-89.998347571669342</v>
      </c>
      <c r="R280">
        <f t="shared" si="61"/>
        <v>13.500335204949765</v>
      </c>
      <c r="S280">
        <f t="shared" si="62"/>
        <v>55.119147885773856</v>
      </c>
    </row>
    <row r="281" spans="7:19" x14ac:dyDescent="0.25">
      <c r="G281">
        <f t="shared" si="53"/>
        <v>4.5599999999999916</v>
      </c>
      <c r="H281">
        <f t="shared" si="51"/>
        <v>363078.05477009452</v>
      </c>
      <c r="I281" t="str">
        <f t="shared" si="54"/>
        <v>2281286.6990908j</v>
      </c>
      <c r="J281" t="str">
        <f>IMDIV(R_1,IMSUM('Opamp and C Stray Using B (2)'!R_1,IMPRODUCT('Opamp and C Stray Using B (2)'!R_f,IMSUM(1,IMPRODUCT(I281,C_s,R_1)))))</f>
        <v>0.130470195684088-0.0952447750534031j</v>
      </c>
      <c r="K281">
        <f t="shared" si="55"/>
        <v>-15.834586905793962</v>
      </c>
      <c r="L281">
        <f t="shared" si="56"/>
        <v>-36.129883089813887</v>
      </c>
      <c r="M281">
        <f t="shared" si="57"/>
        <v>0.13047019568408799</v>
      </c>
      <c r="N281">
        <f t="shared" si="58"/>
        <v>-9.5244775053403105E-2</v>
      </c>
      <c r="O281" t="str">
        <f t="shared" si="52"/>
        <v>0.000758577574453774-27.5422870124893j</v>
      </c>
      <c r="P281">
        <f t="shared" si="59"/>
        <v>28.799999996705729</v>
      </c>
      <c r="Q281">
        <f t="shared" si="60"/>
        <v>-89.998421943195254</v>
      </c>
      <c r="R281">
        <f t="shared" si="61"/>
        <v>12.965413090911767</v>
      </c>
      <c r="S281">
        <f t="shared" si="62"/>
        <v>53.871694966990859</v>
      </c>
    </row>
    <row r="282" spans="7:19" x14ac:dyDescent="0.25">
      <c r="G282">
        <f t="shared" si="53"/>
        <v>4.5799999999999912</v>
      </c>
      <c r="H282">
        <f t="shared" si="51"/>
        <v>380189.39632055402</v>
      </c>
      <c r="I282" t="str">
        <f t="shared" si="54"/>
        <v>2388800.42890678j</v>
      </c>
      <c r="J282" t="str">
        <f>IMDIV(R_1,IMSUM('Opamp and C Stray Using B (2)'!R_1,IMPRODUCT('Opamp and C Stray Using B (2)'!R_f,IMSUM(1,IMPRODUCT(I282,C_s,R_1)))))</f>
        <v>0.1262361652108-0.0964969617917144j</v>
      </c>
      <c r="K282">
        <f t="shared" si="55"/>
        <v>-15.97786211223246</v>
      </c>
      <c r="L282">
        <f t="shared" si="56"/>
        <v>-37.394879755012141</v>
      </c>
      <c r="M282">
        <f t="shared" si="57"/>
        <v>0.1262361652108</v>
      </c>
      <c r="N282">
        <f t="shared" si="58"/>
        <v>-9.6496961791714395E-2</v>
      </c>
      <c r="O282" t="str">
        <f t="shared" si="52"/>
        <v>0.000691830970440333-26.3026799007573j</v>
      </c>
      <c r="P282">
        <f t="shared" si="59"/>
        <v>28.399999996995579</v>
      </c>
      <c r="Q282">
        <f t="shared" si="60"/>
        <v>-89.998492967451114</v>
      </c>
      <c r="R282">
        <f t="shared" si="61"/>
        <v>12.422137884763119</v>
      </c>
      <c r="S282">
        <f t="shared" si="62"/>
        <v>52.606627277536745</v>
      </c>
    </row>
    <row r="283" spans="7:19" x14ac:dyDescent="0.25">
      <c r="G283">
        <f t="shared" si="53"/>
        <v>4.5999999999999908</v>
      </c>
      <c r="H283">
        <f t="shared" si="51"/>
        <v>398107.17055348901</v>
      </c>
      <c r="I283" t="str">
        <f t="shared" si="54"/>
        <v>2501381.12470452j</v>
      </c>
      <c r="J283" t="str">
        <f>IMDIV(R_1,IMSUM('Opamp and C Stray Using B (2)'!R_1,IMPRODUCT('Opamp and C Stray Using B (2)'!R_f,IMSUM(1,IMPRODUCT(I283,C_s,R_1)))))</f>
        <v>0.121898644687893-0.097572790063795j</v>
      </c>
      <c r="K283">
        <f t="shared" si="55"/>
        <v>-16.129711273299542</v>
      </c>
      <c r="L283">
        <f t="shared" si="56"/>
        <v>-38.675245436157809</v>
      </c>
      <c r="M283">
        <f t="shared" si="57"/>
        <v>0.12189864468789301</v>
      </c>
      <c r="N283">
        <f t="shared" si="58"/>
        <v>-9.7572790063795004E-2</v>
      </c>
      <c r="O283" t="str">
        <f t="shared" si="52"/>
        <v>0.000630957344082112-25.1188642992474j</v>
      </c>
      <c r="P283">
        <f t="shared" si="59"/>
        <v>27.999999997259973</v>
      </c>
      <c r="Q283">
        <f t="shared" si="60"/>
        <v>-89.998560795088892</v>
      </c>
      <c r="R283">
        <f t="shared" si="61"/>
        <v>11.870288723960432</v>
      </c>
      <c r="S283">
        <f t="shared" si="62"/>
        <v>51.326193768753285</v>
      </c>
    </row>
    <row r="284" spans="7:19" x14ac:dyDescent="0.25">
      <c r="G284">
        <f t="shared" si="53"/>
        <v>4.6199999999999903</v>
      </c>
      <c r="H284">
        <f t="shared" si="51"/>
        <v>416869.38347032666</v>
      </c>
      <c r="I284" t="str">
        <f t="shared" si="54"/>
        <v>2619267.58523377j</v>
      </c>
      <c r="J284" t="str">
        <f>IMDIV(R_1,IMSUM('Opamp and C Stray Using B (2)'!R_1,IMPRODUCT('Opamp and C Stray Using B (2)'!R_f,IMSUM(1,IMPRODUCT(I284,C_s,R_1)))))</f>
        <v>0.117472810798979-0.0984616721510613j</v>
      </c>
      <c r="K284">
        <f t="shared" si="55"/>
        <v>-16.290326439952089</v>
      </c>
      <c r="L284">
        <f t="shared" si="56"/>
        <v>-39.968581966829994</v>
      </c>
      <c r="M284">
        <f t="shared" si="57"/>
        <v>0.117472810798979</v>
      </c>
      <c r="N284">
        <f t="shared" si="58"/>
        <v>-9.8461672151061302E-2</v>
      </c>
      <c r="O284" t="str">
        <f t="shared" si="52"/>
        <v>0.000575439937006049-23.9883291763915j</v>
      </c>
      <c r="P284">
        <f t="shared" si="59"/>
        <v>27.599999997501055</v>
      </c>
      <c r="Q284">
        <f t="shared" si="60"/>
        <v>-89.998625569980106</v>
      </c>
      <c r="R284">
        <f t="shared" si="61"/>
        <v>11.309673557548965</v>
      </c>
      <c r="S284">
        <f t="shared" si="62"/>
        <v>50.032792463189907</v>
      </c>
    </row>
    <row r="285" spans="7:19" x14ac:dyDescent="0.25">
      <c r="G285">
        <f t="shared" si="53"/>
        <v>4.6399999999999899</v>
      </c>
      <c r="H285">
        <f t="shared" si="51"/>
        <v>436515.83224015596</v>
      </c>
      <c r="I285" t="str">
        <f t="shared" si="54"/>
        <v>2742709.86348262j</v>
      </c>
      <c r="J285" t="str">
        <f>IMDIV(R_1,IMSUM('Opamp and C Stray Using B (2)'!R_1,IMPRODUCT('Opamp and C Stray Using B (2)'!R_f,IMSUM(1,IMPRODUCT(I285,C_s,R_1)))))</f>
        <v>0.112975225091316-0.0991546445398787j</v>
      </c>
      <c r="K285">
        <f t="shared" si="55"/>
        <v>-16.459867890456</v>
      </c>
      <c r="L285">
        <f t="shared" si="56"/>
        <v>-41.272361957953507</v>
      </c>
      <c r="M285">
        <f t="shared" si="57"/>
        <v>0.11297522509131599</v>
      </c>
      <c r="N285">
        <f t="shared" si="58"/>
        <v>-9.9154644539878697E-2</v>
      </c>
      <c r="O285" t="str">
        <f t="shared" si="52"/>
        <v>0.000524807459974374-22.9086765156556j</v>
      </c>
      <c r="P285">
        <f t="shared" si="59"/>
        <v>27.199999997720987</v>
      </c>
      <c r="Q285">
        <f t="shared" si="60"/>
        <v>-89.99868742952097</v>
      </c>
      <c r="R285">
        <f t="shared" si="61"/>
        <v>10.740132107264987</v>
      </c>
      <c r="S285">
        <f t="shared" si="62"/>
        <v>48.728950612525523</v>
      </c>
    </row>
    <row r="286" spans="7:19" x14ac:dyDescent="0.25">
      <c r="G286">
        <f t="shared" si="53"/>
        <v>4.6599999999999895</v>
      </c>
      <c r="H286">
        <f t="shared" si="51"/>
        <v>457088.18961486447</v>
      </c>
      <c r="I286" t="str">
        <f t="shared" si="54"/>
        <v>2871969.79707343j</v>
      </c>
      <c r="J286" t="str">
        <f>IMDIV(R_1,IMSUM('Opamp and C Stray Using B (2)'!R_1,IMPRODUCT('Opamp and C Stray Using B (2)'!R_f,IMSUM(1,IMPRODUCT(I286,C_s,R_1)))))</f>
        <v>0.108423605752418-0.0996445827234368j</v>
      </c>
      <c r="K286">
        <f t="shared" si="55"/>
        <v>-16.638461581859545</v>
      </c>
      <c r="L286">
        <f t="shared" si="56"/>
        <v>-42.583951680682091</v>
      </c>
      <c r="M286">
        <f t="shared" si="57"/>
        <v>0.108423605752418</v>
      </c>
      <c r="N286">
        <f t="shared" si="58"/>
        <v>-9.9644582723436806E-2</v>
      </c>
      <c r="O286" t="str">
        <f t="shared" si="52"/>
        <v>0.000478630092093575-21.8776162290248j</v>
      </c>
      <c r="P286">
        <f t="shared" si="59"/>
        <v>26.799999997921557</v>
      </c>
      <c r="Q286">
        <f t="shared" si="60"/>
        <v>-89.998746504923872</v>
      </c>
      <c r="R286">
        <f t="shared" si="61"/>
        <v>10.161538416062012</v>
      </c>
      <c r="S286">
        <f t="shared" si="62"/>
        <v>47.417301814394023</v>
      </c>
    </row>
    <row r="287" spans="7:19" x14ac:dyDescent="0.25">
      <c r="G287">
        <f t="shared" si="53"/>
        <v>4.6799999999999891</v>
      </c>
      <c r="H287">
        <f t="shared" si="51"/>
        <v>478630.0923226272</v>
      </c>
      <c r="I287" t="str">
        <f t="shared" si="54"/>
        <v>3007321.56365554j</v>
      </c>
      <c r="J287" t="str">
        <f>IMDIV(R_1,IMSUM('Opamp and C Stray Using B (2)'!R_1,IMPRODUCT('Opamp and C Stray Using B (2)'!R_f,IMSUM(1,IMPRODUCT(I287,C_s,R_1)))))</f>
        <v>0.103836560619777-0.0999263769112579j</v>
      </c>
      <c r="K287">
        <f t="shared" si="55"/>
        <v>-16.8261970978525</v>
      </c>
      <c r="L287">
        <f t="shared" si="56"/>
        <v>-43.900636534845809</v>
      </c>
      <c r="M287">
        <f t="shared" si="57"/>
        <v>0.103836560619777</v>
      </c>
      <c r="N287">
        <f t="shared" si="58"/>
        <v>-9.99263769112579E-2</v>
      </c>
      <c r="O287" t="str">
        <f t="shared" si="52"/>
        <v>0.000436515832049641-20.8929612994208j</v>
      </c>
      <c r="P287">
        <f t="shared" si="59"/>
        <v>26.399999998104452</v>
      </c>
      <c r="Q287">
        <f t="shared" si="60"/>
        <v>-89.998802921495667</v>
      </c>
      <c r="R287">
        <f t="shared" si="61"/>
        <v>9.5738029002519518</v>
      </c>
      <c r="S287">
        <f t="shared" si="62"/>
        <v>46.100560543658531</v>
      </c>
    </row>
    <row r="288" spans="7:19" x14ac:dyDescent="0.25">
      <c r="G288">
        <f t="shared" si="53"/>
        <v>4.6999999999999886</v>
      </c>
      <c r="H288">
        <f t="shared" si="51"/>
        <v>501187.23362725956</v>
      </c>
      <c r="I288" t="str">
        <f t="shared" si="54"/>
        <v>3149052.26247278j</v>
      </c>
      <c r="J288" t="str">
        <f>IMDIV(R_1,IMSUM('Opamp and C Stray Using B (2)'!R_1,IMPRODUCT('Opamp and C Stray Using B (2)'!R_f,IMSUM(1,IMPRODUCT(I288,C_s,R_1)))))</f>
        <v>0.0992332894918206-0.0999970607317868j</v>
      </c>
      <c r="K288">
        <f t="shared" si="55"/>
        <v>-17.0231261628129</v>
      </c>
      <c r="L288">
        <f t="shared" si="56"/>
        <v>-45.219648533159123</v>
      </c>
      <c r="M288">
        <f t="shared" si="57"/>
        <v>9.92332894918206E-2</v>
      </c>
      <c r="N288">
        <f t="shared" si="58"/>
        <v>-9.9997060731786797E-2</v>
      </c>
      <c r="O288" t="str">
        <f t="shared" si="52"/>
        <v>0.000398107170395027-19.952623141746j</v>
      </c>
      <c r="P288">
        <f t="shared" si="59"/>
        <v>25.999999998271257</v>
      </c>
      <c r="Q288">
        <f t="shared" si="60"/>
        <v>-89.998856798903461</v>
      </c>
      <c r="R288">
        <f t="shared" si="61"/>
        <v>8.9768738354583562</v>
      </c>
      <c r="S288">
        <f t="shared" si="62"/>
        <v>44.781494667937409</v>
      </c>
    </row>
    <row r="289" spans="7:19" x14ac:dyDescent="0.25">
      <c r="G289">
        <f t="shared" si="53"/>
        <v>4.7199999999999882</v>
      </c>
      <c r="H289">
        <f t="shared" si="51"/>
        <v>524807.46024975914</v>
      </c>
      <c r="I289" t="str">
        <f t="shared" si="54"/>
        <v>3297462.52333952j</v>
      </c>
      <c r="J289" t="str">
        <f>IMDIV(R_1,IMSUM('Opamp and C Stray Using B (2)'!R_1,IMPRODUCT('Opamp and C Stray Using B (2)'!R_f,IMSUM(1,IMPRODUCT(I289,C_s,R_1)))))</f>
        <v>0.094633265597855-0.099855886966452j</v>
      </c>
      <c r="K289">
        <f t="shared" si="55"/>
        <v>-17.229261773838747</v>
      </c>
      <c r="L289">
        <f t="shared" si="56"/>
        <v>-46.538195139294309</v>
      </c>
      <c r="M289">
        <f t="shared" si="57"/>
        <v>9.4633265597854996E-2</v>
      </c>
      <c r="N289">
        <f t="shared" si="58"/>
        <v>-9.9855886966452007E-2</v>
      </c>
      <c r="O289" t="str">
        <f t="shared" si="52"/>
        <v>0.000363078054638294-19.0546071727147j</v>
      </c>
      <c r="P289">
        <f t="shared" si="59"/>
        <v>25.599999998423417</v>
      </c>
      <c r="Q289">
        <f t="shared" si="60"/>
        <v>-89.99890825142846</v>
      </c>
      <c r="R289">
        <f t="shared" si="61"/>
        <v>8.3707382245846702</v>
      </c>
      <c r="S289">
        <f t="shared" si="62"/>
        <v>43.462896609277237</v>
      </c>
    </row>
    <row r="290" spans="7:19" x14ac:dyDescent="0.25">
      <c r="G290">
        <f t="shared" si="53"/>
        <v>4.7399999999999878</v>
      </c>
      <c r="H290">
        <f t="shared" si="51"/>
        <v>549540.87385760946</v>
      </c>
      <c r="I290" t="str">
        <f t="shared" si="54"/>
        <v>3452867.14431676j</v>
      </c>
      <c r="J290" t="str">
        <f>IMDIV(R_1,IMSUM('Opamp and C Stray Using B (2)'!R_1,IMPRODUCT('Opamp and C Stray Using B (2)'!R_f,IMSUM(1,IMPRODUCT(I290,C_s,R_1)))))</f>
        <v>0.0900559073312505-0.0995043467442268j</v>
      </c>
      <c r="K290">
        <f t="shared" si="55"/>
        <v>-17.444577981497204</v>
      </c>
      <c r="L290">
        <f t="shared" si="56"/>
        <v>-47.853488734639917</v>
      </c>
      <c r="M290">
        <f t="shared" si="57"/>
        <v>9.0055907331250504E-2</v>
      </c>
      <c r="N290">
        <f t="shared" si="58"/>
        <v>-9.9504346744226799E-2</v>
      </c>
      <c r="O290" t="str">
        <f t="shared" si="52"/>
        <v>0.000331131121372962-18.1970085800748j</v>
      </c>
      <c r="P290">
        <f t="shared" si="59"/>
        <v>25.199999998562184</v>
      </c>
      <c r="Q290">
        <f t="shared" si="60"/>
        <v>-89.998957388208382</v>
      </c>
      <c r="R290">
        <f t="shared" si="61"/>
        <v>7.7554220170649799</v>
      </c>
      <c r="S290">
        <f t="shared" si="62"/>
        <v>42.147553877151694</v>
      </c>
    </row>
    <row r="291" spans="7:19" x14ac:dyDescent="0.25">
      <c r="G291">
        <f t="shared" si="53"/>
        <v>4.7599999999999874</v>
      </c>
      <c r="H291">
        <f t="shared" si="51"/>
        <v>575439.93733714102</v>
      </c>
      <c r="I291" t="str">
        <f t="shared" si="54"/>
        <v>3615595.75944107j</v>
      </c>
      <c r="J291" t="str">
        <f>IMDIV(R_1,IMSUM('Opamp and C Stray Using B (2)'!R_1,IMPRODUCT('Opamp and C Stray Using B (2)'!R_f,IMSUM(1,IMPRODUCT(I291,C_s,R_1)))))</f>
        <v>0.0855202519408446-0.098946131284368j</v>
      </c>
      <c r="K291">
        <f t="shared" si="55"/>
        <v>-17.669010327110993</v>
      </c>
      <c r="L291">
        <f t="shared" si="56"/>
        <v>-49.162775958813512</v>
      </c>
      <c r="M291">
        <f t="shared" si="57"/>
        <v>8.5520251940844602E-2</v>
      </c>
      <c r="N291">
        <f t="shared" si="58"/>
        <v>-9.8946131284367994E-2</v>
      </c>
      <c r="O291" t="str">
        <f t="shared" si="52"/>
        <v>0.000301995171949016-17.3780082822461j</v>
      </c>
      <c r="P291">
        <f t="shared" si="59"/>
        <v>24.799999998688662</v>
      </c>
      <c r="Q291">
        <f t="shared" si="60"/>
        <v>-89.999004313468888</v>
      </c>
      <c r="R291">
        <f t="shared" si="61"/>
        <v>7.1309896715776695</v>
      </c>
      <c r="S291">
        <f t="shared" si="62"/>
        <v>40.838219727717615</v>
      </c>
    </row>
    <row r="292" spans="7:19" x14ac:dyDescent="0.25">
      <c r="G292">
        <f t="shared" si="53"/>
        <v>4.7799999999999869</v>
      </c>
      <c r="H292">
        <f t="shared" si="51"/>
        <v>602559.58607433992</v>
      </c>
      <c r="I292" t="str">
        <f t="shared" si="54"/>
        <v>3785993.53792251j</v>
      </c>
      <c r="J292" t="str">
        <f>IMDIV(R_1,IMSUM('Opamp and C Stray Using B (2)'!R_1,IMPRODUCT('Opamp and C Stray Using B (2)'!R_f,IMSUM(1,IMPRODUCT(I292,C_s,R_1)))))</f>
        <v>0.0810446427563526-0.0981870380028123j</v>
      </c>
      <c r="K292">
        <f t="shared" si="55"/>
        <v>-17.902456921009012</v>
      </c>
      <c r="L292">
        <f t="shared" si="56"/>
        <v>-50.463366174979754</v>
      </c>
      <c r="M292">
        <f t="shared" si="57"/>
        <v>8.1044642756352606E-2</v>
      </c>
      <c r="N292">
        <f t="shared" si="58"/>
        <v>-9.8187038002812296E-2</v>
      </c>
      <c r="O292" t="str">
        <f t="shared" si="52"/>
        <v>0.000275422870257974-16.5958690698052j</v>
      </c>
      <c r="P292">
        <f t="shared" si="59"/>
        <v>24.399999998804102</v>
      </c>
      <c r="Q292">
        <f t="shared" si="60"/>
        <v>-89.999049126744779</v>
      </c>
      <c r="R292">
        <f t="shared" si="61"/>
        <v>6.4975430777950898</v>
      </c>
      <c r="S292">
        <f t="shared" si="62"/>
        <v>39.537584698275452</v>
      </c>
    </row>
    <row r="293" spans="7:19" x14ac:dyDescent="0.25">
      <c r="G293">
        <f t="shared" si="53"/>
        <v>4.7999999999999865</v>
      </c>
      <c r="H293">
        <f t="shared" si="51"/>
        <v>630957.34448017448</v>
      </c>
      <c r="I293" t="str">
        <f t="shared" si="54"/>
        <v>3964421.91629488j</v>
      </c>
      <c r="J293" t="str">
        <f>IMDIV(R_1,IMSUM('Opamp and C Stray Using B (2)'!R_1,IMPRODUCT('Opamp and C Stray Using B (2)'!R_f,IMSUM(1,IMPRODUCT(I293,C_s,R_1)))))</f>
        <v>0.0766464407052878-0.0972348253881723j</v>
      </c>
      <c r="K293">
        <f t="shared" si="55"/>
        <v>-18.1447801237255</v>
      </c>
      <c r="L293">
        <f t="shared" si="56"/>
        <v>-51.75265835234157</v>
      </c>
      <c r="M293">
        <f t="shared" si="57"/>
        <v>7.6646440705287797E-2</v>
      </c>
      <c r="N293">
        <f t="shared" si="58"/>
        <v>-9.7234825388172297E-2</v>
      </c>
      <c r="O293" t="str">
        <f t="shared" si="52"/>
        <v>0.000251188643087878-15.8489319206305j</v>
      </c>
      <c r="P293">
        <f t="shared" si="59"/>
        <v>23.999999998909338</v>
      </c>
      <c r="Q293">
        <f t="shared" si="60"/>
        <v>-89.999091923091001</v>
      </c>
      <c r="R293">
        <f t="shared" si="61"/>
        <v>5.8552198751838382</v>
      </c>
      <c r="S293">
        <f t="shared" si="62"/>
        <v>38.248249724567415</v>
      </c>
    </row>
    <row r="294" spans="7:19" x14ac:dyDescent="0.25">
      <c r="G294">
        <f t="shared" si="53"/>
        <v>4.8199999999999861</v>
      </c>
      <c r="H294">
        <f t="shared" si="51"/>
        <v>660693.44800757489</v>
      </c>
      <c r="I294" t="str">
        <f t="shared" si="54"/>
        <v>4151259.36507101j</v>
      </c>
      <c r="J294" t="str">
        <f>IMDIV(R_1,IMSUM('Opamp and C Stray Using B (2)'!R_1,IMPRODUCT('Opamp and C Stray Using B (2)'!R_f,IMSUM(1,IMPRODUCT(I294,C_s,R_1)))))</f>
        <v>0.0723417694365883-0.0960990233150221j</v>
      </c>
      <c r="K294">
        <f t="shared" si="55"/>
        <v>-18.395808771961754</v>
      </c>
      <c r="L294">
        <f t="shared" si="56"/>
        <v>-53.028165731656713</v>
      </c>
      <c r="M294">
        <f t="shared" si="57"/>
        <v>7.2341769436588294E-2</v>
      </c>
      <c r="N294">
        <f t="shared" si="58"/>
        <v>-9.6099023315022097E-2</v>
      </c>
      <c r="O294" t="str">
        <f t="shared" si="52"/>
        <v>0.000229086765224312-15.1356124808952j</v>
      </c>
      <c r="P294">
        <f t="shared" si="59"/>
        <v>23.599999999005369</v>
      </c>
      <c r="Q294">
        <f t="shared" si="60"/>
        <v>-89.999132793284375</v>
      </c>
      <c r="R294">
        <f t="shared" si="61"/>
        <v>5.2041912270436157</v>
      </c>
      <c r="S294">
        <f t="shared" si="62"/>
        <v>36.972701475058898</v>
      </c>
    </row>
    <row r="295" spans="7:19" x14ac:dyDescent="0.25">
      <c r="G295">
        <f t="shared" si="53"/>
        <v>4.8399999999999856</v>
      </c>
      <c r="H295">
        <f t="shared" si="51"/>
        <v>691830.97091891442</v>
      </c>
      <c r="I295" t="str">
        <f t="shared" si="54"/>
        <v>4346902.19152951j</v>
      </c>
      <c r="J295" t="str">
        <f>IMDIV(R_1,IMSUM('Opamp and C Stray Using B (2)'!R_1,IMPRODUCT('Opamp and C Stray Using B (2)'!R_f,IMSUM(1,IMPRODUCT(I295,C_s,R_1)))))</f>
        <v>0.068145301428712-0.0947907072393301j</v>
      </c>
      <c r="K295">
        <f t="shared" si="55"/>
        <v>-18.655340874364828</v>
      </c>
      <c r="L295">
        <f t="shared" si="56"/>
        <v>-54.287537739939232</v>
      </c>
      <c r="M295">
        <f t="shared" si="57"/>
        <v>6.8145301428712002E-2</v>
      </c>
      <c r="N295">
        <f t="shared" si="58"/>
        <v>-9.4790707239330099E-2</v>
      </c>
      <c r="O295" t="str">
        <f t="shared" si="52"/>
        <v>0.000208929613041766-14.4543977044398j</v>
      </c>
      <c r="P295">
        <f t="shared" si="59"/>
        <v>23.199999999092917</v>
      </c>
      <c r="Q295">
        <f t="shared" si="60"/>
        <v>-89.999171824016031</v>
      </c>
      <c r="R295">
        <f t="shared" si="61"/>
        <v>4.5446591247280885</v>
      </c>
      <c r="S295">
        <f t="shared" si="62"/>
        <v>35.71329043604473</v>
      </c>
    </row>
    <row r="296" spans="7:19" x14ac:dyDescent="0.25">
      <c r="G296">
        <f t="shared" si="53"/>
        <v>4.8599999999999852</v>
      </c>
      <c r="H296">
        <f t="shared" si="51"/>
        <v>724435.96007496677</v>
      </c>
      <c r="I296" t="str">
        <f t="shared" si="54"/>
        <v>4551765.38033557j</v>
      </c>
      <c r="J296" t="str">
        <f>IMDIV(R_1,IMSUM('Opamp and C Stray Using B (2)'!R_1,IMPRODUCT('Opamp and C Stray Using B (2)'!R_f,IMSUM(1,IMPRODUCT(I296,C_s,R_1)))))</f>
        <v>0.0640700901948359-0.0933222459084262j</v>
      </c>
      <c r="K296">
        <f t="shared" si="55"/>
        <v>-18.923146689645428</v>
      </c>
      <c r="L296">
        <f t="shared" si="56"/>
        <v>-55.528578740423441</v>
      </c>
      <c r="M296">
        <f t="shared" si="57"/>
        <v>6.4070090194835894E-2</v>
      </c>
      <c r="N296">
        <f t="shared" si="58"/>
        <v>-9.3322245908426193E-2</v>
      </c>
      <c r="O296" t="str">
        <f t="shared" si="52"/>
        <v>0.000190546071760029-13.803842643399j</v>
      </c>
      <c r="P296">
        <f t="shared" si="59"/>
        <v>22.79999999917273</v>
      </c>
      <c r="Q296">
        <f t="shared" si="60"/>
        <v>-89.999209098075369</v>
      </c>
      <c r="R296">
        <f t="shared" si="61"/>
        <v>3.8768533095273021</v>
      </c>
      <c r="S296">
        <f t="shared" si="62"/>
        <v>34.472212161501204</v>
      </c>
    </row>
    <row r="297" spans="7:19" x14ac:dyDescent="0.25">
      <c r="G297">
        <f t="shared" si="53"/>
        <v>4.8799999999999848</v>
      </c>
      <c r="H297">
        <f t="shared" si="51"/>
        <v>758577.57502915792</v>
      </c>
      <c r="I297" t="str">
        <f t="shared" si="54"/>
        <v>4766283.47377913j</v>
      </c>
      <c r="J297" t="str">
        <f>IMDIV(R_1,IMSUM('Opamp and C Stray Using B (2)'!R_1,IMPRODUCT('Opamp and C Stray Using B (2)'!R_f,IMSUM(1,IMPRODUCT(I297,C_s,R_1)))))</f>
        <v>0.0601274512901184-0.0917070327694562j</v>
      </c>
      <c r="K297">
        <f t="shared" si="55"/>
        <v>-19.198972091733225</v>
      </c>
      <c r="L297">
        <f t="shared" si="56"/>
        <v>-56.749263335297172</v>
      </c>
      <c r="M297">
        <f t="shared" si="57"/>
        <v>6.01274512901184E-2</v>
      </c>
      <c r="N297">
        <f t="shared" si="58"/>
        <v>-9.1707032769456201E-2</v>
      </c>
      <c r="O297" t="str">
        <f t="shared" si="52"/>
        <v>0.000173780082844749-13.1825673832736j</v>
      </c>
      <c r="P297">
        <f t="shared" si="59"/>
        <v>22.399999999245544</v>
      </c>
      <c r="Q297">
        <f t="shared" si="60"/>
        <v>-89.9992446945257</v>
      </c>
      <c r="R297">
        <f t="shared" si="61"/>
        <v>3.2010279075123194</v>
      </c>
      <c r="S297">
        <f t="shared" si="62"/>
        <v>33.251491970177142</v>
      </c>
    </row>
    <row r="298" spans="7:19" x14ac:dyDescent="0.25">
      <c r="G298">
        <f t="shared" si="53"/>
        <v>4.8999999999999844</v>
      </c>
      <c r="H298">
        <f t="shared" si="51"/>
        <v>794328.23472425411</v>
      </c>
      <c r="I298" t="str">
        <f t="shared" si="54"/>
        <v>4990911.49349733j</v>
      </c>
      <c r="J298" t="str">
        <f>IMDIV(R_1,IMSUM('Opamp and C Stray Using B (2)'!R_1,IMPRODUCT('Opamp and C Stray Using B (2)'!R_f,IMSUM(1,IMPRODUCT(I298,C_s,R_1)))))</f>
        <v>0.0563268924585419-0.0899592111885839j</v>
      </c>
      <c r="K298">
        <f t="shared" si="55"/>
        <v>-19.482542123645608</v>
      </c>
      <c r="L298">
        <f t="shared" si="56"/>
        <v>-57.947748073248768</v>
      </c>
      <c r="M298">
        <f t="shared" si="57"/>
        <v>5.6326892458541902E-2</v>
      </c>
      <c r="N298">
        <f t="shared" si="58"/>
        <v>-8.9959211188583896E-2</v>
      </c>
      <c r="O298" t="str">
        <f t="shared" si="52"/>
        <v>0.000158489319221003-12.5892541159468j</v>
      </c>
      <c r="P298">
        <f t="shared" si="59"/>
        <v>21.999999999311957</v>
      </c>
      <c r="Q298">
        <f t="shared" si="60"/>
        <v>-89.999278688871868</v>
      </c>
      <c r="R298">
        <f t="shared" si="61"/>
        <v>2.5174578756663486</v>
      </c>
      <c r="S298">
        <f t="shared" si="62"/>
        <v>32.052973237879371</v>
      </c>
    </row>
    <row r="299" spans="7:19" x14ac:dyDescent="0.25">
      <c r="G299">
        <f t="shared" si="53"/>
        <v>4.9199999999999839</v>
      </c>
      <c r="H299">
        <f t="shared" si="51"/>
        <v>831763.77110264078</v>
      </c>
      <c r="I299" t="str">
        <f t="shared" si="54"/>
        <v>5226125.9056364j</v>
      </c>
      <c r="J299" t="str">
        <f>IMDIV(R_1,IMSUM('Opamp and C Stray Using B (2)'!R_1,IMPRODUCT('Opamp and C Stray Using B (2)'!R_f,IMSUM(1,IMPRODUCT(I299,C_s,R_1)))))</f>
        <v>0.0526760910911482-0.088093402962916j</v>
      </c>
      <c r="K299">
        <f t="shared" si="55"/>
        <v>-19.773564643281667</v>
      </c>
      <c r="L299">
        <f t="shared" si="56"/>
        <v>-59.122379543685774</v>
      </c>
      <c r="M299">
        <f t="shared" si="57"/>
        <v>5.2676091091148201E-2</v>
      </c>
      <c r="N299">
        <f t="shared" si="58"/>
        <v>-8.8093402962915998E-2</v>
      </c>
      <c r="O299" t="str">
        <f t="shared" si="52"/>
        <v>0.00014454397705371-12.0226443444368j</v>
      </c>
      <c r="P299">
        <f t="shared" si="59"/>
        <v>21.599999999372592</v>
      </c>
      <c r="Q299">
        <f t="shared" si="60"/>
        <v>-89.999311153220404</v>
      </c>
      <c r="R299">
        <f t="shared" si="61"/>
        <v>1.8264353560909257</v>
      </c>
      <c r="S299">
        <f t="shared" si="62"/>
        <v>30.878309303093829</v>
      </c>
    </row>
    <row r="300" spans="7:19" x14ac:dyDescent="0.25">
      <c r="G300">
        <f t="shared" si="53"/>
        <v>4.9399999999999835</v>
      </c>
      <c r="H300">
        <f t="shared" si="51"/>
        <v>870963.58995604888</v>
      </c>
      <c r="I300" t="str">
        <f t="shared" si="54"/>
        <v>5472425.63150023j</v>
      </c>
      <c r="J300" t="str">
        <f>IMDIV(R_1,IMSUM('Opamp and C Stray Using B (2)'!R_1,IMPRODUCT('Opamp and C Stray Using B (2)'!R_f,IMSUM(1,IMPRODUCT(I300,C_s,R_1)))))</f>
        <v>0.0491809153300698-0.0861244485225331j</v>
      </c>
      <c r="K300">
        <f t="shared" si="55"/>
        <v>-20.071733969910852</v>
      </c>
      <c r="L300">
        <f t="shared" si="56"/>
        <v>-60.271698957859883</v>
      </c>
      <c r="M300">
        <f t="shared" si="57"/>
        <v>4.9180915330069797E-2</v>
      </c>
      <c r="N300">
        <f t="shared" si="58"/>
        <v>-8.6124448522533106E-2</v>
      </c>
      <c r="O300" t="str">
        <f t="shared" si="52"/>
        <v>0.000131825673838272-11.4815362134557j</v>
      </c>
      <c r="P300">
        <f t="shared" si="59"/>
        <v>21.199999999427817</v>
      </c>
      <c r="Q300">
        <f t="shared" si="60"/>
        <v>-89.99934215643259</v>
      </c>
      <c r="R300">
        <f t="shared" si="61"/>
        <v>1.1282660295169649</v>
      </c>
      <c r="S300">
        <f t="shared" si="62"/>
        <v>29.728958885707527</v>
      </c>
    </row>
    <row r="301" spans="7:19" x14ac:dyDescent="0.25">
      <c r="G301">
        <f t="shared" si="53"/>
        <v>4.9599999999999831</v>
      </c>
      <c r="H301">
        <f t="shared" si="51"/>
        <v>912010.83935587457</v>
      </c>
      <c r="I301" t="str">
        <f t="shared" si="54"/>
        <v>5730333.10582935j</v>
      </c>
      <c r="J301" t="str">
        <f>IMDIV(R_1,IMSUM('Opamp and C Stray Using B (2)'!R_1,IMPRODUCT('Opamp and C Stray Using B (2)'!R_f,IMSUM(1,IMPRODUCT(I301,C_s,R_1)))))</f>
        <v>0.0458454837272726-0.0840671658096483j</v>
      </c>
      <c r="K301">
        <f t="shared" si="55"/>
        <v>-20.376734448955233</v>
      </c>
      <c r="L301">
        <f t="shared" si="56"/>
        <v>-61.394443418894127</v>
      </c>
      <c r="M301">
        <f t="shared" si="57"/>
        <v>4.5845483727272603E-2</v>
      </c>
      <c r="N301">
        <f t="shared" si="58"/>
        <v>-8.4067165809648306E-2</v>
      </c>
      <c r="O301" t="str">
        <f t="shared" si="52"/>
        <v>0.000120226443447296-10.964781960114j</v>
      </c>
      <c r="P301">
        <f t="shared" si="59"/>
        <v>20.799999999478182</v>
      </c>
      <c r="Q301">
        <f t="shared" si="60"/>
        <v>-89.999371764270364</v>
      </c>
      <c r="R301">
        <f t="shared" si="61"/>
        <v>0.42326555052294879</v>
      </c>
      <c r="S301">
        <f t="shared" si="62"/>
        <v>28.606184816835508</v>
      </c>
    </row>
    <row r="302" spans="7:19" x14ac:dyDescent="0.25">
      <c r="G302">
        <f t="shared" si="53"/>
        <v>4.9799999999999827</v>
      </c>
      <c r="H302">
        <f t="shared" si="51"/>
        <v>954992.58602139901</v>
      </c>
      <c r="I302" t="str">
        <f t="shared" si="54"/>
        <v>6000395.38495509j</v>
      </c>
      <c r="J302" t="str">
        <f>IMDIV(R_1,IMSUM('Opamp and C Stray Using B (2)'!R_1,IMPRODUCT('Opamp and C Stray Using B (2)'!R_f,IMSUM(1,IMPRODUCT(I302,C_s,R_1)))))</f>
        <v>0.0426722573920099-0.0819361332226023j</v>
      </c>
      <c r="K302">
        <f t="shared" si="55"/>
        <v>-20.688243863897199</v>
      </c>
      <c r="L302">
        <f t="shared" si="56"/>
        <v>-62.489544164470637</v>
      </c>
      <c r="M302">
        <f t="shared" si="57"/>
        <v>4.2672257392009902E-2</v>
      </c>
      <c r="N302">
        <f t="shared" si="58"/>
        <v>-8.1936133222602306E-2</v>
      </c>
      <c r="O302" t="str">
        <f t="shared" si="52"/>
        <v>0.000109647819602304-10.4712854793612j</v>
      </c>
      <c r="P302">
        <f t="shared" si="59"/>
        <v>20.399999999524102</v>
      </c>
      <c r="Q302">
        <f t="shared" si="60"/>
        <v>-89.999400039535914</v>
      </c>
      <c r="R302">
        <f t="shared" si="61"/>
        <v>-0.28824386437309713</v>
      </c>
      <c r="S302">
        <f t="shared" si="62"/>
        <v>27.511055795993457</v>
      </c>
    </row>
    <row r="303" spans="7:19" x14ac:dyDescent="0.25">
      <c r="G303">
        <f t="shared" si="53"/>
        <v>4.9999999999999822</v>
      </c>
      <c r="H303">
        <f t="shared" si="51"/>
        <v>999999.99999995937</v>
      </c>
      <c r="I303" t="str">
        <f t="shared" si="54"/>
        <v>6283185.30717933j</v>
      </c>
      <c r="J303" t="str">
        <f>IMDIV(R_1,IMSUM('Opamp and C Stray Using B (2)'!R_1,IMPRODUCT('Opamp and C Stray Using B (2)'!R_f,IMSUM(1,IMPRODUCT(I303,C_s,R_1)))))</f>
        <v>0.0396621580338595-0.0797455003549985j</v>
      </c>
      <c r="K303">
        <f t="shared" si="55"/>
        <v>-21.005936636876328</v>
      </c>
      <c r="L303">
        <f t="shared" si="56"/>
        <v>-63.556122126082826</v>
      </c>
      <c r="M303">
        <f t="shared" si="57"/>
        <v>3.9662158033859501E-2</v>
      </c>
      <c r="N303">
        <f t="shared" si="58"/>
        <v>-7.97455003549985E-2</v>
      </c>
      <c r="O303" t="str">
        <f t="shared" si="52"/>
        <v>0.0000999999999900082-9.99999999900041j</v>
      </c>
      <c r="P303">
        <f t="shared" si="59"/>
        <v>19.999999999566064</v>
      </c>
      <c r="Q303">
        <f t="shared" si="60"/>
        <v>-89.999427042204886</v>
      </c>
      <c r="R303">
        <f t="shared" si="61"/>
        <v>-1.0059366373102634</v>
      </c>
      <c r="S303">
        <f t="shared" si="62"/>
        <v>26.444450831712288</v>
      </c>
    </row>
    <row r="304" spans="7:19" x14ac:dyDescent="0.25">
      <c r="G304">
        <f t="shared" si="53"/>
        <v>5.0199999999999818</v>
      </c>
      <c r="H304">
        <f t="shared" si="51"/>
        <v>1047128.5480508568</v>
      </c>
      <c r="I304" t="str">
        <f t="shared" si="54"/>
        <v>6579302.70784144j</v>
      </c>
      <c r="J304" t="str">
        <f>IMDIV(R_1,IMSUM('Opamp and C Stray Using B (2)'!R_1,IMPRODUCT('Opamp and C Stray Using B (2)'!R_f,IMSUM(1,IMPRODUCT(I304,C_s,R_1)))))</f>
        <v>0.0368147051919933-0.0775088286585811j</v>
      </c>
      <c r="K304">
        <f t="shared" si="55"/>
        <v>-21.329486772905991</v>
      </c>
      <c r="L304">
        <f t="shared" si="56"/>
        <v>-64.593481187286244</v>
      </c>
      <c r="M304">
        <f t="shared" si="57"/>
        <v>3.6814705191993299E-2</v>
      </c>
      <c r="N304">
        <f t="shared" si="58"/>
        <v>-7.7508828658581094E-2</v>
      </c>
      <c r="O304" t="str">
        <f t="shared" si="52"/>
        <v>0.0000912010839272802-9.54992585934376j</v>
      </c>
      <c r="P304">
        <f t="shared" si="59"/>
        <v>19.59999999960425</v>
      </c>
      <c r="Q304">
        <f t="shared" si="60"/>
        <v>-89.999452829553562</v>
      </c>
      <c r="R304">
        <f t="shared" si="61"/>
        <v>-1.7294867733017405</v>
      </c>
      <c r="S304">
        <f t="shared" si="62"/>
        <v>25.40706598316018</v>
      </c>
    </row>
    <row r="305" spans="7:19" x14ac:dyDescent="0.25">
      <c r="G305">
        <f t="shared" si="53"/>
        <v>5.0399999999999814</v>
      </c>
      <c r="H305">
        <f t="shared" si="51"/>
        <v>1096478.1961431401</v>
      </c>
      <c r="I305" t="str">
        <f t="shared" si="54"/>
        <v>6889375.69164935j</v>
      </c>
      <c r="J305" t="str">
        <f>IMDIV(R_1,IMSUM('Opamp and C Stray Using B (2)'!R_1,IMPRODUCT('Opamp and C Stray Using B (2)'!R_f,IMSUM(1,IMPRODUCT(I305,C_s,R_1)))))</f>
        <v>0.0341281661746033-0.0752389627020424j</v>
      </c>
      <c r="K305">
        <f t="shared" si="55"/>
        <v>-21.658570515876288</v>
      </c>
      <c r="L305">
        <f t="shared" si="56"/>
        <v>-65.601099541656367</v>
      </c>
      <c r="M305">
        <f t="shared" si="57"/>
        <v>3.4128166174603299E-2</v>
      </c>
      <c r="N305">
        <f t="shared" si="58"/>
        <v>-7.5238962702042403E-2</v>
      </c>
      <c r="O305" t="str">
        <f t="shared" si="52"/>
        <v>0.0000831763771033556-9.12010839280089j</v>
      </c>
      <c r="P305">
        <f t="shared" si="59"/>
        <v>19.199999999639122</v>
      </c>
      <c r="Q305">
        <f t="shared" si="60"/>
        <v>-89.999477456280374</v>
      </c>
      <c r="R305">
        <f t="shared" si="61"/>
        <v>-2.4585705162371667</v>
      </c>
      <c r="S305">
        <f t="shared" si="62"/>
        <v>24.399423002063259</v>
      </c>
    </row>
    <row r="306" spans="7:19" x14ac:dyDescent="0.25">
      <c r="G306">
        <f t="shared" si="53"/>
        <v>5.059999999999981</v>
      </c>
      <c r="H306">
        <f t="shared" si="51"/>
        <v>1148153.6214968334</v>
      </c>
      <c r="I306" t="str">
        <f t="shared" si="54"/>
        <v>7214061.96497394j</v>
      </c>
      <c r="J306" t="str">
        <f>IMDIV(R_1,IMSUM('Opamp and C Stray Using B (2)'!R_1,IMPRODUCT('Opamp and C Stray Using B (2)'!R_f,IMSUM(1,IMPRODUCT(I306,C_s,R_1)))))</f>
        <v>0.0315997127394644-0.0729479314489192j</v>
      </c>
      <c r="K306">
        <f t="shared" si="55"/>
        <v>-21.992868696996567</v>
      </c>
      <c r="L306">
        <f t="shared" si="56"/>
        <v>-66.578619551542502</v>
      </c>
      <c r="M306">
        <f t="shared" si="57"/>
        <v>3.1599712739464401E-2</v>
      </c>
      <c r="N306">
        <f t="shared" si="58"/>
        <v>-7.2947931448919201E-2</v>
      </c>
      <c r="O306" t="str">
        <f t="shared" si="52"/>
        <v>0.0000758577574971709-8.70963589890051j</v>
      </c>
      <c r="P306">
        <f t="shared" si="59"/>
        <v>18.799999999670948</v>
      </c>
      <c r="Q306">
        <f t="shared" si="60"/>
        <v>-89.999500974621867</v>
      </c>
      <c r="R306">
        <f t="shared" si="61"/>
        <v>-3.1928686973256184</v>
      </c>
      <c r="S306">
        <f t="shared" si="62"/>
        <v>23.421879473835645</v>
      </c>
    </row>
    <row r="307" spans="7:19" x14ac:dyDescent="0.25">
      <c r="G307">
        <f t="shared" si="53"/>
        <v>5.0799999999999805</v>
      </c>
      <c r="H307">
        <f t="shared" si="51"/>
        <v>1202264.4346173611</v>
      </c>
      <c r="I307" t="str">
        <f t="shared" si="54"/>
        <v>7554050.23093238j</v>
      </c>
      <c r="J307" t="str">
        <f>IMDIV(R_1,IMSUM('Opamp and C Stray Using B (2)'!R_1,IMPRODUCT('Opamp and C Stray Using B (2)'!R_f,IMSUM(1,IMPRODUCT(I307,C_s,R_1)))))</f>
        <v>0.0292255792470137-0.0706468779712116j</v>
      </c>
      <c r="K307">
        <f t="shared" si="55"/>
        <v>-22.332068767591569</v>
      </c>
      <c r="L307">
        <f t="shared" si="56"/>
        <v>-67.525836494176346</v>
      </c>
      <c r="M307">
        <f t="shared" si="57"/>
        <v>2.9225579247013699E-2</v>
      </c>
      <c r="N307">
        <f t="shared" si="58"/>
        <v>-7.0646877971211594E-2</v>
      </c>
      <c r="O307" t="str">
        <f t="shared" si="52"/>
        <v>0.0000691830970871134-8.31763771045164j</v>
      </c>
      <c r="P307">
        <f t="shared" si="59"/>
        <v>18.399999999699926</v>
      </c>
      <c r="Q307">
        <f t="shared" si="60"/>
        <v>-89.999523434463654</v>
      </c>
      <c r="R307">
        <f t="shared" si="61"/>
        <v>-3.9320687678916428</v>
      </c>
      <c r="S307">
        <f t="shared" si="62"/>
        <v>22.47464007136</v>
      </c>
    </row>
    <row r="308" spans="7:19" x14ac:dyDescent="0.25">
      <c r="G308">
        <f t="shared" si="53"/>
        <v>5.0999999999999801</v>
      </c>
      <c r="H308">
        <f t="shared" si="51"/>
        <v>1258925.4117941104</v>
      </c>
      <c r="I308" t="str">
        <f t="shared" si="54"/>
        <v>7910061.65021976j</v>
      </c>
      <c r="J308" t="str">
        <f>IMDIV(R_1,IMSUM('Opamp and C Stray Using B (2)'!R_1,IMPRODUCT('Opamp and C Stray Using B (2)'!R_f,IMSUM(1,IMPRODUCT(I308,C_s,R_1)))))</f>
        <v>0.0270012178335175-0.0683460152621236j</v>
      </c>
      <c r="K308">
        <f t="shared" si="55"/>
        <v>-22.675866517900349</v>
      </c>
      <c r="L308">
        <f t="shared" si="56"/>
        <v>-68.442686555559106</v>
      </c>
      <c r="M308">
        <f t="shared" si="57"/>
        <v>2.7001217833517499E-2</v>
      </c>
      <c r="N308">
        <f t="shared" si="58"/>
        <v>-6.8346015262123597E-2</v>
      </c>
      <c r="O308" t="str">
        <f t="shared" si="52"/>
        <v>0.000063095734444044-7.94328234674199j</v>
      </c>
      <c r="P308">
        <f t="shared" si="59"/>
        <v>17.999999999726374</v>
      </c>
      <c r="Q308">
        <f t="shared" si="60"/>
        <v>-89.999544883446035</v>
      </c>
      <c r="R308">
        <f t="shared" si="61"/>
        <v>-4.6758665181739758</v>
      </c>
      <c r="S308">
        <f t="shared" si="62"/>
        <v>21.557768560994873</v>
      </c>
    </row>
    <row r="309" spans="7:19" x14ac:dyDescent="0.25">
      <c r="G309">
        <f t="shared" si="53"/>
        <v>5.1199999999999797</v>
      </c>
      <c r="H309">
        <f t="shared" si="51"/>
        <v>1318256.7385563473</v>
      </c>
      <c r="I309" t="str">
        <f t="shared" si="54"/>
        <v>8282851.37078772j</v>
      </c>
      <c r="J309" t="str">
        <f>IMDIV(R_1,IMSUM('Opamp and C Stray Using B (2)'!R_1,IMPRODUCT('Opamp and C Stray Using B (2)'!R_f,IMSUM(1,IMPRODUCT(I309,C_s,R_1)))))</f>
        <v>0.0249214470150697-0.0660546053026511j</v>
      </c>
      <c r="K309">
        <f t="shared" si="55"/>
        <v>-23.023967491572588</v>
      </c>
      <c r="L309">
        <f t="shared" si="56"/>
        <v>-69.329234398114394</v>
      </c>
      <c r="M309">
        <f t="shared" si="57"/>
        <v>2.4921447015069698E-2</v>
      </c>
      <c r="N309">
        <f t="shared" si="58"/>
        <v>-6.6054605302651101E-2</v>
      </c>
      <c r="O309" t="str">
        <f t="shared" si="52"/>
        <v>0.0000575439937304094-7.58577574985565j</v>
      </c>
      <c r="P309">
        <f t="shared" si="59"/>
        <v>17.599999999750466</v>
      </c>
      <c r="Q309">
        <f t="shared" si="60"/>
        <v>-89.999565367065188</v>
      </c>
      <c r="R309">
        <f t="shared" si="61"/>
        <v>-5.4239674918221219</v>
      </c>
      <c r="S309">
        <f t="shared" si="62"/>
        <v>20.671200234820418</v>
      </c>
    </row>
    <row r="310" spans="7:19" x14ac:dyDescent="0.25">
      <c r="G310">
        <f t="shared" si="53"/>
        <v>5.1399999999999793</v>
      </c>
      <c r="H310">
        <f t="shared" si="51"/>
        <v>1380384.2646028195</v>
      </c>
      <c r="I310" t="str">
        <f t="shared" si="54"/>
        <v>8673210.12961433j</v>
      </c>
      <c r="J310" t="str">
        <f>IMDIV(R_1,IMSUM('Opamp and C Stray Using B (2)'!R_1,IMPRODUCT('Opamp and C Stray Using B (2)'!R_f,IMSUM(1,IMPRODUCT(I310,C_s,R_1)))))</f>
        <v>0.0229805909866484-0.0637809582495752j</v>
      </c>
      <c r="K310">
        <f t="shared" si="55"/>
        <v>-23.376088111874083</v>
      </c>
      <c r="L310">
        <f t="shared" si="56"/>
        <v>-70.185660588429513</v>
      </c>
      <c r="M310">
        <f t="shared" si="57"/>
        <v>2.2980590986648401E-2</v>
      </c>
      <c r="N310">
        <f t="shared" si="58"/>
        <v>-6.3780958249575206E-2</v>
      </c>
      <c r="O310" t="str">
        <f t="shared" si="52"/>
        <v>0.000052480746022228-7.24435960037005j</v>
      </c>
      <c r="P310">
        <f t="shared" si="59"/>
        <v>17.199999999772484</v>
      </c>
      <c r="Q310">
        <f t="shared" si="60"/>
        <v>-89.999584928769607</v>
      </c>
      <c r="R310">
        <f t="shared" si="61"/>
        <v>-6.1760881121015991</v>
      </c>
      <c r="S310">
        <f t="shared" si="62"/>
        <v>19.814754482800879</v>
      </c>
    </row>
    <row r="311" spans="7:19" x14ac:dyDescent="0.25">
      <c r="G311">
        <f t="shared" si="53"/>
        <v>5.1599999999999788</v>
      </c>
      <c r="H311">
        <f t="shared" si="51"/>
        <v>1445439.7707458588</v>
      </c>
      <c r="I311" t="str">
        <f t="shared" si="54"/>
        <v>9081965.92996341j</v>
      </c>
      <c r="J311" t="str">
        <f>IMDIV(R_1,IMSUM('Opamp and C Stray Using B (2)'!R_1,IMPRODUCT('Opamp and C Stray Using B (2)'!R_f,IMSUM(1,IMPRODUCT(I311,C_s,R_1)))))</f>
        <v>0.0211726076810807-0.061532448514578j</v>
      </c>
      <c r="K311">
        <f t="shared" si="55"/>
        <v>-23.73195654027521</v>
      </c>
      <c r="L311">
        <f t="shared" si="56"/>
        <v>-71.012249129255977</v>
      </c>
      <c r="M311">
        <f t="shared" si="57"/>
        <v>2.1172607681080698E-2</v>
      </c>
      <c r="N311">
        <f t="shared" si="58"/>
        <v>-6.1532448514578002E-2</v>
      </c>
      <c r="O311" t="str">
        <f t="shared" si="52"/>
        <v>0.0000478630092299774-6.91830970885856j</v>
      </c>
      <c r="P311">
        <f t="shared" si="59"/>
        <v>16.799999999792544</v>
      </c>
      <c r="Q311">
        <f t="shared" si="60"/>
        <v>-89.999603610052304</v>
      </c>
      <c r="R311">
        <f t="shared" si="61"/>
        <v>-6.9319565404826662</v>
      </c>
      <c r="S311">
        <f t="shared" si="62"/>
        <v>18.988147260691733</v>
      </c>
    </row>
    <row r="312" spans="7:19" x14ac:dyDescent="0.25">
      <c r="G312">
        <f t="shared" si="53"/>
        <v>5.1799999999999784</v>
      </c>
      <c r="H312">
        <f t="shared" si="51"/>
        <v>1513561.2484361334</v>
      </c>
      <c r="I312" t="str">
        <f t="shared" si="54"/>
        <v>9509985.7976903j</v>
      </c>
      <c r="J312" t="str">
        <f>IMDIV(R_1,IMSUM('Opamp and C Stray Using B (2)'!R_1,IMPRODUCT('Opamp and C Stray Using B (2)'!R_f,IMSUM(1,IMPRODUCT(I312,C_s,R_1)))))</f>
        <v>0.0194912043709555-0.0593155445592531j</v>
      </c>
      <c r="K312">
        <f t="shared" si="55"/>
        <v>-24.091313291229643</v>
      </c>
      <c r="L312">
        <f t="shared" si="56"/>
        <v>-71.809375297528547</v>
      </c>
      <c r="M312">
        <f t="shared" si="57"/>
        <v>1.9491204370955501E-2</v>
      </c>
      <c r="N312">
        <f t="shared" si="58"/>
        <v>-5.93155445592531E-2</v>
      </c>
      <c r="O312" t="str">
        <f t="shared" si="52"/>
        <v>0.0000436515832221156-6.6069344797879j</v>
      </c>
      <c r="P312">
        <f t="shared" si="59"/>
        <v>16.399999999810873</v>
      </c>
      <c r="Q312">
        <f t="shared" si="60"/>
        <v>-89.999621450538783</v>
      </c>
      <c r="R312">
        <f t="shared" si="61"/>
        <v>-7.6913132914187692</v>
      </c>
      <c r="S312">
        <f t="shared" si="62"/>
        <v>18.191003251932671</v>
      </c>
    </row>
    <row r="313" spans="7:19" x14ac:dyDescent="0.25">
      <c r="G313">
        <f t="shared" si="53"/>
        <v>5.199999999999978</v>
      </c>
      <c r="H313">
        <f t="shared" si="51"/>
        <v>1584893.1924610347</v>
      </c>
      <c r="I313" t="str">
        <f t="shared" si="54"/>
        <v>9958177.62032012j</v>
      </c>
      <c r="J313" t="str">
        <f>IMDIV(R_1,IMSUM('Opamp and C Stray Using B (2)'!R_1,IMPRODUCT('Opamp and C Stray Using B (2)'!R_f,IMSUM(1,IMPRODUCT(I313,C_s,R_1)))))</f>
        <v>0.0179299402147291-0.0571358494015977j</v>
      </c>
      <c r="K313">
        <f t="shared" si="55"/>
        <v>-24.453911628751499</v>
      </c>
      <c r="L313">
        <f t="shared" si="56"/>
        <v>-72.577493949302337</v>
      </c>
      <c r="M313">
        <f t="shared" si="57"/>
        <v>1.7929940214729101E-2</v>
      </c>
      <c r="N313">
        <f t="shared" si="58"/>
        <v>-5.7135849401597702E-2</v>
      </c>
      <c r="O313" t="str">
        <f t="shared" si="52"/>
        <v>0.000039810717053769-6.30957344455108j</v>
      </c>
      <c r="P313">
        <f t="shared" si="59"/>
        <v>15.999999999827567</v>
      </c>
      <c r="Q313">
        <f t="shared" si="60"/>
        <v>-89.999638488071099</v>
      </c>
      <c r="R313">
        <f t="shared" si="61"/>
        <v>-8.4539116289239313</v>
      </c>
      <c r="S313">
        <f t="shared" si="62"/>
        <v>17.42286756262655</v>
      </c>
    </row>
    <row r="314" spans="7:19" x14ac:dyDescent="0.25">
      <c r="G314">
        <f t="shared" si="53"/>
        <v>5.2199999999999775</v>
      </c>
      <c r="H314">
        <f t="shared" si="51"/>
        <v>1659586.9074374777</v>
      </c>
      <c r="I314" t="str">
        <f t="shared" si="54"/>
        <v>10427492.0727988j</v>
      </c>
      <c r="J314" t="str">
        <f>IMDIV(R_1,IMSUM('Opamp and C Stray Using B (2)'!R_1,IMPRODUCT('Opamp and C Stray Using B (2)'!R_f,IMSUM(1,IMPRODUCT(I314,C_s,R_1)))))</f>
        <v>0.016482315659352-0.0549981490813635j</v>
      </c>
      <c r="K314">
        <f t="shared" si="55"/>
        <v>-24.819517771066213</v>
      </c>
      <c r="L314">
        <f t="shared" si="56"/>
        <v>-73.317128414452554</v>
      </c>
      <c r="M314">
        <f t="shared" si="57"/>
        <v>1.6482315659352001E-2</v>
      </c>
      <c r="N314">
        <f t="shared" si="58"/>
        <v>-5.4998149081363502E-2</v>
      </c>
      <c r="O314" t="str">
        <f t="shared" si="52"/>
        <v>0.0000363078054756954-6.02559586052509j</v>
      </c>
      <c r="P314">
        <f t="shared" si="59"/>
        <v>15.599999999842733</v>
      </c>
      <c r="Q314">
        <f t="shared" si="60"/>
        <v>-89.999654758788125</v>
      </c>
      <c r="R314">
        <f t="shared" si="61"/>
        <v>-9.2195177712234795</v>
      </c>
      <c r="S314">
        <f t="shared" si="62"/>
        <v>16.68321682675932</v>
      </c>
    </row>
    <row r="315" spans="7:19" x14ac:dyDescent="0.25">
      <c r="G315">
        <f t="shared" si="53"/>
        <v>5.2399999999999771</v>
      </c>
      <c r="H315">
        <f t="shared" si="51"/>
        <v>1737800.8287492855</v>
      </c>
      <c r="I315" t="str">
        <f t="shared" si="54"/>
        <v>10918924.634002j</v>
      </c>
      <c r="J315" t="str">
        <f>IMDIV(R_1,IMSUM('Opamp and C Stray Using B (2)'!R_1,IMPRODUCT('Opamp and C Stray Using B (2)'!R_f,IMSUM(1,IMPRODUCT(I315,C_s,R_1)))))</f>
        <v>0.0151418490164447-0.0529064666335991j</v>
      </c>
      <c r="K315">
        <f t="shared" si="55"/>
        <v>-25.187910929363341</v>
      </c>
      <c r="L315">
        <f t="shared" si="56"/>
        <v>-74.028860069621061</v>
      </c>
      <c r="M315">
        <f t="shared" si="57"/>
        <v>1.51418490164447E-2</v>
      </c>
      <c r="N315">
        <f t="shared" si="58"/>
        <v>-5.2906466633599103E-2</v>
      </c>
      <c r="O315" t="str">
        <f t="shared" si="52"/>
        <v>0.0000331131121471663-5.75439937318134j</v>
      </c>
      <c r="P315">
        <f t="shared" si="59"/>
        <v>15.19999999985667</v>
      </c>
      <c r="Q315">
        <f t="shared" si="60"/>
        <v>-89.999670297202286</v>
      </c>
      <c r="R315">
        <f t="shared" si="61"/>
        <v>-9.9879109295066701</v>
      </c>
      <c r="S315">
        <f t="shared" si="62"/>
        <v>15.971469633176639</v>
      </c>
    </row>
    <row r="316" spans="7:19" x14ac:dyDescent="0.25">
      <c r="G316">
        <f t="shared" si="53"/>
        <v>5.2599999999999767</v>
      </c>
      <c r="H316">
        <f t="shared" si="51"/>
        <v>1819700.8586098887</v>
      </c>
      <c r="I316" t="str">
        <f t="shared" si="54"/>
        <v>11433517.6982797j</v>
      </c>
      <c r="J316" t="str">
        <f>IMDIV(R_1,IMSUM('Opamp and C Stray Using B (2)'!R_1,IMPRODUCT('Opamp and C Stray Using B (2)'!R_f,IMSUM(1,IMPRODUCT(I316,C_s,R_1)))))</f>
        <v>0.0139021408339487-0.0508641194460575j</v>
      </c>
      <c r="K316">
        <f t="shared" si="55"/>
        <v>-25.558883205726282</v>
      </c>
      <c r="L316">
        <f t="shared" si="56"/>
        <v>-74.713318647703403</v>
      </c>
      <c r="M316">
        <f t="shared" si="57"/>
        <v>1.39021408339487E-2</v>
      </c>
      <c r="N316">
        <f t="shared" si="58"/>
        <v>-5.0864119446057503E-2</v>
      </c>
      <c r="O316" t="str">
        <f t="shared" si="52"/>
        <v>0.0000301995172031116-5.4954087384106j</v>
      </c>
      <c r="P316">
        <f t="shared" si="59"/>
        <v>14.799999999869339</v>
      </c>
      <c r="Q316">
        <f t="shared" si="60"/>
        <v>-89.999685136272589</v>
      </c>
      <c r="R316">
        <f t="shared" si="61"/>
        <v>-10.758883205856943</v>
      </c>
      <c r="S316">
        <f t="shared" si="62"/>
        <v>15.286996216024022</v>
      </c>
    </row>
    <row r="317" spans="7:19" x14ac:dyDescent="0.25">
      <c r="G317">
        <f t="shared" si="53"/>
        <v>5.2799999999999763</v>
      </c>
      <c r="H317">
        <f t="shared" si="51"/>
        <v>1905460.7179631444</v>
      </c>
      <c r="I317" t="str">
        <f t="shared" si="54"/>
        <v>11972362.7865139j</v>
      </c>
      <c r="J317" t="str">
        <f>IMDIV(R_1,IMSUM('Opamp and C Stray Using B (2)'!R_1,IMPRODUCT('Opamp and C Stray Using B (2)'!R_f,IMSUM(1,IMPRODUCT(I317,C_s,R_1)))))</f>
        <v>0.0127569269006185-0.0488737782064778j</v>
      </c>
      <c r="K317">
        <f t="shared" si="55"/>
        <v>-25.932239373838438</v>
      </c>
      <c r="L317">
        <f t="shared" si="56"/>
        <v>-75.371173316321745</v>
      </c>
      <c r="M317">
        <f t="shared" si="57"/>
        <v>1.27569269006185E-2</v>
      </c>
      <c r="N317">
        <f t="shared" si="58"/>
        <v>-4.88737782064778E-2</v>
      </c>
      <c r="O317" t="str">
        <f t="shared" si="52"/>
        <v>0.0000275422870326259-5.24807460235345j</v>
      </c>
      <c r="P317">
        <f t="shared" si="59"/>
        <v>14.399999999880828</v>
      </c>
      <c r="Q317">
        <f t="shared" si="60"/>
        <v>-89.999699307474714</v>
      </c>
      <c r="R317">
        <f t="shared" si="61"/>
        <v>-11.53223937395761</v>
      </c>
      <c r="S317">
        <f t="shared" si="62"/>
        <v>14.629127376203542</v>
      </c>
    </row>
    <row r="318" spans="7:19" x14ac:dyDescent="0.25">
      <c r="G318">
        <f t="shared" si="53"/>
        <v>5.2999999999999758</v>
      </c>
      <c r="H318">
        <f t="shared" si="51"/>
        <v>1995262.3149687715</v>
      </c>
      <c r="I318" t="str">
        <f t="shared" si="54"/>
        <v>12536602.8613809j</v>
      </c>
      <c r="J318" t="str">
        <f>IMDIV(R_1,IMSUM('Opamp and C Stray Using B (2)'!R_1,IMPRODUCT('Opamp and C Stray Using B (2)'!R_f,IMSUM(1,IMPRODUCT(I318,C_s,R_1)))))</f>
        <v>0.0117001208590265-0.0469375259647275j</v>
      </c>
      <c r="K318">
        <f t="shared" si="55"/>
        <v>-26.30779656424285</v>
      </c>
      <c r="L318">
        <f t="shared" si="56"/>
        <v>-76.003124536192132</v>
      </c>
      <c r="M318">
        <f t="shared" si="57"/>
        <v>1.1700120859026501E-2</v>
      </c>
      <c r="N318">
        <f t="shared" si="58"/>
        <v>-4.69375259647275E-2</v>
      </c>
      <c r="O318" t="str">
        <f t="shared" si="52"/>
        <v>0.0000251188643144676-5.01187233614711j</v>
      </c>
      <c r="P318">
        <f t="shared" si="59"/>
        <v>13.999999999891394</v>
      </c>
      <c r="Q318">
        <f t="shared" si="60"/>
        <v>-89.999712840867673</v>
      </c>
      <c r="R318">
        <f t="shared" si="61"/>
        <v>-12.307796564351456</v>
      </c>
      <c r="S318">
        <f t="shared" si="62"/>
        <v>13.997162622940209</v>
      </c>
    </row>
    <row r="319" spans="7:19" x14ac:dyDescent="0.25">
      <c r="G319">
        <f t="shared" si="53"/>
        <v>5.3199999999999754</v>
      </c>
      <c r="H319">
        <f t="shared" si="51"/>
        <v>2089296.1308539221</v>
      </c>
      <c r="I319" t="str">
        <f t="shared" si="54"/>
        <v>13127434.7517285j</v>
      </c>
      <c r="J319" t="str">
        <f>IMDIV(R_1,IMSUM('Opamp and C Stray Using B (2)'!R_1,IMPRODUCT('Opamp and C Stray Using B (2)'!R_f,IMSUM(1,IMPRODUCT(I319,C_s,R_1)))))</f>
        <v>0.0107258474770419-0.0450569161317951j</v>
      </c>
      <c r="K319">
        <f t="shared" si="55"/>
        <v>-26.68538387389561</v>
      </c>
      <c r="L319">
        <f t="shared" si="56"/>
        <v>-76.609896692817458</v>
      </c>
      <c r="M319">
        <f t="shared" si="57"/>
        <v>1.0725847477041899E-2</v>
      </c>
      <c r="N319">
        <f t="shared" si="58"/>
        <v>-4.5056916131795098E-2</v>
      </c>
      <c r="O319" t="str">
        <f t="shared" si="52"/>
        <v>0.0000229086765271555-4.78630092311701j</v>
      </c>
      <c r="P319">
        <f t="shared" si="59"/>
        <v>13.599999999901009</v>
      </c>
      <c r="Q319">
        <f t="shared" si="60"/>
        <v>-89.999725765157621</v>
      </c>
      <c r="R319">
        <f t="shared" si="61"/>
        <v>-13.085383873994601</v>
      </c>
      <c r="S319">
        <f t="shared" si="62"/>
        <v>13.390377542024908</v>
      </c>
    </row>
    <row r="320" spans="7:19" x14ac:dyDescent="0.25">
      <c r="G320">
        <f t="shared" si="53"/>
        <v>5.339999999999975</v>
      </c>
      <c r="H320">
        <f t="shared" si="51"/>
        <v>2187761.623949429</v>
      </c>
      <c r="I320" t="str">
        <f t="shared" si="54"/>
        <v>13746111.6912104j</v>
      </c>
      <c r="J320" t="str">
        <f>IMDIV(R_1,IMSUM('Opamp and C Stray Using B (2)'!R_1,IMPRODUCT('Opamp and C Stray Using B (2)'!R_f,IMSUM(1,IMPRODUCT(I320,C_s,R_1)))))</f>
        <v>0.00982846765076973-0.0432330285058972j</v>
      </c>
      <c r="K320">
        <f t="shared" si="55"/>
        <v>-27.064841917623216</v>
      </c>
      <c r="L320">
        <f t="shared" si="56"/>
        <v>-77.192231481200594</v>
      </c>
      <c r="M320">
        <f t="shared" si="57"/>
        <v>9.8284676507697302E-3</v>
      </c>
      <c r="N320">
        <f t="shared" si="58"/>
        <v>-4.3233028505897199E-2</v>
      </c>
      <c r="O320" t="str">
        <f t="shared" si="52"/>
        <v>0.0000208929613081062-4.57088189605351j</v>
      </c>
      <c r="P320">
        <f t="shared" si="59"/>
        <v>13.199999999909755</v>
      </c>
      <c r="Q320">
        <f t="shared" si="60"/>
        <v>-89.999738107758702</v>
      </c>
      <c r="R320">
        <f t="shared" si="61"/>
        <v>-13.864841917713461</v>
      </c>
      <c r="S320">
        <f t="shared" si="62"/>
        <v>12.808030411040704</v>
      </c>
    </row>
    <row r="321" spans="7:19" x14ac:dyDescent="0.25">
      <c r="G321">
        <f t="shared" si="53"/>
        <v>5.3599999999999746</v>
      </c>
      <c r="H321">
        <f t="shared" si="51"/>
        <v>2290867.6527676433</v>
      </c>
      <c r="I321" t="str">
        <f t="shared" si="54"/>
        <v>14393945.9765626j</v>
      </c>
      <c r="J321" t="str">
        <f>IMDIV(R_1,IMSUM('Opamp and C Stray Using B (2)'!R_1,IMPRODUCT('Opamp and C Stray Using B (2)'!R_f,IMSUM(1,IMPRODUCT(I321,C_s,R_1)))))</f>
        <v>0.00900259619554791-0.0414665226520079j</v>
      </c>
      <c r="K321">
        <f t="shared" si="55"/>
        <v>-27.446022336959249</v>
      </c>
      <c r="L321">
        <f t="shared" si="56"/>
        <v>-77.750882012867265</v>
      </c>
      <c r="M321">
        <f t="shared" si="57"/>
        <v>9.0025961955479093E-3</v>
      </c>
      <c r="N321">
        <f t="shared" si="58"/>
        <v>-4.1466522652007898E-2</v>
      </c>
      <c r="O321" t="str">
        <f t="shared" si="52"/>
        <v>0.0000190546071792716-4.36515832231874j</v>
      </c>
      <c r="P321">
        <f t="shared" si="59"/>
        <v>12.799999999917757</v>
      </c>
      <c r="Q321">
        <f t="shared" si="60"/>
        <v>-89.99974989485122</v>
      </c>
      <c r="R321">
        <f t="shared" si="61"/>
        <v>-14.646022337041492</v>
      </c>
      <c r="S321">
        <f t="shared" si="62"/>
        <v>12.249368092281514</v>
      </c>
    </row>
    <row r="322" spans="7:19" x14ac:dyDescent="0.25">
      <c r="G322">
        <f t="shared" si="53"/>
        <v>5.3799999999999741</v>
      </c>
      <c r="H322">
        <f t="shared" si="51"/>
        <v>2398832.9190193499</v>
      </c>
      <c r="I322" t="str">
        <f t="shared" si="54"/>
        <v>15072311.7511611j</v>
      </c>
      <c r="J322" t="str">
        <f>IMDIV(R_1,IMSUM('Opamp and C Stray Using B (2)'!R_1,IMPRODUCT('Opamp and C Stray Using B (2)'!R_f,IMSUM(1,IMPRODUCT(I322,C_s,R_1)))))</f>
        <v>0.00824311343630318-0.0397576881638869j</v>
      </c>
      <c r="K322">
        <f t="shared" si="55"/>
        <v>-27.828787279762977</v>
      </c>
      <c r="L322">
        <f t="shared" si="56"/>
        <v>-78.286607606968488</v>
      </c>
      <c r="M322">
        <f t="shared" si="57"/>
        <v>8.2431134363031792E-3</v>
      </c>
      <c r="N322">
        <f t="shared" si="58"/>
        <v>-3.9757688163886903E-2</v>
      </c>
      <c r="O322" t="str">
        <f t="shared" si="52"/>
        <v>0.0000173780082871938-4.16869383463115j</v>
      </c>
      <c r="P322">
        <f t="shared" si="59"/>
        <v>12.399999999925026</v>
      </c>
      <c r="Q322">
        <f t="shared" si="60"/>
        <v>-89.999761151437198</v>
      </c>
      <c r="R322">
        <f t="shared" si="61"/>
        <v>-15.428787279837952</v>
      </c>
      <c r="S322">
        <f t="shared" si="62"/>
        <v>11.713631241594328</v>
      </c>
    </row>
    <row r="323" spans="7:19" x14ac:dyDescent="0.25">
      <c r="G323">
        <f t="shared" si="53"/>
        <v>5.3999999999999737</v>
      </c>
      <c r="H323">
        <f t="shared" ref="H323:H353" si="63">$B$3*10^G323</f>
        <v>2511886.4315094328</v>
      </c>
      <c r="I323" t="str">
        <f t="shared" si="54"/>
        <v>15782647.9197638j</v>
      </c>
      <c r="J323" t="str">
        <f>IMDIV(R_1,IMSUM('Opamp and C Stray Using B (2)'!R_1,IMPRODUCT('Opamp and C Stray Using B (2)'!R_f,IMSUM(1,IMPRODUCT(I323,C_s,R_1)))))</f>
        <v>0.00754517154331024-0.0381064915079317j</v>
      </c>
      <c r="K323">
        <f t="shared" si="55"/>
        <v>-28.213008862063663</v>
      </c>
      <c r="L323">
        <f t="shared" si="56"/>
        <v>-78.800169222182745</v>
      </c>
      <c r="M323">
        <f t="shared" si="57"/>
        <v>7.5451715433102404E-3</v>
      </c>
      <c r="N323">
        <f t="shared" si="58"/>
        <v>-3.8106491507931703E-2</v>
      </c>
      <c r="O323" t="str">
        <f t="shared" ref="O323:O353" si="64">IMDIV(Aolv,IMSUM(1,IMDIV(I323,wc)))</f>
        <v>0.0000158489319243618-3.98107170547211j</v>
      </c>
      <c r="P323">
        <f t="shared" si="59"/>
        <v>11.999999999931676</v>
      </c>
      <c r="Q323">
        <f t="shared" si="60"/>
        <v>-89.999771901393345</v>
      </c>
      <c r="R323">
        <f t="shared" si="61"/>
        <v>-16.213008862131986</v>
      </c>
      <c r="S323">
        <f t="shared" si="62"/>
        <v>11.200058876423896</v>
      </c>
    </row>
    <row r="324" spans="7:19" x14ac:dyDescent="0.25">
      <c r="G324">
        <f t="shared" ref="G324:G353" si="65">G323+(1/ppd)</f>
        <v>5.4199999999999733</v>
      </c>
      <c r="H324">
        <f t="shared" si="63"/>
        <v>2630267.9918952221</v>
      </c>
      <c r="I324" t="str">
        <f t="shared" ref="I324:I353" si="66">COMPLEX(0,H324*2*PI(),"j")</f>
        <v>16526461.2006208j</v>
      </c>
      <c r="J324" t="str">
        <f>IMDIV(R_1,IMSUM('Opamp and C Stray Using B (2)'!R_1,IMPRODUCT('Opamp and C Stray Using B (2)'!R_f,IMSUM(1,IMPRODUCT(I324,C_s,R_1)))))</f>
        <v>0.00690419648160896-0.0365126192879274j</v>
      </c>
      <c r="K324">
        <f t="shared" ref="K324:K353" si="67">20*LOG(IMABS(J324))</f>
        <v>-28.598568621757423</v>
      </c>
      <c r="L324">
        <f t="shared" ref="L324:L353" si="68">DEGREES(IMARGUMENT(J324))</f>
        <v>-79.292325483122568</v>
      </c>
      <c r="M324">
        <f t="shared" ref="M324:M353" si="69">IMREAL(J324)</f>
        <v>6.9041964816089598E-3</v>
      </c>
      <c r="N324">
        <f t="shared" ref="N324:N353" si="70">IMAGINARY(J324)</f>
        <v>-3.65126192879274E-2</v>
      </c>
      <c r="O324" t="str">
        <f t="shared" si="64"/>
        <v>0.0000144543977072521-3.80189396315089j</v>
      </c>
      <c r="P324">
        <f t="shared" ref="P324:P353" si="71">20*LOG(IMABS(O324))</f>
        <v>11.599999999937756</v>
      </c>
      <c r="Q324">
        <f t="shared" ref="Q324:Q353" si="72">DEGREES(IMARGUMENT(O324))</f>
        <v>-89.999782167521758</v>
      </c>
      <c r="R324">
        <f t="shared" ref="R324:R353" si="73">P324+K324</f>
        <v>-16.998568621819665</v>
      </c>
      <c r="S324">
        <f t="shared" ref="S324:S353" si="74">(Q324+L324)-(-180)</f>
        <v>10.707892349355689</v>
      </c>
    </row>
    <row r="325" spans="7:19" x14ac:dyDescent="0.25">
      <c r="G325">
        <f t="shared" si="65"/>
        <v>5.4399999999999729</v>
      </c>
      <c r="H325">
        <f t="shared" si="63"/>
        <v>2754228.7033379986</v>
      </c>
      <c r="I325" t="str">
        <f t="shared" si="66"/>
        <v>17305329.3214256j</v>
      </c>
      <c r="J325" t="str">
        <f>IMDIV(R_1,IMSUM('Opamp and C Stray Using B (2)'!R_1,IMPRODUCT('Opamp and C Stray Using B (2)'!R_f,IMSUM(1,IMPRODUCT(I325,C_s,R_1)))))</f>
        <v>0.00631588635792206-0.0349755178817731j</v>
      </c>
      <c r="K325">
        <f t="shared" si="67"/>
        <v>-28.985356972130884</v>
      </c>
      <c r="L325">
        <f t="shared" si="68"/>
        <v>-79.763829253594807</v>
      </c>
      <c r="M325">
        <f t="shared" si="69"/>
        <v>6.3158863579220598E-3</v>
      </c>
      <c r="N325">
        <f t="shared" si="70"/>
        <v>-3.4975517881773097E-2</v>
      </c>
      <c r="O325" t="str">
        <f t="shared" si="64"/>
        <v>0.0000131825673853919-3.63078054765337j</v>
      </c>
      <c r="P325">
        <f t="shared" si="71"/>
        <v>11.199999999943273</v>
      </c>
      <c r="Q325">
        <f t="shared" si="72"/>
        <v>-89.999791971598285</v>
      </c>
      <c r="R325">
        <f t="shared" si="73"/>
        <v>-17.785356972187611</v>
      </c>
      <c r="S325">
        <f t="shared" si="74"/>
        <v>10.236378774806894</v>
      </c>
    </row>
    <row r="326" spans="7:19" x14ac:dyDescent="0.25">
      <c r="G326">
        <f t="shared" si="65"/>
        <v>5.4599999999999724</v>
      </c>
      <c r="H326">
        <f t="shared" si="63"/>
        <v>2884031.5031264247</v>
      </c>
      <c r="I326" t="str">
        <f t="shared" si="66"/>
        <v>18120904.365887j</v>
      </c>
      <c r="J326" t="str">
        <f>IMDIV(R_1,IMSUM('Opamp and C Stray Using B (2)'!R_1,IMPRODUCT('Opamp and C Stray Using B (2)'!R_f,IMSUM(1,IMPRODUCT(I326,C_s,R_1)))))</f>
        <v>0.00577620686245961-0.0334944294887075j</v>
      </c>
      <c r="K326">
        <f t="shared" si="67"/>
        <v>-29.37327266170557</v>
      </c>
      <c r="L326">
        <f t="shared" si="68"/>
        <v>-80.215424709021462</v>
      </c>
      <c r="M326">
        <f t="shared" si="69"/>
        <v>5.7762068624596097E-3</v>
      </c>
      <c r="N326">
        <f t="shared" si="70"/>
        <v>-3.3494429488707497E-2</v>
      </c>
      <c r="O326" t="str">
        <f t="shared" si="64"/>
        <v>0.0000120226443460311-3.46736850448385j</v>
      </c>
      <c r="P326">
        <f t="shared" si="71"/>
        <v>10.799999999948337</v>
      </c>
      <c r="Q326">
        <f t="shared" si="72"/>
        <v>-89.999801334418677</v>
      </c>
      <c r="R326">
        <f t="shared" si="73"/>
        <v>-18.573272661757233</v>
      </c>
      <c r="S326">
        <f t="shared" si="74"/>
        <v>9.7847739565598602</v>
      </c>
    </row>
    <row r="327" spans="7:19" x14ac:dyDescent="0.25">
      <c r="G327">
        <f t="shared" si="65"/>
        <v>5.479999999999972</v>
      </c>
      <c r="H327">
        <f t="shared" si="63"/>
        <v>3019951.7204018258</v>
      </c>
      <c r="I327" t="str">
        <f t="shared" si="66"/>
        <v>18974916.2780205j</v>
      </c>
      <c r="J327" t="str">
        <f>IMDIV(R_1,IMSUM('Opamp and C Stray Using B (2)'!R_1,IMPRODUCT('Opamp and C Stray Using B (2)'!R_f,IMSUM(1,IMPRODUCT(I327,C_s,R_1)))))</f>
        <v>0.00528138441790209-0.032068424691755j</v>
      </c>
      <c r="K327">
        <f t="shared" si="67"/>
        <v>-29.762222245586511</v>
      </c>
      <c r="L327">
        <f t="shared" si="68"/>
        <v>-80.647844861294274</v>
      </c>
      <c r="M327">
        <f t="shared" si="69"/>
        <v>5.2813844179020897E-3</v>
      </c>
      <c r="N327">
        <f t="shared" si="70"/>
        <v>-3.2068424691754999E-2</v>
      </c>
      <c r="O327" t="str">
        <f t="shared" si="64"/>
        <v>0.000010964781961313-3.31131121478981j</v>
      </c>
      <c r="P327">
        <f t="shared" si="71"/>
        <v>10.399999999952922</v>
      </c>
      <c r="Q327">
        <f t="shared" si="72"/>
        <v>-89.999810275842734</v>
      </c>
      <c r="R327">
        <f t="shared" si="73"/>
        <v>-19.362222245633589</v>
      </c>
      <c r="S327">
        <f t="shared" si="74"/>
        <v>9.3523448628629922</v>
      </c>
    </row>
    <row r="328" spans="7:19" x14ac:dyDescent="0.25">
      <c r="G328">
        <f t="shared" si="65"/>
        <v>5.4999999999999716</v>
      </c>
      <c r="H328">
        <f t="shared" si="63"/>
        <v>3162277.6601681737</v>
      </c>
      <c r="I328" t="str">
        <f t="shared" si="66"/>
        <v>19869176.5315909j</v>
      </c>
      <c r="J328" t="str">
        <f>IMDIV(R_1,IMSUM('Opamp and C Stray Using B (2)'!R_1,IMPRODUCT('Opamp and C Stray Using B (2)'!R_f,IMSUM(1,IMPRODUCT(I328,C_s,R_1)))))</f>
        <v>0.00482789756653442-0.0306964316882913j</v>
      </c>
      <c r="K328">
        <f t="shared" si="67"/>
        <v>-30.15211957235644</v>
      </c>
      <c r="L328">
        <f t="shared" si="68"/>
        <v>-81.061809491052102</v>
      </c>
      <c r="M328">
        <f t="shared" si="69"/>
        <v>4.8278975665344203E-3</v>
      </c>
      <c r="N328">
        <f t="shared" si="70"/>
        <v>-3.0696431688291299E-2</v>
      </c>
      <c r="O328" t="str">
        <f t="shared" si="64"/>
        <v>9.99999999990132E-06-3.16227766013697j</v>
      </c>
      <c r="P328">
        <f t="shared" si="71"/>
        <v>9.999999999957156</v>
      </c>
      <c r="Q328">
        <f t="shared" si="72"/>
        <v>-89.999818814836416</v>
      </c>
      <c r="R328">
        <f t="shared" si="73"/>
        <v>-20.152119572399286</v>
      </c>
      <c r="S328">
        <f t="shared" si="74"/>
        <v>8.9383716941114812</v>
      </c>
    </row>
    <row r="329" spans="7:19" x14ac:dyDescent="0.25">
      <c r="G329">
        <f t="shared" si="65"/>
        <v>5.5199999999999712</v>
      </c>
      <c r="H329">
        <f t="shared" si="63"/>
        <v>3311311.2148256949</v>
      </c>
      <c r="I329" t="str">
        <f t="shared" si="66"/>
        <v>20805581.9724918j</v>
      </c>
      <c r="J329" t="str">
        <f>IMDIV(R_1,IMSUM('Opamp and C Stray Using B (2)'!R_1,IMPRODUCT('Opamp and C Stray Using B (2)'!R_f,IMSUM(1,IMPRODUCT(I329,C_s,R_1)))))</f>
        <v>0.00441246705056046-0.0293772623748335j</v>
      </c>
      <c r="K329">
        <f t="shared" si="67"/>
        <v>-30.542885289572972</v>
      </c>
      <c r="L329">
        <f t="shared" si="68"/>
        <v>-81.458023444624317</v>
      </c>
      <c r="M329">
        <f t="shared" si="69"/>
        <v>4.4124670505604601E-3</v>
      </c>
      <c r="N329">
        <f t="shared" si="70"/>
        <v>-2.9377262374833499E-2</v>
      </c>
      <c r="O329" t="str">
        <f t="shared" si="64"/>
        <v>9.12010839347708E-06-3.01995172037467j</v>
      </c>
      <c r="P329">
        <f t="shared" si="71"/>
        <v>9.5999999999609535</v>
      </c>
      <c r="Q329">
        <f t="shared" si="72"/>
        <v>-89.9998269695121</v>
      </c>
      <c r="R329">
        <f t="shared" si="73"/>
        <v>-20.942885289612018</v>
      </c>
      <c r="S329">
        <f t="shared" si="74"/>
        <v>8.5421495858635694</v>
      </c>
    </row>
    <row r="330" spans="7:19" x14ac:dyDescent="0.25">
      <c r="G330">
        <f t="shared" si="65"/>
        <v>5.5399999999999707</v>
      </c>
      <c r="H330">
        <f t="shared" si="63"/>
        <v>3467368.5045250896</v>
      </c>
      <c r="I330" t="str">
        <f t="shared" si="66"/>
        <v>21786118.8422093j</v>
      </c>
      <c r="J330" t="str">
        <f>IMDIV(R_1,IMSUM('Opamp and C Stray Using B (2)'!R_1,IMPRODUCT('Opamp and C Stray Using B (2)'!R_f,IMSUM(1,IMPRODUCT(I330,C_s,R_1)))))</f>
        <v>0.00403204497103832-0.0281096354931754j</v>
      </c>
      <c r="K330">
        <f t="shared" si="67"/>
        <v>-30.934446370084544</v>
      </c>
      <c r="L330">
        <f t="shared" si="68"/>
        <v>-81.837175255485278</v>
      </c>
      <c r="M330">
        <f t="shared" si="69"/>
        <v>4.0320449710383203E-3</v>
      </c>
      <c r="N330">
        <f t="shared" si="70"/>
        <v>-2.8109635493175401E-2</v>
      </c>
      <c r="O330" t="str">
        <f t="shared" si="64"/>
        <v>8.31763771095861E-06-2.88403150310281j</v>
      </c>
      <c r="P330">
        <f t="shared" si="71"/>
        <v>9.1999999999644562</v>
      </c>
      <c r="Q330">
        <f t="shared" si="72"/>
        <v>-89.999834757166894</v>
      </c>
      <c r="R330">
        <f t="shared" si="73"/>
        <v>-21.734446370120089</v>
      </c>
      <c r="S330">
        <f t="shared" si="74"/>
        <v>8.162989987347828</v>
      </c>
    </row>
    <row r="331" spans="7:19" x14ac:dyDescent="0.25">
      <c r="G331">
        <f t="shared" si="65"/>
        <v>5.5599999999999703</v>
      </c>
      <c r="H331">
        <f t="shared" si="63"/>
        <v>3630780.5477007688</v>
      </c>
      <c r="I331" t="str">
        <f t="shared" si="66"/>
        <v>22812866.9909069j</v>
      </c>
      <c r="J331" t="str">
        <f>IMDIV(R_1,IMSUM('Opamp and C Stray Using B (2)'!R_1,IMPRODUCT('Opamp and C Stray Using B (2)'!R_f,IMSUM(1,IMPRODUCT(I331,C_s,R_1)))))</f>
        <v>0.00368380334809472-0.0268921970562375j</v>
      </c>
      <c r="K331">
        <f t="shared" si="67"/>
        <v>-31.326735660676835</v>
      </c>
      <c r="L331">
        <f t="shared" si="68"/>
        <v>-82.199936052885462</v>
      </c>
      <c r="M331">
        <f t="shared" si="69"/>
        <v>3.68380334809472E-3</v>
      </c>
      <c r="N331">
        <f t="shared" si="70"/>
        <v>-2.68921970562375E-2</v>
      </c>
      <c r="O331" t="str">
        <f t="shared" si="64"/>
        <v>7.58577575023531E-06-2.75422870331746j</v>
      </c>
      <c r="P331">
        <f t="shared" si="71"/>
        <v>8.7999999999676444</v>
      </c>
      <c r="Q331">
        <f t="shared" si="72"/>
        <v>-89.999842194319484</v>
      </c>
      <c r="R331">
        <f t="shared" si="73"/>
        <v>-22.526735660709193</v>
      </c>
      <c r="S331">
        <f t="shared" si="74"/>
        <v>7.8002217527950393</v>
      </c>
    </row>
    <row r="332" spans="7:19" x14ac:dyDescent="0.25">
      <c r="G332">
        <f t="shared" si="65"/>
        <v>5.5799999999999699</v>
      </c>
      <c r="H332">
        <f t="shared" si="63"/>
        <v>3801893.9632053552</v>
      </c>
      <c r="I332" t="str">
        <f t="shared" si="66"/>
        <v>23888004.2890667j</v>
      </c>
      <c r="J332" t="str">
        <f>IMDIV(R_1,IMSUM('Opamp and C Stray Using B (2)'!R_1,IMPRODUCT('Opamp and C Stray Using B (2)'!R_f,IMSUM(1,IMPRODUCT(I332,C_s,R_1)))))</f>
        <v>0.00336512234922014-0.0257235382756495j</v>
      </c>
      <c r="K332">
        <f t="shared" si="67"/>
        <v>-31.719691453970626</v>
      </c>
      <c r="L332">
        <f t="shared" si="68"/>
        <v>-82.546958723233786</v>
      </c>
      <c r="M332">
        <f t="shared" si="69"/>
        <v>3.3651223492201401E-3</v>
      </c>
      <c r="N332">
        <f t="shared" si="70"/>
        <v>-2.57235382756495E-2</v>
      </c>
      <c r="O332" t="str">
        <f t="shared" si="64"/>
        <v>6.91830970914242E-06-2.63026799187736j</v>
      </c>
      <c r="P332">
        <f t="shared" si="71"/>
        <v>8.3999999999705306</v>
      </c>
      <c r="Q332">
        <f t="shared" si="72"/>
        <v>-89.999849296745083</v>
      </c>
      <c r="R332">
        <f t="shared" si="73"/>
        <v>-23.319691454000093</v>
      </c>
      <c r="S332">
        <f t="shared" si="74"/>
        <v>7.4531919800211313</v>
      </c>
    </row>
    <row r="333" spans="7:19" x14ac:dyDescent="0.25">
      <c r="G333">
        <f t="shared" si="65"/>
        <v>5.5999999999999694</v>
      </c>
      <c r="H333">
        <f t="shared" si="63"/>
        <v>3981071.7055346956</v>
      </c>
      <c r="I333" t="str">
        <f t="shared" si="66"/>
        <v>25013811.247044j</v>
      </c>
      <c r="J333" t="str">
        <f>IMDIV(R_1,IMSUM('Opamp and C Stray Using B (2)'!R_1,IMPRODUCT('Opamp and C Stray Using B (2)'!R_f,IMSUM(1,IMPRODUCT(I333,C_s,R_1)))))</f>
        <v>0.00307357840333803-0.0246022112109082j</v>
      </c>
      <c r="K333">
        <f t="shared" si="67"/>
        <v>-32.113257084009355</v>
      </c>
      <c r="L333">
        <f t="shared" si="68"/>
        <v>-82.878877292726955</v>
      </c>
      <c r="M333">
        <f t="shared" si="69"/>
        <v>3.0735784033380301E-3</v>
      </c>
      <c r="N333">
        <f t="shared" si="70"/>
        <v>-2.4602211210908199E-2</v>
      </c>
      <c r="O333" t="str">
        <f t="shared" si="64"/>
        <v>6.30957344476299E-06-2.5118864314939j</v>
      </c>
      <c r="P333">
        <f t="shared" si="71"/>
        <v>7.9999999999731806</v>
      </c>
      <c r="Q333">
        <f t="shared" si="72"/>
        <v>-89.999856079508859</v>
      </c>
      <c r="R333">
        <f t="shared" si="73"/>
        <v>-24.113257084036174</v>
      </c>
      <c r="S333">
        <f t="shared" si="74"/>
        <v>7.1212666277641858</v>
      </c>
    </row>
    <row r="334" spans="7:19" x14ac:dyDescent="0.25">
      <c r="G334">
        <f t="shared" si="65"/>
        <v>5.619999999999969</v>
      </c>
      <c r="H334">
        <f t="shared" si="63"/>
        <v>4168693.8347030636</v>
      </c>
      <c r="I334" t="str">
        <f t="shared" si="66"/>
        <v>26192675.8523364j</v>
      </c>
      <c r="J334" t="str">
        <f>IMDIV(R_1,IMSUM('Opamp and C Stray Using B (2)'!R_1,IMPRODUCT('Opamp and C Stray Using B (2)'!R_f,IMSUM(1,IMPRODUCT(I334,C_s,R_1)))))</f>
        <v>0.00280693237564211-0.0235267423534793j</v>
      </c>
      <c r="K334">
        <f t="shared" si="67"/>
        <v>-32.507380545584525</v>
      </c>
      <c r="L334">
        <f t="shared" si="68"/>
        <v>-83.196306502584591</v>
      </c>
      <c r="M334">
        <f t="shared" si="69"/>
        <v>2.8069323756421101E-3</v>
      </c>
      <c r="N334">
        <f t="shared" si="70"/>
        <v>-2.3526742353479301E-2</v>
      </c>
      <c r="O334" t="str">
        <f t="shared" si="64"/>
        <v>5.75439937333927E-06-2.39883291900586j</v>
      </c>
      <c r="P334">
        <f t="shared" si="71"/>
        <v>7.5999999999756369</v>
      </c>
      <c r="Q334">
        <f t="shared" si="72"/>
        <v>-89.999862556997982</v>
      </c>
      <c r="R334">
        <f t="shared" si="73"/>
        <v>-24.907380545608888</v>
      </c>
      <c r="S334">
        <f t="shared" si="74"/>
        <v>6.8038309404174129</v>
      </c>
    </row>
    <row r="335" spans="7:19" x14ac:dyDescent="0.25">
      <c r="G335">
        <f t="shared" si="65"/>
        <v>5.6399999999999686</v>
      </c>
      <c r="H335">
        <f t="shared" si="63"/>
        <v>4365158.3224013466</v>
      </c>
      <c r="I335" t="str">
        <f t="shared" si="66"/>
        <v>27427098.6348248j</v>
      </c>
      <c r="J335" t="str">
        <f>IMDIV(R_1,IMSUM('Opamp and C Stray Using B (2)'!R_1,IMPRODUCT('Opamp and C Stray Using B (2)'!R_f,IMSUM(1,IMPRODUCT(I335,C_s,R_1)))))</f>
        <v>0.00256311794144829-0.0224956443496932j</v>
      </c>
      <c r="K335">
        <f t="shared" si="67"/>
        <v>-32.902014137032026</v>
      </c>
      <c r="L335">
        <f t="shared" si="68"/>
        <v>-83.499841551000898</v>
      </c>
      <c r="M335">
        <f t="shared" si="69"/>
        <v>2.5631179414482902E-3</v>
      </c>
      <c r="N335">
        <f t="shared" si="70"/>
        <v>-2.24956443496932E-2</v>
      </c>
      <c r="O335" t="str">
        <f t="shared" si="64"/>
        <v>5.24807460247095E-06-2.29086765275592j</v>
      </c>
      <c r="P335">
        <f t="shared" si="71"/>
        <v>7.1999999999778517</v>
      </c>
      <c r="Q335">
        <f t="shared" si="72"/>
        <v>-89.999868742952074</v>
      </c>
      <c r="R335">
        <f t="shared" si="73"/>
        <v>-25.702014137054174</v>
      </c>
      <c r="S335">
        <f t="shared" si="74"/>
        <v>6.5002897060470275</v>
      </c>
    </row>
    <row r="336" spans="7:19" x14ac:dyDescent="0.25">
      <c r="G336">
        <f t="shared" si="65"/>
        <v>5.6599999999999682</v>
      </c>
      <c r="H336">
        <f t="shared" si="63"/>
        <v>4570881.8961484218</v>
      </c>
      <c r="I336" t="str">
        <f t="shared" si="66"/>
        <v>28719697.9707329j</v>
      </c>
      <c r="J336" t="str">
        <f>IMDIV(R_1,IMSUM('Opamp and C Stray Using B (2)'!R_1,IMPRODUCT('Opamp and C Stray Using B (2)'!R_f,IMSUM(1,IMPRODUCT(I336,C_s,R_1)))))</f>
        <v>0.00234023026598065-0.0215074260546984j</v>
      </c>
      <c r="K336">
        <f t="shared" si="67"/>
        <v>-33.297114125990731</v>
      </c>
      <c r="L336">
        <f t="shared" si="68"/>
        <v>-83.790057978542421</v>
      </c>
      <c r="M336">
        <f t="shared" si="69"/>
        <v>2.3402302659806498E-3</v>
      </c>
      <c r="N336">
        <f t="shared" si="70"/>
        <v>-2.1507426054698402E-2</v>
      </c>
      <c r="O336" t="str">
        <f t="shared" si="64"/>
        <v>4.78630092320417E-06-2.18776162393924j</v>
      </c>
      <c r="P336">
        <f t="shared" si="71"/>
        <v>6.7999999999798435</v>
      </c>
      <c r="Q336">
        <f t="shared" si="72"/>
        <v>-89.999874650492373</v>
      </c>
      <c r="R336">
        <f t="shared" si="73"/>
        <v>-26.497114126010889</v>
      </c>
      <c r="S336">
        <f t="shared" si="74"/>
        <v>6.2100673709651915</v>
      </c>
    </row>
    <row r="337" spans="7:19" x14ac:dyDescent="0.25">
      <c r="G337">
        <f t="shared" si="65"/>
        <v>5.6799999999999677</v>
      </c>
      <c r="H337">
        <f t="shared" si="63"/>
        <v>4786300.9232260305</v>
      </c>
      <c r="I337" t="str">
        <f t="shared" si="66"/>
        <v>30073215.6365539j</v>
      </c>
      <c r="J337" t="str">
        <f>IMDIV(R_1,IMSUM('Opamp and C Stray Using B (2)'!R_1,IMPRODUCT('Opamp and C Stray Using B (2)'!R_f,IMSUM(1,IMPRODUCT(I337,C_s,R_1)))))</f>
        <v>0.00213651507056464-0.0205606010969081j</v>
      </c>
      <c r="K337">
        <f t="shared" si="67"/>
        <v>-33.692640437426071</v>
      </c>
      <c r="L337">
        <f t="shared" si="68"/>
        <v>-84.067511676168962</v>
      </c>
      <c r="M337">
        <f t="shared" si="69"/>
        <v>2.1365150705646399E-3</v>
      </c>
      <c r="N337">
        <f t="shared" si="70"/>
        <v>-2.0560601096908101E-2</v>
      </c>
      <c r="O337" t="str">
        <f t="shared" si="64"/>
        <v>4.36515832238325E-06-2.08929613084507j</v>
      </c>
      <c r="P337">
        <f t="shared" si="71"/>
        <v>6.3999999999816692</v>
      </c>
      <c r="Q337">
        <f t="shared" si="72"/>
        <v>-89.999880292149555</v>
      </c>
      <c r="R337">
        <f t="shared" si="73"/>
        <v>-27.292640437444401</v>
      </c>
      <c r="S337">
        <f t="shared" si="74"/>
        <v>5.9326080316814682</v>
      </c>
    </row>
    <row r="338" spans="7:19" x14ac:dyDescent="0.25">
      <c r="G338">
        <f t="shared" si="65"/>
        <v>5.6999999999999673</v>
      </c>
      <c r="H338">
        <f t="shared" si="63"/>
        <v>5011872.3362723524</v>
      </c>
      <c r="I338" t="str">
        <f t="shared" si="66"/>
        <v>31490522.6247263j</v>
      </c>
      <c r="J338" t="str">
        <f>IMDIV(R_1,IMSUM('Opamp and C Stray Using B (2)'!R_1,IMPRODUCT('Opamp and C Stray Using B (2)'!R_f,IMSUM(1,IMPRODUCT(I338,C_s,R_1)))))</f>
        <v>0.00195035814357526-0.0196536951189043j</v>
      </c>
      <c r="K338">
        <f t="shared" si="67"/>
        <v>-34.088556363085083</v>
      </c>
      <c r="L338">
        <f t="shared" si="68"/>
        <v>-84.332738997339888</v>
      </c>
      <c r="M338">
        <f t="shared" si="69"/>
        <v>1.9503581435752601E-3</v>
      </c>
      <c r="N338">
        <f t="shared" si="70"/>
        <v>-1.9653695118904298E-2</v>
      </c>
      <c r="O338" t="str">
        <f t="shared" si="64"/>
        <v>0.0000039810717055197-1.99526231496108j</v>
      </c>
      <c r="P338">
        <f t="shared" si="71"/>
        <v>5.9999999999833351</v>
      </c>
      <c r="Q338">
        <f t="shared" si="72"/>
        <v>-89.999885679890326</v>
      </c>
      <c r="R338">
        <f t="shared" si="73"/>
        <v>-28.088556363101748</v>
      </c>
      <c r="S338">
        <f t="shared" si="74"/>
        <v>5.6673753227697716</v>
      </c>
    </row>
    <row r="339" spans="7:19" x14ac:dyDescent="0.25">
      <c r="G339">
        <f t="shared" si="65"/>
        <v>5.7199999999999669</v>
      </c>
      <c r="H339">
        <f t="shared" si="63"/>
        <v>5248074.6024973365</v>
      </c>
      <c r="I339" t="str">
        <f t="shared" si="66"/>
        <v>32974625.2333936j</v>
      </c>
      <c r="J339" t="str">
        <f>IMDIV(R_1,IMSUM('Opamp and C Stray Using B (2)'!R_1,IMPRODUCT('Opamp and C Stray Using B (2)'!R_f,IMSUM(1,IMPRODUCT(I339,C_s,R_1)))))</f>
        <v>0.00178027533616591-0.0187852518471439j</v>
      </c>
      <c r="K339">
        <f t="shared" si="67"/>
        <v>-34.484828291449872</v>
      </c>
      <c r="L339">
        <f t="shared" si="68"/>
        <v>-84.586256957761719</v>
      </c>
      <c r="M339">
        <f t="shared" si="69"/>
        <v>1.78027533616591E-3</v>
      </c>
      <c r="N339">
        <f t="shared" si="70"/>
        <v>-1.87852518471439E-2</v>
      </c>
      <c r="O339" t="str">
        <f t="shared" si="64"/>
        <v>3.63078054768838E-06-1.90546071795647j</v>
      </c>
      <c r="P339">
        <f t="shared" si="71"/>
        <v>5.5999999999848749</v>
      </c>
      <c r="Q339">
        <f t="shared" si="72"/>
        <v>-89.999890825142842</v>
      </c>
      <c r="R339">
        <f t="shared" si="73"/>
        <v>-28.884828291464999</v>
      </c>
      <c r="S339">
        <f t="shared" si="74"/>
        <v>5.4138522170954388</v>
      </c>
    </row>
    <row r="340" spans="7:19" x14ac:dyDescent="0.25">
      <c r="G340">
        <f t="shared" si="65"/>
        <v>5.7399999999999665</v>
      </c>
      <c r="H340">
        <f t="shared" si="63"/>
        <v>5495408.7385758273</v>
      </c>
      <c r="I340" t="str">
        <f t="shared" si="66"/>
        <v>34528671.4431659j</v>
      </c>
      <c r="J340" t="str">
        <f>IMDIV(R_1,IMSUM('Opamp and C Stray Using B (2)'!R_1,IMPRODUCT('Opamp and C Stray Using B (2)'!R_f,IMSUM(1,IMPRODUCT(I340,C_s,R_1)))))</f>
        <v>0.0016249030677785-0.0179538381293813j</v>
      </c>
      <c r="K340">
        <f t="shared" si="67"/>
        <v>-34.881425457192925</v>
      </c>
      <c r="L340">
        <f t="shared" si="68"/>
        <v>-84.828563508258</v>
      </c>
      <c r="M340">
        <f t="shared" si="69"/>
        <v>1.6249030677785001E-3</v>
      </c>
      <c r="N340">
        <f t="shared" si="70"/>
        <v>-1.7953838129381301E-2</v>
      </c>
      <c r="O340" t="str">
        <f t="shared" si="64"/>
        <v>3.31131121481546E-06-1.8197008586041j</v>
      </c>
      <c r="P340">
        <f t="shared" si="71"/>
        <v>5.1999999999862965</v>
      </c>
      <c r="Q340">
        <f t="shared" si="72"/>
        <v>-89.99989573882084</v>
      </c>
      <c r="R340">
        <f t="shared" si="73"/>
        <v>-29.681425457206629</v>
      </c>
      <c r="S340">
        <f t="shared" si="74"/>
        <v>5.1715407529211461</v>
      </c>
    </row>
    <row r="341" spans="7:19" x14ac:dyDescent="0.25">
      <c r="G341">
        <f t="shared" si="65"/>
        <v>5.759999999999966</v>
      </c>
      <c r="H341">
        <f t="shared" si="63"/>
        <v>5754399.3733711299</v>
      </c>
      <c r="I341" t="str">
        <f t="shared" si="66"/>
        <v>36155957.5944089j</v>
      </c>
      <c r="J341" t="str">
        <f>IMDIV(R_1,IMSUM('Opamp and C Stray Using B (2)'!R_1,IMPRODUCT('Opamp and C Stray Using B (2)'!R_f,IMSUM(1,IMPRODUCT(I341,C_s,R_1)))))</f>
        <v>0.00148298935425646-0.0171580480657461j</v>
      </c>
      <c r="K341">
        <f t="shared" si="67"/>
        <v>-35.278319709099776</v>
      </c>
      <c r="L341">
        <f t="shared" si="68"/>
        <v>-85.060137867986654</v>
      </c>
      <c r="M341">
        <f t="shared" si="69"/>
        <v>1.48298935425646E-3</v>
      </c>
      <c r="N341">
        <f t="shared" si="70"/>
        <v>-1.7158048065746102E-2</v>
      </c>
      <c r="O341" t="str">
        <f t="shared" si="64"/>
        <v>3.01995172039336E-06-1.73780082874426j</v>
      </c>
      <c r="P341">
        <f t="shared" si="71"/>
        <v>4.7999999999875458</v>
      </c>
      <c r="Q341">
        <f t="shared" si="72"/>
        <v>-89.999900431346873</v>
      </c>
      <c r="R341">
        <f t="shared" si="73"/>
        <v>-30.478319709112231</v>
      </c>
      <c r="S341">
        <f t="shared" si="74"/>
        <v>4.9399617006664585</v>
      </c>
    </row>
    <row r="342" spans="7:19" x14ac:dyDescent="0.25">
      <c r="G342">
        <f t="shared" si="65"/>
        <v>5.7799999999999656</v>
      </c>
      <c r="H342">
        <f t="shared" si="63"/>
        <v>6025595.8607431054</v>
      </c>
      <c r="I342" t="str">
        <f t="shared" si="66"/>
        <v>37859935.3792232j</v>
      </c>
      <c r="J342" t="str">
        <f>IMDIV(R_1,IMSUM('Opamp and C Stray Using B (2)'!R_1,IMPRODUCT('Opamp and C Stray Using B (2)'!R_f,IMSUM(1,IMPRODUCT(I342,C_s,R_1)))))</f>
        <v>0.00135338536163209-0.0163965063470649j</v>
      </c>
      <c r="K342">
        <f t="shared" si="67"/>
        <v>-35.675485295410027</v>
      </c>
      <c r="L342">
        <f t="shared" si="68"/>
        <v>-85.281440906810658</v>
      </c>
      <c r="M342">
        <f t="shared" si="69"/>
        <v>1.3533853616320901E-3</v>
      </c>
      <c r="N342">
        <f t="shared" si="70"/>
        <v>-1.6396506347064899E-2</v>
      </c>
      <c r="O342" t="str">
        <f t="shared" si="64"/>
        <v>2.75422870333102E-06-1.65958690743312j</v>
      </c>
      <c r="P342">
        <f t="shared" si="71"/>
        <v>4.3999999999887205</v>
      </c>
      <c r="Q342">
        <f t="shared" si="72"/>
        <v>-89.999904912674467</v>
      </c>
      <c r="R342">
        <f t="shared" si="73"/>
        <v>-31.275485295421305</v>
      </c>
      <c r="S342">
        <f t="shared" si="74"/>
        <v>4.718654180514875</v>
      </c>
    </row>
    <row r="343" spans="7:19" x14ac:dyDescent="0.25">
      <c r="G343">
        <f t="shared" si="65"/>
        <v>5.7999999999999652</v>
      </c>
      <c r="H343">
        <f t="shared" si="63"/>
        <v>6309573.4448014377</v>
      </c>
      <c r="I343" t="str">
        <f t="shared" si="66"/>
        <v>39644219.1629469j</v>
      </c>
      <c r="J343" t="str">
        <f>IMDIV(R_1,IMSUM('Opamp and C Stray Using B (2)'!R_1,IMPRODUCT('Opamp and C Stray Using B (2)'!R_f,IMSUM(1,IMPRODUCT(I343,C_s,R_1)))))</f>
        <v>0.0012350374809702-0.0156678709024117j</v>
      </c>
      <c r="K343">
        <f t="shared" si="67"/>
        <v>-36.072898665528584</v>
      </c>
      <c r="L343">
        <f t="shared" si="68"/>
        <v>-85.492915567047675</v>
      </c>
      <c r="M343">
        <f t="shared" si="69"/>
        <v>1.2350374809701999E-3</v>
      </c>
      <c r="N343">
        <f t="shared" si="70"/>
        <v>-1.5667870902411701E-2</v>
      </c>
      <c r="O343" t="str">
        <f t="shared" si="64"/>
        <v>2.51188643150366E-06-1.58489319245726j</v>
      </c>
      <c r="P343">
        <f t="shared" si="71"/>
        <v>3.9999999999897895</v>
      </c>
      <c r="Q343">
        <f t="shared" si="72"/>
        <v>-89.99990919230909</v>
      </c>
      <c r="R343">
        <f t="shared" si="73"/>
        <v>-32.072898665538794</v>
      </c>
      <c r="S343">
        <f t="shared" si="74"/>
        <v>4.5071752406432211</v>
      </c>
    </row>
    <row r="344" spans="7:19" x14ac:dyDescent="0.25">
      <c r="G344">
        <f t="shared" si="65"/>
        <v>5.8199999999999648</v>
      </c>
      <c r="H344">
        <f t="shared" si="63"/>
        <v>6606934.4800754283</v>
      </c>
      <c r="I344" t="str">
        <f t="shared" si="66"/>
        <v>41512593.6507081j</v>
      </c>
      <c r="J344" t="str">
        <f>IMDIV(R_1,IMSUM('Opamp and C Stray Using B (2)'!R_1,IMPRODUCT('Opamp and C Stray Using B (2)'!R_f,IMSUM(1,IMPRODUCT(I344,C_s,R_1)))))</f>
        <v>0.00112697991369203-0.0149708349470743j</v>
      </c>
      <c r="K344">
        <f t="shared" si="67"/>
        <v>-36.470538287073488</v>
      </c>
      <c r="L344">
        <f t="shared" si="68"/>
        <v>-85.694987316098775</v>
      </c>
      <c r="M344">
        <f t="shared" si="69"/>
        <v>1.12697991369203E-3</v>
      </c>
      <c r="N344">
        <f t="shared" si="70"/>
        <v>-1.49708349470743E-2</v>
      </c>
      <c r="O344" t="str">
        <f t="shared" si="64"/>
        <v>0.0000022908676527629-1.51356124843286j</v>
      </c>
      <c r="P344">
        <f t="shared" si="71"/>
        <v>3.5999999999907342</v>
      </c>
      <c r="Q344">
        <f t="shared" si="72"/>
        <v>-89.999913279328439</v>
      </c>
      <c r="R344">
        <f t="shared" si="73"/>
        <v>-32.870538287082752</v>
      </c>
      <c r="S344">
        <f t="shared" si="74"/>
        <v>4.3050994045727862</v>
      </c>
    </row>
    <row r="345" spans="7:19" x14ac:dyDescent="0.25">
      <c r="G345">
        <f t="shared" si="65"/>
        <v>5.8399999999999643</v>
      </c>
      <c r="H345">
        <f t="shared" si="63"/>
        <v>6918309.7091888068</v>
      </c>
      <c r="I345" t="str">
        <f t="shared" si="66"/>
        <v>43469021.915293j</v>
      </c>
      <c r="J345" t="str">
        <f>IMDIV(R_1,IMSUM('Opamp and C Stray Using B (2)'!R_1,IMPRODUCT('Opamp and C Stray Using B (2)'!R_f,IMSUM(1,IMPRODUCT(I345,C_s,R_1)))))</f>
        <v>0.00102832775229208-0.0143041285121562j</v>
      </c>
      <c r="K345">
        <f t="shared" si="67"/>
        <v>-36.868384477256441</v>
      </c>
      <c r="L345">
        <f t="shared" si="68"/>
        <v>-85.888064622592438</v>
      </c>
      <c r="M345">
        <f t="shared" si="69"/>
        <v>1.0283277522920801E-3</v>
      </c>
      <c r="N345">
        <f t="shared" si="70"/>
        <v>-1.43041285121562E-2</v>
      </c>
      <c r="O345" t="str">
        <f t="shared" si="64"/>
        <v>2.08929613085001E-06-1.44543977074302j</v>
      </c>
      <c r="P345">
        <f t="shared" si="71"/>
        <v>3.1999999999916002</v>
      </c>
      <c r="Q345">
        <f t="shared" si="72"/>
        <v>-89.999917182401589</v>
      </c>
      <c r="R345">
        <f t="shared" si="73"/>
        <v>-33.668384477264844</v>
      </c>
      <c r="S345">
        <f t="shared" si="74"/>
        <v>4.1120181950059873</v>
      </c>
    </row>
    <row r="346" spans="7:19" x14ac:dyDescent="0.25">
      <c r="G346">
        <f t="shared" si="65"/>
        <v>5.8599999999999639</v>
      </c>
      <c r="H346">
        <f t="shared" si="63"/>
        <v>7244359.6007493027</v>
      </c>
      <c r="I346" t="str">
        <f t="shared" si="66"/>
        <v>45517653.8033534j</v>
      </c>
      <c r="J346" t="str">
        <f>IMDIV(R_1,IMSUM('Opamp and C Stray Using B (2)'!R_1,IMPRODUCT('Opamp and C Stray Using B (2)'!R_f,IMSUM(1,IMPRODUCT(I346,C_s,R_1)))))</f>
        <v>0.00093827053804784-0.0136665195279193j</v>
      </c>
      <c r="K346">
        <f t="shared" si="67"/>
        <v>-37.266419247619844</v>
      </c>
      <c r="L346">
        <f t="shared" si="68"/>
        <v>-86.0725394496897</v>
      </c>
      <c r="M346">
        <f t="shared" si="69"/>
        <v>9.3827053804783995E-4</v>
      </c>
      <c r="N346">
        <f t="shared" si="70"/>
        <v>-1.3666519527919301E-2</v>
      </c>
      <c r="O346" t="str">
        <f t="shared" si="64"/>
        <v>1.90546071795993E-06-1.38038426460037j</v>
      </c>
      <c r="P346">
        <f t="shared" si="71"/>
        <v>2.799999999992449</v>
      </c>
      <c r="Q346">
        <f t="shared" si="72"/>
        <v>-89.999920909807543</v>
      </c>
      <c r="R346">
        <f t="shared" si="73"/>
        <v>-34.466419247627393</v>
      </c>
      <c r="S346">
        <f t="shared" si="74"/>
        <v>3.9275396405027436</v>
      </c>
    </row>
    <row r="347" spans="7:19" x14ac:dyDescent="0.25">
      <c r="G347">
        <f t="shared" si="65"/>
        <v>5.8799999999999635</v>
      </c>
      <c r="H347">
        <f t="shared" si="63"/>
        <v>7585775.7502912087</v>
      </c>
      <c r="I347" t="str">
        <f t="shared" si="66"/>
        <v>47662834.7377889j</v>
      </c>
      <c r="J347" t="str">
        <f>IMDIV(R_1,IMSUM('Opamp and C Stray Using B (2)'!R_1,IMPRODUCT('Opamp and C Stray Using B (2)'!R_f,IMSUM(1,IMPRODUCT(I347,C_s,R_1)))))</f>
        <v>0.000856066274992255-0.0130568145246562j</v>
      </c>
      <c r="K347">
        <f t="shared" si="67"/>
        <v>-37.664626161200317</v>
      </c>
      <c r="L347">
        <f t="shared" si="68"/>
        <v>-86.248787760093052</v>
      </c>
      <c r="M347">
        <f t="shared" si="69"/>
        <v>8.5606627499225504E-4</v>
      </c>
      <c r="N347">
        <f t="shared" si="70"/>
        <v>-1.30568145246562E-2</v>
      </c>
      <c r="O347" t="str">
        <f t="shared" si="64"/>
        <v>1.73780082874664E-06-1.31825673855423j</v>
      </c>
      <c r="P347">
        <f t="shared" si="71"/>
        <v>2.3999999999932022</v>
      </c>
      <c r="Q347">
        <f t="shared" si="72"/>
        <v>-89.999924469452566</v>
      </c>
      <c r="R347">
        <f t="shared" si="73"/>
        <v>-35.264626161207119</v>
      </c>
      <c r="S347">
        <f t="shared" si="74"/>
        <v>3.7512877704543826</v>
      </c>
    </row>
    <row r="348" spans="7:19" x14ac:dyDescent="0.25">
      <c r="G348">
        <f t="shared" si="65"/>
        <v>5.8999999999999631</v>
      </c>
      <c r="H348">
        <f t="shared" si="63"/>
        <v>7943282.347242156</v>
      </c>
      <c r="I348" t="str">
        <f t="shared" si="66"/>
        <v>49909114.9349709j</v>
      </c>
      <c r="J348" t="str">
        <f>IMDIV(R_1,IMSUM('Opamp and C Stray Using B (2)'!R_1,IMPRODUCT('Opamp and C Stray Using B (2)'!R_f,IMSUM(1,IMPRODUCT(I348,C_s,R_1)))))</f>
        <v>0.000781035877891838-0.0124738590073727j</v>
      </c>
      <c r="K348">
        <f t="shared" si="67"/>
        <v>-38.062990201225318</v>
      </c>
      <c r="L348">
        <f t="shared" si="68"/>
        <v>-86.417170028092343</v>
      </c>
      <c r="M348">
        <f t="shared" si="69"/>
        <v>7.8103587789183802E-4</v>
      </c>
      <c r="N348">
        <f t="shared" si="70"/>
        <v>-1.24738590073727E-2</v>
      </c>
      <c r="O348" t="str">
        <f t="shared" si="64"/>
        <v>1.58489319245886E-06-1.25892541179228j</v>
      </c>
      <c r="P348">
        <f t="shared" si="71"/>
        <v>1.999999999993862</v>
      </c>
      <c r="Q348">
        <f t="shared" si="72"/>
        <v>-89.999927868887184</v>
      </c>
      <c r="R348">
        <f t="shared" si="73"/>
        <v>-36.062990201231457</v>
      </c>
      <c r="S348">
        <f t="shared" si="74"/>
        <v>3.5829021030204729</v>
      </c>
    </row>
    <row r="349" spans="7:19" x14ac:dyDescent="0.25">
      <c r="G349">
        <f t="shared" si="65"/>
        <v>5.9199999999999626</v>
      </c>
      <c r="H349">
        <f t="shared" si="63"/>
        <v>8317637.7110260036</v>
      </c>
      <c r="I349" t="str">
        <f t="shared" si="66"/>
        <v>52261259.0563614j</v>
      </c>
      <c r="J349" t="str">
        <f>IMDIV(R_1,IMSUM('Opamp and C Stray Using B (2)'!R_1,IMPRODUCT('Opamp and C Stray Using B (2)'!R_f,IMSUM(1,IMPRODUCT(I349,C_s,R_1)))))</f>
        <v>0.000712558031091341-0.0119165375537778j</v>
      </c>
      <c r="K349">
        <f t="shared" si="67"/>
        <v>-38.461497650499027</v>
      </c>
      <c r="L349">
        <f t="shared" si="68"/>
        <v>-86.578031754677482</v>
      </c>
      <c r="M349">
        <f t="shared" si="69"/>
        <v>7.1255803109134105E-4</v>
      </c>
      <c r="N349">
        <f t="shared" si="70"/>
        <v>-1.1916537553777799E-2</v>
      </c>
      <c r="O349" t="str">
        <f t="shared" si="64"/>
        <v>1.44543977074409E-06-1.20226443461578j</v>
      </c>
      <c r="P349">
        <f t="shared" si="71"/>
        <v>1.5999999999944803</v>
      </c>
      <c r="Q349">
        <f t="shared" si="72"/>
        <v>-89.999931115322042</v>
      </c>
      <c r="R349">
        <f t="shared" si="73"/>
        <v>-36.861497650504546</v>
      </c>
      <c r="S349">
        <f t="shared" si="74"/>
        <v>3.4220371300004899</v>
      </c>
    </row>
    <row r="350" spans="7:19" x14ac:dyDescent="0.25">
      <c r="G350">
        <f t="shared" si="65"/>
        <v>5.9399999999999622</v>
      </c>
      <c r="H350">
        <f t="shared" si="63"/>
        <v>8709635.8995600641</v>
      </c>
      <c r="I350" t="str">
        <f t="shared" si="66"/>
        <v>54724256.3149997j</v>
      </c>
      <c r="J350" t="str">
        <f>IMDIV(R_1,IMSUM('Opamp and C Stray Using B (2)'!R_1,IMPRODUCT('Opamp and C Stray Using B (2)'!R_f,IMSUM(1,IMPRODUCT(I350,C_s,R_1)))))</f>
        <v>0.000650064434719814-0.0113837736789992j</v>
      </c>
      <c r="K350">
        <f t="shared" si="67"/>
        <v>-38.860135980680319</v>
      </c>
      <c r="L350">
        <f t="shared" si="68"/>
        <v>-86.731703982360386</v>
      </c>
      <c r="M350">
        <f t="shared" si="69"/>
        <v>6.5006443471981397E-4</v>
      </c>
      <c r="N350">
        <f t="shared" si="70"/>
        <v>-1.13837736789992E-2</v>
      </c>
      <c r="O350" t="str">
        <f t="shared" si="64"/>
        <v>1.31825673855489E-06-1.14815362149547j</v>
      </c>
      <c r="P350">
        <f t="shared" si="71"/>
        <v>1.1999999999950368</v>
      </c>
      <c r="Q350">
        <f t="shared" si="72"/>
        <v>-89.99993421564325</v>
      </c>
      <c r="R350">
        <f t="shared" si="73"/>
        <v>-37.660135980685283</v>
      </c>
      <c r="S350">
        <f t="shared" si="74"/>
        <v>3.2683618019963774</v>
      </c>
    </row>
    <row r="351" spans="7:19" x14ac:dyDescent="0.25">
      <c r="G351">
        <f t="shared" si="65"/>
        <v>5.9599999999999618</v>
      </c>
      <c r="H351">
        <f t="shared" si="63"/>
        <v>9120108.3935583029</v>
      </c>
      <c r="I351" t="str">
        <f t="shared" si="66"/>
        <v>57303331.0582907j</v>
      </c>
      <c r="J351" t="str">
        <f>IMDIV(R_1,IMSUM('Opamp and C Stray Using B (2)'!R_1,IMPRODUCT('Opamp and C Stray Using B (2)'!R_f,IMSUM(1,IMPRODUCT(I351,C_s,R_1)))))</f>
        <v>0.000593035414792722-0.0108745295050106j</v>
      </c>
      <c r="K351">
        <f t="shared" si="67"/>
        <v>-39.258893750698938</v>
      </c>
      <c r="L351">
        <f t="shared" si="68"/>
        <v>-86.878503806885305</v>
      </c>
      <c r="M351">
        <f t="shared" si="69"/>
        <v>5.9303541479272198E-4</v>
      </c>
      <c r="N351">
        <f t="shared" si="70"/>
        <v>-1.08745295050106E-2</v>
      </c>
      <c r="O351" t="str">
        <f t="shared" si="64"/>
        <v>1.20226443461618E-06-1.09647819614196j</v>
      </c>
      <c r="P351">
        <f t="shared" si="71"/>
        <v>0.79999999999551874</v>
      </c>
      <c r="Q351">
        <f t="shared" si="72"/>
        <v>-89.999937176427039</v>
      </c>
      <c r="R351">
        <f t="shared" si="73"/>
        <v>-38.458893750703417</v>
      </c>
      <c r="S351">
        <f t="shared" si="74"/>
        <v>3.1215590166876552</v>
      </c>
    </row>
    <row r="352" spans="7:19" x14ac:dyDescent="0.25">
      <c r="G352">
        <f t="shared" si="65"/>
        <v>5.9799999999999613</v>
      </c>
      <c r="H352">
        <f t="shared" si="63"/>
        <v>9549925.8602135256</v>
      </c>
      <c r="I352" t="str">
        <f t="shared" si="66"/>
        <v>60003953.849548j</v>
      </c>
      <c r="J352" t="str">
        <f>IMDIV(R_1,IMSUM('Opamp and C Stray Using B (2)'!R_1,IMPRODUCT('Opamp and C Stray Using B (2)'!R_f,IMSUM(1,IMPRODUCT(I352,C_s,R_1)))))</f>
        <v>0.000540995874098496-0.0103878052679046j</v>
      </c>
      <c r="K352">
        <f t="shared" si="67"/>
        <v>-39.657760513608558</v>
      </c>
      <c r="L352">
        <f t="shared" si="68"/>
        <v>-87.018734883474082</v>
      </c>
      <c r="M352">
        <f t="shared" si="69"/>
        <v>5.4099587409849601E-4</v>
      </c>
      <c r="N352">
        <f t="shared" si="70"/>
        <v>-1.03878052679046E-2</v>
      </c>
      <c r="O352" t="str">
        <f t="shared" si="64"/>
        <v>1.09647819614217E-06-1.04712854804984j</v>
      </c>
      <c r="P352">
        <f t="shared" si="71"/>
        <v>0.39999999999597252</v>
      </c>
      <c r="Q352">
        <f t="shared" si="72"/>
        <v>-89.999940003953583</v>
      </c>
      <c r="R352">
        <f t="shared" si="73"/>
        <v>-39.257760513612588</v>
      </c>
      <c r="S352">
        <f t="shared" si="74"/>
        <v>2.9813251125723355</v>
      </c>
    </row>
    <row r="353" spans="7:19" x14ac:dyDescent="0.25">
      <c r="G353">
        <f t="shared" si="65"/>
        <v>5.9999999999999609</v>
      </c>
      <c r="H353">
        <f t="shared" si="63"/>
        <v>9999999.9999991078</v>
      </c>
      <c r="I353" t="str">
        <f t="shared" si="66"/>
        <v>62831853.0717903j</v>
      </c>
      <c r="J353" t="str">
        <f>IMDIV(R_1,IMSUM('Opamp and C Stray Using B (2)'!R_1,IMPRODUCT('Opamp and C Stray Using B (2)'!R_f,IMSUM(1,IMPRODUCT(I353,C_s,R_1)))))</f>
        <v>0.00049351156135093-0.00992263869185001j</v>
      </c>
      <c r="K353">
        <f t="shared" si="67"/>
        <v>-40.056726731214511</v>
      </c>
      <c r="L353">
        <f t="shared" si="68"/>
        <v>-87.152687925662121</v>
      </c>
      <c r="M353">
        <f t="shared" si="69"/>
        <v>4.9351156135093001E-4</v>
      </c>
      <c r="N353">
        <f t="shared" si="70"/>
        <v>-9.9226386918500106E-3</v>
      </c>
      <c r="O353" t="str">
        <f t="shared" si="64"/>
        <v>9.99999999999176E-07-0.999999999999088j</v>
      </c>
      <c r="P353">
        <f t="shared" si="71"/>
        <v>-3.5786192283799859E-12</v>
      </c>
      <c r="Q353">
        <f t="shared" si="72"/>
        <v>-89.999942704220487</v>
      </c>
      <c r="R353">
        <f t="shared" si="73"/>
        <v>-40.056726731218092</v>
      </c>
      <c r="S353">
        <f t="shared" si="74"/>
        <v>2.8473693701174057</v>
      </c>
    </row>
  </sheetData>
  <conditionalFormatting sqref="B15">
    <cfRule type="cellIs" dxfId="2" priority="1" operator="lessThan">
      <formula>45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399F6-EA35-474A-A70D-0C7F129C1F06}">
  <dimension ref="A1:D13"/>
  <sheetViews>
    <sheetView showGridLines="0" workbookViewId="0">
      <selection activeCell="H27" sqref="H27"/>
    </sheetView>
  </sheetViews>
  <sheetFormatPr defaultRowHeight="15" x14ac:dyDescent="0.25"/>
  <cols>
    <col min="2" max="2" width="9.5703125" bestFit="1" customWidth="1"/>
  </cols>
  <sheetData>
    <row r="1" spans="1:4" x14ac:dyDescent="0.25">
      <c r="A1" s="21" t="s">
        <v>64</v>
      </c>
    </row>
    <row r="2" spans="1:4" ht="18" x14ac:dyDescent="0.35">
      <c r="A2" s="6" t="s">
        <v>65</v>
      </c>
      <c r="B2" s="24">
        <f>'Opamp and C Stray Using B (2)'!B14</f>
        <v>954992.58602139901</v>
      </c>
      <c r="C2" t="s">
        <v>10</v>
      </c>
      <c r="D2" t="s">
        <v>68</v>
      </c>
    </row>
    <row r="3" spans="1:4" ht="18" x14ac:dyDescent="0.35">
      <c r="A3" s="23" t="s">
        <v>66</v>
      </c>
      <c r="B3" s="25">
        <f>'Opamp and C Stray Using B (2)'!B12</f>
        <v>497359.19716217293</v>
      </c>
      <c r="C3" t="s">
        <v>10</v>
      </c>
      <c r="D3" t="s">
        <v>69</v>
      </c>
    </row>
    <row r="4" spans="1:4" ht="18" x14ac:dyDescent="0.35">
      <c r="A4" s="6" t="s">
        <v>65</v>
      </c>
      <c r="B4" s="22">
        <f>2*PI()*B2</f>
        <v>6000395.3849550914</v>
      </c>
      <c r="C4" t="s">
        <v>15</v>
      </c>
    </row>
    <row r="5" spans="1:4" ht="18" x14ac:dyDescent="0.35">
      <c r="A5" s="23" t="s">
        <v>66</v>
      </c>
      <c r="B5" s="22">
        <f>2*PI()*B3</f>
        <v>3125000</v>
      </c>
      <c r="C5" t="s">
        <v>15</v>
      </c>
    </row>
    <row r="6" spans="1:4" x14ac:dyDescent="0.25">
      <c r="A6" s="6"/>
      <c r="B6" s="10"/>
    </row>
    <row r="7" spans="1:4" x14ac:dyDescent="0.25">
      <c r="A7" s="6" t="s">
        <v>60</v>
      </c>
      <c r="B7" s="22">
        <f>90-DEGREES(ATAN(B2/B3))</f>
        <v>27.510455835529385</v>
      </c>
      <c r="C7" t="s">
        <v>21</v>
      </c>
    </row>
    <row r="8" spans="1:4" x14ac:dyDescent="0.25">
      <c r="A8" s="6"/>
      <c r="B8" s="10"/>
    </row>
    <row r="9" spans="1:4" x14ac:dyDescent="0.25">
      <c r="A9" s="6" t="s">
        <v>61</v>
      </c>
      <c r="B9" s="11">
        <f>SQRT((B2/B3)*SQRT(1+(B2^2)/(B3^2)))</f>
        <v>2.0388534845635613</v>
      </c>
    </row>
    <row r="10" spans="1:4" x14ac:dyDescent="0.25">
      <c r="A10" s="23" t="s">
        <v>67</v>
      </c>
      <c r="B10" s="22">
        <f>1/(2*B9)</f>
        <v>0.24523586603234043</v>
      </c>
    </row>
    <row r="11" spans="1:4" x14ac:dyDescent="0.25">
      <c r="A11" s="6"/>
      <c r="B11" s="10"/>
    </row>
    <row r="12" spans="1:4" x14ac:dyDescent="0.25">
      <c r="A12" s="6" t="s">
        <v>62</v>
      </c>
      <c r="B12" s="22">
        <f>100*EXP(-(PI()/SQRT(4*(B9^2)-1)))</f>
        <v>45.17173838660554</v>
      </c>
      <c r="C12" t="s">
        <v>63</v>
      </c>
    </row>
    <row r="13" spans="1:4" x14ac:dyDescent="0.25">
      <c r="A13" s="6" t="s">
        <v>62</v>
      </c>
      <c r="B13" s="22">
        <f>100*EXP((-B10*PI())/SQRT(1-B10^2))</f>
        <v>45.17173838660554</v>
      </c>
      <c r="C13" t="s">
        <v>63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B7C2B-DBB1-4BE3-AD1D-2906F0BA200E}">
  <sheetPr codeName="Sheet10"/>
  <dimension ref="A1:S353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27.85546875" customWidth="1"/>
    <col min="2" max="2" width="13.140625" customWidth="1"/>
    <col min="3" max="3" width="5.7109375" customWidth="1"/>
    <col min="4" max="4" width="86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28.28515625" customWidth="1"/>
    <col min="11" max="12" width="9.140625" customWidth="1"/>
    <col min="15" max="15" width="39.42578125" bestFit="1" customWidth="1"/>
    <col min="16" max="17" width="9.140625" customWidth="1"/>
    <col min="18" max="18" width="17" bestFit="1" customWidth="1"/>
    <col min="19" max="19" width="15" customWidth="1"/>
  </cols>
  <sheetData>
    <row r="1" spans="1:19" ht="15" customHeight="1" x14ac:dyDescent="0.25">
      <c r="A1" s="1" t="s">
        <v>43</v>
      </c>
      <c r="F1" s="6" t="s">
        <v>46</v>
      </c>
      <c r="G1" s="5">
        <v>50</v>
      </c>
    </row>
    <row r="2" spans="1:19" ht="15" customHeight="1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45</v>
      </c>
      <c r="K2" s="3" t="s">
        <v>5</v>
      </c>
      <c r="L2" s="18" t="s">
        <v>39</v>
      </c>
      <c r="M2" s="3" t="s">
        <v>7</v>
      </c>
      <c r="N2" s="3" t="s">
        <v>8</v>
      </c>
      <c r="O2" s="3" t="s">
        <v>38</v>
      </c>
      <c r="P2" s="3" t="s">
        <v>5</v>
      </c>
      <c r="Q2" s="18" t="s">
        <v>40</v>
      </c>
      <c r="R2" s="18" t="s">
        <v>42</v>
      </c>
      <c r="S2" s="18" t="s">
        <v>41</v>
      </c>
    </row>
    <row r="3" spans="1:19" ht="15" customHeight="1" x14ac:dyDescent="0.35">
      <c r="A3" s="6" t="s">
        <v>22</v>
      </c>
      <c r="B3" s="5">
        <v>10</v>
      </c>
      <c r="C3" t="s">
        <v>10</v>
      </c>
      <c r="F3" s="6" t="s">
        <v>25</v>
      </c>
      <c r="G3" s="5">
        <v>-1</v>
      </c>
      <c r="H3">
        <f t="shared" ref="H3:H66" si="0">$B$3*10^G3</f>
        <v>1</v>
      </c>
      <c r="I3" t="str">
        <f>COMPLEX(0,H3*2*PI(),"j")</f>
        <v>6.28318530717959j</v>
      </c>
      <c r="J3" t="str">
        <f>IMDIV(R_1,IMSUM('Phase Margin Example'!R_1,IMPRODUCT('Phase Margin Example'!R_f,IMSUM(1,IMPRODUCT(I3,C_s,R_1)))))</f>
        <v>0.19999999191482-0.0000402123843403278j</v>
      </c>
      <c r="K3">
        <f>20*LOG(IMABS(J3))</f>
        <v>-13.979400262287843</v>
      </c>
      <c r="L3">
        <f>DEGREES(IMARGUMENT(J3))</f>
        <v>-1.1519999844764647E-2</v>
      </c>
      <c r="M3">
        <f>IMREAL(J3)</f>
        <v>0.19999999191482001</v>
      </c>
      <c r="N3">
        <f>IMAGINARY(J3)</f>
        <v>-4.02123843403278E-5</v>
      </c>
      <c r="O3" t="str">
        <f t="shared" ref="O3:O12" si="1">IMDIV(Aolv,IMSUM(1,IMDIV(I3,wc)))</f>
        <v>990099.00990099-99009.900990099j</v>
      </c>
      <c r="P3">
        <f>20*LOG(IMABS(O3))</f>
        <v>119.95678626217357</v>
      </c>
      <c r="Q3">
        <f>DEGREES(IMARGUMENT(O3))</f>
        <v>-5.710593137499643</v>
      </c>
      <c r="R3">
        <f>P3+K3</f>
        <v>105.97738599988573</v>
      </c>
      <c r="S3">
        <f>(Q3+L3)-(-180)</f>
        <v>174.27788686265558</v>
      </c>
    </row>
    <row r="4" spans="1:19" ht="15" customHeight="1" x14ac:dyDescent="0.35">
      <c r="A4" s="6" t="s">
        <v>27</v>
      </c>
      <c r="B4" s="5">
        <v>120</v>
      </c>
      <c r="C4" t="s">
        <v>17</v>
      </c>
      <c r="G4">
        <f t="shared" ref="G4:G11" si="2">G3+(1/ppd)</f>
        <v>-0.98</v>
      </c>
      <c r="H4">
        <f t="shared" si="0"/>
        <v>1.0471285480508996</v>
      </c>
      <c r="I4" t="str">
        <f t="shared" ref="I4:I67" si="3">COMPLEX(0,H4*2*PI(),"j")</f>
        <v>6.57930270784171j</v>
      </c>
      <c r="J4" t="str">
        <f>IMDIV(R_1,IMSUM('Phase Margin Example'!R_1,IMPRODUCT('Phase Margin Example'!R_f,IMSUM(1,IMPRODUCT(I4,C_s,R_1)))))</f>
        <v>0.199999991134777-0.0000421075354637232j</v>
      </c>
      <c r="K4">
        <f t="shared" ref="K4:K67" si="4">20*LOG(IMABS(J4))</f>
        <v>-13.979400279226248</v>
      </c>
      <c r="L4">
        <f t="shared" ref="L4:L67" si="5">DEGREES(IMARGUMENT(J4))</f>
        <v>-1.2062920695312168E-2</v>
      </c>
      <c r="M4">
        <f t="shared" ref="M4:M67" si="6">IMREAL(J4)</f>
        <v>0.19999999113477701</v>
      </c>
      <c r="N4">
        <f t="shared" ref="N4:N67" si="7">IMAGINARY(J4)</f>
        <v>-4.2107535463723202E-5</v>
      </c>
      <c r="O4" t="str">
        <f t="shared" si="1"/>
        <v>989154.140522919-103577.15389643j</v>
      </c>
      <c r="P4">
        <f t="shared" ref="P4:P67" si="8">20*LOG(IMABS(O4))</f>
        <v>119.9526397325788</v>
      </c>
      <c r="Q4">
        <f t="shared" ref="Q4:Q67" si="9">DEGREES(IMARGUMENT(O4))</f>
        <v>-5.9778196640987522</v>
      </c>
      <c r="R4">
        <f t="shared" ref="R4:R67" si="10">P4+K4</f>
        <v>105.97323945335256</v>
      </c>
      <c r="S4">
        <f t="shared" ref="S4:S67" si="11">(Q4+L4)-(-180)</f>
        <v>174.01011741520594</v>
      </c>
    </row>
    <row r="5" spans="1:19" ht="15" customHeight="1" x14ac:dyDescent="0.35">
      <c r="A5" s="6" t="s">
        <v>35</v>
      </c>
      <c r="B5" s="13">
        <v>400000</v>
      </c>
      <c r="C5" t="s">
        <v>12</v>
      </c>
      <c r="G5">
        <f t="shared" si="2"/>
        <v>-0.96</v>
      </c>
      <c r="H5">
        <f t="shared" si="0"/>
        <v>1.0964781961431849</v>
      </c>
      <c r="I5" t="str">
        <f t="shared" si="3"/>
        <v>6.88937569164964j</v>
      </c>
      <c r="J5" t="str">
        <f>IMDIV(R_1,IMSUM('Phase Margin Example'!R_1,IMPRODUCT('Phase Margin Example'!R_f,IMSUM(1,IMPRODUCT(I5,C_s,R_1)))))</f>
        <v>0.199999990279476-0.0000440920022835707j</v>
      </c>
      <c r="K5">
        <f t="shared" si="4"/>
        <v>-13.979400297798882</v>
      </c>
      <c r="L5">
        <f t="shared" si="5"/>
        <v>-1.2631428614929305E-2</v>
      </c>
      <c r="M5">
        <f t="shared" si="6"/>
        <v>0.19999999027947599</v>
      </c>
      <c r="N5">
        <f t="shared" si="7"/>
        <v>-4.4092002283570703E-5</v>
      </c>
      <c r="O5" t="str">
        <f t="shared" si="1"/>
        <v>988120.182474828-108345.223525268j</v>
      </c>
      <c r="P5">
        <f t="shared" si="8"/>
        <v>119.94809769902774</v>
      </c>
      <c r="Q5">
        <f t="shared" si="9"/>
        <v>-6.2573605177506941</v>
      </c>
      <c r="R5">
        <f t="shared" si="10"/>
        <v>105.96869740122887</v>
      </c>
      <c r="S5">
        <f t="shared" si="11"/>
        <v>173.73000805363438</v>
      </c>
    </row>
    <row r="6" spans="1:19" ht="15" customHeight="1" x14ac:dyDescent="0.35">
      <c r="A6" s="6" t="s">
        <v>36</v>
      </c>
      <c r="B6" s="13">
        <v>4.0000000000000001E-10</v>
      </c>
      <c r="C6" t="s">
        <v>11</v>
      </c>
      <c r="G6">
        <f t="shared" si="2"/>
        <v>-0.94</v>
      </c>
      <c r="H6">
        <f t="shared" si="0"/>
        <v>1.148153621496883</v>
      </c>
      <c r="I6" t="str">
        <f t="shared" si="3"/>
        <v>7.21406196497425j</v>
      </c>
      <c r="J6" t="str">
        <f>IMDIV(R_1,IMSUM('Phase Margin Example'!R_1,IMPRODUCT('Phase Margin Example'!R_f,IMSUM(1,IMPRODUCT(I6,C_s,R_1)))))</f>
        <v>0.199999989341658-0.000046169994115357j</v>
      </c>
      <c r="K6">
        <f t="shared" si="4"/>
        <v>-13.97940031816333</v>
      </c>
      <c r="L6">
        <f t="shared" si="5"/>
        <v>-1.3226729484685699E-2</v>
      </c>
      <c r="M6">
        <f t="shared" si="6"/>
        <v>0.199999989341658</v>
      </c>
      <c r="N6">
        <f t="shared" si="7"/>
        <v>-4.6169994115357001E-5</v>
      </c>
      <c r="O6" t="str">
        <f t="shared" si="1"/>
        <v>986988.951636248-113321.493919857j</v>
      </c>
      <c r="P6">
        <f t="shared" si="8"/>
        <v>119.94312291200268</v>
      </c>
      <c r="Q6">
        <f t="shared" si="9"/>
        <v>-6.5497552930741145</v>
      </c>
      <c r="R6">
        <f t="shared" si="10"/>
        <v>105.96372259383935</v>
      </c>
      <c r="S6">
        <f t="shared" si="11"/>
        <v>173.4370179774412</v>
      </c>
    </row>
    <row r="7" spans="1:19" ht="15" customHeight="1" x14ac:dyDescent="0.25">
      <c r="A7" s="6" t="s">
        <v>34</v>
      </c>
      <c r="B7" s="13">
        <v>100000</v>
      </c>
      <c r="C7" t="s">
        <v>12</v>
      </c>
      <c r="G7">
        <f t="shared" si="2"/>
        <v>-0.91999999999999993</v>
      </c>
      <c r="H7">
        <f t="shared" si="0"/>
        <v>1.2022644346174129</v>
      </c>
      <c r="I7" t="str">
        <f t="shared" si="3"/>
        <v>7.5540502309327j</v>
      </c>
      <c r="J7" t="str">
        <f>IMDIV(R_1,IMSUM('Phase Margin Example'!R_1,IMPRODUCT('Phase Margin Example'!R_f,IMSUM(1,IMPRODUCT(I7,C_s,R_1)))))</f>
        <v>0.19999998831336-0.0000483459186529623j</v>
      </c>
      <c r="K7">
        <f t="shared" si="4"/>
        <v>-13.97940034049255</v>
      </c>
      <c r="L7">
        <f t="shared" si="5"/>
        <v>-1.3850086017024281E-2</v>
      </c>
      <c r="M7">
        <f t="shared" si="6"/>
        <v>0.19999998831335999</v>
      </c>
      <c r="N7">
        <f t="shared" si="7"/>
        <v>-4.83459186529623E-5</v>
      </c>
      <c r="O7" t="str">
        <f t="shared" si="1"/>
        <v>985751.554983522-118513.40359255j</v>
      </c>
      <c r="P7">
        <f t="shared" si="8"/>
        <v>119.93767470827919</v>
      </c>
      <c r="Q7">
        <f t="shared" si="9"/>
        <v>-6.8555631473533358</v>
      </c>
      <c r="R7">
        <f t="shared" si="10"/>
        <v>105.95827436778664</v>
      </c>
      <c r="S7">
        <f t="shared" si="11"/>
        <v>173.13058676662965</v>
      </c>
    </row>
    <row r="8" spans="1:19" ht="15" customHeight="1" x14ac:dyDescent="0.25">
      <c r="G8">
        <f t="shared" si="2"/>
        <v>-0.89999999999999991</v>
      </c>
      <c r="H8">
        <f t="shared" si="0"/>
        <v>1.2589254117941673</v>
      </c>
      <c r="I8" t="str">
        <f t="shared" si="3"/>
        <v>7.91006165022012j</v>
      </c>
      <c r="J8" t="str">
        <f>IMDIV(R_1,IMSUM('Phase Margin Example'!R_1,IMPRODUCT('Phase Margin Example'!R_f,IMSUM(1,IMPRODUCT(I8,C_s,R_1)))))</f>
        <v>0.199999987185854-0.0000506243913178669j</v>
      </c>
      <c r="K8">
        <f t="shared" si="4"/>
        <v>-13.979400364976033</v>
      </c>
      <c r="L8">
        <f t="shared" si="5"/>
        <v>-1.4502820434133376E-2</v>
      </c>
      <c r="M8">
        <f t="shared" si="6"/>
        <v>0.19999998718585399</v>
      </c>
      <c r="N8">
        <f t="shared" si="7"/>
        <v>-5.0624391317866899E-5</v>
      </c>
      <c r="O8" t="str">
        <f t="shared" si="1"/>
        <v>984398.33775817-123928.40827317j</v>
      </c>
      <c r="P8">
        <f t="shared" si="8"/>
        <v>119.93170871687546</v>
      </c>
      <c r="Q8">
        <f t="shared" si="9"/>
        <v>-7.1753628965097134</v>
      </c>
      <c r="R8">
        <f t="shared" si="10"/>
        <v>105.95230835189943</v>
      </c>
      <c r="S8">
        <f t="shared" si="11"/>
        <v>172.81013428305616</v>
      </c>
    </row>
    <row r="9" spans="1:19" ht="15" customHeight="1" x14ac:dyDescent="0.25">
      <c r="B9" s="2" t="s">
        <v>13</v>
      </c>
      <c r="G9">
        <f t="shared" si="2"/>
        <v>-0.87999999999999989</v>
      </c>
      <c r="H9">
        <f t="shared" si="0"/>
        <v>1.318256738556407</v>
      </c>
      <c r="I9" t="str">
        <f t="shared" si="3"/>
        <v>8.2828513707881j</v>
      </c>
      <c r="J9" t="str">
        <f>IMDIV(R_1,IMSUM('Phase Margin Example'!R_1,IMPRODUCT('Phase Margin Example'!R_f,IMSUM(1,IMPRODUCT(I9,C_s,R_1)))))</f>
        <v>0.199999985949569-0.0000530102450489597j</v>
      </c>
      <c r="K9">
        <f t="shared" si="4"/>
        <v>-13.979400391821613</v>
      </c>
      <c r="L9">
        <f t="shared" si="5"/>
        <v>-1.518631727254597E-2</v>
      </c>
      <c r="M9">
        <f t="shared" si="6"/>
        <v>0.199999985949569</v>
      </c>
      <c r="N9">
        <f t="shared" si="7"/>
        <v>-5.3010245048959703E-5</v>
      </c>
      <c r="O9" t="str">
        <f t="shared" si="1"/>
        <v>982918.828453206-129573.936906241j</v>
      </c>
      <c r="P9">
        <f t="shared" si="8"/>
        <v>119.92517654342382</v>
      </c>
      <c r="Q9">
        <f t="shared" si="9"/>
        <v>-7.5097530040532607</v>
      </c>
      <c r="R9">
        <f t="shared" si="10"/>
        <v>105.9457761516022</v>
      </c>
      <c r="S9">
        <f t="shared" si="11"/>
        <v>172.4750606786742</v>
      </c>
    </row>
    <row r="10" spans="1:19" ht="15" customHeight="1" x14ac:dyDescent="0.35">
      <c r="A10" s="6" t="s">
        <v>27</v>
      </c>
      <c r="B10" s="11">
        <f>10^(B4/20)</f>
        <v>1000000</v>
      </c>
      <c r="C10" t="s">
        <v>14</v>
      </c>
      <c r="G10">
        <f t="shared" si="2"/>
        <v>-0.85999999999999988</v>
      </c>
      <c r="H10">
        <f t="shared" si="0"/>
        <v>1.380384264602885</v>
      </c>
      <c r="I10" t="str">
        <f t="shared" si="3"/>
        <v>8.67321012961474j</v>
      </c>
      <c r="J10" t="str">
        <f>IMDIV(R_1,IMSUM('Phase Margin Example'!R_1,IMPRODUCT('Phase Margin Example'!R_f,IMSUM(1,IMPRODUCT(I10,C_s,R_1)))))</f>
        <v>0.199999984594008-0.0000555085405537135j</v>
      </c>
      <c r="K10">
        <f t="shared" si="4"/>
        <v>-13.979400421257262</v>
      </c>
      <c r="L10">
        <f t="shared" si="5"/>
        <v>-1.5902026319914442E-2</v>
      </c>
      <c r="M10">
        <f t="shared" si="6"/>
        <v>0.199999984594008</v>
      </c>
      <c r="N10">
        <f t="shared" si="7"/>
        <v>-5.5508540553713503E-5</v>
      </c>
      <c r="O10" t="str">
        <f t="shared" si="1"/>
        <v>981301.681926184-135457.340055924j</v>
      </c>
      <c r="P10">
        <f t="shared" si="8"/>
        <v>119.91802543215003</v>
      </c>
      <c r="Q10">
        <f t="shared" si="9"/>
        <v>-7.8593514441058181</v>
      </c>
      <c r="R10">
        <f t="shared" si="10"/>
        <v>105.93862501089276</v>
      </c>
      <c r="S10">
        <f t="shared" si="11"/>
        <v>172.12474652957428</v>
      </c>
    </row>
    <row r="11" spans="1:19" ht="15" customHeight="1" x14ac:dyDescent="0.35">
      <c r="A11" s="6" t="s">
        <v>23</v>
      </c>
      <c r="B11" s="11">
        <f>2*PI()*B3</f>
        <v>62.831853071795862</v>
      </c>
      <c r="C11" t="s">
        <v>15</v>
      </c>
      <c r="G11">
        <f t="shared" si="2"/>
        <v>-0.83999999999999986</v>
      </c>
      <c r="H11">
        <f t="shared" si="0"/>
        <v>1.4454397707459279</v>
      </c>
      <c r="I11" t="str">
        <f t="shared" si="3"/>
        <v>9.08196592996384j</v>
      </c>
      <c r="J11" t="str">
        <f>IMDIV(R_1,IMSUM('Phase Margin Example'!R_1,IMPRODUCT('Phase Margin Example'!R_f,IMSUM(1,IMPRODUCT(I11,C_s,R_1)))))</f>
        <v>0.199999983107666-0.0000581245770424696j</v>
      </c>
      <c r="K11">
        <f t="shared" si="4"/>
        <v>-13.97940045353277</v>
      </c>
      <c r="L11">
        <f t="shared" si="5"/>
        <v>-1.6651465690189611E-2</v>
      </c>
      <c r="M11">
        <f t="shared" si="6"/>
        <v>0.19999998310766601</v>
      </c>
      <c r="N11">
        <f t="shared" si="7"/>
        <v>-5.8124577042469601E-5</v>
      </c>
      <c r="O11" t="str">
        <f t="shared" si="1"/>
        <v>979534.62106178-141585.829810524j</v>
      </c>
      <c r="P11">
        <f t="shared" si="8"/>
        <v>119.91019790479169</v>
      </c>
      <c r="Q11">
        <f t="shared" si="9"/>
        <v>-8.2247954172798181</v>
      </c>
      <c r="R11">
        <f t="shared" si="10"/>
        <v>105.93079745125891</v>
      </c>
      <c r="S11">
        <f t="shared" si="11"/>
        <v>171.75855311703</v>
      </c>
    </row>
    <row r="12" spans="1:19" ht="15" customHeight="1" x14ac:dyDescent="0.25">
      <c r="A12" s="6" t="s">
        <v>44</v>
      </c>
      <c r="B12" s="11">
        <f>1/(2*PI()*R_O*C_L)</f>
        <v>39.788735772973837</v>
      </c>
      <c r="C12" s="8" t="s">
        <v>10</v>
      </c>
      <c r="G12">
        <f t="shared" ref="G12" si="12">G11+(1/ppd)</f>
        <v>-0.81999999999999984</v>
      </c>
      <c r="H12">
        <f t="shared" si="0"/>
        <v>1.5135612484362084</v>
      </c>
      <c r="I12" t="str">
        <f t="shared" si="3"/>
        <v>9.50998579769078j</v>
      </c>
      <c r="J12" t="str">
        <f>IMDIV(R_1,IMSUM('Phase Margin Example'!R_1,IMPRODUCT('Phase Margin Example'!R_f,IMSUM(1,IMPRODUCT(I12,C_s,R_1)))))</f>
        <v>0.199999981477925-0.0000608639034685912j</v>
      </c>
      <c r="K12">
        <f t="shared" si="4"/>
        <v>-13.979400488922133</v>
      </c>
      <c r="L12">
        <f t="shared" si="5"/>
        <v>-1.7436225043726532E-2</v>
      </c>
      <c r="M12">
        <f t="shared" si="6"/>
        <v>0.199999981477925</v>
      </c>
      <c r="N12">
        <f t="shared" si="7"/>
        <v>-6.0863903468591203E-5</v>
      </c>
      <c r="O12" t="str">
        <f t="shared" si="1"/>
        <v>977604.377542829-147966.410215043j</v>
      </c>
      <c r="P12">
        <f t="shared" si="8"/>
        <v>119.90163137598191</v>
      </c>
      <c r="Q12">
        <f t="shared" si="9"/>
        <v>-8.6067408957140668</v>
      </c>
      <c r="R12">
        <f t="shared" si="10"/>
        <v>105.92223088705977</v>
      </c>
      <c r="S12">
        <f t="shared" si="11"/>
        <v>171.37582287924221</v>
      </c>
    </row>
    <row r="13" spans="1:19" ht="15" customHeight="1" x14ac:dyDescent="0.25">
      <c r="A13" s="6" t="s">
        <v>29</v>
      </c>
      <c r="B13" s="16" cm="1">
        <f t="array" ref="B13">INDEX(R4:R353,MATCH(MIN(ABS(R4:R353)),ABS(R4:R353),0))</f>
        <v>-5.6726774644900502E-2</v>
      </c>
      <c r="C13" s="8" t="s">
        <v>17</v>
      </c>
      <c r="G13">
        <f t="shared" ref="G13:G67" si="13">G12+(1/ppd)</f>
        <v>-0.79999999999999982</v>
      </c>
      <c r="H13">
        <f t="shared" si="0"/>
        <v>1.584893192461114</v>
      </c>
      <c r="I13" t="str">
        <f t="shared" si="3"/>
        <v>9.95817762032062j</v>
      </c>
      <c r="J13" t="str">
        <f>IMDIV(R_1,IMSUM('Phase Margin Example'!R_1,IMPRODUCT('Phase Margin Example'!R_f,IMSUM(1,IMPRODUCT(I13,C_s,R_1)))))</f>
        <v>0.199999979690948-0.0000637323302983354j</v>
      </c>
      <c r="K13">
        <f t="shared" si="4"/>
        <v>-13.979400527725865</v>
      </c>
      <c r="L13">
        <f t="shared" si="5"/>
        <v>-1.8257968959148638E-2</v>
      </c>
      <c r="M13">
        <f t="shared" si="6"/>
        <v>0.19999997969094799</v>
      </c>
      <c r="N13">
        <f t="shared" si="7"/>
        <v>-6.3732330298335401E-5</v>
      </c>
      <c r="O13" t="str">
        <f t="shared" ref="O13:O66" si="14">IMDIV(Aolv,IMSUM(1,IMDIV(I13,wc)))</f>
        <v>975496.632449664-154605.797203821j</v>
      </c>
      <c r="P13">
        <f t="shared" si="8"/>
        <v>119.89225774488042</v>
      </c>
      <c r="Q13">
        <f t="shared" si="9"/>
        <v>-9.0058619709314893</v>
      </c>
      <c r="R13">
        <f t="shared" si="10"/>
        <v>105.91285721715457</v>
      </c>
      <c r="S13">
        <f t="shared" si="11"/>
        <v>170.97588006010938</v>
      </c>
    </row>
    <row r="14" spans="1:19" ht="15" customHeight="1" x14ac:dyDescent="0.25">
      <c r="A14" s="6" t="s">
        <v>18</v>
      </c>
      <c r="B14" s="19">
        <f>_xlfn.XLOOKUP(B13,R4:R353,H4:H353)</f>
        <v>100000.00000000099</v>
      </c>
      <c r="C14" s="8" t="s">
        <v>10</v>
      </c>
      <c r="G14">
        <f t="shared" si="13"/>
        <v>-0.7799999999999998</v>
      </c>
      <c r="H14">
        <f t="shared" si="0"/>
        <v>1.6595869074375613</v>
      </c>
      <c r="I14" t="str">
        <f t="shared" si="3"/>
        <v>10.4274920727993j</v>
      </c>
      <c r="J14" t="str">
        <f>IMDIV(R_1,IMSUM('Phase Margin Example'!R_1,IMPRODUCT('Phase Margin Example'!R_f,IMSUM(1,IMPRODUCT(I14,C_s,R_1)))))</f>
        <v>0.199999977731568-0.0000667359418353908j</v>
      </c>
      <c r="K14">
        <f t="shared" si="4"/>
        <v>-13.979400570273256</v>
      </c>
      <c r="L14">
        <f t="shared" si="5"/>
        <v>-1.9118440464117845E-2</v>
      </c>
      <c r="M14">
        <f t="shared" si="6"/>
        <v>0.199999977731568</v>
      </c>
      <c r="N14">
        <f t="shared" si="7"/>
        <v>-6.6735941835390796E-5</v>
      </c>
      <c r="O14" t="str">
        <f t="shared" si="14"/>
        <v>973195.95759616-161510.326959775j</v>
      </c>
      <c r="P14">
        <f t="shared" si="8"/>
        <v>119.88200296315782</v>
      </c>
      <c r="Q14">
        <f t="shared" si="9"/>
        <v>-9.4228499754044535</v>
      </c>
      <c r="R14">
        <f t="shared" si="10"/>
        <v>105.90260239288456</v>
      </c>
      <c r="S14">
        <f t="shared" si="11"/>
        <v>170.55803158413144</v>
      </c>
    </row>
    <row r="15" spans="1:19" ht="15" customHeight="1" x14ac:dyDescent="0.25">
      <c r="A15" s="14" t="s">
        <v>20</v>
      </c>
      <c r="B15" s="17">
        <f>_xlfn.XLOOKUP(B13,R4:R353,S4:S353)</f>
        <v>2.853041652269809</v>
      </c>
      <c r="C15" s="7" t="s">
        <v>21</v>
      </c>
      <c r="G15">
        <f t="shared" si="13"/>
        <v>-0.75999999999999979</v>
      </c>
      <c r="H15">
        <f t="shared" si="0"/>
        <v>1.7378008287493762</v>
      </c>
      <c r="I15" t="str">
        <f t="shared" si="3"/>
        <v>10.9189246340026j</v>
      </c>
      <c r="J15" t="str">
        <f>IMDIV(R_1,IMSUM('Phase Margin Example'!R_1,IMPRODUCT('Phase Margin Example'!R_f,IMSUM(1,IMPRODUCT(I15,C_s,R_1)))))</f>
        <v>0.19999997558315-0.0000698811091262329j</v>
      </c>
      <c r="K15">
        <f t="shared" si="4"/>
        <v>-13.979400616925568</v>
      </c>
      <c r="L15">
        <f t="shared" si="5"/>
        <v>-2.0019464732505678E-2</v>
      </c>
      <c r="M15">
        <f t="shared" si="6"/>
        <v>0.19999997558315</v>
      </c>
      <c r="N15">
        <f t="shared" si="7"/>
        <v>-6.9881109126232902E-5</v>
      </c>
      <c r="O15" t="str">
        <f t="shared" si="14"/>
        <v>970685.758729549-168685.851597543j</v>
      </c>
      <c r="P15">
        <f t="shared" si="8"/>
        <v>119.8707865798454</v>
      </c>
      <c r="Q15">
        <f t="shared" si="9"/>
        <v>-9.8584123458402946</v>
      </c>
      <c r="R15">
        <f t="shared" si="10"/>
        <v>105.89138596291983</v>
      </c>
      <c r="S15">
        <f t="shared" si="11"/>
        <v>170.12156818942719</v>
      </c>
    </row>
    <row r="16" spans="1:19" ht="15" customHeight="1" x14ac:dyDescent="0.25">
      <c r="A16" s="14"/>
      <c r="C16" s="7"/>
      <c r="G16">
        <f t="shared" si="13"/>
        <v>-0.73999999999999977</v>
      </c>
      <c r="H16">
        <f t="shared" si="0"/>
        <v>1.8197008586099841</v>
      </c>
      <c r="I16" t="str">
        <f t="shared" si="3"/>
        <v>11.4335176982803j</v>
      </c>
      <c r="J16" t="str">
        <f>IMDIV(R_1,IMSUM('Phase Margin Example'!R_1,IMPRODUCT('Phase Margin Example'!R_f,IMSUM(1,IMPRODUCT(I16,C_s,R_1)))))</f>
        <v>0.199999973227457-0.0000731745034736549j</v>
      </c>
      <c r="K16">
        <f t="shared" si="4"/>
        <v>-13.979400668078792</v>
      </c>
      <c r="L16">
        <f t="shared" si="5"/>
        <v>-2.0962952955800924E-2</v>
      </c>
      <c r="M16">
        <f t="shared" si="6"/>
        <v>0.199999973227457</v>
      </c>
      <c r="N16">
        <f t="shared" si="7"/>
        <v>-7.3174503473654899E-5</v>
      </c>
      <c r="O16" t="str">
        <f t="shared" si="14"/>
        <v>967948.221972129-176137.621061269j</v>
      </c>
      <c r="P16">
        <f t="shared" si="8"/>
        <v>119.85852126406309</v>
      </c>
      <c r="Q16">
        <f t="shared" si="9"/>
        <v>-10.313271193276307</v>
      </c>
      <c r="R16">
        <f t="shared" si="10"/>
        <v>105.87912059598429</v>
      </c>
      <c r="S16">
        <f t="shared" si="11"/>
        <v>169.66576585376788</v>
      </c>
    </row>
    <row r="17" spans="1:19" ht="15" customHeight="1" x14ac:dyDescent="0.25">
      <c r="A17" s="6"/>
      <c r="C17" s="8"/>
      <c r="G17">
        <f t="shared" si="13"/>
        <v>-0.71999999999999975</v>
      </c>
      <c r="H17">
        <f t="shared" si="0"/>
        <v>1.9054607179632479</v>
      </c>
      <c r="I17" t="str">
        <f t="shared" si="3"/>
        <v>11.9723627865145j</v>
      </c>
      <c r="J17" t="str">
        <f>IMDIV(R_1,IMSUM('Phase Margin Example'!R_1,IMPRODUCT('Phase Margin Example'!R_f,IMSUM(1,IMPRODUCT(I17,C_s,R_1)))))</f>
        <v>0.19999997064449-0.0000766231105871388j</v>
      </c>
      <c r="K17">
        <f t="shared" si="4"/>
        <v>-13.979400724167231</v>
      </c>
      <c r="L17">
        <f t="shared" si="5"/>
        <v>-2.1950906396969703E-2</v>
      </c>
      <c r="M17">
        <f t="shared" si="6"/>
        <v>0.19999997064448999</v>
      </c>
      <c r="N17">
        <f t="shared" si="7"/>
        <v>-7.6623110587138799E-5</v>
      </c>
      <c r="O17" t="str">
        <f t="shared" si="14"/>
        <v>964964.265168014-183870.150151591j</v>
      </c>
      <c r="P17">
        <f t="shared" si="8"/>
        <v>119.84511230724415</v>
      </c>
      <c r="Q17">
        <f t="shared" si="9"/>
        <v>-10.788161542168142</v>
      </c>
      <c r="R17">
        <f t="shared" si="10"/>
        <v>105.86571158307692</v>
      </c>
      <c r="S17">
        <f t="shared" si="11"/>
        <v>169.18988755143488</v>
      </c>
    </row>
    <row r="18" spans="1:19" ht="15" customHeight="1" x14ac:dyDescent="0.25">
      <c r="A18" s="6"/>
      <c r="C18" s="8"/>
      <c r="G18">
        <f t="shared" si="13"/>
        <v>-0.69999999999999973</v>
      </c>
      <c r="H18">
        <f t="shared" si="0"/>
        <v>1.9952623149688806</v>
      </c>
      <c r="I18" t="str">
        <f t="shared" si="3"/>
        <v>12.5366028613816j</v>
      </c>
      <c r="J18" t="str">
        <f>IMDIV(R_1,IMSUM('Phase Margin Example'!R_1,IMPRODUCT('Phase Margin Example'!R_f,IMSUM(1,IMPRODUCT(I18,C_s,R_1)))))</f>
        <v>0.199999967812324-0.0000802342454000709j</v>
      </c>
      <c r="K18">
        <f t="shared" si="4"/>
        <v>-13.97940078566694</v>
      </c>
      <c r="L18">
        <f t="shared" si="5"/>
        <v>-2.2985420635362644E-2</v>
      </c>
      <c r="M18">
        <f t="shared" si="6"/>
        <v>0.19999996781232399</v>
      </c>
      <c r="N18">
        <f t="shared" si="7"/>
        <v>-8.0234245400070901E-5</v>
      </c>
      <c r="O18" t="str">
        <f t="shared" si="14"/>
        <v>961713.496117745-191887.069660071j</v>
      </c>
      <c r="P18">
        <f t="shared" si="8"/>
        <v>119.83045710720467</v>
      </c>
      <c r="Q18">
        <f t="shared" si="9"/>
        <v>-11.283829197867838</v>
      </c>
      <c r="R18">
        <f t="shared" si="10"/>
        <v>105.85105632153773</v>
      </c>
      <c r="S18">
        <f t="shared" si="11"/>
        <v>168.69318538149679</v>
      </c>
    </row>
    <row r="19" spans="1:19" ht="15" customHeight="1" x14ac:dyDescent="0.25">
      <c r="G19">
        <f t="shared" si="13"/>
        <v>-0.67999999999999972</v>
      </c>
      <c r="H19">
        <f t="shared" si="0"/>
        <v>2.0892961308540405</v>
      </c>
      <c r="I19" t="str">
        <f t="shared" si="3"/>
        <v>13.1274347517293j</v>
      </c>
      <c r="J19" t="str">
        <f>IMDIV(R_1,IMSUM('Phase Margin Example'!R_1,IMPRODUCT('Phase Margin Example'!R_f,IMSUM(1,IMPRODUCT(I19,C_s,R_1)))))</f>
        <v>0.199999964706916-0.0000840155675852225j</v>
      </c>
      <c r="K19">
        <f t="shared" si="4"/>
        <v>-13.979400853100019</v>
      </c>
      <c r="L19">
        <f t="shared" si="5"/>
        <v>-2.4068690011674592E-2</v>
      </c>
      <c r="M19">
        <f t="shared" si="6"/>
        <v>0.199999964706916</v>
      </c>
      <c r="N19">
        <f t="shared" si="7"/>
        <v>-8.4015567585222502E-5</v>
      </c>
      <c r="O19" t="str">
        <f t="shared" si="14"/>
        <v>958174.18003701-200190.960703558j</v>
      </c>
      <c r="P19">
        <f t="shared" si="8"/>
        <v>119.81444463726747</v>
      </c>
      <c r="Q19">
        <f t="shared" si="9"/>
        <v>-11.801028199327847</v>
      </c>
      <c r="R19">
        <f t="shared" si="10"/>
        <v>105.83504378416745</v>
      </c>
      <c r="S19">
        <f t="shared" si="11"/>
        <v>168.17490311066047</v>
      </c>
    </row>
    <row r="20" spans="1:19" x14ac:dyDescent="0.25">
      <c r="A20" s="8"/>
      <c r="G20">
        <f t="shared" si="13"/>
        <v>-0.6599999999999997</v>
      </c>
      <c r="H20">
        <f t="shared" si="0"/>
        <v>2.1877616239495539</v>
      </c>
      <c r="I20" t="str">
        <f t="shared" si="3"/>
        <v>13.7461116912112j</v>
      </c>
      <c r="J20" t="str">
        <f>IMDIV(R_1,IMSUM('Phase Margin Example'!R_1,IMPRODUCT('Phase Margin Example'!R_f,IMSUM(1,IMPRODUCT(I20,C_s,R_1)))))</f>
        <v>0.199999961301903-0.0000879750978014041j</v>
      </c>
      <c r="K20">
        <f t="shared" si="4"/>
        <v>-13.979400927038965</v>
      </c>
      <c r="L20">
        <f t="shared" si="5"/>
        <v>-2.5203012282384325E-2</v>
      </c>
      <c r="M20">
        <f t="shared" si="6"/>
        <v>0.19999996130190301</v>
      </c>
      <c r="N20">
        <f t="shared" si="7"/>
        <v>-8.7975097801404098E-5</v>
      </c>
      <c r="O20" t="str">
        <f t="shared" si="14"/>
        <v>954323.218960337-208783.171528544j</v>
      </c>
      <c r="P20">
        <f t="shared" si="8"/>
        <v>119.79695490466108</v>
      </c>
      <c r="Q20">
        <f t="shared" si="9"/>
        <v>-12.340517811694946</v>
      </c>
      <c r="R20">
        <f t="shared" si="10"/>
        <v>105.81755397762211</v>
      </c>
      <c r="S20">
        <f t="shared" si="11"/>
        <v>167.63427917602266</v>
      </c>
    </row>
    <row r="21" spans="1:19" x14ac:dyDescent="0.25">
      <c r="A21" s="8"/>
      <c r="G21">
        <f t="shared" si="13"/>
        <v>-0.63999999999999968</v>
      </c>
      <c r="H21">
        <f t="shared" si="0"/>
        <v>2.2908676527677745</v>
      </c>
      <c r="I21" t="str">
        <f t="shared" si="3"/>
        <v>14.3939459765635j</v>
      </c>
      <c r="J21" t="str">
        <f>IMDIV(R_1,IMSUM('Phase Margin Example'!R_1,IMPRODUCT('Phase Margin Example'!R_f,IMSUM(1,IMPRODUCT(I21,C_s,R_1)))))</f>
        <v>0.199999957568382-0.0000921212347057369j</v>
      </c>
      <c r="K21">
        <f t="shared" si="4"/>
        <v>-13.979401008111342</v>
      </c>
      <c r="L21">
        <f t="shared" si="5"/>
        <v>-2.6390793493544354E-2</v>
      </c>
      <c r="M21">
        <f t="shared" si="6"/>
        <v>0.19999995756838199</v>
      </c>
      <c r="N21">
        <f t="shared" si="7"/>
        <v>-9.2121234705736896E-5</v>
      </c>
      <c r="O21" t="str">
        <f t="shared" si="14"/>
        <v>950136.146221023-217663.616310318j</v>
      </c>
      <c r="P21">
        <f t="shared" si="8"/>
        <v>119.77785840358415</v>
      </c>
      <c r="Q21">
        <f t="shared" si="9"/>
        <v>-12.903059011845798</v>
      </c>
      <c r="R21">
        <f t="shared" si="10"/>
        <v>105.79845739547281</v>
      </c>
      <c r="S21">
        <f t="shared" si="11"/>
        <v>167.07055019466065</v>
      </c>
    </row>
    <row r="22" spans="1:19" x14ac:dyDescent="0.25">
      <c r="G22">
        <f t="shared" si="13"/>
        <v>-0.61999999999999966</v>
      </c>
      <c r="H22">
        <f t="shared" si="0"/>
        <v>2.3988329190194917</v>
      </c>
      <c r="I22" t="str">
        <f t="shared" si="3"/>
        <v>15.072311751162j</v>
      </c>
      <c r="J22" t="str">
        <f>IMDIV(R_1,IMSUM('Phase Margin Example'!R_1,IMPRODUCT('Phase Margin Example'!R_f,IMSUM(1,IMPRODUCT(I22,C_s,R_1)))))</f>
        <v>0.199999953474657-0.0000964627727676134j</v>
      </c>
      <c r="K22">
        <f t="shared" si="4"/>
        <v>-13.979401097005471</v>
      </c>
      <c r="L22">
        <f t="shared" si="5"/>
        <v>-2.7634553084259009E-2</v>
      </c>
      <c r="M22">
        <f t="shared" si="6"/>
        <v>0.19999995347465699</v>
      </c>
      <c r="N22">
        <f t="shared" si="7"/>
        <v>-9.6462772767613394E-5</v>
      </c>
      <c r="O22" t="str">
        <f t="shared" si="14"/>
        <v>945587.139566125-226830.55581927j</v>
      </c>
      <c r="P22">
        <f t="shared" si="8"/>
        <v>119.75701556966277</v>
      </c>
      <c r="Q22">
        <f t="shared" si="9"/>
        <v>-13.489410419100313</v>
      </c>
      <c r="R22">
        <f t="shared" si="10"/>
        <v>105.77761447265729</v>
      </c>
      <c r="S22">
        <f t="shared" si="11"/>
        <v>166.48295502781542</v>
      </c>
    </row>
    <row r="23" spans="1:19" x14ac:dyDescent="0.25">
      <c r="A23" s="6"/>
      <c r="G23">
        <f t="shared" si="13"/>
        <v>-0.59999999999999964</v>
      </c>
      <c r="H23">
        <f t="shared" si="0"/>
        <v>2.5118864315095819</v>
      </c>
      <c r="I23" t="str">
        <f t="shared" si="3"/>
        <v>15.7826479197648j</v>
      </c>
      <c r="J23" t="str">
        <f>IMDIV(R_1,IMSUM('Phase Margin Example'!R_1,IMPRODUCT('Phase Margin Example'!R_f,IMSUM(1,IMPRODUCT(I23,C_s,R_1)))))</f>
        <v>0.199999948985976-0.000101008920922131j</v>
      </c>
      <c r="K23">
        <f t="shared" si="4"/>
        <v>-13.979401194475985</v>
      </c>
      <c r="L23">
        <f t="shared" si="5"/>
        <v>-2.8936929230674792E-2</v>
      </c>
      <c r="M23">
        <f t="shared" si="6"/>
        <v>0.19999994898597601</v>
      </c>
      <c r="N23">
        <f t="shared" si="7"/>
        <v>-1.01008920922131E-4</v>
      </c>
      <c r="O23" t="str">
        <f t="shared" si="14"/>
        <v>940649.056897232-236280.360283245j</v>
      </c>
      <c r="P23">
        <f t="shared" si="8"/>
        <v>119.73427624403897</v>
      </c>
      <c r="Q23">
        <f t="shared" si="9"/>
        <v>-14.100323623589263</v>
      </c>
      <c r="R23">
        <f t="shared" si="10"/>
        <v>105.75487504956298</v>
      </c>
      <c r="S23">
        <f t="shared" si="11"/>
        <v>165.87073944718006</v>
      </c>
    </row>
    <row r="24" spans="1:19" x14ac:dyDescent="0.25">
      <c r="A24" s="6"/>
      <c r="G24">
        <f t="shared" si="13"/>
        <v>-0.57999999999999963</v>
      </c>
      <c r="H24">
        <f t="shared" si="0"/>
        <v>2.6302679918953835</v>
      </c>
      <c r="I24" t="str">
        <f t="shared" si="3"/>
        <v>16.5264612006218j</v>
      </c>
      <c r="J24" t="str">
        <f>IMDIV(R_1,IMSUM('Phase Margin Example'!R_1,IMPRODUCT('Phase Margin Example'!R_f,IMSUM(1,IMPRODUCT(I24,C_s,R_1)))))</f>
        <v>0.199999944064237-0.000105769322102533j</v>
      </c>
      <c r="K24">
        <f t="shared" si="4"/>
        <v>-13.979401301350205</v>
      </c>
      <c r="L24">
        <f t="shared" si="5"/>
        <v>-3.0300684441814461E-2</v>
      </c>
      <c r="M24">
        <f t="shared" si="6"/>
        <v>0.19999994406423699</v>
      </c>
      <c r="N24">
        <f t="shared" si="7"/>
        <v>-1.05769322102533E-4</v>
      </c>
      <c r="O24" t="str">
        <f t="shared" si="14"/>
        <v>935293.499046078-246007.255356873j</v>
      </c>
      <c r="P24">
        <f t="shared" si="8"/>
        <v>119.70947915700896</v>
      </c>
      <c r="Q24">
        <f t="shared" si="9"/>
        <v>-14.736537866356848</v>
      </c>
      <c r="R24">
        <f t="shared" si="10"/>
        <v>105.73007785565875</v>
      </c>
      <c r="S24">
        <f t="shared" si="11"/>
        <v>165.23316144920133</v>
      </c>
    </row>
    <row r="25" spans="1:19" x14ac:dyDescent="0.25">
      <c r="A25" s="6"/>
      <c r="G25">
        <f t="shared" si="13"/>
        <v>-0.55999999999999961</v>
      </c>
      <c r="H25">
        <f t="shared" si="0"/>
        <v>2.7542287033381685</v>
      </c>
      <c r="I25" t="str">
        <f t="shared" si="3"/>
        <v>17.3053293214267j</v>
      </c>
      <c r="J25" t="str">
        <f>IMDIV(R_1,IMSUM('Phase Margin Example'!R_1,IMPRODUCT('Phase Margin Example'!R_f,IMSUM(1,IMPRODUCT(I25,C_s,R_1)))))</f>
        <v>0.199999938667657-0.000110754073693086j</v>
      </c>
      <c r="K25">
        <f t="shared" si="4"/>
        <v>-13.979401418535486</v>
      </c>
      <c r="L25">
        <f t="shared" si="5"/>
        <v>-3.1728711419127933E-2</v>
      </c>
      <c r="M25">
        <f t="shared" si="6"/>
        <v>0.199999938667657</v>
      </c>
      <c r="N25">
        <f t="shared" si="7"/>
        <v>-1.1075407369308599E-4</v>
      </c>
      <c r="O25" t="str">
        <f t="shared" si="14"/>
        <v>929490.90437477-256003.052832075j</v>
      </c>
      <c r="P25">
        <f t="shared" si="8"/>
        <v>119.68245144297079</v>
      </c>
      <c r="Q25">
        <f t="shared" si="9"/>
        <v>-15.398774028607072</v>
      </c>
      <c r="R25">
        <f t="shared" si="10"/>
        <v>105.7030500244353</v>
      </c>
      <c r="S25">
        <f t="shared" si="11"/>
        <v>164.56949725997379</v>
      </c>
    </row>
    <row r="26" spans="1:19" x14ac:dyDescent="0.25">
      <c r="A26" s="6"/>
      <c r="G26">
        <f t="shared" si="13"/>
        <v>-0.53999999999999959</v>
      </c>
      <c r="H26">
        <f t="shared" si="0"/>
        <v>2.8840315031266077</v>
      </c>
      <c r="I26" t="str">
        <f t="shared" si="3"/>
        <v>18.1209043658882j</v>
      </c>
      <c r="J26" t="str">
        <f>IMDIV(R_1,IMSUM('Phase Margin Example'!R_1,IMPRODUCT('Phase Margin Example'!R_f,IMSUM(1,IMPRODUCT(I26,C_s,R_1)))))</f>
        <v>0.199999932750425-0.000115973748945745j</v>
      </c>
      <c r="K26">
        <f t="shared" si="4"/>
        <v>-13.979401547026594</v>
      </c>
      <c r="L26">
        <f t="shared" si="5"/>
        <v>-3.3224039192180241E-2</v>
      </c>
      <c r="M26">
        <f t="shared" si="6"/>
        <v>0.19999993275042499</v>
      </c>
      <c r="N26">
        <f t="shared" si="7"/>
        <v>-1.15973748945745E-4</v>
      </c>
      <c r="O26" t="str">
        <f t="shared" si="14"/>
        <v>923210.6803029-266256.868601651j</v>
      </c>
      <c r="P26">
        <f t="shared" si="8"/>
        <v>119.65300820042359</v>
      </c>
      <c r="Q26">
        <f t="shared" si="9"/>
        <v>-16.087727892932879</v>
      </c>
      <c r="R26">
        <f t="shared" si="10"/>
        <v>105.67360665339699</v>
      </c>
      <c r="S26">
        <f t="shared" si="11"/>
        <v>163.87904806787495</v>
      </c>
    </row>
    <row r="27" spans="1:19" x14ac:dyDescent="0.25">
      <c r="A27" s="6"/>
      <c r="G27">
        <f t="shared" si="13"/>
        <v>-0.51999999999999957</v>
      </c>
      <c r="H27">
        <f t="shared" si="0"/>
        <v>3.0199517204020192</v>
      </c>
      <c r="I27" t="str">
        <f t="shared" si="3"/>
        <v>18.9749162780217j</v>
      </c>
      <c r="J27" t="str">
        <f>IMDIV(R_1,IMSUM('Phase Margin Example'!R_1,IMPRODUCT('Phase Margin Example'!R_f,IMSUM(1,IMPRODUCT(I27,C_s,R_1)))))</f>
        <v>0.19999992626231-0.000121439419406011j</v>
      </c>
      <c r="K27">
        <f t="shared" si="4"/>
        <v>-13.979401687914262</v>
      </c>
      <c r="L27">
        <f t="shared" si="5"/>
        <v>-3.4789839543492782E-2</v>
      </c>
      <c r="M27">
        <f t="shared" si="6"/>
        <v>0.19999992626231</v>
      </c>
      <c r="N27">
        <f t="shared" si="7"/>
        <v>-1.2143941940601101E-4</v>
      </c>
      <c r="O27" t="str">
        <f t="shared" si="14"/>
        <v>916421.377069513-276754.831429427j</v>
      </c>
      <c r="P27">
        <f t="shared" si="8"/>
        <v>119.62095211284543</v>
      </c>
      <c r="Q27">
        <f t="shared" si="9"/>
        <v>-16.804062647338601</v>
      </c>
      <c r="R27">
        <f t="shared" si="10"/>
        <v>105.64155042493117</v>
      </c>
      <c r="S27">
        <f t="shared" si="11"/>
        <v>163.1611475131179</v>
      </c>
    </row>
    <row r="28" spans="1:19" x14ac:dyDescent="0.25">
      <c r="A28" s="6"/>
      <c r="G28">
        <f t="shared" si="13"/>
        <v>-0.49999999999999956</v>
      </c>
      <c r="H28">
        <f t="shared" si="0"/>
        <v>3.1622776601683826</v>
      </c>
      <c r="I28" t="str">
        <f t="shared" si="3"/>
        <v>19.8691765315922j</v>
      </c>
      <c r="J28" t="str">
        <f>IMDIV(R_1,IMSUM('Phase Margin Example'!R_1,IMPRODUCT('Phase Margin Example'!R_f,IMSUM(1,IMPRODUCT(I28,C_s,R_1)))))</f>
        <v>0.199999919148233-0.000127162678395533j</v>
      </c>
      <c r="K28">
        <f t="shared" si="4"/>
        <v>-13.979401842394555</v>
      </c>
      <c r="L28">
        <f t="shared" si="5"/>
        <v>-3.6429433736164793E-2</v>
      </c>
      <c r="M28">
        <f t="shared" si="6"/>
        <v>0.19999991914823301</v>
      </c>
      <c r="N28">
        <f t="shared" si="7"/>
        <v>-1.27162678395533E-4</v>
      </c>
      <c r="O28" t="str">
        <f t="shared" si="14"/>
        <v>909090.909090909-287479.787288035j</v>
      </c>
      <c r="P28">
        <f t="shared" si="8"/>
        <v>119.58607314841774</v>
      </c>
      <c r="Q28">
        <f t="shared" si="9"/>
        <v>-17.548400613792332</v>
      </c>
      <c r="R28">
        <f t="shared" si="10"/>
        <v>105.60667130602319</v>
      </c>
      <c r="S28">
        <f t="shared" si="11"/>
        <v>162.4151699524715</v>
      </c>
    </row>
    <row r="29" spans="1:19" x14ac:dyDescent="0.25">
      <c r="D29" s="9"/>
      <c r="G29">
        <f t="shared" si="13"/>
        <v>-0.47999999999999954</v>
      </c>
      <c r="H29">
        <f t="shared" si="0"/>
        <v>3.3113112148259143</v>
      </c>
      <c r="I29" t="str">
        <f t="shared" si="3"/>
        <v>20.8055819724932j</v>
      </c>
      <c r="J29" t="str">
        <f>IMDIV(R_1,IMSUM('Phase Margin Example'!R_1,IMPRODUCT('Phase Margin Example'!R_f,IMSUM(1,IMPRODUCT(I29,C_s,R_1)))))</f>
        <v>0.199999911347804-0.00013315566560122j</v>
      </c>
      <c r="K29">
        <f t="shared" si="4"/>
        <v>-13.979402011778784</v>
      </c>
      <c r="L29">
        <f t="shared" si="5"/>
        <v>-3.8146299558537544E-2</v>
      </c>
      <c r="M29">
        <f t="shared" si="6"/>
        <v>0.19999991134780401</v>
      </c>
      <c r="N29">
        <f t="shared" si="7"/>
        <v>-1.3315566560122001E-4</v>
      </c>
      <c r="O29" t="str">
        <f t="shared" si="14"/>
        <v>901186.829121667-298411.005392399j</v>
      </c>
      <c r="P29">
        <f t="shared" si="8"/>
        <v>119.54814835868504</v>
      </c>
      <c r="Q29">
        <f t="shared" si="9"/>
        <v>-18.321314197383963</v>
      </c>
      <c r="R29">
        <f t="shared" si="10"/>
        <v>105.56874634690625</v>
      </c>
      <c r="S29">
        <f t="shared" si="11"/>
        <v>161.64053950305751</v>
      </c>
    </row>
    <row r="30" spans="1:19" x14ac:dyDescent="0.25">
      <c r="G30">
        <f t="shared" si="13"/>
        <v>-0.45999999999999952</v>
      </c>
      <c r="H30">
        <f t="shared" si="0"/>
        <v>3.4673685045253198</v>
      </c>
      <c r="I30" t="str">
        <f t="shared" si="3"/>
        <v>21.7861188422107j</v>
      </c>
      <c r="J30" t="str">
        <f>IMDIV(R_1,IMSUM('Phase Margin Example'!R_1,IMPRODUCT('Phase Margin Example'!R_f,IMSUM(1,IMPRODUCT(I30,C_s,R_1)))))</f>
        <v>0.199999902794805-0.000139431092822982j</v>
      </c>
      <c r="K30">
        <f t="shared" si="4"/>
        <v>-13.979402197504868</v>
      </c>
      <c r="L30">
        <f t="shared" si="5"/>
        <v>-3.9944078700842454E-2</v>
      </c>
      <c r="M30">
        <f t="shared" si="6"/>
        <v>0.19999990279480501</v>
      </c>
      <c r="N30">
        <f t="shared" si="7"/>
        <v>-1.3943109282298199E-4</v>
      </c>
      <c r="O30" t="str">
        <f t="shared" si="14"/>
        <v>892676.660006154-309523.893563019j</v>
      </c>
      <c r="P30">
        <f t="shared" si="8"/>
        <v>119.50694179824777</v>
      </c>
      <c r="Q30">
        <f t="shared" si="9"/>
        <v>-19.123316070287611</v>
      </c>
      <c r="R30">
        <f t="shared" si="10"/>
        <v>105.5275396007429</v>
      </c>
      <c r="S30">
        <f t="shared" si="11"/>
        <v>160.83673985101154</v>
      </c>
    </row>
    <row r="31" spans="1:19" x14ac:dyDescent="0.25">
      <c r="B31" s="10"/>
      <c r="G31">
        <f t="shared" si="13"/>
        <v>-0.4399999999999995</v>
      </c>
      <c r="H31">
        <f t="shared" si="0"/>
        <v>3.6307805477010175</v>
      </c>
      <c r="I31" t="str">
        <f t="shared" si="3"/>
        <v>22.8128669909085j</v>
      </c>
      <c r="J31" t="str">
        <f>IMDIV(R_1,IMSUM('Phase Margin Example'!R_1,IMPRODUCT('Phase Margin Example'!R_f,IMSUM(1,IMPRODUCT(I31,C_s,R_1)))))</f>
        <v>0.199999893416628-0.000146002270934701j</v>
      </c>
      <c r="K31">
        <f t="shared" si="4"/>
        <v>-13.979402401149502</v>
      </c>
      <c r="L31">
        <f t="shared" si="5"/>
        <v>-4.1826584479482086E-2</v>
      </c>
      <c r="M31">
        <f t="shared" si="6"/>
        <v>0.19999989341662799</v>
      </c>
      <c r="N31">
        <f t="shared" si="7"/>
        <v>-1.46002270934701E-4</v>
      </c>
      <c r="O31" t="str">
        <f t="shared" si="14"/>
        <v>883528.288056439-320789.73216189j</v>
      </c>
      <c r="P31">
        <f t="shared" si="8"/>
        <v>119.46220458936322</v>
      </c>
      <c r="Q31">
        <f t="shared" si="9"/>
        <v>-19.954848626980858</v>
      </c>
      <c r="R31">
        <f t="shared" si="10"/>
        <v>105.48280218821373</v>
      </c>
      <c r="S31">
        <f t="shared" si="11"/>
        <v>160.00332478853966</v>
      </c>
    </row>
    <row r="32" spans="1:19" x14ac:dyDescent="0.25">
      <c r="B32" s="10"/>
      <c r="G32">
        <f t="shared" si="13"/>
        <v>-0.41999999999999948</v>
      </c>
      <c r="H32">
        <f t="shared" si="0"/>
        <v>3.8018939632056159</v>
      </c>
      <c r="I32" t="str">
        <f t="shared" si="3"/>
        <v>23.8880042890683j</v>
      </c>
      <c r="J32" t="str">
        <f>IMDIV(R_1,IMSUM('Phase Margin Example'!R_1,IMPRODUCT('Phase Margin Example'!R_f,IMSUM(1,IMPRODUCT(I32,C_s,R_1)))))</f>
        <v>0.199999883133662-0.000152883138115523j</v>
      </c>
      <c r="K32">
        <f t="shared" si="4"/>
        <v>-13.979402624441406</v>
      </c>
      <c r="L32">
        <f t="shared" si="5"/>
        <v>-4.3797809925309128E-2</v>
      </c>
      <c r="M32">
        <f t="shared" si="6"/>
        <v>0.19999988313366199</v>
      </c>
      <c r="N32">
        <f t="shared" si="7"/>
        <v>-1.5288313811552301E-4</v>
      </c>
      <c r="O32" t="str">
        <f t="shared" si="14"/>
        <v>873710.420945081-332175.437498094j</v>
      </c>
      <c r="P32">
        <f t="shared" si="8"/>
        <v>119.41367515672795</v>
      </c>
      <c r="Q32">
        <f t="shared" si="9"/>
        <v>-20.816272773735669</v>
      </c>
      <c r="R32">
        <f t="shared" si="10"/>
        <v>105.43427253228654</v>
      </c>
      <c r="S32">
        <f t="shared" si="11"/>
        <v>159.13992941633902</v>
      </c>
    </row>
    <row r="33" spans="7:19" x14ac:dyDescent="0.25">
      <c r="G33">
        <f t="shared" si="13"/>
        <v>-0.39999999999999947</v>
      </c>
      <c r="H33">
        <f t="shared" si="0"/>
        <v>3.9810717055349776</v>
      </c>
      <c r="I33" t="str">
        <f t="shared" si="3"/>
        <v>25.0138112470457j</v>
      </c>
      <c r="J33" t="str">
        <f>IMDIV(R_1,IMSUM('Phase Margin Example'!R_1,IMPRODUCT('Phase Margin Example'!R_f,IMSUM(1,IMPRODUCT(I33,C_s,R_1)))))</f>
        <v>0.199999871858616-0.000160088289411352j</v>
      </c>
      <c r="K33">
        <f t="shared" si="4"/>
        <v>-13.979402869276063</v>
      </c>
      <c r="L33">
        <f t="shared" si="5"/>
        <v>-4.5861936253071618E-2</v>
      </c>
      <c r="M33">
        <f t="shared" si="6"/>
        <v>0.19999987185861601</v>
      </c>
      <c r="N33">
        <f t="shared" si="7"/>
        <v>-1.60088289411352E-4</v>
      </c>
      <c r="O33" t="str">
        <f t="shared" si="14"/>
        <v>863193.11139679-343643.367219446j</v>
      </c>
      <c r="P33">
        <f t="shared" si="8"/>
        <v>119.36107965856621</v>
      </c>
      <c r="Q33">
        <f t="shared" si="9"/>
        <v>-21.70785614630908</v>
      </c>
      <c r="R33">
        <f t="shared" si="10"/>
        <v>105.38167678929015</v>
      </c>
      <c r="S33">
        <f t="shared" si="11"/>
        <v>158.24628191743784</v>
      </c>
    </row>
    <row r="34" spans="7:19" x14ac:dyDescent="0.25">
      <c r="G34">
        <f t="shared" si="13"/>
        <v>-0.37999999999999945</v>
      </c>
      <c r="H34">
        <f t="shared" si="0"/>
        <v>4.1686938347033582</v>
      </c>
      <c r="I34" t="str">
        <f t="shared" si="3"/>
        <v>26.1926758523383j</v>
      </c>
      <c r="J34" t="str">
        <f>IMDIV(R_1,IMSUM('Phase Margin Example'!R_1,IMPRODUCT('Phase Margin Example'!R_f,IMSUM(1,IMPRODUCT(I34,C_s,R_1)))))</f>
        <v>0.199999859495775-0.000167633007689153j</v>
      </c>
      <c r="K34">
        <f t="shared" si="4"/>
        <v>-13.979403137731927</v>
      </c>
      <c r="L34">
        <f t="shared" si="5"/>
        <v>-4.8023341729972864E-2</v>
      </c>
      <c r="M34">
        <f t="shared" si="6"/>
        <v>0.19999985949577501</v>
      </c>
      <c r="N34">
        <f t="shared" si="7"/>
        <v>-1.6763300768915301E-4</v>
      </c>
      <c r="O34" t="str">
        <f t="shared" si="14"/>
        <v>851948.345852573-355151.181684135j</v>
      </c>
      <c r="P34">
        <f t="shared" si="8"/>
        <v>119.30413264025799</v>
      </c>
      <c r="Q34">
        <f t="shared" si="9"/>
        <v>-22.629760884775852</v>
      </c>
      <c r="R34">
        <f t="shared" si="10"/>
        <v>105.32472950252607</v>
      </c>
      <c r="S34">
        <f t="shared" si="11"/>
        <v>157.32221577349418</v>
      </c>
    </row>
    <row r="35" spans="7:19" x14ac:dyDescent="0.25">
      <c r="G35">
        <f t="shared" si="13"/>
        <v>-0.35999999999999943</v>
      </c>
      <c r="H35">
        <f t="shared" si="0"/>
        <v>4.3651583224016655</v>
      </c>
      <c r="I35" t="str">
        <f t="shared" si="3"/>
        <v>27.4270986348268j</v>
      </c>
      <c r="J35" t="str">
        <f>IMDIV(R_1,IMSUM('Phase Margin Example'!R_1,IMPRODUCT('Phase Margin Example'!R_f,IMSUM(1,IMPRODUCT(I35,C_s,R_1)))))</f>
        <v>0.199999845940191-0.000175533296049657j</v>
      </c>
      <c r="K35">
        <f t="shared" si="4"/>
        <v>-13.979403432087917</v>
      </c>
      <c r="L35">
        <f t="shared" si="5"/>
        <v>-5.0286610962150369E-2</v>
      </c>
      <c r="M35">
        <f t="shared" si="6"/>
        <v>0.19999984594019099</v>
      </c>
      <c r="N35">
        <f t="shared" si="7"/>
        <v>-1.75533296049657E-4</v>
      </c>
      <c r="O35" t="str">
        <f t="shared" si="14"/>
        <v>839950.694634753-366651.776509195j</v>
      </c>
      <c r="P35">
        <f t="shared" si="8"/>
        <v>119.24253793589835</v>
      </c>
      <c r="Q35">
        <f t="shared" si="9"/>
        <v>-23.582031133036242</v>
      </c>
      <c r="R35">
        <f t="shared" si="10"/>
        <v>105.26313450381043</v>
      </c>
      <c r="S35">
        <f t="shared" si="11"/>
        <v>156.36768225600161</v>
      </c>
    </row>
    <row r="36" spans="7:19" x14ac:dyDescent="0.25">
      <c r="G36">
        <f t="shared" si="13"/>
        <v>-0.33999999999999941</v>
      </c>
      <c r="H36">
        <f t="shared" si="0"/>
        <v>4.5708818961487561</v>
      </c>
      <c r="I36" t="str">
        <f t="shared" si="3"/>
        <v>28.719697970735j</v>
      </c>
      <c r="J36" t="str">
        <f>IMDIV(R_1,IMSUM('Phase Margin Example'!R_1,IMPRODUCT('Phase Margin Example'!R_f,IMSUM(1,IMPRODUCT(I36,C_s,R_1)))))</f>
        <v>0.199999831076791-0.000183805911767151j</v>
      </c>
      <c r="K36">
        <f t="shared" si="4"/>
        <v>-13.97940375484281</v>
      </c>
      <c r="L36">
        <f t="shared" si="5"/>
        <v>-5.2656544618770409E-2</v>
      </c>
      <c r="M36">
        <f t="shared" si="6"/>
        <v>0.19999983107679101</v>
      </c>
      <c r="N36">
        <f t="shared" si="7"/>
        <v>-1.83805911767151E-4</v>
      </c>
      <c r="O36" t="str">
        <f t="shared" si="14"/>
        <v>827178.01696314-378093.302262904j</v>
      </c>
      <c r="P36">
        <f t="shared" si="8"/>
        <v>119.17598984117294</v>
      </c>
      <c r="Q36">
        <f t="shared" si="9"/>
        <v>-24.564580471759552</v>
      </c>
      <c r="R36">
        <f t="shared" si="10"/>
        <v>105.19658608633013</v>
      </c>
      <c r="S36">
        <f t="shared" si="11"/>
        <v>155.38276298362169</v>
      </c>
    </row>
    <row r="37" spans="7:19" x14ac:dyDescent="0.25">
      <c r="G37">
        <f t="shared" si="13"/>
        <v>-0.3199999999999994</v>
      </c>
      <c r="H37">
        <f t="shared" si="0"/>
        <v>4.7863009232263893</v>
      </c>
      <c r="I37" t="str">
        <f t="shared" si="3"/>
        <v>30.0732156365561j</v>
      </c>
      <c r="J37" t="str">
        <f>IMDIV(R_1,IMSUM('Phase Margin Example'!R_1,IMPRODUCT('Phase Margin Example'!R_f,IMSUM(1,IMPRODUCT(I37,C_s,R_1)))))</f>
        <v>0.1999998147794-0.000192468401828229j</v>
      </c>
      <c r="K37">
        <f t="shared" si="4"/>
        <v>-13.979404108736464</v>
      </c>
      <c r="L37">
        <f t="shared" si="5"/>
        <v>-5.5138169614348094E-2</v>
      </c>
      <c r="M37">
        <f t="shared" si="6"/>
        <v>0.19999981477939999</v>
      </c>
      <c r="N37">
        <f t="shared" si="7"/>
        <v>-1.92468401828229E-4</v>
      </c>
      <c r="O37" t="str">
        <f t="shared" si="14"/>
        <v>813612.210505587-389419.287429115j</v>
      </c>
      <c r="P37">
        <f t="shared" si="8"/>
        <v>119.10417457755648</v>
      </c>
      <c r="Q37">
        <f t="shared" si="9"/>
        <v>-25.577179536019539</v>
      </c>
      <c r="R37">
        <f t="shared" si="10"/>
        <v>105.12477046882002</v>
      </c>
      <c r="S37">
        <f t="shared" si="11"/>
        <v>154.36768229436612</v>
      </c>
    </row>
    <row r="38" spans="7:19" x14ac:dyDescent="0.25">
      <c r="G38">
        <f t="shared" si="13"/>
        <v>-0.29999999999999938</v>
      </c>
      <c r="H38">
        <f t="shared" si="0"/>
        <v>5.0118723362727291</v>
      </c>
      <c r="I38" t="str">
        <f t="shared" si="3"/>
        <v>31.4905226247286j</v>
      </c>
      <c r="J38" t="str">
        <f>IMDIV(R_1,IMSUM('Phase Margin Example'!R_1,IMPRODUCT('Phase Margin Example'!R_f,IMSUM(1,IMPRODUCT(I38,C_s,R_1)))))</f>
        <v>0.199999796909669-0.000201539140144801j</v>
      </c>
      <c r="K38">
        <f t="shared" si="4"/>
        <v>-13.979404496773114</v>
      </c>
      <c r="L38">
        <f t="shared" si="5"/>
        <v>-5.7736749770887587E-2</v>
      </c>
      <c r="M38">
        <f t="shared" si="6"/>
        <v>0.19999979690966899</v>
      </c>
      <c r="N38">
        <f t="shared" si="7"/>
        <v>-2.0153914014480099E-4</v>
      </c>
      <c r="O38" t="str">
        <f t="shared" si="14"/>
        <v>799239.991086898-400568.880137128j</v>
      </c>
      <c r="P38">
        <f t="shared" si="8"/>
        <v>119.02677206291304</v>
      </c>
      <c r="Q38">
        <f t="shared" si="9"/>
        <v>-26.619444110792848</v>
      </c>
      <c r="R38">
        <f t="shared" si="10"/>
        <v>105.04736756613993</v>
      </c>
      <c r="S38">
        <f t="shared" si="11"/>
        <v>153.32281913943626</v>
      </c>
    </row>
    <row r="39" spans="7:19" x14ac:dyDescent="0.25">
      <c r="G39">
        <f t="shared" si="13"/>
        <v>-0.27999999999999936</v>
      </c>
      <c r="H39">
        <f t="shared" si="0"/>
        <v>5.2480746024977343</v>
      </c>
      <c r="I39" t="str">
        <f t="shared" si="3"/>
        <v>32.9746252333961j</v>
      </c>
      <c r="J39" t="str">
        <f>IMDIV(R_1,IMSUM('Phase Margin Example'!R_1,IMPRODUCT('Phase Margin Example'!R_f,IMSUM(1,IMPRODUCT(I39,C_s,R_1)))))</f>
        <v>0.199999777315902-0.000211037366520144j</v>
      </c>
      <c r="K39">
        <f t="shared" si="4"/>
        <v>-13.979404922246809</v>
      </c>
      <c r="L39">
        <f t="shared" si="5"/>
        <v>-6.0457796982438486E-2</v>
      </c>
      <c r="M39">
        <f t="shared" si="6"/>
        <v>0.19999977731590199</v>
      </c>
      <c r="N39">
        <f t="shared" si="7"/>
        <v>-2.1103736652014401E-4</v>
      </c>
      <c r="O39" t="str">
        <f t="shared" si="14"/>
        <v>784053.683887815-411477.222540642j</v>
      </c>
      <c r="P39">
        <f t="shared" si="8"/>
        <v>118.94345799697264</v>
      </c>
      <c r="Q39">
        <f t="shared" si="9"/>
        <v>-27.690824036480493</v>
      </c>
      <c r="R39">
        <f t="shared" si="10"/>
        <v>104.96405307472583</v>
      </c>
      <c r="S39">
        <f t="shared" si="11"/>
        <v>152.24871816653706</v>
      </c>
    </row>
    <row r="40" spans="7:19" x14ac:dyDescent="0.25">
      <c r="G40">
        <f t="shared" si="13"/>
        <v>-0.25999999999999934</v>
      </c>
      <c r="H40">
        <f t="shared" si="0"/>
        <v>5.4954087385762538</v>
      </c>
      <c r="I40" t="str">
        <f t="shared" si="3"/>
        <v>34.5286714431686j</v>
      </c>
      <c r="J40" t="str">
        <f>IMDIV(R_1,IMSUM('Phase Margin Example'!R_1,IMPRODUCT('Phase Margin Example'!R_f,IMSUM(1,IMPRODUCT(I40,C_s,R_1)))))</f>
        <v>0.199999755831768-0.000220983227450529j</v>
      </c>
      <c r="K40">
        <f t="shared" si="4"/>
        <v>-13.979405388769401</v>
      </c>
      <c r="L40">
        <f t="shared" si="5"/>
        <v>-6.3307082905744216E-2</v>
      </c>
      <c r="M40">
        <f t="shared" si="6"/>
        <v>0.19999975583176799</v>
      </c>
      <c r="N40">
        <f t="shared" si="7"/>
        <v>-2.2098322745052899E-4</v>
      </c>
      <c r="O40" t="str">
        <f t="shared" si="14"/>
        <v>768052.003167584-422075.968988813j</v>
      </c>
      <c r="P40">
        <f t="shared" si="8"/>
        <v>118.85390626182718</v>
      </c>
      <c r="Q40">
        <f t="shared" si="9"/>
        <v>-28.790593289891955</v>
      </c>
      <c r="R40">
        <f t="shared" si="10"/>
        <v>104.87450087305777</v>
      </c>
      <c r="S40">
        <f t="shared" si="11"/>
        <v>151.14609962720229</v>
      </c>
    </row>
    <row r="41" spans="7:19" x14ac:dyDescent="0.25">
      <c r="G41">
        <f t="shared" si="13"/>
        <v>-0.23999999999999935</v>
      </c>
      <c r="H41">
        <f t="shared" si="0"/>
        <v>5.7543993733715784</v>
      </c>
      <c r="I41" t="str">
        <f t="shared" si="3"/>
        <v>36.1559575944117j</v>
      </c>
      <c r="J41" t="str">
        <f>IMDIV(R_1,IMSUM('Phase Margin Example'!R_1,IMPRODUCT('Phase Margin Example'!R_f,IMSUM(1,IMPRODUCT(I41,C_s,R_1)))))</f>
        <v>0.199999732274889-0.000231397818848787j</v>
      </c>
      <c r="K41">
        <f t="shared" si="4"/>
        <v>-13.979405900301181</v>
      </c>
      <c r="L41">
        <f t="shared" si="5"/>
        <v>-6.6290651201758366E-2</v>
      </c>
      <c r="M41">
        <f t="shared" si="6"/>
        <v>0.19999973227488901</v>
      </c>
      <c r="N41">
        <f t="shared" si="7"/>
        <v>-2.31397818848787E-4</v>
      </c>
      <c r="O41" t="str">
        <f t="shared" si="14"/>
        <v>751240.79353371-432293.955156155j</v>
      </c>
      <c r="P41">
        <f t="shared" si="8"/>
        <v>118.75779162758541</v>
      </c>
      <c r="Q41">
        <f t="shared" si="9"/>
        <v>-29.917841630566709</v>
      </c>
      <c r="R41">
        <f t="shared" si="10"/>
        <v>104.77838572728422</v>
      </c>
      <c r="S41">
        <f t="shared" si="11"/>
        <v>150.01586771823153</v>
      </c>
    </row>
    <row r="42" spans="7:19" x14ac:dyDescent="0.25">
      <c r="G42">
        <f t="shared" si="13"/>
        <v>-0.21999999999999936</v>
      </c>
      <c r="H42">
        <f t="shared" si="0"/>
        <v>6.0255958607435867</v>
      </c>
      <c r="I42" t="str">
        <f t="shared" si="3"/>
        <v>37.8599353792262j</v>
      </c>
      <c r="J42" t="str">
        <f>IMDIV(R_1,IMSUM('Phase Margin Example'!R_1,IMPRODUCT('Phase Margin Example'!R_f,IMSUM(1,IMPRODUCT(I42,C_s,R_1)))))</f>
        <v>0.199999706445291-0.000242303230780254j</v>
      </c>
      <c r="K42">
        <f t="shared" si="4"/>
        <v>-13.979406461184565</v>
      </c>
      <c r="L42">
        <f t="shared" si="5"/>
        <v>-6.9414830353979037E-2</v>
      </c>
      <c r="M42">
        <f t="shared" si="6"/>
        <v>0.199999706445291</v>
      </c>
      <c r="N42">
        <f t="shared" si="7"/>
        <v>-2.4230323078025401E-4</v>
      </c>
      <c r="O42" t="str">
        <f t="shared" si="14"/>
        <v>733633.702413807-442058.020056662j</v>
      </c>
      <c r="P42">
        <f t="shared" si="8"/>
        <v>118.65479274183417</v>
      </c>
      <c r="Q42">
        <f t="shared" si="9"/>
        <v>-31.071468214576662</v>
      </c>
      <c r="R42">
        <f t="shared" si="10"/>
        <v>104.6753862806496</v>
      </c>
      <c r="S42">
        <f t="shared" si="11"/>
        <v>148.85911695506937</v>
      </c>
    </row>
    <row r="43" spans="7:19" x14ac:dyDescent="0.25">
      <c r="G43">
        <f t="shared" si="13"/>
        <v>-0.19999999999999937</v>
      </c>
      <c r="H43">
        <f t="shared" si="0"/>
        <v>6.3095734448019414</v>
      </c>
      <c r="I43" t="str">
        <f t="shared" si="3"/>
        <v>39.64421916295j</v>
      </c>
      <c r="J43" t="str">
        <f>IMDIV(R_1,IMSUM('Phase Margin Example'!R_1,IMPRODUCT('Phase Margin Example'!R_f,IMSUM(1,IMPRODUCT(I43,C_s,R_1)))))</f>
        <v>0.199999678123708-0.000253722594305783j</v>
      </c>
      <c r="K43">
        <f t="shared" si="4"/>
        <v>-13.979407076180868</v>
      </c>
      <c r="L43">
        <f t="shared" si="5"/>
        <v>-7.2686247090772566E-2</v>
      </c>
      <c r="M43">
        <f t="shared" si="6"/>
        <v>0.199999678123708</v>
      </c>
      <c r="N43">
        <f t="shared" si="7"/>
        <v>-2.5372259430578298E-4</v>
      </c>
      <c r="O43" t="str">
        <f t="shared" si="14"/>
        <v>715252.751049199-451293.976434155j</v>
      </c>
      <c r="P43">
        <f t="shared" si="8"/>
        <v>118.54459536890707</v>
      </c>
      <c r="Q43">
        <f t="shared" si="9"/>
        <v>-32.25017757479344</v>
      </c>
      <c r="R43">
        <f t="shared" si="10"/>
        <v>104.56518829272621</v>
      </c>
      <c r="S43">
        <f t="shared" si="11"/>
        <v>147.6771361781158</v>
      </c>
    </row>
    <row r="44" spans="7:19" x14ac:dyDescent="0.25">
      <c r="G44">
        <f t="shared" si="13"/>
        <v>-0.17999999999999938</v>
      </c>
      <c r="H44">
        <f t="shared" si="0"/>
        <v>6.60693448007597</v>
      </c>
      <c r="I44" t="str">
        <f t="shared" si="3"/>
        <v>41.5125936507115j</v>
      </c>
      <c r="J44" t="str">
        <f>IMDIV(R_1,IMSUM('Phase Margin Example'!R_1,IMPRODUCT('Phase Margin Example'!R_f,IMSUM(1,IMPRODUCT(I44,C_s,R_1)))))</f>
        <v>0.199999647069718-0.00026568013053091j</v>
      </c>
      <c r="K44">
        <f t="shared" si="4"/>
        <v>-13.979407750510845</v>
      </c>
      <c r="L44">
        <f t="shared" si="5"/>
        <v>-7.6111840440128573E-2</v>
      </c>
      <c r="M44">
        <f t="shared" si="6"/>
        <v>0.19999964706971801</v>
      </c>
      <c r="N44">
        <f t="shared" si="7"/>
        <v>-2.6568013053090999E-4</v>
      </c>
      <c r="O44" t="str">
        <f t="shared" si="14"/>
        <v>696128.7704296-459927.717592421j</v>
      </c>
      <c r="P44">
        <f t="shared" si="8"/>
        <v>118.42689583165492</v>
      </c>
      <c r="Q44">
        <f t="shared" si="9"/>
        <v>-33.452478345094278</v>
      </c>
      <c r="R44">
        <f t="shared" si="10"/>
        <v>104.44748808114407</v>
      </c>
      <c r="S44">
        <f t="shared" si="11"/>
        <v>146.4714098144656</v>
      </c>
    </row>
    <row r="45" spans="7:19" x14ac:dyDescent="0.25">
      <c r="G45">
        <f t="shared" si="13"/>
        <v>-0.15999999999999939</v>
      </c>
      <c r="H45">
        <f t="shared" si="0"/>
        <v>6.9183097091893755</v>
      </c>
      <c r="I45" t="str">
        <f t="shared" si="3"/>
        <v>43.4690219152966j</v>
      </c>
      <c r="J45" t="str">
        <f>IMDIV(R_1,IMSUM('Phase Margin Example'!R_1,IMPRODUCT('Phase Margin Example'!R_f,IMSUM(1,IMPRODUCT(I45,C_s,R_1)))))</f>
        <v>0.199999613019707-0.000278201201964943j</v>
      </c>
      <c r="K45">
        <f t="shared" si="4"/>
        <v>-13.979408489898805</v>
      </c>
      <c r="L45">
        <f t="shared" si="5"/>
        <v>-7.969887644663104E-2</v>
      </c>
      <c r="M45">
        <f t="shared" si="6"/>
        <v>0.19999961301970701</v>
      </c>
      <c r="N45">
        <f t="shared" si="7"/>
        <v>-2.7820120196494298E-4</v>
      </c>
      <c r="O45" t="str">
        <f t="shared" si="14"/>
        <v>676301.669492736-467886.440639258j</v>
      </c>
      <c r="P45">
        <f t="shared" si="8"/>
        <v>118.30140459509607</v>
      </c>
      <c r="Q45">
        <f t="shared" si="9"/>
        <v>-34.676685063915208</v>
      </c>
      <c r="R45">
        <f t="shared" si="10"/>
        <v>104.32199610519727</v>
      </c>
      <c r="S45">
        <f t="shared" si="11"/>
        <v>145.24361605963816</v>
      </c>
    </row>
    <row r="46" spans="7:19" x14ac:dyDescent="0.25">
      <c r="G46">
        <f t="shared" si="13"/>
        <v>-0.1399999999999994</v>
      </c>
      <c r="H46">
        <f t="shared" si="0"/>
        <v>7.2443596007499096</v>
      </c>
      <c r="I46" t="str">
        <f t="shared" si="3"/>
        <v>45.5176538033572j</v>
      </c>
      <c r="J46" t="str">
        <f>IMDIV(R_1,IMSUM('Phase Margin Example'!R_1,IMPRODUCT('Phase Margin Example'!R_f,IMSUM(1,IMPRODUCT(I46,C_s,R_1)))))</f>
        <v>0.199999575684626-0.000291312366298597j</v>
      </c>
      <c r="K46">
        <f t="shared" si="4"/>
        <v>-13.979409300621423</v>
      </c>
      <c r="L46">
        <f t="shared" si="5"/>
        <v>-8.345496358184043E-2</v>
      </c>
      <c r="M46">
        <f t="shared" si="6"/>
        <v>0.19999957568462601</v>
      </c>
      <c r="N46">
        <f t="shared" si="7"/>
        <v>-2.9131236629859698E-4</v>
      </c>
      <c r="O46" t="str">
        <f t="shared" si="14"/>
        <v>655820.505912394-475099.957837512j</v>
      </c>
      <c r="P46">
        <f t="shared" si="8"/>
        <v>118.16784991877979</v>
      </c>
      <c r="Q46">
        <f t="shared" si="9"/>
        <v>-35.92092332877521</v>
      </c>
      <c r="R46">
        <f t="shared" si="10"/>
        <v>104.18844061815837</v>
      </c>
      <c r="S46">
        <f t="shared" si="11"/>
        <v>143.99562170764295</v>
      </c>
    </row>
    <row r="47" spans="7:19" x14ac:dyDescent="0.25">
      <c r="G47">
        <f t="shared" si="13"/>
        <v>-0.1199999999999994</v>
      </c>
      <c r="H47">
        <f t="shared" si="0"/>
        <v>7.585775750291849</v>
      </c>
      <c r="I47" t="str">
        <f t="shared" si="3"/>
        <v>47.6628347377929j</v>
      </c>
      <c r="J47" t="str">
        <f>IMDIV(R_1,IMSUM('Phase Margin Example'!R_1,IMPRODUCT('Phase Margin Example'!R_f,IMSUM(1,IMPRODUCT(I47,C_s,R_1)))))</f>
        <v>0.199999534747539-0.000305041432713839j</v>
      </c>
      <c r="K47">
        <f t="shared" si="4"/>
        <v>-13.979410189560957</v>
      </c>
      <c r="L47">
        <f t="shared" si="5"/>
        <v>-8.7388068880723396E-2</v>
      </c>
      <c r="M47">
        <f t="shared" si="6"/>
        <v>0.19999953474753901</v>
      </c>
      <c r="N47">
        <f t="shared" si="7"/>
        <v>-3.0504143271383903E-4</v>
      </c>
      <c r="O47" t="str">
        <f t="shared" si="14"/>
        <v>634743.335052317-481502.059869923j</v>
      </c>
      <c r="P47">
        <f t="shared" si="8"/>
        <v>118.0259814938003</v>
      </c>
      <c r="Q47">
        <f t="shared" si="9"/>
        <v>-37.183138488143648</v>
      </c>
      <c r="R47">
        <f t="shared" si="10"/>
        <v>104.04657130423935</v>
      </c>
      <c r="S47">
        <f t="shared" si="11"/>
        <v>142.72947344297563</v>
      </c>
    </row>
    <row r="48" spans="7:19" x14ac:dyDescent="0.25">
      <c r="G48">
        <f t="shared" si="13"/>
        <v>-9.9999999999999395E-2</v>
      </c>
      <c r="H48">
        <f t="shared" si="0"/>
        <v>7.9432823472428264</v>
      </c>
      <c r="I48" t="str">
        <f t="shared" si="3"/>
        <v>49.9091149349751j</v>
      </c>
      <c r="J48" t="str">
        <f>IMDIV(R_1,IMSUM('Phase Margin Example'!R_1,IMPRODUCT('Phase Margin Example'!R_f,IMSUM(1,IMPRODUCT(I48,C_s,R_1)))))</f>
        <v>0.199999489860936-0.000319417520844986j</v>
      </c>
      <c r="K48">
        <f t="shared" si="4"/>
        <v>-13.979411164263523</v>
      </c>
      <c r="L48">
        <f t="shared" si="5"/>
        <v>-9.1506534838328116E-2</v>
      </c>
      <c r="M48">
        <f t="shared" si="6"/>
        <v>0.19999948986093599</v>
      </c>
      <c r="N48">
        <f t="shared" si="7"/>
        <v>-3.1941752084498602E-4</v>
      </c>
      <c r="O48" t="str">
        <f t="shared" si="14"/>
        <v>613136.820153142-487031.887996706j</v>
      </c>
      <c r="P48">
        <f t="shared" si="8"/>
        <v>117.8755739720566</v>
      </c>
      <c r="Q48">
        <f t="shared" si="9"/>
        <v>-38.461107952210021</v>
      </c>
      <c r="R48">
        <f t="shared" si="10"/>
        <v>103.89616280779308</v>
      </c>
      <c r="S48">
        <f t="shared" si="11"/>
        <v>141.44738551295166</v>
      </c>
    </row>
    <row r="49" spans="7:19" x14ac:dyDescent="0.25">
      <c r="G49">
        <f t="shared" si="13"/>
        <v>-7.9999999999999391E-2</v>
      </c>
      <c r="H49">
        <f t="shared" si="0"/>
        <v>8.3176377110267214</v>
      </c>
      <c r="I49" t="str">
        <f t="shared" si="3"/>
        <v>52.2612590563659j</v>
      </c>
      <c r="J49" t="str">
        <f>IMDIV(R_1,IMSUM('Phase Margin Example'!R_1,IMPRODUCT('Phase Margin Example'!R_f,IMSUM(1,IMPRODUCT(I49,C_s,R_1)))))</f>
        <v>0.199999440643777-0.000334471122515607j</v>
      </c>
      <c r="K49">
        <f t="shared" si="4"/>
        <v>-13.979412233003409</v>
      </c>
      <c r="L49">
        <f t="shared" si="5"/>
        <v>-9.581909710249753E-2</v>
      </c>
      <c r="M49">
        <f t="shared" si="6"/>
        <v>0.199999440643777</v>
      </c>
      <c r="N49">
        <f t="shared" si="7"/>
        <v>-3.3447112251560701E-4</v>
      </c>
      <c r="O49" t="str">
        <f t="shared" si="14"/>
        <v>591075.596314943-491635.266997677j</v>
      </c>
      <c r="P49">
        <f t="shared" si="8"/>
        <v>117.71643029041761</v>
      </c>
      <c r="Q49">
        <f t="shared" si="9"/>
        <v>-39.752457083430862</v>
      </c>
      <c r="R49">
        <f t="shared" si="10"/>
        <v>103.73701805741419</v>
      </c>
      <c r="S49">
        <f t="shared" si="11"/>
        <v>140.15172381946664</v>
      </c>
    </row>
    <row r="50" spans="7:19" x14ac:dyDescent="0.25">
      <c r="G50">
        <f t="shared" si="13"/>
        <v>-5.9999999999999387E-2</v>
      </c>
      <c r="H50">
        <f t="shared" si="0"/>
        <v>8.7096358995608192</v>
      </c>
      <c r="I50" t="str">
        <f t="shared" si="3"/>
        <v>54.7242563150044j</v>
      </c>
      <c r="J50" t="str">
        <f>IMDIV(R_1,IMSUM('Phase Margin Example'!R_1,IMPRODUCT('Phase Margin Example'!R_f,IMSUM(1,IMPRODUCT(I50,C_s,R_1)))))</f>
        <v>0.199999386678263-0.000350234166381598j</v>
      </c>
      <c r="K50">
        <f t="shared" si="4"/>
        <v>-13.979413404853091</v>
      </c>
      <c r="L50">
        <f t="shared" si="5"/>
        <v>-0.10033490300008159</v>
      </c>
      <c r="M50">
        <f t="shared" si="6"/>
        <v>0.199999386678263</v>
      </c>
      <c r="N50">
        <f t="shared" si="7"/>
        <v>-3.50234166381598E-4</v>
      </c>
      <c r="O50" t="str">
        <f t="shared" si="14"/>
        <v>568641.391883667-495265.948072622j</v>
      </c>
      <c r="P50">
        <f t="shared" si="8"/>
        <v>117.54838469164488</v>
      </c>
      <c r="Q50">
        <f t="shared" si="9"/>
        <v>-41.054678496630203</v>
      </c>
      <c r="R50">
        <f t="shared" si="10"/>
        <v>103.56897128679179</v>
      </c>
      <c r="S50">
        <f t="shared" si="11"/>
        <v>138.84498660036971</v>
      </c>
    </row>
    <row r="51" spans="7:19" x14ac:dyDescent="0.25">
      <c r="G51">
        <f t="shared" si="13"/>
        <v>-3.9999999999999383E-2</v>
      </c>
      <c r="H51">
        <f t="shared" si="0"/>
        <v>9.1201083935591107</v>
      </c>
      <c r="I51" t="str">
        <f t="shared" si="3"/>
        <v>57.3033310582958j</v>
      </c>
      <c r="J51" t="str">
        <f>IMDIV(R_1,IMSUM('Phase Margin Example'!R_1,IMPRODUCT('Phase Margin Example'!R_f,IMSUM(1,IMPRODUCT(I51,C_s,R_1)))))</f>
        <v>0.199999327506287-0.000366740085616936j</v>
      </c>
      <c r="K51">
        <f t="shared" si="4"/>
        <v>-13.979414689760358</v>
      </c>
      <c r="L51">
        <f t="shared" si="5"/>
        <v>-0.10506353093590344</v>
      </c>
      <c r="M51">
        <f t="shared" si="6"/>
        <v>0.19999932750628699</v>
      </c>
      <c r="N51">
        <f t="shared" si="7"/>
        <v>-3.6674008561693601E-4</v>
      </c>
      <c r="O51" t="str">
        <f t="shared" si="14"/>
        <v>545921.922780483-497886.711017821j</v>
      </c>
      <c r="P51">
        <f t="shared" si="8"/>
        <v>117.37130534773851</v>
      </c>
      <c r="Q51">
        <f t="shared" si="9"/>
        <v>-42.365154463831608</v>
      </c>
      <c r="R51">
        <f t="shared" si="10"/>
        <v>103.39189065797815</v>
      </c>
      <c r="S51">
        <f t="shared" si="11"/>
        <v>137.52978200523251</v>
      </c>
    </row>
    <row r="52" spans="7:19" x14ac:dyDescent="0.25">
      <c r="G52">
        <f t="shared" si="13"/>
        <v>-1.9999999999999383E-2</v>
      </c>
      <c r="H52">
        <f t="shared" si="0"/>
        <v>9.5499258602143726</v>
      </c>
      <c r="I52" t="str">
        <f t="shared" si="3"/>
        <v>60.0039538495533j</v>
      </c>
      <c r="J52" t="str">
        <f>IMDIV(R_1,IMSUM('Phase Margin Example'!R_1,IMPRODUCT('Phase Margin Example'!R_f,IMSUM(1,IMPRODUCT(I52,C_s,R_1)))))</f>
        <v>0.199999262625546-0.000384023888784893j</v>
      </c>
      <c r="K52">
        <f t="shared" si="4"/>
        <v>-13.979416098632708</v>
      </c>
      <c r="L52">
        <f t="shared" si="5"/>
        <v>-0.11001501070553941</v>
      </c>
      <c r="M52">
        <f t="shared" si="6"/>
        <v>0.19999926262554599</v>
      </c>
      <c r="N52">
        <f t="shared" si="7"/>
        <v>-3.8402388878489301E-4</v>
      </c>
      <c r="O52" t="str">
        <f t="shared" si="14"/>
        <v>523009.587297562-499470.278287303j</v>
      </c>
      <c r="P52">
        <f t="shared" si="8"/>
        <v>117.18509649999712</v>
      </c>
      <c r="Q52">
        <f t="shared" si="9"/>
        <v>-43.681181988918347</v>
      </c>
      <c r="R52">
        <f t="shared" si="10"/>
        <v>103.2056804013644</v>
      </c>
      <c r="S52">
        <f t="shared" si="11"/>
        <v>136.20880300037612</v>
      </c>
    </row>
    <row r="53" spans="7:19" x14ac:dyDescent="0.25">
      <c r="G53">
        <f t="shared" si="13"/>
        <v>6.1756155744774333E-16</v>
      </c>
      <c r="H53">
        <f t="shared" si="0"/>
        <v>10.000000000000014</v>
      </c>
      <c r="I53" t="str">
        <f t="shared" si="3"/>
        <v>62.831853071796j</v>
      </c>
      <c r="J53" t="str">
        <f>IMDIV(R_1,IMSUM('Phase Margin Example'!R_1,IMPRODUCT('Phase Margin Example'!R_f,IMSUM(1,IMPRODUCT(I53,C_s,R_1)))))</f>
        <v>0.199999191485276-0.000402122234044189j</v>
      </c>
      <c r="K53">
        <f t="shared" si="4"/>
        <v>-13.979417643430022</v>
      </c>
      <c r="L53">
        <f t="shared" si="5"/>
        <v>-0.11519984476492266</v>
      </c>
      <c r="M53">
        <f t="shared" si="6"/>
        <v>0.19999919148527601</v>
      </c>
      <c r="N53">
        <f t="shared" si="7"/>
        <v>-4.0212223404418901E-4</v>
      </c>
      <c r="O53" t="str">
        <f t="shared" si="14"/>
        <v>500000-500000j</v>
      </c>
      <c r="P53">
        <f t="shared" si="8"/>
        <v>116.98970004336019</v>
      </c>
      <c r="Q53">
        <f t="shared" si="9"/>
        <v>-45</v>
      </c>
      <c r="R53">
        <f t="shared" si="10"/>
        <v>103.01028239993016</v>
      </c>
      <c r="S53">
        <f t="shared" si="11"/>
        <v>134.88480015523507</v>
      </c>
    </row>
    <row r="54" spans="7:19" x14ac:dyDescent="0.25">
      <c r="G54">
        <f t="shared" si="13"/>
        <v>2.0000000000000618E-2</v>
      </c>
      <c r="H54">
        <f t="shared" si="0"/>
        <v>10.47128548050901</v>
      </c>
      <c r="I54" t="str">
        <f t="shared" si="3"/>
        <v>65.7930270784172j</v>
      </c>
      <c r="J54" t="str">
        <f>IMDIV(R_1,IMSUM('Phase Margin Example'!R_1,IMPRODUCT('Phase Margin Example'!R_f,IMSUM(1,IMPRODUCT(I54,C_s,R_1)))))</f>
        <v>0.19999911348158-0.000421073506846498j</v>
      </c>
      <c r="K54">
        <f t="shared" si="4"/>
        <v>-13.979419337265927</v>
      </c>
      <c r="L54">
        <f t="shared" si="5"/>
        <v>-0.12062903050178889</v>
      </c>
      <c r="M54">
        <f t="shared" si="6"/>
        <v>0.19999911348158</v>
      </c>
      <c r="N54">
        <f t="shared" si="7"/>
        <v>-4.2107350684649798E-4</v>
      </c>
      <c r="O54" t="str">
        <f t="shared" si="14"/>
        <v>476990.412702438-499470.278287303j</v>
      </c>
      <c r="P54">
        <f t="shared" si="8"/>
        <v>116.78509649999712</v>
      </c>
      <c r="Q54">
        <f t="shared" si="9"/>
        <v>-46.31881801108166</v>
      </c>
      <c r="R54">
        <f t="shared" si="10"/>
        <v>102.8056771627312</v>
      </c>
      <c r="S54">
        <f t="shared" si="11"/>
        <v>133.56055295841657</v>
      </c>
    </row>
    <row r="55" spans="7:19" x14ac:dyDescent="0.25">
      <c r="G55">
        <f t="shared" si="13"/>
        <v>4.0000000000000618E-2</v>
      </c>
      <c r="H55">
        <f t="shared" si="0"/>
        <v>10.964781961431866</v>
      </c>
      <c r="I55" t="str">
        <f t="shared" si="3"/>
        <v>68.8937569164965j</v>
      </c>
      <c r="J55" t="str">
        <f>IMDIV(R_1,IMSUM('Phase Margin Example'!R_1,IMPRODUCT('Phase Margin Example'!R_f,IMSUM(1,IMPRODUCT(I55,C_s,R_1)))))</f>
        <v>0.199999027952297-0.000440917901288995j</v>
      </c>
      <c r="K55">
        <f t="shared" si="4"/>
        <v>-13.979421194519354</v>
      </c>
      <c r="L55">
        <f t="shared" si="5"/>
        <v>-0.12631408355610749</v>
      </c>
      <c r="M55">
        <f t="shared" si="6"/>
        <v>0.19999902795229699</v>
      </c>
      <c r="N55">
        <f t="shared" si="7"/>
        <v>-4.4091790128899502E-4</v>
      </c>
      <c r="O55" t="str">
        <f t="shared" si="14"/>
        <v>454078.077219514-497886.711017821j</v>
      </c>
      <c r="P55">
        <f t="shared" si="8"/>
        <v>116.5713053477385</v>
      </c>
      <c r="Q55">
        <f t="shared" si="9"/>
        <v>-47.634845536168555</v>
      </c>
      <c r="R55">
        <f t="shared" si="10"/>
        <v>102.59188415321915</v>
      </c>
      <c r="S55">
        <f t="shared" si="11"/>
        <v>132.23884038027535</v>
      </c>
    </row>
    <row r="56" spans="7:19" x14ac:dyDescent="0.25">
      <c r="G56">
        <f t="shared" si="13"/>
        <v>6.0000000000000622E-2</v>
      </c>
      <c r="H56">
        <f t="shared" si="0"/>
        <v>11.481536214968845</v>
      </c>
      <c r="I56" t="str">
        <f t="shared" si="3"/>
        <v>72.1406196497426j</v>
      </c>
      <c r="J56" t="str">
        <f>IMDIV(R_1,IMSUM('Phase Margin Example'!R_1,IMPRODUCT('Phase Margin Example'!R_f,IMSUM(1,IMPRODUCT(I56,C_s,R_1)))))</f>
        <v>0.199998934171388-0.000461697505293184j</v>
      </c>
      <c r="K56">
        <f t="shared" si="4"/>
        <v>-13.979423230956289</v>
      </c>
      <c r="L56">
        <f t="shared" si="5"/>
        <v>-0.13226706223882392</v>
      </c>
      <c r="M56">
        <f t="shared" si="6"/>
        <v>0.199998934171388</v>
      </c>
      <c r="N56">
        <f t="shared" si="7"/>
        <v>-4.6169750529318398E-4</v>
      </c>
      <c r="O56" t="str">
        <f t="shared" si="14"/>
        <v>431358.608116329-495265.948072621j</v>
      </c>
      <c r="P56">
        <f t="shared" si="8"/>
        <v>116.34838469164485</v>
      </c>
      <c r="Q56">
        <f t="shared" si="9"/>
        <v>-48.945321503370039</v>
      </c>
      <c r="R56">
        <f t="shared" si="10"/>
        <v>102.36896146068857</v>
      </c>
      <c r="S56">
        <f t="shared" si="11"/>
        <v>130.92241143439114</v>
      </c>
    </row>
    <row r="57" spans="7:19" x14ac:dyDescent="0.25">
      <c r="G57">
        <f t="shared" si="13"/>
        <v>8.0000000000000626E-2</v>
      </c>
      <c r="H57">
        <f t="shared" si="0"/>
        <v>12.022644346174147</v>
      </c>
      <c r="I57" t="str">
        <f t="shared" si="3"/>
        <v>75.5405023093271j</v>
      </c>
      <c r="J57" t="str">
        <f>IMDIV(R_1,IMSUM('Phase Margin Example'!R_1,IMPRODUCT('Phase Margin Example'!R_f,IMSUM(1,IMPRODUCT(I57,C_s,R_1)))))</f>
        <v>0.199998831342767-0.000483456389789151j</v>
      </c>
      <c r="K57">
        <f t="shared" si="4"/>
        <v>-13.979425463863898</v>
      </c>
      <c r="L57">
        <f t="shared" si="5"/>
        <v>-0.13850059310056995</v>
      </c>
      <c r="M57">
        <f t="shared" si="6"/>
        <v>0.199998831342767</v>
      </c>
      <c r="N57">
        <f t="shared" si="7"/>
        <v>-4.8345638978915099E-4</v>
      </c>
      <c r="O57" t="str">
        <f t="shared" si="14"/>
        <v>408924.403685058-491635.266997678j</v>
      </c>
      <c r="P57">
        <f t="shared" si="8"/>
        <v>116.11643029041764</v>
      </c>
      <c r="Q57">
        <f t="shared" si="9"/>
        <v>-50.247542916569081</v>
      </c>
      <c r="R57">
        <f t="shared" si="10"/>
        <v>102.13700482655375</v>
      </c>
      <c r="S57">
        <f t="shared" si="11"/>
        <v>129.61395649033034</v>
      </c>
    </row>
    <row r="58" spans="7:19" x14ac:dyDescent="0.25">
      <c r="G58">
        <f t="shared" si="13"/>
        <v>0.10000000000000063</v>
      </c>
      <c r="H58">
        <f t="shared" si="0"/>
        <v>12.589254117941691</v>
      </c>
      <c r="I58" t="str">
        <f t="shared" si="3"/>
        <v>79.1006165022013j</v>
      </c>
      <c r="J58" t="str">
        <f>IMDIV(R_1,IMSUM('Phase Margin Example'!R_1,IMPRODUCT('Phase Margin Example'!R_f,IMSUM(1,IMPRODUCT(I58,C_s,R_1)))))</f>
        <v>0.199998718593548-0.000506240702092796j</v>
      </c>
      <c r="K58">
        <f t="shared" si="4"/>
        <v>-13.979427912197069</v>
      </c>
      <c r="L58">
        <f t="shared" si="5"/>
        <v>-0.14502789770442609</v>
      </c>
      <c r="M58">
        <f t="shared" si="6"/>
        <v>0.19999871859354801</v>
      </c>
      <c r="N58">
        <f t="shared" si="7"/>
        <v>-5.0624070209279604E-4</v>
      </c>
      <c r="O58" t="str">
        <f t="shared" si="14"/>
        <v>386863.179846856-487031.887996705j</v>
      </c>
      <c r="P58">
        <f t="shared" si="8"/>
        <v>115.87557397205659</v>
      </c>
      <c r="Q58">
        <f t="shared" si="9"/>
        <v>-51.538892047790121</v>
      </c>
      <c r="R58">
        <f t="shared" si="10"/>
        <v>101.89614605985952</v>
      </c>
      <c r="S58">
        <f t="shared" si="11"/>
        <v>128.31608005450545</v>
      </c>
    </row>
    <row r="59" spans="7:19" x14ac:dyDescent="0.25">
      <c r="G59">
        <f t="shared" si="13"/>
        <v>0.12000000000000063</v>
      </c>
      <c r="H59">
        <f t="shared" si="0"/>
        <v>13.18256738556409</v>
      </c>
      <c r="I59" t="str">
        <f t="shared" si="3"/>
        <v>82.8285137078811j</v>
      </c>
      <c r="J59" t="str">
        <f>IMDIV(R_1,IMSUM('Phase Margin Example'!R_1,IMPRODUCT('Phase Margin Example'!R_f,IMSUM(1,IMPRODUCT(I59,C_s,R_1)))))</f>
        <v>0.199998594966633-0.000530098763672025j</v>
      </c>
      <c r="K59">
        <f t="shared" si="4"/>
        <v>-13.979430596739459</v>
      </c>
      <c r="L59">
        <f t="shared" si="5"/>
        <v>-0.15186282065931644</v>
      </c>
      <c r="M59">
        <f t="shared" si="6"/>
        <v>0.199998594966633</v>
      </c>
      <c r="N59">
        <f t="shared" si="7"/>
        <v>-5.3009876367202504E-4</v>
      </c>
      <c r="O59" t="str">
        <f t="shared" si="14"/>
        <v>365256.664947682-481502.059869923j</v>
      </c>
      <c r="P59">
        <f t="shared" si="8"/>
        <v>115.62598149380028</v>
      </c>
      <c r="Q59">
        <f t="shared" si="9"/>
        <v>-52.816861511856409</v>
      </c>
      <c r="R59">
        <f t="shared" si="10"/>
        <v>101.64655089706082</v>
      </c>
      <c r="S59">
        <f t="shared" si="11"/>
        <v>127.03127566748427</v>
      </c>
    </row>
    <row r="60" spans="7:19" x14ac:dyDescent="0.25">
      <c r="G60">
        <f t="shared" si="13"/>
        <v>0.14000000000000062</v>
      </c>
      <c r="H60">
        <f t="shared" si="0"/>
        <v>13.803842646028869</v>
      </c>
      <c r="I60" t="str">
        <f t="shared" si="3"/>
        <v>86.7321012961476j</v>
      </c>
      <c r="J60" t="str">
        <f>IMDIV(R_1,IMSUM('Phase Margin Example'!R_1,IMPRODUCT('Phase Margin Example'!R_f,IMSUM(1,IMPRODUCT(I60,C_s,R_1)))))</f>
        <v>0.199998459412593-0.000555081172507086j</v>
      </c>
      <c r="K60">
        <f t="shared" si="4"/>
        <v>-13.9794335402797</v>
      </c>
      <c r="L60">
        <f t="shared" si="5"/>
        <v>-0.15901985897329199</v>
      </c>
      <c r="M60">
        <f t="shared" si="6"/>
        <v>0.199998459412593</v>
      </c>
      <c r="N60">
        <f t="shared" si="7"/>
        <v>-5.55081172507086E-4</v>
      </c>
      <c r="O60" t="str">
        <f t="shared" si="14"/>
        <v>344179.494087603-475099.957837511j</v>
      </c>
      <c r="P60">
        <f t="shared" si="8"/>
        <v>115.36784991877977</v>
      </c>
      <c r="Q60">
        <f t="shared" si="9"/>
        <v>-54.079076671224982</v>
      </c>
      <c r="R60">
        <f t="shared" si="10"/>
        <v>101.38841637850007</v>
      </c>
      <c r="S60">
        <f t="shared" si="11"/>
        <v>125.76190346980172</v>
      </c>
    </row>
    <row r="61" spans="7:19" x14ac:dyDescent="0.25">
      <c r="G61">
        <f t="shared" si="13"/>
        <v>0.16000000000000061</v>
      </c>
      <c r="H61">
        <f t="shared" si="0"/>
        <v>14.454397707459297</v>
      </c>
      <c r="I61" t="str">
        <f t="shared" si="3"/>
        <v>90.8196592996385j</v>
      </c>
      <c r="J61" t="str">
        <f>IMDIV(R_1,IMSUM('Phase Margin Example'!R_1,IMPRODUCT('Phase Margin Example'!R_f,IMSUM(1,IMPRODUCT(I61,C_s,R_1)))))</f>
        <v>0.199998310780754-0.000581240910259563j</v>
      </c>
      <c r="K61">
        <f t="shared" si="4"/>
        <v>-13.979436767805142</v>
      </c>
      <c r="L61">
        <f t="shared" si="5"/>
        <v>-0.16651419278872912</v>
      </c>
      <c r="M61">
        <f t="shared" si="6"/>
        <v>0.199998310780754</v>
      </c>
      <c r="N61">
        <f t="shared" si="7"/>
        <v>-5.8124091025956305E-4</v>
      </c>
      <c r="O61" t="str">
        <f t="shared" si="14"/>
        <v>323698.330507262-467886.440639258j</v>
      </c>
      <c r="P61">
        <f t="shared" si="8"/>
        <v>115.10140459509607</v>
      </c>
      <c r="Q61">
        <f t="shared" si="9"/>
        <v>-55.323314936084941</v>
      </c>
      <c r="R61">
        <f t="shared" si="10"/>
        <v>101.12196782729093</v>
      </c>
      <c r="S61">
        <f t="shared" si="11"/>
        <v>124.51017087112632</v>
      </c>
    </row>
    <row r="62" spans="7:19" x14ac:dyDescent="0.25">
      <c r="G62">
        <f t="shared" si="13"/>
        <v>0.1800000000000006</v>
      </c>
      <c r="H62">
        <f t="shared" si="0"/>
        <v>15.135612484362104</v>
      </c>
      <c r="I62" t="str">
        <f t="shared" si="3"/>
        <v>95.0998579769079j</v>
      </c>
      <c r="J62" t="str">
        <f>IMDIV(R_1,IMSUM('Phase Margin Example'!R_1,IMPRODUCT('Phase Margin Example'!R_f,IMSUM(1,IMPRODUCT(I62,C_s,R_1)))))</f>
        <v>0.199998147809437-0.00060863345447431j</v>
      </c>
      <c r="K62">
        <f t="shared" si="4"/>
        <v>-13.97944030671367</v>
      </c>
      <c r="L62">
        <f t="shared" si="5"/>
        <v>-0.17436171756431726</v>
      </c>
      <c r="M62">
        <f t="shared" si="6"/>
        <v>0.199998147809437</v>
      </c>
      <c r="N62">
        <f t="shared" si="7"/>
        <v>-6.0863345447430999E-4</v>
      </c>
      <c r="O62" t="str">
        <f t="shared" si="14"/>
        <v>303871.2295704-459927.71759242j</v>
      </c>
      <c r="P62">
        <f t="shared" si="8"/>
        <v>114.82689583165489</v>
      </c>
      <c r="Q62">
        <f t="shared" si="9"/>
        <v>-56.547521654905722</v>
      </c>
      <c r="R62">
        <f t="shared" si="10"/>
        <v>100.84745552494122</v>
      </c>
      <c r="S62">
        <f t="shared" si="11"/>
        <v>123.27811662752995</v>
      </c>
    </row>
    <row r="63" spans="7:19" x14ac:dyDescent="0.25">
      <c r="G63">
        <f t="shared" si="13"/>
        <v>0.20000000000000059</v>
      </c>
      <c r="H63">
        <f t="shared" si="0"/>
        <v>15.848931924611158</v>
      </c>
      <c r="I63" t="str">
        <f t="shared" si="3"/>
        <v>99.5817762032063j</v>
      </c>
      <c r="J63" t="str">
        <f>IMDIV(R_1,IMSUM('Phase Margin Example'!R_1,IMPRODUCT('Phase Margin Example'!R_f,IMSUM(1,IMPRODUCT(I63,C_s,R_1)))))</f>
        <v>0.199997969115248-0.000637316896048971j</v>
      </c>
      <c r="K63">
        <f t="shared" si="4"/>
        <v>-13.979444187046333</v>
      </c>
      <c r="L63">
        <f t="shared" si="5"/>
        <v>-0.18257907777180951</v>
      </c>
      <c r="M63">
        <f t="shared" si="6"/>
        <v>0.199997969115248</v>
      </c>
      <c r="N63">
        <f t="shared" si="7"/>
        <v>-6.3731689604897099E-4</v>
      </c>
      <c r="O63" t="str">
        <f t="shared" si="14"/>
        <v>284747.2489508-451293.976434154j</v>
      </c>
      <c r="P63">
        <f t="shared" si="8"/>
        <v>114.54459536890704</v>
      </c>
      <c r="Q63">
        <f t="shared" si="9"/>
        <v>-57.749822425206617</v>
      </c>
      <c r="R63">
        <f t="shared" si="10"/>
        <v>100.5651511818607</v>
      </c>
      <c r="S63">
        <f t="shared" si="11"/>
        <v>122.06759849702158</v>
      </c>
    </row>
    <row r="64" spans="7:19" x14ac:dyDescent="0.25">
      <c r="G64">
        <f t="shared" si="13"/>
        <v>0.22000000000000058</v>
      </c>
      <c r="H64">
        <f t="shared" si="0"/>
        <v>16.595869074375628</v>
      </c>
      <c r="I64" t="str">
        <f t="shared" si="3"/>
        <v>104.274920727993j</v>
      </c>
      <c r="J64" t="str">
        <f>IMDIV(R_1,IMSUM('Phase Margin Example'!R_1,IMPRODUCT('Phase Margin Example'!R_f,IMSUM(1,IMPRODUCT(I64,C_s,R_1)))))</f>
        <v>0.199997773181332-0.000667352062216272j</v>
      </c>
      <c r="K64">
        <f t="shared" si="4"/>
        <v>-13.97944844174255</v>
      </c>
      <c r="L64">
        <f t="shared" si="5"/>
        <v>-0.19118370217861833</v>
      </c>
      <c r="M64">
        <f t="shared" si="6"/>
        <v>0.19999777318133199</v>
      </c>
      <c r="N64">
        <f t="shared" si="7"/>
        <v>-6.6735206221627203E-4</v>
      </c>
      <c r="O64" t="str">
        <f t="shared" si="14"/>
        <v>266366.297586193-442058.020056662j</v>
      </c>
      <c r="P64">
        <f t="shared" si="8"/>
        <v>114.25479274183418</v>
      </c>
      <c r="Q64">
        <f t="shared" si="9"/>
        <v>-58.928531785423274</v>
      </c>
      <c r="R64">
        <f t="shared" si="10"/>
        <v>100.27534430009163</v>
      </c>
      <c r="S64">
        <f t="shared" si="11"/>
        <v>120.88028451239811</v>
      </c>
    </row>
    <row r="65" spans="7:19" x14ac:dyDescent="0.25">
      <c r="G65">
        <f t="shared" si="13"/>
        <v>0.24000000000000057</v>
      </c>
      <c r="H65">
        <f t="shared" si="0"/>
        <v>17.378008287493778</v>
      </c>
      <c r="I65" t="str">
        <f t="shared" si="3"/>
        <v>109.189246340026j</v>
      </c>
      <c r="J65" t="str">
        <f>IMDIV(R_1,IMSUM('Phase Margin Example'!R_1,IMPRODUCT('Phase Margin Example'!R_f,IMSUM(1,IMPRODUCT(I65,C_s,R_1)))))</f>
        <v>0.199997558344506-0.000698802645295426j</v>
      </c>
      <c r="K65">
        <f t="shared" si="4"/>
        <v>-13.979453106919413</v>
      </c>
      <c r="L65">
        <f t="shared" si="5"/>
        <v>-0.20019384079065008</v>
      </c>
      <c r="M65">
        <f t="shared" si="6"/>
        <v>0.199997558344506</v>
      </c>
      <c r="N65">
        <f t="shared" si="7"/>
        <v>-6.9880264529542603E-4</v>
      </c>
      <c r="O65" t="str">
        <f t="shared" si="14"/>
        <v>248759.206466288-432293.955156154j</v>
      </c>
      <c r="P65">
        <f t="shared" si="8"/>
        <v>113.95779162758538</v>
      </c>
      <c r="Q65">
        <f t="shared" si="9"/>
        <v>-60.082158369433451</v>
      </c>
      <c r="R65">
        <f t="shared" si="10"/>
        <v>99.978338520665972</v>
      </c>
      <c r="S65">
        <f t="shared" si="11"/>
        <v>119.7176477897759</v>
      </c>
    </row>
    <row r="66" spans="7:19" x14ac:dyDescent="0.25">
      <c r="G66">
        <f t="shared" si="13"/>
        <v>0.26000000000000056</v>
      </c>
      <c r="H66">
        <f t="shared" si="0"/>
        <v>18.197008586099862</v>
      </c>
      <c r="I66" t="str">
        <f t="shared" si="3"/>
        <v>114.335176982803j</v>
      </c>
      <c r="J66" t="str">
        <f>IMDIV(R_1,IMSUM('Phase Margin Example'!R_1,IMPRODUCT('Phase Margin Example'!R_f,IMSUM(1,IMPRODUCT(I66,C_s,R_1)))))</f>
        <v>0.199997322781142-0.000731735337480597j</v>
      </c>
      <c r="K66">
        <f t="shared" si="4"/>
        <v>-13.979458222178325</v>
      </c>
      <c r="L66">
        <f t="shared" si="5"/>
        <v>-0.20962860353326995</v>
      </c>
      <c r="M66">
        <f t="shared" si="6"/>
        <v>0.19999732278114199</v>
      </c>
      <c r="N66">
        <f t="shared" si="7"/>
        <v>-7.3173533748059703E-4</v>
      </c>
      <c r="O66" t="str">
        <f t="shared" si="14"/>
        <v>231947.996832417-422075.968988814j</v>
      </c>
      <c r="P66">
        <f t="shared" si="8"/>
        <v>113.65390626182719</v>
      </c>
      <c r="Q66">
        <f t="shared" si="9"/>
        <v>-61.209406710107977</v>
      </c>
      <c r="R66">
        <f t="shared" si="10"/>
        <v>99.674448039648865</v>
      </c>
      <c r="S66">
        <f t="shared" si="11"/>
        <v>118.58096468635875</v>
      </c>
    </row>
    <row r="67" spans="7:19" x14ac:dyDescent="0.25">
      <c r="G67">
        <f t="shared" si="13"/>
        <v>0.28000000000000058</v>
      </c>
      <c r="H67">
        <f t="shared" ref="H67:H130" si="15">$B$3*10^G67</f>
        <v>19.054607179632498</v>
      </c>
      <c r="I67" t="str">
        <f t="shared" si="3"/>
        <v>119.723627865146j</v>
      </c>
      <c r="J67" t="str">
        <f>IMDIV(R_1,IMSUM('Phase Margin Example'!R_1,IMPRODUCT('Phase Margin Example'!R_f,IMSUM(1,IMPRODUCT(I67,C_s,R_1)))))</f>
        <v>0.199997064491687-0.00076621997194638j</v>
      </c>
      <c r="K67">
        <f t="shared" si="4"/>
        <v>-13.979463830941278</v>
      </c>
      <c r="L67">
        <f t="shared" si="5"/>
        <v>-0.21950800075187291</v>
      </c>
      <c r="M67">
        <f t="shared" si="6"/>
        <v>0.199997064491687</v>
      </c>
      <c r="N67">
        <f t="shared" si="7"/>
        <v>-7.6621997194637999E-4</v>
      </c>
      <c r="O67" t="str">
        <f t="shared" ref="O67:O130" si="16">IMDIV(Aolv,IMSUM(1,IMDIV(I67,wc)))</f>
        <v>215946.316112183-411477.222540641j</v>
      </c>
      <c r="P67">
        <f t="shared" si="8"/>
        <v>113.3434579969726</v>
      </c>
      <c r="Q67">
        <f t="shared" si="9"/>
        <v>-62.309175963519642</v>
      </c>
      <c r="R67">
        <f t="shared" si="10"/>
        <v>99.363994166031318</v>
      </c>
      <c r="S67">
        <f t="shared" si="11"/>
        <v>117.47131603572848</v>
      </c>
    </row>
    <row r="68" spans="7:19" x14ac:dyDescent="0.25">
      <c r="G68">
        <f t="shared" ref="G68:G131" si="17">G67+(1/ppd)</f>
        <v>0.3000000000000006</v>
      </c>
      <c r="H68">
        <f t="shared" si="15"/>
        <v>19.952623149688826</v>
      </c>
      <c r="I68" t="str">
        <f t="shared" ref="I68:I131" si="18">COMPLEX(0,H68*2*PI(),"j")</f>
        <v>125.366028613816j</v>
      </c>
      <c r="J68" t="str">
        <f>IMDIV(R_1,IMSUM('Phase Margin Example'!R_1,IMPRODUCT('Phase Margin Example'!R_f,IMSUM(1,IMPRODUCT(I68,C_s,R_1)))))</f>
        <v>0.199996781283698-0.000802329670562664j</v>
      </c>
      <c r="K68">
        <f t="shared" ref="K68:K131" si="19">20*LOG(IMABS(J68))</f>
        <v>-13.979469980819239</v>
      </c>
      <c r="L68">
        <f t="shared" ref="L68:L131" si="20">DEGREES(IMARGUMENT(J68))</f>
        <v>-0.2298529856172766</v>
      </c>
      <c r="M68">
        <f t="shared" ref="M68:M131" si="21">IMREAL(J68)</f>
        <v>0.19999678128369799</v>
      </c>
      <c r="N68">
        <f t="shared" ref="N68:N131" si="22">IMAGINARY(J68)</f>
        <v>-8.0232967056266405E-4</v>
      </c>
      <c r="O68" t="str">
        <f t="shared" si="16"/>
        <v>200760.008913102-400568.880137128j</v>
      </c>
      <c r="P68">
        <f t="shared" ref="P68:P131" si="23">20*LOG(IMABS(O68))</f>
        <v>113.02677206291305</v>
      </c>
      <c r="Q68">
        <f t="shared" ref="Q68:Q131" si="24">DEGREES(IMARGUMENT(O68))</f>
        <v>-63.380555889207095</v>
      </c>
      <c r="R68">
        <f t="shared" ref="R68:R131" si="25">P68+K68</f>
        <v>99.047302082093807</v>
      </c>
      <c r="S68">
        <f t="shared" ref="S68:S131" si="26">(Q68+L68)-(-180)</f>
        <v>116.38959112517563</v>
      </c>
    </row>
    <row r="69" spans="7:19" x14ac:dyDescent="0.25">
      <c r="G69">
        <f t="shared" si="17"/>
        <v>0.32000000000000062</v>
      </c>
      <c r="H69">
        <f t="shared" si="15"/>
        <v>20.892961308540428</v>
      </c>
      <c r="I69" t="str">
        <f t="shared" si="18"/>
        <v>131.274347517293j</v>
      </c>
      <c r="J69" t="str">
        <f>IMDIV(R_1,IMSUM('Phase Margin Example'!R_1,IMPRODUCT('Phase Margin Example'!R_f,IMSUM(1,IMPRODUCT(I69,C_s,R_1)))))</f>
        <v>0.199996470753235-0.000840140998524555j</v>
      </c>
      <c r="K69">
        <f t="shared" si="19"/>
        <v>-13.979476724016324</v>
      </c>
      <c r="L69">
        <f t="shared" si="20"/>
        <v>-0.24068549852520416</v>
      </c>
      <c r="M69">
        <f t="shared" si="21"/>
        <v>0.19999647075323501</v>
      </c>
      <c r="N69">
        <f t="shared" si="22"/>
        <v>-8.4014099852455499E-4</v>
      </c>
      <c r="O69" t="str">
        <f t="shared" si="16"/>
        <v>186387.789494412-389419.287429114j</v>
      </c>
      <c r="P69">
        <f t="shared" si="23"/>
        <v>112.70417457755644</v>
      </c>
      <c r="Q69">
        <f t="shared" si="24"/>
        <v>-64.422820463980571</v>
      </c>
      <c r="R69">
        <f t="shared" si="25"/>
        <v>98.724697853540121</v>
      </c>
      <c r="S69">
        <f t="shared" si="26"/>
        <v>115.33649403749422</v>
      </c>
    </row>
    <row r="70" spans="7:19" x14ac:dyDescent="0.25">
      <c r="G70">
        <f t="shared" si="17"/>
        <v>0.34000000000000064</v>
      </c>
      <c r="H70">
        <f t="shared" si="15"/>
        <v>21.877616239495559</v>
      </c>
      <c r="I70" t="str">
        <f t="shared" si="18"/>
        <v>137.461116912112j</v>
      </c>
      <c r="J70" t="str">
        <f>IMDIV(R_1,IMSUM('Phase Margin Example'!R_1,IMPRODUCT('Phase Margin Example'!R_f,IMSUM(1,IMPRODUCT(I70,C_s,R_1)))))</f>
        <v>0.199996130264462-0.000879734126216099j</v>
      </c>
      <c r="K70">
        <f t="shared" si="19"/>
        <v>-13.979484117772845</v>
      </c>
      <c r="L70">
        <f t="shared" si="20"/>
        <v>-0.25202851358309747</v>
      </c>
      <c r="M70">
        <f t="shared" si="21"/>
        <v>0.199996130264462</v>
      </c>
      <c r="N70">
        <f t="shared" si="22"/>
        <v>-8.7973412621609895E-4</v>
      </c>
      <c r="O70" t="str">
        <f t="shared" si="16"/>
        <v>172821.983036859-378093.302262903j</v>
      </c>
      <c r="P70">
        <f t="shared" si="23"/>
        <v>112.37598984117291</v>
      </c>
      <c r="Q70">
        <f t="shared" si="24"/>
        <v>-65.435419528240587</v>
      </c>
      <c r="R70">
        <f t="shared" si="25"/>
        <v>98.396505723400068</v>
      </c>
      <c r="S70">
        <f t="shared" si="26"/>
        <v>114.31255195817631</v>
      </c>
    </row>
    <row r="71" spans="7:19" x14ac:dyDescent="0.25">
      <c r="G71">
        <f t="shared" si="17"/>
        <v>0.36000000000000065</v>
      </c>
      <c r="H71">
        <f t="shared" si="15"/>
        <v>22.908676527677766</v>
      </c>
      <c r="I71" t="str">
        <f t="shared" si="18"/>
        <v>143.939459765635j</v>
      </c>
      <c r="J71" t="str">
        <f>IMDIV(R_1,IMSUM('Phase Margin Example'!R_1,IMPRODUCT('Phase Margin Example'!R_f,IMSUM(1,IMPRODUCT(I71,C_s,R_1)))))</f>
        <v>0.199995756927278-0.000921192998641012j</v>
      </c>
      <c r="K71">
        <f t="shared" si="19"/>
        <v>-13.979492224851224</v>
      </c>
      <c r="L71">
        <f t="shared" si="20"/>
        <v>-0.26390608728194503</v>
      </c>
      <c r="M71">
        <f t="shared" si="21"/>
        <v>0.199995756927278</v>
      </c>
      <c r="N71">
        <f t="shared" si="22"/>
        <v>-9.2119299864101205E-4</v>
      </c>
      <c r="O71" t="str">
        <f t="shared" si="16"/>
        <v>160049.305365246-366651.776509194j</v>
      </c>
      <c r="P71">
        <f t="shared" si="23"/>
        <v>112.04253793589834</v>
      </c>
      <c r="Q71">
        <f t="shared" si="24"/>
        <v>-66.417968866963804</v>
      </c>
      <c r="R71">
        <f t="shared" si="25"/>
        <v>98.06304571104711</v>
      </c>
      <c r="S71">
        <f t="shared" si="26"/>
        <v>113.31812504575426</v>
      </c>
    </row>
    <row r="72" spans="7:19" x14ac:dyDescent="0.25">
      <c r="G72">
        <f t="shared" si="17"/>
        <v>0.38000000000000067</v>
      </c>
      <c r="H72">
        <f t="shared" si="15"/>
        <v>23.988329190194943</v>
      </c>
      <c r="I72" t="str">
        <f t="shared" si="18"/>
        <v>150.72311751162j</v>
      </c>
      <c r="J72" t="str">
        <f>IMDIV(R_1,IMSUM('Phase Margin Example'!R_1,IMPRODUCT('Phase Margin Example'!R_f,IMSUM(1,IMPRODUCT(I72,C_s,R_1)))))</f>
        <v>0.199995347572798-0.000964605512767749j</v>
      </c>
      <c r="K72">
        <f t="shared" si="19"/>
        <v>-13.979501114068507</v>
      </c>
      <c r="L72">
        <f t="shared" si="20"/>
        <v>-0.27634340945516661</v>
      </c>
      <c r="M72">
        <f t="shared" si="21"/>
        <v>0.19999534757279799</v>
      </c>
      <c r="N72">
        <f t="shared" si="22"/>
        <v>-9.6460551276774905E-4</v>
      </c>
      <c r="O72" t="str">
        <f t="shared" si="16"/>
        <v>148051.654147426-355151.181684135j</v>
      </c>
      <c r="P72">
        <f t="shared" si="23"/>
        <v>111.704132640258</v>
      </c>
      <c r="Q72">
        <f t="shared" si="24"/>
        <v>-67.370239115224251</v>
      </c>
      <c r="R72">
        <f t="shared" si="25"/>
        <v>97.724631526189484</v>
      </c>
      <c r="S72">
        <f t="shared" si="26"/>
        <v>112.35341747532058</v>
      </c>
    </row>
    <row r="73" spans="7:19" x14ac:dyDescent="0.25">
      <c r="G73">
        <f t="shared" si="17"/>
        <v>0.40000000000000069</v>
      </c>
      <c r="H73">
        <f t="shared" si="15"/>
        <v>25.118864315095841</v>
      </c>
      <c r="I73" t="str">
        <f t="shared" si="18"/>
        <v>157.826479197648j</v>
      </c>
      <c r="J73" t="str">
        <f>IMDIV(R_1,IMSUM('Phase Margin Example'!R_1,IMPRODUCT('Phase Margin Example'!R_f,IMSUM(1,IMPRODUCT(I73,C_s,R_1)))))</f>
        <v>0.199994898726463-0.00101006370315161j</v>
      </c>
      <c r="K73">
        <f t="shared" si="19"/>
        <v>-13.979510860880493</v>
      </c>
      <c r="L73">
        <f t="shared" si="20"/>
        <v>-0.28936685663140504</v>
      </c>
      <c r="M73">
        <f t="shared" si="21"/>
        <v>0.19999489872646301</v>
      </c>
      <c r="N73">
        <f t="shared" si="22"/>
        <v>-1.0100637031516099E-3</v>
      </c>
      <c r="O73" t="str">
        <f t="shared" si="16"/>
        <v>136806.888603209-343643.367219445j</v>
      </c>
      <c r="P73">
        <f t="shared" si="23"/>
        <v>111.36107965856618</v>
      </c>
      <c r="Q73">
        <f t="shared" si="24"/>
        <v>-68.29214385369103</v>
      </c>
      <c r="R73">
        <f t="shared" si="25"/>
        <v>97.381568797685688</v>
      </c>
      <c r="S73">
        <f t="shared" si="26"/>
        <v>111.41848928967757</v>
      </c>
    </row>
    <row r="74" spans="7:19" x14ac:dyDescent="0.25">
      <c r="G74">
        <f t="shared" si="17"/>
        <v>0.42000000000000071</v>
      </c>
      <c r="H74">
        <f t="shared" si="15"/>
        <v>26.302679918953867</v>
      </c>
      <c r="I74" t="str">
        <f t="shared" si="18"/>
        <v>165.264612006218j</v>
      </c>
      <c r="J74" t="str">
        <f>IMDIV(R_1,IMSUM('Phase Margin Example'!R_1,IMPRODUCT('Phase Margin Example'!R_f,IMSUM(1,IMPRODUCT(I74,C_s,R_1)))))</f>
        <v>0.199994406578558-0.00105766393621182j</v>
      </c>
      <c r="K74">
        <f t="shared" si="19"/>
        <v>-13.979521548022213</v>
      </c>
      <c r="L74">
        <f t="shared" si="20"/>
        <v>-0.30300404789285124</v>
      </c>
      <c r="M74">
        <f t="shared" si="21"/>
        <v>0.19999440657855799</v>
      </c>
      <c r="N74">
        <f t="shared" si="22"/>
        <v>-1.05766393621182E-3</v>
      </c>
      <c r="O74" t="str">
        <f t="shared" si="16"/>
        <v>126289.579054919-332175.437498094j</v>
      </c>
      <c r="P74">
        <f t="shared" si="23"/>
        <v>111.01367515672794</v>
      </c>
      <c r="Q74">
        <f t="shared" si="24"/>
        <v>-69.183727226264295</v>
      </c>
      <c r="R74">
        <f t="shared" si="25"/>
        <v>97.034153608705736</v>
      </c>
      <c r="S74">
        <f t="shared" si="26"/>
        <v>110.51326872584285</v>
      </c>
    </row>
    <row r="75" spans="7:19" x14ac:dyDescent="0.25">
      <c r="G75">
        <f t="shared" si="17"/>
        <v>0.44000000000000072</v>
      </c>
      <c r="H75">
        <f t="shared" si="15"/>
        <v>27.542287033381715</v>
      </c>
      <c r="I75" t="str">
        <f t="shared" si="18"/>
        <v>173.053293214267j</v>
      </c>
      <c r="J75" t="str">
        <f>IMDIV(R_1,IMSUM('Phase Margin Example'!R_1,IMPRODUCT('Phase Margin Example'!R_f,IMSUM(1,IMPRODUCT(I75,C_s,R_1)))))</f>
        <v>0.199993866951896-0.00110750711355781j</v>
      </c>
      <c r="K75">
        <f t="shared" si="19"/>
        <v>-13.979533266209812</v>
      </c>
      <c r="L75">
        <f t="shared" si="20"/>
        <v>-0.31728390335588669</v>
      </c>
      <c r="M75">
        <f t="shared" si="21"/>
        <v>0.199993866951896</v>
      </c>
      <c r="N75">
        <f t="shared" si="22"/>
        <v>-1.1075071135578101E-3</v>
      </c>
      <c r="O75" t="str">
        <f t="shared" si="16"/>
        <v>116471.71194356-320789.732161889j</v>
      </c>
      <c r="P75">
        <f t="shared" si="23"/>
        <v>110.6622045893632</v>
      </c>
      <c r="Q75">
        <f t="shared" si="24"/>
        <v>-70.045151373019237</v>
      </c>
      <c r="R75">
        <f t="shared" si="25"/>
        <v>96.682671323153386</v>
      </c>
      <c r="S75">
        <f t="shared" si="26"/>
        <v>109.63756472362488</v>
      </c>
    </row>
    <row r="76" spans="7:19" x14ac:dyDescent="0.25">
      <c r="G76">
        <f t="shared" si="17"/>
        <v>0.46000000000000074</v>
      </c>
      <c r="H76">
        <f t="shared" si="15"/>
        <v>28.840315031266112</v>
      </c>
      <c r="I76" t="str">
        <f t="shared" si="18"/>
        <v>181.209043658882j</v>
      </c>
      <c r="J76" t="str">
        <f>IMDIV(R_1,IMSUM('Phase Margin Example'!R_1,IMPRODUCT('Phase Margin Example'!R_f,IMSUM(1,IMPRODUCT(I76,C_s,R_1)))))</f>
        <v>0.199993275266373-0.00115969888477526j</v>
      </c>
      <c r="K76">
        <f t="shared" si="19"/>
        <v>-13.979546114910717</v>
      </c>
      <c r="L76">
        <f t="shared" si="20"/>
        <v>-0.33223670539612499</v>
      </c>
      <c r="M76">
        <f t="shared" si="21"/>
        <v>0.19999327526637301</v>
      </c>
      <c r="N76">
        <f t="shared" si="22"/>
        <v>-1.15969888477526E-3</v>
      </c>
      <c r="O76" t="str">
        <f t="shared" si="16"/>
        <v>107323.339993846-309523.893563019j</v>
      </c>
      <c r="P76">
        <f t="shared" si="23"/>
        <v>110.30694179824776</v>
      </c>
      <c r="Q76">
        <f t="shared" si="24"/>
        <v>-70.876683929712343</v>
      </c>
      <c r="R76">
        <f t="shared" si="25"/>
        <v>96.327395683337045</v>
      </c>
      <c r="S76">
        <f t="shared" si="26"/>
        <v>108.79107936489153</v>
      </c>
    </row>
    <row r="77" spans="7:19" x14ac:dyDescent="0.25">
      <c r="G77">
        <f t="shared" si="17"/>
        <v>0.48000000000000076</v>
      </c>
      <c r="H77">
        <f t="shared" si="15"/>
        <v>30.199517204020218</v>
      </c>
      <c r="I77" t="str">
        <f t="shared" si="18"/>
        <v>189.749162780217j</v>
      </c>
      <c r="J77" t="str">
        <f>IMDIV(R_1,IMSUM('Phase Margin Example'!R_1,IMPRODUCT('Phase Margin Example'!R_f,IMSUM(1,IMPRODUCT(I77,C_s,R_1)))))</f>
        <v>0.199992626500122-0.00121434987009968j</v>
      </c>
      <c r="K77">
        <f t="shared" si="19"/>
        <v>-13.979560203187415</v>
      </c>
      <c r="L77">
        <f t="shared" si="20"/>
        <v>-0.34789416274544555</v>
      </c>
      <c r="M77">
        <f t="shared" si="21"/>
        <v>0.19999262650012201</v>
      </c>
      <c r="N77">
        <f t="shared" si="22"/>
        <v>-1.21434987009968E-3</v>
      </c>
      <c r="O77" t="str">
        <f t="shared" si="16"/>
        <v>98813.1708783321-298411.005392398j</v>
      </c>
      <c r="P77">
        <f t="shared" si="23"/>
        <v>109.94814835868503</v>
      </c>
      <c r="Q77">
        <f t="shared" si="24"/>
        <v>-71.678685802616144</v>
      </c>
      <c r="R77">
        <f t="shared" si="25"/>
        <v>95.968588155497613</v>
      </c>
      <c r="S77">
        <f t="shared" si="26"/>
        <v>107.97342003463841</v>
      </c>
    </row>
    <row r="78" spans="7:19" x14ac:dyDescent="0.25">
      <c r="G78">
        <f t="shared" si="17"/>
        <v>0.50000000000000078</v>
      </c>
      <c r="H78">
        <f t="shared" si="15"/>
        <v>31.622776601683853</v>
      </c>
      <c r="I78" t="str">
        <f t="shared" si="18"/>
        <v>198.691765315922j</v>
      </c>
      <c r="J78" t="str">
        <f>IMDIV(R_1,IMSUM('Phase Margin Example'!R_1,IMPRODUCT('Phase Margin Example'!R_f,IMSUM(1,IMPRODUCT(I78,C_s,R_1)))))</f>
        <v>0.199991915146912-0.00127157589342246j</v>
      </c>
      <c r="K78">
        <f t="shared" si="19"/>
        <v>-13.979575650623078</v>
      </c>
      <c r="L78">
        <f t="shared" si="20"/>
        <v>-0.36428947759436187</v>
      </c>
      <c r="M78">
        <f t="shared" si="21"/>
        <v>0.199991915146912</v>
      </c>
      <c r="N78">
        <f t="shared" si="22"/>
        <v>-1.27157589342246E-3</v>
      </c>
      <c r="O78" t="str">
        <f t="shared" si="16"/>
        <v>90909.0909090909-287479.787288034j</v>
      </c>
      <c r="P78">
        <f t="shared" si="23"/>
        <v>109.58607314841773</v>
      </c>
      <c r="Q78">
        <f t="shared" si="24"/>
        <v>-72.451599386207675</v>
      </c>
      <c r="R78">
        <f t="shared" si="25"/>
        <v>95.606497497794649</v>
      </c>
      <c r="S78">
        <f t="shared" si="26"/>
        <v>107.18411113619796</v>
      </c>
    </row>
    <row r="79" spans="7:19" x14ac:dyDescent="0.25">
      <c r="G79">
        <f t="shared" si="17"/>
        <v>0.52000000000000079</v>
      </c>
      <c r="H79">
        <f t="shared" si="15"/>
        <v>33.113112148259177</v>
      </c>
      <c r="I79" t="str">
        <f t="shared" si="18"/>
        <v>208.055819724932j</v>
      </c>
      <c r="J79" t="str">
        <f>IMDIV(R_1,IMSUM('Phase Margin Example'!R_1,IMPRODUCT('Phase Margin Example'!R_f,IMSUM(1,IMPRODUCT(I79,C_s,R_1)))))</f>
        <v>0.199991135169443-0.00133149822609274j</v>
      </c>
      <c r="K79">
        <f t="shared" si="19"/>
        <v>-13.979592588336349</v>
      </c>
      <c r="L79">
        <f t="shared" si="20"/>
        <v>-0.38145741583915344</v>
      </c>
      <c r="M79">
        <f t="shared" si="21"/>
        <v>0.199991135169443</v>
      </c>
      <c r="N79">
        <f t="shared" si="22"/>
        <v>-1.33149822609274E-3</v>
      </c>
      <c r="O79" t="str">
        <f t="shared" si="16"/>
        <v>83578.6229304861-276754.831429426j</v>
      </c>
      <c r="P79">
        <f t="shared" si="23"/>
        <v>109.22095211284542</v>
      </c>
      <c r="Q79">
        <f t="shared" si="24"/>
        <v>-73.195937352661531</v>
      </c>
      <c r="R79">
        <f t="shared" si="25"/>
        <v>95.241359524509079</v>
      </c>
      <c r="S79">
        <f t="shared" si="26"/>
        <v>106.42260523149932</v>
      </c>
    </row>
    <row r="80" spans="7:19" x14ac:dyDescent="0.25">
      <c r="G80">
        <f t="shared" si="17"/>
        <v>0.54000000000000081</v>
      </c>
      <c r="H80">
        <f t="shared" si="15"/>
        <v>34.673685045253237</v>
      </c>
      <c r="I80" t="str">
        <f t="shared" si="18"/>
        <v>217.861188422108j</v>
      </c>
      <c r="J80" t="str">
        <f>IMDIV(R_1,IMSUM('Phase Margin Example'!R_1,IMPRODUCT('Phase Margin Example'!R_f,IMSUM(1,IMPRODUCT(I80,C_s,R_1)))))</f>
        <v>0.199990279948148-0.00139424384199596j</v>
      </c>
      <c r="K80">
        <f t="shared" si="19"/>
        <v>-13.97961116009369</v>
      </c>
      <c r="L80">
        <f t="shared" si="20"/>
        <v>-0.39943438061920195</v>
      </c>
      <c r="M80">
        <f t="shared" si="21"/>
        <v>0.199990279948148</v>
      </c>
      <c r="N80">
        <f t="shared" si="22"/>
        <v>-1.39424384199596E-3</v>
      </c>
      <c r="O80" t="str">
        <f t="shared" si="16"/>
        <v>76789.3196970997-266256.86860165j</v>
      </c>
      <c r="P80">
        <f t="shared" si="23"/>
        <v>108.85300820042355</v>
      </c>
      <c r="Q80">
        <f t="shared" si="24"/>
        <v>-73.912272107067182</v>
      </c>
      <c r="R80">
        <f t="shared" si="25"/>
        <v>94.873397040329849</v>
      </c>
      <c r="S80">
        <f t="shared" si="26"/>
        <v>105.68829351231362</v>
      </c>
    </row>
    <row r="81" spans="7:19" x14ac:dyDescent="0.25">
      <c r="G81">
        <f t="shared" si="17"/>
        <v>0.56000000000000083</v>
      </c>
      <c r="H81">
        <f t="shared" si="15"/>
        <v>36.307805477010206</v>
      </c>
      <c r="I81" t="str">
        <f t="shared" si="18"/>
        <v>228.128669909085j</v>
      </c>
      <c r="J81" t="str">
        <f>IMDIV(R_1,IMSUM('Phase Margin Example'!R_1,IMPRODUCT('Phase Margin Example'!R_f,IMSUM(1,IMPRODUCT(I81,C_s,R_1)))))</f>
        <v>0.199989342225052-0.00145994568440941j</v>
      </c>
      <c r="K81">
        <f t="shared" si="19"/>
        <v>-13.979631523529401</v>
      </c>
      <c r="L81">
        <f t="shared" si="20"/>
        <v>-0.41825848929673026</v>
      </c>
      <c r="M81">
        <f t="shared" si="21"/>
        <v>0.19998934222505199</v>
      </c>
      <c r="N81">
        <f t="shared" si="22"/>
        <v>-1.45994568440941E-3</v>
      </c>
      <c r="O81" t="str">
        <f t="shared" si="16"/>
        <v>70509.0956252294-256003.052832074j</v>
      </c>
      <c r="P81">
        <f t="shared" si="23"/>
        <v>108.48245144297078</v>
      </c>
      <c r="Q81">
        <f t="shared" si="24"/>
        <v>-74.601225971393006</v>
      </c>
      <c r="R81">
        <f t="shared" si="25"/>
        <v>94.502819919441379</v>
      </c>
      <c r="S81">
        <f t="shared" si="26"/>
        <v>104.98051553931026</v>
      </c>
    </row>
    <row r="82" spans="7:19" x14ac:dyDescent="0.25">
      <c r="G82">
        <f t="shared" si="17"/>
        <v>0.58000000000000085</v>
      </c>
      <c r="H82">
        <f t="shared" si="15"/>
        <v>38.018939632056195</v>
      </c>
      <c r="I82" t="str">
        <f t="shared" si="18"/>
        <v>238.880042890683j</v>
      </c>
      <c r="J82" t="str">
        <f>IMDIV(R_1,IMSUM('Phase Margin Example'!R_1,IMPRODUCT('Phase Margin Example'!R_f,IMSUM(1,IMPRODUCT(I82,C_s,R_1)))))</f>
        <v>0.19998831404223-0.00152874294515339j</v>
      </c>
      <c r="K82">
        <f t="shared" si="19"/>
        <v>-13.979653851482928</v>
      </c>
      <c r="L82">
        <f t="shared" si="20"/>
        <v>-0.43796965403763038</v>
      </c>
      <c r="M82">
        <f t="shared" si="21"/>
        <v>0.19998831404223</v>
      </c>
      <c r="N82">
        <f t="shared" si="22"/>
        <v>-1.52874294515339E-3</v>
      </c>
      <c r="O82" t="str">
        <f t="shared" si="16"/>
        <v>64706.5009539215-246007.255356873j</v>
      </c>
      <c r="P82">
        <f t="shared" si="23"/>
        <v>108.10947915700895</v>
      </c>
      <c r="Q82">
        <f t="shared" si="24"/>
        <v>-75.263462133643174</v>
      </c>
      <c r="R82">
        <f t="shared" si="25"/>
        <v>94.129825305526026</v>
      </c>
      <c r="S82">
        <f t="shared" si="26"/>
        <v>104.2985682123192</v>
      </c>
    </row>
    <row r="83" spans="7:19" x14ac:dyDescent="0.25">
      <c r="G83">
        <f t="shared" si="17"/>
        <v>0.60000000000000087</v>
      </c>
      <c r="H83">
        <f t="shared" si="15"/>
        <v>39.810717055349805</v>
      </c>
      <c r="I83" t="str">
        <f t="shared" si="18"/>
        <v>250.138112470458j</v>
      </c>
      <c r="J83" t="str">
        <f>IMDIV(R_1,IMSUM('Phase Margin Example'!R_1,IMPRODUCT('Phase Margin Example'!R_f,IMSUM(1,IMPRODUCT(I83,C_s,R_1)))))</f>
        <v>0.199987186674336-0.00160078135657585j</v>
      </c>
      <c r="K83">
        <f t="shared" si="19"/>
        <v>-13.979678333465166</v>
      </c>
      <c r="L83">
        <f t="shared" si="20"/>
        <v>-0.45860966615912485</v>
      </c>
      <c r="M83">
        <f t="shared" si="21"/>
        <v>0.19998718667433599</v>
      </c>
      <c r="N83">
        <f t="shared" si="22"/>
        <v>-1.6007813565758499E-3</v>
      </c>
      <c r="O83" t="str">
        <f t="shared" si="16"/>
        <v>59350.9431027671-236280.360283243j</v>
      </c>
      <c r="P83">
        <f t="shared" si="23"/>
        <v>107.73427624403894</v>
      </c>
      <c r="Q83">
        <f t="shared" si="24"/>
        <v>-75.899676376410852</v>
      </c>
      <c r="R83">
        <f t="shared" si="25"/>
        <v>93.754597910573779</v>
      </c>
      <c r="S83">
        <f t="shared" si="26"/>
        <v>103.64171395743003</v>
      </c>
    </row>
    <row r="84" spans="7:19" x14ac:dyDescent="0.25">
      <c r="G84">
        <f t="shared" si="17"/>
        <v>0.62000000000000088</v>
      </c>
      <c r="H84">
        <f t="shared" si="15"/>
        <v>41.686938347033625</v>
      </c>
      <c r="I84" t="str">
        <f t="shared" si="18"/>
        <v>261.926758523383j</v>
      </c>
      <c r="J84" t="str">
        <f>IMDIV(R_1,IMSUM('Phase Margin Example'!R_1,IMPRODUCT('Phase Margin Example'!R_f,IMSUM(1,IMPRODUCT(I84,C_s,R_1)))))</f>
        <v>0.199985950554629-0.00167621349692773j</v>
      </c>
      <c r="K84">
        <f t="shared" si="19"/>
        <v>-13.979705177266306</v>
      </c>
      <c r="L84">
        <f t="shared" si="20"/>
        <v>-0.48022228441727299</v>
      </c>
      <c r="M84">
        <f t="shared" si="21"/>
        <v>0.19998595055462901</v>
      </c>
      <c r="N84">
        <f t="shared" si="22"/>
        <v>-1.67621349692773E-3</v>
      </c>
      <c r="O84" t="str">
        <f t="shared" si="16"/>
        <v>54412.8604338751-226830.555819269j</v>
      </c>
      <c r="P84">
        <f t="shared" si="23"/>
        <v>107.35701556966274</v>
      </c>
      <c r="Q84">
        <f t="shared" si="24"/>
        <v>-76.510589580899691</v>
      </c>
      <c r="R84">
        <f t="shared" si="25"/>
        <v>93.377310392396424</v>
      </c>
      <c r="S84">
        <f t="shared" si="26"/>
        <v>103.00918813468304</v>
      </c>
    </row>
    <row r="85" spans="7:19" x14ac:dyDescent="0.25">
      <c r="G85">
        <f t="shared" si="17"/>
        <v>0.6400000000000009</v>
      </c>
      <c r="H85">
        <f t="shared" si="15"/>
        <v>43.651583224016697</v>
      </c>
      <c r="I85" t="str">
        <f t="shared" si="18"/>
        <v>274.270986348269j</v>
      </c>
      <c r="J85" t="str">
        <f>IMDIV(R_1,IMSUM('Phase Margin Example'!R_1,IMPRODUCT('Phase Margin Example'!R_f,IMSUM(1,IMPRODUCT(I85,C_s,R_1)))))</f>
        <v>0.199984595193886-0.00175519910970517j</v>
      </c>
      <c r="K85">
        <f t="shared" si="19"/>
        <v>-13.979734610718243</v>
      </c>
      <c r="L85">
        <f t="shared" si="20"/>
        <v>-0.50285332741469457</v>
      </c>
      <c r="M85">
        <f t="shared" si="21"/>
        <v>0.19998459519388601</v>
      </c>
      <c r="N85">
        <f t="shared" si="22"/>
        <v>-1.7551991097051699E-3</v>
      </c>
      <c r="O85" t="str">
        <f t="shared" si="16"/>
        <v>49863.8537789758-217663.616310317j</v>
      </c>
      <c r="P85">
        <f t="shared" si="23"/>
        <v>106.97785840358414</v>
      </c>
      <c r="Q85">
        <f t="shared" si="24"/>
        <v>-77.096940988154316</v>
      </c>
      <c r="R85">
        <f t="shared" si="25"/>
        <v>92.998123792865897</v>
      </c>
      <c r="S85">
        <f t="shared" si="26"/>
        <v>102.40020568443099</v>
      </c>
    </row>
    <row r="86" spans="7:19" x14ac:dyDescent="0.25">
      <c r="G86">
        <f t="shared" si="17"/>
        <v>0.66000000000000092</v>
      </c>
      <c r="H86">
        <f t="shared" si="15"/>
        <v>45.708818961487616</v>
      </c>
      <c r="I86" t="str">
        <f t="shared" si="18"/>
        <v>287.196979707351j</v>
      </c>
      <c r="J86" t="str">
        <f>IMDIV(R_1,IMSUM('Phase Margin Example'!R_1,IMPRODUCT('Phase Margin Example'!R_f,IMSUM(1,IMPRODUCT(I86,C_s,R_1)))))</f>
        <v>0.199983109091499-0.00183790543755405j</v>
      </c>
      <c r="K86">
        <f t="shared" si="19"/>
        <v>-13.979766883627246</v>
      </c>
      <c r="L86">
        <f t="shared" si="20"/>
        <v>-0.52655077031675157</v>
      </c>
      <c r="M86">
        <f t="shared" si="21"/>
        <v>0.199983109091499</v>
      </c>
      <c r="N86">
        <f t="shared" si="22"/>
        <v>-1.83790543755405E-3</v>
      </c>
      <c r="O86" t="str">
        <f t="shared" si="16"/>
        <v>45676.781039662-208783.171528542j</v>
      </c>
      <c r="P86">
        <f t="shared" si="23"/>
        <v>106.59695490466105</v>
      </c>
      <c r="Q86">
        <f t="shared" si="24"/>
        <v>-77.659482188305134</v>
      </c>
      <c r="R86">
        <f t="shared" si="25"/>
        <v>92.617188021033797</v>
      </c>
      <c r="S86">
        <f t="shared" si="26"/>
        <v>101.81396704137812</v>
      </c>
    </row>
    <row r="87" spans="7:19" x14ac:dyDescent="0.25">
      <c r="G87">
        <f t="shared" si="17"/>
        <v>0.68000000000000094</v>
      </c>
      <c r="H87">
        <f t="shared" si="15"/>
        <v>47.863009232263948</v>
      </c>
      <c r="I87" t="str">
        <f t="shared" si="18"/>
        <v>300.732156365562j</v>
      </c>
      <c r="J87" t="str">
        <f>IMDIV(R_1,IMSUM('Phase Margin Example'!R_1,IMPRODUCT('Phase Margin Example'!R_f,IMSUM(1,IMPRODUCT(I87,C_s,R_1)))))</f>
        <v>0.19998147963802-0.00192450757135096j</v>
      </c>
      <c r="K87">
        <f t="shared" si="19"/>
        <v>-13.979802269892648</v>
      </c>
      <c r="L87">
        <f t="shared" si="20"/>
        <v>-0.55136484607230418</v>
      </c>
      <c r="M87">
        <f t="shared" si="21"/>
        <v>0.19998147963801999</v>
      </c>
      <c r="N87">
        <f t="shared" si="22"/>
        <v>-1.92450757135096E-3</v>
      </c>
      <c r="O87" t="str">
        <f t="shared" si="16"/>
        <v>41825.8199629892-200190.960703556j</v>
      </c>
      <c r="P87">
        <f t="shared" si="23"/>
        <v>106.21444463726743</v>
      </c>
      <c r="Q87">
        <f t="shared" si="24"/>
        <v>-78.198971800672254</v>
      </c>
      <c r="R87">
        <f t="shared" si="25"/>
        <v>92.234642367374789</v>
      </c>
      <c r="S87">
        <f t="shared" si="26"/>
        <v>101.24966335325544</v>
      </c>
    </row>
    <row r="88" spans="7:19" x14ac:dyDescent="0.25">
      <c r="G88">
        <f t="shared" si="17"/>
        <v>0.70000000000000095</v>
      </c>
      <c r="H88">
        <f t="shared" si="15"/>
        <v>50.118723362727351</v>
      </c>
      <c r="I88" t="str">
        <f t="shared" si="18"/>
        <v>314.905226247287j</v>
      </c>
      <c r="J88" t="str">
        <f>IMDIV(R_1,IMSUM('Phase Margin Example'!R_1,IMPRODUCT('Phase Margin Example'!R_f,IMSUM(1,IMPRODUCT(I88,C_s,R_1)))))</f>
        <v>0.199979693008328-0.00201518881509282j</v>
      </c>
      <c r="K88">
        <f t="shared" si="19"/>
        <v>-13.979841069829718</v>
      </c>
      <c r="L88">
        <f t="shared" si="20"/>
        <v>-0.57734815134337614</v>
      </c>
      <c r="M88">
        <f t="shared" si="21"/>
        <v>0.19997969300832799</v>
      </c>
      <c r="N88">
        <f t="shared" si="22"/>
        <v>-2.0151888150928199E-3</v>
      </c>
      <c r="O88" t="str">
        <f t="shared" si="16"/>
        <v>38286.5038822545-191887.06966007j</v>
      </c>
      <c r="P88">
        <f t="shared" si="23"/>
        <v>105.83045710720464</v>
      </c>
      <c r="Q88">
        <f t="shared" si="24"/>
        <v>-78.716170802132211</v>
      </c>
      <c r="R88">
        <f t="shared" si="25"/>
        <v>91.85061603737492</v>
      </c>
      <c r="S88">
        <f t="shared" si="26"/>
        <v>100.70648104652442</v>
      </c>
    </row>
    <row r="89" spans="7:19" x14ac:dyDescent="0.25">
      <c r="G89">
        <f t="shared" si="17"/>
        <v>0.72000000000000097</v>
      </c>
      <c r="H89">
        <f t="shared" si="15"/>
        <v>52.480746024977385</v>
      </c>
      <c r="I89" t="str">
        <f t="shared" si="18"/>
        <v>329.746252333961j</v>
      </c>
      <c r="J89" t="str">
        <f>IMDIV(R_1,IMSUM('Phase Margin Example'!R_1,IMPRODUCT('Phase Margin Example'!R_f,IMSUM(1,IMPRODUCT(I89,C_s,R_1)))))</f>
        <v>0.199977734044518-0.00211014106724535j</v>
      </c>
      <c r="K89">
        <f t="shared" si="19"/>
        <v>-13.979883612716296</v>
      </c>
      <c r="L89">
        <f t="shared" si="20"/>
        <v>-0.60455575735663269</v>
      </c>
      <c r="M89">
        <f t="shared" si="21"/>
        <v>0.19997773404451799</v>
      </c>
      <c r="N89">
        <f t="shared" si="22"/>
        <v>-2.1101410672453502E-3</v>
      </c>
      <c r="O89" t="str">
        <f t="shared" si="16"/>
        <v>35035.7348319862-183870.150151592j</v>
      </c>
      <c r="P89">
        <f t="shared" si="23"/>
        <v>105.44511230724413</v>
      </c>
      <c r="Q89">
        <f t="shared" si="24"/>
        <v>-79.211838457831817</v>
      </c>
      <c r="R89">
        <f t="shared" si="25"/>
        <v>91.465228694527838</v>
      </c>
      <c r="S89">
        <f t="shared" si="26"/>
        <v>100.18360578481155</v>
      </c>
    </row>
    <row r="90" spans="7:19" x14ac:dyDescent="0.25">
      <c r="G90">
        <f t="shared" si="17"/>
        <v>0.74000000000000099</v>
      </c>
      <c r="H90">
        <f t="shared" si="15"/>
        <v>54.954087385762591</v>
      </c>
      <c r="I90" t="str">
        <f t="shared" si="18"/>
        <v>345.286714431687j</v>
      </c>
      <c r="J90" t="str">
        <f>IMDIV(R_1,IMSUM('Phase Margin Example'!R_1,IMPRODUCT('Phase Margin Example'!R_f,IMSUM(1,IMPRODUCT(I90,C_s,R_1)))))</f>
        <v>0.199975586127524-0.00220956521921676j</v>
      </c>
      <c r="K90">
        <f t="shared" si="19"/>
        <v>-13.979930259584883</v>
      </c>
      <c r="L90">
        <f t="shared" si="20"/>
        <v>-0.63304532589815576</v>
      </c>
      <c r="M90">
        <f t="shared" si="21"/>
        <v>0.199975586127524</v>
      </c>
      <c r="N90">
        <f t="shared" si="22"/>
        <v>-2.2095652192167599E-3</v>
      </c>
      <c r="O90" t="str">
        <f t="shared" si="16"/>
        <v>32051.7780278708-176137.621061268j</v>
      </c>
      <c r="P90">
        <f t="shared" si="23"/>
        <v>105.05852126406303</v>
      </c>
      <c r="Q90">
        <f t="shared" si="24"/>
        <v>-79.686728806723735</v>
      </c>
      <c r="R90">
        <f t="shared" si="25"/>
        <v>91.078591004478142</v>
      </c>
      <c r="S90">
        <f t="shared" si="26"/>
        <v>99.680225867378113</v>
      </c>
    </row>
    <row r="91" spans="7:19" x14ac:dyDescent="0.25">
      <c r="G91">
        <f t="shared" si="17"/>
        <v>0.76000000000000101</v>
      </c>
      <c r="H91">
        <f t="shared" si="15"/>
        <v>57.543993733715837</v>
      </c>
      <c r="I91" t="str">
        <f t="shared" si="18"/>
        <v>361.559575944118j</v>
      </c>
      <c r="J91" t="str">
        <f>IMDIV(R_1,IMSUM('Phase Margin Example'!R_1,IMPRODUCT('Phase Margin Example'!R_f,IMSUM(1,IMPRODUCT(I91,C_s,R_1)))))</f>
        <v>0.199973231036406-0.00231367157163833j</v>
      </c>
      <c r="K91">
        <f t="shared" si="19"/>
        <v>-13.979981406283306</v>
      </c>
      <c r="L91">
        <f t="shared" si="20"/>
        <v>-0.66287723068186255</v>
      </c>
      <c r="M91">
        <f t="shared" si="21"/>
        <v>0.19997323103640599</v>
      </c>
      <c r="N91">
        <f t="shared" si="22"/>
        <v>-2.3136715716383302E-3</v>
      </c>
      <c r="O91" t="str">
        <f t="shared" si="16"/>
        <v>29314.2412704502-168685.851597542j</v>
      </c>
      <c r="P91">
        <f t="shared" si="23"/>
        <v>104.67078657984536</v>
      </c>
      <c r="Q91">
        <f t="shared" si="24"/>
        <v>-80.14158765415975</v>
      </c>
      <c r="R91">
        <f t="shared" si="25"/>
        <v>90.690805173562055</v>
      </c>
      <c r="S91">
        <f t="shared" si="26"/>
        <v>99.195535115158393</v>
      </c>
    </row>
    <row r="92" spans="7:19" x14ac:dyDescent="0.25">
      <c r="G92">
        <f t="shared" si="17"/>
        <v>0.78000000000000103</v>
      </c>
      <c r="H92">
        <f t="shared" si="15"/>
        <v>60.255958607435929</v>
      </c>
      <c r="I92" t="str">
        <f t="shared" si="18"/>
        <v>378.599353792263j</v>
      </c>
      <c r="J92" t="str">
        <f>IMDIV(R_1,IMSUM('Phase Margin Example'!R_1,IMPRODUCT('Phase Margin Example'!R_f,IMSUM(1,IMPRODUCT(I92,C_s,R_1)))))</f>
        <v>0.199970648794101-0.00242268026914772j</v>
      </c>
      <c r="K92">
        <f t="shared" si="19"/>
        <v>-13.98003748683063</v>
      </c>
      <c r="L92">
        <f t="shared" si="20"/>
        <v>-0.69411468433123114</v>
      </c>
      <c r="M92">
        <f t="shared" si="21"/>
        <v>0.19997064879410101</v>
      </c>
      <c r="N92">
        <f t="shared" si="22"/>
        <v>-2.4226802691477201E-3</v>
      </c>
      <c r="O92" t="str">
        <f t="shared" si="16"/>
        <v>26804.04240384-161510.326959774j</v>
      </c>
      <c r="P92">
        <f t="shared" si="23"/>
        <v>104.28200296315778</v>
      </c>
      <c r="Q92">
        <f t="shared" si="24"/>
        <v>-80.577150024595582</v>
      </c>
      <c r="R92">
        <f t="shared" si="25"/>
        <v>90.301965476327155</v>
      </c>
      <c r="S92">
        <f t="shared" si="26"/>
        <v>98.728735291073193</v>
      </c>
    </row>
    <row r="93" spans="7:19" x14ac:dyDescent="0.25">
      <c r="G93">
        <f t="shared" si="17"/>
        <v>0.80000000000000104</v>
      </c>
      <c r="H93">
        <f t="shared" si="15"/>
        <v>63.095734448019485</v>
      </c>
      <c r="I93" t="str">
        <f t="shared" si="18"/>
        <v>396.442191629501j</v>
      </c>
      <c r="J93" t="str">
        <f>IMDIV(R_1,IMSUM('Phase Margin Example'!R_1,IMPRODUCT('Phase Margin Example'!R_f,IMSUM(1,IMPRODUCT(I93,C_s,R_1)))))</f>
        <v>0.199967817498365-0.00253682175438144j</v>
      </c>
      <c r="K93">
        <f t="shared" si="19"/>
        <v>-13.980098977095691</v>
      </c>
      <c r="L93">
        <f t="shared" si="20"/>
        <v>-0.72682387122287084</v>
      </c>
      <c r="M93">
        <f t="shared" si="21"/>
        <v>0.19996781749836501</v>
      </c>
      <c r="N93">
        <f t="shared" si="22"/>
        <v>-2.53682175438144E-3</v>
      </c>
      <c r="O93" t="str">
        <f t="shared" si="16"/>
        <v>24503.3675503359-154605.797203821j</v>
      </c>
      <c r="P93">
        <f t="shared" si="23"/>
        <v>103.89225774488041</v>
      </c>
      <c r="Q93">
        <f t="shared" si="24"/>
        <v>-80.994138029068509</v>
      </c>
      <c r="R93">
        <f t="shared" si="25"/>
        <v>89.912158767784717</v>
      </c>
      <c r="S93">
        <f t="shared" si="26"/>
        <v>98.279038099708615</v>
      </c>
    </row>
    <row r="94" spans="7:19" x14ac:dyDescent="0.25">
      <c r="G94">
        <f t="shared" si="17"/>
        <v>0.82000000000000106</v>
      </c>
      <c r="H94">
        <f t="shared" si="15"/>
        <v>66.069344800759765</v>
      </c>
      <c r="I94" t="str">
        <f t="shared" si="18"/>
        <v>415.125936507116j</v>
      </c>
      <c r="J94" t="str">
        <f>IMDIV(R_1,IMSUM('Phase Margin Example'!R_1,IMPRODUCT('Phase Margin Example'!R_f,IMSUM(1,IMPRODUCT(I94,C_s,R_1)))))</f>
        <v>0.199964713136473-0.00265633724189296j</v>
      </c>
      <c r="K94">
        <f t="shared" si="19"/>
        <v>-13.980166398829914</v>
      </c>
      <c r="L94">
        <f t="shared" si="20"/>
        <v>-0.76107408645027352</v>
      </c>
      <c r="M94">
        <f t="shared" si="21"/>
        <v>0.19996471313647299</v>
      </c>
      <c r="N94">
        <f t="shared" si="22"/>
        <v>-2.65633724189296E-3</v>
      </c>
      <c r="O94" t="str">
        <f t="shared" si="16"/>
        <v>22395.6224571703-147966.410215042j</v>
      </c>
      <c r="P94">
        <f t="shared" si="23"/>
        <v>103.50163137598187</v>
      </c>
      <c r="Q94">
        <f t="shared" si="24"/>
        <v>-81.39325910428596</v>
      </c>
      <c r="R94">
        <f t="shared" si="25"/>
        <v>89.521464977151965</v>
      </c>
      <c r="S94">
        <f t="shared" si="26"/>
        <v>97.845666809263761</v>
      </c>
    </row>
    <row r="95" spans="7:19" x14ac:dyDescent="0.25">
      <c r="G95">
        <f t="shared" si="17"/>
        <v>0.84000000000000108</v>
      </c>
      <c r="H95">
        <f t="shared" si="15"/>
        <v>69.183097091893842</v>
      </c>
      <c r="I95" t="str">
        <f t="shared" si="18"/>
        <v>434.690219152966j</v>
      </c>
      <c r="J95" t="str">
        <f>IMDIV(R_1,IMSUM('Phase Margin Example'!R_1,IMPRODUCT('Phase Margin Example'!R_f,IMSUM(1,IMPRODUCT(I95,C_s,R_1)))))</f>
        <v>0.199961309382127-0.00278147921271777j</v>
      </c>
      <c r="K95">
        <f t="shared" si="19"/>
        <v>-13.980240324088429</v>
      </c>
      <c r="L95">
        <f t="shared" si="20"/>
        <v>-0.79693788117525244</v>
      </c>
      <c r="M95">
        <f t="shared" si="21"/>
        <v>0.199961309382127</v>
      </c>
      <c r="N95">
        <f t="shared" si="22"/>
        <v>-2.7814792127177699E-3</v>
      </c>
      <c r="O95" t="str">
        <f t="shared" si="16"/>
        <v>20465.3789382195-141585.829810524j</v>
      </c>
      <c r="P95">
        <f t="shared" si="23"/>
        <v>103.1101979047917</v>
      </c>
      <c r="Q95">
        <f t="shared" si="24"/>
        <v>-81.775204582720221</v>
      </c>
      <c r="R95">
        <f t="shared" si="25"/>
        <v>89.129957580703277</v>
      </c>
      <c r="S95">
        <f t="shared" si="26"/>
        <v>97.427857536104526</v>
      </c>
    </row>
    <row r="96" spans="7:19" x14ac:dyDescent="0.25">
      <c r="G96">
        <f t="shared" si="17"/>
        <v>0.8600000000000011</v>
      </c>
      <c r="H96">
        <f t="shared" si="15"/>
        <v>72.443596007499195</v>
      </c>
      <c r="I96" t="str">
        <f t="shared" si="18"/>
        <v>455.176538033573j</v>
      </c>
      <c r="J96" t="str">
        <f>IMDIV(R_1,IMSUM('Phase Margin Example'!R_1,IMPRODUCT('Phase Margin Example'!R_f,IMSUM(1,IMPRODUCT(I96,C_s,R_1)))))</f>
        <v>0.199957577372883-0.0029125119303094j</v>
      </c>
      <c r="K96">
        <f t="shared" si="19"/>
        <v>-13.980321380076271</v>
      </c>
      <c r="L96">
        <f t="shared" si="20"/>
        <v>-0.8344912146442901</v>
      </c>
      <c r="M96">
        <f t="shared" si="21"/>
        <v>0.199957577372883</v>
      </c>
      <c r="N96">
        <f t="shared" si="22"/>
        <v>-2.9125119303093998E-3</v>
      </c>
      <c r="O96" t="str">
        <f t="shared" si="16"/>
        <v>18698.318073816-135457.340055925j</v>
      </c>
      <c r="P96">
        <f t="shared" si="23"/>
        <v>102.71802543215004</v>
      </c>
      <c r="Q96">
        <f t="shared" si="24"/>
        <v>-82.14064855589416</v>
      </c>
      <c r="R96">
        <f t="shared" si="25"/>
        <v>88.737704052073767</v>
      </c>
      <c r="S96">
        <f t="shared" si="26"/>
        <v>97.024860229461552</v>
      </c>
    </row>
    <row r="97" spans="7:19" x14ac:dyDescent="0.25">
      <c r="G97">
        <f t="shared" si="17"/>
        <v>0.88000000000000111</v>
      </c>
      <c r="H97">
        <f t="shared" si="15"/>
        <v>75.857757502918574</v>
      </c>
      <c r="I97" t="str">
        <f t="shared" si="18"/>
        <v>476.62834737793j</v>
      </c>
      <c r="J97" t="str">
        <f>IMDIV(R_1,IMSUM('Phase Margin Example'!R_1,IMPRODUCT('Phase Margin Example'!R_f,IMSUM(1,IMPRODUCT(I97,C_s,R_1)))))</f>
        <v>0.19995348546623-0.00304971197856723j</v>
      </c>
      <c r="K97">
        <f t="shared" si="19"/>
        <v>-13.980410254460855</v>
      </c>
      <c r="L97">
        <f t="shared" si="20"/>
        <v>-0.87381361315646067</v>
      </c>
      <c r="M97">
        <f t="shared" si="21"/>
        <v>0.19995348546623001</v>
      </c>
      <c r="N97">
        <f t="shared" si="22"/>
        <v>-3.0497119785672299E-3</v>
      </c>
      <c r="O97" t="str">
        <f t="shared" si="16"/>
        <v>17081.1715467934-129573.93690624j</v>
      </c>
      <c r="P97">
        <f t="shared" si="23"/>
        <v>102.32517654342377</v>
      </c>
      <c r="Q97">
        <f t="shared" si="24"/>
        <v>-82.490246995946734</v>
      </c>
      <c r="R97">
        <f t="shared" si="25"/>
        <v>88.344766288962916</v>
      </c>
      <c r="S97">
        <f t="shared" si="26"/>
        <v>96.635939390896809</v>
      </c>
    </row>
    <row r="98" spans="7:19" x14ac:dyDescent="0.25">
      <c r="G98">
        <f t="shared" si="17"/>
        <v>0.90000000000000113</v>
      </c>
      <c r="H98">
        <f t="shared" si="15"/>
        <v>79.432823472428396</v>
      </c>
      <c r="I98" t="str">
        <f t="shared" si="18"/>
        <v>499.091149349752j</v>
      </c>
      <c r="J98" t="str">
        <f>IMDIV(R_1,IMSUM('Phase Margin Example'!R_1,IMPRODUCT('Phase Margin Example'!R_f,IMSUM(1,IMPRODUCT(I98,C_s,R_1)))))</f>
        <v>0.199948998972288-0.00319336882266917j</v>
      </c>
      <c r="K98">
        <f t="shared" si="19"/>
        <v>-13.980507701195403</v>
      </c>
      <c r="L98">
        <f t="shared" si="20"/>
        <v>-0.91498833627915732</v>
      </c>
      <c r="M98">
        <f t="shared" si="21"/>
        <v>0.19994899897228799</v>
      </c>
      <c r="N98">
        <f t="shared" si="22"/>
        <v>-3.19336882266917E-3</v>
      </c>
      <c r="O98" t="str">
        <f t="shared" si="16"/>
        <v>15601.6622418295-123928.408273169j</v>
      </c>
      <c r="P98">
        <f t="shared" si="23"/>
        <v>101.93170871687542</v>
      </c>
      <c r="Q98">
        <f t="shared" si="24"/>
        <v>-82.824637103490304</v>
      </c>
      <c r="R98">
        <f t="shared" si="25"/>
        <v>87.951201015680013</v>
      </c>
      <c r="S98">
        <f t="shared" si="26"/>
        <v>96.260374560230545</v>
      </c>
    </row>
    <row r="99" spans="7:19" x14ac:dyDescent="0.25">
      <c r="G99">
        <f t="shared" si="17"/>
        <v>0.92000000000000115</v>
      </c>
      <c r="H99">
        <f t="shared" si="15"/>
        <v>83.176377110267339</v>
      </c>
      <c r="I99" t="str">
        <f t="shared" si="18"/>
        <v>522.61259056366j</v>
      </c>
      <c r="J99" t="str">
        <f>IMDIV(R_1,IMSUM('Phase Margin Example'!R_1,IMPRODUCT('Phase Margin Example'!R_f,IMSUM(1,IMPRODUCT(I99,C_s,R_1)))))</f>
        <v>0.199944079860904-0.00334378539340719j</v>
      </c>
      <c r="K99">
        <f t="shared" si="19"/>
        <v>-13.980614546902085</v>
      </c>
      <c r="L99">
        <f t="shared" si="20"/>
        <v>-0.95810255061704752</v>
      </c>
      <c r="M99">
        <f t="shared" si="21"/>
        <v>0.19994407986090401</v>
      </c>
      <c r="N99">
        <f t="shared" si="22"/>
        <v>-3.3437853934071898E-3</v>
      </c>
      <c r="O99" t="str">
        <f t="shared" si="16"/>
        <v>14248.4450164782-118513.40359255j</v>
      </c>
      <c r="P99">
        <f t="shared" si="23"/>
        <v>101.53767470827918</v>
      </c>
      <c r="Q99">
        <f t="shared" si="24"/>
        <v>-83.144436852646692</v>
      </c>
      <c r="R99">
        <f t="shared" si="25"/>
        <v>87.557060161377095</v>
      </c>
      <c r="S99">
        <f t="shared" si="26"/>
        <v>95.897460596736266</v>
      </c>
    </row>
    <row r="100" spans="7:19" x14ac:dyDescent="0.25">
      <c r="G100">
        <f t="shared" si="17"/>
        <v>0.94000000000000117</v>
      </c>
      <c r="H100">
        <f t="shared" si="15"/>
        <v>87.096358995608341</v>
      </c>
      <c r="I100" t="str">
        <f t="shared" si="18"/>
        <v>547.242563150045j</v>
      </c>
      <c r="J100" t="str">
        <f>IMDIV(R_1,IMSUM('Phase Margin Example'!R_1,IMPRODUCT('Phase Margin Example'!R_f,IMSUM(1,IMPRODUCT(I100,C_s,R_1)))))</f>
        <v>0.199938686440712-0.00350127869570139j</v>
      </c>
      <c r="K100">
        <f t="shared" si="19"/>
        <v>-13.980731697868594</v>
      </c>
      <c r="L100">
        <f t="shared" si="20"/>
        <v>-1.0032475114488471</v>
      </c>
      <c r="M100">
        <f t="shared" si="21"/>
        <v>0.199938686440712</v>
      </c>
      <c r="N100">
        <f t="shared" si="22"/>
        <v>-3.5012786957013902E-3</v>
      </c>
      <c r="O100" t="str">
        <f t="shared" si="16"/>
        <v>13011.048363752-113321.493919857j</v>
      </c>
      <c r="P100">
        <f t="shared" si="23"/>
        <v>101.14312291200267</v>
      </c>
      <c r="Q100">
        <f t="shared" si="24"/>
        <v>-83.450244706925929</v>
      </c>
      <c r="R100">
        <f t="shared" si="25"/>
        <v>87.162391214134075</v>
      </c>
      <c r="S100">
        <f t="shared" si="26"/>
        <v>95.546507781625223</v>
      </c>
    </row>
    <row r="101" spans="7:19" x14ac:dyDescent="0.25">
      <c r="G101">
        <f t="shared" si="17"/>
        <v>0.96000000000000119</v>
      </c>
      <c r="H101">
        <f t="shared" si="15"/>
        <v>91.201083935591228</v>
      </c>
      <c r="I101" t="str">
        <f t="shared" si="18"/>
        <v>573.033310582959j</v>
      </c>
      <c r="J101" t="str">
        <f>IMDIV(R_1,IMSUM('Phase Margin Example'!R_1,IMPRODUCT('Phase Margin Example'!R_f,IMSUM(1,IMPRODUCT(I101,C_s,R_1)))))</f>
        <v>0.199932773007493-0.00366618044193649j</v>
      </c>
      <c r="K101">
        <f t="shared" si="19"/>
        <v>-13.980860147716943</v>
      </c>
      <c r="L101">
        <f t="shared" si="20"/>
        <v>-1.0505187525551869</v>
      </c>
      <c r="M101">
        <f t="shared" si="21"/>
        <v>0.19993277300749299</v>
      </c>
      <c r="N101">
        <f t="shared" si="22"/>
        <v>-3.6661804419364898E-3</v>
      </c>
      <c r="O101" t="str">
        <f t="shared" si="16"/>
        <v>11879.8175251715-108345.223525267j</v>
      </c>
      <c r="P101">
        <f t="shared" si="23"/>
        <v>100.74809769902771</v>
      </c>
      <c r="Q101">
        <f t="shared" si="24"/>
        <v>-83.742639482249331</v>
      </c>
      <c r="R101">
        <f t="shared" si="25"/>
        <v>86.767237551310771</v>
      </c>
      <c r="S101">
        <f t="shared" si="26"/>
        <v>95.206841765195477</v>
      </c>
    </row>
    <row r="102" spans="7:19" x14ac:dyDescent="0.25">
      <c r="G102">
        <f t="shared" si="17"/>
        <v>0.9800000000000012</v>
      </c>
      <c r="H102">
        <f t="shared" si="15"/>
        <v>95.499258602143883</v>
      </c>
      <c r="I102" t="str">
        <f t="shared" si="18"/>
        <v>600.039538495534j</v>
      </c>
      <c r="J102" t="str">
        <f>IMDIV(R_1,IMSUM('Phase Margin Example'!R_1,IMPRODUCT('Phase Margin Example'!R_f,IMSUM(1,IMPRODUCT(I102,C_s,R_1)))))</f>
        <v>0.199926289458934-0.00383883771072204j</v>
      </c>
      <c r="K102">
        <f t="shared" si="19"/>
        <v>-13.981000985808507</v>
      </c>
      <c r="L102">
        <f t="shared" si="20"/>
        <v>-1.1000162845690269</v>
      </c>
      <c r="M102">
        <f t="shared" si="21"/>
        <v>0.19992628945893401</v>
      </c>
      <c r="N102">
        <f t="shared" si="22"/>
        <v>-3.8388377107220401E-3</v>
      </c>
      <c r="O102" t="str">
        <f t="shared" si="16"/>
        <v>10845.8594770813-103577.15389643j</v>
      </c>
      <c r="P102">
        <f t="shared" si="23"/>
        <v>100.35263973257882</v>
      </c>
      <c r="Q102">
        <f t="shared" si="24"/>
        <v>-84.022180335901268</v>
      </c>
      <c r="R102">
        <f t="shared" si="25"/>
        <v>86.371638746770316</v>
      </c>
      <c r="S102">
        <f t="shared" si="26"/>
        <v>94.877803379529709</v>
      </c>
    </row>
    <row r="103" spans="7:19" x14ac:dyDescent="0.25">
      <c r="G103">
        <f t="shared" si="17"/>
        <v>1.0000000000000011</v>
      </c>
      <c r="H103">
        <f t="shared" si="15"/>
        <v>100.00000000000028</v>
      </c>
      <c r="I103" t="str">
        <f t="shared" si="18"/>
        <v>628.31853071796j</v>
      </c>
      <c r="J103" t="str">
        <f>IMDIV(R_1,IMSUM('Phase Margin Example'!R_1,IMPRODUCT('Phase Margin Example'!R_f,IMSUM(1,IMPRODUCT(I103,C_s,R_1)))))</f>
        <v>0.199919180872606-0.00401961363162285j</v>
      </c>
      <c r="K103">
        <f t="shared" si="19"/>
        <v>-13.981155406455754</v>
      </c>
      <c r="L103">
        <f t="shared" si="20"/>
        <v>-1.1518448021877652</v>
      </c>
      <c r="M103">
        <f t="shared" si="21"/>
        <v>0.19991918087260599</v>
      </c>
      <c r="N103">
        <f t="shared" si="22"/>
        <v>-4.0196136316228504E-3</v>
      </c>
      <c r="O103" t="str">
        <f t="shared" si="16"/>
        <v>9900.9900990099-99009.900990099j</v>
      </c>
      <c r="P103">
        <f t="shared" si="23"/>
        <v>99.956786262173566</v>
      </c>
      <c r="Q103">
        <f t="shared" si="24"/>
        <v>-84.289406862500371</v>
      </c>
      <c r="R103">
        <f t="shared" si="25"/>
        <v>85.97563085571781</v>
      </c>
      <c r="S103">
        <f t="shared" si="26"/>
        <v>94.558748335311861</v>
      </c>
    </row>
    <row r="104" spans="7:19" x14ac:dyDescent="0.25">
      <c r="G104">
        <f t="shared" si="17"/>
        <v>1.0200000000000011</v>
      </c>
      <c r="H104">
        <f t="shared" si="15"/>
        <v>104.71285480509023</v>
      </c>
      <c r="I104" t="str">
        <f t="shared" si="18"/>
        <v>657.930270784172j</v>
      </c>
      <c r="J104" t="str">
        <f>IMDIV(R_1,IMSUM('Phase Margin Example'!R_1,IMPRODUCT('Phase Margin Example'!R_f,IMSUM(1,IMPRODUCT(I104,C_s,R_1)))))</f>
        <v>0.199911387043682-0.00420888809633568j</v>
      </c>
      <c r="K104">
        <f t="shared" si="19"/>
        <v>-13.981324719017977</v>
      </c>
      <c r="L104">
        <f t="shared" si="20"/>
        <v>-1.2061139005928649</v>
      </c>
      <c r="M104">
        <f t="shared" si="21"/>
        <v>0.199911387043682</v>
      </c>
      <c r="N104">
        <f t="shared" si="22"/>
        <v>-4.2088880963356799E-3</v>
      </c>
      <c r="O104" t="str">
        <f t="shared" si="16"/>
        <v>9037.68373823964-94636.166505661j</v>
      </c>
      <c r="P104">
        <f t="shared" si="23"/>
        <v>99.560571397014741</v>
      </c>
      <c r="Q104">
        <f t="shared" si="24"/>
        <v>-84.544839280213253</v>
      </c>
      <c r="R104">
        <f t="shared" si="25"/>
        <v>85.579246677996764</v>
      </c>
      <c r="S104">
        <f t="shared" si="26"/>
        <v>94.249046819193879</v>
      </c>
    </row>
    <row r="105" spans="7:19" x14ac:dyDescent="0.25">
      <c r="G105">
        <f t="shared" si="17"/>
        <v>1.0400000000000011</v>
      </c>
      <c r="H105">
        <f t="shared" si="15"/>
        <v>109.64781961431882</v>
      </c>
      <c r="I105" t="str">
        <f t="shared" si="18"/>
        <v>688.937569164966j</v>
      </c>
      <c r="J105" t="str">
        <f>IMDIV(R_1,IMSUM('Phase Margin Example'!R_1,IMPRODUCT('Phase Margin Example'!R_f,IMSUM(1,IMPRODUCT(I105,C_s,R_1)))))</f>
        <v>0.199902841978628-0.00440705849670155j</v>
      </c>
      <c r="K105">
        <f t="shared" si="19"/>
        <v>-13.981510358964293</v>
      </c>
      <c r="L105">
        <f t="shared" si="20"/>
        <v>-1.2629383014284863</v>
      </c>
      <c r="M105">
        <f t="shared" si="21"/>
        <v>0.19990284197862801</v>
      </c>
      <c r="N105">
        <f t="shared" si="22"/>
        <v>-4.4070584967015498E-3</v>
      </c>
      <c r="O105" t="str">
        <f t="shared" si="16"/>
        <v>8249.02530705347-90448.7638861752j</v>
      </c>
      <c r="P105">
        <f t="shared" si="23"/>
        <v>99.164026359710505</v>
      </c>
      <c r="Q105">
        <f t="shared" si="24"/>
        <v>-84.788978692381249</v>
      </c>
      <c r="R105">
        <f t="shared" si="25"/>
        <v>85.182516000746205</v>
      </c>
      <c r="S105">
        <f t="shared" si="26"/>
        <v>93.948083006190259</v>
      </c>
    </row>
    <row r="106" spans="7:19" x14ac:dyDescent="0.25">
      <c r="G106">
        <f t="shared" si="17"/>
        <v>1.0600000000000012</v>
      </c>
      <c r="H106">
        <f t="shared" si="15"/>
        <v>114.81536214968858</v>
      </c>
      <c r="I106" t="str">
        <f t="shared" si="18"/>
        <v>721.406196497426j</v>
      </c>
      <c r="J106" t="str">
        <f>IMDIV(R_1,IMSUM('Phase Margin Example'!R_1,IMPRODUCT('Phase Margin Example'!R_f,IMSUM(1,IMPRODUCT(I106,C_s,R_1)))))</f>
        <v>0.199893473340693-0.00461454048983579j</v>
      </c>
      <c r="K106">
        <f t="shared" si="19"/>
        <v>-13.981713899997711</v>
      </c>
      <c r="L106">
        <f t="shared" si="20"/>
        <v>-1.3224380886954106</v>
      </c>
      <c r="M106">
        <f t="shared" si="21"/>
        <v>0.19989347334069299</v>
      </c>
      <c r="N106">
        <f t="shared" si="22"/>
        <v>-4.6145404898357903E-3</v>
      </c>
      <c r="O106" t="str">
        <f t="shared" si="16"/>
        <v>7528.66498600881-86440.6396872284j</v>
      </c>
      <c r="P106">
        <f t="shared" si="23"/>
        <v>98.767179721353742</v>
      </c>
      <c r="Q106">
        <f t="shared" si="24"/>
        <v>-85.022307411507754</v>
      </c>
      <c r="R106">
        <f t="shared" si="25"/>
        <v>84.785465821356027</v>
      </c>
      <c r="S106">
        <f t="shared" si="26"/>
        <v>93.65525449979684</v>
      </c>
    </row>
    <row r="107" spans="7:19" x14ac:dyDescent="0.25">
      <c r="G107">
        <f t="shared" si="17"/>
        <v>1.0800000000000012</v>
      </c>
      <c r="H107">
        <f t="shared" si="15"/>
        <v>120.22644346174164</v>
      </c>
      <c r="I107" t="str">
        <f t="shared" si="18"/>
        <v>755.405023093272j</v>
      </c>
      <c r="J107" t="str">
        <f>IMDIV(R_1,IMSUM('Phase Margin Example'!R_1,IMPRODUCT('Phase Margin Example'!R_f,IMSUM(1,IMPRODUCT(I107,C_s,R_1)))))</f>
        <v>0.199883201842727-0.00483176879052681j</v>
      </c>
      <c r="K107">
        <f t="shared" si="19"/>
        <v>-13.981937067339153</v>
      </c>
      <c r="L107">
        <f t="shared" si="20"/>
        <v>-1.384738954918767</v>
      </c>
      <c r="M107">
        <f t="shared" si="21"/>
        <v>0.19988320184272701</v>
      </c>
      <c r="N107">
        <f t="shared" si="22"/>
        <v>-4.83176879052681E-3</v>
      </c>
      <c r="O107" t="str">
        <f t="shared" si="16"/>
        <v>6870.77555595089-82604.8908915848j</v>
      </c>
      <c r="P107">
        <f t="shared" si="23"/>
        <v>98.370057619008136</v>
      </c>
      <c r="Q107">
        <f t="shared" si="24"/>
        <v>-85.245289334159864</v>
      </c>
      <c r="R107">
        <f t="shared" si="25"/>
        <v>84.388120551668976</v>
      </c>
      <c r="S107">
        <f t="shared" si="26"/>
        <v>93.369971710921362</v>
      </c>
    </row>
    <row r="108" spans="7:19" x14ac:dyDescent="0.25">
      <c r="G108">
        <f t="shared" si="17"/>
        <v>1.1000000000000012</v>
      </c>
      <c r="H108">
        <f t="shared" si="15"/>
        <v>125.89254117941708</v>
      </c>
      <c r="I108" t="str">
        <f t="shared" si="18"/>
        <v>791.006165022014j</v>
      </c>
      <c r="J108" t="str">
        <f>IMDIV(R_1,IMSUM('Phase Margin Example'!R_1,IMPRODUCT('Phase Margin Example'!R_f,IMSUM(1,IMPRODUCT(I108,C_s,R_1)))))</f>
        <v>0.199871940582372-0.00505919799089823j</v>
      </c>
      <c r="K108">
        <f t="shared" si="19"/>
        <v>-13.982181752283205</v>
      </c>
      <c r="L108">
        <f t="shared" si="20"/>
        <v>-1.449972457949837</v>
      </c>
      <c r="M108">
        <f t="shared" si="21"/>
        <v>0.19987194058237201</v>
      </c>
      <c r="N108">
        <f t="shared" si="22"/>
        <v>-5.0591979908982303E-3</v>
      </c>
      <c r="O108" t="str">
        <f t="shared" si="16"/>
        <v>6270.01234143381-78934.7786889409j</v>
      </c>
      <c r="P108">
        <f t="shared" si="23"/>
        <v>97.972683956650584</v>
      </c>
      <c r="Q108">
        <f t="shared" si="24"/>
        <v>-85.45837035678413</v>
      </c>
      <c r="R108">
        <f t="shared" si="25"/>
        <v>83.990502204367374</v>
      </c>
      <c r="S108">
        <f t="shared" si="26"/>
        <v>93.09165718526603</v>
      </c>
    </row>
    <row r="109" spans="7:19" x14ac:dyDescent="0.25">
      <c r="G109">
        <f t="shared" si="17"/>
        <v>1.1200000000000012</v>
      </c>
      <c r="H109">
        <f t="shared" si="15"/>
        <v>131.8256738556411</v>
      </c>
      <c r="I109" t="str">
        <f t="shared" si="18"/>
        <v>828.285137078812j</v>
      </c>
      <c r="J109" t="str">
        <f>IMDIV(R_1,IMSUM('Phase Margin Example'!R_1,IMPRODUCT('Phase Margin Example'!R_f,IMSUM(1,IMPRODUCT(I109,C_s,R_1)))))</f>
        <v>0.199859594314281-0.00529730340713983j</v>
      </c>
      <c r="K109">
        <f t="shared" si="19"/>
        <v>-13.982450028145248</v>
      </c>
      <c r="L109">
        <f t="shared" si="20"/>
        <v>-1.5182762887604517</v>
      </c>
      <c r="M109">
        <f t="shared" si="21"/>
        <v>0.19985959431428099</v>
      </c>
      <c r="N109">
        <f t="shared" si="22"/>
        <v>-5.2973034071398303E-3</v>
      </c>
      <c r="O109" t="str">
        <f t="shared" si="16"/>
        <v>5721.47571709036-75423.7391854123j</v>
      </c>
      <c r="P109">
        <f t="shared" si="23"/>
        <v>97.575080590605523</v>
      </c>
      <c r="Q109">
        <f t="shared" si="24"/>
        <v>-85.661978823734188</v>
      </c>
      <c r="R109">
        <f t="shared" si="25"/>
        <v>83.592630562460272</v>
      </c>
      <c r="S109">
        <f t="shared" si="26"/>
        <v>92.819744887505365</v>
      </c>
    </row>
    <row r="110" spans="7:19" x14ac:dyDescent="0.25">
      <c r="G110">
        <f t="shared" si="17"/>
        <v>1.1400000000000012</v>
      </c>
      <c r="H110">
        <f t="shared" si="15"/>
        <v>138.03842646028889</v>
      </c>
      <c r="I110" t="str">
        <f t="shared" si="18"/>
        <v>867.321012961477j</v>
      </c>
      <c r="J110" t="str">
        <f>IMDIV(R_1,IMSUM('Phase Margin Example'!R_1,IMPRODUCT('Phase Margin Example'!R_f,IMSUM(1,IMPRODUCT(I110,C_s,R_1)))))</f>
        <v>0.199846058653509-0.00554658195288703j</v>
      </c>
      <c r="K110">
        <f t="shared" si="19"/>
        <v>-13.98274416773226</v>
      </c>
      <c r="L110">
        <f t="shared" si="20"/>
        <v>-1.5897945505844164</v>
      </c>
      <c r="M110">
        <f t="shared" si="21"/>
        <v>0.19984605865350899</v>
      </c>
      <c r="N110">
        <f t="shared" si="22"/>
        <v>-5.5465819528870298E-3</v>
      </c>
      <c r="O110" t="str">
        <f t="shared" si="16"/>
        <v>5220.67610482409-72065.3914568749j</v>
      </c>
      <c r="P110">
        <f t="shared" si="23"/>
        <v>97.17726750048287</v>
      </c>
      <c r="Q110">
        <f t="shared" si="24"/>
        <v>-85.856525999966166</v>
      </c>
      <c r="R110">
        <f t="shared" si="25"/>
        <v>83.194523332750606</v>
      </c>
      <c r="S110">
        <f t="shared" si="26"/>
        <v>92.553679449449419</v>
      </c>
    </row>
    <row r="111" spans="7:19" x14ac:dyDescent="0.25">
      <c r="G111">
        <f t="shared" si="17"/>
        <v>1.1600000000000013</v>
      </c>
      <c r="H111">
        <f t="shared" si="15"/>
        <v>144.54397707459319</v>
      </c>
      <c r="I111" t="str">
        <f t="shared" si="18"/>
        <v>908.196592996387j</v>
      </c>
      <c r="J111" t="str">
        <f>IMDIV(R_1,IMSUM('Phase Margin Example'!R_1,IMPRODUCT('Phase Margin Example'!R_f,IMSUM(1,IMPRODUCT(I111,C_s,R_1)))))</f>
        <v>0.199831219203735-0.00580755303856469j</v>
      </c>
      <c r="K111">
        <f t="shared" si="19"/>
        <v>-13.983066662480477</v>
      </c>
      <c r="L111">
        <f t="shared" si="20"/>
        <v>-1.6646780497536084</v>
      </c>
      <c r="M111">
        <f t="shared" si="21"/>
        <v>0.19983121920373501</v>
      </c>
      <c r="N111">
        <f t="shared" si="22"/>
        <v>-5.8075530385646897E-3</v>
      </c>
      <c r="O111" t="str">
        <f t="shared" si="16"/>
        <v>4763.50137221076-68853.5433139625j</v>
      </c>
      <c r="P111">
        <f t="shared" si="23"/>
        <v>96.779262946598294</v>
      </c>
      <c r="Q111">
        <f t="shared" si="24"/>
        <v>-86.042406561888171</v>
      </c>
      <c r="R111">
        <f t="shared" si="25"/>
        <v>82.796196284117812</v>
      </c>
      <c r="S111">
        <f t="shared" si="26"/>
        <v>92.292915388358225</v>
      </c>
    </row>
    <row r="112" spans="7:19" x14ac:dyDescent="0.25">
      <c r="G112">
        <f t="shared" si="17"/>
        <v>1.1800000000000013</v>
      </c>
      <c r="H112">
        <f t="shared" si="15"/>
        <v>151.35612484362133</v>
      </c>
      <c r="I112" t="str">
        <f t="shared" si="18"/>
        <v>950.998579769081j</v>
      </c>
      <c r="J112" t="str">
        <f>IMDIV(R_1,IMSUM('Phase Margin Example'!R_1,IMPRODUCT('Phase Margin Example'!R_f,IMSUM(1,IMPRODUCT(I112,C_s,R_1)))))</f>
        <v>0.199814950603382-0.00608075949569424j</v>
      </c>
      <c r="K112">
        <f t="shared" si="19"/>
        <v>-13.983420243417765</v>
      </c>
      <c r="L112">
        <f t="shared" si="20"/>
        <v>-1.7430845985648351</v>
      </c>
      <c r="M112">
        <f t="shared" si="21"/>
        <v>0.199814950603382</v>
      </c>
      <c r="N112">
        <f t="shared" si="22"/>
        <v>-6.0807594956942398E-3</v>
      </c>
      <c r="O112" t="str">
        <f t="shared" si="16"/>
        <v>4346.18653009908-65782.195104334j</v>
      </c>
      <c r="P112">
        <f t="shared" si="23"/>
        <v>96.381083614815921</v>
      </c>
      <c r="Q112">
        <f t="shared" si="24"/>
        <v>-86.219999100764738</v>
      </c>
      <c r="R112">
        <f t="shared" si="25"/>
        <v>82.397663371398153</v>
      </c>
      <c r="S112">
        <f t="shared" si="26"/>
        <v>92.036916300670427</v>
      </c>
    </row>
    <row r="113" spans="7:19" x14ac:dyDescent="0.25">
      <c r="G113">
        <f t="shared" si="17"/>
        <v>1.2000000000000013</v>
      </c>
      <c r="H113">
        <f t="shared" si="15"/>
        <v>158.48931924611185</v>
      </c>
      <c r="I113" t="str">
        <f t="shared" si="18"/>
        <v>995.817762032065j</v>
      </c>
      <c r="J113" t="str">
        <f>IMDIV(R_1,IMSUM('Phase Margin Example'!R_1,IMPRODUCT('Phase Margin Example'!R_f,IMSUM(1,IMPRODUCT(I113,C_s,R_1)))))</f>
        <v>0.19979711548212-0.00636676852479573j</v>
      </c>
      <c r="K113">
        <f t="shared" si="19"/>
        <v>-13.98380790412228</v>
      </c>
      <c r="L113">
        <f t="shared" si="20"/>
        <v>-1.8251793304984161</v>
      </c>
      <c r="M113">
        <f t="shared" si="21"/>
        <v>0.19979711548212001</v>
      </c>
      <c r="N113">
        <f t="shared" si="22"/>
        <v>-6.3667685247957304E-3</v>
      </c>
      <c r="O113" t="str">
        <f t="shared" si="16"/>
        <v>3965.28561915217-62845.5418395825j</v>
      </c>
      <c r="P113">
        <f t="shared" si="23"/>
        <v>95.98274474971204</v>
      </c>
      <c r="Q113">
        <f t="shared" si="24"/>
        <v>-86.389666633884076</v>
      </c>
      <c r="R113">
        <f t="shared" si="25"/>
        <v>81.998936845589753</v>
      </c>
      <c r="S113">
        <f t="shared" si="26"/>
        <v>91.785154035617509</v>
      </c>
    </row>
    <row r="114" spans="7:19" x14ac:dyDescent="0.25">
      <c r="G114">
        <f t="shared" si="17"/>
        <v>1.2200000000000013</v>
      </c>
      <c r="H114">
        <f t="shared" si="15"/>
        <v>165.95869074375662</v>
      </c>
      <c r="I114" t="str">
        <f t="shared" si="18"/>
        <v>1042.74920727993j</v>
      </c>
      <c r="J114" t="str">
        <f>IMDIV(R_1,IMSUM('Phase Margin Example'!R_1,IMPRODUCT('Phase Margin Example'!R_f,IMSUM(1,IMPRODUCT(I114,C_s,R_1)))))</f>
        <v>0.199777563319613-0.00666617266508295j</v>
      </c>
      <c r="K114">
        <f t="shared" si="19"/>
        <v>-13.984232925863797</v>
      </c>
      <c r="L114">
        <f t="shared" si="20"/>
        <v>-1.9111350280881516</v>
      </c>
      <c r="M114">
        <f t="shared" si="21"/>
        <v>0.19977756331961299</v>
      </c>
      <c r="N114">
        <f t="shared" si="22"/>
        <v>-6.6661726650829502E-3</v>
      </c>
      <c r="O114" t="str">
        <f t="shared" si="16"/>
        <v>3617.64567017328-60037.9738996775j</v>
      </c>
      <c r="P114">
        <f t="shared" si="23"/>
        <v>95.584260276912005</v>
      </c>
      <c r="Q114">
        <f t="shared" si="24"/>
        <v>-86.55175711940862</v>
      </c>
      <c r="R114">
        <f t="shared" si="25"/>
        <v>81.600027351048212</v>
      </c>
      <c r="S114">
        <f t="shared" si="26"/>
        <v>91.537107852503226</v>
      </c>
    </row>
    <row r="115" spans="7:19" x14ac:dyDescent="0.25">
      <c r="G115">
        <f t="shared" si="17"/>
        <v>1.2400000000000013</v>
      </c>
      <c r="H115">
        <f t="shared" si="15"/>
        <v>173.7800828749381</v>
      </c>
      <c r="I115" t="str">
        <f t="shared" si="18"/>
        <v>1091.89246340026j</v>
      </c>
      <c r="J115" t="str">
        <f>IMDIV(R_1,IMSUM('Phase Margin Example'!R_1,IMPRODUCT('Phase Margin Example'!R_f,IMSUM(1,IMPRODUCT(I115,C_s,R_1)))))</f>
        <v>0.199756129197623-0.0069795907836446j</v>
      </c>
      <c r="K115">
        <f t="shared" si="19"/>
        <v>-13.98469890513354</v>
      </c>
      <c r="L115">
        <f t="shared" si="20"/>
        <v>-2.0011324637158285</v>
      </c>
      <c r="M115">
        <f t="shared" si="21"/>
        <v>0.19975612919762301</v>
      </c>
      <c r="N115">
        <f t="shared" si="22"/>
        <v>-6.9795907836445997E-3</v>
      </c>
      <c r="O115" t="str">
        <f t="shared" si="16"/>
        <v>3300.38262084029-57354.076536863j</v>
      </c>
      <c r="P115">
        <f t="shared" si="23"/>
        <v>95.185642915406106</v>
      </c>
      <c r="Q115">
        <f t="shared" si="24"/>
        <v>-86.706603971455039</v>
      </c>
      <c r="R115">
        <f t="shared" si="25"/>
        <v>81.200944010272565</v>
      </c>
      <c r="S115">
        <f t="shared" si="26"/>
        <v>91.292263564829128</v>
      </c>
    </row>
    <row r="116" spans="7:19" x14ac:dyDescent="0.25">
      <c r="G116">
        <f t="shared" si="17"/>
        <v>1.2600000000000013</v>
      </c>
      <c r="H116">
        <f t="shared" si="15"/>
        <v>181.97008586099898</v>
      </c>
      <c r="I116" t="str">
        <f t="shared" si="18"/>
        <v>1143.35176982804j</v>
      </c>
      <c r="J116" t="str">
        <f>IMDIV(R_1,IMSUM('Phase Margin Example'!R_1,IMPRODUCT('Phase Margin Example'!R_f,IMSUM(1,IMPRODUCT(I116,C_s,R_1)))))</f>
        <v>0.199732632435926-0.00730766908121691j</v>
      </c>
      <c r="K116">
        <f t="shared" si="19"/>
        <v>-13.985209783783413</v>
      </c>
      <c r="L116">
        <f t="shared" si="20"/>
        <v>-2.0953607535686851</v>
      </c>
      <c r="M116">
        <f t="shared" si="21"/>
        <v>0.19973263243592601</v>
      </c>
      <c r="N116">
        <f t="shared" si="22"/>
        <v>-7.3076690812169101E-3</v>
      </c>
      <c r="O116" t="str">
        <f t="shared" si="16"/>
        <v>3010.85907136949-54788.6283732477j</v>
      </c>
      <c r="P116">
        <f t="shared" si="23"/>
        <v>94.786904280604375</v>
      </c>
      <c r="Q116">
        <f t="shared" si="24"/>
        <v>-86.854526572497434</v>
      </c>
      <c r="R116">
        <f t="shared" si="25"/>
        <v>80.801694496820957</v>
      </c>
      <c r="S116">
        <f t="shared" si="26"/>
        <v>91.050112673933882</v>
      </c>
    </row>
    <row r="117" spans="7:19" x14ac:dyDescent="0.25">
      <c r="G117">
        <f t="shared" si="17"/>
        <v>1.2800000000000014</v>
      </c>
      <c r="H117">
        <f t="shared" si="15"/>
        <v>190.54607179632535</v>
      </c>
      <c r="I117" t="str">
        <f t="shared" si="18"/>
        <v>1197.23627865146j</v>
      </c>
      <c r="J117" t="str">
        <f>IMDIV(R_1,IMSUM('Phase Margin Example'!R_1,IMPRODUCT('Phase Margin Example'!R_f,IMSUM(1,IMPRODUCT(I117,C_s,R_1)))))</f>
        <v>0.199706875101626-0.00765108211096905j</v>
      </c>
      <c r="K117">
        <f t="shared" si="19"/>
        <v>-13.985769882019044</v>
      </c>
      <c r="L117">
        <f t="shared" si="20"/>
        <v>-2.1940177249562258</v>
      </c>
      <c r="M117">
        <f t="shared" si="21"/>
        <v>0.19970687510162599</v>
      </c>
      <c r="N117">
        <f t="shared" si="22"/>
        <v>-7.6510821109690499E-3</v>
      </c>
      <c r="O117" t="str">
        <f t="shared" si="16"/>
        <v>2746.66376316321-52336.5990616063j</v>
      </c>
      <c r="P117">
        <f t="shared" si="23"/>
        <v>94.388054978841765</v>
      </c>
      <c r="Q117">
        <f t="shared" si="24"/>
        <v>-86.995830780667802</v>
      </c>
      <c r="R117">
        <f t="shared" si="25"/>
        <v>80.402285096822723</v>
      </c>
      <c r="S117">
        <f t="shared" si="26"/>
        <v>90.810151494375972</v>
      </c>
    </row>
    <row r="118" spans="7:19" x14ac:dyDescent="0.25">
      <c r="G118">
        <f t="shared" si="17"/>
        <v>1.3000000000000014</v>
      </c>
      <c r="H118">
        <f t="shared" si="15"/>
        <v>199.52623149688867</v>
      </c>
      <c r="I118" t="str">
        <f t="shared" si="18"/>
        <v>1253.66028613816j</v>
      </c>
      <c r="J118" t="str">
        <f>IMDIV(R_1,IMSUM('Phase Margin Example'!R_1,IMPRODUCT('Phase Margin Example'!R_f,IMSUM(1,IMPRODUCT(I118,C_s,R_1)))))</f>
        <v>0.199678640380696-0.00801053380593095j</v>
      </c>
      <c r="K118">
        <f t="shared" si="19"/>
        <v>-13.98638393450933</v>
      </c>
      <c r="L118">
        <f t="shared" si="20"/>
        <v>-2.2973102971298047</v>
      </c>
      <c r="M118">
        <f t="shared" si="21"/>
        <v>0.19967864038069599</v>
      </c>
      <c r="N118">
        <f t="shared" si="22"/>
        <v>-8.0105338059309507E-3</v>
      </c>
      <c r="O118" t="str">
        <f t="shared" si="16"/>
        <v>2505.59266728573-49993.1462569759j</v>
      </c>
      <c r="P118">
        <f t="shared" si="23"/>
        <v>93.989104694000389</v>
      </c>
      <c r="Q118">
        <f t="shared" si="24"/>
        <v>-87.130809429944989</v>
      </c>
      <c r="R118">
        <f t="shared" si="25"/>
        <v>80.002720759491055</v>
      </c>
      <c r="S118">
        <f t="shared" si="26"/>
        <v>90.571880272925199</v>
      </c>
    </row>
    <row r="119" spans="7:19" x14ac:dyDescent="0.25">
      <c r="G119">
        <f t="shared" si="17"/>
        <v>1.3200000000000014</v>
      </c>
      <c r="H119">
        <f t="shared" si="15"/>
        <v>208.92961308540464</v>
      </c>
      <c r="I119" t="str">
        <f t="shared" si="18"/>
        <v>1312.74347517293j</v>
      </c>
      <c r="J119" t="str">
        <f>IMDIV(R_1,IMSUM('Phase Margin Example'!R_1,IMPRODUCT('Phase Margin Example'!R_f,IMSUM(1,IMPRODUCT(I119,C_s,R_1)))))</f>
        <v>0.19964769079963-0.00838675850977783j</v>
      </c>
      <c r="K119">
        <f t="shared" si="19"/>
        <v>-13.987057129901256</v>
      </c>
      <c r="L119">
        <f t="shared" si="20"/>
        <v>-2.4054548756856251</v>
      </c>
      <c r="M119">
        <f t="shared" si="21"/>
        <v>0.19964769079962999</v>
      </c>
      <c r="N119">
        <f t="shared" si="22"/>
        <v>-8.3867585097778304E-3</v>
      </c>
      <c r="O119" t="str">
        <f t="shared" si="16"/>
        <v>2285.63157333026-47753.6120271677j</v>
      </c>
      <c r="P119">
        <f t="shared" si="23"/>
        <v>93.590062266870774</v>
      </c>
      <c r="Q119">
        <f t="shared" si="24"/>
        <v>-87.259742821586343</v>
      </c>
      <c r="R119">
        <f t="shared" si="25"/>
        <v>79.603005136969514</v>
      </c>
      <c r="S119">
        <f t="shared" si="26"/>
        <v>90.334802302728036</v>
      </c>
    </row>
    <row r="120" spans="7:19" x14ac:dyDescent="0.25">
      <c r="G120">
        <f t="shared" si="17"/>
        <v>1.3400000000000014</v>
      </c>
      <c r="H120">
        <f t="shared" si="15"/>
        <v>218.77616239495606</v>
      </c>
      <c r="I120" t="str">
        <f t="shared" si="18"/>
        <v>1374.61116912112j</v>
      </c>
      <c r="J120" t="str">
        <f>IMDIV(R_1,IMSUM('Phase Margin Example'!R_1,IMPRODUCT('Phase Margin Example'!R_f,IMSUM(1,IMPRODUCT(I120,C_s,R_1)))))</f>
        <v>0.199613766284215-0.00878052200462768j</v>
      </c>
      <c r="K120">
        <f t="shared" si="19"/>
        <v>-13.9877951540516</v>
      </c>
      <c r="L120">
        <f t="shared" si="20"/>
        <v>-2.51867776055437</v>
      </c>
      <c r="M120">
        <f t="shared" si="21"/>
        <v>0.19961376628421501</v>
      </c>
      <c r="N120">
        <f t="shared" si="22"/>
        <v>-8.7805220046276809E-3</v>
      </c>
      <c r="O120" t="str">
        <f t="shared" si="16"/>
        <v>2084.94007362514-45613.5188131165j</v>
      </c>
      <c r="P120">
        <f t="shared" si="23"/>
        <v>93.190935767831874</v>
      </c>
      <c r="Q120">
        <f t="shared" si="24"/>
        <v>-87.382899205471787</v>
      </c>
      <c r="R120">
        <f t="shared" si="25"/>
        <v>79.203140613780278</v>
      </c>
      <c r="S120">
        <f t="shared" si="26"/>
        <v>90.098423033973845</v>
      </c>
    </row>
    <row r="121" spans="7:19" x14ac:dyDescent="0.25">
      <c r="G121">
        <f t="shared" si="17"/>
        <v>1.3600000000000014</v>
      </c>
      <c r="H121">
        <f t="shared" si="15"/>
        <v>229.0867652767781</v>
      </c>
      <c r="I121" t="str">
        <f t="shared" si="18"/>
        <v>1439.39459765635j</v>
      </c>
      <c r="J121" t="str">
        <f>IMDIV(R_1,IMSUM('Phase Margin Example'!R_1,IMPRODUCT('Phase Margin Example'!R_f,IMSUM(1,IMPRODUCT(I121,C_s,R_1)))))</f>
        <v>0.199576582041423-0.00919262252829261j</v>
      </c>
      <c r="K121">
        <f t="shared" si="19"/>
        <v>-13.988604237315908</v>
      </c>
      <c r="L121">
        <f t="shared" si="20"/>
        <v>-2.6372155674901285</v>
      </c>
      <c r="M121">
        <f t="shared" si="21"/>
        <v>0.19957658204142301</v>
      </c>
      <c r="N121">
        <f t="shared" si="22"/>
        <v>-9.1926225282926103E-3</v>
      </c>
      <c r="O121" t="str">
        <f t="shared" si="16"/>
        <v>1901.83684256775-43568.5650348046j</v>
      </c>
      <c r="P121">
        <f t="shared" si="23"/>
        <v>92.791732563385821</v>
      </c>
      <c r="Q121">
        <f t="shared" si="24"/>
        <v>-87.50053525030205</v>
      </c>
      <c r="R121">
        <f t="shared" si="25"/>
        <v>78.80312832606991</v>
      </c>
      <c r="S121">
        <f t="shared" si="26"/>
        <v>89.862249182207819</v>
      </c>
    </row>
    <row r="122" spans="7:19" x14ac:dyDescent="0.25">
      <c r="G122">
        <f t="shared" si="17"/>
        <v>1.3800000000000014</v>
      </c>
      <c r="H122">
        <f t="shared" si="15"/>
        <v>239.88329190194992</v>
      </c>
      <c r="I122" t="str">
        <f t="shared" si="18"/>
        <v>1507.2311751162j</v>
      </c>
      <c r="J122" t="str">
        <f>IMDIV(R_1,IMSUM('Phase Margin Example'!R_1,IMPRODUCT('Phase Margin Example'!R_f,IMSUM(1,IMPRODUCT(I122,C_s,R_1)))))</f>
        <v>0.199535826249448-0.00962389177202361j</v>
      </c>
      <c r="K122">
        <f t="shared" si="19"/>
        <v>-13.989491206262709</v>
      </c>
      <c r="L122">
        <f t="shared" si="20"/>
        <v>-2.7613156628615516</v>
      </c>
      <c r="M122">
        <f t="shared" si="21"/>
        <v>0.19953582624944799</v>
      </c>
      <c r="N122">
        <f t="shared" si="22"/>
        <v>-9.6238917720236107E-3</v>
      </c>
      <c r="O122" t="str">
        <f t="shared" si="16"/>
        <v>1734.78611599929-41614.6204251706j</v>
      </c>
      <c r="P122">
        <f t="shared" si="23"/>
        <v>92.392459377048638</v>
      </c>
      <c r="Q122">
        <f t="shared" si="24"/>
        <v>-87.612896501826938</v>
      </c>
      <c r="R122">
        <f t="shared" si="25"/>
        <v>78.402968170785925</v>
      </c>
      <c r="S122">
        <f t="shared" si="26"/>
        <v>89.625787835311513</v>
      </c>
    </row>
    <row r="123" spans="7:19" x14ac:dyDescent="0.25">
      <c r="G123">
        <f t="shared" si="17"/>
        <v>1.4000000000000015</v>
      </c>
      <c r="H123">
        <f t="shared" si="15"/>
        <v>251.18864315095888</v>
      </c>
      <c r="I123" t="str">
        <f t="shared" si="18"/>
        <v>1578.26479197648j</v>
      </c>
      <c r="J123" t="str">
        <f>IMDIV(R_1,IMSUM('Phase Margin Example'!R_1,IMPRODUCT('Phase Margin Example'!R_f,IMSUM(1,IMPRODUCT(I123,C_s,R_1)))))</f>
        <v>0.199491157539857-0.0100751958481853j</v>
      </c>
      <c r="K123">
        <f t="shared" si="19"/>
        <v>-13.990463540212957</v>
      </c>
      <c r="L123">
        <f t="shared" si="20"/>
        <v>-2.8912366114205081</v>
      </c>
      <c r="M123">
        <f t="shared" si="21"/>
        <v>0.19949115753985699</v>
      </c>
      <c r="N123">
        <f t="shared" si="22"/>
        <v>-1.00751958481853E-2</v>
      </c>
      <c r="O123" t="str">
        <f t="shared" si="16"/>
        <v>1582.38528080171-39747.721162663j</v>
      </c>
      <c r="P123">
        <f t="shared" si="23"/>
        <v>91.993122345056776</v>
      </c>
      <c r="Q123">
        <f t="shared" si="24"/>
        <v>-87.720217828482106</v>
      </c>
      <c r="R123">
        <f t="shared" si="25"/>
        <v>78.002658804843819</v>
      </c>
      <c r="S123">
        <f t="shared" si="26"/>
        <v>89.388545560097384</v>
      </c>
    </row>
    <row r="124" spans="7:19" x14ac:dyDescent="0.25">
      <c r="G124">
        <f t="shared" si="17"/>
        <v>1.4200000000000015</v>
      </c>
      <c r="H124">
        <f t="shared" si="15"/>
        <v>263.02679918953919</v>
      </c>
      <c r="I124" t="str">
        <f t="shared" si="18"/>
        <v>1652.64612006219j</v>
      </c>
      <c r="J124" t="str">
        <f>IMDIV(R_1,IMSUM('Phase Margin Example'!R_1,IMPRODUCT('Phase Margin Example'!R_f,IMSUM(1,IMPRODUCT(I124,C_s,R_1)))))</f>
        <v>0.199442202254782-0.0105474362154567j</v>
      </c>
      <c r="K124">
        <f t="shared" si="19"/>
        <v>-13.991529433037028</v>
      </c>
      <c r="L124">
        <f t="shared" si="20"/>
        <v>-3.0272486365714681</v>
      </c>
      <c r="M124">
        <f t="shared" si="21"/>
        <v>0.19944220225478199</v>
      </c>
      <c r="N124">
        <f t="shared" si="22"/>
        <v>-1.05474362154567E-2</v>
      </c>
      <c r="O124" t="str">
        <f t="shared" si="16"/>
        <v>1443.35349020793-37964.0648628441j</v>
      </c>
      <c r="P124">
        <f t="shared" si="23"/>
        <v>91.593727067318213</v>
      </c>
      <c r="Q124">
        <f t="shared" si="24"/>
        <v>-87.822723853984215</v>
      </c>
      <c r="R124">
        <f t="shared" si="25"/>
        <v>77.602197634281183</v>
      </c>
      <c r="S124">
        <f t="shared" si="26"/>
        <v>89.150027509444314</v>
      </c>
    </row>
    <row r="125" spans="7:19" x14ac:dyDescent="0.25">
      <c r="G125">
        <f t="shared" si="17"/>
        <v>1.4400000000000015</v>
      </c>
      <c r="H125">
        <f t="shared" si="15"/>
        <v>275.42287033381763</v>
      </c>
      <c r="I125" t="str">
        <f t="shared" si="18"/>
        <v>1730.53293214267j</v>
      </c>
      <c r="J125" t="str">
        <f>IMDIV(R_1,IMSUM('Phase Margin Example'!R_1,IMPRODUCT('Phase Margin Example'!R_f,IMSUM(1,IMPRODUCT(I125,C_s,R_1)))))</f>
        <v>0.199388551461005-0.0110415505470558j</v>
      </c>
      <c r="K125">
        <f t="shared" si="19"/>
        <v>-13.992697860677609</v>
      </c>
      <c r="L125">
        <f t="shared" si="20"/>
        <v>-3.1696340924885864</v>
      </c>
      <c r="M125">
        <f t="shared" si="21"/>
        <v>0.19938855146100501</v>
      </c>
      <c r="N125">
        <f t="shared" si="22"/>
        <v>-1.1041550547055801E-2</v>
      </c>
      <c r="O125" t="str">
        <f t="shared" si="16"/>
        <v>1316.52122557933-36260.0054804454j</v>
      </c>
      <c r="P125">
        <f t="shared" si="23"/>
        <v>91.19427865400057</v>
      </c>
      <c r="Q125">
        <f t="shared" si="24"/>
        <v>-87.920629376582866</v>
      </c>
      <c r="R125">
        <f t="shared" si="25"/>
        <v>77.201580793322961</v>
      </c>
      <c r="S125">
        <f t="shared" si="26"/>
        <v>88.909736530928541</v>
      </c>
    </row>
    <row r="126" spans="7:19" x14ac:dyDescent="0.25">
      <c r="G126">
        <f t="shared" si="17"/>
        <v>1.4600000000000015</v>
      </c>
      <c r="H126">
        <f t="shared" si="15"/>
        <v>288.40315031266169</v>
      </c>
      <c r="I126" t="str">
        <f t="shared" si="18"/>
        <v>1812.09043658882j</v>
      </c>
      <c r="J126" t="str">
        <f>IMDIV(R_1,IMSUM('Phase Margin Example'!R_1,IMPRODUCT('Phase Margin Example'!R_f,IMSUM(1,IMPRODUCT(I126,C_s,R_1)))))</f>
        <v>0.19932975770176-0.0115585135250856j</v>
      </c>
      <c r="K126">
        <f t="shared" si="19"/>
        <v>-13.993978654902953</v>
      </c>
      <c r="L126">
        <f t="shared" si="20"/>
        <v>-3.3186879472193223</v>
      </c>
      <c r="M126">
        <f t="shared" si="21"/>
        <v>0.19932975770176001</v>
      </c>
      <c r="N126">
        <f t="shared" si="22"/>
        <v>-1.1558513525085599E-2</v>
      </c>
      <c r="O126" t="str">
        <f t="shared" si="16"/>
        <v>1200.8207305607-34632.0481654458j</v>
      </c>
      <c r="P126">
        <f t="shared" si="23"/>
        <v>90.794781768121666</v>
      </c>
      <c r="Q126">
        <f t="shared" si="24"/>
        <v>-88.01413977479163</v>
      </c>
      <c r="R126">
        <f t="shared" si="25"/>
        <v>76.800803113218706</v>
      </c>
      <c r="S126">
        <f t="shared" si="26"/>
        <v>88.667172277989053</v>
      </c>
    </row>
    <row r="127" spans="7:19" x14ac:dyDescent="0.25">
      <c r="G127">
        <f t="shared" si="17"/>
        <v>1.4800000000000015</v>
      </c>
      <c r="H127">
        <f t="shared" si="15"/>
        <v>301.99517204020287</v>
      </c>
      <c r="I127" t="str">
        <f t="shared" si="18"/>
        <v>1897.49162780217j</v>
      </c>
      <c r="J127" t="str">
        <f>IMDIV(R_1,IMSUM('Phase Margin Example'!R_1,IMPRODUCT('Phase Margin Example'!R_f,IMSUM(1,IMPRODUCT(I127,C_s,R_1)))))</f>
        <v>0.199265331466025-0.0120993375413762j</v>
      </c>
      <c r="K127">
        <f t="shared" si="19"/>
        <v>-13.995382583836022</v>
      </c>
      <c r="L127">
        <f t="shared" si="20"/>
        <v>-3.4747182756747681</v>
      </c>
      <c r="M127">
        <f t="shared" si="21"/>
        <v>0.19926533146602499</v>
      </c>
      <c r="N127">
        <f t="shared" si="22"/>
        <v>-1.2099337541376201E-2</v>
      </c>
      <c r="O127" t="str">
        <f t="shared" si="16"/>
        <v>1095.27724852145-33076.8441098953j</v>
      </c>
      <c r="P127">
        <f t="shared" si="23"/>
        <v>90.395240664476106</v>
      </c>
      <c r="Q127">
        <f t="shared" si="24"/>
        <v>-88.10345139952689</v>
      </c>
      <c r="R127">
        <f t="shared" si="25"/>
        <v>76.399858080640087</v>
      </c>
      <c r="S127">
        <f t="shared" si="26"/>
        <v>88.421830324798336</v>
      </c>
    </row>
    <row r="128" spans="7:19" x14ac:dyDescent="0.25">
      <c r="G128">
        <f t="shared" si="17"/>
        <v>1.5000000000000016</v>
      </c>
      <c r="H128">
        <f t="shared" si="15"/>
        <v>316.22776601683915</v>
      </c>
      <c r="I128" t="str">
        <f t="shared" si="18"/>
        <v>1986.91765315923j</v>
      </c>
      <c r="J128" t="str">
        <f>IMDIV(R_1,IMSUM('Phase Margin Example'!R_1,IMPRODUCT('Phase Margin Example'!R_f,IMSUM(1,IMPRODUCT(I128,C_s,R_1)))))</f>
        <v>0.199194737354152-0.0126650732820922j</v>
      </c>
      <c r="K128">
        <f t="shared" si="19"/>
        <v>-13.996921439845</v>
      </c>
      <c r="L128">
        <f t="shared" si="20"/>
        <v>-3.6380467611256226</v>
      </c>
      <c r="M128">
        <f t="shared" si="21"/>
        <v>0.199194737354152</v>
      </c>
      <c r="N128">
        <f t="shared" si="22"/>
        <v>-1.2665073282092199E-2</v>
      </c>
      <c r="O128" t="str">
        <f t="shared" si="16"/>
        <v>999.000999000992-31591.1854162674j</v>
      </c>
      <c r="P128">
        <f t="shared" si="23"/>
        <v>89.995659225206765</v>
      </c>
      <c r="Q128">
        <f t="shared" si="24"/>
        <v>-88.188751952672035</v>
      </c>
      <c r="R128">
        <f t="shared" si="25"/>
        <v>75.998737785361769</v>
      </c>
      <c r="S128">
        <f t="shared" si="26"/>
        <v>88.173201286202342</v>
      </c>
    </row>
    <row r="129" spans="7:19" x14ac:dyDescent="0.25">
      <c r="G129">
        <f t="shared" si="17"/>
        <v>1.5200000000000016</v>
      </c>
      <c r="H129">
        <f t="shared" si="15"/>
        <v>331.13112148259245</v>
      </c>
      <c r="I129" t="str">
        <f t="shared" si="18"/>
        <v>2080.55819724932j</v>
      </c>
      <c r="J129" t="str">
        <f>IMDIV(R_1,IMSUM('Phase Margin Example'!R_1,IMPRODUCT('Phase Margin Example'!R_f,IMSUM(1,IMPRODUCT(I129,C_s,R_1)))))</f>
        <v>0.199117389917814-0.0132568101698687j</v>
      </c>
      <c r="K129">
        <f t="shared" si="19"/>
        <v>-13.998608135424339</v>
      </c>
      <c r="L129">
        <f t="shared" si="20"/>
        <v>-3.8090092035021903</v>
      </c>
      <c r="M129">
        <f t="shared" si="21"/>
        <v>0.199117389917814</v>
      </c>
      <c r="N129">
        <f t="shared" si="22"/>
        <v>-1.32568101698687E-2</v>
      </c>
      <c r="O129" t="str">
        <f t="shared" si="16"/>
        <v>911.179833471177-30172.0000129632j</v>
      </c>
      <c r="P129">
        <f t="shared" si="23"/>
        <v>89.596040992304964</v>
      </c>
      <c r="Q129">
        <f t="shared" si="24"/>
        <v>-88.270220852158374</v>
      </c>
      <c r="R129">
        <f t="shared" si="25"/>
        <v>75.59743285688063</v>
      </c>
      <c r="S129">
        <f t="shared" si="26"/>
        <v>87.92076994433944</v>
      </c>
    </row>
    <row r="130" spans="7:19" x14ac:dyDescent="0.25">
      <c r="G130">
        <f t="shared" si="17"/>
        <v>1.5400000000000016</v>
      </c>
      <c r="H130">
        <f t="shared" si="15"/>
        <v>346.73685045253302</v>
      </c>
      <c r="I130" t="str">
        <f t="shared" si="18"/>
        <v>2178.61188422108j</v>
      </c>
      <c r="J130" t="str">
        <f>IMDIV(R_1,IMSUM('Phase Margin Example'!R_1,IMPRODUCT('Phase Margin Example'!R_f,IMSUM(1,IMPRODUCT(I130,C_s,R_1)))))</f>
        <v>0.199032649151525-0.0138756766332646j</v>
      </c>
      <c r="K130">
        <f t="shared" si="19"/>
        <v>-14.000456807740594</v>
      </c>
      <c r="L130">
        <f t="shared" si="20"/>
        <v>-3.9879560324240022</v>
      </c>
      <c r="M130">
        <f t="shared" si="21"/>
        <v>0.19903264915152499</v>
      </c>
      <c r="N130">
        <f t="shared" si="22"/>
        <v>-1.38756766332646E-2</v>
      </c>
      <c r="O130" t="str">
        <f t="shared" si="16"/>
        <v>831.072515093451-28816.3466381168j</v>
      </c>
      <c r="P130">
        <f t="shared" si="23"/>
        <v>89.196389197298927</v>
      </c>
      <c r="Q130">
        <f t="shared" si="24"/>
        <v>-88.34802958371634</v>
      </c>
      <c r="R130">
        <f t="shared" si="25"/>
        <v>75.195932389558337</v>
      </c>
      <c r="S130">
        <f t="shared" si="26"/>
        <v>87.664014383859652</v>
      </c>
    </row>
    <row r="131" spans="7:19" x14ac:dyDescent="0.25">
      <c r="G131">
        <f t="shared" si="17"/>
        <v>1.5600000000000016</v>
      </c>
      <c r="H131">
        <f t="shared" ref="H131:H194" si="27">$B$3*10^G131</f>
        <v>363.07805477010282</v>
      </c>
      <c r="I131" t="str">
        <f t="shared" si="18"/>
        <v>2281.28669909086j</v>
      </c>
      <c r="J131" t="str">
        <f>IMDIV(R_1,IMSUM('Phase Margin Example'!R_1,IMPRODUCT('Phase Margin Example'!R_f,IMSUM(1,IMPRODUCT(I131,C_s,R_1)))))</f>
        <v>0.198939815612474-0.0145228401688424j</v>
      </c>
      <c r="K131">
        <f t="shared" si="19"/>
        <v>-14.002482932563087</v>
      </c>
      <c r="L131">
        <f t="shared" si="20"/>
        <v>-4.175252822456776</v>
      </c>
      <c r="M131">
        <f t="shared" si="21"/>
        <v>0.19893981561247401</v>
      </c>
      <c r="N131">
        <f t="shared" si="22"/>
        <v>-1.4522840168842401E-2</v>
      </c>
      <c r="O131" t="str">
        <f t="shared" ref="O131:O194" si="28">IMDIV(Aolv,IMSUM(1,IMDIV(I131,wc)))</f>
        <v>758.002571276788-27521.4099089913j</v>
      </c>
      <c r="P131">
        <f t="shared" si="23"/>
        <v>88.796706788371011</v>
      </c>
      <c r="Q131">
        <f t="shared" si="24"/>
        <v>-88.422342039500492</v>
      </c>
      <c r="R131">
        <f t="shared" si="25"/>
        <v>74.794223855807928</v>
      </c>
      <c r="S131">
        <f t="shared" si="26"/>
        <v>87.402405138042738</v>
      </c>
    </row>
    <row r="132" spans="7:19" x14ac:dyDescent="0.25">
      <c r="G132">
        <f t="shared" ref="G132:G195" si="29">G131+(1/ppd)</f>
        <v>1.5800000000000016</v>
      </c>
      <c r="H132">
        <f t="shared" si="27"/>
        <v>380.18939632056276</v>
      </c>
      <c r="I132" t="str">
        <f t="shared" ref="I132:I195" si="30">COMPLEX(0,H132*2*PI(),"j")</f>
        <v>2388.80042890684j</v>
      </c>
      <c r="J132" t="str">
        <f>IMDIV(R_1,IMSUM('Phase Margin Example'!R_1,IMPRODUCT('Phase Margin Example'!R_f,IMSUM(1,IMPRODUCT(I132,C_s,R_1)))))</f>
        <v>0.198838125145159-0.0151995071561532j</v>
      </c>
      <c r="K132">
        <f t="shared" ref="K132:K195" si="31">20*LOG(IMABS(J132))</f>
        <v>-14.004703448346095</v>
      </c>
      <c r="L132">
        <f t="shared" ref="L132:L195" si="32">DEGREES(IMARGUMENT(J132))</f>
        <v>-4.3712808076055474</v>
      </c>
      <c r="M132">
        <f t="shared" ref="M132:M195" si="33">IMREAL(J132)</f>
        <v>0.198838125145159</v>
      </c>
      <c r="N132">
        <f t="shared" ref="N132:N195" si="34">IMAGINARY(J132)</f>
        <v>-1.5199507156153201E-2</v>
      </c>
      <c r="O132" t="str">
        <f t="shared" si="28"/>
        <v>691.3526717288-26284.4954909181j</v>
      </c>
      <c r="P132">
        <f t="shared" ref="P132:P195" si="35">20*LOG(IMABS(O132))</f>
        <v>88.396996455122093</v>
      </c>
      <c r="Q132">
        <f t="shared" ref="Q132:Q195" si="36">DEGREES(IMARGUMENT(O132))</f>
        <v>-88.493314843833403</v>
      </c>
      <c r="R132">
        <f t="shared" ref="R132:R195" si="37">P132+K132</f>
        <v>74.392293006776001</v>
      </c>
      <c r="S132">
        <f t="shared" ref="S132:S195" si="38">(Q132+L132)-(-180)</f>
        <v>87.135404348561053</v>
      </c>
    </row>
    <row r="133" spans="7:19" x14ac:dyDescent="0.25">
      <c r="G133">
        <f t="shared" si="29"/>
        <v>1.6000000000000016</v>
      </c>
      <c r="H133">
        <f t="shared" si="27"/>
        <v>398.10717055349897</v>
      </c>
      <c r="I133" t="str">
        <f t="shared" si="30"/>
        <v>2501.38112470458j</v>
      </c>
      <c r="J133" t="str">
        <f>IMDIV(R_1,IMSUM('Phase Margin Example'!R_1,IMPRODUCT('Phase Margin Example'!R_f,IMSUM(1,IMPRODUCT(I133,C_s,R_1)))))</f>
        <v>0.198726743187389-0.0159069223802543j</v>
      </c>
      <c r="K133">
        <f t="shared" si="31"/>
        <v>-14.007136891276378</v>
      </c>
      <c r="L133">
        <f t="shared" si="32"/>
        <v>-4.5764373914905212</v>
      </c>
      <c r="M133">
        <f t="shared" si="33"/>
        <v>0.198726743187389</v>
      </c>
      <c r="N133">
        <f t="shared" si="34"/>
        <v>-1.5906922380254301E-2</v>
      </c>
      <c r="O133" t="str">
        <f t="shared" si="28"/>
        <v>630.559488339888-25103.0253768655j</v>
      </c>
      <c r="P133">
        <f t="shared" si="35"/>
        <v>87.997260651185002</v>
      </c>
      <c r="Q133">
        <f t="shared" si="36"/>
        <v>-88.561097666346328</v>
      </c>
      <c r="R133">
        <f t="shared" si="37"/>
        <v>73.990123759908627</v>
      </c>
      <c r="S133">
        <f t="shared" si="38"/>
        <v>86.862464942163157</v>
      </c>
    </row>
    <row r="134" spans="7:19" x14ac:dyDescent="0.25">
      <c r="G134">
        <f t="shared" si="29"/>
        <v>1.6200000000000017</v>
      </c>
      <c r="H134">
        <f t="shared" si="27"/>
        <v>416.86938347033708</v>
      </c>
      <c r="I134" t="str">
        <f t="shared" si="30"/>
        <v>2619.26758523383j</v>
      </c>
      <c r="J134" t="str">
        <f>IMDIV(R_1,IMSUM('Phase Margin Example'!R_1,IMPRODUCT('Phase Margin Example'!R_f,IMSUM(1,IMPRODUCT(I134,C_s,R_1)))))</f>
        <v>0.198604758634735-0.0166463682100847j</v>
      </c>
      <c r="K134">
        <f t="shared" si="31"/>
        <v>-14.009803542146829</v>
      </c>
      <c r="L134">
        <f t="shared" si="32"/>
        <v>-4.7911366490142822</v>
      </c>
      <c r="M134">
        <f t="shared" si="33"/>
        <v>0.19860475863473501</v>
      </c>
      <c r="N134">
        <f t="shared" si="34"/>
        <v>-1.6646368210084701E-2</v>
      </c>
      <c r="O134" t="str">
        <f t="shared" si="28"/>
        <v>575.10899665216-23974.5332862629j</v>
      </c>
      <c r="P134">
        <f t="shared" si="35"/>
        <v>87.597501614871817</v>
      </c>
      <c r="Q134">
        <f t="shared" si="36"/>
        <v>-88.625833522820344</v>
      </c>
      <c r="R134">
        <f t="shared" si="37"/>
        <v>73.58769807272499</v>
      </c>
      <c r="S134">
        <f t="shared" si="38"/>
        <v>86.58302982816538</v>
      </c>
    </row>
    <row r="135" spans="7:19" x14ac:dyDescent="0.25">
      <c r="G135">
        <f t="shared" si="29"/>
        <v>1.6400000000000017</v>
      </c>
      <c r="H135">
        <f t="shared" si="27"/>
        <v>436.51583224016781</v>
      </c>
      <c r="I135" t="str">
        <f t="shared" si="30"/>
        <v>2742.70986348269j</v>
      </c>
      <c r="J135" t="str">
        <f>IMDIV(R_1,IMSUM('Phase Margin Example'!R_1,IMPRODUCT('Phase Margin Example'!R_f,IMSUM(1,IMPRODUCT(I135,C_s,R_1)))))</f>
        <v>0.198471177241616-0.0174191633740033j</v>
      </c>
      <c r="K135">
        <f t="shared" si="31"/>
        <v>-14.012725585960801</v>
      </c>
      <c r="L135">
        <f t="shared" si="32"/>
        <v>-5.0158098146005949</v>
      </c>
      <c r="M135">
        <f t="shared" si="33"/>
        <v>0.198471177241616</v>
      </c>
      <c r="N135">
        <f t="shared" si="34"/>
        <v>-1.7419163374003298E-2</v>
      </c>
      <c r="O135" t="str">
        <f t="shared" si="28"/>
        <v>524.532181847593-22896.6601895953j</v>
      </c>
      <c r="P135">
        <f t="shared" si="35"/>
        <v>87.197721388023467</v>
      </c>
      <c r="Q135">
        <f t="shared" si="36"/>
        <v>-88.687659064051573</v>
      </c>
      <c r="R135">
        <f t="shared" si="37"/>
        <v>73.184995802062673</v>
      </c>
      <c r="S135">
        <f t="shared" si="38"/>
        <v>86.296531121347826</v>
      </c>
    </row>
    <row r="136" spans="7:19" x14ac:dyDescent="0.25">
      <c r="G136">
        <f t="shared" si="29"/>
        <v>1.6600000000000017</v>
      </c>
      <c r="H136">
        <f t="shared" si="27"/>
        <v>457.08818961487691</v>
      </c>
      <c r="I136" t="str">
        <f t="shared" si="30"/>
        <v>2871.96979707351j</v>
      </c>
      <c r="J136" t="str">
        <f>IMDIV(R_1,IMSUM('Phase Margin Example'!R_1,IMPRODUCT('Phase Margin Example'!R_f,IMSUM(1,IMPRODUCT(I136,C_s,R_1)))))</f>
        <v>0.19832491453896-0.0182266612660185j</v>
      </c>
      <c r="K136">
        <f t="shared" si="31"/>
        <v>-14.015927285214627</v>
      </c>
      <c r="L136">
        <f t="shared" si="32"/>
        <v>-5.2509057512608486</v>
      </c>
      <c r="M136">
        <f t="shared" si="33"/>
        <v>0.19832491453896001</v>
      </c>
      <c r="N136">
        <f t="shared" si="34"/>
        <v>-1.8226661266018501E-2</v>
      </c>
      <c r="O136" t="str">
        <f t="shared" si="28"/>
        <v>478.401115152721-21867.1499634896j</v>
      </c>
      <c r="P136">
        <f t="shared" si="35"/>
        <v>86.797921833217202</v>
      </c>
      <c r="Q136">
        <f t="shared" si="36"/>
        <v>-88.746704853079208</v>
      </c>
      <c r="R136">
        <f t="shared" si="37"/>
        <v>72.781994548002572</v>
      </c>
      <c r="S136">
        <f t="shared" si="38"/>
        <v>86.002389395659947</v>
      </c>
    </row>
    <row r="137" spans="7:19" x14ac:dyDescent="0.25">
      <c r="G137">
        <f t="shared" si="29"/>
        <v>1.6800000000000017</v>
      </c>
      <c r="H137">
        <f t="shared" si="27"/>
        <v>478.63009232264039</v>
      </c>
      <c r="I137" t="str">
        <f t="shared" si="30"/>
        <v>3007.32156365562j</v>
      </c>
      <c r="J137" t="str">
        <f>IMDIV(R_1,IMSUM('Phase Margin Example'!R_1,IMPRODUCT('Phase Margin Example'!R_f,IMSUM(1,IMPRODUCT(I137,C_s,R_1)))))</f>
        <v>0.198164788251023-0.0190702477076657j</v>
      </c>
      <c r="K137">
        <f t="shared" si="31"/>
        <v>-14.01943516784312</v>
      </c>
      <c r="L137">
        <f t="shared" si="32"/>
        <v>-5.4968913938121604</v>
      </c>
      <c r="M137">
        <f t="shared" si="33"/>
        <v>0.19816478825102299</v>
      </c>
      <c r="N137">
        <f t="shared" si="34"/>
        <v>-1.9070247707665699E-2</v>
      </c>
      <c r="O137" t="str">
        <f t="shared" si="28"/>
        <v>436.325369308452-20883.8451794814j</v>
      </c>
      <c r="P137">
        <f t="shared" si="35"/>
        <v>86.398104649473083</v>
      </c>
      <c r="Q137">
        <f t="shared" si="36"/>
        <v>-88.80309563112489</v>
      </c>
      <c r="R137">
        <f t="shared" si="37"/>
        <v>72.37866948162997</v>
      </c>
      <c r="S137">
        <f t="shared" si="38"/>
        <v>85.700012975062947</v>
      </c>
    </row>
    <row r="138" spans="7:19" x14ac:dyDescent="0.25">
      <c r="G138">
        <f t="shared" si="29"/>
        <v>1.7000000000000017</v>
      </c>
      <c r="H138">
        <f t="shared" si="27"/>
        <v>501.1872336272744</v>
      </c>
      <c r="I138" t="str">
        <f t="shared" si="30"/>
        <v>3149.05226247287j</v>
      </c>
      <c r="J138" t="str">
        <f>IMDIV(R_1,IMSUM('Phase Margin Example'!R_1,IMPRODUCT('Phase Margin Example'!R_f,IMSUM(1,IMPRODUCT(I138,C_s,R_1)))))</f>
        <v>0.197989510197645-0.0199513380810813j</v>
      </c>
      <c r="K138">
        <f t="shared" si="31"/>
        <v>-14.023278230843875</v>
      </c>
      <c r="L138">
        <f t="shared" si="32"/>
        <v>-5.7542521585179625</v>
      </c>
      <c r="M138">
        <f t="shared" si="33"/>
        <v>0.19798951019764499</v>
      </c>
      <c r="N138">
        <f t="shared" si="34"/>
        <v>-1.99513380810813E-2</v>
      </c>
      <c r="O138" t="str">
        <f t="shared" si="28"/>
        <v>397.948744304874-19944.6830283607j</v>
      </c>
      <c r="P138">
        <f t="shared" si="35"/>
        <v>85.998271386590062</v>
      </c>
      <c r="Q138">
        <f t="shared" si="36"/>
        <v>-88.856950572599075</v>
      </c>
      <c r="R138">
        <f t="shared" si="37"/>
        <v>71.974993155746191</v>
      </c>
      <c r="S138">
        <f t="shared" si="38"/>
        <v>85.388797268882968</v>
      </c>
    </row>
    <row r="139" spans="7:19" x14ac:dyDescent="0.25">
      <c r="G139">
        <f t="shared" si="29"/>
        <v>1.7200000000000017</v>
      </c>
      <c r="H139">
        <f t="shared" si="27"/>
        <v>524.80746024977498</v>
      </c>
      <c r="I139" t="str">
        <f t="shared" si="30"/>
        <v>3297.46252333962j</v>
      </c>
      <c r="J139" t="str">
        <f>IMDIV(R_1,IMSUM('Phase Margin Example'!R_1,IMPRODUCT('Phase Margin Example'!R_f,IMSUM(1,IMPRODUCT(I139,C_s,R_1)))))</f>
        <v>0.197797677673165-0.0208713737385879j</v>
      </c>
      <c r="K139">
        <f t="shared" si="31"/>
        <v>-14.027488160619674</v>
      </c>
      <c r="L139">
        <f t="shared" si="32"/>
        <v>-6.0234923102438644</v>
      </c>
      <c r="M139">
        <f t="shared" si="33"/>
        <v>0.197797677673165</v>
      </c>
      <c r="N139">
        <f t="shared" si="34"/>
        <v>-2.0871373738587901E-2</v>
      </c>
      <c r="O139" t="str">
        <f t="shared" si="28"/>
        <v>362.94627694188-19047.6913808979j</v>
      </c>
      <c r="P139">
        <f t="shared" si="35"/>
        <v>85.598423458229604</v>
      </c>
      <c r="Q139">
        <f t="shared" si="36"/>
        <v>-88.908383529533324</v>
      </c>
      <c r="R139">
        <f t="shared" si="37"/>
        <v>71.570935297609935</v>
      </c>
      <c r="S139">
        <f t="shared" si="38"/>
        <v>85.068124160222808</v>
      </c>
    </row>
    <row r="140" spans="7:19" x14ac:dyDescent="0.25">
      <c r="G140">
        <f t="shared" si="29"/>
        <v>1.7400000000000018</v>
      </c>
      <c r="H140">
        <f t="shared" si="27"/>
        <v>549.54087385762716</v>
      </c>
      <c r="I140" t="str">
        <f t="shared" si="30"/>
        <v>3452.86714431687j</v>
      </c>
      <c r="J140" t="str">
        <f>IMDIV(R_1,IMSUM('Phase Margin Example'!R_1,IMPRODUCT('Phase Margin Example'!R_f,IMSUM(1,IMPRODUCT(I140,C_s,R_1)))))</f>
        <v>0.197587764299739-0.0218318175830271j</v>
      </c>
      <c r="K140">
        <f t="shared" si="31"/>
        <v>-14.03209957108877</v>
      </c>
      <c r="L140">
        <f t="shared" si="32"/>
        <v>-6.3051352768980005</v>
      </c>
      <c r="M140">
        <f t="shared" si="33"/>
        <v>0.19758776429973901</v>
      </c>
      <c r="N140">
        <f t="shared" si="34"/>
        <v>-2.1831817583027099E-2</v>
      </c>
      <c r="O140" t="str">
        <f t="shared" si="28"/>
        <v>331.021509958761-18190.9849848409j</v>
      </c>
      <c r="P140">
        <f t="shared" si="35"/>
        <v>85.198562153856187</v>
      </c>
      <c r="Q140">
        <f t="shared" si="36"/>
        <v>-88.957503265798508</v>
      </c>
      <c r="R140">
        <f t="shared" si="37"/>
        <v>71.166462582767423</v>
      </c>
      <c r="S140">
        <f t="shared" si="38"/>
        <v>84.737361457303493</v>
      </c>
    </row>
    <row r="141" spans="7:19" x14ac:dyDescent="0.25">
      <c r="G141">
        <f t="shared" si="29"/>
        <v>1.7600000000000018</v>
      </c>
      <c r="H141">
        <f t="shared" si="27"/>
        <v>575.43993733715956</v>
      </c>
      <c r="I141" t="str">
        <f t="shared" si="30"/>
        <v>3615.59575944118j</v>
      </c>
      <c r="J141" t="str">
        <f>IMDIV(R_1,IMSUM('Phase Margin Example'!R_1,IMPRODUCT('Phase Margin Example'!R_f,IMSUM(1,IMPRODUCT(I141,C_s,R_1)))))</f>
        <v>0.197358110361134-0.0228341487012172j</v>
      </c>
      <c r="K141">
        <f t="shared" si="31"/>
        <v>-14.037150260609714</v>
      </c>
      <c r="L141">
        <f t="shared" si="32"/>
        <v>-6.5997238994535143</v>
      </c>
      <c r="M141">
        <f t="shared" si="33"/>
        <v>0.19735811036113399</v>
      </c>
      <c r="N141">
        <f t="shared" si="34"/>
        <v>-2.2834148701217201E-2</v>
      </c>
      <c r="O141" t="str">
        <f t="shared" si="28"/>
        <v>301.903998490236-17372.7617973059j</v>
      </c>
      <c r="P141">
        <f t="shared" si="35"/>
        <v>84.79868864963295</v>
      </c>
      <c r="Q141">
        <f t="shared" si="36"/>
        <v>-89.004413681467398</v>
      </c>
      <c r="R141">
        <f t="shared" si="37"/>
        <v>70.761538389023229</v>
      </c>
      <c r="S141">
        <f t="shared" si="38"/>
        <v>84.395862419079094</v>
      </c>
    </row>
    <row r="142" spans="7:19" x14ac:dyDescent="0.25">
      <c r="G142">
        <f t="shared" si="29"/>
        <v>1.7800000000000018</v>
      </c>
      <c r="H142">
        <f t="shared" si="27"/>
        <v>602.55958607436037</v>
      </c>
      <c r="I142" t="str">
        <f t="shared" si="30"/>
        <v>3785.99353792263j</v>
      </c>
      <c r="J142" t="str">
        <f>IMDIV(R_1,IMSUM('Phase Margin Example'!R_1,IMPRODUCT('Phase Margin Example'!R_f,IMSUM(1,IMPRODUCT(I142,C_s,R_1)))))</f>
        <v>0.19710691263357-0.0238798559203385j</v>
      </c>
      <c r="K142">
        <f t="shared" si="31"/>
        <v>-14.042681488745806</v>
      </c>
      <c r="L142">
        <f t="shared" si="32"/>
        <v>-6.907820604216937</v>
      </c>
      <c r="M142">
        <f t="shared" si="33"/>
        <v>0.19710691263357</v>
      </c>
      <c r="N142">
        <f t="shared" si="34"/>
        <v>-2.3879855920338498E-2</v>
      </c>
      <c r="O142" t="str">
        <f t="shared" si="28"/>
        <v>275.34703346352-16591.2994510582j</v>
      </c>
      <c r="P142">
        <f t="shared" si="35"/>
        <v>84.398804018365013</v>
      </c>
      <c r="Q142">
        <f t="shared" si="36"/>
        <v>-89.049214027676982</v>
      </c>
      <c r="R142">
        <f t="shared" si="37"/>
        <v>70.356122529619199</v>
      </c>
      <c r="S142">
        <f t="shared" si="38"/>
        <v>84.042965368106081</v>
      </c>
    </row>
    <row r="143" spans="7:19" x14ac:dyDescent="0.25">
      <c r="G143">
        <f t="shared" si="29"/>
        <v>1.8000000000000018</v>
      </c>
      <c r="H143">
        <f t="shared" si="27"/>
        <v>630.95734448019641</v>
      </c>
      <c r="I143" t="str">
        <f t="shared" si="30"/>
        <v>3964.42191629502j</v>
      </c>
      <c r="J143" t="str">
        <f>IMDIV(R_1,IMSUM('Phase Margin Example'!R_1,IMPRODUCT('Phase Margin Example'!R_f,IMSUM(1,IMPRODUCT(I143,C_s,R_1)))))</f>
        <v>0.196832213743303-0.0249704301438981j</v>
      </c>
      <c r="K143">
        <f t="shared" si="31"/>
        <v>-14.048738273846659</v>
      </c>
      <c r="L143">
        <f t="shared" si="32"/>
        <v>-7.230007482200759</v>
      </c>
      <c r="M143">
        <f t="shared" si="33"/>
        <v>0.19683221374330301</v>
      </c>
      <c r="N143">
        <f t="shared" si="34"/>
        <v>-2.49704301438981E-2</v>
      </c>
      <c r="O143" t="str">
        <f t="shared" si="28"/>
        <v>251.125563261459-15844.9518526544j</v>
      </c>
      <c r="P143">
        <f t="shared" si="35"/>
        <v>83.998909238571287</v>
      </c>
      <c r="Q143">
        <f t="shared" si="36"/>
        <v>-89.091999112341426</v>
      </c>
      <c r="R143">
        <f t="shared" si="37"/>
        <v>69.950170964724634</v>
      </c>
      <c r="S143">
        <f t="shared" si="38"/>
        <v>83.677993405457812</v>
      </c>
    </row>
    <row r="144" spans="7:19" x14ac:dyDescent="0.25">
      <c r="G144">
        <f t="shared" si="29"/>
        <v>1.8200000000000018</v>
      </c>
      <c r="H144">
        <f t="shared" si="27"/>
        <v>660.69344800759927</v>
      </c>
      <c r="I144" t="str">
        <f t="shared" si="30"/>
        <v>4151.25936507117j</v>
      </c>
      <c r="J144" t="str">
        <f>IMDIV(R_1,IMSUM('Phase Margin Example'!R_1,IMPRODUCT('Phase Margin Example'!R_f,IMSUM(1,IMPRODUCT(I144,C_s,R_1)))))</f>
        <v>0.196531891096654-0.0261073553104043j</v>
      </c>
      <c r="K144">
        <f t="shared" si="31"/>
        <v>-14.05536971235197</v>
      </c>
      <c r="L144">
        <f t="shared" si="32"/>
        <v>-7.5668862584813574</v>
      </c>
      <c r="M144">
        <f t="shared" si="33"/>
        <v>0.196531891096654</v>
      </c>
      <c r="N144">
        <f t="shared" si="34"/>
        <v>-2.6107355310404302E-2</v>
      </c>
      <c r="O144" t="str">
        <f t="shared" si="28"/>
        <v>229.03429655064-15132.1459100038j</v>
      </c>
      <c r="P144">
        <f t="shared" si="35"/>
        <v>83.599005202762683</v>
      </c>
      <c r="Q144">
        <f t="shared" si="36"/>
        <v>-89.132859497060153</v>
      </c>
      <c r="R144">
        <f t="shared" si="37"/>
        <v>69.543635490410708</v>
      </c>
      <c r="S144">
        <f t="shared" si="38"/>
        <v>83.300254244458486</v>
      </c>
    </row>
    <row r="145" spans="7:19" x14ac:dyDescent="0.25">
      <c r="G145">
        <f t="shared" si="29"/>
        <v>1.8400000000000019</v>
      </c>
      <c r="H145">
        <f t="shared" si="27"/>
        <v>691.83097091893967</v>
      </c>
      <c r="I145" t="str">
        <f t="shared" si="30"/>
        <v>4346.90219152967j</v>
      </c>
      <c r="J145" t="str">
        <f>IMDIV(R_1,IMSUM('Phase Margin Example'!R_1,IMPRODUCT('Phase Margin Example'!R_f,IMSUM(1,IMPRODUCT(I145,C_s,R_1)))))</f>
        <v>0.196203645447783-0.0272920978042586j</v>
      </c>
      <c r="K145">
        <f t="shared" si="31"/>
        <v>-14.062629320609567</v>
      </c>
      <c r="L145">
        <f t="shared" si="32"/>
        <v>-7.9190781322603847</v>
      </c>
      <c r="M145">
        <f t="shared" si="33"/>
        <v>0.19620364544778299</v>
      </c>
      <c r="N145">
        <f t="shared" si="34"/>
        <v>-2.7292097804258598E-2</v>
      </c>
      <c r="O145" t="str">
        <f t="shared" si="28"/>
        <v>208.885970620381-14451.3783865643j</v>
      </c>
      <c r="P145">
        <f t="shared" si="35"/>
        <v>83.199092724994244</v>
      </c>
      <c r="Q145">
        <f t="shared" si="36"/>
        <v>-89.171881685559157</v>
      </c>
      <c r="R145">
        <f t="shared" si="37"/>
        <v>69.136463404384671</v>
      </c>
      <c r="S145">
        <f t="shared" si="38"/>
        <v>82.909040182180462</v>
      </c>
    </row>
    <row r="146" spans="7:19" x14ac:dyDescent="0.25">
      <c r="G146">
        <f t="shared" si="29"/>
        <v>1.8600000000000019</v>
      </c>
      <c r="H146">
        <f t="shared" si="27"/>
        <v>724.4359600749932</v>
      </c>
      <c r="I146" t="str">
        <f t="shared" si="30"/>
        <v>4551.76538033573j</v>
      </c>
      <c r="J146" t="str">
        <f>IMDIV(R_1,IMSUM('Phase Margin Example'!R_1,IMPRODUCT('Phase Margin Example'!R_f,IMSUM(1,IMPRODUCT(I146,C_s,R_1)))))</f>
        <v>0.195844989192954-0.0285260941350628j</v>
      </c>
      <c r="K146">
        <f t="shared" si="31"/>
        <v>-14.070575399848842</v>
      </c>
      <c r="L146">
        <f t="shared" si="32"/>
        <v>-8.2872234660131348</v>
      </c>
      <c r="M146">
        <f t="shared" si="33"/>
        <v>0.19584498919295401</v>
      </c>
      <c r="N146">
        <f t="shared" si="34"/>
        <v>-2.85260941350628E-2</v>
      </c>
      <c r="O146" t="str">
        <f t="shared" si="28"/>
        <v>190.509770907838-13801.2128791287j</v>
      </c>
      <c r="P146">
        <f t="shared" si="35"/>
        <v>82.799172547756086</v>
      </c>
      <c r="Q146">
        <f t="shared" si="36"/>
        <v>-89.209148303995761</v>
      </c>
      <c r="R146">
        <f t="shared" si="37"/>
        <v>68.728597147907237</v>
      </c>
      <c r="S146">
        <f t="shared" si="38"/>
        <v>82.503628229991108</v>
      </c>
    </row>
    <row r="147" spans="7:19" x14ac:dyDescent="0.25">
      <c r="G147">
        <f t="shared" si="29"/>
        <v>1.8800000000000019</v>
      </c>
      <c r="H147">
        <f t="shared" si="27"/>
        <v>758.57757502918776</v>
      </c>
      <c r="I147" t="str">
        <f t="shared" si="30"/>
        <v>4766.28347377931j</v>
      </c>
      <c r="J147" t="str">
        <f>IMDIV(R_1,IMSUM('Phase Margin Example'!R_1,IMPRODUCT('Phase Margin Example'!R_f,IMSUM(1,IMPRODUCT(I147,C_s,R_1)))))</f>
        <v>0.19545323450809-0.0298107366890439j</v>
      </c>
      <c r="K147">
        <f t="shared" si="31"/>
        <v>-14.07927142474421</v>
      </c>
      <c r="L147">
        <f t="shared" si="32"/>
        <v>-8.6719812995970393</v>
      </c>
      <c r="M147">
        <f t="shared" si="33"/>
        <v>0.19545323450808999</v>
      </c>
      <c r="N147">
        <f t="shared" si="34"/>
        <v>-2.9810736689043899E-2</v>
      </c>
      <c r="O147" t="str">
        <f t="shared" si="28"/>
        <v>173.749888604895-13180.2769159492j</v>
      </c>
      <c r="P147">
        <f t="shared" si="35"/>
        <v>82.399245348259186</v>
      </c>
      <c r="Q147">
        <f t="shared" si="36"/>
        <v>-89.244738273448277</v>
      </c>
      <c r="R147">
        <f t="shared" si="37"/>
        <v>68.319973923514979</v>
      </c>
      <c r="S147">
        <f t="shared" si="38"/>
        <v>82.083280426954687</v>
      </c>
    </row>
    <row r="148" spans="7:19" x14ac:dyDescent="0.25">
      <c r="G148">
        <f t="shared" si="29"/>
        <v>1.9000000000000019</v>
      </c>
      <c r="H148">
        <f t="shared" si="27"/>
        <v>794.32823472428538</v>
      </c>
      <c r="I148" t="str">
        <f t="shared" si="30"/>
        <v>4990.91149349753j</v>
      </c>
      <c r="J148" t="str">
        <f>IMDIV(R_1,IMSUM('Phase Margin Example'!R_1,IMPRODUCT('Phase Margin Example'!R_f,IMSUM(1,IMPRODUCT(I148,C_s,R_1)))))</f>
        <v>0.195025481479464-0.0311473573453038j</v>
      </c>
      <c r="K148">
        <f t="shared" si="31"/>
        <v>-14.088786455738397</v>
      </c>
      <c r="L148">
        <f t="shared" si="32"/>
        <v>-9.0740286625292033</v>
      </c>
      <c r="M148">
        <f t="shared" si="33"/>
        <v>0.195025481479464</v>
      </c>
      <c r="N148">
        <f t="shared" si="34"/>
        <v>-3.11473573453038E-2</v>
      </c>
      <c r="O148" t="str">
        <f t="shared" si="28"/>
        <v>158.464204362235-12587.2591718043j</v>
      </c>
      <c r="P148">
        <f t="shared" si="35"/>
        <v>81.999311744171223</v>
      </c>
      <c r="Q148">
        <f t="shared" si="36"/>
        <v>-89.278726974904188</v>
      </c>
      <c r="R148">
        <f t="shared" si="37"/>
        <v>67.910525288432822</v>
      </c>
      <c r="S148">
        <f t="shared" si="38"/>
        <v>81.64724436256661</v>
      </c>
    </row>
    <row r="149" spans="7:19" x14ac:dyDescent="0.25">
      <c r="G149">
        <f t="shared" si="29"/>
        <v>1.9200000000000019</v>
      </c>
      <c r="H149">
        <f t="shared" si="27"/>
        <v>831.76377110267492</v>
      </c>
      <c r="I149" t="str">
        <f t="shared" si="30"/>
        <v>5226.12590563661j</v>
      </c>
      <c r="J149" t="str">
        <f>IMDIV(R_1,IMSUM('Phase Margin Example'!R_1,IMPRODUCT('Phase Margin Example'!R_f,IMSUM(1,IMPRODUCT(I149,C_s,R_1)))))</f>
        <v>0.194558606416054-0.0325372087409758j</v>
      </c>
      <c r="K149">
        <f t="shared" si="31"/>
        <v>-14.099195574957692</v>
      </c>
      <c r="L149">
        <f t="shared" si="32"/>
        <v>-9.4940596548487513</v>
      </c>
      <c r="M149">
        <f t="shared" si="33"/>
        <v>0.19455860641605399</v>
      </c>
      <c r="N149">
        <f t="shared" si="34"/>
        <v>-3.25372087409758E-2</v>
      </c>
      <c r="O149" t="str">
        <f t="shared" si="28"/>
        <v>144.523087132798-12020.9067964977j</v>
      </c>
      <c r="P149">
        <f t="shared" si="35"/>
        <v>81.59937229884774</v>
      </c>
      <c r="Q149">
        <f t="shared" si="36"/>
        <v>-89.311186407050343</v>
      </c>
      <c r="R149">
        <f t="shared" si="37"/>
        <v>67.50017672389005</v>
      </c>
      <c r="S149">
        <f t="shared" si="38"/>
        <v>81.194753938100902</v>
      </c>
    </row>
    <row r="150" spans="7:19" x14ac:dyDescent="0.25">
      <c r="G150">
        <f t="shared" si="29"/>
        <v>1.9400000000000019</v>
      </c>
      <c r="H150">
        <f t="shared" si="27"/>
        <v>870.96358995608455</v>
      </c>
      <c r="I150" t="str">
        <f t="shared" si="30"/>
        <v>5472.42563150046j</v>
      </c>
      <c r="J150" t="str">
        <f>IMDIV(R_1,IMSUM('Phase Margin Example'!R_1,IMPRODUCT('Phase Margin Example'!R_f,IMSUM(1,IMPRODUCT(I150,C_s,R_1)))))</f>
        <v>0.19404925057688-0.0339814429641719j</v>
      </c>
      <c r="K150">
        <f t="shared" si="31"/>
        <v>-14.110580345130334</v>
      </c>
      <c r="L150">
        <f t="shared" si="32"/>
        <v>-9.9327842640898343</v>
      </c>
      <c r="M150">
        <f t="shared" si="33"/>
        <v>0.19404925057687999</v>
      </c>
      <c r="N150">
        <f t="shared" si="34"/>
        <v>-3.3981442964171903E-2</v>
      </c>
      <c r="O150" t="str">
        <f t="shared" si="28"/>
        <v>131.808298137918-11480.0228532203j</v>
      </c>
      <c r="P150">
        <f t="shared" si="35"/>
        <v>81.199427526105254</v>
      </c>
      <c r="Q150">
        <f t="shared" si="36"/>
        <v>-89.342185337160018</v>
      </c>
      <c r="R150">
        <f t="shared" si="37"/>
        <v>67.088847180974923</v>
      </c>
      <c r="S150">
        <f t="shared" si="38"/>
        <v>80.72503039875015</v>
      </c>
    </row>
    <row r="151" spans="7:19" x14ac:dyDescent="0.25">
      <c r="G151">
        <f t="shared" si="29"/>
        <v>1.960000000000002</v>
      </c>
      <c r="H151">
        <f t="shared" si="27"/>
        <v>912.01083935591453</v>
      </c>
      <c r="I151" t="str">
        <f t="shared" si="30"/>
        <v>5730.3331058296j</v>
      </c>
      <c r="J151" t="str">
        <f>IMDIV(R_1,IMSUM('Phase Margin Example'!R_1,IMPRODUCT('Phase Margin Example'!R_f,IMSUM(1,IMPRODUCT(I151,C_s,R_1)))))</f>
        <v>0.193493809597956-0.0354810874531923j</v>
      </c>
      <c r="K151">
        <f t="shared" si="31"/>
        <v>-14.123029290402812</v>
      </c>
      <c r="L151">
        <f t="shared" si="32"/>
        <v>-10.390926882967328</v>
      </c>
      <c r="M151">
        <f t="shared" si="33"/>
        <v>0.19349380959795601</v>
      </c>
      <c r="N151">
        <f t="shared" si="34"/>
        <v>-3.5481087453192298E-2</v>
      </c>
      <c r="O151" t="str">
        <f t="shared" si="28"/>
        <v>120.211990801625-10963.4638631635j</v>
      </c>
      <c r="P151">
        <f t="shared" si="35"/>
        <v>80.799477894575034</v>
      </c>
      <c r="Q151">
        <f t="shared" si="36"/>
        <v>-89.371789445361927</v>
      </c>
      <c r="R151">
        <f t="shared" si="37"/>
        <v>66.676448604172222</v>
      </c>
      <c r="S151">
        <f t="shared" si="38"/>
        <v>80.237283671670752</v>
      </c>
    </row>
    <row r="152" spans="7:19" x14ac:dyDescent="0.25">
      <c r="G152">
        <f t="shared" si="29"/>
        <v>1.980000000000002</v>
      </c>
      <c r="H152">
        <f t="shared" si="27"/>
        <v>954.99258602144084</v>
      </c>
      <c r="I152" t="str">
        <f t="shared" si="30"/>
        <v>6000.39538495535j</v>
      </c>
      <c r="J152" t="str">
        <f>IMDIV(R_1,IMSUM('Phase Margin Example'!R_1,IMPRODUCT('Phase Margin Example'!R_f,IMSUM(1,IMPRODUCT(I152,C_s,R_1)))))</f>
        <v>0.192888423961657-0.0370370178864268j</v>
      </c>
      <c r="K152">
        <f t="shared" si="31"/>
        <v>-14.136638397322042</v>
      </c>
      <c r="L152">
        <f t="shared" si="32"/>
        <v>-10.869224489485051</v>
      </c>
      <c r="M152">
        <f t="shared" si="33"/>
        <v>0.19288842396165701</v>
      </c>
      <c r="N152">
        <f t="shared" si="34"/>
        <v>-3.7037017886426798E-2</v>
      </c>
      <c r="O152" t="str">
        <f t="shared" si="28"/>
        <v>109.635798288084-10470.1374527662j</v>
      </c>
      <c r="P152">
        <f t="shared" si="35"/>
        <v>80.399523831674799</v>
      </c>
      <c r="Q152">
        <f t="shared" si="36"/>
        <v>-89.400061462566626</v>
      </c>
      <c r="R152">
        <f t="shared" si="37"/>
        <v>66.262885434352754</v>
      </c>
      <c r="S152">
        <f t="shared" si="38"/>
        <v>79.730714047948325</v>
      </c>
    </row>
    <row r="153" spans="7:19" x14ac:dyDescent="0.25">
      <c r="G153">
        <f t="shared" si="29"/>
        <v>2.0000000000000018</v>
      </c>
      <c r="H153">
        <f t="shared" si="27"/>
        <v>1000.0000000000048</v>
      </c>
      <c r="I153" t="str">
        <f t="shared" si="30"/>
        <v>6283.18530717962j</v>
      </c>
      <c r="J153" t="str">
        <f>IMDIV(R_1,IMSUM('Phase Margin Example'!R_1,IMPRODUCT('Phase Margin Example'!R_f,IMSUM(1,IMPRODUCT(I153,C_s,R_1)))))</f>
        <v>0.19222897091636-0.0386499278616299j</v>
      </c>
      <c r="K153">
        <f t="shared" si="31"/>
        <v>-14.15151163350264</v>
      </c>
      <c r="L153">
        <f t="shared" si="32"/>
        <v>-11.368424448416448</v>
      </c>
      <c r="M153">
        <f t="shared" si="33"/>
        <v>0.19222897091635999</v>
      </c>
      <c r="N153">
        <f t="shared" si="34"/>
        <v>-3.86499278616299E-2</v>
      </c>
      <c r="O153" t="str">
        <f t="shared" si="28"/>
        <v>99.990000999898-9999.0000999899j</v>
      </c>
      <c r="P153">
        <f t="shared" si="35"/>
        <v>79.999565727231285</v>
      </c>
      <c r="Q153">
        <f t="shared" si="36"/>
        <v>-89.427061302316517</v>
      </c>
      <c r="R153">
        <f t="shared" si="37"/>
        <v>65.848054093728649</v>
      </c>
      <c r="S153">
        <f t="shared" si="38"/>
        <v>79.204514249267035</v>
      </c>
    </row>
    <row r="154" spans="7:19" x14ac:dyDescent="0.25">
      <c r="G154">
        <f t="shared" si="29"/>
        <v>2.0200000000000018</v>
      </c>
      <c r="H154">
        <f t="shared" si="27"/>
        <v>1047.1285480509046</v>
      </c>
      <c r="I154" t="str">
        <f t="shared" si="30"/>
        <v>6579.30270784174j</v>
      </c>
      <c r="J154" t="str">
        <f>IMDIV(R_1,IMSUM('Phase Margin Example'!R_1,IMPRODUCT('Phase Margin Example'!R_f,IMSUM(1,IMPRODUCT(I154,C_s,R_1)))))</f>
        <v>0.191511058326028-0.0403202951880345j</v>
      </c>
      <c r="K154">
        <f t="shared" si="31"/>
        <v>-14.16776148061069</v>
      </c>
      <c r="L154">
        <f t="shared" si="32"/>
        <v>-11.889281890601151</v>
      </c>
      <c r="M154">
        <f t="shared" si="33"/>
        <v>0.19151105832602799</v>
      </c>
      <c r="N154">
        <f t="shared" si="34"/>
        <v>-4.0320295188034497E-2</v>
      </c>
      <c r="O154" t="str">
        <f t="shared" si="28"/>
        <v>91.1927670563865-9549.05497604989j</v>
      </c>
      <c r="P154">
        <f t="shared" si="35"/>
        <v>79.599603936785371</v>
      </c>
      <c r="Q154">
        <f t="shared" si="36"/>
        <v>-89.452846186815975</v>
      </c>
      <c r="R154">
        <f t="shared" si="37"/>
        <v>65.431842456174678</v>
      </c>
      <c r="S154">
        <f t="shared" si="38"/>
        <v>78.657871922582871</v>
      </c>
    </row>
    <row r="155" spans="7:19" x14ac:dyDescent="0.25">
      <c r="G155">
        <f t="shared" si="29"/>
        <v>2.0400000000000018</v>
      </c>
      <c r="H155">
        <f t="shared" si="27"/>
        <v>1096.47819614319</v>
      </c>
      <c r="I155" t="str">
        <f t="shared" si="30"/>
        <v>6889.37569164967j</v>
      </c>
      <c r="J155" t="str">
        <f>IMDIV(R_1,IMSUM('Phase Margin Example'!R_1,IMPRODUCT('Phase Margin Example'!R_f,IMSUM(1,IMPRODUCT(I155,C_s,R_1)))))</f>
        <v>0.190730021007231-0.0420483446526417j</v>
      </c>
      <c r="K155">
        <f t="shared" si="31"/>
        <v>-14.185509477261073</v>
      </c>
      <c r="L155">
        <f t="shared" si="32"/>
        <v>-12.432556624408043</v>
      </c>
      <c r="M155">
        <f t="shared" si="33"/>
        <v>0.19073002100723099</v>
      </c>
      <c r="N155">
        <f t="shared" si="34"/>
        <v>-4.2048344652641699E-2</v>
      </c>
      <c r="O155" t="str">
        <f t="shared" si="28"/>
        <v>83.1694593759492-9119.34987907451j</v>
      </c>
      <c r="P155">
        <f t="shared" si="35"/>
        <v>79.199638784606009</v>
      </c>
      <c r="Q155">
        <f t="shared" si="36"/>
        <v>-89.477470767388738</v>
      </c>
      <c r="R155">
        <f t="shared" si="37"/>
        <v>65.01412930734493</v>
      </c>
      <c r="S155">
        <f t="shared" si="38"/>
        <v>78.089972608203226</v>
      </c>
    </row>
    <row r="156" spans="7:19" x14ac:dyDescent="0.25">
      <c r="G156">
        <f t="shared" si="29"/>
        <v>2.0600000000000018</v>
      </c>
      <c r="H156">
        <f t="shared" si="27"/>
        <v>1148.1536214968876</v>
      </c>
      <c r="I156" t="str">
        <f t="shared" si="30"/>
        <v>7214.06196497428j</v>
      </c>
      <c r="J156" t="str">
        <f>IMDIV(R_1,IMSUM('Phase Margin Example'!R_1,IMPRODUCT('Phase Margin Example'!R_f,IMSUM(1,IMPRODUCT(I156,C_s,R_1)))))</f>
        <v>0.189880920193929-0.0438340071758507j</v>
      </c>
      <c r="K156">
        <f t="shared" si="31"/>
        <v>-14.204886766226583</v>
      </c>
      <c r="L156">
        <f t="shared" si="32"/>
        <v>-12.999009532219379</v>
      </c>
      <c r="M156">
        <f t="shared" si="33"/>
        <v>0.18988092019392899</v>
      </c>
      <c r="N156">
        <f t="shared" si="34"/>
        <v>-4.3834007175850703E-2</v>
      </c>
      <c r="O156" t="str">
        <f t="shared" si="28"/>
        <v>75.8520035400268-8708.97525622767j</v>
      </c>
      <c r="P156">
        <f t="shared" si="35"/>
        <v>78.7996705664399</v>
      </c>
      <c r="Q156">
        <f t="shared" si="36"/>
        <v>-89.500987239600633</v>
      </c>
      <c r="R156">
        <f t="shared" si="37"/>
        <v>64.594783800213321</v>
      </c>
      <c r="S156">
        <f t="shared" si="38"/>
        <v>77.500003228179992</v>
      </c>
    </row>
    <row r="157" spans="7:19" x14ac:dyDescent="0.25">
      <c r="G157">
        <f t="shared" si="29"/>
        <v>2.0800000000000018</v>
      </c>
      <c r="H157">
        <f t="shared" si="27"/>
        <v>1202.2644346174188</v>
      </c>
      <c r="I157" t="str">
        <f t="shared" si="30"/>
        <v>7554.05023093274j</v>
      </c>
      <c r="J157" t="str">
        <f>IMDIV(R_1,IMSUM('Phase Margin Example'!R_1,IMPRODUCT('Phase Margin Example'!R_f,IMSUM(1,IMPRODUCT(I157,C_s,R_1)))))</f>
        <v>0.188958546856179-0.0456768753445003j</v>
      </c>
      <c r="K157">
        <f t="shared" si="31"/>
        <v>-14.226034638991864</v>
      </c>
      <c r="L157">
        <f t="shared" si="32"/>
        <v>-13.589398404131671</v>
      </c>
      <c r="M157">
        <f t="shared" si="33"/>
        <v>0.18895854685617899</v>
      </c>
      <c r="N157">
        <f t="shared" si="34"/>
        <v>-4.5676875344500302E-2</v>
      </c>
      <c r="O157" t="str">
        <f t="shared" si="28"/>
        <v>69.1783111220778-8317.06231089729j</v>
      </c>
      <c r="P157">
        <f t="shared" si="35"/>
        <v>78.399699552019712</v>
      </c>
      <c r="Q157">
        <f t="shared" si="36"/>
        <v>-89.523445453276409</v>
      </c>
      <c r="R157">
        <f t="shared" si="37"/>
        <v>64.173664913027849</v>
      </c>
      <c r="S157">
        <f t="shared" si="38"/>
        <v>76.88715614259192</v>
      </c>
    </row>
    <row r="158" spans="7:19" x14ac:dyDescent="0.25">
      <c r="G158">
        <f t="shared" si="29"/>
        <v>2.1000000000000019</v>
      </c>
      <c r="H158">
        <f t="shared" si="27"/>
        <v>1258.9254117941732</v>
      </c>
      <c r="I158" t="str">
        <f t="shared" si="30"/>
        <v>7910.06165022016j</v>
      </c>
      <c r="J158" t="str">
        <f>IMDIV(R_1,IMSUM('Phase Margin Example'!R_1,IMPRODUCT('Phase Margin Example'!R_f,IMSUM(1,IMPRODUCT(I158,C_s,R_1)))))</f>
        <v>0.187957429685148-0.047576155405646j</v>
      </c>
      <c r="K158">
        <f t="shared" si="31"/>
        <v>-14.249105069146086</v>
      </c>
      <c r="L158">
        <f t="shared" si="32"/>
        <v>-14.204473161510792</v>
      </c>
      <c r="M158">
        <f t="shared" si="33"/>
        <v>0.187957429685148</v>
      </c>
      <c r="N158">
        <f t="shared" si="34"/>
        <v>-4.7576155405645998E-2</v>
      </c>
      <c r="O158" t="str">
        <f t="shared" si="28"/>
        <v>63.0917536274863-7942.78119162995j</v>
      </c>
      <c r="P158">
        <f t="shared" si="35"/>
        <v>77.999725987351383</v>
      </c>
      <c r="Q158">
        <f t="shared" si="36"/>
        <v>-89.54489301763094</v>
      </c>
      <c r="R158">
        <f t="shared" si="37"/>
        <v>63.7506209182053</v>
      </c>
      <c r="S158">
        <f t="shared" si="38"/>
        <v>76.250633820858269</v>
      </c>
    </row>
    <row r="159" spans="7:19" x14ac:dyDescent="0.25">
      <c r="G159">
        <f t="shared" si="29"/>
        <v>2.1200000000000019</v>
      </c>
      <c r="H159">
        <f t="shared" si="27"/>
        <v>1318.2567385564132</v>
      </c>
      <c r="I159" t="str">
        <f t="shared" si="30"/>
        <v>8282.85137078814j</v>
      </c>
      <c r="J159" t="str">
        <f>IMDIV(R_1,IMSUM('Phase Margin Example'!R_1,IMPRODUCT('Phase Margin Example'!R_f,IMSUM(1,IMPRODUCT(I159,C_s,R_1)))))</f>
        <v>0.186871848639585-0.0495306159253151j</v>
      </c>
      <c r="K159">
        <f t="shared" si="31"/>
        <v>-14.274261224399744</v>
      </c>
      <c r="L159">
        <f t="shared" si="32"/>
        <v>-14.844970424910469</v>
      </c>
      <c r="M159">
        <f t="shared" si="33"/>
        <v>0.186871848639585</v>
      </c>
      <c r="N159">
        <f t="shared" si="34"/>
        <v>-4.9530615925315102E-2</v>
      </c>
      <c r="O159" t="str">
        <f t="shared" si="28"/>
        <v>57.5406826130357-7585.339259577j</v>
      </c>
      <c r="P159">
        <f t="shared" si="35"/>
        <v>77.599750096800676</v>
      </c>
      <c r="Q159">
        <f t="shared" si="36"/>
        <v>-89.565375401726058</v>
      </c>
      <c r="R159">
        <f t="shared" si="37"/>
        <v>63.325488872400932</v>
      </c>
      <c r="S159">
        <f t="shared" si="38"/>
        <v>75.589654173363471</v>
      </c>
    </row>
    <row r="160" spans="7:19" x14ac:dyDescent="0.25">
      <c r="G160">
        <f t="shared" si="29"/>
        <v>2.1400000000000019</v>
      </c>
      <c r="H160">
        <f t="shared" si="27"/>
        <v>1380.3842646028909</v>
      </c>
      <c r="I160" t="str">
        <f t="shared" si="30"/>
        <v>8673.21012961478j</v>
      </c>
      <c r="J160" t="str">
        <f>IMDIV(R_1,IMSUM('Phase Margin Example'!R_1,IMPRODUCT('Phase Margin Example'!R_f,IMSUM(1,IMPRODUCT(I160,C_s,R_1)))))</f>
        <v>0.185695855023247-0.0515385334660832j</v>
      </c>
      <c r="K160">
        <f t="shared" si="31"/>
        <v>-14.301677945145052</v>
      </c>
      <c r="L160">
        <f t="shared" si="32"/>
        <v>-15.511607384505247</v>
      </c>
      <c r="M160">
        <f t="shared" si="33"/>
        <v>0.18569585502324701</v>
      </c>
      <c r="N160">
        <f t="shared" si="34"/>
        <v>-5.1538533466083197E-2</v>
      </c>
      <c r="O160" t="str">
        <f t="shared" si="28"/>
        <v>52.4779919408099-7243.97943130513j</v>
      </c>
      <c r="P160">
        <f t="shared" si="35"/>
        <v>77.19977208499644</v>
      </c>
      <c r="Q160">
        <f t="shared" si="36"/>
        <v>-89.584936030455935</v>
      </c>
      <c r="R160">
        <f t="shared" si="37"/>
        <v>62.898094139851388</v>
      </c>
      <c r="S160">
        <f t="shared" si="38"/>
        <v>74.903456585038811</v>
      </c>
    </row>
    <row r="161" spans="7:19" x14ac:dyDescent="0.25">
      <c r="G161">
        <f t="shared" si="29"/>
        <v>2.1600000000000019</v>
      </c>
      <c r="H161">
        <f t="shared" si="27"/>
        <v>1445.439770745935</v>
      </c>
      <c r="I161" t="str">
        <f t="shared" si="30"/>
        <v>9081.96592996389j</v>
      </c>
      <c r="J161" t="str">
        <f>IMDIV(R_1,IMSUM('Phase Margin Example'!R_1,IMPRODUCT('Phase Margin Example'!R_f,IMSUM(1,IMPRODUCT(I161,C_s,R_1)))))</f>
        <v>0.184423299122305-0.05359763581825j</v>
      </c>
      <c r="K161">
        <f t="shared" si="31"/>
        <v>-14.331542175476308</v>
      </c>
      <c r="L161">
        <f t="shared" si="32"/>
        <v>-16.205074937021198</v>
      </c>
      <c r="M161">
        <f t="shared" si="33"/>
        <v>0.18442329912230501</v>
      </c>
      <c r="N161">
        <f t="shared" si="34"/>
        <v>-5.359763581825E-2</v>
      </c>
      <c r="O161" t="str">
        <f t="shared" si="28"/>
        <v>47.8607184742528-6917.978593916j</v>
      </c>
      <c r="P161">
        <f t="shared" si="35"/>
        <v>76.79979213856636</v>
      </c>
      <c r="Q161">
        <f t="shared" si="36"/>
        <v>-89.603616376256042</v>
      </c>
      <c r="R161">
        <f t="shared" si="37"/>
        <v>62.468249963090052</v>
      </c>
      <c r="S161">
        <f t="shared" si="38"/>
        <v>74.191308686722763</v>
      </c>
    </row>
    <row r="162" spans="7:19" x14ac:dyDescent="0.25">
      <c r="G162">
        <f t="shared" si="29"/>
        <v>2.1800000000000019</v>
      </c>
      <c r="H162">
        <f t="shared" si="27"/>
        <v>1513.5612484362155</v>
      </c>
      <c r="I162" t="str">
        <f t="shared" si="30"/>
        <v>9509.98579769082j</v>
      </c>
      <c r="J162" t="str">
        <f>IMDIV(R_1,IMSUM('Phase Margin Example'!R_1,IMPRODUCT('Phase Margin Example'!R_f,IMSUM(1,IMPRODUCT(I162,C_s,R_1)))))</f>
        <v>0.183047866468463-0.0557050435332059j</v>
      </c>
      <c r="K162">
        <f t="shared" si="31"/>
        <v>-14.364053330489433</v>
      </c>
      <c r="L162">
        <f t="shared" si="32"/>
        <v>-16.92603006157217</v>
      </c>
      <c r="M162">
        <f t="shared" si="33"/>
        <v>0.18304786646846299</v>
      </c>
      <c r="N162">
        <f t="shared" si="34"/>
        <v>-5.5705043533205899E-2</v>
      </c>
      <c r="O162" t="str">
        <f t="shared" si="28"/>
        <v>43.6496778464707-6606.6460895143j</v>
      </c>
      <c r="P162">
        <f t="shared" si="35"/>
        <v>76.399810427720254</v>
      </c>
      <c r="Q162">
        <f t="shared" si="36"/>
        <v>-89.621456046722372</v>
      </c>
      <c r="R162">
        <f t="shared" si="37"/>
        <v>62.035757097230821</v>
      </c>
      <c r="S162">
        <f t="shared" si="38"/>
        <v>73.452513891705451</v>
      </c>
    </row>
    <row r="163" spans="7:19" x14ac:dyDescent="0.25">
      <c r="G163">
        <f t="shared" si="29"/>
        <v>2.200000000000002</v>
      </c>
      <c r="H163">
        <f t="shared" si="27"/>
        <v>1584.8931924611211</v>
      </c>
      <c r="I163" t="str">
        <f t="shared" si="30"/>
        <v>9958.17762032066j</v>
      </c>
      <c r="J163" t="str">
        <f>IMDIV(R_1,IMSUM('Phase Margin Example'!R_1,IMPRODUCT('Phase Margin Example'!R_f,IMSUM(1,IMPRODUCT(I163,C_s,R_1)))))</f>
        <v>0.181563123798059-0.0578572107546027j</v>
      </c>
      <c r="K163">
        <f t="shared" si="31"/>
        <v>-14.399423581535693</v>
      </c>
      <c r="L163">
        <f t="shared" si="32"/>
        <v>-17.675087418282253</v>
      </c>
      <c r="M163">
        <f t="shared" si="33"/>
        <v>0.181563123798059</v>
      </c>
      <c r="N163">
        <f t="shared" si="34"/>
        <v>-5.7857210754602699E-2</v>
      </c>
      <c r="O163" t="str">
        <f t="shared" si="28"/>
        <v>39.8091322252502-6309.32226615836j</v>
      </c>
      <c r="P163">
        <f t="shared" si="35"/>
        <v>75.999827107694045</v>
      </c>
      <c r="Q163">
        <f t="shared" si="36"/>
        <v>-89.638492868320157</v>
      </c>
      <c r="R163">
        <f t="shared" si="37"/>
        <v>61.600403526158352</v>
      </c>
      <c r="S163">
        <f t="shared" si="38"/>
        <v>72.686419713397584</v>
      </c>
    </row>
    <row r="164" spans="7:19" x14ac:dyDescent="0.25">
      <c r="G164">
        <f t="shared" si="29"/>
        <v>2.220000000000002</v>
      </c>
      <c r="H164">
        <f t="shared" si="27"/>
        <v>1659.5869074375696</v>
      </c>
      <c r="I164" t="str">
        <f t="shared" si="30"/>
        <v>10427.4920727993j</v>
      </c>
      <c r="J164" t="str">
        <f>IMDIV(R_1,IMSUM('Phase Margin Example'!R_1,IMPRODUCT('Phase Margin Example'!R_f,IMSUM(1,IMPRODUCT(I164,C_s,R_1)))))</f>
        <v>0.17996257573868-0.0600498666213001j</v>
      </c>
      <c r="K164">
        <f t="shared" si="31"/>
        <v>-14.437878038995557</v>
      </c>
      <c r="L164">
        <f t="shared" si="32"/>
        <v>-18.452810168510624</v>
      </c>
      <c r="M164">
        <f t="shared" si="33"/>
        <v>0.17996257573867999</v>
      </c>
      <c r="N164">
        <f t="shared" si="34"/>
        <v>-6.0049866621300102E-2</v>
      </c>
      <c r="O164" t="str">
        <f t="shared" si="28"/>
        <v>36.3064872681329-6025.37709252418j</v>
      </c>
      <c r="P164">
        <f t="shared" si="35"/>
        <v>75.599842320066813</v>
      </c>
      <c r="Q164">
        <f t="shared" si="36"/>
        <v>-89.6547629663538</v>
      </c>
      <c r="R164">
        <f t="shared" si="37"/>
        <v>61.161964281071256</v>
      </c>
      <c r="S164">
        <f t="shared" si="38"/>
        <v>71.892426865135576</v>
      </c>
    </row>
    <row r="165" spans="7:19" x14ac:dyDescent="0.25">
      <c r="G165">
        <f t="shared" si="29"/>
        <v>2.240000000000002</v>
      </c>
      <c r="H165">
        <f t="shared" si="27"/>
        <v>1737.8008287493847</v>
      </c>
      <c r="I165" t="str">
        <f t="shared" si="30"/>
        <v>10918.9246340026j</v>
      </c>
      <c r="J165" t="str">
        <f>IMDIV(R_1,IMSUM('Phase Margin Example'!R_1,IMPRODUCT('Phase Margin Example'!R_f,IMSUM(1,IMPRODUCT(I165,C_s,R_1)))))</f>
        <v>0.178239733160659-0.0622779588213111j</v>
      </c>
      <c r="K165">
        <f t="shared" si="31"/>
        <v>-14.479654810159701</v>
      </c>
      <c r="L165">
        <f t="shared" si="32"/>
        <v>-19.25970003429245</v>
      </c>
      <c r="M165">
        <f t="shared" si="33"/>
        <v>0.178239733160659</v>
      </c>
      <c r="N165">
        <f t="shared" si="34"/>
        <v>-6.2277958821311097E-2</v>
      </c>
      <c r="O165" t="str">
        <f t="shared" si="28"/>
        <v>33.1120157063694-5754.20883360912j</v>
      </c>
      <c r="P165">
        <f t="shared" si="35"/>
        <v>75.199856193962049</v>
      </c>
      <c r="Q165">
        <f t="shared" si="36"/>
        <v>-89.670300841362689</v>
      </c>
      <c r="R165">
        <f t="shared" si="37"/>
        <v>60.720201383802348</v>
      </c>
      <c r="S165">
        <f t="shared" si="38"/>
        <v>71.069999124344861</v>
      </c>
    </row>
    <row r="166" spans="7:19" x14ac:dyDescent="0.25">
      <c r="G166">
        <f t="shared" si="29"/>
        <v>2.260000000000002</v>
      </c>
      <c r="H166">
        <f t="shared" si="27"/>
        <v>1819.7008586099926</v>
      </c>
      <c r="I166" t="str">
        <f t="shared" si="30"/>
        <v>11433.5176982804j</v>
      </c>
      <c r="J166" t="str">
        <f>IMDIV(R_1,IMSUM('Phase Margin Example'!R_1,IMPRODUCT('Phase Margin Example'!R_f,IMSUM(1,IMPRODUCT(I166,C_s,R_1)))))</f>
        <v>0.176388193968292-0.0645356012001335j</v>
      </c>
      <c r="K166">
        <f t="shared" si="31"/>
        <v>-14.525004908078499</v>
      </c>
      <c r="L166">
        <f t="shared" si="32"/>
        <v>-20.09618663756557</v>
      </c>
      <c r="M166">
        <f t="shared" si="33"/>
        <v>0.176388193968292</v>
      </c>
      <c r="N166">
        <f t="shared" si="34"/>
        <v>-6.4535601200133505E-2</v>
      </c>
      <c r="O166" t="str">
        <f t="shared" si="28"/>
        <v>30.1986052207217-5495.24278489717j</v>
      </c>
      <c r="P166">
        <f t="shared" si="35"/>
        <v>74.799868847143514</v>
      </c>
      <c r="Q166">
        <f t="shared" si="36"/>
        <v>-89.685139442100365</v>
      </c>
      <c r="R166">
        <f t="shared" si="37"/>
        <v>60.274863939065014</v>
      </c>
      <c r="S166">
        <f t="shared" si="38"/>
        <v>70.218673920334069</v>
      </c>
    </row>
    <row r="167" spans="7:19" x14ac:dyDescent="0.25">
      <c r="G167">
        <f t="shared" si="29"/>
        <v>2.280000000000002</v>
      </c>
      <c r="H167">
        <f t="shared" si="27"/>
        <v>1905.4607179632562</v>
      </c>
      <c r="I167" t="str">
        <f t="shared" si="30"/>
        <v>11972.3627865146j</v>
      </c>
      <c r="J167" t="str">
        <f>IMDIV(R_1,IMSUM('Phase Margin Example'!R_1,IMPRODUCT('Phase Margin Example'!R_f,IMSUM(1,IMPRODUCT(I167,C_s,R_1)))))</f>
        <v>0.174401736861666-0.0668160276577961j</v>
      </c>
      <c r="K167">
        <f t="shared" si="31"/>
        <v>-14.574191985922159</v>
      </c>
      <c r="L167">
        <f t="shared" si="32"/>
        <v>-20.962616187048976</v>
      </c>
      <c r="M167">
        <f t="shared" si="33"/>
        <v>0.17440173686166599</v>
      </c>
      <c r="N167">
        <f t="shared" si="34"/>
        <v>-6.6816027657796095E-2</v>
      </c>
      <c r="O167" t="str">
        <f t="shared" si="28"/>
        <v>27.5415284766987-5247.93006250158j</v>
      </c>
      <c r="P167">
        <f t="shared" si="35"/>
        <v>74.399880387014377</v>
      </c>
      <c r="Q167">
        <f t="shared" si="36"/>
        <v>-89.699310235248092</v>
      </c>
      <c r="R167">
        <f t="shared" si="37"/>
        <v>59.825688401092222</v>
      </c>
      <c r="S167">
        <f t="shared" si="38"/>
        <v>69.338073577702929</v>
      </c>
    </row>
    <row r="168" spans="7:19" x14ac:dyDescent="0.25">
      <c r="G168">
        <f t="shared" si="29"/>
        <v>2.300000000000002</v>
      </c>
      <c r="H168">
        <f t="shared" si="27"/>
        <v>1995.2623149688907</v>
      </c>
      <c r="I168" t="str">
        <f t="shared" si="30"/>
        <v>12536.6028613817j</v>
      </c>
      <c r="J168" t="str">
        <f>IMDIV(R_1,IMSUM('Phase Margin Example'!R_1,IMPRODUCT('Phase Margin Example'!R_f,IMSUM(1,IMPRODUCT(I168,C_s,R_1)))))</f>
        <v>0.172274428262885-0.069111554889708j</v>
      </c>
      <c r="K168">
        <f t="shared" si="31"/>
        <v>-14.627491870651312</v>
      </c>
      <c r="L168">
        <f t="shared" si="32"/>
        <v>-21.859239612251841</v>
      </c>
      <c r="M168">
        <f t="shared" si="33"/>
        <v>0.172274428262885</v>
      </c>
      <c r="N168">
        <f t="shared" si="34"/>
        <v>-6.9111554889707993E-2</v>
      </c>
      <c r="O168" t="str">
        <f t="shared" si="28"/>
        <v>25.1182333735993-5011.74644689369j</v>
      </c>
      <c r="P168">
        <f t="shared" si="35"/>
        <v>73.999890911528354</v>
      </c>
      <c r="Q168">
        <f t="shared" si="36"/>
        <v>-89.71284327200739</v>
      </c>
      <c r="R168">
        <f t="shared" si="37"/>
        <v>59.372399040877042</v>
      </c>
      <c r="S168">
        <f t="shared" si="38"/>
        <v>68.427917115740769</v>
      </c>
    </row>
    <row r="169" spans="7:19" x14ac:dyDescent="0.25">
      <c r="G169">
        <f t="shared" si="29"/>
        <v>2.3200000000000021</v>
      </c>
      <c r="H169">
        <f t="shared" si="27"/>
        <v>2089.2961308540507</v>
      </c>
      <c r="I169" t="str">
        <f t="shared" si="30"/>
        <v>13127.4347517293j</v>
      </c>
      <c r="J169" t="str">
        <f>IMDIV(R_1,IMSUM('Phase Margin Example'!R_1,IMPRODUCT('Phase Margin Example'!R_f,IMSUM(1,IMPRODUCT(I169,C_s,R_1)))))</f>
        <v>0.170000742160806-0.0714135568147694j</v>
      </c>
      <c r="K169">
        <f t="shared" si="31"/>
        <v>-14.685191869833975</v>
      </c>
      <c r="L169">
        <f t="shared" si="32"/>
        <v>-22.786200279757704</v>
      </c>
      <c r="M169">
        <f t="shared" si="33"/>
        <v>0.17000074216080599</v>
      </c>
      <c r="N169">
        <f t="shared" si="34"/>
        <v>-7.1413556814769394E-2</v>
      </c>
      <c r="O169" t="str">
        <f t="shared" si="28"/>
        <v>22.9081517322396-4786.19127791857j</v>
      </c>
      <c r="P169">
        <f t="shared" si="35"/>
        <v>73.599900510021499</v>
      </c>
      <c r="Q169">
        <f t="shared" si="36"/>
        <v>-89.725767251709883</v>
      </c>
      <c r="R169">
        <f t="shared" si="37"/>
        <v>58.914708640187527</v>
      </c>
      <c r="S169">
        <f t="shared" si="38"/>
        <v>67.48803246853241</v>
      </c>
    </row>
    <row r="170" spans="7:19" x14ac:dyDescent="0.25">
      <c r="G170">
        <f t="shared" si="29"/>
        <v>2.3400000000000021</v>
      </c>
      <c r="H170">
        <f t="shared" si="27"/>
        <v>2187.7616239495642</v>
      </c>
      <c r="I170" t="str">
        <f t="shared" si="30"/>
        <v>13746.1116912113j</v>
      </c>
      <c r="J170" t="str">
        <f>IMDIV(R_1,IMSUM('Phase Margin Example'!R_1,IMPRODUCT('Phase Margin Example'!R_f,IMSUM(1,IMPRODUCT(I170,C_s,R_1)))))</f>
        <v>0.167575692081442-0.073712453762673j</v>
      </c>
      <c r="K170">
        <f t="shared" si="31"/>
        <v>-14.747589826463209</v>
      </c>
      <c r="L170">
        <f t="shared" si="32"/>
        <v>-23.74352146602445</v>
      </c>
      <c r="M170">
        <f t="shared" si="33"/>
        <v>0.16757569208144199</v>
      </c>
      <c r="N170">
        <f t="shared" si="34"/>
        <v>-7.3712453762673005E-2</v>
      </c>
      <c r="O170" t="str">
        <f t="shared" si="28"/>
        <v>20.8925248018277-4570.78639888533j</v>
      </c>
      <c r="P170">
        <f t="shared" si="35"/>
        <v>73.199909263969715</v>
      </c>
      <c r="Q170">
        <f t="shared" si="36"/>
        <v>-89.738109582576541</v>
      </c>
      <c r="R170">
        <f t="shared" si="37"/>
        <v>58.452319437506503</v>
      </c>
      <c r="S170">
        <f t="shared" si="38"/>
        <v>66.518368951399012</v>
      </c>
    </row>
    <row r="171" spans="7:19" x14ac:dyDescent="0.25">
      <c r="G171">
        <f t="shared" si="29"/>
        <v>2.3600000000000021</v>
      </c>
      <c r="H171">
        <f t="shared" si="27"/>
        <v>2290.8676527677844</v>
      </c>
      <c r="I171" t="str">
        <f t="shared" si="30"/>
        <v>14393.9459765635j</v>
      </c>
      <c r="J171" t="str">
        <f>IMDIV(R_1,IMSUM('Phase Margin Example'!R_1,IMPRODUCT('Phase Margin Example'!R_f,IMSUM(1,IMPRODUCT(I171,C_s,R_1)))))</f>
        <v>0.164994973738356-0.0759977196286209j</v>
      </c>
      <c r="K171">
        <f t="shared" si="31"/>
        <v>-14.814992898854143</v>
      </c>
      <c r="L171">
        <f t="shared" si="32"/>
        <v>-24.731093802494311</v>
      </c>
      <c r="M171">
        <f t="shared" si="33"/>
        <v>0.164994973738356</v>
      </c>
      <c r="N171">
        <f t="shared" si="34"/>
        <v>-7.5997719628620897E-2</v>
      </c>
      <c r="O171" t="str">
        <f t="shared" si="28"/>
        <v>19.0542441084958-4365.0751476094j</v>
      </c>
      <c r="P171">
        <f t="shared" si="35"/>
        <v>72.799917247680852</v>
      </c>
      <c r="Q171">
        <f t="shared" si="36"/>
        <v>-89.749896439753599</v>
      </c>
      <c r="R171">
        <f t="shared" si="37"/>
        <v>57.984924348826709</v>
      </c>
      <c r="S171">
        <f t="shared" si="38"/>
        <v>65.519009757752087</v>
      </c>
    </row>
    <row r="172" spans="7:19" x14ac:dyDescent="0.25">
      <c r="G172">
        <f t="shared" si="29"/>
        <v>2.3800000000000021</v>
      </c>
      <c r="H172">
        <f t="shared" si="27"/>
        <v>2398.8329190195041</v>
      </c>
      <c r="I172" t="str">
        <f t="shared" si="30"/>
        <v>15072.3117511621j</v>
      </c>
      <c r="J172" t="str">
        <f>IMDIV(R_1,IMSUM('Phase Margin Example'!R_1,IMPRODUCT('Phase Margin Example'!R_f,IMSUM(1,IMPRODUCT(I172,C_s,R_1)))))</f>
        <v>0.162255116169295-0.0782579102119883j</v>
      </c>
      <c r="K172">
        <f t="shared" si="31"/>
        <v>-14.887716046321014</v>
      </c>
      <c r="L172">
        <f t="shared" si="32"/>
        <v>-25.748662951346919</v>
      </c>
      <c r="M172">
        <f t="shared" si="33"/>
        <v>0.162255116169295</v>
      </c>
      <c r="N172">
        <f t="shared" si="34"/>
        <v>-7.8257910211988302E-2</v>
      </c>
      <c r="O172" t="str">
        <f t="shared" si="28"/>
        <v>17.3777062975694-4168.62139236622j</v>
      </c>
      <c r="P172">
        <f t="shared" si="35"/>
        <v>72.399924528924643</v>
      </c>
      <c r="Q172">
        <f t="shared" si="36"/>
        <v>-89.761152820745636</v>
      </c>
      <c r="R172">
        <f t="shared" si="37"/>
        <v>57.512208482603626</v>
      </c>
      <c r="S172">
        <f t="shared" si="38"/>
        <v>64.490184227907449</v>
      </c>
    </row>
    <row r="173" spans="7:19" x14ac:dyDescent="0.25">
      <c r="G173">
        <f t="shared" si="29"/>
        <v>2.4000000000000021</v>
      </c>
      <c r="H173">
        <f t="shared" si="27"/>
        <v>2511.8864315095939</v>
      </c>
      <c r="I173" t="str">
        <f t="shared" si="30"/>
        <v>15782.6479197648j</v>
      </c>
      <c r="J173" t="str">
        <f>IMDIV(R_1,IMSUM('Phase Margin Example'!R_1,IMPRODUCT('Phase Margin Example'!R_f,IMSUM(1,IMPRODUCT(I173,C_s,R_1)))))</f>
        <v>0.159353638343099-0.0804807157984854j</v>
      </c>
      <c r="K173">
        <f t="shared" si="31"/>
        <v>-14.966080206537068</v>
      </c>
      <c r="L173">
        <f t="shared" si="32"/>
        <v>-26.795817811826719</v>
      </c>
      <c r="M173">
        <f t="shared" si="33"/>
        <v>0.15935363834309901</v>
      </c>
      <c r="N173">
        <f t="shared" si="34"/>
        <v>-8.0480715798485397E-2</v>
      </c>
      <c r="O173" t="str">
        <f t="shared" si="28"/>
        <v>15.8486807399489-3981.00861080049j</v>
      </c>
      <c r="P173">
        <f t="shared" si="35"/>
        <v>71.999931169508613</v>
      </c>
      <c r="Q173">
        <f t="shared" si="36"/>
        <v>-89.771902598362203</v>
      </c>
      <c r="R173">
        <f t="shared" si="37"/>
        <v>57.033850962971542</v>
      </c>
      <c r="S173">
        <f t="shared" si="38"/>
        <v>63.432279589811074</v>
      </c>
    </row>
    <row r="174" spans="7:19" x14ac:dyDescent="0.25">
      <c r="G174">
        <f t="shared" si="29"/>
        <v>2.4200000000000021</v>
      </c>
      <c r="H174">
        <f t="shared" si="27"/>
        <v>2630.2679918953959</v>
      </c>
      <c r="I174" t="str">
        <f t="shared" si="30"/>
        <v>16526.4612006219j</v>
      </c>
      <c r="J174" t="str">
        <f>IMDIV(R_1,IMSUM('Phase Margin Example'!R_1,IMPRODUCT('Phase Margin Example'!R_f,IMSUM(1,IMPRODUCT(I174,C_s,R_1)))))</f>
        <v>0.156289207358763-0.0826530406876974j</v>
      </c>
      <c r="K174">
        <f t="shared" si="31"/>
        <v>-15.050410157369779</v>
      </c>
      <c r="L174">
        <f t="shared" si="32"/>
        <v>-27.871979595328892</v>
      </c>
      <c r="M174">
        <f t="shared" si="33"/>
        <v>0.156289207358763</v>
      </c>
      <c r="N174">
        <f t="shared" si="34"/>
        <v>-8.2653040687697396E-2</v>
      </c>
      <c r="O174" t="str">
        <f t="shared" si="28"/>
        <v>14.454188780866-3801.83900991253j</v>
      </c>
      <c r="P174">
        <f t="shared" si="35"/>
        <v>71.599937225802009</v>
      </c>
      <c r="Q174">
        <f t="shared" si="36"/>
        <v>-89.782168571288707</v>
      </c>
      <c r="R174">
        <f t="shared" si="37"/>
        <v>56.549527068432226</v>
      </c>
      <c r="S174">
        <f t="shared" si="38"/>
        <v>62.345851833382397</v>
      </c>
    </row>
    <row r="175" spans="7:19" x14ac:dyDescent="0.25">
      <c r="G175">
        <f t="shared" si="29"/>
        <v>2.4400000000000022</v>
      </c>
      <c r="H175">
        <f t="shared" si="27"/>
        <v>2754.2287033381804</v>
      </c>
      <c r="I175" t="str">
        <f t="shared" si="30"/>
        <v>17305.3293214267j</v>
      </c>
      <c r="J175" t="str">
        <f>IMDIV(R_1,IMSUM('Phase Margin Example'!R_1,IMPRODUCT('Phase Margin Example'!R_f,IMSUM(1,IMPRODUCT(I175,C_s,R_1)))))</f>
        <v>0.153061793504059-0.0847611117797105j</v>
      </c>
      <c r="K175">
        <f t="shared" si="31"/>
        <v>-15.141032064601037</v>
      </c>
      <c r="L175">
        <f t="shared" si="32"/>
        <v>-28.976392139447935</v>
      </c>
      <c r="M175">
        <f t="shared" si="33"/>
        <v>0.15306179350405899</v>
      </c>
      <c r="N175">
        <f t="shared" si="34"/>
        <v>-8.4761111779710505E-2</v>
      </c>
      <c r="O175" t="str">
        <f t="shared" si="28"/>
        <v>13.182393607772-3630.73268532273j</v>
      </c>
      <c r="P175">
        <f t="shared" si="35"/>
        <v>71.199942749214628</v>
      </c>
      <c r="Q175">
        <f t="shared" si="36"/>
        <v>-89.791972512387446</v>
      </c>
      <c r="R175">
        <f t="shared" si="37"/>
        <v>56.058910684613593</v>
      </c>
      <c r="S175">
        <f t="shared" si="38"/>
        <v>61.231635348164616</v>
      </c>
    </row>
    <row r="176" spans="7:19" x14ac:dyDescent="0.25">
      <c r="G176">
        <f t="shared" si="29"/>
        <v>2.4600000000000022</v>
      </c>
      <c r="H176">
        <f t="shared" si="27"/>
        <v>2884.0315031266227</v>
      </c>
      <c r="I176" t="str">
        <f t="shared" si="30"/>
        <v>18120.9043658883j</v>
      </c>
      <c r="J176" t="str">
        <f>IMDIV(R_1,IMSUM('Phase Margin Example'!R_1,IMPRODUCT('Phase Margin Example'!R_f,IMSUM(1,IMPRODUCT(I176,C_s,R_1)))))</f>
        <v>0.14967281665532-0.0867906174970943j</v>
      </c>
      <c r="K176">
        <f t="shared" si="31"/>
        <v>-15.238270727209866</v>
      </c>
      <c r="L176">
        <f t="shared" si="32"/>
        <v>-30.108113853844245</v>
      </c>
      <c r="M176">
        <f t="shared" si="33"/>
        <v>0.14967281665532001</v>
      </c>
      <c r="N176">
        <f t="shared" si="34"/>
        <v>-8.6790617497094297E-2</v>
      </c>
      <c r="O176" t="str">
        <f t="shared" si="28"/>
        <v>12.0224998039346-3467.32681808812j</v>
      </c>
      <c r="P176">
        <f t="shared" si="35"/>
        <v>70.799947786632814</v>
      </c>
      <c r="Q176">
        <f t="shared" si="36"/>
        <v>-89.801335214830246</v>
      </c>
      <c r="R176">
        <f t="shared" si="37"/>
        <v>55.561677059422948</v>
      </c>
      <c r="S176">
        <f t="shared" si="38"/>
        <v>60.09055093132551</v>
      </c>
    </row>
    <row r="177" spans="7:19" x14ac:dyDescent="0.25">
      <c r="G177">
        <f t="shared" si="29"/>
        <v>2.4800000000000022</v>
      </c>
      <c r="H177">
        <f t="shared" si="27"/>
        <v>3019.9517204020331</v>
      </c>
      <c r="I177" t="str">
        <f t="shared" si="30"/>
        <v>18974.9162780218j</v>
      </c>
      <c r="J177" t="str">
        <f>IMDIV(R_1,IMSUM('Phase Margin Example'!R_1,IMPRODUCT('Phase Margin Example'!R_f,IMSUM(1,IMPRODUCT(I177,C_s,R_1)))))</f>
        <v>0.146125277855086-0.0887268772288936j</v>
      </c>
      <c r="K177">
        <f t="shared" si="31"/>
        <v>-15.342446543607091</v>
      </c>
      <c r="L177">
        <f t="shared" si="32"/>
        <v>-31.26601170069949</v>
      </c>
      <c r="M177">
        <f t="shared" si="33"/>
        <v>0.146125277855086</v>
      </c>
      <c r="N177">
        <f t="shared" si="34"/>
        <v>-8.8726877228893594E-2</v>
      </c>
      <c r="O177" t="str">
        <f t="shared" si="28"/>
        <v>10.9646617363065-3311.27490741851j</v>
      </c>
      <c r="P177">
        <f t="shared" si="35"/>
        <v>70.399952380817993</v>
      </c>
      <c r="Q177">
        <f t="shared" si="36"/>
        <v>-89.810276536159577</v>
      </c>
      <c r="R177">
        <f t="shared" si="37"/>
        <v>55.057505837210904</v>
      </c>
      <c r="S177">
        <f t="shared" si="38"/>
        <v>58.923711763140929</v>
      </c>
    </row>
    <row r="178" spans="7:19" x14ac:dyDescent="0.25">
      <c r="G178">
        <f t="shared" si="29"/>
        <v>2.5000000000000022</v>
      </c>
      <c r="H178">
        <f t="shared" si="27"/>
        <v>3162.2776601683968</v>
      </c>
      <c r="I178" t="str">
        <f t="shared" si="30"/>
        <v>19869.1765315923j</v>
      </c>
      <c r="J178" t="str">
        <f>IMDIV(R_1,IMSUM('Phase Margin Example'!R_1,IMPRODUCT('Phase Margin Example'!R_f,IMSUM(1,IMPRODUCT(I178,C_s,R_1)))))</f>
        <v>0.142423869479517-0.0905550401600315j</v>
      </c>
      <c r="K178">
        <f t="shared" si="31"/>
        <v>-15.45387223500656</v>
      </c>
      <c r="L178">
        <f t="shared" si="32"/>
        <v>-32.448757606509801</v>
      </c>
      <c r="M178">
        <f t="shared" si="33"/>
        <v>0.14242386947951699</v>
      </c>
      <c r="N178">
        <f t="shared" si="34"/>
        <v>-9.0555040160031505E-2</v>
      </c>
      <c r="O178" t="str">
        <f t="shared" si="28"/>
        <v>9.99990000099992-3162.24603770799j</v>
      </c>
      <c r="P178">
        <f t="shared" si="35"/>
        <v>69.99995657076893</v>
      </c>
      <c r="Q178">
        <f t="shared" si="36"/>
        <v>-89.81881544037077</v>
      </c>
      <c r="R178">
        <f t="shared" si="37"/>
        <v>54.546084335762373</v>
      </c>
      <c r="S178">
        <f t="shared" si="38"/>
        <v>57.732426953119429</v>
      </c>
    </row>
    <row r="179" spans="7:19" x14ac:dyDescent="0.25">
      <c r="G179">
        <f t="shared" si="29"/>
        <v>2.5200000000000022</v>
      </c>
      <c r="H179">
        <f t="shared" si="27"/>
        <v>3311.3112148259315</v>
      </c>
      <c r="I179" t="str">
        <f t="shared" si="30"/>
        <v>20805.5819724933j</v>
      </c>
      <c r="J179" t="str">
        <f>IMDIV(R_1,IMSUM('Phase Margin Example'!R_1,IMPRODUCT('Phase Margin Example'!R_f,IMSUM(1,IMPRODUCT(I179,C_s,R_1)))))</f>
        <v>0.138575057282717-0.0922603108364325j</v>
      </c>
      <c r="K179">
        <f t="shared" si="31"/>
        <v>-15.572849375473428</v>
      </c>
      <c r="L179">
        <f t="shared" si="32"/>
        <v>-33.654827677155119</v>
      </c>
      <c r="M179">
        <f t="shared" si="33"/>
        <v>0.13857505728271699</v>
      </c>
      <c r="N179">
        <f t="shared" si="34"/>
        <v>-9.2260310836432505E-2</v>
      </c>
      <c r="O179" t="str">
        <f t="shared" si="28"/>
        <v>9.12002521794045-3019.92417836615j</v>
      </c>
      <c r="P179">
        <f t="shared" si="35"/>
        <v>69.599960392053063</v>
      </c>
      <c r="Q179">
        <f t="shared" si="36"/>
        <v>-89.826970038103752</v>
      </c>
      <c r="R179">
        <f t="shared" si="37"/>
        <v>54.027111016579639</v>
      </c>
      <c r="S179">
        <f t="shared" si="38"/>
        <v>56.518202284741136</v>
      </c>
    </row>
    <row r="180" spans="7:19" x14ac:dyDescent="0.25">
      <c r="G180">
        <f t="shared" si="29"/>
        <v>2.5400000000000023</v>
      </c>
      <c r="H180">
        <f t="shared" si="27"/>
        <v>3467.3685045253369</v>
      </c>
      <c r="I180" t="str">
        <f t="shared" si="30"/>
        <v>21786.1188422108j</v>
      </c>
      <c r="J180" t="str">
        <f>IMDIV(R_1,IMSUM('Phase Margin Example'!R_1,IMPRODUCT('Phase Margin Example'!R_f,IMSUM(1,IMPRODUCT(I180,C_s,R_1)))))</f>
        <v>0.134587127852284-0.0938281971846937j</v>
      </c>
      <c r="K180">
        <f t="shared" si="31"/>
        <v>-15.699664791438106</v>
      </c>
      <c r="L180">
        <f t="shared" si="32"/>
        <v>-34.882504542557371</v>
      </c>
      <c r="M180">
        <f t="shared" si="33"/>
        <v>0.13458712785228399</v>
      </c>
      <c r="N180">
        <f t="shared" si="34"/>
        <v>-9.3828197184693707E-2</v>
      </c>
      <c r="O180" t="str">
        <f t="shared" si="28"/>
        <v>8.31756852850499-2884.00751499693j</v>
      </c>
      <c r="P180">
        <f t="shared" si="35"/>
        <v>69.199963877108587</v>
      </c>
      <c r="Q180">
        <f t="shared" si="36"/>
        <v>-89.834757625029141</v>
      </c>
      <c r="R180">
        <f t="shared" si="37"/>
        <v>53.500299085670477</v>
      </c>
      <c r="S180">
        <f t="shared" si="38"/>
        <v>55.282737832413488</v>
      </c>
    </row>
    <row r="181" spans="7:19" x14ac:dyDescent="0.25">
      <c r="G181">
        <f t="shared" si="29"/>
        <v>2.5600000000000023</v>
      </c>
      <c r="H181">
        <f t="shared" si="27"/>
        <v>3630.7805477010343</v>
      </c>
      <c r="I181" t="str">
        <f t="shared" si="30"/>
        <v>22812.8669909086j</v>
      </c>
      <c r="J181" t="str">
        <f>IMDIV(R_1,IMSUM('Phase Margin Example'!R_1,IMPRODUCT('Phase Margin Example'!R_f,IMSUM(1,IMPRODUCT(I181,C_s,R_1)))))</f>
        <v>0.130470195684086-0.0952447750534039j</v>
      </c>
      <c r="K181">
        <f t="shared" si="31"/>
        <v>-15.834586905794023</v>
      </c>
      <c r="L181">
        <f t="shared" si="32"/>
        <v>-36.129883089814541</v>
      </c>
      <c r="M181">
        <f t="shared" si="33"/>
        <v>0.13047019568408599</v>
      </c>
      <c r="N181">
        <f t="shared" si="34"/>
        <v>-9.5244775053403896E-2</v>
      </c>
      <c r="O181" t="str">
        <f t="shared" si="28"/>
        <v>7.5857182067345-2754.20781053533j</v>
      </c>
      <c r="P181">
        <f t="shared" si="35"/>
        <v>68.799967055519403</v>
      </c>
      <c r="Q181">
        <f t="shared" si="36"/>
        <v>-89.84219471850929</v>
      </c>
      <c r="R181">
        <f t="shared" si="37"/>
        <v>52.965380149725377</v>
      </c>
      <c r="S181">
        <f t="shared" si="38"/>
        <v>54.027922191676168</v>
      </c>
    </row>
    <row r="182" spans="7:19" x14ac:dyDescent="0.25">
      <c r="G182">
        <f t="shared" si="29"/>
        <v>2.5800000000000023</v>
      </c>
      <c r="H182">
        <f t="shared" si="27"/>
        <v>3801.8939632056336</v>
      </c>
      <c r="I182" t="str">
        <f t="shared" si="30"/>
        <v>23888.0042890684j</v>
      </c>
      <c r="J182" t="str">
        <f>IMDIV(R_1,IMSUM('Phase Margin Example'!R_1,IMPRODUCT('Phase Margin Example'!R_f,IMSUM(1,IMPRODUCT(I182,C_s,R_1)))))</f>
        <v>0.126236165210798-0.096496961791715j</v>
      </c>
      <c r="K182">
        <f t="shared" si="31"/>
        <v>-15.977862112232524</v>
      </c>
      <c r="L182">
        <f t="shared" si="32"/>
        <v>-37.394879755012759</v>
      </c>
      <c r="M182">
        <f t="shared" si="33"/>
        <v>0.126236165210798</v>
      </c>
      <c r="N182">
        <f t="shared" si="34"/>
        <v>-9.6496961791715005E-2</v>
      </c>
      <c r="O182" t="str">
        <f t="shared" si="28"/>
        <v>6.9182618465112-2630.24979501267j</v>
      </c>
      <c r="P182">
        <f t="shared" si="35"/>
        <v>68.399969954266567</v>
      </c>
      <c r="Q182">
        <f t="shared" si="36"/>
        <v>-89.849297092611863</v>
      </c>
      <c r="R182">
        <f t="shared" si="37"/>
        <v>52.422107842034045</v>
      </c>
      <c r="S182">
        <f t="shared" si="38"/>
        <v>52.75582315237537</v>
      </c>
    </row>
    <row r="183" spans="7:19" x14ac:dyDescent="0.25">
      <c r="G183">
        <f t="shared" si="29"/>
        <v>2.6000000000000023</v>
      </c>
      <c r="H183">
        <f t="shared" si="27"/>
        <v>3981.0717055349969</v>
      </c>
      <c r="I183" t="str">
        <f t="shared" si="30"/>
        <v>25013.8112470459j</v>
      </c>
      <c r="J183" t="str">
        <f>IMDIV(R_1,IMSUM('Phase Margin Example'!R_1,IMPRODUCT('Phase Margin Example'!R_f,IMSUM(1,IMPRODUCT(I183,C_s,R_1)))))</f>
        <v>0.12189864468789-0.0975727900637956j</v>
      </c>
      <c r="K183">
        <f t="shared" si="31"/>
        <v>-16.129711273299652</v>
      </c>
      <c r="L183">
        <f t="shared" si="32"/>
        <v>-38.675245436158676</v>
      </c>
      <c r="M183">
        <f t="shared" si="33"/>
        <v>0.12189864468789</v>
      </c>
      <c r="N183">
        <f t="shared" si="34"/>
        <v>-9.75727900637956E-2</v>
      </c>
      <c r="O183" t="str">
        <f t="shared" si="28"/>
        <v>6.30953363433598-2511.87058267764j</v>
      </c>
      <c r="P183">
        <f t="shared" si="35"/>
        <v>67.999972597957097</v>
      </c>
      <c r="Q183">
        <f t="shared" si="36"/>
        <v>-89.856079811549478</v>
      </c>
      <c r="R183">
        <f t="shared" si="37"/>
        <v>51.870261324657449</v>
      </c>
      <c r="S183">
        <f t="shared" si="38"/>
        <v>51.468674752291861</v>
      </c>
    </row>
    <row r="184" spans="7:19" x14ac:dyDescent="0.25">
      <c r="G184">
        <f t="shared" si="29"/>
        <v>2.6200000000000023</v>
      </c>
      <c r="H184">
        <f t="shared" si="27"/>
        <v>4168.6938347033793</v>
      </c>
      <c r="I184" t="str">
        <f t="shared" si="30"/>
        <v>26192.6758523384j</v>
      </c>
      <c r="J184" t="str">
        <f>IMDIV(R_1,IMSUM('Phase Margin Example'!R_1,IMPRODUCT('Phase Margin Example'!R_f,IMSUM(1,IMPRODUCT(I184,C_s,R_1)))))</f>
        <v>0.117472810798976-0.0984616721510618j</v>
      </c>
      <c r="K184">
        <f t="shared" si="31"/>
        <v>-16.290326439952199</v>
      </c>
      <c r="L184">
        <f t="shared" si="32"/>
        <v>-39.968581966830868</v>
      </c>
      <c r="M184">
        <f t="shared" si="33"/>
        <v>0.11747281079897599</v>
      </c>
      <c r="N184">
        <f t="shared" si="34"/>
        <v>-9.8461672151061802E-2</v>
      </c>
      <c r="O184" t="str">
        <f t="shared" si="28"/>
        <v>5.75436626044989-2398.81911525626j</v>
      </c>
      <c r="P184">
        <f t="shared" si="35"/>
        <v>67.599975009032903</v>
      </c>
      <c r="Q184">
        <f t="shared" si="36"/>
        <v>-89.862557261616203</v>
      </c>
      <c r="R184">
        <f t="shared" si="37"/>
        <v>51.309648569080707</v>
      </c>
      <c r="S184">
        <f t="shared" si="38"/>
        <v>50.168860771552943</v>
      </c>
    </row>
    <row r="185" spans="7:19" x14ac:dyDescent="0.25">
      <c r="G185">
        <f t="shared" si="29"/>
        <v>2.6400000000000023</v>
      </c>
      <c r="H185">
        <f t="shared" si="27"/>
        <v>4365.1583224016858</v>
      </c>
      <c r="I185" t="str">
        <f t="shared" si="30"/>
        <v>27427.098634827j</v>
      </c>
      <c r="J185" t="str">
        <f>IMDIV(R_1,IMSUM('Phase Margin Example'!R_1,IMPRODUCT('Phase Margin Example'!R_f,IMSUM(1,IMPRODUCT(I185,C_s,R_1)))))</f>
        <v>0.112975225091313-0.099154644539879j</v>
      </c>
      <c r="K185">
        <f t="shared" si="31"/>
        <v>-16.45986789045612</v>
      </c>
      <c r="L185">
        <f t="shared" si="32"/>
        <v>-41.272361957954345</v>
      </c>
      <c r="M185">
        <f t="shared" si="33"/>
        <v>0.112975225091313</v>
      </c>
      <c r="N185">
        <f t="shared" si="34"/>
        <v>-9.9154644539879003E-2</v>
      </c>
      <c r="O185" t="str">
        <f t="shared" si="28"/>
        <v>5.24804706035516-2290.85563018651j</v>
      </c>
      <c r="P185">
        <f t="shared" si="35"/>
        <v>67.199977207961354</v>
      </c>
      <c r="Q185">
        <f t="shared" si="36"/>
        <v>-89.868743181688245</v>
      </c>
      <c r="R185">
        <f t="shared" si="37"/>
        <v>50.74010931750523</v>
      </c>
      <c r="S185">
        <f t="shared" si="38"/>
        <v>48.858894860357395</v>
      </c>
    </row>
    <row r="186" spans="7:19" x14ac:dyDescent="0.25">
      <c r="G186">
        <f t="shared" si="29"/>
        <v>2.6600000000000024</v>
      </c>
      <c r="H186">
        <f t="shared" si="27"/>
        <v>4570.8818961487768</v>
      </c>
      <c r="I186" t="str">
        <f t="shared" si="30"/>
        <v>28719.6979707352j</v>
      </c>
      <c r="J186" t="str">
        <f>IMDIV(R_1,IMSUM('Phase Margin Example'!R_1,IMPRODUCT('Phase Margin Example'!R_f,IMSUM(1,IMPRODUCT(I186,C_s,R_1)))))</f>
        <v>0.108423605752414-0.0996445827234371j</v>
      </c>
      <c r="K186">
        <f t="shared" si="31"/>
        <v>-16.638461581859708</v>
      </c>
      <c r="L186">
        <f t="shared" si="32"/>
        <v>-42.583951680683228</v>
      </c>
      <c r="M186">
        <f t="shared" si="33"/>
        <v>0.108423605752414</v>
      </c>
      <c r="N186">
        <f t="shared" si="34"/>
        <v>-9.9644582723437097E-2</v>
      </c>
      <c r="O186" t="str">
        <f t="shared" si="28"/>
        <v>4.78627801465944-2187.75115271418j</v>
      </c>
      <c r="P186">
        <f t="shared" si="35"/>
        <v>66.799979213408903</v>
      </c>
      <c r="Q186">
        <f t="shared" si="36"/>
        <v>-89.874650692353256</v>
      </c>
      <c r="R186">
        <f t="shared" si="37"/>
        <v>50.161517631549195</v>
      </c>
      <c r="S186">
        <f t="shared" si="38"/>
        <v>47.541397626963516</v>
      </c>
    </row>
    <row r="187" spans="7:19" x14ac:dyDescent="0.25">
      <c r="G187">
        <f t="shared" si="29"/>
        <v>2.6800000000000024</v>
      </c>
      <c r="H187">
        <f t="shared" si="27"/>
        <v>4786.3009232264139</v>
      </c>
      <c r="I187" t="str">
        <f t="shared" si="30"/>
        <v>30073.2156365563j</v>
      </c>
      <c r="J187" t="str">
        <f>IMDIV(R_1,IMSUM('Phase Margin Example'!R_1,IMPRODUCT('Phase Margin Example'!R_f,IMSUM(1,IMPRODUCT(I187,C_s,R_1)))))</f>
        <v>0.103836560619774-0.099926376911258j</v>
      </c>
      <c r="K187">
        <f t="shared" si="31"/>
        <v>-16.826197097852624</v>
      </c>
      <c r="L187">
        <f t="shared" si="32"/>
        <v>-43.900636534846662</v>
      </c>
      <c r="M187">
        <f t="shared" si="33"/>
        <v>0.103836560619774</v>
      </c>
      <c r="N187">
        <f t="shared" si="34"/>
        <v>-9.9926376911257997E-2</v>
      </c>
      <c r="O187" t="str">
        <f t="shared" si="28"/>
        <v>4.36513926787761-2089.28701078544j</v>
      </c>
      <c r="P187">
        <f t="shared" si="35"/>
        <v>66.399981042399588</v>
      </c>
      <c r="Q187">
        <f t="shared" si="36"/>
        <v>-89.880292323729833</v>
      </c>
      <c r="R187">
        <f t="shared" si="37"/>
        <v>49.57378394454696</v>
      </c>
      <c r="S187">
        <f t="shared" si="38"/>
        <v>46.219071141423512</v>
      </c>
    </row>
    <row r="188" spans="7:19" x14ac:dyDescent="0.25">
      <c r="G188">
        <f t="shared" si="29"/>
        <v>2.7000000000000024</v>
      </c>
      <c r="H188">
        <f t="shared" si="27"/>
        <v>5011.8723362727533</v>
      </c>
      <c r="I188" t="str">
        <f t="shared" si="30"/>
        <v>31490.5226247288j</v>
      </c>
      <c r="J188" t="str">
        <f>IMDIV(R_1,IMSUM('Phase Margin Example'!R_1,IMPRODUCT('Phase Margin Example'!R_f,IMSUM(1,IMPRODUCT(I188,C_s,R_1)))))</f>
        <v>0.0992332894918175-0.0999970607317867j</v>
      </c>
      <c r="K188">
        <f t="shared" si="31"/>
        <v>-17.023126162813039</v>
      </c>
      <c r="L188">
        <f t="shared" si="32"/>
        <v>-45.21964853315999</v>
      </c>
      <c r="M188">
        <f t="shared" si="33"/>
        <v>9.9233289491817506E-2</v>
      </c>
      <c r="N188">
        <f t="shared" si="34"/>
        <v>-9.9997060731786699E-2</v>
      </c>
      <c r="O188" t="str">
        <f t="shared" si="28"/>
        <v>3.98105585666608-1995.25437171814j</v>
      </c>
      <c r="P188">
        <f t="shared" si="35"/>
        <v>65.999982710459605</v>
      </c>
      <c r="Q188">
        <f t="shared" si="36"/>
        <v>-89.885680042035943</v>
      </c>
      <c r="R188">
        <f t="shared" si="37"/>
        <v>48.976856547646562</v>
      </c>
      <c r="S188">
        <f t="shared" si="38"/>
        <v>44.894671424804073</v>
      </c>
    </row>
    <row r="189" spans="7:19" x14ac:dyDescent="0.25">
      <c r="G189">
        <f t="shared" si="29"/>
        <v>2.7200000000000024</v>
      </c>
      <c r="H189">
        <f t="shared" si="27"/>
        <v>5248.074602497758</v>
      </c>
      <c r="I189" t="str">
        <f t="shared" si="30"/>
        <v>32974.6252333963j</v>
      </c>
      <c r="J189" t="str">
        <f>IMDIV(R_1,IMSUM('Phase Margin Example'!R_1,IMPRODUCT('Phase Margin Example'!R_f,IMSUM(1,IMPRODUCT(I189,C_s,R_1)))))</f>
        <v>0.094633265597852-0.0998558869664518j</v>
      </c>
      <c r="K189">
        <f t="shared" si="31"/>
        <v>-17.229261773838886</v>
      </c>
      <c r="L189">
        <f t="shared" si="32"/>
        <v>-46.538195139295162</v>
      </c>
      <c r="M189">
        <f t="shared" si="33"/>
        <v>9.4633265597851998E-2</v>
      </c>
      <c r="N189">
        <f t="shared" si="34"/>
        <v>-9.9855886966451798E-2</v>
      </c>
      <c r="O189" t="str">
        <f t="shared" si="28"/>
        <v>3.63076736518144-1905.45379967864j</v>
      </c>
      <c r="P189">
        <f t="shared" si="35"/>
        <v>65.599984231748977</v>
      </c>
      <c r="Q189">
        <f t="shared" si="36"/>
        <v>-89.890825274962438</v>
      </c>
      <c r="R189">
        <f t="shared" si="37"/>
        <v>48.370722457910091</v>
      </c>
      <c r="S189">
        <f t="shared" si="38"/>
        <v>43.570979585742407</v>
      </c>
    </row>
    <row r="190" spans="7:19" x14ac:dyDescent="0.25">
      <c r="G190">
        <f t="shared" si="29"/>
        <v>2.7400000000000024</v>
      </c>
      <c r="H190">
        <f t="shared" si="27"/>
        <v>5495.4087385762778</v>
      </c>
      <c r="I190" t="str">
        <f t="shared" si="30"/>
        <v>34528.6714431688j</v>
      </c>
      <c r="J190" t="str">
        <f>IMDIV(R_1,IMSUM('Phase Margin Example'!R_1,IMPRODUCT('Phase Margin Example'!R_f,IMSUM(1,IMPRODUCT(I190,C_s,R_1)))))</f>
        <v>0.0900559073312469-0.0995043467442265j</v>
      </c>
      <c r="K190">
        <f t="shared" si="31"/>
        <v>-17.444577981497375</v>
      </c>
      <c r="L190">
        <f t="shared" si="32"/>
        <v>-47.853488734640969</v>
      </c>
      <c r="M190">
        <f t="shared" si="33"/>
        <v>9.0055907331246896E-2</v>
      </c>
      <c r="N190">
        <f t="shared" si="34"/>
        <v>-9.9504346744226493E-2</v>
      </c>
      <c r="O190" t="str">
        <f t="shared" si="28"/>
        <v>3.31130025008022-1819.69483303406j</v>
      </c>
      <c r="P190">
        <f t="shared" si="35"/>
        <v>65.199985619181845</v>
      </c>
      <c r="Q190">
        <f t="shared" si="36"/>
        <v>-89.895738935905484</v>
      </c>
      <c r="R190">
        <f t="shared" si="37"/>
        <v>47.755407637684471</v>
      </c>
      <c r="S190">
        <f t="shared" si="38"/>
        <v>42.250772329453554</v>
      </c>
    </row>
    <row r="191" spans="7:19" x14ac:dyDescent="0.25">
      <c r="G191">
        <f t="shared" si="29"/>
        <v>2.7600000000000025</v>
      </c>
      <c r="H191">
        <f t="shared" si="27"/>
        <v>5754.399373371607</v>
      </c>
      <c r="I191" t="str">
        <f t="shared" si="30"/>
        <v>36155.9575944119j</v>
      </c>
      <c r="J191" t="str">
        <f>IMDIV(R_1,IMSUM('Phase Margin Example'!R_1,IMPRODUCT('Phase Margin Example'!R_f,IMSUM(1,IMPRODUCT(I191,C_s,R_1)))))</f>
        <v>0.0855202519408412-0.0989461312843675j</v>
      </c>
      <c r="K191">
        <f t="shared" si="31"/>
        <v>-17.669010327111167</v>
      </c>
      <c r="L191">
        <f t="shared" si="32"/>
        <v>-49.162775958814493</v>
      </c>
      <c r="M191">
        <f t="shared" si="33"/>
        <v>8.5520251940841202E-2</v>
      </c>
      <c r="N191">
        <f t="shared" si="34"/>
        <v>-9.8946131284367494E-2</v>
      </c>
      <c r="O191" t="str">
        <f t="shared" si="28"/>
        <v>3.01994260032112-1737.79558069061j</v>
      </c>
      <c r="P191">
        <f t="shared" si="35"/>
        <v>64.799986884536068</v>
      </c>
      <c r="Q191">
        <f t="shared" si="36"/>
        <v>-89.900431447108986</v>
      </c>
      <c r="R191">
        <f t="shared" si="37"/>
        <v>47.130976557424901</v>
      </c>
      <c r="S191">
        <f t="shared" si="38"/>
        <v>40.936792594076508</v>
      </c>
    </row>
    <row r="192" spans="7:19" x14ac:dyDescent="0.25">
      <c r="G192">
        <f t="shared" si="29"/>
        <v>2.7800000000000025</v>
      </c>
      <c r="H192">
        <f t="shared" si="27"/>
        <v>6025.595860743615</v>
      </c>
      <c r="I192" t="str">
        <f t="shared" si="30"/>
        <v>37859.9353792264j</v>
      </c>
      <c r="J192" t="str">
        <f>IMDIV(R_1,IMSUM('Phase Margin Example'!R_1,IMPRODUCT('Phase Margin Example'!R_f,IMSUM(1,IMPRODUCT(I192,C_s,R_1)))))</f>
        <v>0.0810446427563487-0.0981870380028115j</v>
      </c>
      <c r="K192">
        <f t="shared" si="31"/>
        <v>-17.902456921009222</v>
      </c>
      <c r="L192">
        <f t="shared" si="32"/>
        <v>-50.463366174980884</v>
      </c>
      <c r="M192">
        <f t="shared" si="33"/>
        <v>8.1044642756348706E-2</v>
      </c>
      <c r="N192">
        <f t="shared" si="34"/>
        <v>-9.8187038002811505E-2</v>
      </c>
      <c r="O192" t="str">
        <f t="shared" si="28"/>
        <v>2.75422111758328-1659.58233656824j</v>
      </c>
      <c r="P192">
        <f t="shared" si="35"/>
        <v>64.399988038553118</v>
      </c>
      <c r="Q192">
        <f t="shared" si="36"/>
        <v>-89.904912761765942</v>
      </c>
      <c r="R192">
        <f t="shared" si="37"/>
        <v>46.4975311175439</v>
      </c>
      <c r="S192">
        <f t="shared" si="38"/>
        <v>39.631721063253167</v>
      </c>
    </row>
    <row r="193" spans="7:19" x14ac:dyDescent="0.25">
      <c r="G193">
        <f t="shared" si="29"/>
        <v>2.8000000000000025</v>
      </c>
      <c r="H193">
        <f t="shared" si="27"/>
        <v>6309.5734448019712</v>
      </c>
      <c r="I193" t="str">
        <f t="shared" si="30"/>
        <v>39644.2191629502j</v>
      </c>
      <c r="J193" t="str">
        <f>IMDIV(R_1,IMSUM('Phase Margin Example'!R_1,IMPRODUCT('Phase Margin Example'!R_f,IMSUM(1,IMPRODUCT(I193,C_s,R_1)))))</f>
        <v>0.0766464407052842-0.0972348253881715j</v>
      </c>
      <c r="K193">
        <f t="shared" si="31"/>
        <v>-18.144780123725702</v>
      </c>
      <c r="L193">
        <f t="shared" si="32"/>
        <v>-51.75265835234265</v>
      </c>
      <c r="M193">
        <f t="shared" si="33"/>
        <v>7.6646440705284202E-2</v>
      </c>
      <c r="N193">
        <f t="shared" si="34"/>
        <v>-9.7234825388171506E-2</v>
      </c>
      <c r="O193" t="str">
        <f t="shared" si="28"/>
        <v>2.51188012195195-1584.8892113994j</v>
      </c>
      <c r="P193">
        <f t="shared" si="35"/>
        <v>63.999989091029491</v>
      </c>
      <c r="Q193">
        <f t="shared" si="36"/>
        <v>-89.909192385125721</v>
      </c>
      <c r="R193">
        <f t="shared" si="37"/>
        <v>45.855208967303788</v>
      </c>
      <c r="S193">
        <f t="shared" si="38"/>
        <v>38.33814926253163</v>
      </c>
    </row>
    <row r="194" spans="7:19" x14ac:dyDescent="0.25">
      <c r="G194">
        <f t="shared" si="29"/>
        <v>2.8200000000000025</v>
      </c>
      <c r="H194">
        <f t="shared" si="27"/>
        <v>6606.9344800760055</v>
      </c>
      <c r="I194" t="str">
        <f t="shared" si="30"/>
        <v>41512.5936507118j</v>
      </c>
      <c r="J194" t="str">
        <f>IMDIV(R_1,IMSUM('Phase Margin Example'!R_1,IMPRODUCT('Phase Margin Example'!R_f,IMSUM(1,IMPRODUCT(I194,C_s,R_1)))))</f>
        <v>0.0723417694365844-0.0960990233150209j</v>
      </c>
      <c r="K194">
        <f t="shared" si="31"/>
        <v>-18.395808771961988</v>
      </c>
      <c r="L194">
        <f t="shared" si="32"/>
        <v>-53.028165731657857</v>
      </c>
      <c r="M194">
        <f t="shared" si="33"/>
        <v>7.2341769436584394E-2</v>
      </c>
      <c r="N194">
        <f t="shared" si="34"/>
        <v>-9.6099023315020904E-2</v>
      </c>
      <c r="O194" t="str">
        <f t="shared" si="28"/>
        <v>2.29086240470516-1513.55778107564j</v>
      </c>
      <c r="P194">
        <f t="shared" si="35"/>
        <v>63.599990050899549</v>
      </c>
      <c r="Q194">
        <f t="shared" si="36"/>
        <v>-89.913279394651838</v>
      </c>
      <c r="R194">
        <f t="shared" si="37"/>
        <v>45.204181278937561</v>
      </c>
      <c r="S194">
        <f t="shared" si="38"/>
        <v>37.058554873690298</v>
      </c>
    </row>
    <row r="195" spans="7:19" x14ac:dyDescent="0.25">
      <c r="G195">
        <f t="shared" si="29"/>
        <v>2.8400000000000025</v>
      </c>
      <c r="H195">
        <f t="shared" ref="H195:H258" si="39">$B$3*10^G195</f>
        <v>6918.3097091894106</v>
      </c>
      <c r="I195" t="str">
        <f t="shared" si="30"/>
        <v>43469.0219152968j</v>
      </c>
      <c r="J195" t="str">
        <f>IMDIV(R_1,IMSUM('Phase Margin Example'!R_1,IMPRODUCT('Phase Margin Example'!R_f,IMSUM(1,IMPRODUCT(I195,C_s,R_1)))))</f>
        <v>0.0681453014287084-0.0947907072393289j</v>
      </c>
      <c r="K195">
        <f t="shared" si="31"/>
        <v>-18.655340874365056</v>
      </c>
      <c r="L195">
        <f t="shared" si="32"/>
        <v>-54.287537739940326</v>
      </c>
      <c r="M195">
        <f t="shared" si="33"/>
        <v>6.8145301428708394E-2</v>
      </c>
      <c r="N195">
        <f t="shared" si="34"/>
        <v>-9.4790707239328906E-2</v>
      </c>
      <c r="O195" t="str">
        <f t="shared" ref="O195:O258" si="40">IMDIV(Aolv,IMSUM(1,IMDIV(I195,wc)))</f>
        <v>2.08929176570481-1445.43675080051j</v>
      </c>
      <c r="P195">
        <f t="shared" si="35"/>
        <v>63.199990926311635</v>
      </c>
      <c r="Q195">
        <f t="shared" si="36"/>
        <v>-89.917182459272667</v>
      </c>
      <c r="R195">
        <f t="shared" si="37"/>
        <v>44.544650051946576</v>
      </c>
      <c r="S195">
        <f t="shared" si="38"/>
        <v>35.795279800787</v>
      </c>
    </row>
    <row r="196" spans="7:19" x14ac:dyDescent="0.25">
      <c r="G196">
        <f t="shared" ref="G196:G259" si="41">G195+(1/ppd)</f>
        <v>2.8600000000000025</v>
      </c>
      <c r="H196">
        <f t="shared" si="39"/>
        <v>7244.3596007499473</v>
      </c>
      <c r="I196" t="str">
        <f t="shared" ref="I196:I259" si="42">COMPLEX(0,H196*2*PI(),"j")</f>
        <v>45517.6538033574j</v>
      </c>
      <c r="J196" t="str">
        <f>IMDIV(R_1,IMSUM('Phase Margin Example'!R_1,IMPRODUCT('Phase Margin Example'!R_f,IMSUM(1,IMPRODUCT(I196,C_s,R_1)))))</f>
        <v>0.0640700901948326-0.0933222459084249j</v>
      </c>
      <c r="K196">
        <f t="shared" ref="K196:K259" si="43">20*LOG(IMABS(J196))</f>
        <v>-18.923146689645655</v>
      </c>
      <c r="L196">
        <f t="shared" ref="L196:L259" si="44">DEGREES(IMARGUMENT(J196))</f>
        <v>-55.52857874042445</v>
      </c>
      <c r="M196">
        <f t="shared" ref="M196:M259" si="45">IMREAL(J196)</f>
        <v>6.4070090194832605E-2</v>
      </c>
      <c r="N196">
        <f t="shared" ref="N196:N259" si="46">IMAGINARY(J196)</f>
        <v>-9.3322245908424903E-2</v>
      </c>
      <c r="O196" t="str">
        <f t="shared" si="40"/>
        <v>1.9054570871896-1380.3816343399j</v>
      </c>
      <c r="P196">
        <f t="shared" ref="P196:P259" si="47">20*LOG(IMABS(O196))</f>
        <v>62.799991724697094</v>
      </c>
      <c r="Q196">
        <f t="shared" ref="Q196:Q259" si="48">DEGREES(IMARGUMENT(O196))</f>
        <v>-89.920909857766347</v>
      </c>
      <c r="R196">
        <f t="shared" ref="R196:R259" si="49">P196+K196</f>
        <v>43.876845035051439</v>
      </c>
      <c r="S196">
        <f t="shared" ref="S196:S259" si="50">(Q196+L196)-(-180)</f>
        <v>34.550511401809217</v>
      </c>
    </row>
    <row r="197" spans="7:19" x14ac:dyDescent="0.25">
      <c r="G197">
        <f t="shared" si="41"/>
        <v>2.8800000000000026</v>
      </c>
      <c r="H197">
        <f t="shared" si="39"/>
        <v>7585.7757502918857</v>
      </c>
      <c r="I197" t="str">
        <f t="shared" si="42"/>
        <v>47662.8347377932j</v>
      </c>
      <c r="J197" t="str">
        <f>IMDIV(R_1,IMSUM('Phase Margin Example'!R_1,IMPRODUCT('Phase Margin Example'!R_f,IMSUM(1,IMPRODUCT(I197,C_s,R_1)))))</f>
        <v>0.0601274512901149-0.0917070327694547j</v>
      </c>
      <c r="K197">
        <f t="shared" si="43"/>
        <v>-19.198972091733474</v>
      </c>
      <c r="L197">
        <f t="shared" si="44"/>
        <v>-56.749263335298266</v>
      </c>
      <c r="M197">
        <f t="shared" si="45"/>
        <v>6.0127451290114903E-2</v>
      </c>
      <c r="N197">
        <f t="shared" si="46"/>
        <v>-9.1707032769454702E-2</v>
      </c>
      <c r="O197" t="str">
        <f t="shared" si="40"/>
        <v>1.73779780880288-1318.25444769273j</v>
      </c>
      <c r="P197">
        <f t="shared" si="47"/>
        <v>62.399992452833416</v>
      </c>
      <c r="Q197">
        <f t="shared" si="48"/>
        <v>-89.924469496318352</v>
      </c>
      <c r="R197">
        <f t="shared" si="49"/>
        <v>43.201020361099943</v>
      </c>
      <c r="S197">
        <f t="shared" si="50"/>
        <v>33.326267168383367</v>
      </c>
    </row>
    <row r="198" spans="7:19" x14ac:dyDescent="0.25">
      <c r="G198">
        <f t="shared" si="41"/>
        <v>2.9000000000000026</v>
      </c>
      <c r="H198">
        <f t="shared" si="39"/>
        <v>7943.2823472428699</v>
      </c>
      <c r="I198" t="str">
        <f t="shared" si="42"/>
        <v>49909.1149349754j</v>
      </c>
      <c r="J198" t="str">
        <f>IMDIV(R_1,IMSUM('Phase Margin Example'!R_1,IMPRODUCT('Phase Margin Example'!R_f,IMSUM(1,IMPRODUCT(I198,C_s,R_1)))))</f>
        <v>0.0563268924585383-0.0899592111885821j</v>
      </c>
      <c r="K198">
        <f t="shared" si="43"/>
        <v>-19.482542123645889</v>
      </c>
      <c r="L198">
        <f t="shared" si="44"/>
        <v>-57.947748073249905</v>
      </c>
      <c r="M198">
        <f t="shared" si="45"/>
        <v>5.6326892458538301E-2</v>
      </c>
      <c r="N198">
        <f t="shared" si="46"/>
        <v>-8.9959211188582106E-2</v>
      </c>
      <c r="O198" t="str">
        <f t="shared" si="40"/>
        <v>1.58489068057864-1258.92341653501j</v>
      </c>
      <c r="P198">
        <f t="shared" si="47"/>
        <v>61.999993116901742</v>
      </c>
      <c r="Q198">
        <f t="shared" si="48"/>
        <v>-89.927868925289104</v>
      </c>
      <c r="R198">
        <f t="shared" si="49"/>
        <v>42.517450993255849</v>
      </c>
      <c r="S198">
        <f t="shared" si="50"/>
        <v>32.124383001460984</v>
      </c>
    </row>
    <row r="199" spans="7:19" x14ac:dyDescent="0.25">
      <c r="G199">
        <f t="shared" si="41"/>
        <v>2.9200000000000026</v>
      </c>
      <c r="H199">
        <f t="shared" si="39"/>
        <v>8317.6377110267658</v>
      </c>
      <c r="I199" t="str">
        <f t="shared" si="42"/>
        <v>52261.2590563662j</v>
      </c>
      <c r="J199" t="str">
        <f>IMDIV(R_1,IMSUM('Phase Margin Example'!R_1,IMPRODUCT('Phase Margin Example'!R_f,IMSUM(1,IMPRODUCT(I199,C_s,R_1)))))</f>
        <v>0.0526760910911449-0.0880934029629142j</v>
      </c>
      <c r="K199">
        <f t="shared" si="43"/>
        <v>-19.77356464328194</v>
      </c>
      <c r="L199">
        <f t="shared" si="44"/>
        <v>-59.122379543686847</v>
      </c>
      <c r="M199">
        <f t="shared" si="45"/>
        <v>5.2676091091144898E-2</v>
      </c>
      <c r="N199">
        <f t="shared" si="46"/>
        <v>-8.8093402962914194E-2</v>
      </c>
      <c r="O199" t="str">
        <f t="shared" si="40"/>
        <v>1.4454376814528-1202.26269681909j</v>
      </c>
      <c r="P199">
        <f t="shared" si="47"/>
        <v>61.599993722539324</v>
      </c>
      <c r="Q199">
        <f t="shared" si="48"/>
        <v>-89.931115355227277</v>
      </c>
      <c r="R199">
        <f t="shared" si="49"/>
        <v>41.82642907925738</v>
      </c>
      <c r="S199">
        <f t="shared" si="50"/>
        <v>30.946505101085876</v>
      </c>
    </row>
    <row r="200" spans="7:19" x14ac:dyDescent="0.25">
      <c r="G200">
        <f t="shared" si="41"/>
        <v>2.9400000000000026</v>
      </c>
      <c r="H200">
        <f t="shared" si="39"/>
        <v>8709.6358995608643</v>
      </c>
      <c r="I200" t="str">
        <f t="shared" si="42"/>
        <v>54724.2563150047j</v>
      </c>
      <c r="J200" t="str">
        <f>IMDIV(R_1,IMSUM('Phase Margin Example'!R_1,IMPRODUCT('Phase Margin Example'!R_f,IMSUM(1,IMPRODUCT(I200,C_s,R_1)))))</f>
        <v>0.0491809153300664-0.0861244485225311j</v>
      </c>
      <c r="K200">
        <f t="shared" si="43"/>
        <v>-20.071733969911151</v>
      </c>
      <c r="L200">
        <f t="shared" si="44"/>
        <v>-60.271698957860998</v>
      </c>
      <c r="M200">
        <f t="shared" si="45"/>
        <v>4.9180915330066403E-2</v>
      </c>
      <c r="N200">
        <f t="shared" si="46"/>
        <v>-8.6124448522531094E-2</v>
      </c>
      <c r="O200" t="str">
        <f t="shared" si="40"/>
        <v>1.31825500075785-1148.15210793762j</v>
      </c>
      <c r="P200">
        <f t="shared" si="47"/>
        <v>61.19999427488743</v>
      </c>
      <c r="Q200">
        <f t="shared" si="48"/>
        <v>-89.934215672162438</v>
      </c>
      <c r="R200">
        <f t="shared" si="49"/>
        <v>41.12826030497628</v>
      </c>
      <c r="S200">
        <f t="shared" si="50"/>
        <v>29.794085369976557</v>
      </c>
    </row>
    <row r="201" spans="7:19" x14ac:dyDescent="0.25">
      <c r="G201">
        <f t="shared" si="41"/>
        <v>2.9600000000000026</v>
      </c>
      <c r="H201">
        <f t="shared" si="39"/>
        <v>9120.108393559156</v>
      </c>
      <c r="I201" t="str">
        <f t="shared" si="42"/>
        <v>57303.3310582961j</v>
      </c>
      <c r="J201" t="str">
        <f>IMDIV(R_1,IMSUM('Phase Margin Example'!R_1,IMPRODUCT('Phase Margin Example'!R_f,IMSUM(1,IMPRODUCT(I201,C_s,R_1)))))</f>
        <v>0.0458454837272695-0.0840671658096463j</v>
      </c>
      <c r="K201">
        <f t="shared" si="43"/>
        <v>-20.376734448955531</v>
      </c>
      <c r="L201">
        <f t="shared" si="44"/>
        <v>-61.394443418895179</v>
      </c>
      <c r="M201">
        <f t="shared" si="45"/>
        <v>4.5845483727269501E-2</v>
      </c>
      <c r="N201">
        <f t="shared" si="46"/>
        <v>-8.4067165809646294E-2</v>
      </c>
      <c r="O201" t="str">
        <f t="shared" si="40"/>
        <v>1.20226298917937-1096.47687788803j</v>
      </c>
      <c r="P201">
        <f t="shared" si="47"/>
        <v>60.799994778635032</v>
      </c>
      <c r="Q201">
        <f t="shared" si="48"/>
        <v>-89.937176452209712</v>
      </c>
      <c r="R201">
        <f t="shared" si="49"/>
        <v>40.423260329679501</v>
      </c>
      <c r="S201">
        <f t="shared" si="50"/>
        <v>28.668380128895109</v>
      </c>
    </row>
    <row r="202" spans="7:19" x14ac:dyDescent="0.25">
      <c r="G202">
        <f t="shared" si="41"/>
        <v>2.9800000000000026</v>
      </c>
      <c r="H202">
        <f t="shared" si="39"/>
        <v>9549.9258602144273</v>
      </c>
      <c r="I202" t="str">
        <f t="shared" si="42"/>
        <v>60003.9538495537j</v>
      </c>
      <c r="J202" t="str">
        <f>IMDIV(R_1,IMSUM('Phase Margin Example'!R_1,IMPRODUCT('Phase Margin Example'!R_f,IMSUM(1,IMPRODUCT(I202,C_s,R_1)))))</f>
        <v>0.0426722573920068-0.0819361332226002j</v>
      </c>
      <c r="K202">
        <f t="shared" si="43"/>
        <v>-20.688243863897512</v>
      </c>
      <c r="L202">
        <f t="shared" si="44"/>
        <v>-62.489544164471731</v>
      </c>
      <c r="M202">
        <f t="shared" si="45"/>
        <v>4.26722573920068E-2</v>
      </c>
      <c r="N202">
        <f t="shared" si="46"/>
        <v>-8.1936133222600196E-2</v>
      </c>
      <c r="O202" t="str">
        <f t="shared" si="40"/>
        <v>1.09647699388005-1047.12739989853j</v>
      </c>
      <c r="P202">
        <f t="shared" si="47"/>
        <v>60.399995238058253</v>
      </c>
      <c r="Q202">
        <f t="shared" si="48"/>
        <v>-89.940003975517129</v>
      </c>
      <c r="R202">
        <f t="shared" si="49"/>
        <v>39.711751374160741</v>
      </c>
      <c r="S202">
        <f t="shared" si="50"/>
        <v>27.570451860011133</v>
      </c>
    </row>
    <row r="203" spans="7:19" x14ac:dyDescent="0.25">
      <c r="G203">
        <f t="shared" si="41"/>
        <v>3.0000000000000027</v>
      </c>
      <c r="H203">
        <f t="shared" si="39"/>
        <v>10000.000000000069</v>
      </c>
      <c r="I203" t="str">
        <f t="shared" si="42"/>
        <v>62831.8530717963j</v>
      </c>
      <c r="J203" t="str">
        <f>IMDIV(R_1,IMSUM('Phase Margin Example'!R_1,IMPRODUCT('Phase Margin Example'!R_f,IMSUM(1,IMPRODUCT(I203,C_s,R_1)))))</f>
        <v>0.0396621580338564-0.0797455003549961j</v>
      </c>
      <c r="K203">
        <f t="shared" si="43"/>
        <v>-21.005936636876676</v>
      </c>
      <c r="L203">
        <f t="shared" si="44"/>
        <v>-63.556122126083928</v>
      </c>
      <c r="M203">
        <f t="shared" si="45"/>
        <v>3.96621580338564E-2</v>
      </c>
      <c r="N203">
        <f t="shared" si="46"/>
        <v>-7.9745500354996099E-2</v>
      </c>
      <c r="O203" t="str">
        <f t="shared" si="40"/>
        <v>0.99999900000098-999.99900000099j</v>
      </c>
      <c r="P203">
        <f t="shared" si="47"/>
        <v>59.999995657057269</v>
      </c>
      <c r="Q203">
        <f t="shared" si="48"/>
        <v>-89.94270423958551</v>
      </c>
      <c r="R203">
        <f t="shared" si="49"/>
        <v>38.994059020180593</v>
      </c>
      <c r="S203">
        <f t="shared" si="50"/>
        <v>26.50117363433057</v>
      </c>
    </row>
    <row r="204" spans="7:19" x14ac:dyDescent="0.25">
      <c r="G204">
        <f t="shared" si="41"/>
        <v>3.0200000000000027</v>
      </c>
      <c r="H204">
        <f t="shared" si="39"/>
        <v>10471.285480509066</v>
      </c>
      <c r="I204" t="str">
        <f t="shared" si="42"/>
        <v>65793.0270784175j</v>
      </c>
      <c r="J204" t="str">
        <f>IMDIV(R_1,IMSUM('Phase Margin Example'!R_1,IMPRODUCT('Phase Margin Example'!R_f,IMSUM(1,IMPRODUCT(I204,C_s,R_1)))))</f>
        <v>0.0368147051919905-0.0775088286585788j</v>
      </c>
      <c r="K204">
        <f t="shared" si="43"/>
        <v>-21.329486772906318</v>
      </c>
      <c r="L204">
        <f t="shared" si="44"/>
        <v>-64.593481187287281</v>
      </c>
      <c r="M204">
        <f t="shared" si="45"/>
        <v>3.6814705191990503E-2</v>
      </c>
      <c r="N204">
        <f t="shared" si="46"/>
        <v>-7.7508828658578804E-2</v>
      </c>
      <c r="O204" t="str">
        <f t="shared" si="40"/>
        <v>0.912010007592879-954.991715058631j</v>
      </c>
      <c r="P204">
        <f t="shared" si="47"/>
        <v>59.599996039188966</v>
      </c>
      <c r="Q204">
        <f t="shared" si="48"/>
        <v>-89.94528297198886</v>
      </c>
      <c r="R204">
        <f t="shared" si="49"/>
        <v>38.270509266282644</v>
      </c>
      <c r="S204">
        <f t="shared" si="50"/>
        <v>25.461235840723873</v>
      </c>
    </row>
    <row r="205" spans="7:19" x14ac:dyDescent="0.25">
      <c r="G205">
        <f t="shared" si="41"/>
        <v>3.0400000000000027</v>
      </c>
      <c r="H205">
        <f t="shared" si="39"/>
        <v>10964.781961431923</v>
      </c>
      <c r="I205" t="str">
        <f t="shared" si="42"/>
        <v>68893.7569164968j</v>
      </c>
      <c r="J205" t="str">
        <f>IMDIV(R_1,IMSUM('Phase Margin Example'!R_1,IMPRODUCT('Phase Margin Example'!R_f,IMSUM(1,IMPRODUCT(I205,C_s,R_1)))))</f>
        <v>0.0341281661746007-0.0752389627020401j</v>
      </c>
      <c r="K205">
        <f t="shared" si="43"/>
        <v>-21.658570515876615</v>
      </c>
      <c r="L205">
        <f t="shared" si="44"/>
        <v>-65.601099541657348</v>
      </c>
      <c r="M205">
        <f t="shared" si="45"/>
        <v>3.4128166174600703E-2</v>
      </c>
      <c r="N205">
        <f t="shared" si="46"/>
        <v>-7.5238962702040099E-2</v>
      </c>
      <c r="O205" t="str">
        <f t="shared" si="40"/>
        <v>0.831763079272268-912.010080778962j</v>
      </c>
      <c r="P205">
        <f t="shared" si="47"/>
        <v>59.199996387697311</v>
      </c>
      <c r="Q205">
        <f t="shared" si="48"/>
        <v>-89.947745642522477</v>
      </c>
      <c r="R205">
        <f t="shared" si="49"/>
        <v>37.541425871820692</v>
      </c>
      <c r="S205">
        <f t="shared" si="50"/>
        <v>24.451154815820189</v>
      </c>
    </row>
    <row r="206" spans="7:19" x14ac:dyDescent="0.25">
      <c r="G206">
        <f t="shared" si="41"/>
        <v>3.0600000000000027</v>
      </c>
      <c r="H206">
        <f t="shared" si="39"/>
        <v>11481.53621496891</v>
      </c>
      <c r="I206" t="str">
        <f t="shared" si="42"/>
        <v>72140.619649743j</v>
      </c>
      <c r="J206" t="str">
        <f>IMDIV(R_1,IMSUM('Phase Margin Example'!R_1,IMPRODUCT('Phase Margin Example'!R_f,IMSUM(1,IMPRODUCT(I206,C_s,R_1)))))</f>
        <v>0.0315997127394616-0.0729479314489166j</v>
      </c>
      <c r="K206">
        <f t="shared" si="43"/>
        <v>-21.992868696996947</v>
      </c>
      <c r="L206">
        <f t="shared" si="44"/>
        <v>-66.578619551543611</v>
      </c>
      <c r="M206">
        <f t="shared" si="45"/>
        <v>3.1599712739461598E-2</v>
      </c>
      <c r="N206">
        <f t="shared" si="46"/>
        <v>-7.2947931448916606E-2</v>
      </c>
      <c r="O206" t="str">
        <f t="shared" si="40"/>
        <v>0.758576999589673-870.962929263128j</v>
      </c>
      <c r="P206">
        <f t="shared" si="47"/>
        <v>58.799996705540643</v>
      </c>
      <c r="Q206">
        <f t="shared" si="48"/>
        <v>-89.950097474804267</v>
      </c>
      <c r="R206">
        <f t="shared" si="49"/>
        <v>36.8071280085437</v>
      </c>
      <c r="S206">
        <f t="shared" si="50"/>
        <v>23.471282973652137</v>
      </c>
    </row>
    <row r="207" spans="7:19" x14ac:dyDescent="0.25">
      <c r="G207">
        <f t="shared" si="41"/>
        <v>3.0800000000000027</v>
      </c>
      <c r="H207">
        <f t="shared" si="39"/>
        <v>12022.644346174213</v>
      </c>
      <c r="I207" t="str">
        <f t="shared" si="42"/>
        <v>75540.5023093275j</v>
      </c>
      <c r="J207" t="str">
        <f>IMDIV(R_1,IMSUM('Phase Margin Example'!R_1,IMPRODUCT('Phase Margin Example'!R_f,IMSUM(1,IMPRODUCT(I207,C_s,R_1)))))</f>
        <v>0.0292255792470112-0.0706468779712091j</v>
      </c>
      <c r="K207">
        <f t="shared" si="43"/>
        <v>-22.332068767591938</v>
      </c>
      <c r="L207">
        <f t="shared" si="44"/>
        <v>-67.525836494177369</v>
      </c>
      <c r="M207">
        <f t="shared" si="45"/>
        <v>2.9225579247011201E-2</v>
      </c>
      <c r="N207">
        <f t="shared" si="46"/>
        <v>-7.0646877971209096E-2</v>
      </c>
      <c r="O207" t="str">
        <f t="shared" si="40"/>
        <v>0.691830492289167-831.763195663127j</v>
      </c>
      <c r="P207">
        <f t="shared" si="47"/>
        <v>58.399996995417254</v>
      </c>
      <c r="Q207">
        <f t="shared" si="48"/>
        <v>-89.952343457354019</v>
      </c>
      <c r="R207">
        <f t="shared" si="49"/>
        <v>36.06792822782532</v>
      </c>
      <c r="S207">
        <f t="shared" si="50"/>
        <v>22.521820048468612</v>
      </c>
    </row>
    <row r="208" spans="7:19" x14ac:dyDescent="0.25">
      <c r="G208">
        <f t="shared" si="41"/>
        <v>3.1000000000000028</v>
      </c>
      <c r="H208">
        <f t="shared" si="39"/>
        <v>12589.254117941757</v>
      </c>
      <c r="I208" t="str">
        <f t="shared" si="42"/>
        <v>79100.6165022018j</v>
      </c>
      <c r="J208" t="str">
        <f>IMDIV(R_1,IMSUM('Phase Margin Example'!R_1,IMPRODUCT('Phase Margin Example'!R_f,IMSUM(1,IMPRODUCT(I208,C_s,R_1)))))</f>
        <v>0.0270012178335149-0.0683460152621209j</v>
      </c>
      <c r="K208">
        <f t="shared" si="43"/>
        <v>-22.675866517900758</v>
      </c>
      <c r="L208">
        <f t="shared" si="44"/>
        <v>-68.442686555560215</v>
      </c>
      <c r="M208">
        <f t="shared" si="45"/>
        <v>2.70012178335149E-2</v>
      </c>
      <c r="N208">
        <f t="shared" si="46"/>
        <v>-6.8346015262120904E-2</v>
      </c>
      <c r="O208" t="str">
        <f t="shared" si="40"/>
        <v>0.630956946373261-794.327733537356j</v>
      </c>
      <c r="P208">
        <f t="shared" si="47"/>
        <v>57.999997259787847</v>
      </c>
      <c r="Q208">
        <f t="shared" si="48"/>
        <v>-89.954488354174188</v>
      </c>
      <c r="R208">
        <f t="shared" si="49"/>
        <v>35.324130741887089</v>
      </c>
      <c r="S208">
        <f t="shared" si="50"/>
        <v>21.602825090265583</v>
      </c>
    </row>
    <row r="209" spans="7:19" x14ac:dyDescent="0.25">
      <c r="G209">
        <f t="shared" si="41"/>
        <v>3.1200000000000028</v>
      </c>
      <c r="H209">
        <f t="shared" si="39"/>
        <v>13182.567385564171</v>
      </c>
      <c r="I209" t="str">
        <f t="shared" si="42"/>
        <v>82828.5137078816j</v>
      </c>
      <c r="J209" t="str">
        <f>IMDIV(R_1,IMSUM('Phase Margin Example'!R_1,IMPRODUCT('Phase Margin Example'!R_f,IMSUM(1,IMPRODUCT(I209,C_s,R_1)))))</f>
        <v>0.0249214470150677-0.0660546053026488j</v>
      </c>
      <c r="K209">
        <f t="shared" si="43"/>
        <v>-23.023967491572943</v>
      </c>
      <c r="L209">
        <f t="shared" si="44"/>
        <v>-69.329234398115261</v>
      </c>
      <c r="M209">
        <f t="shared" si="45"/>
        <v>2.49214470150677E-2</v>
      </c>
      <c r="N209">
        <f t="shared" si="46"/>
        <v>-6.6054605302648797E-2</v>
      </c>
      <c r="O209" t="str">
        <f t="shared" si="40"/>
        <v>0.575439606206215-758.577138513595j</v>
      </c>
      <c r="P209">
        <f t="shared" si="47"/>
        <v>57.599997500896734</v>
      </c>
      <c r="Q209">
        <f t="shared" si="48"/>
        <v>-89.956536714854408</v>
      </c>
      <c r="R209">
        <f t="shared" si="49"/>
        <v>34.576030009323787</v>
      </c>
      <c r="S209">
        <f t="shared" si="50"/>
        <v>20.714228887030345</v>
      </c>
    </row>
    <row r="210" spans="7:19" x14ac:dyDescent="0.25">
      <c r="G210">
        <f t="shared" si="41"/>
        <v>3.1400000000000028</v>
      </c>
      <c r="H210">
        <f t="shared" si="39"/>
        <v>13803.84264602895</v>
      </c>
      <c r="I210" t="str">
        <f t="shared" si="42"/>
        <v>86732.1012961481j</v>
      </c>
      <c r="J210" t="str">
        <f>IMDIV(R_1,IMSUM('Phase Margin Example'!R_1,IMPRODUCT('Phase Margin Example'!R_f,IMSUM(1,IMPRODUCT(I210,C_s,R_1)))))</f>
        <v>0.0229805909866461-0.0637809582495724j</v>
      </c>
      <c r="K210">
        <f t="shared" si="43"/>
        <v>-23.376088111874516</v>
      </c>
      <c r="L210">
        <f t="shared" si="44"/>
        <v>-70.185660588430537</v>
      </c>
      <c r="M210">
        <f t="shared" si="45"/>
        <v>2.29805909866461E-2</v>
      </c>
      <c r="N210">
        <f t="shared" si="46"/>
        <v>-6.3780958249572403E-2</v>
      </c>
      <c r="O210" t="str">
        <f t="shared" si="40"/>
        <v>0.524807184827035-724.435579885785j</v>
      </c>
      <c r="P210">
        <f t="shared" si="47"/>
        <v>57.199997720790662</v>
      </c>
      <c r="Q210">
        <f t="shared" si="48"/>
        <v>-89.958492884221286</v>
      </c>
      <c r="R210">
        <f t="shared" si="49"/>
        <v>33.823909608916146</v>
      </c>
      <c r="S210">
        <f t="shared" si="50"/>
        <v>19.855846527348177</v>
      </c>
    </row>
    <row r="211" spans="7:19" x14ac:dyDescent="0.25">
      <c r="G211">
        <f t="shared" si="41"/>
        <v>3.1600000000000028</v>
      </c>
      <c r="H211">
        <f t="shared" si="39"/>
        <v>14454.397707459377</v>
      </c>
      <c r="I211" t="str">
        <f t="shared" si="42"/>
        <v>90819.6592996391j</v>
      </c>
      <c r="J211" t="str">
        <f>IMDIV(R_1,IMSUM('Phase Margin Example'!R_1,IMPRODUCT('Phase Margin Example'!R_f,IMSUM(1,IMPRODUCT(I211,C_s,R_1)))))</f>
        <v>0.0211726076810787-0.0615324485145753j</v>
      </c>
      <c r="K211">
        <f t="shared" si="43"/>
        <v>-23.731956540275636</v>
      </c>
      <c r="L211">
        <f t="shared" si="44"/>
        <v>-71.012249129256872</v>
      </c>
      <c r="M211">
        <f t="shared" si="45"/>
        <v>2.11726076810787E-2</v>
      </c>
      <c r="N211">
        <f t="shared" si="46"/>
        <v>-6.1532448514575303E-2</v>
      </c>
      <c r="O211" t="str">
        <f t="shared" si="40"/>
        <v>0.478629863235974-691.830639787967j</v>
      </c>
      <c r="P211">
        <f t="shared" si="47"/>
        <v>56.799997921336342</v>
      </c>
      <c r="Q211">
        <f t="shared" si="48"/>
        <v>-89.960361011554042</v>
      </c>
      <c r="R211">
        <f t="shared" si="49"/>
        <v>33.068041381060709</v>
      </c>
      <c r="S211">
        <f t="shared" si="50"/>
        <v>19.0273898591891</v>
      </c>
    </row>
    <row r="212" spans="7:19" x14ac:dyDescent="0.25">
      <c r="G212">
        <f t="shared" si="41"/>
        <v>3.1800000000000028</v>
      </c>
      <c r="H212">
        <f t="shared" si="39"/>
        <v>15135.612484362187</v>
      </c>
      <c r="I212" t="str">
        <f t="shared" si="42"/>
        <v>95099.8579769084j</v>
      </c>
      <c r="J212" t="str">
        <f>IMDIV(R_1,IMSUM('Phase Margin Example'!R_1,IMPRODUCT('Phase Margin Example'!R_f,IMSUM(1,IMPRODUCT(I212,C_s,R_1)))))</f>
        <v>0.0194912043709534-0.0593155445592503j</v>
      </c>
      <c r="K212">
        <f t="shared" si="43"/>
        <v>-24.091313291230104</v>
      </c>
      <c r="L212">
        <f t="shared" si="44"/>
        <v>-71.80937529752957</v>
      </c>
      <c r="M212">
        <f t="shared" si="45"/>
        <v>1.9491204370953401E-2</v>
      </c>
      <c r="N212">
        <f t="shared" si="46"/>
        <v>-5.9315544559250297E-2</v>
      </c>
      <c r="O212" t="str">
        <f t="shared" si="40"/>
        <v>0.436515641694171-660.693159604566j</v>
      </c>
      <c r="P212">
        <f t="shared" si="47"/>
        <v>56.399998104236168</v>
      </c>
      <c r="Q212">
        <f t="shared" si="48"/>
        <v>-89.962145059385321</v>
      </c>
      <c r="R212">
        <f t="shared" si="49"/>
        <v>32.308684813006067</v>
      </c>
      <c r="S212">
        <f t="shared" si="50"/>
        <v>18.228479643085109</v>
      </c>
    </row>
    <row r="213" spans="7:19" x14ac:dyDescent="0.25">
      <c r="G213">
        <f t="shared" si="41"/>
        <v>3.2000000000000028</v>
      </c>
      <c r="H213">
        <f t="shared" si="39"/>
        <v>15848.931924611257</v>
      </c>
      <c r="I213" t="str">
        <f t="shared" si="42"/>
        <v>99581.7762032069j</v>
      </c>
      <c r="J213" t="str">
        <f>IMDIV(R_1,IMSUM('Phase Margin Example'!R_1,IMPRODUCT('Phase Margin Example'!R_f,IMSUM(1,IMPRODUCT(I213,C_s,R_1)))))</f>
        <v>0.0179299402147272-0.0571358494015951j</v>
      </c>
      <c r="K213">
        <f t="shared" si="43"/>
        <v>-24.453911628751939</v>
      </c>
      <c r="L213">
        <f t="shared" si="44"/>
        <v>-72.577493949303317</v>
      </c>
      <c r="M213">
        <f t="shared" si="45"/>
        <v>1.79299402147272E-2</v>
      </c>
      <c r="N213">
        <f t="shared" si="46"/>
        <v>-5.71358494015951E-2</v>
      </c>
      <c r="O213" t="str">
        <f t="shared" si="40"/>
        <v>0.398107012064233-630.957093291643j</v>
      </c>
      <c r="P213">
        <f t="shared" si="47"/>
        <v>55.99999827104277</v>
      </c>
      <c r="Q213">
        <f t="shared" si="48"/>
        <v>-89.963848811905862</v>
      </c>
      <c r="R213">
        <f t="shared" si="49"/>
        <v>31.546086642290831</v>
      </c>
      <c r="S213">
        <f t="shared" si="50"/>
        <v>17.458657238790806</v>
      </c>
    </row>
    <row r="214" spans="7:19" x14ac:dyDescent="0.25">
      <c r="G214">
        <f t="shared" si="41"/>
        <v>3.2200000000000029</v>
      </c>
      <c r="H214">
        <f t="shared" si="39"/>
        <v>16595.869074375729</v>
      </c>
      <c r="I214" t="str">
        <f t="shared" si="42"/>
        <v>104274.920727994j</v>
      </c>
      <c r="J214" t="str">
        <f>IMDIV(R_1,IMSUM('Phase Margin Example'!R_1,IMPRODUCT('Phase Margin Example'!R_f,IMSUM(1,IMPRODUCT(I214,C_s,R_1)))))</f>
        <v>0.0164823156593504-0.054998149081361j</v>
      </c>
      <c r="K214">
        <f t="shared" si="43"/>
        <v>-24.81951777106665</v>
      </c>
      <c r="L214">
        <f t="shared" si="44"/>
        <v>-73.317128414453379</v>
      </c>
      <c r="M214">
        <f t="shared" si="45"/>
        <v>1.6482315659350402E-2</v>
      </c>
      <c r="N214">
        <f t="shared" si="46"/>
        <v>-5.4998149081360997E-2</v>
      </c>
      <c r="O214" t="str">
        <f t="shared" si="40"/>
        <v>0.363077922944467-602.559367298268j</v>
      </c>
      <c r="P214">
        <f t="shared" si="47"/>
        <v>55.599998423172238</v>
      </c>
      <c r="Q214">
        <f t="shared" si="48"/>
        <v>-89.965475882991115</v>
      </c>
      <c r="R214">
        <f t="shared" si="49"/>
        <v>30.780480652105588</v>
      </c>
      <c r="S214">
        <f t="shared" si="50"/>
        <v>16.717395702555507</v>
      </c>
    </row>
    <row r="215" spans="7:19" x14ac:dyDescent="0.25">
      <c r="G215">
        <f t="shared" si="41"/>
        <v>3.2400000000000029</v>
      </c>
      <c r="H215">
        <f t="shared" si="39"/>
        <v>17378.008287493882</v>
      </c>
      <c r="I215" t="str">
        <f t="shared" si="42"/>
        <v>109189.246340027j</v>
      </c>
      <c r="J215" t="str">
        <f>IMDIV(R_1,IMSUM('Phase Margin Example'!R_1,IMPRODUCT('Phase Margin Example'!R_f,IMSUM(1,IMPRODUCT(I215,C_s,R_1)))))</f>
        <v>0.015141849016443-0.0529064666335963j</v>
      </c>
      <c r="K215">
        <f t="shared" si="43"/>
        <v>-25.187910929363841</v>
      </c>
      <c r="L215">
        <f t="shared" si="44"/>
        <v>-74.028860069621956</v>
      </c>
      <c r="M215">
        <f t="shared" si="45"/>
        <v>1.5141849016443E-2</v>
      </c>
      <c r="N215">
        <f t="shared" si="46"/>
        <v>-5.29064666335963E-2</v>
      </c>
      <c r="O215" t="str">
        <f t="shared" si="40"/>
        <v>0.331131011834802-575.439746791143j</v>
      </c>
      <c r="P215">
        <f t="shared" si="47"/>
        <v>55.199998561915969</v>
      </c>
      <c r="Q215">
        <f t="shared" si="48"/>
        <v>-89.967029723866474</v>
      </c>
      <c r="R215">
        <f t="shared" si="49"/>
        <v>30.012087632552127</v>
      </c>
      <c r="S215">
        <f t="shared" si="50"/>
        <v>16.004110206511569</v>
      </c>
    </row>
    <row r="216" spans="7:19" x14ac:dyDescent="0.25">
      <c r="G216">
        <f t="shared" si="41"/>
        <v>3.2600000000000029</v>
      </c>
      <c r="H216">
        <f t="shared" si="39"/>
        <v>18197.008586099961</v>
      </c>
      <c r="I216" t="str">
        <f t="shared" si="42"/>
        <v>114335.176982804j</v>
      </c>
      <c r="J216" t="str">
        <f>IMDIV(R_1,IMSUM('Phase Margin Example'!R_1,IMPRODUCT('Phase Margin Example'!R_f,IMSUM(1,IMPRODUCT(I216,C_s,R_1)))))</f>
        <v>0.0139021408339472-0.0508641194460548j</v>
      </c>
      <c r="K216">
        <f t="shared" si="43"/>
        <v>-25.558883205726779</v>
      </c>
      <c r="L216">
        <f t="shared" si="44"/>
        <v>-74.713318647704199</v>
      </c>
      <c r="M216">
        <f t="shared" si="45"/>
        <v>1.39021408339472E-2</v>
      </c>
      <c r="N216">
        <f t="shared" si="46"/>
        <v>-5.0864119446054797E-2</v>
      </c>
      <c r="O216" t="str">
        <f t="shared" si="40"/>
        <v>0.30199508083914-549.540707898979j</v>
      </c>
      <c r="P216">
        <f t="shared" si="47"/>
        <v>54.799998688451758</v>
      </c>
      <c r="Q216">
        <f t="shared" si="48"/>
        <v>-89.968513630427609</v>
      </c>
      <c r="R216">
        <f t="shared" si="49"/>
        <v>29.241115482724979</v>
      </c>
      <c r="S216">
        <f t="shared" si="50"/>
        <v>15.318167721868178</v>
      </c>
    </row>
    <row r="217" spans="7:19" x14ac:dyDescent="0.25">
      <c r="G217">
        <f t="shared" si="41"/>
        <v>3.2800000000000029</v>
      </c>
      <c r="H217">
        <f t="shared" si="39"/>
        <v>19054.607179632618</v>
      </c>
      <c r="I217" t="str">
        <f t="shared" si="42"/>
        <v>119723.627865146j</v>
      </c>
      <c r="J217" t="str">
        <f>IMDIV(R_1,IMSUM('Phase Margin Example'!R_1,IMPRODUCT('Phase Margin Example'!R_f,IMSUM(1,IMPRODUCT(I217,C_s,R_1)))))</f>
        <v>0.012756926900617-0.0488737782064751j</v>
      </c>
      <c r="K217">
        <f t="shared" si="43"/>
        <v>-25.93223937383895</v>
      </c>
      <c r="L217">
        <f t="shared" si="44"/>
        <v>-75.371173316322626</v>
      </c>
      <c r="M217">
        <f t="shared" si="45"/>
        <v>1.2756926900616999E-2</v>
      </c>
      <c r="N217">
        <f t="shared" si="46"/>
        <v>-4.8873778206475101E-2</v>
      </c>
      <c r="O217" t="str">
        <f t="shared" si="40"/>
        <v>0.275422794476076-524.807315705832j</v>
      </c>
      <c r="P217">
        <f t="shared" si="47"/>
        <v>54.399998803853784</v>
      </c>
      <c r="Q217">
        <f t="shared" si="48"/>
        <v>-89.969930750231299</v>
      </c>
      <c r="R217">
        <f t="shared" si="49"/>
        <v>28.467759430014834</v>
      </c>
      <c r="S217">
        <f t="shared" si="50"/>
        <v>14.658895933446075</v>
      </c>
    </row>
    <row r="218" spans="7:19" x14ac:dyDescent="0.25">
      <c r="G218">
        <f t="shared" si="41"/>
        <v>3.3000000000000029</v>
      </c>
      <c r="H218">
        <f t="shared" si="39"/>
        <v>19952.623149688949</v>
      </c>
      <c r="I218" t="str">
        <f t="shared" si="42"/>
        <v>125366.028613817j</v>
      </c>
      <c r="J218" t="str">
        <f>IMDIV(R_1,IMSUM('Phase Margin Example'!R_1,IMPRODUCT('Phase Margin Example'!R_f,IMSUM(1,IMPRODUCT(I218,C_s,R_1)))))</f>
        <v>0.0117001208590251-0.0469375259647248j</v>
      </c>
      <c r="K218">
        <f t="shared" si="43"/>
        <v>-26.307796564243382</v>
      </c>
      <c r="L218">
        <f t="shared" si="44"/>
        <v>-76.003124536192971</v>
      </c>
      <c r="M218">
        <f t="shared" si="45"/>
        <v>1.1700120859025101E-2</v>
      </c>
      <c r="N218">
        <f t="shared" si="46"/>
        <v>-4.6937525964724801E-2</v>
      </c>
      <c r="O218" t="str">
        <f t="shared" si="40"/>
        <v>0.251188580055234-501.187107734758j</v>
      </c>
      <c r="P218">
        <f t="shared" si="47"/>
        <v>53.999998909101635</v>
      </c>
      <c r="Q218">
        <f t="shared" si="48"/>
        <v>-89.971284089171704</v>
      </c>
      <c r="R218">
        <f t="shared" si="49"/>
        <v>27.692202344858252</v>
      </c>
      <c r="S218">
        <f t="shared" si="50"/>
        <v>14.025591374635326</v>
      </c>
    </row>
    <row r="219" spans="7:19" x14ac:dyDescent="0.25">
      <c r="G219">
        <f t="shared" si="41"/>
        <v>3.3200000000000029</v>
      </c>
      <c r="H219">
        <f t="shared" si="39"/>
        <v>20892.961308540547</v>
      </c>
      <c r="I219" t="str">
        <f t="shared" si="42"/>
        <v>131274.347517294j</v>
      </c>
      <c r="J219" t="str">
        <f>IMDIV(R_1,IMSUM('Phase Margin Example'!R_1,IMPRODUCT('Phase Margin Example'!R_f,IMSUM(1,IMPRODUCT(I219,C_s,R_1)))))</f>
        <v>0.0107258474770406-0.0450569161317924j</v>
      </c>
      <c r="K219">
        <f t="shared" si="43"/>
        <v>-26.685383873896164</v>
      </c>
      <c r="L219">
        <f t="shared" si="44"/>
        <v>-76.609896692818239</v>
      </c>
      <c r="M219">
        <f t="shared" si="45"/>
        <v>1.07258474770406E-2</v>
      </c>
      <c r="N219">
        <f t="shared" si="46"/>
        <v>-4.5056916131792399E-2</v>
      </c>
      <c r="O219" t="str">
        <f t="shared" si="40"/>
        <v>0.229086712796039-478.629982674839j</v>
      </c>
      <c r="P219">
        <f t="shared" si="47"/>
        <v>53.599999005088847</v>
      </c>
      <c r="Q219">
        <f t="shared" si="48"/>
        <v>-89.972576517856083</v>
      </c>
      <c r="R219">
        <f t="shared" si="49"/>
        <v>26.914615131192683</v>
      </c>
      <c r="S219">
        <f t="shared" si="50"/>
        <v>13.417526789325677</v>
      </c>
    </row>
    <row r="220" spans="7:19" x14ac:dyDescent="0.25">
      <c r="G220">
        <f t="shared" si="41"/>
        <v>3.340000000000003</v>
      </c>
      <c r="H220">
        <f t="shared" si="39"/>
        <v>21877.616239495685</v>
      </c>
      <c r="I220" t="str">
        <f t="shared" si="42"/>
        <v>137461.116912113j</v>
      </c>
      <c r="J220" t="str">
        <f>IMDIV(R_1,IMSUM('Phase Margin Example'!R_1,IMPRODUCT('Phase Margin Example'!R_f,IMSUM(1,IMPRODUCT(I220,C_s,R_1)))))</f>
        <v>0.00982846765076845-0.0432330285058945j</v>
      </c>
      <c r="K220">
        <f t="shared" si="43"/>
        <v>-27.064841917623788</v>
      </c>
      <c r="L220">
        <f t="shared" si="44"/>
        <v>-77.192231481201432</v>
      </c>
      <c r="M220">
        <f t="shared" si="45"/>
        <v>9.82846765076845E-3</v>
      </c>
      <c r="N220">
        <f t="shared" si="46"/>
        <v>-4.32330285058945E-2</v>
      </c>
      <c r="O220" t="str">
        <f t="shared" si="40"/>
        <v>0.208929569433826-457.088094115633j</v>
      </c>
      <c r="P220">
        <f t="shared" si="47"/>
        <v>53.19999909263025</v>
      </c>
      <c r="Q220">
        <f t="shared" si="48"/>
        <v>-89.9738107776937</v>
      </c>
      <c r="R220">
        <f t="shared" si="49"/>
        <v>26.135157175006462</v>
      </c>
      <c r="S220">
        <f t="shared" si="50"/>
        <v>12.833957741104882</v>
      </c>
    </row>
    <row r="221" spans="7:19" x14ac:dyDescent="0.25">
      <c r="G221">
        <f t="shared" si="41"/>
        <v>3.360000000000003</v>
      </c>
      <c r="H221">
        <f t="shared" si="39"/>
        <v>22908.676527677912</v>
      </c>
      <c r="I221" t="str">
        <f t="shared" si="42"/>
        <v>143939.459765636j</v>
      </c>
      <c r="J221" t="str">
        <f>IMDIV(R_1,IMSUM('Phase Margin Example'!R_1,IMPRODUCT('Phase Margin Example'!R_f,IMSUM(1,IMPRODUCT(I221,C_s,R_1)))))</f>
        <v>0.00900259619554672-0.0414665226520053j</v>
      </c>
      <c r="K221">
        <f t="shared" si="43"/>
        <v>-27.446022336959821</v>
      </c>
      <c r="L221">
        <f t="shared" si="44"/>
        <v>-77.75088201286809</v>
      </c>
      <c r="M221">
        <f t="shared" si="45"/>
        <v>9.0025961955467193E-3</v>
      </c>
      <c r="N221">
        <f t="shared" si="46"/>
        <v>-4.1466522652005303E-2</v>
      </c>
      <c r="O221" t="str">
        <f t="shared" si="40"/>
        <v>0.190546035488522-436.5157490638j</v>
      </c>
      <c r="P221">
        <f t="shared" si="47"/>
        <v>52.799999172468908</v>
      </c>
      <c r="Q221">
        <f t="shared" si="48"/>
        <v>-89.974989486710555</v>
      </c>
      <c r="R221">
        <f t="shared" si="49"/>
        <v>25.353976835509087</v>
      </c>
      <c r="S221">
        <f t="shared" si="50"/>
        <v>12.274128500421341</v>
      </c>
    </row>
    <row r="222" spans="7:19" x14ac:dyDescent="0.25">
      <c r="G222">
        <f t="shared" si="41"/>
        <v>3.380000000000003</v>
      </c>
      <c r="H222">
        <f t="shared" si="39"/>
        <v>23988.329190195091</v>
      </c>
      <c r="I222" t="str">
        <f t="shared" si="42"/>
        <v>150723.117511621j</v>
      </c>
      <c r="J222" t="str">
        <f>IMDIV(R_1,IMSUM('Phase Margin Example'!R_1,IMPRODUCT('Phase Margin Example'!R_f,IMSUM(1,IMPRODUCT(I222,C_s,R_1)))))</f>
        <v>0.00824311343630214-0.0397576881638845j</v>
      </c>
      <c r="K222">
        <f t="shared" si="43"/>
        <v>-27.828787279763528</v>
      </c>
      <c r="L222">
        <f t="shared" si="44"/>
        <v>-78.286607606969241</v>
      </c>
      <c r="M222">
        <f t="shared" si="45"/>
        <v>8.2431134363021401E-3</v>
      </c>
      <c r="N222">
        <f t="shared" si="46"/>
        <v>-3.9757688163884503E-2</v>
      </c>
      <c r="O222" t="str">
        <f t="shared" si="40"/>
        <v>0.173780052675423-416.869311026749j</v>
      </c>
      <c r="P222">
        <f t="shared" si="47"/>
        <v>52.399999245282693</v>
      </c>
      <c r="Q222">
        <f t="shared" si="48"/>
        <v>-89.976115145102497</v>
      </c>
      <c r="R222">
        <f t="shared" si="49"/>
        <v>24.571211965519165</v>
      </c>
      <c r="S222">
        <f t="shared" si="50"/>
        <v>11.737277247928262</v>
      </c>
    </row>
    <row r="223" spans="7:19" x14ac:dyDescent="0.25">
      <c r="G223">
        <f t="shared" si="41"/>
        <v>3.400000000000003</v>
      </c>
      <c r="H223">
        <f t="shared" si="39"/>
        <v>25118.864315095991</v>
      </c>
      <c r="I223" t="str">
        <f t="shared" si="42"/>
        <v>157826.479197649j</v>
      </c>
      <c r="J223" t="str">
        <f>IMDIV(R_1,IMSUM('Phase Margin Example'!R_1,IMPRODUCT('Phase Margin Example'!R_f,IMSUM(1,IMPRODUCT(I223,C_s,R_1)))))</f>
        <v>0.00754517154330927-0.0381064915079293j</v>
      </c>
      <c r="K223">
        <f t="shared" si="43"/>
        <v>-28.213008862064232</v>
      </c>
      <c r="L223">
        <f t="shared" si="44"/>
        <v>-78.80016922218347</v>
      </c>
      <c r="M223">
        <f t="shared" si="45"/>
        <v>7.5451715433092698E-3</v>
      </c>
      <c r="N223">
        <f t="shared" si="46"/>
        <v>-3.8106491507929302E-2</v>
      </c>
      <c r="O223" t="str">
        <f t="shared" si="40"/>
        <v>0.158489294127249-398.10710745777j</v>
      </c>
      <c r="P223">
        <f t="shared" si="47"/>
        <v>51.999999311689621</v>
      </c>
      <c r="Q223">
        <f t="shared" si="48"/>
        <v>-89.977190140538426</v>
      </c>
      <c r="R223">
        <f t="shared" si="49"/>
        <v>23.786990449625389</v>
      </c>
      <c r="S223">
        <f t="shared" si="50"/>
        <v>11.222640637278118</v>
      </c>
    </row>
    <row r="224" spans="7:19" x14ac:dyDescent="0.25">
      <c r="G224">
        <f t="shared" si="41"/>
        <v>3.420000000000003</v>
      </c>
      <c r="H224">
        <f t="shared" si="39"/>
        <v>26302.679918954014</v>
      </c>
      <c r="I224" t="str">
        <f t="shared" si="42"/>
        <v>165264.612006219j</v>
      </c>
      <c r="J224" t="str">
        <f>IMDIV(R_1,IMSUM('Phase Margin Example'!R_1,IMPRODUCT('Phase Margin Example'!R_f,IMSUM(1,IMPRODUCT(I224,C_s,R_1)))))</f>
        <v>0.00690419648160811-0.0365126192879253j</v>
      </c>
      <c r="K224">
        <f t="shared" si="43"/>
        <v>-28.598568621757941</v>
      </c>
      <c r="L224">
        <f t="shared" si="44"/>
        <v>-79.29232548312325</v>
      </c>
      <c r="M224">
        <f t="shared" si="45"/>
        <v>6.9041964816081098E-3</v>
      </c>
      <c r="N224">
        <f t="shared" si="46"/>
        <v>-3.6512619287925298E-2</v>
      </c>
      <c r="O224" t="str">
        <f t="shared" si="40"/>
        <v>0.144543956181634-380.189341366481j</v>
      </c>
      <c r="P224">
        <f t="shared" si="47"/>
        <v>51.599999372253514</v>
      </c>
      <c r="Q224">
        <f t="shared" si="48"/>
        <v>-89.978216753224757</v>
      </c>
      <c r="R224">
        <f t="shared" si="49"/>
        <v>23.001430750495572</v>
      </c>
      <c r="S224">
        <f t="shared" si="50"/>
        <v>10.729457763651993</v>
      </c>
    </row>
    <row r="225" spans="7:19" x14ac:dyDescent="0.25">
      <c r="G225">
        <f t="shared" si="41"/>
        <v>3.4400000000000031</v>
      </c>
      <c r="H225">
        <f t="shared" si="39"/>
        <v>27542.287033381886</v>
      </c>
      <c r="I225" t="str">
        <f t="shared" si="42"/>
        <v>173053.293214268j</v>
      </c>
      <c r="J225" t="str">
        <f>IMDIV(R_1,IMSUM('Phase Margin Example'!R_1,IMPRODUCT('Phase Margin Example'!R_f,IMSUM(1,IMPRODUCT(I225,C_s,R_1)))))</f>
        <v>0.00631588635792122-0.0349755178817708j</v>
      </c>
      <c r="K225">
        <f t="shared" si="43"/>
        <v>-28.98535697213147</v>
      </c>
      <c r="L225">
        <f t="shared" si="44"/>
        <v>-79.763829253595489</v>
      </c>
      <c r="M225">
        <f t="shared" si="45"/>
        <v>6.3158863579212202E-3</v>
      </c>
      <c r="N225">
        <f t="shared" si="46"/>
        <v>-3.49755178817708E-2</v>
      </c>
      <c r="O225" t="str">
        <f t="shared" si="40"/>
        <v>0.131825656477632-363.078006907095j</v>
      </c>
      <c r="P225">
        <f t="shared" si="47"/>
        <v>51.199999427488329</v>
      </c>
      <c r="Q225">
        <f t="shared" si="48"/>
        <v>-89.979197160741975</v>
      </c>
      <c r="R225">
        <f t="shared" si="49"/>
        <v>22.214642455356859</v>
      </c>
      <c r="S225">
        <f t="shared" si="50"/>
        <v>10.256973585662536</v>
      </c>
    </row>
    <row r="226" spans="7:19" x14ac:dyDescent="0.25">
      <c r="G226">
        <f t="shared" si="41"/>
        <v>3.4600000000000031</v>
      </c>
      <c r="H226">
        <f t="shared" si="39"/>
        <v>28840.315031266287</v>
      </c>
      <c r="I226" t="str">
        <f t="shared" si="42"/>
        <v>181209.043658883j</v>
      </c>
      <c r="J226" t="str">
        <f>IMDIV(R_1,IMSUM('Phase Margin Example'!R_1,IMPRODUCT('Phase Margin Example'!R_f,IMSUM(1,IMPRODUCT(I226,C_s,R_1)))))</f>
        <v>0.0057762068624588-0.0334944294887052j</v>
      </c>
      <c r="K226">
        <f t="shared" si="43"/>
        <v>-29.373272661706181</v>
      </c>
      <c r="L226">
        <f t="shared" si="44"/>
        <v>-80.215424709022145</v>
      </c>
      <c r="M226">
        <f t="shared" si="45"/>
        <v>5.7762068624588004E-3</v>
      </c>
      <c r="N226">
        <f t="shared" si="46"/>
        <v>-3.34944294887052E-2</v>
      </c>
      <c r="O226" t="str">
        <f t="shared" si="40"/>
        <v>0.120226429007343-346.736808765595j</v>
      </c>
      <c r="P226">
        <f t="shared" si="47"/>
        <v>50.799999477863139</v>
      </c>
      <c r="Q226">
        <f t="shared" si="48"/>
        <v>-89.980133442663572</v>
      </c>
      <c r="R226">
        <f t="shared" si="49"/>
        <v>21.426726816156958</v>
      </c>
      <c r="S226">
        <f t="shared" si="50"/>
        <v>9.8044418483142977</v>
      </c>
    </row>
    <row r="227" spans="7:19" x14ac:dyDescent="0.25">
      <c r="G227">
        <f t="shared" si="41"/>
        <v>3.4800000000000031</v>
      </c>
      <c r="H227">
        <f t="shared" si="39"/>
        <v>30199.517204020391</v>
      </c>
      <c r="I227" t="str">
        <f t="shared" si="42"/>
        <v>189749.162780218j</v>
      </c>
      <c r="J227" t="str">
        <f>IMDIV(R_1,IMSUM('Phase Margin Example'!R_1,IMPRODUCT('Phase Margin Example'!R_f,IMSUM(1,IMPRODUCT(I227,C_s,R_1)))))</f>
        <v>0.00528138441790138-0.0320684246917529j</v>
      </c>
      <c r="K227">
        <f t="shared" si="43"/>
        <v>-29.762222245587097</v>
      </c>
      <c r="L227">
        <f t="shared" si="44"/>
        <v>-80.647844861294899</v>
      </c>
      <c r="M227">
        <f t="shared" si="45"/>
        <v>5.2813844179013802E-3</v>
      </c>
      <c r="N227">
        <f t="shared" si="46"/>
        <v>-3.2068424691752903E-2</v>
      </c>
      <c r="O227" t="str">
        <f t="shared" si="40"/>
        <v>0.109647807591674-331.131085174787j</v>
      </c>
      <c r="P227">
        <f t="shared" si="47"/>
        <v>50.399999523805533</v>
      </c>
      <c r="Q227">
        <f t="shared" si="48"/>
        <v>-89.981027584967052</v>
      </c>
      <c r="R227">
        <f t="shared" si="49"/>
        <v>20.637777278218437</v>
      </c>
      <c r="S227">
        <f t="shared" si="50"/>
        <v>9.3711275537380629</v>
      </c>
    </row>
    <row r="228" spans="7:19" x14ac:dyDescent="0.25">
      <c r="G228">
        <f t="shared" si="41"/>
        <v>3.5000000000000031</v>
      </c>
      <c r="H228">
        <f t="shared" si="39"/>
        <v>31622.776601684025</v>
      </c>
      <c r="I228" t="str">
        <f t="shared" si="42"/>
        <v>198691.765315923j</v>
      </c>
      <c r="J228" t="str">
        <f>IMDIV(R_1,IMSUM('Phase Margin Example'!R_1,IMPRODUCT('Phase Margin Example'!R_f,IMSUM(1,IMPRODUCT(I228,C_s,R_1)))))</f>
        <v>0.00482789756653374-0.0306964316882892j</v>
      </c>
      <c r="K228">
        <f t="shared" si="43"/>
        <v>-30.152119572357048</v>
      </c>
      <c r="L228">
        <f t="shared" si="44"/>
        <v>-81.061809491052742</v>
      </c>
      <c r="M228">
        <f t="shared" si="45"/>
        <v>4.8278975665337403E-3</v>
      </c>
      <c r="N228">
        <f t="shared" si="46"/>
        <v>-3.06964316882892E-2</v>
      </c>
      <c r="O228" t="str">
        <f t="shared" si="40"/>
        <v>0.0999999900000003-316.227734394063j</v>
      </c>
      <c r="P228">
        <f t="shared" si="47"/>
        <v>49.999999565705494</v>
      </c>
      <c r="Q228">
        <f t="shared" si="48"/>
        <v>-89.981881484246344</v>
      </c>
      <c r="R228">
        <f t="shared" si="49"/>
        <v>19.847879993348446</v>
      </c>
      <c r="S228">
        <f t="shared" si="50"/>
        <v>8.9563090247009143</v>
      </c>
    </row>
    <row r="229" spans="7:19" x14ac:dyDescent="0.25">
      <c r="G229">
        <f t="shared" si="41"/>
        <v>3.5200000000000031</v>
      </c>
      <c r="H229">
        <f t="shared" si="39"/>
        <v>33113.112148259344</v>
      </c>
      <c r="I229" t="str">
        <f t="shared" si="42"/>
        <v>208055.819724933j</v>
      </c>
      <c r="J229" t="str">
        <f>IMDIV(R_1,IMSUM('Phase Margin Example'!R_1,IMPRODUCT('Phase Margin Example'!R_f,IMSUM(1,IMPRODUCT(I229,C_s,R_1)))))</f>
        <v>0.00441246705055984-0.0293772623748315j</v>
      </c>
      <c r="K229">
        <f t="shared" si="43"/>
        <v>-30.542885289573576</v>
      </c>
      <c r="L229">
        <f t="shared" si="44"/>
        <v>-81.458023444624928</v>
      </c>
      <c r="M229">
        <f t="shared" si="45"/>
        <v>4.4124670505598399E-3</v>
      </c>
      <c r="N229">
        <f t="shared" si="46"/>
        <v>-2.93772623748315E-2</v>
      </c>
      <c r="O229" t="str">
        <f t="shared" si="40"/>
        <v>0.0912010756179524-301.995144497914j</v>
      </c>
      <c r="P229">
        <f t="shared" si="47"/>
        <v>49.599999603918654</v>
      </c>
      <c r="Q229">
        <f t="shared" si="48"/>
        <v>-89.982696951734795</v>
      </c>
      <c r="R229">
        <f t="shared" si="49"/>
        <v>19.057114314345078</v>
      </c>
      <c r="S229">
        <f t="shared" si="50"/>
        <v>8.5592796036402774</v>
      </c>
    </row>
    <row r="230" spans="7:19" x14ac:dyDescent="0.25">
      <c r="G230">
        <f t="shared" si="41"/>
        <v>3.5400000000000031</v>
      </c>
      <c r="H230">
        <f t="shared" si="39"/>
        <v>34673.685045253471</v>
      </c>
      <c r="I230" t="str">
        <f t="shared" si="42"/>
        <v>217861.188422109j</v>
      </c>
      <c r="J230" t="str">
        <f>IMDIV(R_1,IMSUM('Phase Margin Example'!R_1,IMPRODUCT('Phase Margin Example'!R_f,IMSUM(1,IMPRODUCT(I230,C_s,R_1)))))</f>
        <v>0.00403204497103775-0.0281096354931735j</v>
      </c>
      <c r="K230">
        <f t="shared" si="43"/>
        <v>-30.934446370085141</v>
      </c>
      <c r="L230">
        <f t="shared" si="44"/>
        <v>-81.837175255485874</v>
      </c>
      <c r="M230">
        <f t="shared" si="45"/>
        <v>4.0320449710377496E-3</v>
      </c>
      <c r="N230">
        <f t="shared" si="46"/>
        <v>-2.8109635493173499E-2</v>
      </c>
      <c r="O230" t="str">
        <f t="shared" si="40"/>
        <v>0.0831763701919568-288.403126324331j</v>
      </c>
      <c r="P230">
        <f t="shared" si="47"/>
        <v>49.199999638769533</v>
      </c>
      <c r="Q230">
        <f t="shared" si="48"/>
        <v>-89.983475717146959</v>
      </c>
      <c r="R230">
        <f t="shared" si="49"/>
        <v>18.265553268684393</v>
      </c>
      <c r="S230">
        <f t="shared" si="50"/>
        <v>8.1793490273671523</v>
      </c>
    </row>
    <row r="231" spans="7:19" x14ac:dyDescent="0.25">
      <c r="G231">
        <f t="shared" si="41"/>
        <v>3.5600000000000032</v>
      </c>
      <c r="H231">
        <f t="shared" si="39"/>
        <v>36307.80547701045</v>
      </c>
      <c r="I231" t="str">
        <f t="shared" si="42"/>
        <v>228128.669909087j</v>
      </c>
      <c r="J231" t="str">
        <f>IMDIV(R_1,IMSUM('Phase Margin Example'!R_1,IMPRODUCT('Phase Margin Example'!R_f,IMSUM(1,IMPRODUCT(I231,C_s,R_1)))))</f>
        <v>0.00368380334809415-0.0268921970562355j</v>
      </c>
      <c r="K231">
        <f t="shared" si="43"/>
        <v>-31.326735660677496</v>
      </c>
      <c r="L231">
        <f t="shared" si="44"/>
        <v>-82.199936052886088</v>
      </c>
      <c r="M231">
        <f t="shared" si="45"/>
        <v>3.6838033480941501E-3</v>
      </c>
      <c r="N231">
        <f t="shared" si="46"/>
        <v>-2.6892197056235499E-2</v>
      </c>
      <c r="O231" t="str">
        <f t="shared" si="40"/>
        <v>0.0758577517485179-275.422849440854j</v>
      </c>
      <c r="P231">
        <f t="shared" si="47"/>
        <v>48.799999670553866</v>
      </c>
      <c r="Q231">
        <f t="shared" si="48"/>
        <v>-89.984219432347516</v>
      </c>
      <c r="R231">
        <f t="shared" si="49"/>
        <v>17.47326400987637</v>
      </c>
      <c r="S231">
        <f t="shared" si="50"/>
        <v>7.8158445147664111</v>
      </c>
    </row>
    <row r="232" spans="7:19" x14ac:dyDescent="0.25">
      <c r="G232">
        <f t="shared" si="41"/>
        <v>3.5800000000000032</v>
      </c>
      <c r="H232">
        <f t="shared" si="39"/>
        <v>38018.939632056441</v>
      </c>
      <c r="I232" t="str">
        <f t="shared" si="42"/>
        <v>238880.042890685j</v>
      </c>
      <c r="J232" t="str">
        <f>IMDIV(R_1,IMSUM('Phase Margin Example'!R_1,IMPRODUCT('Phase Margin Example'!R_f,IMSUM(1,IMPRODUCT(I232,C_s,R_1)))))</f>
        <v>0.00336512234921963-0.0257235382756476j</v>
      </c>
      <c r="K232">
        <f t="shared" si="43"/>
        <v>-31.719691453971279</v>
      </c>
      <c r="L232">
        <f t="shared" si="44"/>
        <v>-82.546958723234354</v>
      </c>
      <c r="M232">
        <f t="shared" si="45"/>
        <v>3.3651223492196301E-3</v>
      </c>
      <c r="N232">
        <f t="shared" si="46"/>
        <v>-2.5723538275647599E-2</v>
      </c>
      <c r="O232" t="str">
        <f t="shared" si="40"/>
        <v>0.0691830923055917-263.026780992528j</v>
      </c>
      <c r="P232">
        <f t="shared" si="47"/>
        <v>48.399999699541539</v>
      </c>
      <c r="Q232">
        <f t="shared" si="48"/>
        <v>-89.984929674855138</v>
      </c>
      <c r="R232">
        <f t="shared" si="49"/>
        <v>16.680308245570259</v>
      </c>
      <c r="S232">
        <f t="shared" si="50"/>
        <v>7.4681116019104934</v>
      </c>
    </row>
    <row r="233" spans="7:19" x14ac:dyDescent="0.25">
      <c r="G233">
        <f t="shared" si="41"/>
        <v>3.6000000000000032</v>
      </c>
      <c r="H233">
        <f t="shared" si="39"/>
        <v>39810.717055350047</v>
      </c>
      <c r="I233" t="str">
        <f t="shared" si="42"/>
        <v>250138.112470459j</v>
      </c>
      <c r="J233" t="str">
        <f>IMDIV(R_1,IMSUM('Phase Margin Example'!R_1,IMPRODUCT('Phase Margin Example'!R_f,IMSUM(1,IMPRODUCT(I233,C_s,R_1)))))</f>
        <v>0.00307357840333754-0.0246022112109063j</v>
      </c>
      <c r="K233">
        <f t="shared" si="43"/>
        <v>-32.113257084010037</v>
      </c>
      <c r="L233">
        <f t="shared" si="44"/>
        <v>-82.878877292727537</v>
      </c>
      <c r="M233">
        <f t="shared" si="45"/>
        <v>3.07357840333754E-3</v>
      </c>
      <c r="N233">
        <f t="shared" si="46"/>
        <v>-2.4602211210906302E-2</v>
      </c>
      <c r="O233" t="str">
        <f t="shared" si="40"/>
        <v>0.063095730466947-251.188627302025j</v>
      </c>
      <c r="P233">
        <f t="shared" si="47"/>
        <v>47.99999972597864</v>
      </c>
      <c r="Q233">
        <f t="shared" si="48"/>
        <v>-89.985607951188527</v>
      </c>
      <c r="R233">
        <f t="shared" si="49"/>
        <v>15.886742641968603</v>
      </c>
      <c r="S233">
        <f t="shared" si="50"/>
        <v>7.1355147560839214</v>
      </c>
    </row>
    <row r="234" spans="7:19" x14ac:dyDescent="0.25">
      <c r="G234">
        <f t="shared" si="41"/>
        <v>3.6200000000000032</v>
      </c>
      <c r="H234">
        <f t="shared" si="39"/>
        <v>41686.938347033873</v>
      </c>
      <c r="I234" t="str">
        <f t="shared" si="42"/>
        <v>261926.758523384j</v>
      </c>
      <c r="J234" t="str">
        <f>IMDIV(R_1,IMSUM('Phase Margin Example'!R_1,IMPRODUCT('Phase Margin Example'!R_f,IMSUM(1,IMPRODUCT(I234,C_s,R_1)))))</f>
        <v>0.00280693237564169-0.0235267423534775j</v>
      </c>
      <c r="K234">
        <f t="shared" si="43"/>
        <v>-32.507380545585193</v>
      </c>
      <c r="L234">
        <f t="shared" si="44"/>
        <v>-83.196306502585088</v>
      </c>
      <c r="M234">
        <f t="shared" si="45"/>
        <v>2.8069323756416899E-3</v>
      </c>
      <c r="N234">
        <f t="shared" si="46"/>
        <v>-2.3526742353477501E-2</v>
      </c>
      <c r="O234" t="str">
        <f t="shared" si="40"/>
        <v>0.0575439904224039-239.883278098106j</v>
      </c>
      <c r="P234">
        <f t="shared" si="47"/>
        <v>47.59999975008958</v>
      </c>
      <c r="Q234">
        <f t="shared" si="48"/>
        <v>-89.98625570006196</v>
      </c>
      <c r="R234">
        <f t="shared" si="49"/>
        <v>15.092619204504388</v>
      </c>
      <c r="S234">
        <f t="shared" si="50"/>
        <v>6.8174377973529658</v>
      </c>
    </row>
    <row r="235" spans="7:19" x14ac:dyDescent="0.25">
      <c r="G235">
        <f t="shared" si="41"/>
        <v>3.6400000000000032</v>
      </c>
      <c r="H235">
        <f t="shared" si="39"/>
        <v>43651.58322401694</v>
      </c>
      <c r="I235" t="str">
        <f t="shared" si="42"/>
        <v>274270.98634827j</v>
      </c>
      <c r="J235" t="str">
        <f>IMDIV(R_1,IMSUM('Phase Margin Example'!R_1,IMPRODUCT('Phase Margin Example'!R_f,IMSUM(1,IMPRODUCT(I235,C_s,R_1)))))</f>
        <v>0.00256311794144788-0.0224956443496914j</v>
      </c>
      <c r="K235">
        <f t="shared" si="43"/>
        <v>-32.902014137032729</v>
      </c>
      <c r="L235">
        <f t="shared" si="44"/>
        <v>-83.499841551001424</v>
      </c>
      <c r="M235">
        <f t="shared" si="45"/>
        <v>2.5631179414478799E-3</v>
      </c>
      <c r="N235">
        <f t="shared" si="46"/>
        <v>-2.24956443496914E-2</v>
      </c>
      <c r="O235" t="str">
        <f t="shared" si="40"/>
        <v>0.052480743270748-229.086753254132j</v>
      </c>
      <c r="P235">
        <f t="shared" si="47"/>
        <v>47.199999772078968</v>
      </c>
      <c r="Q235">
        <f t="shared" si="48"/>
        <v>-89.986874295436962</v>
      </c>
      <c r="R235">
        <f t="shared" si="49"/>
        <v>14.297985635046238</v>
      </c>
      <c r="S235">
        <f t="shared" si="50"/>
        <v>6.5132841535616137</v>
      </c>
    </row>
    <row r="236" spans="7:19" x14ac:dyDescent="0.25">
      <c r="G236">
        <f t="shared" si="41"/>
        <v>3.6600000000000033</v>
      </c>
      <c r="H236">
        <f t="shared" si="39"/>
        <v>45708.81896148785</v>
      </c>
      <c r="I236" t="str">
        <f t="shared" si="42"/>
        <v>287196.979707352j</v>
      </c>
      <c r="J236" t="str">
        <f>IMDIV(R_1,IMSUM('Phase Margin Example'!R_1,IMPRODUCT('Phase Margin Example'!R_f,IMSUM(1,IMPRODUCT(I236,C_s,R_1)))))</f>
        <v>0.00234023026598029-0.0215074260546967j</v>
      </c>
      <c r="K236">
        <f t="shared" si="43"/>
        <v>-33.297114125991428</v>
      </c>
      <c r="L236">
        <f t="shared" si="44"/>
        <v>-83.790057978542876</v>
      </c>
      <c r="M236">
        <f t="shared" si="45"/>
        <v>2.3402302659802899E-3</v>
      </c>
      <c r="N236">
        <f t="shared" si="46"/>
        <v>-2.1507426054696702E-2</v>
      </c>
      <c r="O236" t="str">
        <f t="shared" si="40"/>
        <v>0.0478630069413957-218.776151923669j</v>
      </c>
      <c r="P236">
        <f t="shared" si="47"/>
        <v>46.799999792133548</v>
      </c>
      <c r="Q236">
        <f t="shared" si="48"/>
        <v>-89.987465049436693</v>
      </c>
      <c r="R236">
        <f t="shared" si="49"/>
        <v>13.50288566614212</v>
      </c>
      <c r="S236">
        <f t="shared" si="50"/>
        <v>6.2224769720204449</v>
      </c>
    </row>
    <row r="237" spans="7:19" x14ac:dyDescent="0.25">
      <c r="G237">
        <f t="shared" si="41"/>
        <v>3.6800000000000033</v>
      </c>
      <c r="H237">
        <f t="shared" si="39"/>
        <v>47863.009232264194</v>
      </c>
      <c r="I237" t="str">
        <f t="shared" si="42"/>
        <v>300732.156365563j</v>
      </c>
      <c r="J237" t="str">
        <f>IMDIV(R_1,IMSUM('Phase Margin Example'!R_1,IMPRODUCT('Phase Margin Example'!R_f,IMSUM(1,IMPRODUCT(I237,C_s,R_1)))))</f>
        <v>0.00213651507056432-0.0205606010969066j</v>
      </c>
      <c r="K237">
        <f t="shared" si="43"/>
        <v>-33.692640437426718</v>
      </c>
      <c r="L237">
        <f t="shared" si="44"/>
        <v>-84.067511676169417</v>
      </c>
      <c r="M237">
        <f t="shared" si="45"/>
        <v>2.1365150705643199E-3</v>
      </c>
      <c r="N237">
        <f t="shared" si="46"/>
        <v>-2.0560601096906599E-2</v>
      </c>
      <c r="O237" t="str">
        <f t="shared" si="40"/>
        <v>0.0436515813185555-208.929603965295j</v>
      </c>
      <c r="P237">
        <f t="shared" si="47"/>
        <v>46.399999810423544</v>
      </c>
      <c r="Q237">
        <f t="shared" si="48"/>
        <v>-89.988029215129089</v>
      </c>
      <c r="R237">
        <f t="shared" si="49"/>
        <v>12.707359372996827</v>
      </c>
      <c r="S237">
        <f t="shared" si="50"/>
        <v>5.9444591087014942</v>
      </c>
    </row>
    <row r="238" spans="7:19" x14ac:dyDescent="0.25">
      <c r="G238">
        <f t="shared" si="41"/>
        <v>3.7000000000000033</v>
      </c>
      <c r="H238">
        <f t="shared" si="39"/>
        <v>50118.72336272768</v>
      </c>
      <c r="I238" t="str">
        <f t="shared" si="42"/>
        <v>314905.226247289j</v>
      </c>
      <c r="J238" t="str">
        <f>IMDIV(R_1,IMSUM('Phase Margin Example'!R_1,IMPRODUCT('Phase Margin Example'!R_f,IMSUM(1,IMPRODUCT(I238,C_s,R_1)))))</f>
        <v>0.00195035814357493-0.0196536951189026j</v>
      </c>
      <c r="K238">
        <f t="shared" si="43"/>
        <v>-34.088556363085843</v>
      </c>
      <c r="L238">
        <f t="shared" si="44"/>
        <v>-84.332738997340343</v>
      </c>
      <c r="M238">
        <f t="shared" si="45"/>
        <v>1.9503581435749301E-3</v>
      </c>
      <c r="N238">
        <f t="shared" si="46"/>
        <v>-1.9653695118902598E-2</v>
      </c>
      <c r="O238" t="str">
        <f t="shared" si="40"/>
        <v>0.0398107154704558-199.526223553604j</v>
      </c>
      <c r="P238">
        <f t="shared" si="47"/>
        <v>45.999999827104176</v>
      </c>
      <c r="Q238">
        <f t="shared" si="48"/>
        <v>-89.988567989184787</v>
      </c>
      <c r="R238">
        <f t="shared" si="49"/>
        <v>11.911443464018333</v>
      </c>
      <c r="S238">
        <f t="shared" si="50"/>
        <v>5.6786930134748559</v>
      </c>
    </row>
    <row r="239" spans="7:19" x14ac:dyDescent="0.25">
      <c r="G239">
        <f t="shared" si="41"/>
        <v>3.7200000000000033</v>
      </c>
      <c r="H239">
        <f t="shared" si="39"/>
        <v>52480.746024977721</v>
      </c>
      <c r="I239" t="str">
        <f t="shared" si="42"/>
        <v>329746.252333963j</v>
      </c>
      <c r="J239" t="str">
        <f>IMDIV(R_1,IMSUM('Phase Margin Example'!R_1,IMPRODUCT('Phase Margin Example'!R_f,IMSUM(1,IMPRODUCT(I239,C_s,R_1)))))</f>
        <v>0.00178027533616562-0.0187852518471423j</v>
      </c>
      <c r="K239">
        <f t="shared" si="43"/>
        <v>-34.484828291450626</v>
      </c>
      <c r="L239">
        <f t="shared" si="44"/>
        <v>-84.586256957762131</v>
      </c>
      <c r="M239">
        <f t="shared" si="45"/>
        <v>1.7802753361656201E-3</v>
      </c>
      <c r="N239">
        <f t="shared" si="46"/>
        <v>-1.87852518471423E-2</v>
      </c>
      <c r="O239" t="str">
        <f t="shared" si="40"/>
        <v>0.036307804158753-190.546064878014j</v>
      </c>
      <c r="P239">
        <f t="shared" si="47"/>
        <v>45.599999842317153</v>
      </c>
      <c r="Q239">
        <f t="shared" si="48"/>
        <v>-89.989082514415401</v>
      </c>
      <c r="R239">
        <f t="shared" si="49"/>
        <v>11.115171550866528</v>
      </c>
      <c r="S239">
        <f t="shared" si="50"/>
        <v>5.424660527822482</v>
      </c>
    </row>
    <row r="240" spans="7:19" x14ac:dyDescent="0.25">
      <c r="G240">
        <f t="shared" si="41"/>
        <v>3.7400000000000033</v>
      </c>
      <c r="H240">
        <f t="shared" si="39"/>
        <v>54954.087385762934</v>
      </c>
      <c r="I240" t="str">
        <f t="shared" si="42"/>
        <v>345286.714431689j</v>
      </c>
      <c r="J240" t="str">
        <f>IMDIV(R_1,IMSUM('Phase Margin Example'!R_1,IMPRODUCT('Phase Margin Example'!R_f,IMSUM(1,IMPRODUCT(I240,C_s,R_1)))))</f>
        <v>0.00162490306777823-0.0179538381293797j</v>
      </c>
      <c r="K240">
        <f t="shared" si="43"/>
        <v>-34.881425457193707</v>
      </c>
      <c r="L240">
        <f t="shared" si="44"/>
        <v>-84.828563508258398</v>
      </c>
      <c r="M240">
        <f t="shared" si="45"/>
        <v>1.6249030677782301E-3</v>
      </c>
      <c r="N240">
        <f t="shared" si="46"/>
        <v>-1.7953838129379701E-2</v>
      </c>
      <c r="O240" t="str">
        <f t="shared" si="40"/>
        <v>0.0331131110517803-181.970079835401j</v>
      </c>
      <c r="P240">
        <f t="shared" si="47"/>
        <v>45.199999856191504</v>
      </c>
      <c r="Q240">
        <f t="shared" si="48"/>
        <v>-89.989573882197618</v>
      </c>
      <c r="R240">
        <f t="shared" si="49"/>
        <v>10.318574398997796</v>
      </c>
      <c r="S240">
        <f t="shared" si="50"/>
        <v>5.1818626095439981</v>
      </c>
    </row>
    <row r="241" spans="7:19" x14ac:dyDescent="0.25">
      <c r="G241">
        <f t="shared" si="41"/>
        <v>3.7600000000000033</v>
      </c>
      <c r="H241">
        <f t="shared" si="39"/>
        <v>57543.993733716183</v>
      </c>
      <c r="I241" t="str">
        <f t="shared" si="42"/>
        <v>361559.57594412j</v>
      </c>
      <c r="J241" t="str">
        <f>IMDIV(R_1,IMSUM('Phase Margin Example'!R_1,IMPRODUCT('Phase Margin Example'!R_f,IMSUM(1,IMPRODUCT(I241,C_s,R_1)))))</f>
        <v>0.00148298935425622-0.0171580480657447j</v>
      </c>
      <c r="K241">
        <f t="shared" si="43"/>
        <v>-35.278319709100487</v>
      </c>
      <c r="L241">
        <f t="shared" si="44"/>
        <v>-85.060137867987052</v>
      </c>
      <c r="M241">
        <f t="shared" si="45"/>
        <v>1.4829893542562199E-3</v>
      </c>
      <c r="N241">
        <f t="shared" si="46"/>
        <v>-1.71580480657447E-2</v>
      </c>
      <c r="O241" t="str">
        <f t="shared" si="40"/>
        <v>0.0301995162920089-173.780077626862j</v>
      </c>
      <c r="P241">
        <f t="shared" si="47"/>
        <v>44.799999868845113</v>
      </c>
      <c r="Q241">
        <f t="shared" si="48"/>
        <v>-89.990043134788067</v>
      </c>
      <c r="R241">
        <f t="shared" si="49"/>
        <v>9.5216801597446263</v>
      </c>
      <c r="S241">
        <f t="shared" si="50"/>
        <v>4.9498189972248952</v>
      </c>
    </row>
    <row r="242" spans="7:19" x14ac:dyDescent="0.25">
      <c r="G242">
        <f t="shared" si="41"/>
        <v>3.7800000000000034</v>
      </c>
      <c r="H242">
        <f t="shared" si="39"/>
        <v>60255.958607436274</v>
      </c>
      <c r="I242" t="str">
        <f t="shared" si="42"/>
        <v>378599.353792265j</v>
      </c>
      <c r="J242" t="str">
        <f>IMDIV(R_1,IMSUM('Phase Margin Example'!R_1,IMPRODUCT('Phase Margin Example'!R_f,IMSUM(1,IMPRODUCT(I242,C_s,R_1)))))</f>
        <v>0.00135338536163186-0.0163965063470635j</v>
      </c>
      <c r="K242">
        <f t="shared" si="43"/>
        <v>-35.675485295410773</v>
      </c>
      <c r="L242">
        <f t="shared" si="44"/>
        <v>-85.281440906811071</v>
      </c>
      <c r="M242">
        <f t="shared" si="45"/>
        <v>1.35338536163186E-3</v>
      </c>
      <c r="N242">
        <f t="shared" si="46"/>
        <v>-1.6396506347063501E-2</v>
      </c>
      <c r="O242" t="str">
        <f t="shared" si="40"/>
        <v>0.0275422862748036-165.958686172873j</v>
      </c>
      <c r="P242">
        <f t="shared" si="47"/>
        <v>44.399999880385302</v>
      </c>
      <c r="Q242">
        <f t="shared" si="48"/>
        <v>-89.990491267534168</v>
      </c>
      <c r="R242">
        <f t="shared" si="49"/>
        <v>8.7245145849745285</v>
      </c>
      <c r="S242">
        <f t="shared" si="50"/>
        <v>4.7280678256547617</v>
      </c>
    </row>
    <row r="243" spans="7:19" x14ac:dyDescent="0.25">
      <c r="G243">
        <f t="shared" si="41"/>
        <v>3.8000000000000034</v>
      </c>
      <c r="H243">
        <f t="shared" si="39"/>
        <v>63095.734448019837</v>
      </c>
      <c r="I243" t="str">
        <f t="shared" si="42"/>
        <v>396442.191629503j</v>
      </c>
      <c r="J243" t="str">
        <f>IMDIV(R_1,IMSUM('Phase Margin Example'!R_1,IMPRODUCT('Phase Margin Example'!R_f,IMSUM(1,IMPRODUCT(I243,C_s,R_1)))))</f>
        <v>0.00123503748096999-0.0156678709024104j</v>
      </c>
      <c r="K243">
        <f t="shared" si="43"/>
        <v>-36.072898665529308</v>
      </c>
      <c r="L243">
        <f t="shared" si="44"/>
        <v>-85.492915567048072</v>
      </c>
      <c r="M243">
        <f t="shared" si="45"/>
        <v>1.23503748096999E-3</v>
      </c>
      <c r="N243">
        <f t="shared" si="46"/>
        <v>-1.56678709024104E-2</v>
      </c>
      <c r="O243" t="str">
        <f t="shared" si="40"/>
        <v>0.0251188636841381-158.489315265039j</v>
      </c>
      <c r="P243">
        <f t="shared" si="47"/>
        <v>43.999999890910118</v>
      </c>
      <c r="Q243">
        <f t="shared" si="48"/>
        <v>-89.990919230985341</v>
      </c>
      <c r="R243">
        <f t="shared" si="49"/>
        <v>7.9271012253808095</v>
      </c>
      <c r="S243">
        <f t="shared" si="50"/>
        <v>4.5161652019666008</v>
      </c>
    </row>
    <row r="244" spans="7:19" x14ac:dyDescent="0.25">
      <c r="G244">
        <f t="shared" si="41"/>
        <v>3.8200000000000034</v>
      </c>
      <c r="H244">
        <f t="shared" si="39"/>
        <v>66069.344800760126</v>
      </c>
      <c r="I244" t="str">
        <f t="shared" si="42"/>
        <v>415125.936507118j</v>
      </c>
      <c r="J244" t="str">
        <f>IMDIV(R_1,IMSUM('Phase Margin Example'!R_1,IMPRODUCT('Phase Margin Example'!R_f,IMSUM(1,IMPRODUCT(I244,C_s,R_1)))))</f>
        <v>0.00112697991369182-0.0149708349470729j</v>
      </c>
      <c r="K244">
        <f t="shared" si="43"/>
        <v>-36.470538287074305</v>
      </c>
      <c r="L244">
        <f t="shared" si="44"/>
        <v>-85.694987316099173</v>
      </c>
      <c r="M244">
        <f t="shared" si="45"/>
        <v>1.1269799136918201E-3</v>
      </c>
      <c r="N244">
        <f t="shared" si="46"/>
        <v>-1.49708349470729E-2</v>
      </c>
      <c r="O244" t="str">
        <f t="shared" si="40"/>
        <v>0.0229086760028699-151.356121376251j</v>
      </c>
      <c r="P244">
        <f t="shared" si="47"/>
        <v>43.599999900508806</v>
      </c>
      <c r="Q244">
        <f t="shared" si="48"/>
        <v>-89.991327932909243</v>
      </c>
      <c r="R244">
        <f t="shared" si="49"/>
        <v>7.1294616134345006</v>
      </c>
      <c r="S244">
        <f t="shared" si="50"/>
        <v>4.3136847509915697</v>
      </c>
    </row>
    <row r="245" spans="7:19" x14ac:dyDescent="0.25">
      <c r="G245">
        <f t="shared" si="41"/>
        <v>3.8400000000000034</v>
      </c>
      <c r="H245">
        <f t="shared" si="39"/>
        <v>69183.097091894306</v>
      </c>
      <c r="I245" t="str">
        <f t="shared" si="42"/>
        <v>434690.219152969j</v>
      </c>
      <c r="J245" t="str">
        <f>IMDIV(R_1,IMSUM('Phase Margin Example'!R_1,IMPRODUCT('Phase Margin Example'!R_f,IMSUM(1,IMPRODUCT(I245,C_s,R_1)))))</f>
        <v>0.00102832775229189-0.0143041285121549j</v>
      </c>
      <c r="K245">
        <f t="shared" si="43"/>
        <v>-36.868384477257237</v>
      </c>
      <c r="L245">
        <f t="shared" si="44"/>
        <v>-85.888064622592822</v>
      </c>
      <c r="M245">
        <f t="shared" si="45"/>
        <v>1.0283277522918899E-3</v>
      </c>
      <c r="N245">
        <f t="shared" si="46"/>
        <v>-1.4304128512154899E-2</v>
      </c>
      <c r="O245" t="str">
        <f t="shared" si="40"/>
        <v>0.0208929608720242-144.54397405464j</v>
      </c>
      <c r="P245">
        <f t="shared" si="47"/>
        <v>43.199999909262957</v>
      </c>
      <c r="Q245">
        <f t="shared" si="48"/>
        <v>-89.991718240217267</v>
      </c>
      <c r="R245">
        <f t="shared" si="49"/>
        <v>6.3316154320057194</v>
      </c>
      <c r="S245">
        <f t="shared" si="50"/>
        <v>4.1202171371899112</v>
      </c>
    </row>
    <row r="246" spans="7:19" x14ac:dyDescent="0.25">
      <c r="G246">
        <f t="shared" si="41"/>
        <v>3.8600000000000034</v>
      </c>
      <c r="H246">
        <f t="shared" si="39"/>
        <v>72443.596007499684</v>
      </c>
      <c r="I246" t="str">
        <f t="shared" si="42"/>
        <v>455176.538033576j</v>
      </c>
      <c r="J246" t="str">
        <f>IMDIV(R_1,IMSUM('Phase Margin Example'!R_1,IMPRODUCT('Phase Margin Example'!R_f,IMSUM(1,IMPRODUCT(I246,C_s,R_1)))))</f>
        <v>0.000938270538047676-0.0136665195279181j</v>
      </c>
      <c r="K246">
        <f t="shared" si="43"/>
        <v>-37.266419247620604</v>
      </c>
      <c r="L246">
        <f t="shared" si="44"/>
        <v>-86.072539449690026</v>
      </c>
      <c r="M246">
        <f t="shared" si="45"/>
        <v>9.3827053804767602E-4</v>
      </c>
      <c r="N246">
        <f t="shared" si="46"/>
        <v>-1.36665195279181E-2</v>
      </c>
      <c r="O246" t="str">
        <f t="shared" si="40"/>
        <v>0.0190546068165541-138.038423830019j</v>
      </c>
      <c r="P246">
        <f t="shared" si="47"/>
        <v>42.799999917246794</v>
      </c>
      <c r="Q246">
        <f t="shared" si="48"/>
        <v>-89.992090980803425</v>
      </c>
      <c r="R246">
        <f t="shared" si="49"/>
        <v>5.5335806696261898</v>
      </c>
      <c r="S246">
        <f t="shared" si="50"/>
        <v>3.9353695695065483</v>
      </c>
    </row>
    <row r="247" spans="7:19" x14ac:dyDescent="0.25">
      <c r="G247">
        <f t="shared" si="41"/>
        <v>3.8800000000000034</v>
      </c>
      <c r="H247">
        <f t="shared" si="39"/>
        <v>75857.757502919063</v>
      </c>
      <c r="I247" t="str">
        <f t="shared" si="42"/>
        <v>476628.347377933j</v>
      </c>
      <c r="J247" t="str">
        <f>IMDIV(R_1,IMSUM('Phase Margin Example'!R_1,IMPRODUCT('Phase Margin Example'!R_f,IMSUM(1,IMPRODUCT(I247,C_s,R_1)))))</f>
        <v>0.000856066274992103-0.013056814524655j</v>
      </c>
      <c r="K247">
        <f t="shared" si="43"/>
        <v>-37.66462616120112</v>
      </c>
      <c r="L247">
        <f t="shared" si="44"/>
        <v>-86.248787760093379</v>
      </c>
      <c r="M247">
        <f t="shared" si="45"/>
        <v>8.5606627499210304E-4</v>
      </c>
      <c r="N247">
        <f t="shared" si="46"/>
        <v>-1.3056814524655E-2</v>
      </c>
      <c r="O247" t="str">
        <f t="shared" si="40"/>
        <v>0.0173780079854983-131.825671564772j</v>
      </c>
      <c r="P247">
        <f t="shared" si="47"/>
        <v>42.399999924528196</v>
      </c>
      <c r="Q247">
        <f t="shared" si="48"/>
        <v>-89.992446945300358</v>
      </c>
      <c r="R247">
        <f t="shared" si="49"/>
        <v>4.7353737633270754</v>
      </c>
      <c r="S247">
        <f t="shared" si="50"/>
        <v>3.7587652946062633</v>
      </c>
    </row>
    <row r="248" spans="7:19" x14ac:dyDescent="0.25">
      <c r="G248">
        <f t="shared" si="41"/>
        <v>3.9000000000000035</v>
      </c>
      <c r="H248">
        <f t="shared" si="39"/>
        <v>79432.823472428863</v>
      </c>
      <c r="I248" t="str">
        <f t="shared" si="42"/>
        <v>499091.149349755j</v>
      </c>
      <c r="J248" t="str">
        <f>IMDIV(R_1,IMSUM('Phase Margin Example'!R_1,IMPRODUCT('Phase Margin Example'!R_f,IMSUM(1,IMPRODUCT(I248,C_s,R_1)))))</f>
        <v>0.000781035877891698-0.0124738590073716j</v>
      </c>
      <c r="K248">
        <f t="shared" si="43"/>
        <v>-38.062990201226093</v>
      </c>
      <c r="L248">
        <f t="shared" si="44"/>
        <v>-86.41717002809267</v>
      </c>
      <c r="M248">
        <f t="shared" si="45"/>
        <v>7.8103587789169805E-4</v>
      </c>
      <c r="N248">
        <f t="shared" si="46"/>
        <v>-1.24738590073716E-2</v>
      </c>
      <c r="O248" t="str">
        <f t="shared" si="40"/>
        <v>0.0158489316734222-125.892539184153j</v>
      </c>
      <c r="P248">
        <f t="shared" si="47"/>
        <v>41.999999931168865</v>
      </c>
      <c r="Q248">
        <f t="shared" si="48"/>
        <v>-89.992786888756356</v>
      </c>
      <c r="R248">
        <f t="shared" si="49"/>
        <v>3.9370097299427727</v>
      </c>
      <c r="S248">
        <f t="shared" si="50"/>
        <v>3.590043083150988</v>
      </c>
    </row>
    <row r="249" spans="7:19" x14ac:dyDescent="0.25">
      <c r="G249">
        <f t="shared" si="41"/>
        <v>3.9200000000000035</v>
      </c>
      <c r="H249">
        <f t="shared" si="39"/>
        <v>83176.377110267815</v>
      </c>
      <c r="I249" t="str">
        <f t="shared" si="42"/>
        <v>522612.590563663j</v>
      </c>
      <c r="J249" t="str">
        <f>IMDIV(R_1,IMSUM('Phase Margin Example'!R_1,IMPRODUCT('Phase Margin Example'!R_f,IMSUM(1,IMPRODUCT(I249,C_s,R_1)))))</f>
        <v>0.000712558031091212-0.0119165375537767j</v>
      </c>
      <c r="K249">
        <f t="shared" si="43"/>
        <v>-38.461497650499837</v>
      </c>
      <c r="L249">
        <f t="shared" si="44"/>
        <v>-86.578031754677781</v>
      </c>
      <c r="M249">
        <f t="shared" si="45"/>
        <v>7.1255803109121203E-4</v>
      </c>
      <c r="N249">
        <f t="shared" si="46"/>
        <v>-1.1916537553776699E-2</v>
      </c>
      <c r="O249" t="str">
        <f t="shared" si="40"/>
        <v>0.0144543974985294-120.226441723939j</v>
      </c>
      <c r="P249">
        <f t="shared" si="47"/>
        <v>41.599999937225235</v>
      </c>
      <c r="Q249">
        <f t="shared" si="48"/>
        <v>-89.993111532236966</v>
      </c>
      <c r="R249">
        <f t="shared" si="49"/>
        <v>3.138502286725398</v>
      </c>
      <c r="S249">
        <f t="shared" si="50"/>
        <v>3.4288567130852527</v>
      </c>
    </row>
    <row r="250" spans="7:19" x14ac:dyDescent="0.25">
      <c r="G250">
        <f t="shared" si="41"/>
        <v>3.9400000000000035</v>
      </c>
      <c r="H250">
        <f t="shared" si="39"/>
        <v>87096.358995608811</v>
      </c>
      <c r="I250" t="str">
        <f t="shared" si="42"/>
        <v>547242.563150048j</v>
      </c>
      <c r="J250" t="str">
        <f>IMDIV(R_1,IMSUM('Phase Margin Example'!R_1,IMPRODUCT('Phase Margin Example'!R_f,IMSUM(1,IMPRODUCT(I250,C_s,R_1)))))</f>
        <v>0.000650064434719696-0.0113837736789982j</v>
      </c>
      <c r="K250">
        <f t="shared" si="43"/>
        <v>-38.860135980681086</v>
      </c>
      <c r="L250">
        <f t="shared" si="44"/>
        <v>-86.731703982360685</v>
      </c>
      <c r="M250">
        <f t="shared" si="45"/>
        <v>6.5006443471969601E-4</v>
      </c>
      <c r="N250">
        <f t="shared" si="46"/>
        <v>-1.1383773678998199E-2</v>
      </c>
      <c r="O250" t="str">
        <f t="shared" si="40"/>
        <v>0.0131825672117838-114.815360636126j</v>
      </c>
      <c r="P250">
        <f t="shared" si="47"/>
        <v>41.199999942748761</v>
      </c>
      <c r="Q250">
        <f t="shared" si="48"/>
        <v>-89.993421564354477</v>
      </c>
      <c r="R250">
        <f t="shared" si="49"/>
        <v>2.3398639620676747</v>
      </c>
      <c r="S250">
        <f t="shared" si="50"/>
        <v>3.2748744532848377</v>
      </c>
    </row>
    <row r="251" spans="7:19" x14ac:dyDescent="0.25">
      <c r="G251">
        <f t="shared" si="41"/>
        <v>3.9600000000000035</v>
      </c>
      <c r="H251">
        <f t="shared" si="39"/>
        <v>91201.083935591741</v>
      </c>
      <c r="I251" t="str">
        <f t="shared" si="42"/>
        <v>573033.310582962j</v>
      </c>
      <c r="J251" t="str">
        <f>IMDIV(R_1,IMSUM('Phase Margin Example'!R_1,IMPRODUCT('Phase Margin Example'!R_f,IMSUM(1,IMPRODUCT(I251,C_s,R_1)))))</f>
        <v>0.000593035414792608-0.0108745295050096j</v>
      </c>
      <c r="K251">
        <f t="shared" si="43"/>
        <v>-39.258893750699741</v>
      </c>
      <c r="L251">
        <f t="shared" si="44"/>
        <v>-86.878503806885618</v>
      </c>
      <c r="M251">
        <f t="shared" si="45"/>
        <v>5.9303541479260803E-4</v>
      </c>
      <c r="N251">
        <f t="shared" si="46"/>
        <v>-1.0874529505009599E-2</v>
      </c>
      <c r="O251" t="str">
        <f t="shared" si="40"/>
        <v>0.01202264420163-109.647818296061j</v>
      </c>
      <c r="P251">
        <f t="shared" si="47"/>
        <v>40.799999947786254</v>
      </c>
      <c r="Q251">
        <f t="shared" si="48"/>
        <v>-89.99371764272847</v>
      </c>
      <c r="R251">
        <f t="shared" si="49"/>
        <v>1.5411061970865134</v>
      </c>
      <c r="S251">
        <f t="shared" si="50"/>
        <v>3.1277785503859263</v>
      </c>
    </row>
    <row r="252" spans="7:19" x14ac:dyDescent="0.25">
      <c r="G252">
        <f t="shared" si="41"/>
        <v>3.9800000000000035</v>
      </c>
      <c r="H252">
        <f t="shared" si="39"/>
        <v>95499.258602144386</v>
      </c>
      <c r="I252" t="str">
        <f t="shared" si="42"/>
        <v>600039.538495537j</v>
      </c>
      <c r="J252" t="str">
        <f>IMDIV(R_1,IMSUM('Phase Margin Example'!R_1,IMPRODUCT('Phase Margin Example'!R_f,IMSUM(1,IMPRODUCT(I252,C_s,R_1)))))</f>
        <v>0.000540995874098393-0.0103878052679037j</v>
      </c>
      <c r="K252">
        <f t="shared" si="43"/>
        <v>-39.657760513609318</v>
      </c>
      <c r="L252">
        <f t="shared" si="44"/>
        <v>-87.018734883474394</v>
      </c>
      <c r="M252">
        <f t="shared" si="45"/>
        <v>5.4099587409839301E-4</v>
      </c>
      <c r="N252">
        <f t="shared" si="46"/>
        <v>-1.0387805267903699E-2</v>
      </c>
      <c r="O252" t="str">
        <f t="shared" si="40"/>
        <v>0.0109647818412052-104.712853656936j</v>
      </c>
      <c r="P252">
        <f t="shared" si="47"/>
        <v>40.399999952380526</v>
      </c>
      <c r="Q252">
        <f t="shared" si="48"/>
        <v>-89.994000395380837</v>
      </c>
      <c r="R252">
        <f t="shared" si="49"/>
        <v>0.74223943877120746</v>
      </c>
      <c r="S252">
        <f t="shared" si="50"/>
        <v>2.9872647211447543</v>
      </c>
    </row>
    <row r="253" spans="7:19" x14ac:dyDescent="0.25">
      <c r="G253">
        <f t="shared" si="41"/>
        <v>4.0000000000000036</v>
      </c>
      <c r="H253">
        <f t="shared" si="39"/>
        <v>100000.00000000099</v>
      </c>
      <c r="I253" t="str">
        <f t="shared" si="42"/>
        <v>628318.530717965j</v>
      </c>
      <c r="J253" t="str">
        <f>IMDIV(R_1,IMSUM('Phase Margin Example'!R_1,IMPRODUCT('Phase Margin Example'!R_f,IMSUM(1,IMPRODUCT(I253,C_s,R_1)))))</f>
        <v>0.000493511561350832-0.00992263869184903j</v>
      </c>
      <c r="K253">
        <f t="shared" si="43"/>
        <v>-40.056726731215363</v>
      </c>
      <c r="L253">
        <f t="shared" si="44"/>
        <v>-87.152687925662406</v>
      </c>
      <c r="M253">
        <f t="shared" si="45"/>
        <v>4.93511561350832E-4</v>
      </c>
      <c r="N253">
        <f t="shared" si="46"/>
        <v>-9.9226386918490304E-3</v>
      </c>
      <c r="O253" t="str">
        <f t="shared" si="40"/>
        <v>0.0099999998999998-99.999998999999j</v>
      </c>
      <c r="P253">
        <f t="shared" si="47"/>
        <v>39.999999956570463</v>
      </c>
      <c r="Q253">
        <f t="shared" si="48"/>
        <v>-89.994270422067785</v>
      </c>
      <c r="R253">
        <f t="shared" si="49"/>
        <v>-5.6726774644900502E-2</v>
      </c>
      <c r="S253">
        <f t="shared" si="50"/>
        <v>2.853041652269809</v>
      </c>
    </row>
    <row r="254" spans="7:19" x14ac:dyDescent="0.25">
      <c r="G254">
        <f t="shared" si="41"/>
        <v>4.0200000000000031</v>
      </c>
      <c r="H254">
        <f t="shared" si="39"/>
        <v>104712.85480509077</v>
      </c>
      <c r="I254" t="str">
        <f t="shared" si="42"/>
        <v>657930.270784176j</v>
      </c>
      <c r="J254" t="str">
        <f>IMDIV(R_1,IMSUM('Phase Margin Example'!R_1,IMPRODUCT('Phase Margin Example'!R_f,IMSUM(1,IMPRODUCT(I254,C_s,R_1)))))</f>
        <v>0.000450185636857699-0.00947810425474983j</v>
      </c>
      <c r="K254">
        <f t="shared" si="43"/>
        <v>-40.455783695865591</v>
      </c>
      <c r="L254">
        <f t="shared" si="44"/>
        <v>-87.280641195135345</v>
      </c>
      <c r="M254">
        <f t="shared" si="45"/>
        <v>4.5018563685769898E-4</v>
      </c>
      <c r="N254">
        <f t="shared" si="46"/>
        <v>-9.47810425474983E-3</v>
      </c>
      <c r="O254" t="str">
        <f t="shared" si="40"/>
        <v>0.00912010831038254-95.4992577311791j</v>
      </c>
      <c r="P254">
        <f t="shared" si="47"/>
        <v>39.599999960391791</v>
      </c>
      <c r="Q254">
        <f t="shared" si="48"/>
        <v>-89.994528295552101</v>
      </c>
      <c r="R254">
        <f t="shared" si="49"/>
        <v>-0.85578373547379982</v>
      </c>
      <c r="S254">
        <f t="shared" si="50"/>
        <v>2.7248305093125396</v>
      </c>
    </row>
    <row r="255" spans="7:19" x14ac:dyDescent="0.25">
      <c r="G255">
        <f t="shared" si="41"/>
        <v>4.0400000000000027</v>
      </c>
      <c r="H255">
        <f t="shared" si="39"/>
        <v>109647.81961431933</v>
      </c>
      <c r="I255" t="str">
        <f t="shared" si="42"/>
        <v>688937.569164969j</v>
      </c>
      <c r="J255" t="str">
        <f>IMDIV(R_1,IMSUM('Phase Margin Example'!R_1,IMPRODUCT('Phase Margin Example'!R_f,IMSUM(1,IMPRODUCT(I255,C_s,R_1)))))</f>
        <v>0.000410655513851314-0.0090533123672613j</v>
      </c>
      <c r="K255">
        <f t="shared" si="43"/>
        <v>-40.85492345882966</v>
      </c>
      <c r="L255">
        <f t="shared" si="44"/>
        <v>-87.402860981284164</v>
      </c>
      <c r="M255">
        <f t="shared" si="45"/>
        <v>4.1065551385131399E-4</v>
      </c>
      <c r="N255">
        <f t="shared" si="46"/>
        <v>-9.0533123672613004E-3</v>
      </c>
      <c r="O255" t="str">
        <f t="shared" si="40"/>
        <v>0.00831763764184354-91.201083177013j</v>
      </c>
      <c r="P255">
        <f t="shared" si="47"/>
        <v>39.19999996387692</v>
      </c>
      <c r="Q255">
        <f t="shared" si="48"/>
        <v>-89.994774562817966</v>
      </c>
      <c r="R255">
        <f t="shared" si="49"/>
        <v>-1.6549234949527403</v>
      </c>
      <c r="S255">
        <f t="shared" si="50"/>
        <v>2.6023644558978845</v>
      </c>
    </row>
    <row r="256" spans="7:19" x14ac:dyDescent="0.25">
      <c r="G256">
        <f t="shared" si="41"/>
        <v>4.0600000000000023</v>
      </c>
      <c r="H256">
        <f t="shared" si="39"/>
        <v>114815.36214968891</v>
      </c>
      <c r="I256" t="str">
        <f t="shared" si="42"/>
        <v>721406.196497429j</v>
      </c>
      <c r="J256" t="str">
        <f>IMDIV(R_1,IMSUM('Phase Margin Example'!R_1,IMPRODUCT('Phase Margin Example'!R_f,IMSUM(1,IMPRODUCT(I256,C_s,R_1)))))</f>
        <v>0.000374589955606226-0.00864740848384093j</v>
      </c>
      <c r="K256">
        <f t="shared" si="43"/>
        <v>-41.25413876473722</v>
      </c>
      <c r="L256">
        <f t="shared" si="44"/>
        <v>-87.519602069461754</v>
      </c>
      <c r="M256">
        <f t="shared" si="45"/>
        <v>3.7458995560622597E-4</v>
      </c>
      <c r="N256">
        <f t="shared" si="46"/>
        <v>-8.6474084838409297E-3</v>
      </c>
      <c r="O256" t="str">
        <f t="shared" si="40"/>
        <v>0.00758577569274775-87.0963583349141j</v>
      </c>
      <c r="P256">
        <f t="shared" si="47"/>
        <v>38.799999967055342</v>
      </c>
      <c r="Q256">
        <f t="shared" si="48"/>
        <v>-89.995009746231219</v>
      </c>
      <c r="R256">
        <f t="shared" si="49"/>
        <v>-2.4541387976818783</v>
      </c>
      <c r="S256">
        <f t="shared" si="50"/>
        <v>2.4853881843070269</v>
      </c>
    </row>
    <row r="257" spans="7:19" x14ac:dyDescent="0.25">
      <c r="G257">
        <f t="shared" si="41"/>
        <v>4.0800000000000018</v>
      </c>
      <c r="H257">
        <f t="shared" si="39"/>
        <v>120226.44346174195</v>
      </c>
      <c r="I257" t="str">
        <f t="shared" si="42"/>
        <v>755405.023093274j</v>
      </c>
      <c r="J257" t="str">
        <f>IMDIV(R_1,IMSUM('Phase Margin Example'!R_1,IMPRODUCT('Phase Margin Example'!R_f,IMSUM(1,IMPRODUCT(I257,C_s,R_1)))))</f>
        <v>0.000341686409500624-0.00825957216190326j</v>
      </c>
      <c r="K257">
        <f t="shared" si="43"/>
        <v>-41.653422991581657</v>
      </c>
      <c r="L257">
        <f t="shared" si="44"/>
        <v>-87.63110819715304</v>
      </c>
      <c r="M257">
        <f t="shared" si="45"/>
        <v>3.4168640950062401E-4</v>
      </c>
      <c r="N257">
        <f t="shared" si="46"/>
        <v>-8.2595721619032596E-3</v>
      </c>
      <c r="O257" t="str">
        <f t="shared" si="40"/>
        <v>0.00691830966132627-83.1763765348267j</v>
      </c>
      <c r="P257">
        <f t="shared" si="47"/>
        <v>38.399999969954109</v>
      </c>
      <c r="Q257">
        <f t="shared" si="48"/>
        <v>-89.995234344647386</v>
      </c>
      <c r="R257">
        <f t="shared" si="49"/>
        <v>-3.2534230216275475</v>
      </c>
      <c r="S257">
        <f t="shared" si="50"/>
        <v>2.373657458199574</v>
      </c>
    </row>
    <row r="258" spans="7:19" x14ac:dyDescent="0.25">
      <c r="G258">
        <f t="shared" si="41"/>
        <v>4.1000000000000014</v>
      </c>
      <c r="H258">
        <f t="shared" si="39"/>
        <v>125892.54117941715</v>
      </c>
      <c r="I258" t="str">
        <f t="shared" si="42"/>
        <v>791006.165022015j</v>
      </c>
      <c r="J258" t="str">
        <f>IMDIV(R_1,IMSUM('Phase Margin Example'!R_1,IMPRODUCT('Phase Margin Example'!R_f,IMSUM(1,IMPRODUCT(I258,C_s,R_1)))))</f>
        <v>0.000311668560234574-0.00788901608285065j</v>
      </c>
      <c r="K258">
        <f t="shared" si="43"/>
        <v>-42.052770095833921</v>
      </c>
      <c r="L258">
        <f t="shared" si="44"/>
        <v>-87.737612497467282</v>
      </c>
      <c r="M258">
        <f t="shared" si="45"/>
        <v>3.1166856023457398E-4</v>
      </c>
      <c r="N258">
        <f t="shared" si="46"/>
        <v>-7.8890160828506504E-3</v>
      </c>
      <c r="O258" t="str">
        <f t="shared" si="40"/>
        <v>0.00630957340499119-79.4328229712407j</v>
      </c>
      <c r="P258">
        <f t="shared" si="47"/>
        <v>37.999999972597848</v>
      </c>
      <c r="Q258">
        <f t="shared" si="48"/>
        <v>-89.995448834469798</v>
      </c>
      <c r="R258">
        <f t="shared" si="49"/>
        <v>-4.0527701232360727</v>
      </c>
      <c r="S258">
        <f t="shared" si="50"/>
        <v>2.2669386680629202</v>
      </c>
    </row>
    <row r="259" spans="7:19" x14ac:dyDescent="0.25">
      <c r="G259">
        <f t="shared" si="41"/>
        <v>4.120000000000001</v>
      </c>
      <c r="H259">
        <f t="shared" ref="H259:H322" si="51">$B$3*10^G259</f>
        <v>131825.67385564116</v>
      </c>
      <c r="I259" t="str">
        <f t="shared" si="42"/>
        <v>828285.137078813j</v>
      </c>
      <c r="J259" t="str">
        <f>IMDIV(R_1,IMSUM('Phase Margin Example'!R_1,IMPRODUCT('Phase Margin Example'!R_f,IMSUM(1,IMPRODUCT(I259,C_s,R_1)))))</f>
        <v>0.000284284085479527-0.00753498504674353j</v>
      </c>
      <c r="K259">
        <f t="shared" si="43"/>
        <v>-42.452174562244672</v>
      </c>
      <c r="L259">
        <f t="shared" si="44"/>
        <v>-87.839337929529108</v>
      </c>
      <c r="M259">
        <f t="shared" si="45"/>
        <v>2.8428408547952698E-4</v>
      </c>
      <c r="N259">
        <f t="shared" si="46"/>
        <v>-7.5349850467435302E-3</v>
      </c>
      <c r="O259" t="str">
        <f t="shared" ref="O259:O322" si="52">IMDIV(Aolv,IMSUM(1,IMDIV(I259,wc)))</f>
        <v>0.00575439934025843-75.8577570664024j</v>
      </c>
      <c r="P259">
        <f t="shared" si="47"/>
        <v>37.599999975008942</v>
      </c>
      <c r="Q259">
        <f t="shared" si="48"/>
        <v>-89.99565367066009</v>
      </c>
      <c r="R259">
        <f t="shared" si="49"/>
        <v>-4.85217458723573</v>
      </c>
      <c r="S259">
        <f t="shared" si="50"/>
        <v>2.1650083998108016</v>
      </c>
    </row>
    <row r="260" spans="7:19" x14ac:dyDescent="0.25">
      <c r="G260">
        <f t="shared" ref="G260:G323" si="53">G259+(1/ppd)</f>
        <v>4.1400000000000006</v>
      </c>
      <c r="H260">
        <f t="shared" si="51"/>
        <v>138038.4264602889</v>
      </c>
      <c r="I260" t="str">
        <f t="shared" ref="I260:I323" si="54">COMPLEX(0,H260*2*PI(),"j")</f>
        <v>867321.012961477j</v>
      </c>
      <c r="J260" t="str">
        <f>IMDIV(R_1,IMSUM('Phase Margin Example'!R_1,IMPRODUCT('Phase Margin Example'!R_f,IMSUM(1,IMPRODUCT(I260,C_s,R_1)))))</f>
        <v>0.000259302598283451-0.00719675495061584j</v>
      </c>
      <c r="K260">
        <f t="shared" ref="K260:K323" si="55">20*LOG(IMABS(J260))</f>
        <v>-42.851631357945443</v>
      </c>
      <c r="L260">
        <f t="shared" ref="L260:L323" si="56">DEGREES(IMARGUMENT(J260))</f>
        <v>-87.936497695488384</v>
      </c>
      <c r="M260">
        <f t="shared" ref="M260:M323" si="57">IMREAL(J260)</f>
        <v>2.5930259828345098E-4</v>
      </c>
      <c r="N260">
        <f t="shared" ref="N260:N323" si="58">IMAGINARY(J260)</f>
        <v>-7.19675495061584E-3</v>
      </c>
      <c r="O260" t="str">
        <f t="shared" si="52"/>
        <v>0.0052480745749554-72.4435956273093j</v>
      </c>
      <c r="P260">
        <f t="shared" ref="P260:P323" si="59">20*LOG(IMABS(O260))</f>
        <v>37.199999977207867</v>
      </c>
      <c r="Q260">
        <f t="shared" ref="Q260:Q323" si="60">DEGREES(IMARGUMENT(O260))</f>
        <v>-89.99584928770328</v>
      </c>
      <c r="R260">
        <f t="shared" ref="R260:R323" si="61">P260+K260</f>
        <v>-5.6516313807375766</v>
      </c>
      <c r="S260">
        <f t="shared" ref="S260:S323" si="62">(Q260+L260)-(-180)</f>
        <v>2.0676530168083218</v>
      </c>
    </row>
    <row r="261" spans="7:19" x14ac:dyDescent="0.25">
      <c r="G261">
        <f t="shared" si="53"/>
        <v>4.16</v>
      </c>
      <c r="H261">
        <f t="shared" si="51"/>
        <v>144543.9770745929</v>
      </c>
      <c r="I261" t="str">
        <f t="shared" si="54"/>
        <v>908196.592996385j</v>
      </c>
      <c r="J261" t="str">
        <f>IMDIV(R_1,IMSUM('Phase Margin Example'!R_1,IMPRODUCT('Phase Margin Example'!R_f,IMSUM(1,IMPRODUCT(I261,C_s,R_1)))))</f>
        <v>0.000236513761582322-0.00687363175890639j</v>
      </c>
      <c r="K261">
        <f t="shared" si="55"/>
        <v>-43.251135890491348</v>
      </c>
      <c r="L261">
        <f t="shared" si="56"/>
        <v>-88.029295643990807</v>
      </c>
      <c r="M261">
        <f t="shared" si="57"/>
        <v>2.3651376158232199E-4</v>
      </c>
      <c r="N261">
        <f t="shared" si="58"/>
        <v>-6.8736317589063898E-3</v>
      </c>
      <c r="O261" t="str">
        <f t="shared" si="52"/>
        <v>0.00478630090031769-69.1830967607624j</v>
      </c>
      <c r="P261">
        <f t="shared" si="59"/>
        <v>36.799999979213339</v>
      </c>
      <c r="Q261">
        <f t="shared" si="60"/>
        <v>-89.996036100529324</v>
      </c>
      <c r="R261">
        <f t="shared" si="61"/>
        <v>-6.4511359112780085</v>
      </c>
      <c r="S261">
        <f t="shared" si="62"/>
        <v>1.9746682554798554</v>
      </c>
    </row>
    <row r="262" spans="7:19" x14ac:dyDescent="0.25">
      <c r="G262">
        <f t="shared" si="53"/>
        <v>4.18</v>
      </c>
      <c r="H262">
        <f t="shared" si="51"/>
        <v>151356.12484362096</v>
      </c>
      <c r="I262" t="str">
        <f t="shared" si="54"/>
        <v>950998.579769078j</v>
      </c>
      <c r="J262" t="str">
        <f>IMDIV(R_1,IMSUM('Phase Margin Example'!R_1,IMPRODUCT('Phase Margin Example'!R_f,IMSUM(1,IMPRODUCT(I262,C_s,R_1)))))</f>
        <v>0.000215725561162822-0.00656495047314337j</v>
      </c>
      <c r="K262">
        <f t="shared" si="55"/>
        <v>-43.650683969513238</v>
      </c>
      <c r="L262">
        <f t="shared" si="56"/>
        <v>-88.117926660053129</v>
      </c>
      <c r="M262">
        <f t="shared" si="57"/>
        <v>2.1572556116282199E-4</v>
      </c>
      <c r="N262">
        <f t="shared" si="58"/>
        <v>-6.5649504731433699E-3</v>
      </c>
      <c r="O262" t="str">
        <f t="shared" si="52"/>
        <v>0.00436515830334704-66.0693445123564j</v>
      </c>
      <c r="P262">
        <f t="shared" si="59"/>
        <v>36.399999981042349</v>
      </c>
      <c r="Q262">
        <f t="shared" si="60"/>
        <v>-89.99621450539324</v>
      </c>
      <c r="R262">
        <f t="shared" si="61"/>
        <v>-7.2506839884708896</v>
      </c>
      <c r="S262">
        <f t="shared" si="62"/>
        <v>1.8858588345536305</v>
      </c>
    </row>
    <row r="263" spans="7:19" x14ac:dyDescent="0.25">
      <c r="G263">
        <f t="shared" si="53"/>
        <v>4.1999999999999993</v>
      </c>
      <c r="H263">
        <f t="shared" si="51"/>
        <v>158489.3192461112</v>
      </c>
      <c r="I263" t="str">
        <f t="shared" si="54"/>
        <v>995817.762032061j</v>
      </c>
      <c r="J263" t="str">
        <f>IMDIV(R_1,IMSUM('Phase Margin Example'!R_1,IMPRODUCT('Phase Margin Example'!R_f,IMSUM(1,IMPRODUCT(I263,C_s,R_1)))))</f>
        <v>0.000196762724375769-0.00627007410685473j</v>
      </c>
      <c r="K263">
        <f t="shared" si="55"/>
        <v>-44.050271771677117</v>
      </c>
      <c r="L263">
        <f t="shared" si="56"/>
        <v>-88.202577041374454</v>
      </c>
      <c r="M263">
        <f t="shared" si="57"/>
        <v>1.9676272437576899E-4</v>
      </c>
      <c r="N263">
        <f t="shared" si="58"/>
        <v>-6.2700741068547304E-3</v>
      </c>
      <c r="O263" t="str">
        <f t="shared" si="52"/>
        <v>0.00398107168968606-63.0957341968308j</v>
      </c>
      <c r="P263">
        <f t="shared" si="59"/>
        <v>35.999999982710442</v>
      </c>
      <c r="Q263">
        <f t="shared" si="60"/>
        <v>-89.996384880715652</v>
      </c>
      <c r="R263">
        <f t="shared" si="61"/>
        <v>-8.0502717889666755</v>
      </c>
      <c r="S263">
        <f t="shared" si="62"/>
        <v>1.8010380779098796</v>
      </c>
    </row>
    <row r="264" spans="7:19" x14ac:dyDescent="0.25">
      <c r="G264">
        <f t="shared" si="53"/>
        <v>4.2199999999999989</v>
      </c>
      <c r="H264">
        <f t="shared" si="51"/>
        <v>165958.69074375587</v>
      </c>
      <c r="I264" t="str">
        <f t="shared" si="54"/>
        <v>1042749.20727993j</v>
      </c>
      <c r="J264" t="str">
        <f>IMDIV(R_1,IMSUM('Phase Margin Example'!R_1,IMPRODUCT('Phase Margin Example'!R_f,IMSUM(1,IMPRODUCT(I264,C_s,R_1)))))</f>
        <v>0.000179465272811544-0.00598839267067244j</v>
      </c>
      <c r="K264">
        <f t="shared" si="55"/>
        <v>-44.449895808669112</v>
      </c>
      <c r="L264">
        <f t="shared" si="56"/>
        <v>-88.283424861185637</v>
      </c>
      <c r="M264">
        <f t="shared" si="57"/>
        <v>1.7946527281154399E-4</v>
      </c>
      <c r="N264">
        <f t="shared" si="58"/>
        <v>-5.9883926706724398E-3</v>
      </c>
      <c r="O264" t="str">
        <f t="shared" si="52"/>
        <v>0.00363078053451845-60.2559583886596j</v>
      </c>
      <c r="P264">
        <f t="shared" si="59"/>
        <v>35.599999984231722</v>
      </c>
      <c r="Q264">
        <f t="shared" si="60"/>
        <v>-89.996547587885459</v>
      </c>
      <c r="R264">
        <f t="shared" si="61"/>
        <v>-8.8498958244373895</v>
      </c>
      <c r="S264">
        <f t="shared" si="62"/>
        <v>1.7200275509289042</v>
      </c>
    </row>
    <row r="265" spans="7:19" x14ac:dyDescent="0.25">
      <c r="G265">
        <f t="shared" si="53"/>
        <v>4.2399999999999984</v>
      </c>
      <c r="H265">
        <f t="shared" si="51"/>
        <v>173780.08287493698</v>
      </c>
      <c r="I265" t="str">
        <f t="shared" si="54"/>
        <v>1091892.46340025j</v>
      </c>
      <c r="J265" t="str">
        <f>IMDIV(R_1,IMSUM('Phase Margin Example'!R_1,IMPRODUCT('Phase Margin Example'!R_f,IMSUM(1,IMPRODUCT(I265,C_s,R_1)))))</f>
        <v>0.000163687198013768-0.00571932217172279j</v>
      </c>
      <c r="K265">
        <f t="shared" si="55"/>
        <v>-44.849552897951213</v>
      </c>
      <c r="L265">
        <f t="shared" si="56"/>
        <v>-88.360640317799692</v>
      </c>
      <c r="M265">
        <f t="shared" si="57"/>
        <v>1.6368719801376799E-4</v>
      </c>
      <c r="N265">
        <f t="shared" si="58"/>
        <v>-5.7193221717227903E-3</v>
      </c>
      <c r="O265" t="str">
        <f t="shared" si="52"/>
        <v>0.00331131120386119-57.5439935431701j</v>
      </c>
      <c r="P265">
        <f t="shared" si="59"/>
        <v>35.199999985619229</v>
      </c>
      <c r="Q265">
        <f t="shared" si="60"/>
        <v>-89.99670297202637</v>
      </c>
      <c r="R265">
        <f t="shared" si="61"/>
        <v>-9.6495529123319841</v>
      </c>
      <c r="S265">
        <f t="shared" si="62"/>
        <v>1.6426567101739238</v>
      </c>
    </row>
    <row r="266" spans="7:19" x14ac:dyDescent="0.25">
      <c r="G266">
        <f t="shared" si="53"/>
        <v>4.259999999999998</v>
      </c>
      <c r="H266">
        <f t="shared" si="51"/>
        <v>181970.08586099773</v>
      </c>
      <c r="I266" t="str">
        <f t="shared" si="54"/>
        <v>1143351.76982803j</v>
      </c>
      <c r="J266" t="str">
        <f>IMDIV(R_1,IMSUM('Phase Margin Example'!R_1,IMPRODUCT('Phase Margin Example'!R_f,IMSUM(1,IMPRODUCT(I266,C_s,R_1)))))</f>
        <v>0.00014929525012522-0.00546230363064285j</v>
      </c>
      <c r="K266">
        <f t="shared" si="55"/>
        <v>-45.249240136051078</v>
      </c>
      <c r="L266">
        <f t="shared" si="56"/>
        <v>-88.4343860710744</v>
      </c>
      <c r="M266">
        <f t="shared" si="57"/>
        <v>1.4929525012521999E-4</v>
      </c>
      <c r="N266">
        <f t="shared" si="58"/>
        <v>-5.4623036306428504E-3</v>
      </c>
      <c r="O266" t="str">
        <f t="shared" si="52"/>
        <v>0.00301995171128192-54.9540872198039j</v>
      </c>
      <c r="P266">
        <f t="shared" si="59"/>
        <v>34.799999986884536</v>
      </c>
      <c r="Q266">
        <f t="shared" si="60"/>
        <v>-89.996851362728975</v>
      </c>
      <c r="R266">
        <f t="shared" si="61"/>
        <v>-10.449240149166542</v>
      </c>
      <c r="S266">
        <f t="shared" si="62"/>
        <v>1.5687625661966251</v>
      </c>
    </row>
    <row r="267" spans="7:19" x14ac:dyDescent="0.25">
      <c r="G267">
        <f t="shared" si="53"/>
        <v>4.2799999999999976</v>
      </c>
      <c r="H267">
        <f t="shared" si="51"/>
        <v>190546.0717963237</v>
      </c>
      <c r="I267" t="str">
        <f t="shared" si="54"/>
        <v>1197236.27865145j</v>
      </c>
      <c r="J267" t="str">
        <f>IMDIV(R_1,IMSUM('Phase Margin Example'!R_1,IMPRODUCT('Phase Margin Example'!R_f,IMSUM(1,IMPRODUCT(I267,C_s,R_1)))))</f>
        <v>0.000136167830129289-0.00521680211891305j</v>
      </c>
      <c r="K267">
        <f t="shared" si="55"/>
        <v>-45.648954874168325</v>
      </c>
      <c r="L267">
        <f t="shared" si="56"/>
        <v>-88.504817566037545</v>
      </c>
      <c r="M267">
        <f t="shared" si="57"/>
        <v>1.3616783012928901E-4</v>
      </c>
      <c r="N267">
        <f t="shared" si="58"/>
        <v>-5.21680211891305E-3</v>
      </c>
      <c r="O267" t="str">
        <f t="shared" si="52"/>
        <v>0.00275422869575241-52.4807458804335j</v>
      </c>
      <c r="P267">
        <f t="shared" si="59"/>
        <v>34.399999988038573</v>
      </c>
      <c r="Q267">
        <f t="shared" si="60"/>
        <v>-89.996993074749838</v>
      </c>
      <c r="R267">
        <f t="shared" si="61"/>
        <v>-11.248954886129752</v>
      </c>
      <c r="S267">
        <f t="shared" si="62"/>
        <v>1.4981893592126312</v>
      </c>
    </row>
    <row r="268" spans="7:19" x14ac:dyDescent="0.25">
      <c r="G268">
        <f t="shared" si="53"/>
        <v>4.2999999999999972</v>
      </c>
      <c r="H268">
        <f t="shared" si="51"/>
        <v>199526.23149688687</v>
      </c>
      <c r="I268" t="str">
        <f t="shared" si="54"/>
        <v>1253660.28613815j</v>
      </c>
      <c r="J268" t="str">
        <f>IMDIV(R_1,IMSUM('Phase Margin Example'!R_1,IMPRODUCT('Phase Margin Example'!R_f,IMSUM(1,IMPRODUCT(I268,C_s,R_1)))))</f>
        <v>0.000124193977071677-0.00498230581863403j</v>
      </c>
      <c r="K268">
        <f t="shared" si="55"/>
        <v>-46.048694695901503</v>
      </c>
      <c r="L268">
        <f t="shared" si="56"/>
        <v>-88.572083343958283</v>
      </c>
      <c r="M268">
        <f t="shared" si="57"/>
        <v>1.2419397707167699E-4</v>
      </c>
      <c r="N268">
        <f t="shared" si="58"/>
        <v>-4.9823058186340297E-3</v>
      </c>
      <c r="O268" t="str">
        <f t="shared" si="52"/>
        <v>0.00251188642520006-50.1187232368352j</v>
      </c>
      <c r="P268">
        <f t="shared" si="59"/>
        <v>33.999999989091101</v>
      </c>
      <c r="Q268">
        <f t="shared" si="60"/>
        <v>-89.997128408679146</v>
      </c>
      <c r="R268">
        <f t="shared" si="61"/>
        <v>-12.048694706810402</v>
      </c>
      <c r="S268">
        <f t="shared" si="62"/>
        <v>1.4307882473625568</v>
      </c>
    </row>
    <row r="269" spans="7:19" x14ac:dyDescent="0.25">
      <c r="G269">
        <f t="shared" si="53"/>
        <v>4.3199999999999967</v>
      </c>
      <c r="H269">
        <f t="shared" si="51"/>
        <v>208929.61308540276</v>
      </c>
      <c r="I269" t="str">
        <f t="shared" si="54"/>
        <v>1312743.47517292j</v>
      </c>
      <c r="J269" t="str">
        <f>IMDIV(R_1,IMSUM('Phase Margin Example'!R_1,IMPRODUCT('Phase Margin Example'!R_f,IMSUM(1,IMPRODUCT(I269,C_s,R_1)))))</f>
        <v>0.000113272442321907-0.00475832510639951j</v>
      </c>
      <c r="K269">
        <f t="shared" si="55"/>
        <v>-46.448457396911316</v>
      </c>
      <c r="L269">
        <f t="shared" si="56"/>
        <v>-88.6363253411714</v>
      </c>
      <c r="M269">
        <f t="shared" si="57"/>
        <v>1.13272442321907E-4</v>
      </c>
      <c r="N269">
        <f t="shared" si="58"/>
        <v>-4.7583251063995097E-3</v>
      </c>
      <c r="O269" t="str">
        <f t="shared" si="52"/>
        <v>0.00229086764751972-47.8630091226162j</v>
      </c>
      <c r="P269">
        <f t="shared" si="59"/>
        <v>33.599999990050918</v>
      </c>
      <c r="Q269">
        <f t="shared" si="60"/>
        <v>-89.997257651578295</v>
      </c>
      <c r="R269">
        <f t="shared" si="61"/>
        <v>-12.848457406860398</v>
      </c>
      <c r="S269">
        <f t="shared" si="62"/>
        <v>1.3664170072503055</v>
      </c>
    </row>
    <row r="270" spans="7:19" x14ac:dyDescent="0.25">
      <c r="G270">
        <f t="shared" si="53"/>
        <v>4.3399999999999963</v>
      </c>
      <c r="H270">
        <f t="shared" si="51"/>
        <v>218776.16239495357</v>
      </c>
      <c r="I270" t="str">
        <f t="shared" si="54"/>
        <v>1374611.16912111j</v>
      </c>
      <c r="J270" t="str">
        <f>IMDIV(R_1,IMSUM('Phase Margin Example'!R_1,IMPRODUCT('Phase Margin Example'!R_f,IMSUM(1,IMPRODUCT(I270,C_s,R_1)))))</f>
        <v>0.000103310843563161-0.00454439166250385j</v>
      </c>
      <c r="K270">
        <f t="shared" si="55"/>
        <v>-46.848240966354588</v>
      </c>
      <c r="L270">
        <f t="shared" si="56"/>
        <v>-88.697679175981264</v>
      </c>
      <c r="M270">
        <f t="shared" si="57"/>
        <v>1.03310843563161E-4</v>
      </c>
      <c r="N270">
        <f t="shared" si="58"/>
        <v>-4.5443916625038496E-3</v>
      </c>
      <c r="O270" t="str">
        <f t="shared" si="52"/>
        <v>0.0020892961264889-45.7088188659885j</v>
      </c>
      <c r="P270">
        <f t="shared" si="59"/>
        <v>33.199999990926351</v>
      </c>
      <c r="Q270">
        <f t="shared" si="60"/>
        <v>-89.997381077588798</v>
      </c>
      <c r="R270">
        <f t="shared" si="61"/>
        <v>-13.648240975428237</v>
      </c>
      <c r="S270">
        <f t="shared" si="62"/>
        <v>1.3049397464299375</v>
      </c>
    </row>
    <row r="271" spans="7:19" x14ac:dyDescent="0.25">
      <c r="G271">
        <f t="shared" si="53"/>
        <v>4.3599999999999959</v>
      </c>
      <c r="H271">
        <f t="shared" si="51"/>
        <v>229086.76527677546</v>
      </c>
      <c r="I271" t="str">
        <f t="shared" si="54"/>
        <v>1439394.59765633j</v>
      </c>
      <c r="J271" t="str">
        <f>IMDIV(R_1,IMSUM('Phase Margin Example'!R_1,IMPRODUCT('Phase Margin Example'!R_f,IMSUM(1,IMPRODUCT(I271,C_s,R_1)))))</f>
        <v>0.0000942248917843749-0.00434005760637382j</v>
      </c>
      <c r="K271">
        <f t="shared" si="55"/>
        <v>-47.248043569936357</v>
      </c>
      <c r="L271">
        <f t="shared" si="56"/>
        <v>-88.756274423985872</v>
      </c>
      <c r="M271">
        <f t="shared" si="57"/>
        <v>9.42248917843749E-5</v>
      </c>
      <c r="N271">
        <f t="shared" si="58"/>
        <v>-4.3400576063738197E-3</v>
      </c>
      <c r="O271" t="str">
        <f t="shared" si="52"/>
        <v>0.0019054607143325-43.6515831408407j</v>
      </c>
      <c r="P271">
        <f t="shared" si="59"/>
        <v>32.799999991724789</v>
      </c>
      <c r="Q271">
        <f t="shared" si="60"/>
        <v>-89.997498948513794</v>
      </c>
      <c r="R271">
        <f t="shared" si="61"/>
        <v>-14.448043578211568</v>
      </c>
      <c r="S271">
        <f t="shared" si="62"/>
        <v>1.2462266275003344</v>
      </c>
    </row>
    <row r="272" spans="7:19" x14ac:dyDescent="0.25">
      <c r="G272">
        <f t="shared" si="53"/>
        <v>4.3799999999999955</v>
      </c>
      <c r="H272">
        <f t="shared" si="51"/>
        <v>239883.29190194668</v>
      </c>
      <c r="I272" t="str">
        <f t="shared" si="54"/>
        <v>1507231.17511618j</v>
      </c>
      <c r="J272" t="str">
        <f>IMDIV(R_1,IMSUM('Phase Margin Example'!R_1,IMPRODUCT('Phase Margin Example'!R_f,IMSUM(1,IMPRODUCT(I272,C_s,R_1)))))</f>
        <v>0.0000859376850920253-0.00414489465881657j</v>
      </c>
      <c r="K272">
        <f t="shared" si="55"/>
        <v>-47.647863534440333</v>
      </c>
      <c r="L272">
        <f t="shared" si="56"/>
        <v>-88.812234882171325</v>
      </c>
      <c r="M272">
        <f t="shared" si="57"/>
        <v>8.5937685092025306E-5</v>
      </c>
      <c r="N272">
        <f t="shared" si="58"/>
        <v>-4.1448946588165704E-3</v>
      </c>
      <c r="O272" t="str">
        <f t="shared" si="52"/>
        <v>0.00173780082572947-41.6869382745905j</v>
      </c>
      <c r="P272">
        <f t="shared" si="59"/>
        <v>32.39999999245294</v>
      </c>
      <c r="Q272">
        <f t="shared" si="60"/>
        <v>-89.997611514373276</v>
      </c>
      <c r="R272">
        <f t="shared" si="61"/>
        <v>-15.247863541987392</v>
      </c>
      <c r="S272">
        <f t="shared" si="62"/>
        <v>1.1901536034553999</v>
      </c>
    </row>
    <row r="273" spans="7:19" x14ac:dyDescent="0.25">
      <c r="G273">
        <f t="shared" si="53"/>
        <v>4.399999999999995</v>
      </c>
      <c r="H273">
        <f t="shared" si="51"/>
        <v>251188.64315095547</v>
      </c>
      <c r="I273" t="str">
        <f t="shared" si="54"/>
        <v>1578264.79197646j</v>
      </c>
      <c r="J273" t="str">
        <f>IMDIV(R_1,IMSUM('Phase Margin Example'!R_1,IMPRODUCT('Phase Margin Example'!R_f,IMSUM(1,IMPRODUCT(I273,C_s,R_1)))))</f>
        <v>0.0000783790636627553-0.00395849333142427j</v>
      </c>
      <c r="K273">
        <f t="shared" si="55"/>
        <v>-48.047699333609096</v>
      </c>
      <c r="L273">
        <f t="shared" si="56"/>
        <v>-88.865678822132494</v>
      </c>
      <c r="M273">
        <f t="shared" si="57"/>
        <v>7.83790636627553E-5</v>
      </c>
      <c r="N273">
        <f t="shared" si="58"/>
        <v>-3.9584933314242704E-3</v>
      </c>
      <c r="O273" t="str">
        <f t="shared" si="52"/>
        <v>0.00158489318994925-39.8107169922543j</v>
      </c>
      <c r="P273">
        <f t="shared" si="59"/>
        <v>31.999999993116962</v>
      </c>
      <c r="Q273">
        <f t="shared" si="60"/>
        <v>-89.997719013934542</v>
      </c>
      <c r="R273">
        <f t="shared" si="61"/>
        <v>-16.047699340492134</v>
      </c>
      <c r="S273">
        <f t="shared" si="62"/>
        <v>1.1366021639329631</v>
      </c>
    </row>
    <row r="274" spans="7:19" x14ac:dyDescent="0.25">
      <c r="G274">
        <f t="shared" si="53"/>
        <v>4.4199999999999946</v>
      </c>
      <c r="H274">
        <f t="shared" si="51"/>
        <v>263026.79918953503</v>
      </c>
      <c r="I274" t="str">
        <f t="shared" si="54"/>
        <v>1652646.12006216j</v>
      </c>
      <c r="J274" t="str">
        <f>IMDIV(R_1,IMSUM('Phase Margin Example'!R_1,IMPRODUCT('Phase Margin Example'!R_f,IMSUM(1,IMPRODUCT(I274,C_s,R_1)))))</f>
        <v>0.0000714850206240918-0.00378046214326301j</v>
      </c>
      <c r="K274">
        <f t="shared" si="55"/>
        <v>-48.447549575258073</v>
      </c>
      <c r="L274">
        <f t="shared" si="56"/>
        <v>-88.916719232780011</v>
      </c>
      <c r="M274">
        <f t="shared" si="57"/>
        <v>7.1485020624091801E-5</v>
      </c>
      <c r="N274">
        <f t="shared" si="58"/>
        <v>-3.78046214326301E-3</v>
      </c>
      <c r="O274" t="str">
        <f t="shared" si="52"/>
        <v>0.00144543976865667-38.0189395771025j</v>
      </c>
      <c r="P274">
        <f t="shared" si="59"/>
        <v>31.599999993722641</v>
      </c>
      <c r="Q274">
        <f t="shared" si="60"/>
        <v>-89.997821675218574</v>
      </c>
      <c r="R274">
        <f t="shared" si="61"/>
        <v>-16.847549581535432</v>
      </c>
      <c r="S274">
        <f t="shared" si="62"/>
        <v>1.0854590920014289</v>
      </c>
    </row>
    <row r="275" spans="7:19" x14ac:dyDescent="0.25">
      <c r="G275">
        <f t="shared" si="53"/>
        <v>4.4399999999999942</v>
      </c>
      <c r="H275">
        <f t="shared" si="51"/>
        <v>275422.87033381331</v>
      </c>
      <c r="I275" t="str">
        <f t="shared" si="54"/>
        <v>1730532.93214264j</v>
      </c>
      <c r="J275" t="str">
        <f>IMDIV(R_1,IMSUM('Phase Margin Example'!R_1,IMPRODUCT('Phase Margin Example'!R_f,IMSUM(1,IMPRODUCT(I275,C_s,R_1)))))</f>
        <v>0.0000651971640812348-0.00361042686479628j</v>
      </c>
      <c r="K275">
        <f t="shared" si="55"/>
        <v>-48.847412989515959</v>
      </c>
      <c r="L275">
        <f t="shared" si="56"/>
        <v>-88.965464052892642</v>
      </c>
      <c r="M275">
        <f t="shared" si="57"/>
        <v>6.5197164081234798E-5</v>
      </c>
      <c r="N275">
        <f t="shared" si="58"/>
        <v>-3.6104268647962801E-3</v>
      </c>
      <c r="O275" t="str">
        <f t="shared" si="52"/>
        <v>0.00131825673681864-36.3078054291476j</v>
      </c>
      <c r="P275">
        <f t="shared" si="59"/>
        <v>31.199999994274997</v>
      </c>
      <c r="Q275">
        <f t="shared" si="60"/>
        <v>-89.997919715983699</v>
      </c>
      <c r="R275">
        <f t="shared" si="61"/>
        <v>-17.647412995240963</v>
      </c>
      <c r="S275">
        <f t="shared" si="62"/>
        <v>1.0366162311236735</v>
      </c>
    </row>
    <row r="276" spans="7:19" x14ac:dyDescent="0.25">
      <c r="G276">
        <f t="shared" si="53"/>
        <v>4.4599999999999937</v>
      </c>
      <c r="H276">
        <f t="shared" si="51"/>
        <v>288403.15031265654</v>
      </c>
      <c r="I276" t="str">
        <f t="shared" si="54"/>
        <v>1812090.43658879j</v>
      </c>
      <c r="J276" t="str">
        <f>IMDIV(R_1,IMSUM('Phase Margin Example'!R_1,IMPRODUCT('Phase Margin Example'!R_f,IMSUM(1,IMPRODUCT(I276,C_s,R_1)))))</f>
        <v>0.000059462225905383-0.00344802978884565j</v>
      </c>
      <c r="K276">
        <f t="shared" si="55"/>
        <v>-49.24728841809327</v>
      </c>
      <c r="L276">
        <f t="shared" si="56"/>
        <v>-89.012016393873623</v>
      </c>
      <c r="M276">
        <f t="shared" si="57"/>
        <v>5.9462225905382997E-5</v>
      </c>
      <c r="N276">
        <f t="shared" si="58"/>
        <v>-3.4480297888456499E-3</v>
      </c>
      <c r="O276" t="str">
        <f t="shared" si="52"/>
        <v>0.001202264433172-34.6736850035667j</v>
      </c>
      <c r="P276">
        <f t="shared" si="59"/>
        <v>30.799999994778751</v>
      </c>
      <c r="Q276">
        <f t="shared" si="60"/>
        <v>-89.998013344187541</v>
      </c>
      <c r="R276">
        <f t="shared" si="61"/>
        <v>-18.447288423314518</v>
      </c>
      <c r="S276">
        <f t="shared" si="62"/>
        <v>0.9899702619388222</v>
      </c>
    </row>
    <row r="277" spans="7:19" x14ac:dyDescent="0.25">
      <c r="G277">
        <f t="shared" si="53"/>
        <v>4.4799999999999933</v>
      </c>
      <c r="H277">
        <f t="shared" si="51"/>
        <v>301995.1720401973</v>
      </c>
      <c r="I277" t="str">
        <f t="shared" si="54"/>
        <v>1897491.62780214j</v>
      </c>
      <c r="J277" t="str">
        <f>IMDIV(R_1,IMSUM('Phase Margin Example'!R_1,IMPRODUCT('Phase Margin Example'!R_f,IMSUM(1,IMPRODUCT(I277,C_s,R_1)))))</f>
        <v>0.0000542316132654422-0.00329292902826816j</v>
      </c>
      <c r="K277">
        <f t="shared" si="55"/>
        <v>-49.647174804490007</v>
      </c>
      <c r="L277">
        <f t="shared" si="56"/>
        <v>-89.056474753065544</v>
      </c>
      <c r="M277">
        <f t="shared" si="57"/>
        <v>5.4231613265442202E-5</v>
      </c>
      <c r="N277">
        <f t="shared" si="58"/>
        <v>-3.2929290282681599E-3</v>
      </c>
      <c r="O277" t="str">
        <f t="shared" si="52"/>
        <v>0.00109647819494095-33.1131121119518j</v>
      </c>
      <c r="P277">
        <f t="shared" si="59"/>
        <v>30.399999995238183</v>
      </c>
      <c r="Q277">
        <f t="shared" si="60"/>
        <v>-89.998102758428061</v>
      </c>
      <c r="R277">
        <f t="shared" si="61"/>
        <v>-19.247174809251824</v>
      </c>
      <c r="S277">
        <f t="shared" si="62"/>
        <v>0.94542248850638089</v>
      </c>
    </row>
    <row r="278" spans="7:19" x14ac:dyDescent="0.25">
      <c r="G278">
        <f t="shared" si="53"/>
        <v>4.4999999999999929</v>
      </c>
      <c r="H278">
        <f t="shared" si="51"/>
        <v>316227.76601683337</v>
      </c>
      <c r="I278" t="str">
        <f t="shared" si="54"/>
        <v>1986917.65315919j</v>
      </c>
      <c r="J278" t="str">
        <f>IMDIV(R_1,IMSUM('Phase Margin Example'!R_1,IMPRODUCT('Phase Margin Example'!R_f,IMSUM(1,IMPRODUCT(I278,C_s,R_1)))))</f>
        <v>0.0000494609992223703-0.00314479783993025j</v>
      </c>
      <c r="K278">
        <f t="shared" si="55"/>
        <v>-50.047071185060886</v>
      </c>
      <c r="L278">
        <f t="shared" si="56"/>
        <v>-89.098933217973524</v>
      </c>
      <c r="M278">
        <f t="shared" si="57"/>
        <v>4.9460999222370303E-5</v>
      </c>
      <c r="N278">
        <f t="shared" si="58"/>
        <v>-3.1447978399302499E-3</v>
      </c>
      <c r="O278" t="str">
        <f t="shared" si="52"/>
        <v>0.000999999999000031-31.6227765700615j</v>
      </c>
      <c r="P278">
        <f t="shared" si="59"/>
        <v>29.999999995657191</v>
      </c>
      <c r="Q278">
        <f t="shared" si="60"/>
        <v>-89.998188148364846</v>
      </c>
      <c r="R278">
        <f t="shared" si="61"/>
        <v>-20.047071189403695</v>
      </c>
      <c r="S278">
        <f t="shared" si="62"/>
        <v>0.90287863366162924</v>
      </c>
    </row>
    <row r="279" spans="7:19" x14ac:dyDescent="0.25">
      <c r="G279">
        <f t="shared" si="53"/>
        <v>4.5199999999999925</v>
      </c>
      <c r="H279">
        <f t="shared" si="51"/>
        <v>331131.12148258556</v>
      </c>
      <c r="I279" t="str">
        <f t="shared" si="54"/>
        <v>2080558.19724928j</v>
      </c>
      <c r="J279" t="str">
        <f>IMDIV(R_1,IMSUM('Phase Margin Example'!R_1,IMPRODUCT('Phase Margin Example'!R_f,IMSUM(1,IMPRODUCT(I279,C_s,R_1)))))</f>
        <v>0.0000451099490158404-0.00300332397447692j</v>
      </c>
      <c r="K279">
        <f t="shared" si="55"/>
        <v>-50.446976680862747</v>
      </c>
      <c r="L279">
        <f t="shared" si="56"/>
        <v>-89.13948166174049</v>
      </c>
      <c r="M279">
        <f t="shared" si="57"/>
        <v>4.5109949015840398E-5</v>
      </c>
      <c r="N279">
        <f t="shared" si="58"/>
        <v>-3.0033239744769202E-3</v>
      </c>
      <c r="O279" t="str">
        <f t="shared" si="52"/>
        <v>0.000912010838524174-30.1995171764783j</v>
      </c>
      <c r="P279">
        <f t="shared" si="59"/>
        <v>29.599999996039308</v>
      </c>
      <c r="Q279">
        <f t="shared" si="60"/>
        <v>-89.998269695121408</v>
      </c>
      <c r="R279">
        <f t="shared" si="61"/>
        <v>-20.846976684823439</v>
      </c>
      <c r="S279">
        <f t="shared" si="62"/>
        <v>0.86224864313811622</v>
      </c>
    </row>
    <row r="280" spans="7:19" x14ac:dyDescent="0.25">
      <c r="G280">
        <f t="shared" si="53"/>
        <v>4.539999999999992</v>
      </c>
      <c r="H280">
        <f t="shared" si="51"/>
        <v>346736.85045252583</v>
      </c>
      <c r="I280" t="str">
        <f t="shared" si="54"/>
        <v>2178611.88422104j</v>
      </c>
      <c r="J280" t="str">
        <f>IMDIV(R_1,IMSUM('Phase Margin Example'!R_1,IMPRODUCT('Phase Margin Example'!R_f,IMSUM(1,IMPRODUCT(I280,C_s,R_1)))))</f>
        <v>0.0000411415789582482-0.00286820905132985j</v>
      </c>
      <c r="K280">
        <f t="shared" si="55"/>
        <v>-50.84689049021663</v>
      </c>
      <c r="L280">
        <f t="shared" si="56"/>
        <v>-89.178205930211135</v>
      </c>
      <c r="M280">
        <f t="shared" si="57"/>
        <v>4.1141578958248203E-5</v>
      </c>
      <c r="N280">
        <f t="shared" si="58"/>
        <v>-2.8682090513298501E-3</v>
      </c>
      <c r="O280" t="str">
        <f t="shared" si="52"/>
        <v>0.000831763770410862-28.8403150072781j</v>
      </c>
      <c r="P280">
        <f t="shared" si="59"/>
        <v>29.199999996387803</v>
      </c>
      <c r="Q280">
        <f t="shared" si="60"/>
        <v>-89.998347571669342</v>
      </c>
      <c r="R280">
        <f t="shared" si="61"/>
        <v>-21.646890493828828</v>
      </c>
      <c r="S280">
        <f t="shared" si="62"/>
        <v>0.82344649811952308</v>
      </c>
    </row>
    <row r="281" spans="7:19" x14ac:dyDescent="0.25">
      <c r="G281">
        <f t="shared" si="53"/>
        <v>4.5599999999999916</v>
      </c>
      <c r="H281">
        <f t="shared" si="51"/>
        <v>363078.05477009452</v>
      </c>
      <c r="I281" t="str">
        <f t="shared" si="54"/>
        <v>2281286.6990908j</v>
      </c>
      <c r="J281" t="str">
        <f>IMDIV(R_1,IMSUM('Phase Margin Example'!R_1,IMPRODUCT('Phase Margin Example'!R_f,IMSUM(1,IMPRODUCT(I281,C_s,R_1)))))</f>
        <v>0.0000375222451132152-0.00273916795829769j</v>
      </c>
      <c r="K281">
        <f t="shared" si="55"/>
        <v>-51.246811881921658</v>
      </c>
      <c r="L281">
        <f t="shared" si="56"/>
        <v>-89.215188020913232</v>
      </c>
      <c r="M281">
        <f t="shared" si="57"/>
        <v>3.7522245113215197E-5</v>
      </c>
      <c r="N281">
        <f t="shared" si="58"/>
        <v>-2.7391679582976902E-3</v>
      </c>
      <c r="O281" t="str">
        <f t="shared" si="52"/>
        <v>0.000758577574453774-27.5422870124893j</v>
      </c>
      <c r="P281">
        <f t="shared" si="59"/>
        <v>28.799999996705729</v>
      </c>
      <c r="Q281">
        <f t="shared" si="60"/>
        <v>-89.998421943195254</v>
      </c>
      <c r="R281">
        <f t="shared" si="61"/>
        <v>-22.446811885215929</v>
      </c>
      <c r="S281">
        <f t="shared" si="62"/>
        <v>0.78639003589151457</v>
      </c>
    </row>
    <row r="282" spans="7:19" x14ac:dyDescent="0.25">
      <c r="G282">
        <f t="shared" si="53"/>
        <v>4.5799999999999912</v>
      </c>
      <c r="H282">
        <f t="shared" si="51"/>
        <v>380189.39632055402</v>
      </c>
      <c r="I282" t="str">
        <f t="shared" si="54"/>
        <v>2388800.42890678j</v>
      </c>
      <c r="J282" t="str">
        <f>IMDIV(R_1,IMSUM('Phase Margin Example'!R_1,IMPRODUCT('Phase Margin Example'!R_f,IMSUM(1,IMPRODUCT(I282,C_s,R_1)))))</f>
        <v>0.0000342212591763587-0.0026159282751429j</v>
      </c>
      <c r="K282">
        <f t="shared" si="55"/>
        <v>-51.646740189064076</v>
      </c>
      <c r="L282">
        <f t="shared" si="56"/>
        <v>-89.250506254277127</v>
      </c>
      <c r="M282">
        <f t="shared" si="57"/>
        <v>3.4221259176358702E-5</v>
      </c>
      <c r="N282">
        <f t="shared" si="58"/>
        <v>-2.6159282751428998E-3</v>
      </c>
      <c r="O282" t="str">
        <f t="shared" si="52"/>
        <v>0.000691830970440333-26.3026799007573j</v>
      </c>
      <c r="P282">
        <f t="shared" si="59"/>
        <v>28.399999996995579</v>
      </c>
      <c r="Q282">
        <f t="shared" si="60"/>
        <v>-89.998492967451114</v>
      </c>
      <c r="R282">
        <f t="shared" si="61"/>
        <v>-23.246740192068497</v>
      </c>
      <c r="S282">
        <f t="shared" si="62"/>
        <v>0.75100077827175937</v>
      </c>
    </row>
    <row r="283" spans="7:19" x14ac:dyDescent="0.25">
      <c r="G283">
        <f t="shared" si="53"/>
        <v>4.5999999999999908</v>
      </c>
      <c r="H283">
        <f t="shared" si="51"/>
        <v>398107.17055348901</v>
      </c>
      <c r="I283" t="str">
        <f t="shared" si="54"/>
        <v>2501381.12470452j</v>
      </c>
      <c r="J283" t="str">
        <f>IMDIV(R_1,IMSUM('Phase Margin Example'!R_1,IMPRODUCT('Phase Margin Example'!R_f,IMSUM(1,IMPRODUCT(I283,C_s,R_1)))))</f>
        <v>0.0000312106291968547-0.00249822972042126j</v>
      </c>
      <c r="K283">
        <f t="shared" si="55"/>
        <v>-52.046674803368944</v>
      </c>
      <c r="L283">
        <f t="shared" si="56"/>
        <v>-89.284235437404547</v>
      </c>
      <c r="M283">
        <f t="shared" si="57"/>
        <v>3.1210629196854701E-5</v>
      </c>
      <c r="N283">
        <f t="shared" si="58"/>
        <v>-2.4982297204212598E-3</v>
      </c>
      <c r="O283" t="str">
        <f t="shared" si="52"/>
        <v>0.000630957344082112-25.1188642992474j</v>
      </c>
      <c r="P283">
        <f t="shared" si="59"/>
        <v>27.999999997259973</v>
      </c>
      <c r="Q283">
        <f t="shared" si="60"/>
        <v>-89.998560795088892</v>
      </c>
      <c r="R283">
        <f t="shared" si="61"/>
        <v>-24.046674806108971</v>
      </c>
      <c r="S283">
        <f t="shared" si="62"/>
        <v>0.71720376750656101</v>
      </c>
    </row>
    <row r="284" spans="7:19" x14ac:dyDescent="0.25">
      <c r="G284">
        <f t="shared" si="53"/>
        <v>4.6199999999999903</v>
      </c>
      <c r="H284">
        <f t="shared" si="51"/>
        <v>416869.38347032666</v>
      </c>
      <c r="I284" t="str">
        <f t="shared" si="54"/>
        <v>2619267.58523377j</v>
      </c>
      <c r="J284" t="str">
        <f>IMDIV(R_1,IMSUM('Phase Margin Example'!R_1,IMPRODUCT('Phase Margin Example'!R_f,IMSUM(1,IMPRODUCT(I284,C_s,R_1)))))</f>
        <v>0.0000284648229807163-0.00238582362088985j</v>
      </c>
      <c r="K284">
        <f t="shared" si="55"/>
        <v>-52.446615170047927</v>
      </c>
      <c r="L284">
        <f t="shared" si="56"/>
        <v>-89.316447020689267</v>
      </c>
      <c r="M284">
        <f t="shared" si="57"/>
        <v>2.8464822980716301E-5</v>
      </c>
      <c r="N284">
        <f t="shared" si="58"/>
        <v>-2.38582362088985E-3</v>
      </c>
      <c r="O284" t="str">
        <f t="shared" si="52"/>
        <v>0.000575439937006049-23.9883291763915j</v>
      </c>
      <c r="P284">
        <f t="shared" si="59"/>
        <v>27.599999997501055</v>
      </c>
      <c r="Q284">
        <f t="shared" si="60"/>
        <v>-89.998625569980106</v>
      </c>
      <c r="R284">
        <f t="shared" si="61"/>
        <v>-24.846615172546873</v>
      </c>
      <c r="S284">
        <f t="shared" si="62"/>
        <v>0.68492740933061214</v>
      </c>
    </row>
    <row r="285" spans="7:19" x14ac:dyDescent="0.25">
      <c r="G285">
        <f t="shared" si="53"/>
        <v>4.6399999999999899</v>
      </c>
      <c r="H285">
        <f t="shared" si="51"/>
        <v>436515.83224015596</v>
      </c>
      <c r="I285" t="str">
        <f t="shared" si="54"/>
        <v>2742709.86348262j</v>
      </c>
      <c r="J285" t="str">
        <f>IMDIV(R_1,IMSUM('Phase Margin Example'!R_1,IMPRODUCT('Phase Margin Example'!R_f,IMSUM(1,IMPRODUCT(I285,C_s,R_1)))))</f>
        <v>0.0000259605522022213-0.00227847240276761j</v>
      </c>
      <c r="K285">
        <f t="shared" si="55"/>
        <v>-52.84656078309883</v>
      </c>
      <c r="L285">
        <f t="shared" si="56"/>
        <v>-89.347209247582839</v>
      </c>
      <c r="M285">
        <f t="shared" si="57"/>
        <v>2.5960552202221299E-5</v>
      </c>
      <c r="N285">
        <f t="shared" si="58"/>
        <v>-2.2784724027676102E-3</v>
      </c>
      <c r="O285" t="str">
        <f t="shared" si="52"/>
        <v>0.000524807459974374-22.9086765156556j</v>
      </c>
      <c r="P285">
        <f t="shared" si="59"/>
        <v>27.199999997720987</v>
      </c>
      <c r="Q285">
        <f t="shared" si="60"/>
        <v>-89.99868742952097</v>
      </c>
      <c r="R285">
        <f t="shared" si="61"/>
        <v>-25.646560785377844</v>
      </c>
      <c r="S285">
        <f t="shared" si="62"/>
        <v>0.65410332289619078</v>
      </c>
    </row>
    <row r="286" spans="7:19" x14ac:dyDescent="0.25">
      <c r="G286">
        <f t="shared" si="53"/>
        <v>4.6599999999999895</v>
      </c>
      <c r="H286">
        <f t="shared" si="51"/>
        <v>457088.18961486447</v>
      </c>
      <c r="I286" t="str">
        <f t="shared" si="54"/>
        <v>2871969.79707343j</v>
      </c>
      <c r="J286" t="str">
        <f>IMDIV(R_1,IMSUM('Phase Margin Example'!R_1,IMPRODUCT('Phase Margin Example'!R_f,IMSUM(1,IMPRODUCT(I286,C_s,R_1)))))</f>
        <v>0.0000236765754198463-0.00217594910412575j</v>
      </c>
      <c r="K286">
        <f t="shared" si="55"/>
        <v>-53.246511181017844</v>
      </c>
      <c r="L286">
        <f t="shared" si="56"/>
        <v>-89.37658729778876</v>
      </c>
      <c r="M286">
        <f t="shared" si="57"/>
        <v>2.3676575419846301E-5</v>
      </c>
      <c r="N286">
        <f t="shared" si="58"/>
        <v>-2.1759491041257501E-3</v>
      </c>
      <c r="O286" t="str">
        <f t="shared" si="52"/>
        <v>0.000478630092093575-21.8776162290248j</v>
      </c>
      <c r="P286">
        <f t="shared" si="59"/>
        <v>26.799999997921557</v>
      </c>
      <c r="Q286">
        <f t="shared" si="60"/>
        <v>-89.998746504923872</v>
      </c>
      <c r="R286">
        <f t="shared" si="61"/>
        <v>-26.446511183096288</v>
      </c>
      <c r="S286">
        <f t="shared" si="62"/>
        <v>0.62466619728735395</v>
      </c>
    </row>
    <row r="287" spans="7:19" x14ac:dyDescent="0.25">
      <c r="G287">
        <f t="shared" si="53"/>
        <v>4.6799999999999891</v>
      </c>
      <c r="H287">
        <f t="shared" si="51"/>
        <v>478630.0923226272</v>
      </c>
      <c r="I287" t="str">
        <f t="shared" si="54"/>
        <v>3007321.56365554j</v>
      </c>
      <c r="J287" t="str">
        <f>IMDIV(R_1,IMSUM('Phase Margin Example'!R_1,IMPRODUCT('Phase Margin Example'!R_f,IMSUM(1,IMPRODUCT(I287,C_s,R_1)))))</f>
        <v>0.0000215935183486675-0.00207803690768447j</v>
      </c>
      <c r="K287">
        <f t="shared" si="55"/>
        <v>-53.64646594288849</v>
      </c>
      <c r="L287">
        <f t="shared" si="56"/>
        <v>-89.404643424158905</v>
      </c>
      <c r="M287">
        <f t="shared" si="57"/>
        <v>2.1593518348667501E-5</v>
      </c>
      <c r="N287">
        <f t="shared" si="58"/>
        <v>-2.0780369076844698E-3</v>
      </c>
      <c r="O287" t="str">
        <f t="shared" si="52"/>
        <v>0.000436515832049641-20.8929612994208j</v>
      </c>
      <c r="P287">
        <f t="shared" si="59"/>
        <v>26.399999998104452</v>
      </c>
      <c r="Q287">
        <f t="shared" si="60"/>
        <v>-89.998802921495667</v>
      </c>
      <c r="R287">
        <f t="shared" si="61"/>
        <v>-27.246465944784038</v>
      </c>
      <c r="S287">
        <f t="shared" si="62"/>
        <v>0.59655365434542773</v>
      </c>
    </row>
    <row r="288" spans="7:19" x14ac:dyDescent="0.25">
      <c r="G288">
        <f t="shared" si="53"/>
        <v>4.6999999999999886</v>
      </c>
      <c r="H288">
        <f t="shared" si="51"/>
        <v>501187.23362725956</v>
      </c>
      <c r="I288" t="str">
        <f t="shared" si="54"/>
        <v>3149052.26247278j</v>
      </c>
      <c r="J288" t="str">
        <f>IMDIV(R_1,IMSUM('Phase Margin Example'!R_1,IMPRODUCT('Phase Margin Example'!R_f,IMSUM(1,IMPRODUCT(I288,C_s,R_1)))))</f>
        <v>0.000019693709883622-0.00198452869329607j</v>
      </c>
      <c r="K288">
        <f t="shared" si="55"/>
        <v>-54.046424684813203</v>
      </c>
      <c r="L288">
        <f t="shared" si="56"/>
        <v>-89.431437083557142</v>
      </c>
      <c r="M288">
        <f t="shared" si="57"/>
        <v>1.9693709883622001E-5</v>
      </c>
      <c r="N288">
        <f t="shared" si="58"/>
        <v>-1.98452869329607E-3</v>
      </c>
      <c r="O288" t="str">
        <f t="shared" si="52"/>
        <v>0.000398107170395027-19.952623141746j</v>
      </c>
      <c r="P288">
        <f t="shared" si="59"/>
        <v>25.999999998271257</v>
      </c>
      <c r="Q288">
        <f t="shared" si="60"/>
        <v>-89.998856798903461</v>
      </c>
      <c r="R288">
        <f t="shared" si="61"/>
        <v>-28.046424686541947</v>
      </c>
      <c r="S288">
        <f t="shared" si="62"/>
        <v>0.56970611753939693</v>
      </c>
    </row>
    <row r="289" spans="7:19" x14ac:dyDescent="0.25">
      <c r="G289">
        <f t="shared" si="53"/>
        <v>4.7199999999999882</v>
      </c>
      <c r="H289">
        <f t="shared" si="51"/>
        <v>524807.46024975914</v>
      </c>
      <c r="I289" t="str">
        <f t="shared" si="54"/>
        <v>3297462.52333952j</v>
      </c>
      <c r="J289" t="str">
        <f>IMDIV(R_1,IMSUM('Phase Margin Example'!R_1,IMPRODUCT('Phase Margin Example'!R_f,IMSUM(1,IMPRODUCT(I289,C_s,R_1)))))</f>
        <v>0.0000179610324983432-0.00189522660940063j</v>
      </c>
      <c r="K289">
        <f t="shared" si="55"/>
        <v>-54.446387056659667</v>
      </c>
      <c r="L289">
        <f t="shared" si="56"/>
        <v>-89.457025061944648</v>
      </c>
      <c r="M289">
        <f t="shared" si="57"/>
        <v>1.7961032498343199E-5</v>
      </c>
      <c r="N289">
        <f t="shared" si="58"/>
        <v>-1.8952266094006301E-3</v>
      </c>
      <c r="O289" t="str">
        <f t="shared" si="52"/>
        <v>0.000363078054638294-19.0546071727147j</v>
      </c>
      <c r="P289">
        <f t="shared" si="59"/>
        <v>25.599999998423417</v>
      </c>
      <c r="Q289">
        <f t="shared" si="60"/>
        <v>-89.99890825142846</v>
      </c>
      <c r="R289">
        <f t="shared" si="61"/>
        <v>-28.84638705823625</v>
      </c>
      <c r="S289">
        <f t="shared" si="62"/>
        <v>0.54406668662687707</v>
      </c>
    </row>
    <row r="290" spans="7:19" x14ac:dyDescent="0.25">
      <c r="G290">
        <f t="shared" si="53"/>
        <v>4.7399999999999878</v>
      </c>
      <c r="H290">
        <f t="shared" si="51"/>
        <v>549540.87385760946</v>
      </c>
      <c r="I290" t="str">
        <f t="shared" si="54"/>
        <v>3452867.14431676j</v>
      </c>
      <c r="J290" t="str">
        <f>IMDIV(R_1,IMSUM('Phase Margin Example'!R_1,IMPRODUCT('Phase Margin Example'!R_f,IMSUM(1,IMPRODUCT(I290,C_s,R_1)))))</f>
        <v>0.0000163807857635306-0.00180994166275156j</v>
      </c>
      <c r="K290">
        <f t="shared" si="55"/>
        <v>-54.846352739091422</v>
      </c>
      <c r="L290">
        <f t="shared" si="56"/>
        <v>-89.481461593932877</v>
      </c>
      <c r="M290">
        <f t="shared" si="57"/>
        <v>1.6380785763530599E-5</v>
      </c>
      <c r="N290">
        <f t="shared" si="58"/>
        <v>-1.80994166275156E-3</v>
      </c>
      <c r="O290" t="str">
        <f t="shared" si="52"/>
        <v>0.000331131121372962-18.1970085800748j</v>
      </c>
      <c r="P290">
        <f t="shared" si="59"/>
        <v>25.199999998562184</v>
      </c>
      <c r="Q290">
        <f t="shared" si="60"/>
        <v>-89.998957388208382</v>
      </c>
      <c r="R290">
        <f t="shared" si="61"/>
        <v>-29.646352740529238</v>
      </c>
      <c r="S290">
        <f t="shared" si="62"/>
        <v>0.51958101785874078</v>
      </c>
    </row>
    <row r="291" spans="7:19" x14ac:dyDescent="0.25">
      <c r="G291">
        <f t="shared" si="53"/>
        <v>4.7599999999999874</v>
      </c>
      <c r="H291">
        <f t="shared" si="51"/>
        <v>575439.93733714102</v>
      </c>
      <c r="I291" t="str">
        <f t="shared" si="54"/>
        <v>3615595.75944107j</v>
      </c>
      <c r="J291" t="str">
        <f>IMDIV(R_1,IMSUM('Phase Margin Example'!R_1,IMPRODUCT('Phase Margin Example'!R_f,IMSUM(1,IMPRODUCT(I291,C_s,R_1)))))</f>
        <v>0.0000149395618378188-0.00172849332571921j</v>
      </c>
      <c r="K291">
        <f t="shared" si="55"/>
        <v>-55.246321440860882</v>
      </c>
      <c r="L291">
        <f t="shared" si="56"/>
        <v>-89.504798477040595</v>
      </c>
      <c r="M291">
        <f t="shared" si="57"/>
        <v>1.4939561837818799E-5</v>
      </c>
      <c r="N291">
        <f t="shared" si="58"/>
        <v>-1.7284933257192101E-3</v>
      </c>
      <c r="O291" t="str">
        <f t="shared" si="52"/>
        <v>0.000301995171949016-17.3780082822461j</v>
      </c>
      <c r="P291">
        <f t="shared" si="59"/>
        <v>24.799999998688662</v>
      </c>
      <c r="Q291">
        <f t="shared" si="60"/>
        <v>-89.999004313468888</v>
      </c>
      <c r="R291">
        <f t="shared" si="61"/>
        <v>-30.44632144217222</v>
      </c>
      <c r="S291">
        <f t="shared" si="62"/>
        <v>0.49619720949050361</v>
      </c>
    </row>
    <row r="292" spans="7:19" x14ac:dyDescent="0.25">
      <c r="G292">
        <f t="shared" si="53"/>
        <v>4.7799999999999869</v>
      </c>
      <c r="H292">
        <f t="shared" si="51"/>
        <v>602559.58607433992</v>
      </c>
      <c r="I292" t="str">
        <f t="shared" si="54"/>
        <v>3785993.53792251j</v>
      </c>
      <c r="J292" t="str">
        <f>IMDIV(R_1,IMSUM('Phase Margin Example'!R_1,IMPRODUCT('Phase Margin Example'!R_f,IMSUM(1,IMPRODUCT(I292,C_s,R_1)))))</f>
        <v>0.000013625131883827-0.00165070916049634j</v>
      </c>
      <c r="K292">
        <f t="shared" si="55"/>
        <v>-55.64629289633865</v>
      </c>
      <c r="L292">
        <f t="shared" si="56"/>
        <v>-89.527085180882182</v>
      </c>
      <c r="M292">
        <f t="shared" si="57"/>
        <v>1.3625131883827001E-5</v>
      </c>
      <c r="N292">
        <f t="shared" si="58"/>
        <v>-1.6507091604963399E-3</v>
      </c>
      <c r="O292" t="str">
        <f t="shared" si="52"/>
        <v>0.000275422870257974-16.5958690698052j</v>
      </c>
      <c r="P292">
        <f t="shared" si="59"/>
        <v>24.399999998804102</v>
      </c>
      <c r="Q292">
        <f t="shared" si="60"/>
        <v>-89.999049126744779</v>
      </c>
      <c r="R292">
        <f t="shared" si="61"/>
        <v>-31.246292897534548</v>
      </c>
      <c r="S292">
        <f t="shared" si="62"/>
        <v>0.47386569237303888</v>
      </c>
    </row>
    <row r="293" spans="7:19" x14ac:dyDescent="0.25">
      <c r="G293">
        <f t="shared" si="53"/>
        <v>4.7999999999999865</v>
      </c>
      <c r="H293">
        <f t="shared" si="51"/>
        <v>630957.34448017448</v>
      </c>
      <c r="I293" t="str">
        <f t="shared" si="54"/>
        <v>3964421.91629488j</v>
      </c>
      <c r="J293" t="str">
        <f>IMDIV(R_1,IMSUM('Phase Margin Example'!R_1,IMPRODUCT('Phase Margin Example'!R_f,IMSUM(1,IMPRODUCT(I293,C_s,R_1)))))</f>
        <v>0.000012426342453172-0.0015764244595437j</v>
      </c>
      <c r="K293">
        <f t="shared" si="55"/>
        <v>-56.046266863261387</v>
      </c>
      <c r="L293">
        <f t="shared" si="56"/>
        <v>-89.54836895150622</v>
      </c>
      <c r="M293">
        <f t="shared" si="57"/>
        <v>1.2426342453172E-5</v>
      </c>
      <c r="N293">
        <f t="shared" si="58"/>
        <v>-1.5764244595437001E-3</v>
      </c>
      <c r="O293" t="str">
        <f t="shared" si="52"/>
        <v>0.000251188643087878-15.8489319206305j</v>
      </c>
      <c r="P293">
        <f t="shared" si="59"/>
        <v>23.999999998909338</v>
      </c>
      <c r="Q293">
        <f t="shared" si="60"/>
        <v>-89.999091923091001</v>
      </c>
      <c r="R293">
        <f t="shared" si="61"/>
        <v>-32.046266864352049</v>
      </c>
      <c r="S293">
        <f t="shared" si="62"/>
        <v>0.45253912540277952</v>
      </c>
    </row>
    <row r="294" spans="7:19" x14ac:dyDescent="0.25">
      <c r="G294">
        <f t="shared" si="53"/>
        <v>4.8199999999999861</v>
      </c>
      <c r="H294">
        <f t="shared" si="51"/>
        <v>660693.44800757489</v>
      </c>
      <c r="I294" t="str">
        <f t="shared" si="54"/>
        <v>4151259.36507101j</v>
      </c>
      <c r="J294" t="str">
        <f>IMDIV(R_1,IMSUM('Phase Margin Example'!R_1,IMPRODUCT('Phase Margin Example'!R_f,IMSUM(1,IMPRODUCT(I294,C_s,R_1)))))</f>
        <v>0.0000113330209675289-0.00150548190163201j</v>
      </c>
      <c r="K294">
        <f t="shared" si="55"/>
        <v>-56.446243120676662</v>
      </c>
      <c r="L294">
        <f t="shared" si="56"/>
        <v>-89.568694911093957</v>
      </c>
      <c r="M294">
        <f t="shared" si="57"/>
        <v>1.1333020967528899E-5</v>
      </c>
      <c r="N294">
        <f t="shared" si="58"/>
        <v>-1.5054819016320101E-3</v>
      </c>
      <c r="O294" t="str">
        <f t="shared" si="52"/>
        <v>0.000229086765224312-15.1356124808952j</v>
      </c>
      <c r="P294">
        <f t="shared" si="59"/>
        <v>23.599999999005369</v>
      </c>
      <c r="Q294">
        <f t="shared" si="60"/>
        <v>-89.999132793284375</v>
      </c>
      <c r="R294">
        <f t="shared" si="61"/>
        <v>-32.846243121671293</v>
      </c>
      <c r="S294">
        <f t="shared" si="62"/>
        <v>0.43217229562168313</v>
      </c>
    </row>
    <row r="295" spans="7:19" x14ac:dyDescent="0.25">
      <c r="G295">
        <f t="shared" si="53"/>
        <v>4.8399999999999856</v>
      </c>
      <c r="H295">
        <f t="shared" si="51"/>
        <v>691830.97091891442</v>
      </c>
      <c r="I295" t="str">
        <f t="shared" si="54"/>
        <v>4346902.19152951j</v>
      </c>
      <c r="J295" t="str">
        <f>IMDIV(R_1,IMSUM('Phase Margin Example'!R_1,IMPRODUCT('Phase Margin Example'!R_f,IMSUM(1,IMPRODUCT(I295,C_s,R_1)))))</f>
        <v>0.0000103358894989007-0.00143773122285371j</v>
      </c>
      <c r="K295">
        <f t="shared" si="55"/>
        <v>-56.846221467068915</v>
      </c>
      <c r="L295">
        <f t="shared" si="56"/>
        <v>-89.588106153219428</v>
      </c>
      <c r="M295">
        <f t="shared" si="57"/>
        <v>1.03358894989007E-5</v>
      </c>
      <c r="N295">
        <f t="shared" si="58"/>
        <v>-1.4377312228537099E-3</v>
      </c>
      <c r="O295" t="str">
        <f t="shared" si="52"/>
        <v>0.000208929613041766-14.4543977044398j</v>
      </c>
      <c r="P295">
        <f t="shared" si="59"/>
        <v>23.199999999092917</v>
      </c>
      <c r="Q295">
        <f t="shared" si="60"/>
        <v>-89.999171824016031</v>
      </c>
      <c r="R295">
        <f t="shared" si="61"/>
        <v>-33.646221467975998</v>
      </c>
      <c r="S295">
        <f t="shared" si="62"/>
        <v>0.41272202276454095</v>
      </c>
    </row>
    <row r="296" spans="7:19" x14ac:dyDescent="0.25">
      <c r="G296">
        <f t="shared" si="53"/>
        <v>4.8599999999999852</v>
      </c>
      <c r="H296">
        <f t="shared" si="51"/>
        <v>724435.96007496677</v>
      </c>
      <c r="I296" t="str">
        <f t="shared" si="54"/>
        <v>4551765.38033557j</v>
      </c>
      <c r="J296" t="str">
        <f>IMDIV(R_1,IMSUM('Phase Margin Example'!R_1,IMPRODUCT('Phase Margin Example'!R_f,IMSUM(1,IMPRODUCT(I296,C_s,R_1)))))</f>
        <v>9.42648612179418E-06-0.00137302890199669j</v>
      </c>
      <c r="K296">
        <f t="shared" si="55"/>
        <v>-57.246201718649843</v>
      </c>
      <c r="L296">
        <f t="shared" si="56"/>
        <v>-89.606643833864723</v>
      </c>
      <c r="M296">
        <f t="shared" si="57"/>
        <v>9.42648612179418E-6</v>
      </c>
      <c r="N296">
        <f t="shared" si="58"/>
        <v>-1.3730289019966901E-3</v>
      </c>
      <c r="O296" t="str">
        <f t="shared" si="52"/>
        <v>0.000190546071760029-13.803842643399j</v>
      </c>
      <c r="P296">
        <f t="shared" si="59"/>
        <v>22.79999999917273</v>
      </c>
      <c r="Q296">
        <f t="shared" si="60"/>
        <v>-89.999209098075369</v>
      </c>
      <c r="R296">
        <f t="shared" si="61"/>
        <v>-34.446201719477116</v>
      </c>
      <c r="S296">
        <f t="shared" si="62"/>
        <v>0.39414706805990818</v>
      </c>
    </row>
    <row r="297" spans="7:19" x14ac:dyDescent="0.25">
      <c r="G297">
        <f t="shared" si="53"/>
        <v>4.8799999999999848</v>
      </c>
      <c r="H297">
        <f t="shared" si="51"/>
        <v>758577.57502915792</v>
      </c>
      <c r="I297" t="str">
        <f t="shared" si="54"/>
        <v>4766283.47377913j</v>
      </c>
      <c r="J297" t="str">
        <f>IMDIV(R_1,IMSUM('Phase Margin Example'!R_1,IMPRODUCT('Phase Margin Example'!R_f,IMSUM(1,IMPRODUCT(I297,C_s,R_1)))))</f>
        <v>8.59709317348925E-06-0.00131123785969092j</v>
      </c>
      <c r="K297">
        <f t="shared" si="55"/>
        <v>-57.646183707799217</v>
      </c>
      <c r="L297">
        <f t="shared" si="56"/>
        <v>-89.624347258375948</v>
      </c>
      <c r="M297">
        <f t="shared" si="57"/>
        <v>8.5970931734892496E-6</v>
      </c>
      <c r="N297">
        <f t="shared" si="58"/>
        <v>-1.3112378596909201E-3</v>
      </c>
      <c r="O297" t="str">
        <f t="shared" si="52"/>
        <v>0.000173780082844749-13.1825673832736j</v>
      </c>
      <c r="P297">
        <f t="shared" si="59"/>
        <v>22.399999999245544</v>
      </c>
      <c r="Q297">
        <f t="shared" si="60"/>
        <v>-89.9992446945257</v>
      </c>
      <c r="R297">
        <f t="shared" si="61"/>
        <v>-35.246183708553673</v>
      </c>
      <c r="S297">
        <f t="shared" si="62"/>
        <v>0.37640804709835152</v>
      </c>
    </row>
    <row r="298" spans="7:19" x14ac:dyDescent="0.25">
      <c r="G298">
        <f t="shared" si="53"/>
        <v>4.8999999999999844</v>
      </c>
      <c r="H298">
        <f t="shared" si="51"/>
        <v>794328.23472425411</v>
      </c>
      <c r="I298" t="str">
        <f t="shared" si="54"/>
        <v>4990911.49349733j</v>
      </c>
      <c r="J298" t="str">
        <f>IMDIV(R_1,IMSUM('Phase Margin Example'!R_1,IMPRODUCT('Phase Margin Example'!R_f,IMSUM(1,IMPRODUCT(I298,C_s,R_1)))))</f>
        <v>7.84067181659558E-06-0.001252227170758j</v>
      </c>
      <c r="K298">
        <f t="shared" si="55"/>
        <v>-58.046167281643122</v>
      </c>
      <c r="L298">
        <f t="shared" si="56"/>
        <v>-89.641253964537682</v>
      </c>
      <c r="M298">
        <f t="shared" si="57"/>
        <v>7.8406718165955806E-6</v>
      </c>
      <c r="N298">
        <f t="shared" si="58"/>
        <v>-1.252227170758E-3</v>
      </c>
      <c r="O298" t="str">
        <f t="shared" si="52"/>
        <v>0.000158489319221003-12.5892541159468j</v>
      </c>
      <c r="P298">
        <f t="shared" si="59"/>
        <v>21.999999999311957</v>
      </c>
      <c r="Q298">
        <f t="shared" si="60"/>
        <v>-89.999278688871868</v>
      </c>
      <c r="R298">
        <f t="shared" si="61"/>
        <v>-36.046167282331169</v>
      </c>
      <c r="S298">
        <f t="shared" si="62"/>
        <v>0.35946734659046342</v>
      </c>
    </row>
    <row r="299" spans="7:19" x14ac:dyDescent="0.25">
      <c r="G299">
        <f t="shared" si="53"/>
        <v>4.9199999999999839</v>
      </c>
      <c r="H299">
        <f t="shared" si="51"/>
        <v>831763.77110264078</v>
      </c>
      <c r="I299" t="str">
        <f t="shared" si="54"/>
        <v>5226125.9056364j</v>
      </c>
      <c r="J299" t="str">
        <f>IMDIV(R_1,IMSUM('Phase Margin Example'!R_1,IMPRODUCT('Phase Margin Example'!R_f,IMSUM(1,IMPRODUCT(I299,C_s,R_1)))))</f>
        <v>7.15080235105047E-06-0.00119587178921314j</v>
      </c>
      <c r="K299">
        <f t="shared" si="55"/>
        <v>-58.446152300756545</v>
      </c>
      <c r="L299">
        <f t="shared" si="56"/>
        <v>-89.65739980193672</v>
      </c>
      <c r="M299">
        <f t="shared" si="57"/>
        <v>7.1508023510504704E-6</v>
      </c>
      <c r="N299">
        <f t="shared" si="58"/>
        <v>-1.19587178921314E-3</v>
      </c>
      <c r="O299" t="str">
        <f t="shared" si="52"/>
        <v>0.00014454397705371-12.0226443444368j</v>
      </c>
      <c r="P299">
        <f t="shared" si="59"/>
        <v>21.599999999372592</v>
      </c>
      <c r="Q299">
        <f t="shared" si="60"/>
        <v>-89.999311153220404</v>
      </c>
      <c r="R299">
        <f t="shared" si="61"/>
        <v>-36.846152301383952</v>
      </c>
      <c r="S299">
        <f t="shared" si="62"/>
        <v>0.34328904484289069</v>
      </c>
    </row>
    <row r="300" spans="7:19" x14ac:dyDescent="0.25">
      <c r="G300">
        <f t="shared" si="53"/>
        <v>4.9399999999999835</v>
      </c>
      <c r="H300">
        <f t="shared" si="51"/>
        <v>870963.58995604888</v>
      </c>
      <c r="I300" t="str">
        <f t="shared" si="54"/>
        <v>5472425.63150023j</v>
      </c>
      <c r="J300" t="str">
        <f>IMDIV(R_1,IMSUM('Phase Margin Example'!R_1,IMPRODUCT('Phase Margin Example'!R_f,IMSUM(1,IMPRODUCT(I300,C_s,R_1)))))</f>
        <v>6.52162977107194E-06-0.00114205228538781j</v>
      </c>
      <c r="K300">
        <f t="shared" si="55"/>
        <v>-58.846138637980552</v>
      </c>
      <c r="L300">
        <f t="shared" si="56"/>
        <v>-89.672819007778116</v>
      </c>
      <c r="M300">
        <f t="shared" si="57"/>
        <v>6.5216297710719403E-6</v>
      </c>
      <c r="N300">
        <f t="shared" si="58"/>
        <v>-1.1420522853878099E-3</v>
      </c>
      <c r="O300" t="str">
        <f t="shared" si="52"/>
        <v>0.000131825673838272-11.4815362134557j</v>
      </c>
      <c r="P300">
        <f t="shared" si="59"/>
        <v>21.199999999427817</v>
      </c>
      <c r="Q300">
        <f t="shared" si="60"/>
        <v>-89.99934215643259</v>
      </c>
      <c r="R300">
        <f t="shared" si="61"/>
        <v>-37.646138638552735</v>
      </c>
      <c r="S300">
        <f t="shared" si="62"/>
        <v>0.32783883578929363</v>
      </c>
    </row>
    <row r="301" spans="7:19" x14ac:dyDescent="0.25">
      <c r="G301">
        <f t="shared" si="53"/>
        <v>4.9599999999999831</v>
      </c>
      <c r="H301">
        <f t="shared" si="51"/>
        <v>912010.83935587457</v>
      </c>
      <c r="I301" t="str">
        <f t="shared" si="54"/>
        <v>5730333.10582935j</v>
      </c>
      <c r="J301" t="str">
        <f>IMDIV(R_1,IMSUM('Phase Margin Example'!R_1,IMPRODUCT('Phase Margin Example'!R_f,IMSUM(1,IMPRODUCT(I301,C_s,R_1)))))</f>
        <v>5.94781410673584E-06-0.00109065459466071j</v>
      </c>
      <c r="K301">
        <f t="shared" si="55"/>
        <v>-59.246126177343285</v>
      </c>
      <c r="L301">
        <f t="shared" si="56"/>
        <v>-89.687544279310572</v>
      </c>
      <c r="M301">
        <f t="shared" si="57"/>
        <v>5.9478141067358397E-6</v>
      </c>
      <c r="N301">
        <f t="shared" si="58"/>
        <v>-1.0906545946607099E-3</v>
      </c>
      <c r="O301" t="str">
        <f t="shared" si="52"/>
        <v>0.000120226443447296-10.964781960114j</v>
      </c>
      <c r="P301">
        <f t="shared" si="59"/>
        <v>20.799999999478182</v>
      </c>
      <c r="Q301">
        <f t="shared" si="60"/>
        <v>-89.999371764270364</v>
      </c>
      <c r="R301">
        <f t="shared" si="61"/>
        <v>-38.446126177865104</v>
      </c>
      <c r="S301">
        <f t="shared" si="62"/>
        <v>0.31308395641906372</v>
      </c>
    </row>
    <row r="302" spans="7:19" x14ac:dyDescent="0.25">
      <c r="G302">
        <f t="shared" si="53"/>
        <v>4.9799999999999827</v>
      </c>
      <c r="H302">
        <f t="shared" si="51"/>
        <v>954992.58602139901</v>
      </c>
      <c r="I302" t="str">
        <f t="shared" si="54"/>
        <v>6000395.38495509j</v>
      </c>
      <c r="J302" t="str">
        <f>IMDIV(R_1,IMSUM('Phase Margin Example'!R_1,IMPRODUCT('Phase Margin Example'!R_f,IMSUM(1,IMPRODUCT(I302,C_s,R_1)))))</f>
        <v>0.0000054244851301533-0.00104156977730334j</v>
      </c>
      <c r="K302">
        <f t="shared" si="55"/>
        <v>-59.646114813075862</v>
      </c>
      <c r="L302">
        <f t="shared" si="56"/>
        <v>-89.701606843010367</v>
      </c>
      <c r="M302">
        <f t="shared" si="57"/>
        <v>5.4244851301532998E-6</v>
      </c>
      <c r="N302">
        <f t="shared" si="58"/>
        <v>-1.04156977730334E-3</v>
      </c>
      <c r="O302" t="str">
        <f t="shared" si="52"/>
        <v>0.000109647819602304-10.4712854793612j</v>
      </c>
      <c r="P302">
        <f t="shared" si="59"/>
        <v>20.399999999524102</v>
      </c>
      <c r="Q302">
        <f t="shared" si="60"/>
        <v>-89.999400039535914</v>
      </c>
      <c r="R302">
        <f t="shared" si="61"/>
        <v>-39.246114813551756</v>
      </c>
      <c r="S302">
        <f t="shared" si="62"/>
        <v>0.29899311745373325</v>
      </c>
    </row>
    <row r="303" spans="7:19" x14ac:dyDescent="0.25">
      <c r="G303">
        <f t="shared" si="53"/>
        <v>4.9999999999999822</v>
      </c>
      <c r="H303">
        <f t="shared" si="51"/>
        <v>999999.99999995937</v>
      </c>
      <c r="I303" t="str">
        <f t="shared" si="54"/>
        <v>6283185.30717933j</v>
      </c>
      <c r="J303" t="str">
        <f>IMDIV(R_1,IMSUM('Phase Margin Example'!R_1,IMPRODUCT('Phase Margin Example'!R_f,IMSUM(1,IMPRODUCT(I303,C_s,R_1)))))</f>
        <v>4.94720104301854E-06-0.000994693788965j</v>
      </c>
      <c r="K303">
        <f t="shared" si="55"/>
        <v>-60.046104448714786</v>
      </c>
      <c r="L303">
        <f t="shared" si="56"/>
        <v>-89.715036520667908</v>
      </c>
      <c r="M303">
        <f t="shared" si="57"/>
        <v>4.9472010430185402E-6</v>
      </c>
      <c r="N303">
        <f t="shared" si="58"/>
        <v>-9.9469378896499994E-4</v>
      </c>
      <c r="O303" t="str">
        <f t="shared" si="52"/>
        <v>0.0000999999999900082-9.99999999900041j</v>
      </c>
      <c r="P303">
        <f t="shared" si="59"/>
        <v>19.999999999566064</v>
      </c>
      <c r="Q303">
        <f t="shared" si="60"/>
        <v>-89.999427042204886</v>
      </c>
      <c r="R303">
        <f t="shared" si="61"/>
        <v>-40.046104449148721</v>
      </c>
      <c r="S303">
        <f t="shared" si="62"/>
        <v>0.285536437127206</v>
      </c>
    </row>
    <row r="304" spans="7:19" x14ac:dyDescent="0.25">
      <c r="G304">
        <f t="shared" si="53"/>
        <v>5.0199999999999818</v>
      </c>
      <c r="H304">
        <f t="shared" si="51"/>
        <v>1047128.5480508568</v>
      </c>
      <c r="I304" t="str">
        <f t="shared" si="54"/>
        <v>6579302.70784144j</v>
      </c>
      <c r="J304" t="str">
        <f>IMDIV(R_1,IMSUM('Phase Margin Example'!R_1,IMPRODUCT('Phase Margin Example'!R_f,IMSUM(1,IMPRODUCT(I304,C_s,R_1)))))</f>
        <v>4.51191079588111E-06-0.000949927261340147j</v>
      </c>
      <c r="K304">
        <f t="shared" si="55"/>
        <v>-60.446094996283662</v>
      </c>
      <c r="L304">
        <f t="shared" si="56"/>
        <v>-89.72786179251392</v>
      </c>
      <c r="M304">
        <f t="shared" si="57"/>
        <v>4.5119107958811102E-6</v>
      </c>
      <c r="N304">
        <f t="shared" si="58"/>
        <v>-9.4992726134014705E-4</v>
      </c>
      <c r="O304" t="str">
        <f t="shared" si="52"/>
        <v>0.0000912010839272802-9.54992585934376j</v>
      </c>
      <c r="P304">
        <f t="shared" si="59"/>
        <v>19.59999999960425</v>
      </c>
      <c r="Q304">
        <f t="shared" si="60"/>
        <v>-89.999452829553562</v>
      </c>
      <c r="R304">
        <f t="shared" si="61"/>
        <v>-40.846094996679412</v>
      </c>
      <c r="S304">
        <f t="shared" si="62"/>
        <v>0.27268537793253245</v>
      </c>
    </row>
    <row r="305" spans="7:19" x14ac:dyDescent="0.25">
      <c r="G305">
        <f t="shared" si="53"/>
        <v>5.0399999999999814</v>
      </c>
      <c r="H305">
        <f t="shared" si="51"/>
        <v>1096478.1961431401</v>
      </c>
      <c r="I305" t="str">
        <f t="shared" si="54"/>
        <v>6889375.69164935j</v>
      </c>
      <c r="J305" t="str">
        <f>IMDIV(R_1,IMSUM('Phase Margin Example'!R_1,IMPRODUCT('Phase Margin Example'!R_f,IMSUM(1,IMPRODUCT(I305,C_s,R_1)))))</f>
        <v>4.11491972015059E-06-0.000907175292579011j</v>
      </c>
      <c r="K305">
        <f t="shared" si="55"/>
        <v>-60.846086375546086</v>
      </c>
      <c r="L305">
        <f t="shared" si="56"/>
        <v>-89.7401098575167</v>
      </c>
      <c r="M305">
        <f t="shared" si="57"/>
        <v>4.1149197201505903E-6</v>
      </c>
      <c r="N305">
        <f t="shared" si="58"/>
        <v>-9.0717529257901101E-4</v>
      </c>
      <c r="O305" t="str">
        <f t="shared" si="52"/>
        <v>0.0000831763771033556-9.12010839280089j</v>
      </c>
      <c r="P305">
        <f t="shared" si="59"/>
        <v>19.199999999639122</v>
      </c>
      <c r="Q305">
        <f t="shared" si="60"/>
        <v>-89.999477456280374</v>
      </c>
      <c r="R305">
        <f t="shared" si="61"/>
        <v>-41.646086375906961</v>
      </c>
      <c r="S305">
        <f t="shared" si="62"/>
        <v>0.26041268620292612</v>
      </c>
    </row>
    <row r="306" spans="7:19" x14ac:dyDescent="0.25">
      <c r="G306">
        <f t="shared" si="53"/>
        <v>5.059999999999981</v>
      </c>
      <c r="H306">
        <f t="shared" si="51"/>
        <v>1148153.6214968334</v>
      </c>
      <c r="I306" t="str">
        <f t="shared" si="54"/>
        <v>7214061.96497394j</v>
      </c>
      <c r="J306" t="str">
        <f>IMDIV(R_1,IMSUM('Phase Margin Example'!R_1,IMPRODUCT('Phase Margin Example'!R_f,IMSUM(1,IMPRODUCT(I306,C_s,R_1)))))</f>
        <v>3.75285818181227E-06-0.000866347247019301j</v>
      </c>
      <c r="K306">
        <f t="shared" si="55"/>
        <v>-61.246078513324989</v>
      </c>
      <c r="L306">
        <f t="shared" si="56"/>
        <v>-89.751806690976352</v>
      </c>
      <c r="M306">
        <f t="shared" si="57"/>
        <v>3.7528581818122702E-6</v>
      </c>
      <c r="N306">
        <f t="shared" si="58"/>
        <v>-8.6634724701930101E-4</v>
      </c>
      <c r="O306" t="str">
        <f t="shared" si="52"/>
        <v>0.0000758577574971709-8.70963589890051j</v>
      </c>
      <c r="P306">
        <f t="shared" si="59"/>
        <v>18.799999999670948</v>
      </c>
      <c r="Q306">
        <f t="shared" si="60"/>
        <v>-89.999500974621867</v>
      </c>
      <c r="R306">
        <f t="shared" si="61"/>
        <v>-42.446078513654044</v>
      </c>
      <c r="S306">
        <f t="shared" si="62"/>
        <v>0.24869233440176686</v>
      </c>
    </row>
    <row r="307" spans="7:19" x14ac:dyDescent="0.25">
      <c r="G307">
        <f t="shared" si="53"/>
        <v>5.0799999999999805</v>
      </c>
      <c r="H307">
        <f t="shared" si="51"/>
        <v>1202264.4346173611</v>
      </c>
      <c r="I307" t="str">
        <f t="shared" si="54"/>
        <v>7554050.23093238j</v>
      </c>
      <c r="J307" t="str">
        <f>IMDIV(R_1,IMSUM('Phase Margin Example'!R_1,IMPRODUCT('Phase Margin Example'!R_f,IMSUM(1,IMPRODUCT(I307,C_s,R_1)))))</f>
        <v>3.42265299136393E-06-0.00082735656383405j</v>
      </c>
      <c r="K307">
        <f t="shared" si="55"/>
        <v>-61.646071342881754</v>
      </c>
      <c r="L307">
        <f t="shared" si="56"/>
        <v>-89.762977099536016</v>
      </c>
      <c r="M307">
        <f t="shared" si="57"/>
        <v>3.4226529913639299E-6</v>
      </c>
      <c r="N307">
        <f t="shared" si="58"/>
        <v>-8.2735656383404999E-4</v>
      </c>
      <c r="O307" t="str">
        <f t="shared" si="52"/>
        <v>0.0000691830970871134-8.31763771045164j</v>
      </c>
      <c r="P307">
        <f t="shared" si="59"/>
        <v>18.399999999699926</v>
      </c>
      <c r="Q307">
        <f t="shared" si="60"/>
        <v>-89.999523434463654</v>
      </c>
      <c r="R307">
        <f t="shared" si="61"/>
        <v>-43.246071343181825</v>
      </c>
      <c r="S307">
        <f t="shared" si="62"/>
        <v>0.23749946600031535</v>
      </c>
    </row>
    <row r="308" spans="7:19" x14ac:dyDescent="0.25">
      <c r="G308">
        <f t="shared" si="53"/>
        <v>5.0999999999999801</v>
      </c>
      <c r="H308">
        <f t="shared" si="51"/>
        <v>1258925.4117941104</v>
      </c>
      <c r="I308" t="str">
        <f t="shared" si="54"/>
        <v>7910061.65021976j</v>
      </c>
      <c r="J308" t="str">
        <f>IMDIV(R_1,IMSUM('Phase Margin Example'!R_1,IMPRODUCT('Phase Margin Example'!R_f,IMSUM(1,IMPRODUCT(I308,C_s,R_1)))))</f>
        <v>0.0000031215013277778-0.000790120574206887j</v>
      </c>
      <c r="K308">
        <f t="shared" si="55"/>
        <v>-62.046064803349452</v>
      </c>
      <c r="L308">
        <f t="shared" si="56"/>
        <v>-89.773644773725422</v>
      </c>
      <c r="M308">
        <f t="shared" si="57"/>
        <v>3.1215013277777998E-6</v>
      </c>
      <c r="N308">
        <f t="shared" si="58"/>
        <v>-7.9012057420688696E-4</v>
      </c>
      <c r="O308" t="str">
        <f t="shared" si="52"/>
        <v>0.000063095734444044-7.94328234674199j</v>
      </c>
      <c r="P308">
        <f t="shared" si="59"/>
        <v>17.999999999726374</v>
      </c>
      <c r="Q308">
        <f t="shared" si="60"/>
        <v>-89.999544883446035</v>
      </c>
      <c r="R308">
        <f t="shared" si="61"/>
        <v>-44.046064803623082</v>
      </c>
      <c r="S308">
        <f t="shared" si="62"/>
        <v>0.22681034282854284</v>
      </c>
    </row>
    <row r="309" spans="7:19" x14ac:dyDescent="0.25">
      <c r="G309">
        <f t="shared" si="53"/>
        <v>5.1199999999999797</v>
      </c>
      <c r="H309">
        <f t="shared" si="51"/>
        <v>1318256.7385563473</v>
      </c>
      <c r="I309" t="str">
        <f t="shared" si="54"/>
        <v>8282851.37078772j</v>
      </c>
      <c r="J309" t="str">
        <f>IMDIV(R_1,IMSUM('Phase Margin Example'!R_1,IMPRODUCT('Phase Margin Example'!R_f,IMSUM(1,IMPRODUCT(I309,C_s,R_1)))))</f>
        <v>2.84684695554766E-06-0.000754560326661788j</v>
      </c>
      <c r="K309">
        <f t="shared" si="55"/>
        <v>-62.446058839216576</v>
      </c>
      <c r="L309">
        <f t="shared" si="56"/>
        <v>-89.78383233814661</v>
      </c>
      <c r="M309">
        <f t="shared" si="57"/>
        <v>2.8468469555476599E-6</v>
      </c>
      <c r="N309">
        <f t="shared" si="58"/>
        <v>-7.5456032666178805E-4</v>
      </c>
      <c r="O309" t="str">
        <f t="shared" si="52"/>
        <v>0.0000575439937304094-7.58577574985565j</v>
      </c>
      <c r="P309">
        <f t="shared" si="59"/>
        <v>17.599999999750466</v>
      </c>
      <c r="Q309">
        <f t="shared" si="60"/>
        <v>-89.999565367065188</v>
      </c>
      <c r="R309">
        <f t="shared" si="61"/>
        <v>-44.84605883946611</v>
      </c>
      <c r="S309">
        <f t="shared" si="62"/>
        <v>0.2166022947882027</v>
      </c>
    </row>
    <row r="310" spans="7:19" x14ac:dyDescent="0.25">
      <c r="G310">
        <f t="shared" si="53"/>
        <v>5.1399999999999793</v>
      </c>
      <c r="H310">
        <f t="shared" si="51"/>
        <v>1380384.2646028195</v>
      </c>
      <c r="I310" t="str">
        <f t="shared" si="54"/>
        <v>8673210.12961433j</v>
      </c>
      <c r="J310" t="str">
        <f>IMDIV(R_1,IMSUM('Phase Margin Example'!R_1,IMPRODUCT('Phase Margin Example'!R_f,IMSUM(1,IMPRODUCT(I310,C_s,R_1)))))</f>
        <v>2.59635853327785E-06-0.000720600420189954j</v>
      </c>
      <c r="K310">
        <f t="shared" si="55"/>
        <v>-62.846053399855521</v>
      </c>
      <c r="L310">
        <f t="shared" si="56"/>
        <v>-89.793561399406983</v>
      </c>
      <c r="M310">
        <f t="shared" si="57"/>
        <v>2.5963585332778502E-6</v>
      </c>
      <c r="N310">
        <f t="shared" si="58"/>
        <v>-7.2060042018995396E-4</v>
      </c>
      <c r="O310" t="str">
        <f t="shared" si="52"/>
        <v>0.000052480746022228-7.24435960037005j</v>
      </c>
      <c r="P310">
        <f t="shared" si="59"/>
        <v>17.199999999772484</v>
      </c>
      <c r="Q310">
        <f t="shared" si="60"/>
        <v>-89.999584928769607</v>
      </c>
      <c r="R310">
        <f t="shared" si="61"/>
        <v>-45.646053400083034</v>
      </c>
      <c r="S310">
        <f t="shared" si="62"/>
        <v>0.20685367182340997</v>
      </c>
    </row>
    <row r="311" spans="7:19" x14ac:dyDescent="0.25">
      <c r="G311">
        <f t="shared" si="53"/>
        <v>5.1599999999999788</v>
      </c>
      <c r="H311">
        <f t="shared" si="51"/>
        <v>1445439.7707458588</v>
      </c>
      <c r="I311" t="str">
        <f t="shared" si="54"/>
        <v>9081965.92996341j</v>
      </c>
      <c r="J311" t="str">
        <f>IMDIV(R_1,IMSUM('Phase Margin Example'!R_1,IMPRODUCT('Phase Margin Example'!R_f,IMSUM(1,IMPRODUCT(I311,C_s,R_1)))))</f>
        <v>0.0000023679098299653-0.000688168844831046j</v>
      </c>
      <c r="K311">
        <f t="shared" si="55"/>
        <v>-63.246048439093379</v>
      </c>
      <c r="L311">
        <f t="shared" si="56"/>
        <v>-89.802852591900532</v>
      </c>
      <c r="M311">
        <f t="shared" si="57"/>
        <v>2.3679098299653001E-6</v>
      </c>
      <c r="N311">
        <f t="shared" si="58"/>
        <v>-6.8816884483104601E-4</v>
      </c>
      <c r="O311" t="str">
        <f t="shared" si="52"/>
        <v>0.0000478630092299774-6.91830970885856j</v>
      </c>
      <c r="P311">
        <f t="shared" si="59"/>
        <v>16.799999999792544</v>
      </c>
      <c r="Q311">
        <f t="shared" si="60"/>
        <v>-89.999603610052304</v>
      </c>
      <c r="R311">
        <f t="shared" si="61"/>
        <v>-46.446048439300839</v>
      </c>
      <c r="S311">
        <f t="shared" si="62"/>
        <v>0.19754379804714972</v>
      </c>
    </row>
    <row r="312" spans="7:19" x14ac:dyDescent="0.25">
      <c r="G312">
        <f t="shared" si="53"/>
        <v>5.1799999999999784</v>
      </c>
      <c r="H312">
        <f t="shared" si="51"/>
        <v>1513561.2484361334</v>
      </c>
      <c r="I312" t="str">
        <f t="shared" si="54"/>
        <v>9509985.7976903j</v>
      </c>
      <c r="J312" t="str">
        <f>IMDIV(R_1,IMSUM('Phase Margin Example'!R_1,IMPRODUCT('Phase Margin Example'!R_f,IMSUM(1,IMPRODUCT(I312,C_s,R_1)))))</f>
        <v>2.15956168127343E-06-0.000657196829380689j</v>
      </c>
      <c r="K312">
        <f t="shared" si="55"/>
        <v>-63.646043914819629</v>
      </c>
      <c r="L312">
        <f t="shared" si="56"/>
        <v>-89.811725621533142</v>
      </c>
      <c r="M312">
        <f t="shared" si="57"/>
        <v>2.1595616812734301E-6</v>
      </c>
      <c r="N312">
        <f t="shared" si="58"/>
        <v>-6.5719682938068899E-4</v>
      </c>
      <c r="O312" t="str">
        <f t="shared" si="52"/>
        <v>0.0000436515832221156-6.6069344797879j</v>
      </c>
      <c r="P312">
        <f t="shared" si="59"/>
        <v>16.399999999810873</v>
      </c>
      <c r="Q312">
        <f t="shared" si="60"/>
        <v>-89.999621450538783</v>
      </c>
      <c r="R312">
        <f t="shared" si="61"/>
        <v>-47.246043915008755</v>
      </c>
      <c r="S312">
        <f t="shared" si="62"/>
        <v>0.18865292792807509</v>
      </c>
    </row>
    <row r="313" spans="7:19" x14ac:dyDescent="0.25">
      <c r="G313">
        <f t="shared" si="53"/>
        <v>5.199999999999978</v>
      </c>
      <c r="H313">
        <f t="shared" si="51"/>
        <v>1584893.1924610347</v>
      </c>
      <c r="I313" t="str">
        <f t="shared" si="54"/>
        <v>9958177.62032012j</v>
      </c>
      <c r="J313" t="str">
        <f>IMDIV(R_1,IMSUM('Phase Margin Example'!R_1,IMPRODUCT('Phase Margin Example'!R_f,IMSUM(1,IMPRODUCT(I313,C_s,R_1)))))</f>
        <v>1.96954553282475E-06-0.000627618695909662j</v>
      </c>
      <c r="K313">
        <f t="shared" si="55"/>
        <v>-64.046039788628789</v>
      </c>
      <c r="L313">
        <f t="shared" si="56"/>
        <v>-89.820199307483975</v>
      </c>
      <c r="M313">
        <f t="shared" si="57"/>
        <v>1.96954553282475E-6</v>
      </c>
      <c r="N313">
        <f t="shared" si="58"/>
        <v>-6.2761869590966196E-4</v>
      </c>
      <c r="O313" t="str">
        <f t="shared" si="52"/>
        <v>0.000039810717053769-6.30957344455108j</v>
      </c>
      <c r="P313">
        <f t="shared" si="59"/>
        <v>15.999999999827567</v>
      </c>
      <c r="Q313">
        <f t="shared" si="60"/>
        <v>-89.999638488071099</v>
      </c>
      <c r="R313">
        <f t="shared" si="61"/>
        <v>-48.046039788801224</v>
      </c>
      <c r="S313">
        <f t="shared" si="62"/>
        <v>0.18016220444491182</v>
      </c>
    </row>
    <row r="314" spans="7:19" x14ac:dyDescent="0.25">
      <c r="G314">
        <f t="shared" si="53"/>
        <v>5.2199999999999775</v>
      </c>
      <c r="H314">
        <f t="shared" si="51"/>
        <v>1659586.9074374777</v>
      </c>
      <c r="I314" t="str">
        <f t="shared" si="54"/>
        <v>10427492.0727988j</v>
      </c>
      <c r="J314" t="str">
        <f>IMDIV(R_1,IMSUM('Phase Margin Example'!R_1,IMPRODUCT('Phase Margin Example'!R_f,IMSUM(1,IMPRODUCT(I314,C_s,R_1)))))</f>
        <v>1.79624843097839E-06-0.000599371720793742j</v>
      </c>
      <c r="K314">
        <f t="shared" si="55"/>
        <v>-64.446036025494649</v>
      </c>
      <c r="L314">
        <f t="shared" si="56"/>
        <v>-89.828291622090887</v>
      </c>
      <c r="M314">
        <f t="shared" si="57"/>
        <v>1.7962484309783899E-6</v>
      </c>
      <c r="N314">
        <f t="shared" si="58"/>
        <v>-5.9937172079374199E-4</v>
      </c>
      <c r="O314" t="str">
        <f t="shared" si="52"/>
        <v>0.0000363078054756954-6.02559586052509j</v>
      </c>
      <c r="P314">
        <f t="shared" si="59"/>
        <v>15.599999999842733</v>
      </c>
      <c r="Q314">
        <f t="shared" si="60"/>
        <v>-89.999654758788125</v>
      </c>
      <c r="R314">
        <f t="shared" si="61"/>
        <v>-48.846036025651912</v>
      </c>
      <c r="S314">
        <f t="shared" si="62"/>
        <v>0.17205361912098738</v>
      </c>
    </row>
    <row r="315" spans="7:19" x14ac:dyDescent="0.25">
      <c r="G315">
        <f t="shared" si="53"/>
        <v>5.2399999999999771</v>
      </c>
      <c r="H315">
        <f t="shared" si="51"/>
        <v>1737800.8287492855</v>
      </c>
      <c r="I315" t="str">
        <f t="shared" si="54"/>
        <v>10918924.634002j</v>
      </c>
      <c r="J315" t="str">
        <f>IMDIV(R_1,IMSUM('Phase Margin Example'!R_1,IMPRODUCT('Phase Margin Example'!R_f,IMSUM(1,IMPRODUCT(I315,C_s,R_1)))))</f>
        <v>1.63819933381859E-06-0.000572396001966j</v>
      </c>
      <c r="K315">
        <f t="shared" si="55"/>
        <v>-64.846032593472572</v>
      </c>
      <c r="L315">
        <f t="shared" si="56"/>
        <v>-89.836019728943725</v>
      </c>
      <c r="M315">
        <f t="shared" si="57"/>
        <v>1.6381993338185901E-6</v>
      </c>
      <c r="N315">
        <f t="shared" si="58"/>
        <v>-5.7239600196600003E-4</v>
      </c>
      <c r="O315" t="str">
        <f t="shared" si="52"/>
        <v>0.0000331131121471663-5.75439937318134j</v>
      </c>
      <c r="P315">
        <f t="shared" si="59"/>
        <v>15.19999999985667</v>
      </c>
      <c r="Q315">
        <f t="shared" si="60"/>
        <v>-89.999670297202286</v>
      </c>
      <c r="R315">
        <f t="shared" si="61"/>
        <v>-49.646032593615899</v>
      </c>
      <c r="S315">
        <f t="shared" si="62"/>
        <v>0.16430997385398882</v>
      </c>
    </row>
    <row r="316" spans="7:19" x14ac:dyDescent="0.25">
      <c r="G316">
        <f t="shared" si="53"/>
        <v>5.2599999999999767</v>
      </c>
      <c r="H316">
        <f t="shared" si="51"/>
        <v>1819700.8586098887</v>
      </c>
      <c r="I316" t="str">
        <f t="shared" si="54"/>
        <v>11433517.6982797j</v>
      </c>
      <c r="J316" t="str">
        <f>IMDIV(R_1,IMSUM('Phase Margin Example'!R_1,IMPRODUCT('Phase Margin Example'!R_f,IMSUM(1,IMPRODUCT(I316,C_s,R_1)))))</f>
        <v>1.49405662626308E-06-0.000546634332115549j</v>
      </c>
      <c r="K316">
        <f t="shared" si="55"/>
        <v>-65.246029463428926</v>
      </c>
      <c r="L316">
        <f t="shared" si="56"/>
        <v>-89.8434000192659</v>
      </c>
      <c r="M316">
        <f t="shared" si="57"/>
        <v>1.49405662626308E-6</v>
      </c>
      <c r="N316">
        <f t="shared" si="58"/>
        <v>-5.4663433211554898E-4</v>
      </c>
      <c r="O316" t="str">
        <f t="shared" si="52"/>
        <v>0.0000301995172031116-5.4954087384106j</v>
      </c>
      <c r="P316">
        <f t="shared" si="59"/>
        <v>14.799999999869339</v>
      </c>
      <c r="Q316">
        <f t="shared" si="60"/>
        <v>-89.999685136272589</v>
      </c>
      <c r="R316">
        <f t="shared" si="61"/>
        <v>-50.446029463559583</v>
      </c>
      <c r="S316">
        <f t="shared" si="62"/>
        <v>0.15691484446151094</v>
      </c>
    </row>
    <row r="317" spans="7:19" x14ac:dyDescent="0.25">
      <c r="G317">
        <f t="shared" si="53"/>
        <v>5.2799999999999763</v>
      </c>
      <c r="H317">
        <f t="shared" si="51"/>
        <v>1905460.7179631444</v>
      </c>
      <c r="I317" t="str">
        <f t="shared" si="54"/>
        <v>11972362.7865139j</v>
      </c>
      <c r="J317" t="str">
        <f>IMDIV(R_1,IMSUM('Phase Margin Example'!R_1,IMPRODUCT('Phase Margin Example'!R_f,IMSUM(1,IMPRODUCT(I317,C_s,R_1)))))</f>
        <v>1.36259673340365E-06-0.000522032077568872j</v>
      </c>
      <c r="K317">
        <f t="shared" si="55"/>
        <v>-65.646026608793221</v>
      </c>
      <c r="L317">
        <f t="shared" si="56"/>
        <v>-89.850448146660781</v>
      </c>
      <c r="M317">
        <f t="shared" si="57"/>
        <v>1.3625967334036499E-6</v>
      </c>
      <c r="N317">
        <f t="shared" si="58"/>
        <v>-5.2203207756887197E-4</v>
      </c>
      <c r="O317" t="str">
        <f t="shared" si="52"/>
        <v>0.0000275422870326259-5.24807460235345j</v>
      </c>
      <c r="P317">
        <f t="shared" si="59"/>
        <v>14.399999999880828</v>
      </c>
      <c r="Q317">
        <f t="shared" si="60"/>
        <v>-89.999699307474714</v>
      </c>
      <c r="R317">
        <f t="shared" si="61"/>
        <v>-51.246026608912395</v>
      </c>
      <c r="S317">
        <f t="shared" si="62"/>
        <v>0.14985254586451902</v>
      </c>
    </row>
    <row r="318" spans="7:19" x14ac:dyDescent="0.25">
      <c r="G318">
        <f t="shared" si="53"/>
        <v>5.2999999999999758</v>
      </c>
      <c r="H318">
        <f t="shared" si="51"/>
        <v>1995262.3149687715</v>
      </c>
      <c r="I318" t="str">
        <f t="shared" si="54"/>
        <v>12536602.8613809j</v>
      </c>
      <c r="J318" t="str">
        <f>IMDIV(R_1,IMSUM('Phase Margin Example'!R_1,IMPRODUCT('Phase Margin Example'!R_f,IMSUM(1,IMPRODUCT(I318,C_s,R_1)))))</f>
        <v>0.0000012427037354971-0.000498537062601012j</v>
      </c>
      <c r="K318">
        <f t="shared" si="55"/>
        <v>-66.046024005332882</v>
      </c>
      <c r="L318">
        <f t="shared" si="56"/>
        <v>-89.85717906029636</v>
      </c>
      <c r="M318">
        <f t="shared" si="57"/>
        <v>1.2427037354971E-6</v>
      </c>
      <c r="N318">
        <f t="shared" si="58"/>
        <v>-4.9853706260101201E-4</v>
      </c>
      <c r="O318" t="str">
        <f t="shared" si="52"/>
        <v>0.0000251188643144676-5.01187233614711j</v>
      </c>
      <c r="P318">
        <f t="shared" si="59"/>
        <v>13.999999999891394</v>
      </c>
      <c r="Q318">
        <f t="shared" si="60"/>
        <v>-89.999712840867673</v>
      </c>
      <c r="R318">
        <f t="shared" si="61"/>
        <v>-52.046024005441488</v>
      </c>
      <c r="S318">
        <f t="shared" si="62"/>
        <v>0.14310809883596676</v>
      </c>
    </row>
    <row r="319" spans="7:19" x14ac:dyDescent="0.25">
      <c r="G319">
        <f t="shared" si="53"/>
        <v>5.3199999999999754</v>
      </c>
      <c r="H319">
        <f t="shared" si="51"/>
        <v>2089296.1308539221</v>
      </c>
      <c r="I319" t="str">
        <f t="shared" si="54"/>
        <v>13127434.7517285j</v>
      </c>
      <c r="J319" t="str">
        <f>IMDIV(R_1,IMSUM('Phase Margin Example'!R_1,IMPRODUCT('Phase Margin Example'!R_f,IMSUM(1,IMPRODUCT(I319,C_s,R_1)))))</f>
        <v>1.13335989651456E-06-0.000476099458935059j</v>
      </c>
      <c r="K319">
        <f t="shared" si="55"/>
        <v>-66.446021630947484</v>
      </c>
      <c r="L319">
        <f t="shared" si="56"/>
        <v>-89.863607036598026</v>
      </c>
      <c r="M319">
        <f t="shared" si="57"/>
        <v>1.13335989651456E-6</v>
      </c>
      <c r="N319">
        <f t="shared" si="58"/>
        <v>-4.7609945893505902E-4</v>
      </c>
      <c r="O319" t="str">
        <f t="shared" si="52"/>
        <v>0.0000229086765271555-4.78630092311701j</v>
      </c>
      <c r="P319">
        <f t="shared" si="59"/>
        <v>13.599999999901009</v>
      </c>
      <c r="Q319">
        <f t="shared" si="60"/>
        <v>-89.999725765157621</v>
      </c>
      <c r="R319">
        <f t="shared" si="61"/>
        <v>-52.846021631046476</v>
      </c>
      <c r="S319">
        <f t="shared" si="62"/>
        <v>0.13666719824436768</v>
      </c>
    </row>
    <row r="320" spans="7:19" x14ac:dyDescent="0.25">
      <c r="G320">
        <f t="shared" si="53"/>
        <v>5.339999999999975</v>
      </c>
      <c r="H320">
        <f t="shared" si="51"/>
        <v>2187761.623949429</v>
      </c>
      <c r="I320" t="str">
        <f t="shared" si="54"/>
        <v>13746111.6912104j</v>
      </c>
      <c r="J320" t="str">
        <f>IMDIV(R_1,IMSUM('Phase Margin Example'!R_1,IMPRODUCT('Phase Margin Example'!R_f,IMSUM(1,IMPRODUCT(I320,C_s,R_1)))))</f>
        <v>1.03363702590149E-06-0.000454671680198796j</v>
      </c>
      <c r="K320">
        <f t="shared" si="55"/>
        <v>-66.84601946548112</v>
      </c>
      <c r="L320">
        <f t="shared" si="56"/>
        <v>-89.869745709516607</v>
      </c>
      <c r="M320">
        <f t="shared" si="57"/>
        <v>1.0336370259014901E-6</v>
      </c>
      <c r="N320">
        <f t="shared" si="58"/>
        <v>-4.5467168019879602E-4</v>
      </c>
      <c r="O320" t="str">
        <f t="shared" si="52"/>
        <v>0.0000208929613081062-4.57088189605351j</v>
      </c>
      <c r="P320">
        <f t="shared" si="59"/>
        <v>13.199999999909755</v>
      </c>
      <c r="Q320">
        <f t="shared" si="60"/>
        <v>-89.999738107758702</v>
      </c>
      <c r="R320">
        <f t="shared" si="61"/>
        <v>-53.646019465571364</v>
      </c>
      <c r="S320">
        <f t="shared" si="62"/>
        <v>0.13051618272470478</v>
      </c>
    </row>
    <row r="321" spans="7:19" x14ac:dyDescent="0.25">
      <c r="G321">
        <f t="shared" si="53"/>
        <v>5.3599999999999746</v>
      </c>
      <c r="H321">
        <f t="shared" si="51"/>
        <v>2290867.6527676433</v>
      </c>
      <c r="I321" t="str">
        <f t="shared" si="54"/>
        <v>14393945.9765626j</v>
      </c>
      <c r="J321" t="str">
        <f>IMDIV(R_1,IMSUM('Phase Margin Example'!R_1,IMPRODUCT('Phase Margin Example'!R_f,IMSUM(1,IMPRODUCT(I321,C_s,R_1)))))</f>
        <v>9.42688600264003E-07-0.000434208281117488j</v>
      </c>
      <c r="K321">
        <f t="shared" si="55"/>
        <v>-67.246017490551409</v>
      </c>
      <c r="L321">
        <f t="shared" si="56"/>
        <v>-89.875608099435354</v>
      </c>
      <c r="M321">
        <f t="shared" si="57"/>
        <v>9.4268860026400295E-7</v>
      </c>
      <c r="N321">
        <f t="shared" si="58"/>
        <v>-4.3420828111748801E-4</v>
      </c>
      <c r="O321" t="str">
        <f t="shared" si="52"/>
        <v>0.0000190546071792716-4.36515832231874j</v>
      </c>
      <c r="P321">
        <f t="shared" si="59"/>
        <v>12.799999999917757</v>
      </c>
      <c r="Q321">
        <f t="shared" si="60"/>
        <v>-89.99974989485122</v>
      </c>
      <c r="R321">
        <f t="shared" si="61"/>
        <v>-54.44601749063365</v>
      </c>
      <c r="S321">
        <f t="shared" si="62"/>
        <v>0.12464200571344008</v>
      </c>
    </row>
    <row r="322" spans="7:19" x14ac:dyDescent="0.25">
      <c r="G322">
        <f t="shared" si="53"/>
        <v>5.3799999999999741</v>
      </c>
      <c r="H322">
        <f t="shared" si="51"/>
        <v>2398832.9190193499</v>
      </c>
      <c r="I322" t="str">
        <f t="shared" si="54"/>
        <v>15072311.7511611j</v>
      </c>
      <c r="J322" t="str">
        <f>IMDIV(R_1,IMSUM('Phase Margin Example'!R_1,IMPRODUCT('Phase Margin Example'!R_f,IMSUM(1,IMPRODUCT(I322,C_s,R_1)))))</f>
        <v>8.59742578140687E-07-0.00041466586123147j</v>
      </c>
      <c r="K322">
        <f t="shared" si="55"/>
        <v>-67.646015689393295</v>
      </c>
      <c r="L322">
        <f t="shared" si="56"/>
        <v>-89.881206640777165</v>
      </c>
      <c r="M322">
        <f t="shared" si="57"/>
        <v>8.5974257814068696E-7</v>
      </c>
      <c r="N322">
        <f t="shared" si="58"/>
        <v>-4.1466586123147003E-4</v>
      </c>
      <c r="O322" t="str">
        <f t="shared" si="52"/>
        <v>0.0000173780082871938-4.16869383463115j</v>
      </c>
      <c r="P322">
        <f t="shared" si="59"/>
        <v>12.399999999925026</v>
      </c>
      <c r="Q322">
        <f t="shared" si="60"/>
        <v>-89.999761151437198</v>
      </c>
      <c r="R322">
        <f t="shared" si="61"/>
        <v>-55.246015689468265</v>
      </c>
      <c r="S322">
        <f t="shared" si="62"/>
        <v>0.1190322077856365</v>
      </c>
    </row>
    <row r="323" spans="7:19" x14ac:dyDescent="0.25">
      <c r="G323">
        <f t="shared" si="53"/>
        <v>5.3999999999999737</v>
      </c>
      <c r="H323">
        <f t="shared" ref="H323:H353" si="63">$B$3*10^G323</f>
        <v>2511886.4315094328</v>
      </c>
      <c r="I323" t="str">
        <f t="shared" si="54"/>
        <v>15782647.9197638j</v>
      </c>
      <c r="J323" t="str">
        <f>IMDIV(R_1,IMSUM('Phase Margin Example'!R_1,IMPRODUCT('Phase Margin Example'!R_f,IMSUM(1,IMPRODUCT(I323,C_s,R_1)))))</f>
        <v>7.8409484689625E-07-0.000396002972936468j</v>
      </c>
      <c r="K323">
        <f t="shared" si="55"/>
        <v>-68.04601404671692</v>
      </c>
      <c r="L323">
        <f t="shared" si="56"/>
        <v>-89.886553208370245</v>
      </c>
      <c r="M323">
        <f t="shared" si="57"/>
        <v>7.8409484689624999E-7</v>
      </c>
      <c r="N323">
        <f t="shared" si="58"/>
        <v>-3.96002972936468E-4</v>
      </c>
      <c r="O323" t="str">
        <f t="shared" ref="O323:O353" si="64">IMDIV(Aolv,IMSUM(1,IMDIV(I323,wc)))</f>
        <v>0.0000158489319243618-3.98107170547211j</v>
      </c>
      <c r="P323">
        <f t="shared" si="59"/>
        <v>11.999999999931676</v>
      </c>
      <c r="Q323">
        <f t="shared" si="60"/>
        <v>-89.999771901393345</v>
      </c>
      <c r="R323">
        <f t="shared" si="61"/>
        <v>-56.046014046785245</v>
      </c>
      <c r="S323">
        <f t="shared" si="62"/>
        <v>0.11367489023641042</v>
      </c>
    </row>
    <row r="324" spans="7:19" x14ac:dyDescent="0.25">
      <c r="G324">
        <f t="shared" ref="G324:G353" si="65">G323+(1/ppd)</f>
        <v>5.4199999999999733</v>
      </c>
      <c r="H324">
        <f t="shared" si="63"/>
        <v>2630267.9918952221</v>
      </c>
      <c r="I324" t="str">
        <f t="shared" ref="I324:I353" si="66">COMPLEX(0,H324*2*PI(),"j")</f>
        <v>16526461.2006208j</v>
      </c>
      <c r="J324" t="str">
        <f>IMDIV(R_1,IMSUM('Phase Margin Example'!R_1,IMPRODUCT('Phase Margin Example'!R_f,IMSUM(1,IMPRODUCT(I324,C_s,R_1)))))</f>
        <v>7.15103246133965E-07-0.000378180033653471j</v>
      </c>
      <c r="K324">
        <f t="shared" ref="K324:K353" si="67">20*LOG(IMABS(J324))</f>
        <v>-68.446012548577713</v>
      </c>
      <c r="L324">
        <f t="shared" ref="L324:L353" si="68">DEGREES(IMARGUMENT(J324))</f>
        <v>-89.891659142627915</v>
      </c>
      <c r="M324">
        <f t="shared" ref="M324:M353" si="69">IMREAL(J324)</f>
        <v>7.15103246133965E-7</v>
      </c>
      <c r="N324">
        <f t="shared" ref="N324:N353" si="70">IMAGINARY(J324)</f>
        <v>-3.78180033653471E-4</v>
      </c>
      <c r="O324" t="str">
        <f t="shared" si="64"/>
        <v>0.0000144543977072521-3.80189396315089j</v>
      </c>
      <c r="P324">
        <f t="shared" ref="P324:P353" si="71">20*LOG(IMABS(O324))</f>
        <v>11.599999999937756</v>
      </c>
      <c r="Q324">
        <f t="shared" ref="Q324:Q353" si="72">DEGREES(IMARGUMENT(O324))</f>
        <v>-89.999782167521758</v>
      </c>
      <c r="R324">
        <f t="shared" ref="R324:R353" si="73">P324+K324</f>
        <v>-56.846012548639955</v>
      </c>
      <c r="S324">
        <f t="shared" ref="S324:S353" si="74">(Q324+L324)-(-180)</f>
        <v>0.10855868985032657</v>
      </c>
    </row>
    <row r="325" spans="7:19" x14ac:dyDescent="0.25">
      <c r="G325">
        <f t="shared" si="65"/>
        <v>5.4399999999999729</v>
      </c>
      <c r="H325">
        <f t="shared" si="63"/>
        <v>2754228.7033379986</v>
      </c>
      <c r="I325" t="str">
        <f t="shared" si="66"/>
        <v>17305329.3214256j</v>
      </c>
      <c r="J325" t="str">
        <f>IMDIV(R_1,IMSUM('Phase Margin Example'!R_1,IMPRODUCT('Phase Margin Example'!R_f,IMSUM(1,IMPRODUCT(I325,C_s,R_1)))))</f>
        <v>6.52182116913616E-07-0.000361159241943508j</v>
      </c>
      <c r="K325">
        <f t="shared" si="67"/>
        <v>-68.84601118225811</v>
      </c>
      <c r="L325">
        <f t="shared" si="68"/>
        <v>-89.896535273596214</v>
      </c>
      <c r="M325">
        <f t="shared" si="69"/>
        <v>6.5218211691361599E-7</v>
      </c>
      <c r="N325">
        <f t="shared" si="70"/>
        <v>-3.6115924194350798E-4</v>
      </c>
      <c r="O325" t="str">
        <f t="shared" si="64"/>
        <v>0.0000131825673853919-3.63078054765337j</v>
      </c>
      <c r="P325">
        <f t="shared" si="71"/>
        <v>11.199999999943273</v>
      </c>
      <c r="Q325">
        <f t="shared" si="72"/>
        <v>-89.999791971598285</v>
      </c>
      <c r="R325">
        <f t="shared" si="73"/>
        <v>-57.646011182314837</v>
      </c>
      <c r="S325">
        <f t="shared" si="74"/>
        <v>0.1036727548055012</v>
      </c>
    </row>
    <row r="326" spans="7:19" x14ac:dyDescent="0.25">
      <c r="G326">
        <f t="shared" si="65"/>
        <v>5.4599999999999724</v>
      </c>
      <c r="H326">
        <f t="shared" si="63"/>
        <v>2884031.5031264247</v>
      </c>
      <c r="I326" t="str">
        <f t="shared" si="66"/>
        <v>18120904.365887j</v>
      </c>
      <c r="J326" t="str">
        <f>IMDIV(R_1,IMSUM('Phase Margin Example'!R_1,IMPRODUCT('Phase Margin Example'!R_f,IMSUM(1,IMPRODUCT(I326,C_s,R_1)))))</f>
        <v>5.94797330521402E-07-0.000344904497390823j</v>
      </c>
      <c r="K326">
        <f t="shared" si="67"/>
        <v>-69.246009936159368</v>
      </c>
      <c r="L326">
        <f t="shared" si="68"/>
        <v>-89.901191943919486</v>
      </c>
      <c r="M326">
        <f t="shared" si="69"/>
        <v>5.9479733052140199E-7</v>
      </c>
      <c r="N326">
        <f t="shared" si="70"/>
        <v>-3.4490449739082302E-4</v>
      </c>
      <c r="O326" t="str">
        <f t="shared" si="64"/>
        <v>0.0000120226443460311-3.46736850448385j</v>
      </c>
      <c r="P326">
        <f t="shared" si="71"/>
        <v>10.799999999948337</v>
      </c>
      <c r="Q326">
        <f t="shared" si="72"/>
        <v>-89.999801334418677</v>
      </c>
      <c r="R326">
        <f t="shared" si="73"/>
        <v>-58.446009936211027</v>
      </c>
      <c r="S326">
        <f t="shared" si="74"/>
        <v>9.9006721661851316E-2</v>
      </c>
    </row>
    <row r="327" spans="7:19" x14ac:dyDescent="0.25">
      <c r="G327">
        <f t="shared" si="65"/>
        <v>5.479999999999972</v>
      </c>
      <c r="H327">
        <f t="shared" si="63"/>
        <v>3019951.7204018258</v>
      </c>
      <c r="I327" t="str">
        <f t="shared" si="66"/>
        <v>18974916.2780205j</v>
      </c>
      <c r="J327" t="str">
        <f>IMDIV(R_1,IMSUM('Phase Margin Example'!R_1,IMPRODUCT('Phase Margin Example'!R_f,IMSUM(1,IMPRODUCT(I327,C_s,R_1)))))</f>
        <v>5.42461754606103E-07-0.000329381324085725j</v>
      </c>
      <c r="K327">
        <f t="shared" si="67"/>
        <v>-69.646008799703566</v>
      </c>
      <c r="L327">
        <f t="shared" si="68"/>
        <v>-89.905639030773159</v>
      </c>
      <c r="M327">
        <f t="shared" si="69"/>
        <v>5.4246175460610296E-7</v>
      </c>
      <c r="N327">
        <f t="shared" si="70"/>
        <v>-3.2938132408572501E-4</v>
      </c>
      <c r="O327" t="str">
        <f t="shared" si="64"/>
        <v>0.000010964781961313-3.31131121478981j</v>
      </c>
      <c r="P327">
        <f t="shared" si="71"/>
        <v>10.399999999952922</v>
      </c>
      <c r="Q327">
        <f t="shared" si="72"/>
        <v>-89.999810275842734</v>
      </c>
      <c r="R327">
        <f t="shared" si="73"/>
        <v>-59.246008799750641</v>
      </c>
      <c r="S327">
        <f t="shared" si="74"/>
        <v>9.4550693384121587E-2</v>
      </c>
    </row>
    <row r="328" spans="7:19" x14ac:dyDescent="0.25">
      <c r="G328">
        <f t="shared" si="65"/>
        <v>5.4999999999999716</v>
      </c>
      <c r="H328">
        <f t="shared" si="63"/>
        <v>3162277.6601681737</v>
      </c>
      <c r="I328" t="str">
        <f t="shared" si="66"/>
        <v>19869176.5315909j</v>
      </c>
      <c r="J328" t="str">
        <f>IMDIV(R_1,IMSUM('Phase Margin Example'!R_1,IMPRODUCT('Phase Margin Example'!R_f,IMSUM(1,IMPRODUCT(I328,C_s,R_1)))))</f>
        <v>4.94731118206245E-07-0.000314556797545959j</v>
      </c>
      <c r="K328">
        <f t="shared" si="67"/>
        <v>-70.046007763243253</v>
      </c>
      <c r="L328">
        <f t="shared" si="68"/>
        <v>-89.909885966809895</v>
      </c>
      <c r="M328">
        <f t="shared" si="69"/>
        <v>4.9473111820624502E-7</v>
      </c>
      <c r="N328">
        <f t="shared" si="70"/>
        <v>-3.1455679754595898E-4</v>
      </c>
      <c r="O328" t="str">
        <f t="shared" si="64"/>
        <v>9.99999999990132E-06-3.16227766013697j</v>
      </c>
      <c r="P328">
        <f t="shared" si="71"/>
        <v>9.999999999957156</v>
      </c>
      <c r="Q328">
        <f t="shared" si="72"/>
        <v>-89.999818814836416</v>
      </c>
      <c r="R328">
        <f t="shared" si="73"/>
        <v>-60.046007763286099</v>
      </c>
      <c r="S328">
        <f t="shared" si="74"/>
        <v>9.0295218353674045E-2</v>
      </c>
    </row>
    <row r="329" spans="7:19" x14ac:dyDescent="0.25">
      <c r="G329">
        <f t="shared" si="65"/>
        <v>5.5199999999999712</v>
      </c>
      <c r="H329">
        <f t="shared" si="63"/>
        <v>3311311.2148256949</v>
      </c>
      <c r="I329" t="str">
        <f t="shared" si="66"/>
        <v>20805581.9724918j</v>
      </c>
      <c r="J329" t="str">
        <f>IMDIV(R_1,IMSUM('Phase Margin Example'!R_1,IMPRODUCT('Phase Margin Example'!R_f,IMSUM(1,IMPRODUCT(I329,C_s,R_1)))))</f>
        <v>4.51200240576697E-07-0.000300399474922448j</v>
      </c>
      <c r="K329">
        <f t="shared" si="67"/>
        <v>-70.446006817980006</v>
      </c>
      <c r="L329">
        <f t="shared" si="68"/>
        <v>-89.913941760163297</v>
      </c>
      <c r="M329">
        <f t="shared" si="69"/>
        <v>4.5120024057669702E-7</v>
      </c>
      <c r="N329">
        <f t="shared" si="70"/>
        <v>-3.0039947492244802E-4</v>
      </c>
      <c r="O329" t="str">
        <f t="shared" si="64"/>
        <v>9.12010839347708E-06-3.01995172037467j</v>
      </c>
      <c r="P329">
        <f t="shared" si="71"/>
        <v>9.5999999999609535</v>
      </c>
      <c r="Q329">
        <f t="shared" si="72"/>
        <v>-89.9998269695121</v>
      </c>
      <c r="R329">
        <f t="shared" si="73"/>
        <v>-60.846006818019049</v>
      </c>
      <c r="S329">
        <f t="shared" si="74"/>
        <v>8.6231270324617526E-2</v>
      </c>
    </row>
    <row r="330" spans="7:19" x14ac:dyDescent="0.25">
      <c r="G330">
        <f t="shared" si="65"/>
        <v>5.5399999999999707</v>
      </c>
      <c r="H330">
        <f t="shared" si="63"/>
        <v>3467368.5045250896</v>
      </c>
      <c r="I330" t="str">
        <f t="shared" si="66"/>
        <v>21786118.8422093j</v>
      </c>
      <c r="J330" t="str">
        <f>IMDIV(R_1,IMSUM('Phase Margin Example'!R_1,IMPRODUCT('Phase Margin Example'!R_f,IMSUM(1,IMPRODUCT(I330,C_s,R_1)))))</f>
        <v>4.11499591810114E-07-0.000286879328342264j</v>
      </c>
      <c r="K330">
        <f t="shared" si="67"/>
        <v>-70.846005955889538</v>
      </c>
      <c r="L330">
        <f t="shared" si="68"/>
        <v>-89.917815013551873</v>
      </c>
      <c r="M330">
        <f t="shared" si="69"/>
        <v>4.1149959181011401E-7</v>
      </c>
      <c r="N330">
        <f t="shared" si="70"/>
        <v>-2.86879328342264E-4</v>
      </c>
      <c r="O330" t="str">
        <f t="shared" si="64"/>
        <v>8.31763771095861E-06-2.88403150310281j</v>
      </c>
      <c r="P330">
        <f t="shared" si="71"/>
        <v>9.1999999999644562</v>
      </c>
      <c r="Q330">
        <f t="shared" si="72"/>
        <v>-89.999834757166894</v>
      </c>
      <c r="R330">
        <f t="shared" si="73"/>
        <v>-61.646005955925084</v>
      </c>
      <c r="S330">
        <f t="shared" si="74"/>
        <v>8.2350229281246357E-2</v>
      </c>
    </row>
    <row r="331" spans="7:19" x14ac:dyDescent="0.25">
      <c r="G331">
        <f t="shared" si="65"/>
        <v>5.5599999999999703</v>
      </c>
      <c r="H331">
        <f t="shared" si="63"/>
        <v>3630780.5477007688</v>
      </c>
      <c r="I331" t="str">
        <f t="shared" si="66"/>
        <v>22812866.9909069j</v>
      </c>
      <c r="J331" t="str">
        <f>IMDIV(R_1,IMSUM('Phase Margin Example'!R_1,IMPRODUCT('Phase Margin Example'!R_f,IMSUM(1,IMPRODUCT(I331,C_s,R_1)))))</f>
        <v>3.7529215606332E-07-0.000273967681248102j</v>
      </c>
      <c r="K331">
        <f t="shared" si="67"/>
        <v>-71.246005169653458</v>
      </c>
      <c r="L331">
        <f t="shared" si="68"/>
        <v>-89.921513942523475</v>
      </c>
      <c r="M331">
        <f t="shared" si="69"/>
        <v>3.7529215606332001E-7</v>
      </c>
      <c r="N331">
        <f t="shared" si="70"/>
        <v>-2.73967681248102E-4</v>
      </c>
      <c r="O331" t="str">
        <f t="shared" si="64"/>
        <v>7.58577575023531E-06-2.75422870331746j</v>
      </c>
      <c r="P331">
        <f t="shared" si="71"/>
        <v>8.7999999999676444</v>
      </c>
      <c r="Q331">
        <f t="shared" si="72"/>
        <v>-89.999842194319484</v>
      </c>
      <c r="R331">
        <f t="shared" si="73"/>
        <v>-62.446005169685812</v>
      </c>
      <c r="S331">
        <f t="shared" si="74"/>
        <v>7.8643863157026317E-2</v>
      </c>
    </row>
    <row r="332" spans="7:19" x14ac:dyDescent="0.25">
      <c r="G332">
        <f t="shared" si="65"/>
        <v>5.5799999999999699</v>
      </c>
      <c r="H332">
        <f t="shared" si="63"/>
        <v>3801893.9632053552</v>
      </c>
      <c r="I332" t="str">
        <f t="shared" si="66"/>
        <v>23888004.2890667j</v>
      </c>
      <c r="J332" t="str">
        <f>IMDIV(R_1,IMSUM('Phase Margin Example'!R_1,IMPRODUCT('Phase Margin Example'!R_f,IMSUM(1,IMPRODUCT(I332,C_s,R_1)))))</f>
        <v>3.42270570766676E-07-0.000261637147599861j</v>
      </c>
      <c r="K332">
        <f t="shared" si="67"/>
        <v>-71.646004452597609</v>
      </c>
      <c r="L332">
        <f t="shared" si="68"/>
        <v>-89.925046392878698</v>
      </c>
      <c r="M332">
        <f t="shared" si="69"/>
        <v>3.42270570766676E-7</v>
      </c>
      <c r="N332">
        <f t="shared" si="70"/>
        <v>-2.6163714759986099E-4</v>
      </c>
      <c r="O332" t="str">
        <f t="shared" si="64"/>
        <v>6.91830970914242E-06-2.63026799187736j</v>
      </c>
      <c r="P332">
        <f t="shared" si="71"/>
        <v>8.3999999999705306</v>
      </c>
      <c r="Q332">
        <f t="shared" si="72"/>
        <v>-89.999849296745083</v>
      </c>
      <c r="R332">
        <f t="shared" si="73"/>
        <v>-63.246004452627076</v>
      </c>
      <c r="S332">
        <f t="shared" si="74"/>
        <v>7.5104310376218564E-2</v>
      </c>
    </row>
    <row r="333" spans="7:19" x14ac:dyDescent="0.25">
      <c r="G333">
        <f t="shared" si="65"/>
        <v>5.5999999999999694</v>
      </c>
      <c r="H333">
        <f t="shared" si="63"/>
        <v>3981071.7055346956</v>
      </c>
      <c r="I333" t="str">
        <f t="shared" si="66"/>
        <v>25013811.247044j</v>
      </c>
      <c r="J333" t="str">
        <f>IMDIV(R_1,IMSUM('Phase Margin Example'!R_1,IMPRODUCT('Phase Margin Example'!R_f,IMSUM(1,IMPRODUCT(I333,C_s,R_1)))))</f>
        <v>3.12154517536128E-07-0.000249861573809945j</v>
      </c>
      <c r="K333">
        <f t="shared" si="67"/>
        <v>-72.046003798634729</v>
      </c>
      <c r="L333">
        <f t="shared" si="68"/>
        <v>-89.928419857310743</v>
      </c>
      <c r="M333">
        <f t="shared" si="69"/>
        <v>3.12154517536128E-7</v>
      </c>
      <c r="N333">
        <f t="shared" si="70"/>
        <v>-2.4986157380994502E-4</v>
      </c>
      <c r="O333" t="str">
        <f t="shared" si="64"/>
        <v>6.30957344476299E-06-2.5118864314939j</v>
      </c>
      <c r="P333">
        <f t="shared" si="71"/>
        <v>7.9999999999731806</v>
      </c>
      <c r="Q333">
        <f t="shared" si="72"/>
        <v>-89.999856079508859</v>
      </c>
      <c r="R333">
        <f t="shared" si="73"/>
        <v>-64.046003798661545</v>
      </c>
      <c r="S333">
        <f t="shared" si="74"/>
        <v>7.1724063180397479E-2</v>
      </c>
    </row>
    <row r="334" spans="7:19" x14ac:dyDescent="0.25">
      <c r="G334">
        <f t="shared" si="65"/>
        <v>5.619999999999969</v>
      </c>
      <c r="H334">
        <f t="shared" si="63"/>
        <v>4168693.8347030636</v>
      </c>
      <c r="I334" t="str">
        <f t="shared" si="66"/>
        <v>26192675.8523364j</v>
      </c>
      <c r="J334" t="str">
        <f>IMDIV(R_1,IMSUM('Phase Margin Example'!R_1,IMPRODUCT('Phase Margin Example'!R_f,IMSUM(1,IMPRODUCT(I334,C_s,R_1)))))</f>
        <v>2.84688342643417E-07-0.000238615983289533j</v>
      </c>
      <c r="K334">
        <f t="shared" si="67"/>
        <v>-72.446003202213447</v>
      </c>
      <c r="L334">
        <f t="shared" si="68"/>
        <v>-89.931641491296148</v>
      </c>
      <c r="M334">
        <f t="shared" si="69"/>
        <v>2.8468834264341698E-7</v>
      </c>
      <c r="N334">
        <f t="shared" si="70"/>
        <v>-2.3861598328953301E-4</v>
      </c>
      <c r="O334" t="str">
        <f t="shared" si="64"/>
        <v>5.75439937333927E-06-2.39883291900586j</v>
      </c>
      <c r="P334">
        <f t="shared" si="71"/>
        <v>7.5999999999756369</v>
      </c>
      <c r="Q334">
        <f t="shared" si="72"/>
        <v>-89.999862556997982</v>
      </c>
      <c r="R334">
        <f t="shared" si="73"/>
        <v>-64.84600320223781</v>
      </c>
      <c r="S334">
        <f t="shared" si="74"/>
        <v>6.8495951705870084E-2</v>
      </c>
    </row>
    <row r="335" spans="7:19" x14ac:dyDescent="0.25">
      <c r="G335">
        <f t="shared" si="65"/>
        <v>5.6399999999999686</v>
      </c>
      <c r="H335">
        <f t="shared" si="63"/>
        <v>4365158.3224013466</v>
      </c>
      <c r="I335" t="str">
        <f t="shared" si="66"/>
        <v>27427098.6348248j</v>
      </c>
      <c r="J335" t="str">
        <f>IMDIV(R_1,IMSUM('Phase Margin Example'!R_1,IMPRODUCT('Phase Margin Example'!R_f,IMSUM(1,IMPRODUCT(I335,C_s,R_1)))))</f>
        <v>2.59638886848176E-07-0.000227876523488673j</v>
      </c>
      <c r="K335">
        <f t="shared" si="67"/>
        <v>-72.846002658270592</v>
      </c>
      <c r="L335">
        <f t="shared" si="68"/>
        <v>-89.934718128270873</v>
      </c>
      <c r="M335">
        <f t="shared" si="69"/>
        <v>2.5963888684817601E-7</v>
      </c>
      <c r="N335">
        <f t="shared" si="70"/>
        <v>-2.2787652348867299E-4</v>
      </c>
      <c r="O335" t="str">
        <f t="shared" si="64"/>
        <v>5.24807460247095E-06-2.29086765275592j</v>
      </c>
      <c r="P335">
        <f t="shared" si="71"/>
        <v>7.1999999999778517</v>
      </c>
      <c r="Q335">
        <f t="shared" si="72"/>
        <v>-89.999868742952074</v>
      </c>
      <c r="R335">
        <f t="shared" si="73"/>
        <v>-65.646002658292744</v>
      </c>
      <c r="S335">
        <f t="shared" si="74"/>
        <v>6.541312877703831E-2</v>
      </c>
    </row>
    <row r="336" spans="7:19" x14ac:dyDescent="0.25">
      <c r="G336">
        <f t="shared" si="65"/>
        <v>5.6599999999999682</v>
      </c>
      <c r="H336">
        <f t="shared" si="63"/>
        <v>4570881.8961484218</v>
      </c>
      <c r="I336" t="str">
        <f t="shared" si="66"/>
        <v>28719697.9707329j</v>
      </c>
      <c r="J336" t="str">
        <f>IMDIV(R_1,IMSUM('Phase Margin Example'!R_1,IMPRODUCT('Phase Margin Example'!R_f,IMSUM(1,IMPRODUCT(I336,C_s,R_1)))))</f>
        <v>2.36793506172057E-07-0.000217620415318157j</v>
      </c>
      <c r="K336">
        <f t="shared" si="67"/>
        <v>-73.246002162188873</v>
      </c>
      <c r="L336">
        <f t="shared" si="68"/>
        <v>-89.9376562941233</v>
      </c>
      <c r="M336">
        <f t="shared" si="69"/>
        <v>2.3679350617205701E-7</v>
      </c>
      <c r="N336">
        <f t="shared" si="70"/>
        <v>-2.17620415318157E-4</v>
      </c>
      <c r="O336" t="str">
        <f t="shared" si="64"/>
        <v>4.78630092320417E-06-2.18776162393924j</v>
      </c>
      <c r="P336">
        <f t="shared" si="71"/>
        <v>6.7999999999798435</v>
      </c>
      <c r="Q336">
        <f t="shared" si="72"/>
        <v>-89.999874650492373</v>
      </c>
      <c r="R336">
        <f t="shared" si="73"/>
        <v>-66.446002162209027</v>
      </c>
      <c r="S336">
        <f t="shared" si="74"/>
        <v>6.2469055384326566E-2</v>
      </c>
    </row>
    <row r="337" spans="7:19" x14ac:dyDescent="0.25">
      <c r="G337">
        <f t="shared" si="65"/>
        <v>5.6799999999999677</v>
      </c>
      <c r="H337">
        <f t="shared" si="63"/>
        <v>4786300.9232260305</v>
      </c>
      <c r="I337" t="str">
        <f t="shared" si="66"/>
        <v>30073215.6365539j</v>
      </c>
      <c r="J337" t="str">
        <f>IMDIV(R_1,IMSUM('Phase Margin Example'!R_1,IMPRODUCT('Phase Margin Example'!R_f,IMSUM(1,IMPRODUCT(I337,C_s,R_1)))))</f>
        <v>2.15958266815742E-07-0.000207825904846281j</v>
      </c>
      <c r="K337">
        <f t="shared" si="67"/>
        <v>-73.646001709756902</v>
      </c>
      <c r="L337">
        <f t="shared" si="68"/>
        <v>-89.940462221035176</v>
      </c>
      <c r="M337">
        <f t="shared" si="69"/>
        <v>2.1595826681574201E-7</v>
      </c>
      <c r="N337">
        <f t="shared" si="70"/>
        <v>-2.0782590484628099E-4</v>
      </c>
      <c r="O337" t="str">
        <f t="shared" si="64"/>
        <v>4.36515832238325E-06-2.08929613084507j</v>
      </c>
      <c r="P337">
        <f t="shared" si="71"/>
        <v>6.3999999999816692</v>
      </c>
      <c r="Q337">
        <f t="shared" si="72"/>
        <v>-89.999880292149555</v>
      </c>
      <c r="R337">
        <f t="shared" si="73"/>
        <v>-67.246001709775229</v>
      </c>
      <c r="S337">
        <f t="shared" si="74"/>
        <v>5.9657486815268612E-2</v>
      </c>
    </row>
    <row r="338" spans="7:19" x14ac:dyDescent="0.25">
      <c r="G338">
        <f t="shared" si="65"/>
        <v>5.6999999999999673</v>
      </c>
      <c r="H338">
        <f t="shared" si="63"/>
        <v>5011872.3362723524</v>
      </c>
      <c r="I338" t="str">
        <f t="shared" si="66"/>
        <v>31490522.6247263j</v>
      </c>
      <c r="J338" t="str">
        <f>IMDIV(R_1,IMSUM('Phase Margin Example'!R_1,IMPRODUCT('Phase Margin Example'!R_f,IMSUM(1,IMPRODUCT(I338,C_s,R_1)))))</f>
        <v>1.96956298897279E-07-0.000198472217168228j</v>
      </c>
      <c r="K338">
        <f t="shared" si="67"/>
        <v>-74.046001297133927</v>
      </c>
      <c r="L338">
        <f t="shared" si="68"/>
        <v>-89.943141860699711</v>
      </c>
      <c r="M338">
        <f t="shared" si="69"/>
        <v>1.96956298897279E-7</v>
      </c>
      <c r="N338">
        <f t="shared" si="70"/>
        <v>-1.98472217168228E-4</v>
      </c>
      <c r="O338" t="str">
        <f t="shared" si="64"/>
        <v>0.0000039810717055197-1.99526231496108j</v>
      </c>
      <c r="P338">
        <f t="shared" si="71"/>
        <v>5.9999999999833351</v>
      </c>
      <c r="Q338">
        <f t="shared" si="72"/>
        <v>-89.999885679890326</v>
      </c>
      <c r="R338">
        <f t="shared" si="73"/>
        <v>-68.046001297150596</v>
      </c>
      <c r="S338">
        <f t="shared" si="74"/>
        <v>5.6972459409962539E-2</v>
      </c>
    </row>
    <row r="339" spans="7:19" x14ac:dyDescent="0.25">
      <c r="G339">
        <f t="shared" si="65"/>
        <v>5.7199999999999669</v>
      </c>
      <c r="H339">
        <f t="shared" si="63"/>
        <v>5248074.6024973365</v>
      </c>
      <c r="I339" t="str">
        <f t="shared" si="66"/>
        <v>32974625.2333936j</v>
      </c>
      <c r="J339" t="str">
        <f>IMDIV(R_1,IMSUM('Phase Margin Example'!R_1,IMPRODUCT('Phase Margin Example'!R_f,IMSUM(1,IMPRODUCT(I339,C_s,R_1)))))</f>
        <v>1.79626295038378E-07-0.000189539512350512j</v>
      </c>
      <c r="K339">
        <f t="shared" si="67"/>
        <v>-74.446000920817298</v>
      </c>
      <c r="L339">
        <f t="shared" si="68"/>
        <v>-89.945700896944913</v>
      </c>
      <c r="M339">
        <f t="shared" si="69"/>
        <v>1.7962629503837801E-7</v>
      </c>
      <c r="N339">
        <f t="shared" si="70"/>
        <v>-1.8953951235051199E-4</v>
      </c>
      <c r="O339" t="str">
        <f t="shared" si="64"/>
        <v>3.63078054768838E-06-1.90546071795647j</v>
      </c>
      <c r="P339">
        <f t="shared" si="71"/>
        <v>5.5999999999848749</v>
      </c>
      <c r="Q339">
        <f t="shared" si="72"/>
        <v>-89.999890825142842</v>
      </c>
      <c r="R339">
        <f t="shared" si="73"/>
        <v>-68.846000920832424</v>
      </c>
      <c r="S339">
        <f t="shared" si="74"/>
        <v>5.4408277912244785E-2</v>
      </c>
    </row>
    <row r="340" spans="7:19" x14ac:dyDescent="0.25">
      <c r="G340">
        <f t="shared" si="65"/>
        <v>5.7399999999999665</v>
      </c>
      <c r="H340">
        <f t="shared" si="63"/>
        <v>5495408.7385758273</v>
      </c>
      <c r="I340" t="str">
        <f t="shared" si="66"/>
        <v>34528671.4431659j</v>
      </c>
      <c r="J340" t="str">
        <f>IMDIV(R_1,IMSUM('Phase Margin Example'!R_1,IMPRODUCT('Phase Margin Example'!R_f,IMSUM(1,IMPRODUCT(I340,C_s,R_1)))))</f>
        <v>1.63821141054445E-07-0.000181008843357231j</v>
      </c>
      <c r="K340">
        <f t="shared" si="67"/>
        <v>-74.8460005776125</v>
      </c>
      <c r="L340">
        <f t="shared" si="68"/>
        <v>-89.94814475778881</v>
      </c>
      <c r="M340">
        <f t="shared" si="69"/>
        <v>1.6382114105444501E-7</v>
      </c>
      <c r="N340">
        <f t="shared" si="70"/>
        <v>-1.81008843357231E-4</v>
      </c>
      <c r="O340" t="str">
        <f t="shared" si="64"/>
        <v>3.31131121481546E-06-1.8197008586041j</v>
      </c>
      <c r="P340">
        <f t="shared" si="71"/>
        <v>5.1999999999862965</v>
      </c>
      <c r="Q340">
        <f t="shared" si="72"/>
        <v>-89.99989573882084</v>
      </c>
      <c r="R340">
        <f t="shared" si="73"/>
        <v>-69.646000577626211</v>
      </c>
      <c r="S340">
        <f t="shared" si="74"/>
        <v>5.1959503390349937E-2</v>
      </c>
    </row>
    <row r="341" spans="7:19" x14ac:dyDescent="0.25">
      <c r="G341">
        <f t="shared" si="65"/>
        <v>5.759999999999966</v>
      </c>
      <c r="H341">
        <f t="shared" si="63"/>
        <v>5754399.3733711299</v>
      </c>
      <c r="I341" t="str">
        <f t="shared" si="66"/>
        <v>36155957.5944089j</v>
      </c>
      <c r="J341" t="str">
        <f>IMDIV(R_1,IMSUM('Phase Margin Example'!R_1,IMPRODUCT('Phase Margin Example'!R_f,IMSUM(1,IMPRODUCT(I341,C_s,R_1)))))</f>
        <v>1.49406667125408E-07-0.000172862115869063j</v>
      </c>
      <c r="K341">
        <f t="shared" si="67"/>
        <v>-75.246000264605911</v>
      </c>
      <c r="L341">
        <f t="shared" si="68"/>
        <v>-89.950478626952261</v>
      </c>
      <c r="M341">
        <f t="shared" si="69"/>
        <v>1.4940666712540801E-7</v>
      </c>
      <c r="N341">
        <f t="shared" si="70"/>
        <v>-1.7286211586906299E-4</v>
      </c>
      <c r="O341" t="str">
        <f t="shared" si="64"/>
        <v>3.01995172039336E-06-1.73780082874426j</v>
      </c>
      <c r="P341">
        <f t="shared" si="71"/>
        <v>4.7999999999875458</v>
      </c>
      <c r="Q341">
        <f t="shared" si="72"/>
        <v>-89.999900431346873</v>
      </c>
      <c r="R341">
        <f t="shared" si="73"/>
        <v>-70.446000264618363</v>
      </c>
      <c r="S341">
        <f t="shared" si="74"/>
        <v>4.9620941700879939E-2</v>
      </c>
    </row>
    <row r="342" spans="7:19" x14ac:dyDescent="0.25">
      <c r="G342">
        <f t="shared" si="65"/>
        <v>5.7799999999999656</v>
      </c>
      <c r="H342">
        <f t="shared" si="63"/>
        <v>6025595.8607431054</v>
      </c>
      <c r="I342" t="str">
        <f t="shared" si="66"/>
        <v>37859935.3792232j</v>
      </c>
      <c r="J342" t="str">
        <f>IMDIV(R_1,IMSUM('Phase Margin Example'!R_1,IMPRODUCT('Phase Margin Example'!R_f,IMSUM(1,IMPRODUCT(I342,C_s,R_1)))))</f>
        <v>1.3626050884693E-07-0.000165082049909915j</v>
      </c>
      <c r="K342">
        <f t="shared" si="67"/>
        <v>-75.645999979140498</v>
      </c>
      <c r="L342">
        <f t="shared" si="68"/>
        <v>-89.952707454853609</v>
      </c>
      <c r="M342">
        <f t="shared" si="69"/>
        <v>1.3626050884693E-7</v>
      </c>
      <c r="N342">
        <f t="shared" si="70"/>
        <v>-1.65082049909915E-4</v>
      </c>
      <c r="O342" t="str">
        <f t="shared" si="64"/>
        <v>2.75422870333102E-06-1.65958690743312j</v>
      </c>
      <c r="P342">
        <f t="shared" si="71"/>
        <v>4.3999999999887205</v>
      </c>
      <c r="Q342">
        <f t="shared" si="72"/>
        <v>-89.999904912674467</v>
      </c>
      <c r="R342">
        <f t="shared" si="73"/>
        <v>-71.245999979151776</v>
      </c>
      <c r="S342">
        <f t="shared" si="74"/>
        <v>4.7387632471924235E-2</v>
      </c>
    </row>
    <row r="343" spans="7:19" x14ac:dyDescent="0.25">
      <c r="G343">
        <f t="shared" si="65"/>
        <v>5.7999999999999652</v>
      </c>
      <c r="H343">
        <f t="shared" si="63"/>
        <v>6309573.4448014377</v>
      </c>
      <c r="I343" t="str">
        <f t="shared" si="66"/>
        <v>39644219.1629469j</v>
      </c>
      <c r="J343" t="str">
        <f>IMDIV(R_1,IMSUM('Phase Margin Example'!R_1,IMPRODUCT('Phase Margin Example'!R_f,IMSUM(1,IMPRODUCT(I343,C_s,R_1)))))</f>
        <v>1.24271068494259E-07-0.0001576521432j</v>
      </c>
      <c r="K343">
        <f t="shared" si="67"/>
        <v>-76.045999718792942</v>
      </c>
      <c r="L343">
        <f t="shared" si="68"/>
        <v>-89.954835969108643</v>
      </c>
      <c r="M343">
        <f t="shared" si="69"/>
        <v>1.2427106849425899E-7</v>
      </c>
      <c r="N343">
        <f t="shared" si="70"/>
        <v>-1.576521432E-4</v>
      </c>
      <c r="O343" t="str">
        <f t="shared" si="64"/>
        <v>2.51188643150366E-06-1.58489319245726j</v>
      </c>
      <c r="P343">
        <f t="shared" si="71"/>
        <v>3.9999999999897895</v>
      </c>
      <c r="Q343">
        <f t="shared" si="72"/>
        <v>-89.99990919230909</v>
      </c>
      <c r="R343">
        <f t="shared" si="73"/>
        <v>-72.045999718803159</v>
      </c>
      <c r="S343">
        <f t="shared" si="74"/>
        <v>4.5254838582252432E-2</v>
      </c>
    </row>
    <row r="344" spans="7:19" x14ac:dyDescent="0.25">
      <c r="G344">
        <f t="shared" si="65"/>
        <v>5.8199999999999648</v>
      </c>
      <c r="H344">
        <f t="shared" si="63"/>
        <v>6606934.4800754283</v>
      </c>
      <c r="I344" t="str">
        <f t="shared" si="66"/>
        <v>41512593.6507081j</v>
      </c>
      <c r="J344" t="str">
        <f>IMDIV(R_1,IMSUM('Phase Margin Example'!R_1,IMPRODUCT('Phase Margin Example'!R_f,IMSUM(1,IMPRODUCT(I344,C_s,R_1)))))</f>
        <v>1.13336567681504E-07-0.000150556636157704j</v>
      </c>
      <c r="K344">
        <f t="shared" si="67"/>
        <v>-76.44599948135307</v>
      </c>
      <c r="L344">
        <f t="shared" si="68"/>
        <v>-89.956868684557861</v>
      </c>
      <c r="M344">
        <f t="shared" si="69"/>
        <v>1.13336567681504E-7</v>
      </c>
      <c r="N344">
        <f t="shared" si="70"/>
        <v>-1.50556636157704E-4</v>
      </c>
      <c r="O344" t="str">
        <f t="shared" si="64"/>
        <v>0.0000022908676527629-1.51356124843286j</v>
      </c>
      <c r="P344">
        <f t="shared" si="71"/>
        <v>3.5999999999907342</v>
      </c>
      <c r="Q344">
        <f t="shared" si="72"/>
        <v>-89.999913279328439</v>
      </c>
      <c r="R344">
        <f t="shared" si="73"/>
        <v>-72.845999481362341</v>
      </c>
      <c r="S344">
        <f t="shared" si="74"/>
        <v>4.3218036113700009E-2</v>
      </c>
    </row>
    <row r="345" spans="7:19" x14ac:dyDescent="0.25">
      <c r="G345">
        <f t="shared" si="65"/>
        <v>5.8399999999999643</v>
      </c>
      <c r="H345">
        <f t="shared" si="63"/>
        <v>6918309.7091888068</v>
      </c>
      <c r="I345" t="str">
        <f t="shared" si="66"/>
        <v>43469021.915293j</v>
      </c>
      <c r="J345" t="str">
        <f>IMDIV(R_1,IMSUM('Phase Margin Example'!R_1,IMPRODUCT('Phase Margin Example'!R_f,IMSUM(1,IMPRODUCT(I345,C_s,R_1)))))</f>
        <v>1.03364183374865E-07-0.000143780478476108j</v>
      </c>
      <c r="K345">
        <f t="shared" si="67"/>
        <v>-76.845999264805428</v>
      </c>
      <c r="L345">
        <f t="shared" si="68"/>
        <v>-89.95880991284281</v>
      </c>
      <c r="M345">
        <f t="shared" si="69"/>
        <v>1.0336418337486501E-7</v>
      </c>
      <c r="N345">
        <f t="shared" si="70"/>
        <v>-1.43780478476108E-4</v>
      </c>
      <c r="O345" t="str">
        <f t="shared" si="64"/>
        <v>2.08929613085001E-06-1.44543977074302j</v>
      </c>
      <c r="P345">
        <f t="shared" si="71"/>
        <v>3.1999999999916002</v>
      </c>
      <c r="Q345">
        <f t="shared" si="72"/>
        <v>-89.999917182401589</v>
      </c>
      <c r="R345">
        <f t="shared" si="73"/>
        <v>-73.645999264813824</v>
      </c>
      <c r="S345">
        <f t="shared" si="74"/>
        <v>4.1272904755601303E-2</v>
      </c>
    </row>
    <row r="346" spans="7:19" x14ac:dyDescent="0.25">
      <c r="G346">
        <f t="shared" si="65"/>
        <v>5.8599999999999639</v>
      </c>
      <c r="H346">
        <f t="shared" si="63"/>
        <v>7244359.6007493027</v>
      </c>
      <c r="I346" t="str">
        <f t="shared" si="66"/>
        <v>45517653.8033534j</v>
      </c>
      <c r="J346" t="str">
        <f>IMDIV(R_1,IMSUM('Phase Margin Example'!R_1,IMPRODUCT('Phase Margin Example'!R_f,IMSUM(1,IMPRODUCT(I346,C_s,R_1)))))</f>
        <v>9.42692599259096E-08-0.000137309297203389j</v>
      </c>
      <c r="K346">
        <f t="shared" si="67"/>
        <v>-77.245999067311544</v>
      </c>
      <c r="L346">
        <f t="shared" si="68"/>
        <v>-89.960663771551026</v>
      </c>
      <c r="M346">
        <f t="shared" si="69"/>
        <v>9.4269259925909603E-8</v>
      </c>
      <c r="N346">
        <f t="shared" si="70"/>
        <v>-1.37309297203389E-4</v>
      </c>
      <c r="O346" t="str">
        <f t="shared" si="64"/>
        <v>1.90546071795993E-06-1.38038426460037j</v>
      </c>
      <c r="P346">
        <f t="shared" si="71"/>
        <v>2.799999999992449</v>
      </c>
      <c r="Q346">
        <f t="shared" si="72"/>
        <v>-89.999920909807543</v>
      </c>
      <c r="R346">
        <f t="shared" si="73"/>
        <v>-74.445999067319093</v>
      </c>
      <c r="S346">
        <f t="shared" si="74"/>
        <v>3.941531864143144E-2</v>
      </c>
    </row>
    <row r="347" spans="7:19" x14ac:dyDescent="0.25">
      <c r="G347">
        <f t="shared" si="65"/>
        <v>5.8799999999999635</v>
      </c>
      <c r="H347">
        <f t="shared" si="63"/>
        <v>7585775.7502912087</v>
      </c>
      <c r="I347" t="str">
        <f t="shared" si="66"/>
        <v>47662834.7377889j</v>
      </c>
      <c r="J347" t="str">
        <f>IMDIV(R_1,IMSUM('Phase Margin Example'!R_1,IMPRODUCT('Phase Margin Example'!R_f,IMSUM(1,IMPRODUCT(I347,C_s,R_1)))))</f>
        <v>8.59745904361451E-08-0.000131129366259426j</v>
      </c>
      <c r="K347">
        <f t="shared" si="67"/>
        <v>-77.645998887195034</v>
      </c>
      <c r="L347">
        <f t="shared" si="68"/>
        <v>-89.962434192949871</v>
      </c>
      <c r="M347">
        <f t="shared" si="69"/>
        <v>8.5974590436145095E-8</v>
      </c>
      <c r="N347">
        <f t="shared" si="70"/>
        <v>-1.3112936625942601E-4</v>
      </c>
      <c r="O347" t="str">
        <f t="shared" si="64"/>
        <v>1.73780082874664E-06-1.31825673855423j</v>
      </c>
      <c r="P347">
        <f t="shared" si="71"/>
        <v>2.3999999999932022</v>
      </c>
      <c r="Q347">
        <f t="shared" si="72"/>
        <v>-89.999924469452566</v>
      </c>
      <c r="R347">
        <f t="shared" si="73"/>
        <v>-75.245998887201836</v>
      </c>
      <c r="S347">
        <f t="shared" si="74"/>
        <v>3.7641337597563052E-2</v>
      </c>
    </row>
    <row r="348" spans="7:19" x14ac:dyDescent="0.25">
      <c r="G348">
        <f t="shared" si="65"/>
        <v>5.8999999999999631</v>
      </c>
      <c r="H348">
        <f t="shared" si="63"/>
        <v>7943282.347242156</v>
      </c>
      <c r="I348" t="str">
        <f t="shared" si="66"/>
        <v>49909114.9349709j</v>
      </c>
      <c r="J348" t="str">
        <f>IMDIV(R_1,IMSUM('Phase Margin Example'!R_1,IMPRODUCT('Phase Margin Example'!R_f,IMSUM(1,IMPRODUCT(I348,C_s,R_1)))))</f>
        <v>7.84097613527325E-08-0.00012522757732407j</v>
      </c>
      <c r="K348">
        <f t="shared" si="67"/>
        <v>-78.045998722926726</v>
      </c>
      <c r="L348">
        <f t="shared" si="68"/>
        <v>-89.964124932326897</v>
      </c>
      <c r="M348">
        <f t="shared" si="69"/>
        <v>7.8409761352732503E-8</v>
      </c>
      <c r="N348">
        <f t="shared" si="70"/>
        <v>-1.2522757732407001E-4</v>
      </c>
      <c r="O348" t="str">
        <f t="shared" si="64"/>
        <v>1.58489319245886E-06-1.25892541179228j</v>
      </c>
      <c r="P348">
        <f t="shared" si="71"/>
        <v>1.999999999993862</v>
      </c>
      <c r="Q348">
        <f t="shared" si="72"/>
        <v>-89.999927868887184</v>
      </c>
      <c r="R348">
        <f t="shared" si="73"/>
        <v>-76.045998722932865</v>
      </c>
      <c r="S348">
        <f t="shared" si="74"/>
        <v>3.5947198785919454E-2</v>
      </c>
    </row>
    <row r="349" spans="7:19" x14ac:dyDescent="0.25">
      <c r="G349">
        <f t="shared" si="65"/>
        <v>5.9199999999999626</v>
      </c>
      <c r="H349">
        <f t="shared" si="63"/>
        <v>8317637.7110260036</v>
      </c>
      <c r="I349" t="str">
        <f t="shared" si="66"/>
        <v>52261259.0563614j</v>
      </c>
      <c r="J349" t="str">
        <f>IMDIV(R_1,IMSUM('Phase Margin Example'!R_1,IMPRODUCT('Phase Margin Example'!R_f,IMSUM(1,IMPRODUCT(I349,C_s,R_1)))))</f>
        <v>7.15105547318339E-08-0.000119591412035344j</v>
      </c>
      <c r="K349">
        <f t="shared" si="67"/>
        <v>-78.445998573112291</v>
      </c>
      <c r="L349">
        <f t="shared" si="68"/>
        <v>-89.965739575955226</v>
      </c>
      <c r="M349">
        <f t="shared" si="69"/>
        <v>7.1510554731833906E-8</v>
      </c>
      <c r="N349">
        <f t="shared" si="70"/>
        <v>-1.19591412035344E-4</v>
      </c>
      <c r="O349" t="str">
        <f t="shared" si="64"/>
        <v>1.44543977074409E-06-1.20226443461578j</v>
      </c>
      <c r="P349">
        <f t="shared" si="71"/>
        <v>1.5999999999944803</v>
      </c>
      <c r="Q349">
        <f t="shared" si="72"/>
        <v>-89.999931115322042</v>
      </c>
      <c r="R349">
        <f t="shared" si="73"/>
        <v>-76.845998573117811</v>
      </c>
      <c r="S349">
        <f t="shared" si="74"/>
        <v>3.4329308722732321E-2</v>
      </c>
    </row>
    <row r="350" spans="7:19" x14ac:dyDescent="0.25">
      <c r="G350">
        <f t="shared" si="65"/>
        <v>5.9399999999999622</v>
      </c>
      <c r="H350">
        <f t="shared" si="63"/>
        <v>8709635.8995600641</v>
      </c>
      <c r="I350" t="str">
        <f t="shared" si="66"/>
        <v>54724256.3149997j</v>
      </c>
      <c r="J350" t="str">
        <f>IMDIV(R_1,IMSUM('Phase Margin Example'!R_1,IMPRODUCT('Phase Margin Example'!R_f,IMSUM(1,IMPRODUCT(I350,C_s,R_1)))))</f>
        <v>6.52184030956076E-08-0.000114208915438688j</v>
      </c>
      <c r="K350">
        <f t="shared" si="67"/>
        <v>-78.845998436479945</v>
      </c>
      <c r="L350">
        <f t="shared" si="68"/>
        <v>-89.967281548700171</v>
      </c>
      <c r="M350">
        <f t="shared" si="69"/>
        <v>6.5218403095607601E-8</v>
      </c>
      <c r="N350">
        <f t="shared" si="70"/>
        <v>-1.14208915438688E-4</v>
      </c>
      <c r="O350" t="str">
        <f t="shared" si="64"/>
        <v>1.31825673855489E-06-1.14815362149547j</v>
      </c>
      <c r="P350">
        <f t="shared" si="71"/>
        <v>1.1999999999950368</v>
      </c>
      <c r="Q350">
        <f t="shared" si="72"/>
        <v>-89.99993421564325</v>
      </c>
      <c r="R350">
        <f t="shared" si="73"/>
        <v>-77.645998436484902</v>
      </c>
      <c r="S350">
        <f t="shared" si="74"/>
        <v>3.2784235656578176E-2</v>
      </c>
    </row>
    <row r="351" spans="7:19" x14ac:dyDescent="0.25">
      <c r="G351">
        <f t="shared" si="65"/>
        <v>5.9599999999999618</v>
      </c>
      <c r="H351">
        <f t="shared" si="63"/>
        <v>9120108.3935583029</v>
      </c>
      <c r="I351" t="str">
        <f t="shared" si="66"/>
        <v>57303331.0582907j</v>
      </c>
      <c r="J351" t="str">
        <f>IMDIV(R_1,IMSUM('Phase Margin Example'!R_1,IMPRODUCT('Phase Margin Example'!R_f,IMSUM(1,IMPRODUCT(I351,C_s,R_1)))))</f>
        <v>5.94798922553081E-08-0.000109068670630956j</v>
      </c>
      <c r="K351">
        <f t="shared" si="67"/>
        <v>-79.245998311869712</v>
      </c>
      <c r="L351">
        <f t="shared" si="68"/>
        <v>-89.968754121283723</v>
      </c>
      <c r="M351">
        <f t="shared" si="69"/>
        <v>5.9479892255308098E-8</v>
      </c>
      <c r="N351">
        <f t="shared" si="70"/>
        <v>-1.0906867063095599E-4</v>
      </c>
      <c r="O351" t="str">
        <f t="shared" si="64"/>
        <v>1.20226443461618E-06-1.09647819614196j</v>
      </c>
      <c r="P351">
        <f t="shared" si="71"/>
        <v>0.79999999999551874</v>
      </c>
      <c r="Q351">
        <f t="shared" si="72"/>
        <v>-89.999937176427039</v>
      </c>
      <c r="R351">
        <f t="shared" si="73"/>
        <v>-78.445998311874192</v>
      </c>
      <c r="S351">
        <f t="shared" si="74"/>
        <v>3.1308702289237544E-2</v>
      </c>
    </row>
    <row r="352" spans="7:19" x14ac:dyDescent="0.25">
      <c r="G352">
        <f t="shared" si="65"/>
        <v>5.9799999999999613</v>
      </c>
      <c r="H352">
        <f t="shared" si="63"/>
        <v>9549925.8602135256</v>
      </c>
      <c r="I352" t="str">
        <f t="shared" si="66"/>
        <v>60003953.849548j</v>
      </c>
      <c r="J352" t="str">
        <f>IMDIV(R_1,IMSUM('Phase Margin Example'!R_1,IMPRODUCT('Phase Margin Example'!R_f,IMSUM(1,IMPRODUCT(I352,C_s,R_1)))))</f>
        <v>5.42463078800762E-08-0.000104159774545423j</v>
      </c>
      <c r="K352">
        <f t="shared" si="67"/>
        <v>-79.645998198223793</v>
      </c>
      <c r="L352">
        <f t="shared" si="68"/>
        <v>-89.970160417221948</v>
      </c>
      <c r="M352">
        <f t="shared" si="69"/>
        <v>5.4246307880076202E-8</v>
      </c>
      <c r="N352">
        <f t="shared" si="70"/>
        <v>-1.04159774545423E-4</v>
      </c>
      <c r="O352" t="str">
        <f t="shared" si="64"/>
        <v>1.09647819614217E-06-1.04712854804984j</v>
      </c>
      <c r="P352">
        <f t="shared" si="71"/>
        <v>0.39999999999597252</v>
      </c>
      <c r="Q352">
        <f t="shared" si="72"/>
        <v>-89.999940003953583</v>
      </c>
      <c r="R352">
        <f t="shared" si="73"/>
        <v>-79.245998198227824</v>
      </c>
      <c r="S352">
        <f t="shared" si="74"/>
        <v>2.9899578824483797E-2</v>
      </c>
    </row>
    <row r="353" spans="7:19" x14ac:dyDescent="0.25">
      <c r="G353">
        <f t="shared" si="65"/>
        <v>5.9999999999999609</v>
      </c>
      <c r="H353">
        <f t="shared" si="63"/>
        <v>9999999.9999991078</v>
      </c>
      <c r="I353" t="str">
        <f t="shared" si="66"/>
        <v>62831853.0717903j</v>
      </c>
      <c r="J353" t="str">
        <f>IMDIV(R_1,IMSUM('Phase Margin Example'!R_1,IMPRODUCT('Phase Margin Example'!R_f,IMSUM(1,IMPRODUCT(I353,C_s,R_1)))))</f>
        <v>4.9473221962368E-08-0.0000994718148264819j</v>
      </c>
      <c r="K353">
        <f t="shared" si="67"/>
        <v>-80.04599809457747</v>
      </c>
      <c r="L353">
        <f t="shared" si="68"/>
        <v>-89.9715034194503</v>
      </c>
      <c r="M353">
        <f t="shared" si="69"/>
        <v>4.9473221962368001E-8</v>
      </c>
      <c r="N353">
        <f t="shared" si="70"/>
        <v>-9.9471814826481905E-5</v>
      </c>
      <c r="O353" t="str">
        <f t="shared" si="64"/>
        <v>9.99999999999176E-07-0.999999999999088j</v>
      </c>
      <c r="P353">
        <f t="shared" si="71"/>
        <v>-3.5786192283799859E-12</v>
      </c>
      <c r="Q353">
        <f t="shared" si="72"/>
        <v>-89.999942704220487</v>
      </c>
      <c r="R353">
        <f t="shared" si="73"/>
        <v>-80.045998094581051</v>
      </c>
      <c r="S353">
        <f t="shared" si="74"/>
        <v>2.8553876329226568E-2</v>
      </c>
    </row>
  </sheetData>
  <conditionalFormatting sqref="B15">
    <cfRule type="cellIs" dxfId="1" priority="1" operator="lessThan">
      <formula>45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EEA47-B4F1-4F37-8589-4F28BFA77FB9}">
  <sheetPr codeName="Sheet8"/>
  <dimension ref="A1:N353"/>
  <sheetViews>
    <sheetView showGridLines="0" zoomScaleNormal="100" workbookViewId="0">
      <selection activeCell="E26" sqref="E26"/>
    </sheetView>
  </sheetViews>
  <sheetFormatPr defaultRowHeight="15" x14ac:dyDescent="0.25"/>
  <cols>
    <col min="1" max="1" width="27.85546875" customWidth="1"/>
    <col min="2" max="2" width="13.140625" customWidth="1"/>
    <col min="3" max="3" width="5.7109375" customWidth="1"/>
    <col min="4" max="4" width="86.5703125" customWidth="1"/>
    <col min="5" max="5" width="11.140625" customWidth="1"/>
    <col min="6" max="6" width="8" customWidth="1"/>
    <col min="7" max="7" width="12" bestFit="1" customWidth="1"/>
    <col min="8" max="8" width="17.140625" customWidth="1"/>
    <col min="9" max="9" width="21.42578125" customWidth="1"/>
    <col min="10" max="10" width="43.5703125" customWidth="1"/>
  </cols>
  <sheetData>
    <row r="1" spans="1:14" ht="15" customHeight="1" x14ac:dyDescent="0.25">
      <c r="A1" s="1" t="s">
        <v>30</v>
      </c>
      <c r="F1" s="6" t="s">
        <v>46</v>
      </c>
      <c r="G1" s="5">
        <v>50</v>
      </c>
    </row>
    <row r="2" spans="1:14" ht="15" customHeight="1" x14ac:dyDescent="0.25">
      <c r="B2" s="2" t="s">
        <v>0</v>
      </c>
      <c r="G2" s="3" t="s">
        <v>1</v>
      </c>
      <c r="H2" s="3" t="s">
        <v>4</v>
      </c>
      <c r="I2" s="3" t="s">
        <v>2</v>
      </c>
      <c r="J2" s="3" t="s">
        <v>3</v>
      </c>
      <c r="K2" s="3" t="s">
        <v>5</v>
      </c>
      <c r="L2" s="4" t="s">
        <v>6</v>
      </c>
      <c r="M2" s="3" t="s">
        <v>7</v>
      </c>
      <c r="N2" s="3" t="s">
        <v>8</v>
      </c>
    </row>
    <row r="3" spans="1:14" ht="15" customHeight="1" x14ac:dyDescent="0.35">
      <c r="A3" s="6" t="s">
        <v>22</v>
      </c>
      <c r="B3" s="5">
        <v>10</v>
      </c>
      <c r="C3" t="s">
        <v>10</v>
      </c>
      <c r="F3" s="6" t="s">
        <v>25</v>
      </c>
      <c r="G3" s="5">
        <v>-1</v>
      </c>
      <c r="H3">
        <f t="shared" ref="H3:H66" si="0">$B$3*10^G3</f>
        <v>1</v>
      </c>
      <c r="I3" t="str">
        <f>COMPLEX(0,H3*2*PI(),"j")</f>
        <v>6.28318530717959j</v>
      </c>
      <c r="J3" t="str">
        <f t="shared" ref="J3:J66" si="1">IMDIV(1,IMSUM(IMDIV(IMSUM(1,IMDIV(I3,wc)),Aolv),IMDIV(IMDIV(R_1,IMSUM(1,IMPRODUCT(I3,C_s,R_1))),IMSUM(R_f,IMDIV(R_1,IMSUM(1,IMPRODUCT(I3,C_s,R_1)))))))</f>
        <v>4.9999750001313+5.03977197077046E-06j</v>
      </c>
      <c r="K3">
        <f>20*LOG(IMABS(J3))</f>
        <v>13.979356657396117</v>
      </c>
      <c r="L3">
        <f>DEGREES(IMARGUMENT(J3))</f>
        <v>5.7751821484266628E-5</v>
      </c>
      <c r="M3">
        <f>IMREAL(J3)</f>
        <v>4.9999750001313004</v>
      </c>
      <c r="N3">
        <f>IMAGINARY(J3)</f>
        <v>5.0397719707704597E-6</v>
      </c>
    </row>
    <row r="4" spans="1:14" ht="15" customHeight="1" x14ac:dyDescent="0.35">
      <c r="A4" s="6" t="s">
        <v>27</v>
      </c>
      <c r="B4" s="5">
        <v>120</v>
      </c>
      <c r="C4" t="s">
        <v>17</v>
      </c>
      <c r="G4">
        <f t="shared" ref="G4:G11" si="2">G3+(1/ppd)</f>
        <v>-0.98</v>
      </c>
      <c r="H4">
        <f t="shared" si="0"/>
        <v>1.0471285480508996</v>
      </c>
      <c r="I4" t="str">
        <f t="shared" ref="I4:I67" si="3">COMPLEX(0,H4*2*PI(),"j")</f>
        <v>6.57930270784171j</v>
      </c>
      <c r="J4" t="str">
        <f t="shared" si="1"/>
        <v>4.9999750001319+5.27728910626056E-06j</v>
      </c>
      <c r="K4">
        <f t="shared" ref="K4:K67" si="4">20*LOG(IMABS(J4))</f>
        <v>13.979356657397584</v>
      </c>
      <c r="L4">
        <f t="shared" ref="L4:L67" si="5">DEGREES(IMARGUMENT(J4))</f>
        <v>6.0473580978106405E-5</v>
      </c>
      <c r="M4">
        <f t="shared" ref="M4:M67" si="6">IMREAL(J4)</f>
        <v>4.9999750001318999</v>
      </c>
      <c r="N4">
        <f t="shared" ref="N4:N67" si="7">IMAGINARY(J4)</f>
        <v>5.2772891062605604E-6</v>
      </c>
    </row>
    <row r="5" spans="1:14" ht="15" customHeight="1" x14ac:dyDescent="0.35">
      <c r="A5" s="6" t="s">
        <v>35</v>
      </c>
      <c r="B5" s="5">
        <v>4000</v>
      </c>
      <c r="C5" t="s">
        <v>12</v>
      </c>
      <c r="G5">
        <f t="shared" si="2"/>
        <v>-0.96</v>
      </c>
      <c r="H5">
        <f t="shared" si="0"/>
        <v>1.0964781961431849</v>
      </c>
      <c r="I5" t="str">
        <f t="shared" si="3"/>
        <v>6.88937569164964j</v>
      </c>
      <c r="J5" t="str">
        <f t="shared" si="1"/>
        <v>4.99997500013257+5.52600007948351E-06j</v>
      </c>
      <c r="K5">
        <f t="shared" si="4"/>
        <v>13.979356657399213</v>
      </c>
      <c r="L5">
        <f t="shared" si="5"/>
        <v>6.3323613045032995E-5</v>
      </c>
      <c r="M5">
        <f t="shared" si="6"/>
        <v>4.9999750001325696</v>
      </c>
      <c r="N5">
        <f t="shared" si="7"/>
        <v>5.5260000794835102E-6</v>
      </c>
    </row>
    <row r="6" spans="1:14" ht="15" customHeight="1" x14ac:dyDescent="0.35">
      <c r="A6" s="6" t="s">
        <v>36</v>
      </c>
      <c r="B6" s="13">
        <v>3E-10</v>
      </c>
      <c r="C6" t="s">
        <v>11</v>
      </c>
      <c r="G6">
        <f t="shared" si="2"/>
        <v>-0.94</v>
      </c>
      <c r="H6">
        <f t="shared" si="0"/>
        <v>1.148153621496883</v>
      </c>
      <c r="I6" t="str">
        <f t="shared" si="3"/>
        <v>7.21406196497425j</v>
      </c>
      <c r="J6" t="str">
        <f t="shared" si="1"/>
        <v>4.9999750001333+5.78643243975884E-06j</v>
      </c>
      <c r="K6">
        <f t="shared" si="4"/>
        <v>13.979356657400995</v>
      </c>
      <c r="L6">
        <f t="shared" si="5"/>
        <v>6.6307962985171463E-5</v>
      </c>
      <c r="M6">
        <f t="shared" si="6"/>
        <v>4.9999750001332997</v>
      </c>
      <c r="N6">
        <f t="shared" si="7"/>
        <v>5.7864324397588397E-6</v>
      </c>
    </row>
    <row r="7" spans="1:14" ht="15" customHeight="1" x14ac:dyDescent="0.25">
      <c r="A7" s="6" t="s">
        <v>34</v>
      </c>
      <c r="B7" s="5">
        <v>1000</v>
      </c>
      <c r="C7" t="s">
        <v>12</v>
      </c>
      <c r="G7">
        <f t="shared" si="2"/>
        <v>-0.91999999999999993</v>
      </c>
      <c r="H7">
        <f t="shared" si="0"/>
        <v>1.2022644346174129</v>
      </c>
      <c r="I7" t="str">
        <f t="shared" si="3"/>
        <v>7.5540502309327j</v>
      </c>
      <c r="J7" t="str">
        <f t="shared" si="1"/>
        <v>4.99997500013408+6.05913859903937E-06j</v>
      </c>
      <c r="K7">
        <f t="shared" si="4"/>
        <v>13.979356657402914</v>
      </c>
      <c r="L7">
        <f t="shared" si="5"/>
        <v>6.943296100486238E-5</v>
      </c>
      <c r="M7">
        <f t="shared" si="6"/>
        <v>4.9999750001340804</v>
      </c>
      <c r="N7">
        <f t="shared" si="7"/>
        <v>6.0591385990393702E-6</v>
      </c>
    </row>
    <row r="8" spans="1:14" ht="15" customHeight="1" x14ac:dyDescent="0.25">
      <c r="G8">
        <f t="shared" si="2"/>
        <v>-0.89999999999999991</v>
      </c>
      <c r="H8">
        <f t="shared" si="0"/>
        <v>1.2589254117941673</v>
      </c>
      <c r="I8" t="str">
        <f t="shared" si="3"/>
        <v>7.91006165022012j</v>
      </c>
      <c r="J8" t="str">
        <f t="shared" si="1"/>
        <v>4.99997500013497+0.0000063446970036514j</v>
      </c>
      <c r="K8">
        <f t="shared" si="4"/>
        <v>13.979356657405074</v>
      </c>
      <c r="L8">
        <f t="shared" si="5"/>
        <v>7.2705235643881526E-5</v>
      </c>
      <c r="M8">
        <f t="shared" si="6"/>
        <v>4.9999750001349703</v>
      </c>
      <c r="N8">
        <f t="shared" si="7"/>
        <v>6.3446970036514003E-6</v>
      </c>
    </row>
    <row r="9" spans="1:14" ht="15" customHeight="1" x14ac:dyDescent="0.25">
      <c r="B9" s="2" t="s">
        <v>13</v>
      </c>
      <c r="G9">
        <f t="shared" si="2"/>
        <v>-0.87999999999999989</v>
      </c>
      <c r="H9">
        <f t="shared" si="0"/>
        <v>1.318256738556407</v>
      </c>
      <c r="I9" t="str">
        <f t="shared" si="3"/>
        <v>8.2828513707881j</v>
      </c>
      <c r="J9" t="str">
        <f t="shared" si="1"/>
        <v>4.99997500013592+0.0000066437133612565j</v>
      </c>
      <c r="K9">
        <f t="shared" si="4"/>
        <v>13.979356657407397</v>
      </c>
      <c r="L9">
        <f t="shared" si="5"/>
        <v>7.6131727835459105E-5</v>
      </c>
      <c r="M9">
        <f t="shared" si="6"/>
        <v>4.9999750001359198</v>
      </c>
      <c r="N9">
        <f t="shared" si="7"/>
        <v>6.6437133612565003E-6</v>
      </c>
    </row>
    <row r="10" spans="1:14" ht="15" customHeight="1" x14ac:dyDescent="0.35">
      <c r="A10" s="6" t="s">
        <v>27</v>
      </c>
      <c r="B10" s="11">
        <f>10^(B4/20)</f>
        <v>1000000</v>
      </c>
      <c r="C10" t="s">
        <v>14</v>
      </c>
      <c r="G10">
        <f t="shared" si="2"/>
        <v>-0.85999999999999988</v>
      </c>
      <c r="H10">
        <f t="shared" si="0"/>
        <v>1.380384264602885</v>
      </c>
      <c r="I10" t="str">
        <f t="shared" si="3"/>
        <v>8.67321012961474j</v>
      </c>
      <c r="J10" t="str">
        <f t="shared" si="1"/>
        <v>4.99997500013699+6.95682192563905E-06j</v>
      </c>
      <c r="K10">
        <f t="shared" si="4"/>
        <v>13.979356657409998</v>
      </c>
      <c r="L10">
        <f t="shared" si="5"/>
        <v>7.9719705628930897E-5</v>
      </c>
      <c r="M10">
        <f t="shared" si="6"/>
        <v>4.99997500013699</v>
      </c>
      <c r="N10">
        <f t="shared" si="7"/>
        <v>6.9568219256390498E-6</v>
      </c>
    </row>
    <row r="11" spans="1:14" ht="15" customHeight="1" x14ac:dyDescent="0.35">
      <c r="A11" s="6" t="s">
        <v>23</v>
      </c>
      <c r="B11" s="11">
        <f>2*PI()*B3</f>
        <v>62.831853071795862</v>
      </c>
      <c r="C11" t="s">
        <v>15</v>
      </c>
      <c r="G11">
        <f t="shared" si="2"/>
        <v>-0.83999999999999986</v>
      </c>
      <c r="H11">
        <f t="shared" si="0"/>
        <v>1.4454397707459279</v>
      </c>
      <c r="I11" t="str">
        <f t="shared" si="3"/>
        <v>9.08196592996384j</v>
      </c>
      <c r="J11" t="str">
        <f t="shared" si="1"/>
        <v>4.99997500013814+7.28468684204318E-06j</v>
      </c>
      <c r="K11">
        <f t="shared" si="4"/>
        <v>13.979356657412808</v>
      </c>
      <c r="L11">
        <f t="shared" si="5"/>
        <v>8.3476779606244278E-5</v>
      </c>
      <c r="M11">
        <f t="shared" si="6"/>
        <v>4.9999750001381402</v>
      </c>
      <c r="N11">
        <f t="shared" si="7"/>
        <v>7.2846868420431803E-6</v>
      </c>
    </row>
    <row r="12" spans="1:14" ht="15" customHeight="1" x14ac:dyDescent="0.25">
      <c r="A12" s="6" t="s">
        <v>24</v>
      </c>
      <c r="B12" s="11">
        <f>1/(2*PI()*R_O*C_L)</f>
        <v>3978.8735772973841</v>
      </c>
      <c r="C12" s="8" t="s">
        <v>10</v>
      </c>
      <c r="G12">
        <f t="shared" ref="G12" si="8">G11+(1/ppd)</f>
        <v>-0.81999999999999984</v>
      </c>
      <c r="H12">
        <f t="shared" si="0"/>
        <v>1.5135612484362084</v>
      </c>
      <c r="I12" t="str">
        <f t="shared" si="3"/>
        <v>9.50998579769078j</v>
      </c>
      <c r="J12" t="str">
        <f t="shared" si="1"/>
        <v>4.99997500013941+7.62800355591442E-06j</v>
      </c>
      <c r="K12">
        <f t="shared" si="4"/>
        <v>13.979356657415902</v>
      </c>
      <c r="L12">
        <f t="shared" si="5"/>
        <v>8.7410919025026224E-5</v>
      </c>
      <c r="M12">
        <f t="shared" si="6"/>
        <v>4.9999750001394103</v>
      </c>
      <c r="N12">
        <f t="shared" si="7"/>
        <v>7.6280035559144203E-6</v>
      </c>
    </row>
    <row r="13" spans="1:14" ht="15" customHeight="1" x14ac:dyDescent="0.25">
      <c r="A13" s="6" t="s">
        <v>29</v>
      </c>
      <c r="B13" s="16" cm="1">
        <f t="array" ref="B13">INDEX(K4:K353,MATCH(MIN(ABS(K4:K353)),ABS(K4:K353),0))</f>
        <v>0.11545637600359374</v>
      </c>
      <c r="C13" s="8" t="s">
        <v>17</v>
      </c>
      <c r="G13">
        <f t="shared" ref="G13:G67" si="9">G12+(1/ppd)</f>
        <v>-0.79999999999999982</v>
      </c>
      <c r="H13">
        <f t="shared" si="0"/>
        <v>1.584893192461114</v>
      </c>
      <c r="I13" t="str">
        <f t="shared" si="3"/>
        <v>9.95817762032062j</v>
      </c>
      <c r="J13" t="str">
        <f t="shared" si="1"/>
        <v>4.99997500014081+7.98750028803207E-06j</v>
      </c>
      <c r="K13">
        <f t="shared" si="4"/>
        <v>13.979356657419306</v>
      </c>
      <c r="L13">
        <f t="shared" si="5"/>
        <v>9.1530468722441475E-5</v>
      </c>
      <c r="M13">
        <f t="shared" si="6"/>
        <v>4.9999750001408101</v>
      </c>
      <c r="N13">
        <f t="shared" si="7"/>
        <v>7.9875002880320707E-6</v>
      </c>
    </row>
    <row r="14" spans="1:14" ht="15" customHeight="1" x14ac:dyDescent="0.25">
      <c r="A14" s="6" t="s">
        <v>18</v>
      </c>
      <c r="B14" s="15">
        <f>_xlfn.XLOOKUP(B13,K4:K353,H4:H353)</f>
        <v>9999999.9999991078</v>
      </c>
      <c r="C14" s="8" t="s">
        <v>10</v>
      </c>
      <c r="G14">
        <f t="shared" si="9"/>
        <v>-0.7799999999999998</v>
      </c>
      <c r="H14">
        <f t="shared" si="0"/>
        <v>1.6595869074375613</v>
      </c>
      <c r="I14" t="str">
        <f t="shared" si="3"/>
        <v>10.4274920727993j</v>
      </c>
      <c r="J14" t="str">
        <f t="shared" si="1"/>
        <v>4.99997500014231+8.36393957916332E-06j</v>
      </c>
      <c r="K14">
        <f t="shared" si="4"/>
        <v>13.979356657422983</v>
      </c>
      <c r="L14">
        <f t="shared" si="5"/>
        <v>9.5844166815713572E-5</v>
      </c>
      <c r="M14">
        <f t="shared" si="6"/>
        <v>4.9999750001423102</v>
      </c>
      <c r="N14">
        <f t="shared" si="7"/>
        <v>8.3639395791633192E-6</v>
      </c>
    </row>
    <row r="15" spans="1:14" ht="15" customHeight="1" x14ac:dyDescent="0.25">
      <c r="A15" s="6" t="s">
        <v>19</v>
      </c>
      <c r="B15" s="17">
        <f>_xlfn.XLOOKUP(B13,K4:K353,L4:L353)</f>
        <v>-89.949098183555776</v>
      </c>
      <c r="C15" s="7" t="s">
        <v>21</v>
      </c>
      <c r="G15">
        <f t="shared" si="9"/>
        <v>-0.75999999999999979</v>
      </c>
      <c r="H15">
        <f t="shared" si="0"/>
        <v>1.7378008287493762</v>
      </c>
      <c r="I15" t="str">
        <f t="shared" si="3"/>
        <v>10.9189246340026j</v>
      </c>
      <c r="J15" t="str">
        <f t="shared" si="1"/>
        <v>4.99997500014398+8.75811990751503E-06j</v>
      </c>
      <c r="K15">
        <f t="shared" si="4"/>
        <v>13.979356657427056</v>
      </c>
      <c r="L15">
        <f t="shared" si="5"/>
        <v>1.0036116323684716E-4</v>
      </c>
      <c r="M15">
        <f t="shared" si="6"/>
        <v>4.99997500014398</v>
      </c>
      <c r="N15">
        <f t="shared" si="7"/>
        <v>8.7581199075150303E-6</v>
      </c>
    </row>
    <row r="16" spans="1:14" ht="15" customHeight="1" x14ac:dyDescent="0.25">
      <c r="A16" s="14" t="s">
        <v>20</v>
      </c>
      <c r="B16" s="17">
        <f>B15-(-180)</f>
        <v>90.050901816444224</v>
      </c>
      <c r="C16" s="7" t="s">
        <v>21</v>
      </c>
      <c r="G16">
        <f t="shared" si="9"/>
        <v>-0.73999999999999977</v>
      </c>
      <c r="H16">
        <f t="shared" si="0"/>
        <v>1.8197008586099841</v>
      </c>
      <c r="I16" t="str">
        <f t="shared" si="3"/>
        <v>11.4335176982803j</v>
      </c>
      <c r="J16" t="str">
        <f t="shared" si="1"/>
        <v>4.99997500014583+9.17087738241226E-06j</v>
      </c>
      <c r="K16">
        <f t="shared" si="4"/>
        <v>13.979356657431556</v>
      </c>
      <c r="L16">
        <f t="shared" si="5"/>
        <v>1.0509103914085404E-4</v>
      </c>
      <c r="M16">
        <f t="shared" si="6"/>
        <v>4.9999750001458301</v>
      </c>
      <c r="N16">
        <f t="shared" si="7"/>
        <v>9.1708773824122595E-6</v>
      </c>
    </row>
    <row r="17" spans="1:14" ht="15" customHeight="1" x14ac:dyDescent="0.25">
      <c r="A17" s="6"/>
      <c r="C17" s="8"/>
      <c r="G17">
        <f t="shared" si="9"/>
        <v>-0.71999999999999975</v>
      </c>
      <c r="H17">
        <f t="shared" si="0"/>
        <v>1.9054607179632479</v>
      </c>
      <c r="I17" t="str">
        <f t="shared" si="3"/>
        <v>11.9723627865145j</v>
      </c>
      <c r="J17" t="str">
        <f t="shared" si="1"/>
        <v>4.99997500014783+9.60308751779857E-06j</v>
      </c>
      <c r="K17">
        <f t="shared" si="4"/>
        <v>13.979356657436439</v>
      </c>
      <c r="L17">
        <f t="shared" si="5"/>
        <v>1.1004382722867125E-4</v>
      </c>
      <c r="M17">
        <f t="shared" si="6"/>
        <v>4.9999750001478303</v>
      </c>
      <c r="N17">
        <f t="shared" si="7"/>
        <v>9.6030875177985699E-6</v>
      </c>
    </row>
    <row r="18" spans="1:14" ht="15" customHeight="1" x14ac:dyDescent="0.25">
      <c r="A18" s="6"/>
      <c r="C18" s="8"/>
      <c r="G18">
        <f t="shared" si="9"/>
        <v>-0.69999999999999973</v>
      </c>
      <c r="H18">
        <f t="shared" si="0"/>
        <v>1.9952623149688806</v>
      </c>
      <c r="I18" t="str">
        <f t="shared" si="3"/>
        <v>12.5366028613816j</v>
      </c>
      <c r="J18" t="str">
        <f t="shared" si="1"/>
        <v>4.99997500015003+0.0000100556670893186j</v>
      </c>
      <c r="K18">
        <f t="shared" si="4"/>
        <v>13.979356657441809</v>
      </c>
      <c r="L18">
        <f t="shared" si="5"/>
        <v>1.1523003302786356E-4</v>
      </c>
      <c r="M18">
        <f t="shared" si="6"/>
        <v>4.9999750001500303</v>
      </c>
      <c r="N18">
        <f t="shared" si="7"/>
        <v>1.00556670893186E-5</v>
      </c>
    </row>
    <row r="19" spans="1:14" ht="15" customHeight="1" x14ac:dyDescent="0.25">
      <c r="G19">
        <f t="shared" si="9"/>
        <v>-0.67999999999999972</v>
      </c>
      <c r="H19">
        <f t="shared" si="0"/>
        <v>2.0892961308540405</v>
      </c>
      <c r="I19" t="str">
        <f t="shared" si="3"/>
        <v>13.1274347517293j</v>
      </c>
      <c r="J19" t="str">
        <f t="shared" si="1"/>
        <v>4.99997500015245+0.000010529576078922j</v>
      </c>
      <c r="K19">
        <f t="shared" si="4"/>
        <v>13.979356657447703</v>
      </c>
      <c r="L19">
        <f t="shared" si="5"/>
        <v>1.2066065717625673E-4</v>
      </c>
      <c r="M19">
        <f t="shared" si="6"/>
        <v>4.9999750001524497</v>
      </c>
      <c r="N19">
        <f t="shared" si="7"/>
        <v>1.0529576078921999E-5</v>
      </c>
    </row>
    <row r="20" spans="1:14" x14ac:dyDescent="0.25">
      <c r="A20" s="8"/>
      <c r="G20">
        <f t="shared" si="9"/>
        <v>-0.6599999999999997</v>
      </c>
      <c r="H20">
        <f t="shared" si="0"/>
        <v>2.1877616239495539</v>
      </c>
      <c r="I20" t="str">
        <f t="shared" si="3"/>
        <v>13.7461116912112j</v>
      </c>
      <c r="J20" t="str">
        <f t="shared" si="1"/>
        <v>4.99997500015511+0.0000110258197111137j</v>
      </c>
      <c r="K20">
        <f t="shared" si="4"/>
        <v>13.979356657454185</v>
      </c>
      <c r="L20">
        <f t="shared" si="5"/>
        <v>1.2634721875576295E-4</v>
      </c>
      <c r="M20">
        <f t="shared" si="6"/>
        <v>4.9999750001551098</v>
      </c>
      <c r="N20">
        <f t="shared" si="7"/>
        <v>1.1025819711113699E-5</v>
      </c>
    </row>
    <row r="21" spans="1:14" x14ac:dyDescent="0.25">
      <c r="A21" s="8"/>
      <c r="G21">
        <f t="shared" si="9"/>
        <v>-0.63999999999999968</v>
      </c>
      <c r="H21">
        <f t="shared" si="0"/>
        <v>2.2908676527677745</v>
      </c>
      <c r="I21" t="str">
        <f t="shared" si="3"/>
        <v>14.3939459765635j</v>
      </c>
      <c r="J21" t="str">
        <f t="shared" si="1"/>
        <v>4.99997500015801+0.0000115454505851702j</v>
      </c>
      <c r="K21">
        <f t="shared" si="4"/>
        <v>13.97935665746126</v>
      </c>
      <c r="L21">
        <f t="shared" si="5"/>
        <v>1.3230177972590231E-4</v>
      </c>
      <c r="M21">
        <f t="shared" si="6"/>
        <v>4.9999750001580097</v>
      </c>
      <c r="N21">
        <f t="shared" si="7"/>
        <v>1.1545450585170201E-5</v>
      </c>
    </row>
    <row r="22" spans="1:14" x14ac:dyDescent="0.25">
      <c r="G22">
        <f t="shared" si="9"/>
        <v>-0.61999999999999966</v>
      </c>
      <c r="H22">
        <f t="shared" si="0"/>
        <v>2.3988329190194917</v>
      </c>
      <c r="I22" t="str">
        <f t="shared" si="3"/>
        <v>15.072311751162j</v>
      </c>
      <c r="J22" t="str">
        <f t="shared" si="1"/>
        <v>4.99997500016119+0.0000120895709078434j</v>
      </c>
      <c r="K22">
        <f t="shared" si="4"/>
        <v>13.979356657469019</v>
      </c>
      <c r="L22">
        <f t="shared" si="5"/>
        <v>1.3853697050883039E-4</v>
      </c>
      <c r="M22">
        <f t="shared" si="6"/>
        <v>4.9999750001611902</v>
      </c>
      <c r="N22">
        <f t="shared" si="7"/>
        <v>1.2089570907843401E-5</v>
      </c>
    </row>
    <row r="23" spans="1:14" x14ac:dyDescent="0.25">
      <c r="A23" s="6"/>
      <c r="G23">
        <f t="shared" si="9"/>
        <v>-0.59999999999999964</v>
      </c>
      <c r="H23">
        <f t="shared" si="0"/>
        <v>2.5118864315095819</v>
      </c>
      <c r="I23" t="str">
        <f t="shared" si="3"/>
        <v>15.7826479197648j</v>
      </c>
      <c r="J23" t="str">
        <f t="shared" si="1"/>
        <v>4.99997500016467+0.0000126593348312893j</v>
      </c>
      <c r="K23">
        <f t="shared" si="4"/>
        <v>13.979356657477515</v>
      </c>
      <c r="L23">
        <f t="shared" si="5"/>
        <v>1.4506601678016331E-4</v>
      </c>
      <c r="M23">
        <f t="shared" si="6"/>
        <v>4.9999750001646701</v>
      </c>
      <c r="N23">
        <f t="shared" si="7"/>
        <v>1.2659334831289301E-5</v>
      </c>
    </row>
    <row r="24" spans="1:14" x14ac:dyDescent="0.25">
      <c r="A24" s="6"/>
      <c r="G24">
        <f t="shared" si="9"/>
        <v>-0.57999999999999963</v>
      </c>
      <c r="H24">
        <f t="shared" si="0"/>
        <v>2.6302679918953835</v>
      </c>
      <c r="I24" t="str">
        <f t="shared" si="3"/>
        <v>16.5264612006218j</v>
      </c>
      <c r="J24" t="str">
        <f t="shared" si="1"/>
        <v>4.9999750001685+0.0000132559509011792j</v>
      </c>
      <c r="K24">
        <f t="shared" si="4"/>
        <v>13.979356657486854</v>
      </c>
      <c r="L24">
        <f t="shared" si="5"/>
        <v>1.5190276752240423E-4</v>
      </c>
      <c r="M24">
        <f t="shared" si="6"/>
        <v>4.9999750001684999</v>
      </c>
      <c r="N24">
        <f t="shared" si="7"/>
        <v>1.3255950901179199E-5</v>
      </c>
    </row>
    <row r="25" spans="1:14" x14ac:dyDescent="0.25">
      <c r="A25" s="6"/>
      <c r="G25">
        <f t="shared" si="9"/>
        <v>-0.55999999999999961</v>
      </c>
      <c r="H25">
        <f t="shared" si="0"/>
        <v>2.7542287033381685</v>
      </c>
      <c r="I25" t="str">
        <f t="shared" si="3"/>
        <v>17.3053293214267j</v>
      </c>
      <c r="J25" t="str">
        <f t="shared" si="1"/>
        <v>4.99997500017271+0.0000138806846201871j</v>
      </c>
      <c r="K25">
        <f t="shared" si="4"/>
        <v>13.97935665749711</v>
      </c>
      <c r="L25">
        <f t="shared" si="5"/>
        <v>1.5906172440049367E-4</v>
      </c>
      <c r="M25">
        <f t="shared" si="6"/>
        <v>4.9999750001727099</v>
      </c>
      <c r="N25">
        <f t="shared" si="7"/>
        <v>1.3880684620187101E-5</v>
      </c>
    </row>
    <row r="26" spans="1:14" x14ac:dyDescent="0.25">
      <c r="A26" s="6"/>
      <c r="G26">
        <f t="shared" si="9"/>
        <v>-0.53999999999999959</v>
      </c>
      <c r="H26">
        <f t="shared" si="0"/>
        <v>2.8840315031266077</v>
      </c>
      <c r="I26" t="str">
        <f t="shared" si="3"/>
        <v>18.1209043658882j</v>
      </c>
      <c r="J26" t="str">
        <f t="shared" si="1"/>
        <v>4.99997500017732+0.0000145348611322903j</v>
      </c>
      <c r="K26">
        <f t="shared" si="4"/>
        <v>13.979356657508351</v>
      </c>
      <c r="L26">
        <f t="shared" si="5"/>
        <v>1.6655807252178163E-4</v>
      </c>
      <c r="M26">
        <f t="shared" si="6"/>
        <v>4.9999750001773204</v>
      </c>
      <c r="N26">
        <f t="shared" si="7"/>
        <v>1.4534861132290301E-5</v>
      </c>
    </row>
    <row r="27" spans="1:14" x14ac:dyDescent="0.25">
      <c r="A27" s="6"/>
      <c r="G27">
        <f t="shared" si="9"/>
        <v>-0.51999999999999957</v>
      </c>
      <c r="H27">
        <f t="shared" si="0"/>
        <v>3.0199517204020192</v>
      </c>
      <c r="I27" t="str">
        <f t="shared" si="3"/>
        <v>18.9749162780217j</v>
      </c>
      <c r="J27" t="str">
        <f t="shared" si="1"/>
        <v>4.99997500018237+0.0000152198680335782j</v>
      </c>
      <c r="K27">
        <f t="shared" si="4"/>
        <v>13.979356657520663</v>
      </c>
      <c r="L27">
        <f t="shared" si="5"/>
        <v>1.744077126456845E-4</v>
      </c>
      <c r="M27">
        <f t="shared" si="6"/>
        <v>4.9999750001823697</v>
      </c>
      <c r="N27">
        <f t="shared" si="7"/>
        <v>1.5219868033578199E-5</v>
      </c>
    </row>
    <row r="28" spans="1:14" x14ac:dyDescent="0.25">
      <c r="A28" s="6"/>
      <c r="G28">
        <f t="shared" si="9"/>
        <v>-0.49999999999999956</v>
      </c>
      <c r="H28">
        <f t="shared" si="0"/>
        <v>3.1622776601683826</v>
      </c>
      <c r="I28" t="str">
        <f t="shared" si="3"/>
        <v>19.8691765315922j</v>
      </c>
      <c r="J28" t="str">
        <f t="shared" si="1"/>
        <v>4.9999750001879+0.0000159371583155288j</v>
      </c>
      <c r="K28">
        <f t="shared" si="4"/>
        <v>13.979356657534153</v>
      </c>
      <c r="L28">
        <f t="shared" si="5"/>
        <v>1.8262729491131784E-4</v>
      </c>
      <c r="M28">
        <f t="shared" si="6"/>
        <v>4.9999750001879004</v>
      </c>
      <c r="N28">
        <f t="shared" si="7"/>
        <v>1.5937158315528801E-5</v>
      </c>
    </row>
    <row r="29" spans="1:14" x14ac:dyDescent="0.25">
      <c r="D29" s="9"/>
      <c r="G29">
        <f t="shared" si="9"/>
        <v>-0.47999999999999954</v>
      </c>
      <c r="H29">
        <f t="shared" si="0"/>
        <v>3.3113112148259143</v>
      </c>
      <c r="I29" t="str">
        <f t="shared" si="3"/>
        <v>20.8055819724932j</v>
      </c>
      <c r="J29" t="str">
        <f t="shared" si="1"/>
        <v>4.99997500019397+0.0000166882534469992j</v>
      </c>
      <c r="K29">
        <f t="shared" si="4"/>
        <v>13.979356657548953</v>
      </c>
      <c r="L29">
        <f t="shared" si="5"/>
        <v>1.9123425415468236E-4</v>
      </c>
      <c r="M29">
        <f t="shared" si="6"/>
        <v>4.9999750001939702</v>
      </c>
      <c r="N29">
        <f t="shared" si="7"/>
        <v>1.6688253446999201E-5</v>
      </c>
    </row>
    <row r="30" spans="1:14" x14ac:dyDescent="0.25">
      <c r="G30">
        <f t="shared" si="9"/>
        <v>-0.45999999999999952</v>
      </c>
      <c r="H30">
        <f t="shared" si="0"/>
        <v>3.4673685045253198</v>
      </c>
      <c r="I30" t="str">
        <f t="shared" si="3"/>
        <v>21.7861188422107j</v>
      </c>
      <c r="J30" t="str">
        <f t="shared" si="1"/>
        <v>4.99997500020062+0.0000174747466014639j</v>
      </c>
      <c r="K30">
        <f t="shared" si="4"/>
        <v>13.979356657565177</v>
      </c>
      <c r="L30">
        <f t="shared" si="5"/>
        <v>2.0024684689027647E-4</v>
      </c>
      <c r="M30">
        <f t="shared" si="6"/>
        <v>4.99997500020062</v>
      </c>
      <c r="N30">
        <f t="shared" si="7"/>
        <v>1.7474746601463899E-5</v>
      </c>
    </row>
    <row r="31" spans="1:14" x14ac:dyDescent="0.25">
      <c r="B31" s="10"/>
      <c r="G31">
        <f t="shared" si="9"/>
        <v>-0.4399999999999995</v>
      </c>
      <c r="H31">
        <f t="shared" si="0"/>
        <v>3.6307805477010175</v>
      </c>
      <c r="I31" t="str">
        <f t="shared" si="3"/>
        <v>22.8128669909085j</v>
      </c>
      <c r="J31" t="str">
        <f t="shared" si="1"/>
        <v>4.99997500020791+0.000018298306036351j</v>
      </c>
      <c r="K31">
        <f t="shared" si="4"/>
        <v>13.979356657582958</v>
      </c>
      <c r="L31">
        <f t="shared" si="5"/>
        <v>2.0968419003562899E-4</v>
      </c>
      <c r="M31">
        <f t="shared" si="6"/>
        <v>4.9999750002079102</v>
      </c>
      <c r="N31">
        <f t="shared" si="7"/>
        <v>1.8298306036350999E-5</v>
      </c>
    </row>
    <row r="32" spans="1:14" x14ac:dyDescent="0.25">
      <c r="B32" s="10"/>
      <c r="G32">
        <f t="shared" si="9"/>
        <v>-0.41999999999999948</v>
      </c>
      <c r="H32">
        <f t="shared" si="0"/>
        <v>3.8018939632056159</v>
      </c>
      <c r="I32" t="str">
        <f t="shared" si="3"/>
        <v>23.8880042890683j</v>
      </c>
      <c r="J32" t="str">
        <f t="shared" si="1"/>
        <v>4.99997500021592+0.0000191606786316386j</v>
      </c>
      <c r="K32">
        <f t="shared" si="4"/>
        <v>13.979356657602482</v>
      </c>
      <c r="L32">
        <f t="shared" si="5"/>
        <v>2.1956630146082937E-4</v>
      </c>
      <c r="M32">
        <f t="shared" si="6"/>
        <v>4.9999750002159198</v>
      </c>
      <c r="N32">
        <f t="shared" si="7"/>
        <v>1.9160678631638599E-5</v>
      </c>
    </row>
    <row r="33" spans="7:14" x14ac:dyDescent="0.25">
      <c r="G33">
        <f t="shared" si="9"/>
        <v>-0.39999999999999947</v>
      </c>
      <c r="H33">
        <f t="shared" si="0"/>
        <v>3.9810717055349776</v>
      </c>
      <c r="I33" t="str">
        <f t="shared" si="3"/>
        <v>25.0138112470457j</v>
      </c>
      <c r="J33" t="str">
        <f t="shared" si="1"/>
        <v>4.99997500022469+0.0000200636935952212j</v>
      </c>
      <c r="K33">
        <f t="shared" si="4"/>
        <v>13.979356657623871</v>
      </c>
      <c r="L33">
        <f t="shared" si="5"/>
        <v>2.2991414244911349E-4</v>
      </c>
      <c r="M33">
        <f t="shared" si="6"/>
        <v>4.9999750002246897</v>
      </c>
      <c r="N33">
        <f t="shared" si="7"/>
        <v>2.0063693595221199E-5</v>
      </c>
    </row>
    <row r="34" spans="7:14" x14ac:dyDescent="0.25">
      <c r="G34">
        <f t="shared" si="9"/>
        <v>-0.37999999999999945</v>
      </c>
      <c r="H34">
        <f t="shared" si="0"/>
        <v>4.1686938347033582</v>
      </c>
      <c r="I34" t="str">
        <f t="shared" si="3"/>
        <v>26.1926758523383j</v>
      </c>
      <c r="J34" t="str">
        <f t="shared" si="1"/>
        <v>4.99997500023432+0.0000210092663429066j</v>
      </c>
      <c r="K34">
        <f t="shared" si="4"/>
        <v>13.979356657647347</v>
      </c>
      <c r="L34">
        <f t="shared" si="5"/>
        <v>2.4074966215857104E-4</v>
      </c>
      <c r="M34">
        <f t="shared" si="6"/>
        <v>4.9999750002343202</v>
      </c>
      <c r="N34">
        <f t="shared" si="7"/>
        <v>2.10092663429066E-5</v>
      </c>
    </row>
    <row r="35" spans="7:14" x14ac:dyDescent="0.25">
      <c r="G35">
        <f t="shared" si="9"/>
        <v>-0.35999999999999943</v>
      </c>
      <c r="H35">
        <f t="shared" si="0"/>
        <v>4.3651583224016655</v>
      </c>
      <c r="I35" t="str">
        <f t="shared" si="3"/>
        <v>27.4270986348268j</v>
      </c>
      <c r="J35" t="str">
        <f t="shared" si="1"/>
        <v>4.99997500024485+0.0000219994025612668j</v>
      </c>
      <c r="K35">
        <f t="shared" si="4"/>
        <v>13.979356657673039</v>
      </c>
      <c r="L35">
        <f t="shared" si="5"/>
        <v>2.520958441792252E-4</v>
      </c>
      <c r="M35">
        <f t="shared" si="6"/>
        <v>4.9999750002448504</v>
      </c>
      <c r="N35">
        <f t="shared" si="7"/>
        <v>2.1999402561266799E-5</v>
      </c>
    </row>
    <row r="36" spans="7:14" x14ac:dyDescent="0.25">
      <c r="G36">
        <f t="shared" si="9"/>
        <v>-0.33999999999999941</v>
      </c>
      <c r="H36">
        <f t="shared" si="0"/>
        <v>4.5708818961487561</v>
      </c>
      <c r="I36" t="str">
        <f t="shared" si="3"/>
        <v>28.719697970735j</v>
      </c>
      <c r="J36" t="str">
        <f t="shared" si="1"/>
        <v>4.99997500025641+0.0000230362024619723j</v>
      </c>
      <c r="K36">
        <f t="shared" si="4"/>
        <v>13.97935665770123</v>
      </c>
      <c r="L36">
        <f t="shared" si="5"/>
        <v>2.6397675528434925E-4</v>
      </c>
      <c r="M36">
        <f t="shared" si="6"/>
        <v>4.9999750002564101</v>
      </c>
      <c r="N36">
        <f t="shared" si="7"/>
        <v>2.3036202461972302E-5</v>
      </c>
    </row>
    <row r="37" spans="7:14" x14ac:dyDescent="0.25">
      <c r="G37">
        <f t="shared" si="9"/>
        <v>-0.3199999999999994</v>
      </c>
      <c r="H37">
        <f t="shared" si="0"/>
        <v>4.7863009232263893</v>
      </c>
      <c r="I37" t="str">
        <f t="shared" si="3"/>
        <v>30.0732156365561j</v>
      </c>
      <c r="J37" t="str">
        <f t="shared" si="1"/>
        <v>4.9999750002691+0.000024121865236618j</v>
      </c>
      <c r="K37">
        <f t="shared" si="4"/>
        <v>13.979356657732168</v>
      </c>
      <c r="L37">
        <f t="shared" si="5"/>
        <v>2.7641759647927119E-4</v>
      </c>
      <c r="M37">
        <f t="shared" si="6"/>
        <v>4.9999750002691004</v>
      </c>
      <c r="N37">
        <f t="shared" si="7"/>
        <v>2.4121865236618001E-5</v>
      </c>
    </row>
    <row r="38" spans="7:14" x14ac:dyDescent="0.25">
      <c r="G38">
        <f t="shared" si="9"/>
        <v>-0.29999999999999938</v>
      </c>
      <c r="H38">
        <f t="shared" si="0"/>
        <v>5.0118723362727291</v>
      </c>
      <c r="I38" t="str">
        <f t="shared" si="3"/>
        <v>31.4905226247286j</v>
      </c>
      <c r="J38" t="str">
        <f t="shared" si="1"/>
        <v>4.999975000283+0.0000252586937215063j</v>
      </c>
      <c r="K38">
        <f t="shared" si="4"/>
        <v>13.979356657766068</v>
      </c>
      <c r="L38">
        <f t="shared" si="5"/>
        <v>2.8944475645611783E-4</v>
      </c>
      <c r="M38">
        <f t="shared" si="6"/>
        <v>4.9999750002830003</v>
      </c>
      <c r="N38">
        <f t="shared" si="7"/>
        <v>2.52586937215063E-5</v>
      </c>
    </row>
    <row r="39" spans="7:14" x14ac:dyDescent="0.25">
      <c r="G39">
        <f t="shared" si="9"/>
        <v>-0.27999999999999936</v>
      </c>
      <c r="H39">
        <f t="shared" si="0"/>
        <v>5.2480746024977343</v>
      </c>
      <c r="I39" t="str">
        <f t="shared" si="3"/>
        <v>32.9746252333961j</v>
      </c>
      <c r="J39" t="str">
        <f t="shared" si="1"/>
        <v>4.99997500029823+0.0000264490992822716j</v>
      </c>
      <c r="K39">
        <f t="shared" si="4"/>
        <v>13.979356657803219</v>
      </c>
      <c r="L39">
        <f t="shared" si="5"/>
        <v>3.0308586756776446E-4</v>
      </c>
      <c r="M39">
        <f t="shared" si="6"/>
        <v>4.9999750002982299</v>
      </c>
      <c r="N39">
        <f t="shared" si="7"/>
        <v>2.64490992822716E-5</v>
      </c>
    </row>
    <row r="40" spans="7:14" x14ac:dyDescent="0.25">
      <c r="G40">
        <f t="shared" si="9"/>
        <v>-0.25999999999999934</v>
      </c>
      <c r="H40">
        <f t="shared" si="0"/>
        <v>5.4954087385762538</v>
      </c>
      <c r="I40" t="str">
        <f t="shared" si="3"/>
        <v>34.5286714431686j</v>
      </c>
      <c r="J40" t="str">
        <f t="shared" si="1"/>
        <v>4.99997500031496+0.0000276956069287091j</v>
      </c>
      <c r="K40">
        <f t="shared" si="4"/>
        <v>13.979356657844006</v>
      </c>
      <c r="L40">
        <f t="shared" si="5"/>
        <v>3.1736986443974696E-4</v>
      </c>
      <c r="M40">
        <f t="shared" si="6"/>
        <v>4.9999750003149597</v>
      </c>
      <c r="N40">
        <f t="shared" si="7"/>
        <v>2.7695606928709101E-5</v>
      </c>
    </row>
    <row r="41" spans="7:14" x14ac:dyDescent="0.25">
      <c r="G41">
        <f t="shared" si="9"/>
        <v>-0.23999999999999935</v>
      </c>
      <c r="H41">
        <f t="shared" si="0"/>
        <v>5.7543993733715784</v>
      </c>
      <c r="I41" t="str">
        <f t="shared" si="3"/>
        <v>36.1559575944117j</v>
      </c>
      <c r="J41" t="str">
        <f t="shared" si="1"/>
        <v>4.99997500033328+0.0000290008606706579j</v>
      </c>
      <c r="K41">
        <f t="shared" si="4"/>
        <v>13.979356657888689</v>
      </c>
      <c r="L41">
        <f t="shared" si="5"/>
        <v>3.3232704534447551E-4</v>
      </c>
      <c r="M41">
        <f t="shared" si="6"/>
        <v>4.9999750003332801</v>
      </c>
      <c r="N41">
        <f t="shared" si="7"/>
        <v>2.9000860670657898E-5</v>
      </c>
    </row>
    <row r="42" spans="7:14" x14ac:dyDescent="0.25">
      <c r="G42">
        <f t="shared" si="9"/>
        <v>-0.21999999999999936</v>
      </c>
      <c r="H42">
        <f t="shared" si="0"/>
        <v>6.0255958607435867</v>
      </c>
      <c r="I42" t="str">
        <f t="shared" si="3"/>
        <v>37.8599353792262j</v>
      </c>
      <c r="J42" t="str">
        <f t="shared" si="1"/>
        <v>4.99997500035338+0.0000303676291263057j</v>
      </c>
      <c r="K42">
        <f t="shared" si="4"/>
        <v>13.979356657937698</v>
      </c>
      <c r="L42">
        <f t="shared" si="5"/>
        <v>3.4798913646798268E-4</v>
      </c>
      <c r="M42">
        <f t="shared" si="6"/>
        <v>4.9999750003533796</v>
      </c>
      <c r="N42">
        <f t="shared" si="7"/>
        <v>3.0367629126305701E-5</v>
      </c>
    </row>
    <row r="43" spans="7:14" x14ac:dyDescent="0.25">
      <c r="G43">
        <f t="shared" si="9"/>
        <v>-0.19999999999999937</v>
      </c>
      <c r="H43">
        <f t="shared" si="0"/>
        <v>6.3095734448019414</v>
      </c>
      <c r="I43" t="str">
        <f t="shared" si="3"/>
        <v>39.64421916295j</v>
      </c>
      <c r="J43" t="str">
        <f t="shared" si="1"/>
        <v>4.99997500037541+0.0000317988113947909j</v>
      </c>
      <c r="K43">
        <f t="shared" si="4"/>
        <v>13.979356657991426</v>
      </c>
      <c r="L43">
        <f t="shared" si="5"/>
        <v>3.6438935920532993E-4</v>
      </c>
      <c r="M43">
        <f t="shared" si="6"/>
        <v>4.99997500037541</v>
      </c>
      <c r="N43">
        <f t="shared" si="7"/>
        <v>3.1798811394790898E-5</v>
      </c>
    </row>
    <row r="44" spans="7:14" x14ac:dyDescent="0.25">
      <c r="G44">
        <f t="shared" si="9"/>
        <v>-0.17999999999999938</v>
      </c>
      <c r="H44">
        <f t="shared" si="0"/>
        <v>6.60693448007597</v>
      </c>
      <c r="I44" t="str">
        <f t="shared" si="3"/>
        <v>41.5125936507115j</v>
      </c>
      <c r="J44" t="str">
        <f t="shared" si="1"/>
        <v>4.99997500039955+0.000033297443205588j</v>
      </c>
      <c r="K44">
        <f t="shared" si="4"/>
        <v>13.979356658050312</v>
      </c>
      <c r="L44">
        <f t="shared" si="5"/>
        <v>3.8156250062772212E-4</v>
      </c>
      <c r="M44">
        <f t="shared" si="6"/>
        <v>4.9999750003995498</v>
      </c>
      <c r="N44">
        <f t="shared" si="7"/>
        <v>3.3297443205588003E-5</v>
      </c>
    </row>
    <row r="45" spans="7:14" x14ac:dyDescent="0.25">
      <c r="G45">
        <f t="shared" si="9"/>
        <v>-0.15999999999999939</v>
      </c>
      <c r="H45">
        <f t="shared" si="0"/>
        <v>6.9183097091893755</v>
      </c>
      <c r="I45" t="str">
        <f t="shared" si="3"/>
        <v>43.4690219152966j</v>
      </c>
      <c r="J45" t="str">
        <f t="shared" si="1"/>
        <v>4.99997500042605+0.0000348667033576943j</v>
      </c>
      <c r="K45">
        <f t="shared" si="4"/>
        <v>13.979356658114927</v>
      </c>
      <c r="L45">
        <f t="shared" si="5"/>
        <v>3.9954498727051474E-4</v>
      </c>
      <c r="M45">
        <f t="shared" si="6"/>
        <v>4.9999750004260504</v>
      </c>
      <c r="N45">
        <f t="shared" si="7"/>
        <v>3.48667033576943E-5</v>
      </c>
    </row>
    <row r="46" spans="7:14" x14ac:dyDescent="0.25">
      <c r="G46">
        <f t="shared" si="9"/>
        <v>-0.1399999999999994</v>
      </c>
      <c r="H46">
        <f t="shared" si="0"/>
        <v>7.2443596007499096</v>
      </c>
      <c r="I46" t="str">
        <f t="shared" si="3"/>
        <v>45.5176538033572j</v>
      </c>
      <c r="J46" t="str">
        <f t="shared" si="1"/>
        <v>4.9999750004551+0.0000365099204622857j</v>
      </c>
      <c r="K46">
        <f t="shared" si="4"/>
        <v>13.979356658185768</v>
      </c>
      <c r="L46">
        <f t="shared" si="5"/>
        <v>4.1837496239875455E-4</v>
      </c>
      <c r="M46">
        <f t="shared" si="6"/>
        <v>4.9999750004551</v>
      </c>
      <c r="N46">
        <f t="shared" si="7"/>
        <v>3.6509920462285702E-5</v>
      </c>
    </row>
    <row r="47" spans="7:14" x14ac:dyDescent="0.25">
      <c r="G47">
        <f t="shared" si="9"/>
        <v>-0.1199999999999994</v>
      </c>
      <c r="H47">
        <f t="shared" si="0"/>
        <v>7.585775750291849</v>
      </c>
      <c r="I47" t="str">
        <f t="shared" si="3"/>
        <v>47.6628347377929j</v>
      </c>
      <c r="J47" t="str">
        <f t="shared" si="1"/>
        <v>4.99997500048693+0.0000382305800031521j</v>
      </c>
      <c r="K47">
        <f t="shared" si="4"/>
        <v>13.979356658263402</v>
      </c>
      <c r="L47">
        <f t="shared" si="5"/>
        <v>4.3809236691420448E-4</v>
      </c>
      <c r="M47">
        <f t="shared" si="6"/>
        <v>4.9999750004869297</v>
      </c>
      <c r="N47">
        <f t="shared" si="7"/>
        <v>3.8230580003152099E-5</v>
      </c>
    </row>
    <row r="48" spans="7:14" x14ac:dyDescent="0.25">
      <c r="G48">
        <f t="shared" si="9"/>
        <v>-9.9999999999999395E-2</v>
      </c>
      <c r="H48">
        <f t="shared" si="0"/>
        <v>7.9432823472428264</v>
      </c>
      <c r="I48" t="str">
        <f t="shared" si="3"/>
        <v>49.9091149349751j</v>
      </c>
      <c r="J48" t="str">
        <f t="shared" si="1"/>
        <v>4.99997500052187+0.0000400323317298736j</v>
      </c>
      <c r="K48">
        <f t="shared" si="4"/>
        <v>13.979356658348598</v>
      </c>
      <c r="L48">
        <f t="shared" si="5"/>
        <v>4.587390240753191E-4</v>
      </c>
      <c r="M48">
        <f t="shared" si="6"/>
        <v>4.9999750005218697</v>
      </c>
      <c r="N48">
        <f t="shared" si="7"/>
        <v>4.0032331729873597E-5</v>
      </c>
    </row>
    <row r="49" spans="7:14" x14ac:dyDescent="0.25">
      <c r="G49">
        <f t="shared" si="9"/>
        <v>-7.9999999999999391E-2</v>
      </c>
      <c r="H49">
        <f t="shared" si="0"/>
        <v>8.3176377110267214</v>
      </c>
      <c r="I49" t="str">
        <f t="shared" si="3"/>
        <v>52.2612590563659j</v>
      </c>
      <c r="J49" t="str">
        <f t="shared" si="1"/>
        <v>4.99997500056015+0.0000419189973994275j</v>
      </c>
      <c r="K49">
        <f t="shared" si="4"/>
        <v>13.979356658441958</v>
      </c>
      <c r="L49">
        <f t="shared" si="5"/>
        <v>4.8035872820998576E-4</v>
      </c>
      <c r="M49">
        <f t="shared" si="6"/>
        <v>4.9999750005601502</v>
      </c>
      <c r="N49">
        <f t="shared" si="7"/>
        <v>4.1918997399427502E-5</v>
      </c>
    </row>
    <row r="50" spans="7:14" x14ac:dyDescent="0.25">
      <c r="G50">
        <f t="shared" si="9"/>
        <v>-5.9999999999999387E-2</v>
      </c>
      <c r="H50">
        <f t="shared" si="0"/>
        <v>8.7096358995608192</v>
      </c>
      <c r="I50" t="str">
        <f t="shared" si="3"/>
        <v>54.7242563150044j</v>
      </c>
      <c r="J50" t="str">
        <f t="shared" si="1"/>
        <v>4.99997500060212+0.0000438945788826496j</v>
      </c>
      <c r="K50">
        <f t="shared" si="4"/>
        <v>13.979356658544317</v>
      </c>
      <c r="L50">
        <f t="shared" si="5"/>
        <v>5.0299733760917123E-4</v>
      </c>
      <c r="M50">
        <f t="shared" si="6"/>
        <v>4.9999750006021202</v>
      </c>
      <c r="N50">
        <f t="shared" si="7"/>
        <v>4.3894578882649603E-5</v>
      </c>
    </row>
    <row r="51" spans="7:14" x14ac:dyDescent="0.25">
      <c r="G51">
        <f t="shared" si="9"/>
        <v>-3.9999999999999383E-2</v>
      </c>
      <c r="H51">
        <f t="shared" si="0"/>
        <v>9.1201083935591107</v>
      </c>
      <c r="I51" t="str">
        <f t="shared" si="3"/>
        <v>57.3033310582958j</v>
      </c>
      <c r="J51" t="str">
        <f t="shared" si="1"/>
        <v>4.99997500064816+0.0000459632666527383j</v>
      </c>
      <c r="K51">
        <f t="shared" si="4"/>
        <v>13.97935665865659</v>
      </c>
      <c r="L51">
        <f t="shared" si="5"/>
        <v>5.2670287179850566E-4</v>
      </c>
      <c r="M51">
        <f t="shared" si="6"/>
        <v>4.9999750006481598</v>
      </c>
      <c r="N51">
        <f t="shared" si="7"/>
        <v>4.5963266652738302E-5</v>
      </c>
    </row>
    <row r="52" spans="7:14" x14ac:dyDescent="0.25">
      <c r="G52">
        <f t="shared" si="9"/>
        <v>-1.9999999999999383E-2</v>
      </c>
      <c r="H52">
        <f t="shared" si="0"/>
        <v>9.5499258602143726</v>
      </c>
      <c r="I52" t="str">
        <f t="shared" si="3"/>
        <v>60.0039538495533j</v>
      </c>
      <c r="J52" t="str">
        <f t="shared" si="1"/>
        <v>4.99997500069865+0.0000481294486738086j</v>
      </c>
      <c r="K52">
        <f t="shared" si="4"/>
        <v>13.979356658779709</v>
      </c>
      <c r="L52">
        <f t="shared" si="5"/>
        <v>5.5152561339411792E-4</v>
      </c>
      <c r="M52">
        <f t="shared" si="6"/>
        <v>4.9999750006986501</v>
      </c>
      <c r="N52">
        <f t="shared" si="7"/>
        <v>4.8129448673808602E-5</v>
      </c>
    </row>
    <row r="53" spans="7:14" x14ac:dyDescent="0.25">
      <c r="G53">
        <f t="shared" si="9"/>
        <v>6.1756155744774333E-16</v>
      </c>
      <c r="H53">
        <f t="shared" si="0"/>
        <v>10.000000000000014</v>
      </c>
      <c r="I53" t="str">
        <f t="shared" si="3"/>
        <v>62.831853071796j</v>
      </c>
      <c r="J53" t="str">
        <f t="shared" si="1"/>
        <v>4.99997500075397+0.0000503977197083528j</v>
      </c>
      <c r="K53">
        <f t="shared" si="4"/>
        <v>13.979356658914634</v>
      </c>
      <c r="L53">
        <f t="shared" si="5"/>
        <v>5.7751821475881041E-4</v>
      </c>
      <c r="M53">
        <f t="shared" si="6"/>
        <v>4.9999750007539703</v>
      </c>
      <c r="N53">
        <f t="shared" si="7"/>
        <v>5.0397719708352802E-5</v>
      </c>
    </row>
    <row r="54" spans="7:14" x14ac:dyDescent="0.25">
      <c r="G54">
        <f t="shared" si="9"/>
        <v>2.0000000000000618E-2</v>
      </c>
      <c r="H54">
        <f t="shared" si="0"/>
        <v>10.47128548050901</v>
      </c>
      <c r="I54" t="str">
        <f t="shared" si="3"/>
        <v>65.7930270784172j</v>
      </c>
      <c r="J54" t="str">
        <f t="shared" si="1"/>
        <v>4.99997500081466+0.0000527728910633502j</v>
      </c>
      <c r="K54">
        <f t="shared" si="4"/>
        <v>13.979356659062635</v>
      </c>
      <c r="L54">
        <f t="shared" si="5"/>
        <v>6.0473580968478679E-4</v>
      </c>
      <c r="M54">
        <f t="shared" si="6"/>
        <v>4.9999750008146604</v>
      </c>
      <c r="N54">
        <f t="shared" si="7"/>
        <v>5.2772891063350197E-5</v>
      </c>
    </row>
    <row r="55" spans="7:14" x14ac:dyDescent="0.25">
      <c r="G55">
        <f t="shared" si="9"/>
        <v>4.0000000000000618E-2</v>
      </c>
      <c r="H55">
        <f t="shared" si="0"/>
        <v>10.964781961431866</v>
      </c>
      <c r="I55" t="str">
        <f t="shared" si="3"/>
        <v>68.8937569164965j</v>
      </c>
      <c r="J55" t="str">
        <f t="shared" si="1"/>
        <v>4.9999750008812+0.0000552600007956903j</v>
      </c>
      <c r="K55">
        <f t="shared" si="4"/>
        <v>13.9793566592249</v>
      </c>
      <c r="L55">
        <f t="shared" si="5"/>
        <v>6.3323613033979247E-4</v>
      </c>
      <c r="M55">
        <f t="shared" si="6"/>
        <v>4.9999750008812001</v>
      </c>
      <c r="N55">
        <f t="shared" si="7"/>
        <v>5.5260000795690299E-5</v>
      </c>
    </row>
    <row r="56" spans="7:14" x14ac:dyDescent="0.25">
      <c r="G56">
        <f t="shared" si="9"/>
        <v>6.0000000000000622E-2</v>
      </c>
      <c r="H56">
        <f t="shared" si="0"/>
        <v>11.481536214968845</v>
      </c>
      <c r="I56" t="str">
        <f t="shared" si="3"/>
        <v>72.1406196497426j</v>
      </c>
      <c r="J56" t="str">
        <f t="shared" si="1"/>
        <v>4.99997500095415+0.0000578643243985692j</v>
      </c>
      <c r="K56">
        <f t="shared" si="4"/>
        <v>13.979356659402811</v>
      </c>
      <c r="L56">
        <f t="shared" si="5"/>
        <v>6.6307962972478882E-4</v>
      </c>
      <c r="M56">
        <f t="shared" si="6"/>
        <v>4.9999750009541497</v>
      </c>
      <c r="N56">
        <f t="shared" si="7"/>
        <v>5.7864324398569198E-5</v>
      </c>
    </row>
    <row r="57" spans="7:14" x14ac:dyDescent="0.25">
      <c r="G57">
        <f t="shared" si="9"/>
        <v>8.0000000000000626E-2</v>
      </c>
      <c r="H57">
        <f t="shared" si="0"/>
        <v>12.022644346174147</v>
      </c>
      <c r="I57" t="str">
        <f t="shared" si="3"/>
        <v>75.5405023093271j</v>
      </c>
      <c r="J57" t="str">
        <f t="shared" si="1"/>
        <v>4.99997500103414+0.0000605913859915203j</v>
      </c>
      <c r="K57">
        <f t="shared" si="4"/>
        <v>13.979356659597883</v>
      </c>
      <c r="L57">
        <f t="shared" si="5"/>
        <v>6.9432960990289689E-4</v>
      </c>
      <c r="M57">
        <f t="shared" si="6"/>
        <v>4.9999750010341399</v>
      </c>
      <c r="N57">
        <f t="shared" si="7"/>
        <v>6.0591385991520298E-5</v>
      </c>
    </row>
    <row r="58" spans="7:14" x14ac:dyDescent="0.25">
      <c r="G58">
        <f t="shared" si="9"/>
        <v>0.10000000000000063</v>
      </c>
      <c r="H58">
        <f t="shared" si="0"/>
        <v>12.589254117941691</v>
      </c>
      <c r="I58" t="str">
        <f t="shared" si="3"/>
        <v>79.1006165022013j</v>
      </c>
      <c r="J58" t="str">
        <f t="shared" si="1"/>
        <v>4.99997500112187+0.0000634469700378078j</v>
      </c>
      <c r="K58">
        <f t="shared" si="4"/>
        <v>13.979356659811819</v>
      </c>
      <c r="L58">
        <f t="shared" si="5"/>
        <v>7.2705235627150129E-4</v>
      </c>
      <c r="M58">
        <f t="shared" si="6"/>
        <v>4.9999750011218698</v>
      </c>
      <c r="N58">
        <f t="shared" si="7"/>
        <v>6.3446970037807799E-5</v>
      </c>
    </row>
    <row r="59" spans="7:14" x14ac:dyDescent="0.25">
      <c r="G59">
        <f t="shared" si="9"/>
        <v>0.12000000000000063</v>
      </c>
      <c r="H59">
        <f t="shared" si="0"/>
        <v>13.18256738556409</v>
      </c>
      <c r="I59" t="str">
        <f t="shared" si="3"/>
        <v>82.8285137078811j</v>
      </c>
      <c r="J59" t="str">
        <f t="shared" si="1"/>
        <v>4.99997500121805+0.0000664371336140503j</v>
      </c>
      <c r="K59">
        <f t="shared" si="4"/>
        <v>13.979356660046371</v>
      </c>
      <c r="L59">
        <f t="shared" si="5"/>
        <v>7.6131727816248433E-4</v>
      </c>
      <c r="M59">
        <f t="shared" si="6"/>
        <v>4.9999750012180497</v>
      </c>
      <c r="N59">
        <f t="shared" si="7"/>
        <v>6.6437133614050299E-5</v>
      </c>
    </row>
    <row r="60" spans="7:14" x14ac:dyDescent="0.25">
      <c r="G60">
        <f t="shared" si="9"/>
        <v>0.14000000000000062</v>
      </c>
      <c r="H60">
        <f t="shared" si="0"/>
        <v>13.803842646028869</v>
      </c>
      <c r="I60" t="str">
        <f t="shared" si="3"/>
        <v>86.7321012961476j</v>
      </c>
      <c r="J60" t="str">
        <f t="shared" si="1"/>
        <v>4.9999750013235+0.0000695682192580962j</v>
      </c>
      <c r="K60">
        <f t="shared" si="4"/>
        <v>13.979356660303534</v>
      </c>
      <c r="L60">
        <f t="shared" si="5"/>
        <v>7.9719705606874853E-4</v>
      </c>
      <c r="M60">
        <f t="shared" si="6"/>
        <v>4.9999750013234996</v>
      </c>
      <c r="N60">
        <f t="shared" si="7"/>
        <v>6.9568219258096199E-5</v>
      </c>
    </row>
    <row r="61" spans="7:14" x14ac:dyDescent="0.25">
      <c r="G61">
        <f t="shared" si="9"/>
        <v>0.16000000000000061</v>
      </c>
      <c r="H61">
        <f t="shared" si="0"/>
        <v>14.454397707459297</v>
      </c>
      <c r="I61" t="str">
        <f t="shared" si="3"/>
        <v>90.8196592996385j</v>
      </c>
      <c r="J61" t="str">
        <f t="shared" si="1"/>
        <v>4.99997500143911+0.0000728468684223903j</v>
      </c>
      <c r="K61">
        <f t="shared" si="4"/>
        <v>13.979356660585488</v>
      </c>
      <c r="L61">
        <f t="shared" si="5"/>
        <v>8.347677958092085E-4</v>
      </c>
      <c r="M61">
        <f t="shared" si="6"/>
        <v>4.9999750014391102</v>
      </c>
      <c r="N61">
        <f t="shared" si="7"/>
        <v>7.2846868422390301E-5</v>
      </c>
    </row>
    <row r="62" spans="7:14" x14ac:dyDescent="0.25">
      <c r="G62">
        <f t="shared" si="9"/>
        <v>0.1800000000000006</v>
      </c>
      <c r="H62">
        <f t="shared" si="0"/>
        <v>15.135612484362104</v>
      </c>
      <c r="I62" t="str">
        <f t="shared" si="3"/>
        <v>95.0998579769079j</v>
      </c>
      <c r="J62" t="str">
        <f t="shared" si="1"/>
        <v>4.99997500156591+0.000076280035561393j</v>
      </c>
      <c r="K62">
        <f t="shared" si="4"/>
        <v>13.979356660894702</v>
      </c>
      <c r="L62">
        <f t="shared" si="5"/>
        <v>8.7410918995950958E-4</v>
      </c>
      <c r="M62">
        <f t="shared" si="6"/>
        <v>4.9999750015659101</v>
      </c>
      <c r="N62">
        <f t="shared" si="7"/>
        <v>7.6280035561393004E-5</v>
      </c>
    </row>
    <row r="63" spans="7:14" x14ac:dyDescent="0.25">
      <c r="G63">
        <f t="shared" si="9"/>
        <v>0.20000000000000059</v>
      </c>
      <c r="H63">
        <f t="shared" si="0"/>
        <v>15.848931924611158</v>
      </c>
      <c r="I63" t="str">
        <f t="shared" si="3"/>
        <v>99.5817762032063j</v>
      </c>
      <c r="J63" t="str">
        <f t="shared" si="1"/>
        <v>4.99997500170491+0.0000798750028829008j</v>
      </c>
      <c r="K63">
        <f t="shared" si="4"/>
        <v>13.979356661233691</v>
      </c>
      <c r="L63">
        <f t="shared" si="5"/>
        <v>9.1530468689056941E-4</v>
      </c>
      <c r="M63">
        <f t="shared" si="6"/>
        <v>4.99997500170491</v>
      </c>
      <c r="N63">
        <f t="shared" si="7"/>
        <v>7.9875002882900804E-5</v>
      </c>
    </row>
    <row r="64" spans="7:14" x14ac:dyDescent="0.25">
      <c r="G64">
        <f t="shared" si="9"/>
        <v>0.22000000000000058</v>
      </c>
      <c r="H64">
        <f t="shared" si="0"/>
        <v>16.595869074375628</v>
      </c>
      <c r="I64" t="str">
        <f t="shared" si="3"/>
        <v>104.274920727993j</v>
      </c>
      <c r="J64" t="str">
        <f t="shared" si="1"/>
        <v>4.99997500185735+0.0000836393957945975j</v>
      </c>
      <c r="K64">
        <f t="shared" si="4"/>
        <v>13.97935666160544</v>
      </c>
      <c r="L64">
        <f t="shared" si="5"/>
        <v>9.5844166777384499E-4</v>
      </c>
      <c r="M64">
        <f t="shared" si="6"/>
        <v>4.9999750018573499</v>
      </c>
      <c r="N64">
        <f t="shared" si="7"/>
        <v>8.3639395794597499E-5</v>
      </c>
    </row>
    <row r="65" spans="7:14" x14ac:dyDescent="0.25">
      <c r="G65">
        <f t="shared" si="9"/>
        <v>0.24000000000000057</v>
      </c>
      <c r="H65">
        <f t="shared" si="0"/>
        <v>17.378008287493778</v>
      </c>
      <c r="I65" t="str">
        <f t="shared" si="3"/>
        <v>109.189246340026j</v>
      </c>
      <c r="J65" t="str">
        <f t="shared" si="1"/>
        <v>4.99997500202449+0.0000875811990785541j</v>
      </c>
      <c r="K65">
        <f t="shared" si="4"/>
        <v>13.979356662013039</v>
      </c>
      <c r="L65">
        <f t="shared" si="5"/>
        <v>1.0036116319283974E-3</v>
      </c>
      <c r="M65">
        <f t="shared" si="6"/>
        <v>4.99997500202449</v>
      </c>
      <c r="N65">
        <f t="shared" si="7"/>
        <v>8.7581199078554098E-5</v>
      </c>
    </row>
    <row r="66" spans="7:14" x14ac:dyDescent="0.25">
      <c r="G66">
        <f t="shared" si="9"/>
        <v>0.26000000000000056</v>
      </c>
      <c r="H66">
        <f t="shared" si="0"/>
        <v>18.197008586099862</v>
      </c>
      <c r="I66" t="str">
        <f t="shared" si="3"/>
        <v>114.335176982803j</v>
      </c>
      <c r="J66" t="str">
        <f t="shared" si="1"/>
        <v>4.99997500220775+0.0000917087738280299j</v>
      </c>
      <c r="K66">
        <f t="shared" si="4"/>
        <v>13.979356662459955</v>
      </c>
      <c r="L66">
        <f t="shared" si="5"/>
        <v>1.0509103909032628E-3</v>
      </c>
      <c r="M66">
        <f t="shared" si="6"/>
        <v>4.9999750022077496</v>
      </c>
      <c r="N66">
        <f t="shared" si="7"/>
        <v>9.1708773828029903E-5</v>
      </c>
    </row>
    <row r="67" spans="7:14" x14ac:dyDescent="0.25">
      <c r="G67">
        <f t="shared" si="9"/>
        <v>0.28000000000000058</v>
      </c>
      <c r="H67">
        <f t="shared" ref="H67:H130" si="10">$B$3*10^G67</f>
        <v>19.054607179632498</v>
      </c>
      <c r="I67" t="str">
        <f t="shared" si="3"/>
        <v>119.723627865146j</v>
      </c>
      <c r="J67" t="str">
        <f t="shared" ref="J67:J130" si="11">IMDIV(1,IMSUM(IMDIV(IMSUM(1,IMDIV(I67,wc)),Aolv),IMDIV(IMDIV(R_1,IMSUM(1,IMPRODUCT(I67,C_s,R_1))),IMSUM(R_f,IMDIV(R_1,IMSUM(1,IMPRODUCT(I67,C_s,R_1)))))))</f>
        <v>4.99997500240869+0.0000960308751824726j</v>
      </c>
      <c r="K67">
        <f t="shared" si="4"/>
        <v>13.979356662949984</v>
      </c>
      <c r="L67">
        <f t="shared" si="5"/>
        <v>1.1004382717065817E-3</v>
      </c>
      <c r="M67">
        <f t="shared" si="6"/>
        <v>4.9999750024086902</v>
      </c>
      <c r="N67">
        <f t="shared" si="7"/>
        <v>9.6030875182472595E-5</v>
      </c>
    </row>
    <row r="68" spans="7:14" x14ac:dyDescent="0.25">
      <c r="G68">
        <f t="shared" ref="G68:G131" si="12">G67+(1/ppd)</f>
        <v>0.3000000000000006</v>
      </c>
      <c r="H68">
        <f t="shared" si="10"/>
        <v>19.952623149688826</v>
      </c>
      <c r="I68" t="str">
        <f t="shared" ref="I68:I131" si="13">COMPLEX(0,H68*2*PI(),"j")</f>
        <v>125.366028613816j</v>
      </c>
      <c r="J68" t="str">
        <f t="shared" si="11"/>
        <v>4.99997500262901+0.000100556670898337j</v>
      </c>
      <c r="K68">
        <f t="shared" ref="K68:K131" si="14">20*LOG(IMABS(J68))</f>
        <v>13.979356663487284</v>
      </c>
      <c r="L68">
        <f t="shared" ref="L68:L131" si="15">DEGREES(IMARGUMENT(J68))</f>
        <v>1.1523003296125499E-3</v>
      </c>
      <c r="M68">
        <f t="shared" ref="M68:M131" si="16">IMREAL(J68)</f>
        <v>4.99997500262901</v>
      </c>
      <c r="N68">
        <f t="shared" ref="N68:N131" si="17">IMAGINARY(J68)</f>
        <v>1.00556670898337E-4</v>
      </c>
    </row>
    <row r="69" spans="7:14" x14ac:dyDescent="0.25">
      <c r="G69">
        <f t="shared" si="12"/>
        <v>0.32000000000000062</v>
      </c>
      <c r="H69">
        <f t="shared" si="10"/>
        <v>20.892961308540428</v>
      </c>
      <c r="I69" t="str">
        <f t="shared" si="13"/>
        <v>131.274347517293j</v>
      </c>
      <c r="J69" t="str">
        <f t="shared" si="11"/>
        <v>4.99997500287057+0.000105295760795133j</v>
      </c>
      <c r="K69">
        <f t="shared" si="14"/>
        <v>13.97935666407639</v>
      </c>
      <c r="L69">
        <f t="shared" si="15"/>
        <v>1.2066065709977923E-3</v>
      </c>
      <c r="M69">
        <f t="shared" si="16"/>
        <v>4.9999750028705696</v>
      </c>
      <c r="N69">
        <f t="shared" si="17"/>
        <v>1.05295760795133E-4</v>
      </c>
    </row>
    <row r="70" spans="7:14" x14ac:dyDescent="0.25">
      <c r="G70">
        <f t="shared" si="12"/>
        <v>0.34000000000000064</v>
      </c>
      <c r="H70">
        <f t="shared" si="10"/>
        <v>21.877616239495559</v>
      </c>
      <c r="I70" t="str">
        <f t="shared" si="13"/>
        <v>137.461116912112j</v>
      </c>
      <c r="J70" t="str">
        <f t="shared" si="11"/>
        <v>4.99997500313548+0.000110258197117926j</v>
      </c>
      <c r="K70">
        <f t="shared" si="14"/>
        <v>13.979356664722411</v>
      </c>
      <c r="L70">
        <f t="shared" si="15"/>
        <v>1.2634721866795471E-3</v>
      </c>
      <c r="M70">
        <f t="shared" si="16"/>
        <v>4.9999750031354804</v>
      </c>
      <c r="N70">
        <f t="shared" si="17"/>
        <v>1.10258197117926E-4</v>
      </c>
    </row>
    <row r="71" spans="7:14" x14ac:dyDescent="0.25">
      <c r="G71">
        <f t="shared" si="12"/>
        <v>0.36000000000000065</v>
      </c>
      <c r="H71">
        <f t="shared" si="10"/>
        <v>22.908676527677766</v>
      </c>
      <c r="I71" t="str">
        <f t="shared" si="13"/>
        <v>143.939459765635j</v>
      </c>
      <c r="J71" t="str">
        <f t="shared" si="11"/>
        <v>4.99997500342593+0.000115454505859497j</v>
      </c>
      <c r="K71">
        <f t="shared" si="14"/>
        <v>13.979356665430727</v>
      </c>
      <c r="L71">
        <f t="shared" si="15"/>
        <v>1.323017796250849E-3</v>
      </c>
      <c r="M71">
        <f t="shared" si="16"/>
        <v>4.9999750034259298</v>
      </c>
      <c r="N71">
        <f t="shared" si="17"/>
        <v>1.15454505859497E-4</v>
      </c>
    </row>
    <row r="72" spans="7:14" x14ac:dyDescent="0.25">
      <c r="G72">
        <f t="shared" si="12"/>
        <v>0.38000000000000067</v>
      </c>
      <c r="H72">
        <f t="shared" si="10"/>
        <v>23.988329190194943</v>
      </c>
      <c r="I72" t="str">
        <f t="shared" si="13"/>
        <v>150.72311751162j</v>
      </c>
      <c r="J72" t="str">
        <f t="shared" si="11"/>
        <v>4.99997500374439+0.000120895709087384j</v>
      </c>
      <c r="K72">
        <f t="shared" si="14"/>
        <v>13.979356666207361</v>
      </c>
      <c r="L72">
        <f t="shared" si="15"/>
        <v>1.3853697039307683E-3</v>
      </c>
      <c r="M72">
        <f t="shared" si="16"/>
        <v>4.9999750037443897</v>
      </c>
      <c r="N72">
        <f t="shared" si="17"/>
        <v>1.20895709087384E-4</v>
      </c>
    </row>
    <row r="73" spans="7:14" x14ac:dyDescent="0.25">
      <c r="G73">
        <f t="shared" si="12"/>
        <v>0.40000000000000069</v>
      </c>
      <c r="H73">
        <f t="shared" si="10"/>
        <v>25.118864315095841</v>
      </c>
      <c r="I73" t="str">
        <f t="shared" si="13"/>
        <v>157.826479197648j</v>
      </c>
      <c r="J73" t="str">
        <f t="shared" si="11"/>
        <v>4.99997500409359+0.000126593348323171j</v>
      </c>
      <c r="K73">
        <f t="shared" si="14"/>
        <v>13.979356667058948</v>
      </c>
      <c r="L73">
        <f t="shared" si="15"/>
        <v>1.4506601664726216E-3</v>
      </c>
      <c r="M73">
        <f t="shared" si="16"/>
        <v>4.9999750040935904</v>
      </c>
      <c r="N73">
        <f t="shared" si="17"/>
        <v>1.2659334832317099E-4</v>
      </c>
    </row>
    <row r="74" spans="7:14" x14ac:dyDescent="0.25">
      <c r="G74">
        <f t="shared" si="12"/>
        <v>0.42000000000000071</v>
      </c>
      <c r="H74">
        <f t="shared" si="10"/>
        <v>26.302679918953867</v>
      </c>
      <c r="I74" t="str">
        <f t="shared" si="13"/>
        <v>165.264612006218j</v>
      </c>
      <c r="J74" t="str">
        <f t="shared" si="11"/>
        <v>4.99997500447647+0.000132559509023592j</v>
      </c>
      <c r="K74">
        <f t="shared" si="14"/>
        <v>13.979356667992679</v>
      </c>
      <c r="L74">
        <f t="shared" si="15"/>
        <v>1.5190276736981266E-3</v>
      </c>
      <c r="M74">
        <f t="shared" si="16"/>
        <v>4.9999750044764699</v>
      </c>
      <c r="N74">
        <f t="shared" si="17"/>
        <v>1.32559509023592E-4</v>
      </c>
    </row>
    <row r="75" spans="7:14" x14ac:dyDescent="0.25">
      <c r="G75">
        <f t="shared" si="12"/>
        <v>0.44000000000000072</v>
      </c>
      <c r="H75">
        <f t="shared" si="10"/>
        <v>27.542287033381715</v>
      </c>
      <c r="I75" t="str">
        <f t="shared" si="13"/>
        <v>173.053293214267j</v>
      </c>
      <c r="J75" t="str">
        <f t="shared" si="11"/>
        <v>4.9999750048963+0.000138806846215419j</v>
      </c>
      <c r="K75">
        <f t="shared" si="14"/>
        <v>13.979356669016511</v>
      </c>
      <c r="L75">
        <f t="shared" si="15"/>
        <v>1.5906172422529496E-3</v>
      </c>
      <c r="M75">
        <f t="shared" si="16"/>
        <v>4.9999750048963003</v>
      </c>
      <c r="N75">
        <f t="shared" si="17"/>
        <v>1.38806846215419E-4</v>
      </c>
    </row>
    <row r="76" spans="7:14" x14ac:dyDescent="0.25">
      <c r="G76">
        <f t="shared" si="12"/>
        <v>0.46000000000000074</v>
      </c>
      <c r="H76">
        <f t="shared" si="10"/>
        <v>28.840315031266112</v>
      </c>
      <c r="I76" t="str">
        <f t="shared" si="13"/>
        <v>181.209043658882j</v>
      </c>
      <c r="J76" t="str">
        <f t="shared" si="11"/>
        <v>4.99997500535662+0.000145348611338457j</v>
      </c>
      <c r="K76">
        <f t="shared" si="14"/>
        <v>13.979356670139095</v>
      </c>
      <c r="L76">
        <f t="shared" si="15"/>
        <v>1.6655807232062573E-3</v>
      </c>
      <c r="M76">
        <f t="shared" si="16"/>
        <v>4.9999750053566201</v>
      </c>
      <c r="N76">
        <f t="shared" si="17"/>
        <v>1.4534861133845699E-4</v>
      </c>
    </row>
    <row r="77" spans="7:14" x14ac:dyDescent="0.25">
      <c r="G77">
        <f t="shared" si="12"/>
        <v>0.48000000000000076</v>
      </c>
      <c r="H77">
        <f t="shared" si="10"/>
        <v>30.199517204020218</v>
      </c>
      <c r="I77" t="str">
        <f t="shared" si="13"/>
        <v>189.749162780217j</v>
      </c>
      <c r="J77" t="str">
        <f t="shared" si="11"/>
        <v>4.99997500586136+0.000152198680353641j</v>
      </c>
      <c r="K77">
        <f t="shared" si="14"/>
        <v>13.979356671370004</v>
      </c>
      <c r="L77">
        <f t="shared" si="15"/>
        <v>1.7440771241472727E-3</v>
      </c>
      <c r="M77">
        <f t="shared" si="16"/>
        <v>4.9999750058613603</v>
      </c>
      <c r="N77">
        <f t="shared" si="17"/>
        <v>1.52198680353641E-4</v>
      </c>
    </row>
    <row r="78" spans="7:14" x14ac:dyDescent="0.25">
      <c r="G78">
        <f t="shared" si="12"/>
        <v>0.50000000000000078</v>
      </c>
      <c r="H78">
        <f t="shared" si="10"/>
        <v>31.622776601683853</v>
      </c>
      <c r="I78" t="str">
        <f t="shared" si="13"/>
        <v>198.691765315922j</v>
      </c>
      <c r="J78" t="str">
        <f t="shared" si="11"/>
        <v>4.99997500641477+0.000159371583175792j</v>
      </c>
      <c r="K78">
        <f t="shared" si="14"/>
        <v>13.979356672719618</v>
      </c>
      <c r="L78">
        <f t="shared" si="15"/>
        <v>1.8262729464614319E-3</v>
      </c>
      <c r="M78">
        <f t="shared" si="16"/>
        <v>4.9999750064147701</v>
      </c>
      <c r="N78">
        <f t="shared" si="17"/>
        <v>1.59371583175792E-4</v>
      </c>
    </row>
    <row r="79" spans="7:14" x14ac:dyDescent="0.25">
      <c r="G79">
        <f t="shared" si="12"/>
        <v>0.52000000000000079</v>
      </c>
      <c r="H79">
        <f t="shared" si="10"/>
        <v>33.113112148259177</v>
      </c>
      <c r="I79" t="str">
        <f t="shared" si="13"/>
        <v>208.055819724932j</v>
      </c>
      <c r="J79" t="str">
        <f t="shared" si="11"/>
        <v>4.99997500702162+0.000166882534493534j</v>
      </c>
      <c r="K79">
        <f t="shared" si="14"/>
        <v>13.979356674199526</v>
      </c>
      <c r="L79">
        <f t="shared" si="15"/>
        <v>1.9123425385022055E-3</v>
      </c>
      <c r="M79">
        <f t="shared" si="16"/>
        <v>4.9999750070216198</v>
      </c>
      <c r="N79">
        <f t="shared" si="17"/>
        <v>1.6688253449353399E-4</v>
      </c>
    </row>
    <row r="80" spans="7:14" x14ac:dyDescent="0.25">
      <c r="G80">
        <f t="shared" si="12"/>
        <v>0.54000000000000081</v>
      </c>
      <c r="H80">
        <f t="shared" si="10"/>
        <v>34.673685045253237</v>
      </c>
      <c r="I80" t="str">
        <f t="shared" si="13"/>
        <v>217.861188422108j</v>
      </c>
      <c r="J80" t="str">
        <f t="shared" si="11"/>
        <v>4.999975007687+0.000174747466041672j</v>
      </c>
      <c r="K80">
        <f t="shared" si="14"/>
        <v>13.979356675822183</v>
      </c>
      <c r="L80">
        <f t="shared" si="15"/>
        <v>2.0024684654071073E-3</v>
      </c>
      <c r="M80">
        <f t="shared" si="16"/>
        <v>4.9999750076870004</v>
      </c>
      <c r="N80">
        <f t="shared" si="17"/>
        <v>1.74747466041672E-4</v>
      </c>
    </row>
    <row r="81" spans="7:14" x14ac:dyDescent="0.25">
      <c r="G81">
        <f t="shared" si="12"/>
        <v>0.56000000000000083</v>
      </c>
      <c r="H81">
        <f t="shared" si="10"/>
        <v>36.307805477010206</v>
      </c>
      <c r="I81" t="str">
        <f t="shared" si="13"/>
        <v>228.128669909085j</v>
      </c>
      <c r="J81" t="str">
        <f t="shared" si="11"/>
        <v>4.99997500841656+0.000182983060394547j</v>
      </c>
      <c r="K81">
        <f t="shared" si="14"/>
        <v>13.979356677601363</v>
      </c>
      <c r="L81">
        <f t="shared" si="15"/>
        <v>2.0968418963427282E-3</v>
      </c>
      <c r="M81">
        <f t="shared" si="16"/>
        <v>4.99997500841656</v>
      </c>
      <c r="N81">
        <f t="shared" si="17"/>
        <v>1.8298306039454701E-4</v>
      </c>
    </row>
    <row r="82" spans="7:14" x14ac:dyDescent="0.25">
      <c r="G82">
        <f t="shared" si="12"/>
        <v>0.58000000000000085</v>
      </c>
      <c r="H82">
        <f t="shared" si="10"/>
        <v>38.018939632056195</v>
      </c>
      <c r="I82" t="str">
        <f t="shared" si="13"/>
        <v>238.880042890683j</v>
      </c>
      <c r="J82" t="str">
        <f t="shared" si="11"/>
        <v>4.99997500921652+0.00019160678635202j</v>
      </c>
      <c r="K82">
        <f t="shared" si="14"/>
        <v>13.979356679552218</v>
      </c>
      <c r="L82">
        <f t="shared" si="15"/>
        <v>2.1956630100000958E-3</v>
      </c>
      <c r="M82">
        <f t="shared" si="16"/>
        <v>4.99997500921652</v>
      </c>
      <c r="N82">
        <f t="shared" si="17"/>
        <v>1.9160678635201999E-4</v>
      </c>
    </row>
    <row r="83" spans="7:14" x14ac:dyDescent="0.25">
      <c r="G83">
        <f t="shared" si="12"/>
        <v>0.60000000000000087</v>
      </c>
      <c r="H83">
        <f t="shared" si="10"/>
        <v>39.810717055349805</v>
      </c>
      <c r="I83" t="str">
        <f t="shared" si="13"/>
        <v>250.138112470458j</v>
      </c>
      <c r="J83" t="str">
        <f t="shared" si="11"/>
        <v>4.99997501009364+0.000200636935993126j</v>
      </c>
      <c r="K83">
        <f t="shared" si="14"/>
        <v>13.979356681691257</v>
      </c>
      <c r="L83">
        <f t="shared" si="15"/>
        <v>2.299141419200229E-3</v>
      </c>
      <c r="M83">
        <f t="shared" si="16"/>
        <v>4.9999750100936398</v>
      </c>
      <c r="N83">
        <f t="shared" si="17"/>
        <v>2.0063693599312599E-4</v>
      </c>
    </row>
    <row r="84" spans="7:14" x14ac:dyDescent="0.25">
      <c r="G84">
        <f t="shared" si="12"/>
        <v>0.62000000000000088</v>
      </c>
      <c r="H84">
        <f t="shared" si="10"/>
        <v>41.686938347033625</v>
      </c>
      <c r="I84" t="str">
        <f t="shared" si="13"/>
        <v>261.926758523383j</v>
      </c>
      <c r="J84" t="str">
        <f t="shared" si="11"/>
        <v>4.9999750110554+0.000210092663476037j</v>
      </c>
      <c r="K84">
        <f t="shared" si="14"/>
        <v>13.979356684036699</v>
      </c>
      <c r="L84">
        <f t="shared" si="15"/>
        <v>2.4074966155108886E-3</v>
      </c>
      <c r="M84">
        <f t="shared" si="16"/>
        <v>4.9999750110554002</v>
      </c>
      <c r="N84">
        <f t="shared" si="17"/>
        <v>2.1009266347603699E-4</v>
      </c>
    </row>
    <row r="85" spans="7:14" x14ac:dyDescent="0.25">
      <c r="G85">
        <f t="shared" si="12"/>
        <v>0.6400000000000009</v>
      </c>
      <c r="H85">
        <f t="shared" si="10"/>
        <v>43.651583224016697</v>
      </c>
      <c r="I85" t="str">
        <f t="shared" si="13"/>
        <v>274.270986348269j</v>
      </c>
      <c r="J85" t="str">
        <f t="shared" si="11"/>
        <v>4.99997501210994+0.000219994025666602j</v>
      </c>
      <c r="K85">
        <f t="shared" si="14"/>
        <v>13.979356686608407</v>
      </c>
      <c r="L85">
        <f t="shared" si="15"/>
        <v>2.5209584348174652E-3</v>
      </c>
      <c r="M85">
        <f t="shared" si="16"/>
        <v>4.9999750121099398</v>
      </c>
      <c r="N85">
        <f t="shared" si="17"/>
        <v>2.19994025666602E-4</v>
      </c>
    </row>
    <row r="86" spans="7:14" x14ac:dyDescent="0.25">
      <c r="G86">
        <f t="shared" si="12"/>
        <v>0.66000000000000092</v>
      </c>
      <c r="H86">
        <f t="shared" si="10"/>
        <v>45.708818961487616</v>
      </c>
      <c r="I86" t="str">
        <f t="shared" si="13"/>
        <v>287.196979707351j</v>
      </c>
      <c r="J86" t="str">
        <f t="shared" si="11"/>
        <v>4.99997501326623+0.000230362024681645j</v>
      </c>
      <c r="K86">
        <f t="shared" si="14"/>
        <v>13.979356689428243</v>
      </c>
      <c r="L86">
        <f t="shared" si="15"/>
        <v>2.6397675448353326E-3</v>
      </c>
      <c r="M86">
        <f t="shared" si="16"/>
        <v>4.99997501326623</v>
      </c>
      <c r="N86">
        <f t="shared" si="17"/>
        <v>2.3036202468164501E-4</v>
      </c>
    </row>
    <row r="87" spans="7:14" x14ac:dyDescent="0.25">
      <c r="G87">
        <f t="shared" si="12"/>
        <v>0.68000000000000094</v>
      </c>
      <c r="H87">
        <f t="shared" si="10"/>
        <v>47.863009232263948</v>
      </c>
      <c r="I87" t="str">
        <f t="shared" si="13"/>
        <v>300.732156365562j</v>
      </c>
      <c r="J87" t="str">
        <f t="shared" si="11"/>
        <v>4.99997501453407+0.000241218652437275j</v>
      </c>
      <c r="K87">
        <f t="shared" si="14"/>
        <v>13.979356692520126</v>
      </c>
      <c r="L87">
        <f t="shared" si="15"/>
        <v>2.7641759555981104E-3</v>
      </c>
      <c r="M87">
        <f t="shared" si="16"/>
        <v>4.99997501453407</v>
      </c>
      <c r="N87">
        <f t="shared" si="17"/>
        <v>2.4121865243727499E-4</v>
      </c>
    </row>
    <row r="88" spans="7:14" x14ac:dyDescent="0.25">
      <c r="G88">
        <f t="shared" si="12"/>
        <v>0.70000000000000095</v>
      </c>
      <c r="H88">
        <f t="shared" si="10"/>
        <v>50.118723362727351</v>
      </c>
      <c r="I88" t="str">
        <f t="shared" si="13"/>
        <v>314.905226247287j</v>
      </c>
      <c r="J88" t="str">
        <f t="shared" si="11"/>
        <v>4.99997501592422+0.000252586937296693j</v>
      </c>
      <c r="K88">
        <f t="shared" si="14"/>
        <v>13.979356695910287</v>
      </c>
      <c r="L88">
        <f t="shared" si="15"/>
        <v>2.8944475540043919E-3</v>
      </c>
      <c r="M88">
        <f t="shared" si="16"/>
        <v>4.9999750159242202</v>
      </c>
      <c r="N88">
        <f t="shared" si="17"/>
        <v>2.5258693729669302E-4</v>
      </c>
    </row>
    <row r="89" spans="7:14" x14ac:dyDescent="0.25">
      <c r="G89">
        <f t="shared" si="12"/>
        <v>0.72000000000000097</v>
      </c>
      <c r="H89">
        <f t="shared" si="10"/>
        <v>52.480746024977385</v>
      </c>
      <c r="I89" t="str">
        <f t="shared" si="13"/>
        <v>329.746252333961j</v>
      </c>
      <c r="J89" t="str">
        <f t="shared" si="11"/>
        <v>4.99997501744852+0.000264490992916441j</v>
      </c>
      <c r="K89">
        <f t="shared" si="14"/>
        <v>13.97935669962758</v>
      </c>
      <c r="L89">
        <f t="shared" si="15"/>
        <v>3.0308586635568258E-3</v>
      </c>
      <c r="M89">
        <f t="shared" si="16"/>
        <v>4.99997501744852</v>
      </c>
      <c r="N89">
        <f t="shared" si="17"/>
        <v>2.64490992916441E-4</v>
      </c>
    </row>
    <row r="90" spans="7:14" x14ac:dyDescent="0.25">
      <c r="G90">
        <f t="shared" si="12"/>
        <v>0.74000000000000099</v>
      </c>
      <c r="H90">
        <f t="shared" si="10"/>
        <v>54.954087385762591</v>
      </c>
      <c r="I90" t="str">
        <f t="shared" si="13"/>
        <v>345.286714431687j</v>
      </c>
      <c r="J90" t="str">
        <f t="shared" si="11"/>
        <v>4.99997501911985+0.000276956069394696j</v>
      </c>
      <c r="K90">
        <f t="shared" si="14"/>
        <v>13.979356703703459</v>
      </c>
      <c r="L90">
        <f t="shared" si="15"/>
        <v>3.1736986304808606E-3</v>
      </c>
      <c r="M90">
        <f t="shared" si="16"/>
        <v>4.9999750191198498</v>
      </c>
      <c r="N90">
        <f t="shared" si="17"/>
        <v>2.7695606939469601E-4</v>
      </c>
    </row>
    <row r="91" spans="7:14" x14ac:dyDescent="0.25">
      <c r="G91">
        <f t="shared" si="12"/>
        <v>0.76000000000000101</v>
      </c>
      <c r="H91">
        <f t="shared" si="10"/>
        <v>57.543993733715837</v>
      </c>
      <c r="I91" t="str">
        <f t="shared" si="13"/>
        <v>361.559575944118j</v>
      </c>
      <c r="J91" t="str">
        <f t="shared" si="11"/>
        <v>4.99997502095244+0.000290008606830131j</v>
      </c>
      <c r="K91">
        <f t="shared" si="14"/>
        <v>13.97935670817259</v>
      </c>
      <c r="L91">
        <f t="shared" si="15"/>
        <v>3.3232704374664018E-3</v>
      </c>
      <c r="M91">
        <f t="shared" si="16"/>
        <v>4.9999750209524398</v>
      </c>
      <c r="N91">
        <f t="shared" si="17"/>
        <v>2.9000860683013098E-4</v>
      </c>
    </row>
    <row r="92" spans="7:14" x14ac:dyDescent="0.25">
      <c r="G92">
        <f t="shared" si="12"/>
        <v>0.78000000000000103</v>
      </c>
      <c r="H92">
        <f t="shared" si="10"/>
        <v>60.255958607435929</v>
      </c>
      <c r="I92" t="str">
        <f t="shared" si="13"/>
        <v>378.599353792263j</v>
      </c>
      <c r="J92" t="str">
        <f t="shared" si="11"/>
        <v>4.99997502296184+0.00030367629140491j</v>
      </c>
      <c r="K92">
        <f t="shared" si="14"/>
        <v>13.979356713072903</v>
      </c>
      <c r="L92">
        <f t="shared" si="15"/>
        <v>3.4798913463341794E-3</v>
      </c>
      <c r="M92">
        <f t="shared" si="16"/>
        <v>4.9999750229618396</v>
      </c>
      <c r="N92">
        <f t="shared" si="17"/>
        <v>3.0367629140490998E-4</v>
      </c>
    </row>
    <row r="93" spans="7:14" x14ac:dyDescent="0.25">
      <c r="G93">
        <f t="shared" si="12"/>
        <v>0.80000000000000104</v>
      </c>
      <c r="H93">
        <f t="shared" si="10"/>
        <v>63.095734448019485</v>
      </c>
      <c r="I93" t="str">
        <f t="shared" si="13"/>
        <v>396.442191629501j</v>
      </c>
      <c r="J93" t="str">
        <f t="shared" si="11"/>
        <v>4.99997502516508+0.00031798811411078j</v>
      </c>
      <c r="K93">
        <f t="shared" si="14"/>
        <v>13.979356718445953</v>
      </c>
      <c r="L93">
        <f t="shared" si="15"/>
        <v>3.6438935709897113E-3</v>
      </c>
      <c r="M93">
        <f t="shared" si="16"/>
        <v>4.9999750251650799</v>
      </c>
      <c r="N93">
        <f t="shared" si="17"/>
        <v>3.1798811411078002E-4</v>
      </c>
    </row>
    <row r="94" spans="7:14" x14ac:dyDescent="0.25">
      <c r="G94">
        <f t="shared" si="12"/>
        <v>0.82000000000000106</v>
      </c>
      <c r="H94">
        <f t="shared" si="10"/>
        <v>66.069344800759765</v>
      </c>
      <c r="I94" t="str">
        <f t="shared" si="13"/>
        <v>415.125936507116j</v>
      </c>
      <c r="J94" t="str">
        <f t="shared" si="11"/>
        <v>4.9999750275809+0.000332974432242886j</v>
      </c>
      <c r="K94">
        <f t="shared" si="14"/>
        <v>13.979356724337409</v>
      </c>
      <c r="L94">
        <f t="shared" si="15"/>
        <v>3.8156249820930294E-3</v>
      </c>
      <c r="M94">
        <f t="shared" si="16"/>
        <v>4.9999750275809003</v>
      </c>
      <c r="N94">
        <f t="shared" si="17"/>
        <v>3.32974432242886E-4</v>
      </c>
    </row>
    <row r="95" spans="7:14" x14ac:dyDescent="0.25">
      <c r="G95">
        <f t="shared" si="12"/>
        <v>0.84000000000000108</v>
      </c>
      <c r="H95">
        <f t="shared" si="10"/>
        <v>69.183097091893842</v>
      </c>
      <c r="I95" t="str">
        <f t="shared" si="13"/>
        <v>434.690219152966j</v>
      </c>
      <c r="J95" t="str">
        <f t="shared" si="11"/>
        <v>4.99997503022982+0.00034866703379165j</v>
      </c>
      <c r="K95">
        <f t="shared" si="14"/>
        <v>13.979356730797306</v>
      </c>
      <c r="L95">
        <f t="shared" si="15"/>
        <v>3.995449844937919E-3</v>
      </c>
      <c r="M95">
        <f t="shared" si="16"/>
        <v>4.9999750302298196</v>
      </c>
      <c r="N95">
        <f t="shared" si="17"/>
        <v>3.4866703379165002E-4</v>
      </c>
    </row>
    <row r="96" spans="7:14" x14ac:dyDescent="0.25">
      <c r="G96">
        <f t="shared" si="12"/>
        <v>0.8600000000000011</v>
      </c>
      <c r="H96">
        <f t="shared" si="10"/>
        <v>72.443596007499195</v>
      </c>
      <c r="I96" t="str">
        <f t="shared" si="13"/>
        <v>455.176538033573j</v>
      </c>
      <c r="J96" t="str">
        <f t="shared" si="11"/>
        <v>4.99997503313426+0.000365099204869373j</v>
      </c>
      <c r="K96">
        <f t="shared" si="14"/>
        <v>13.979356737880371</v>
      </c>
      <c r="L96">
        <f t="shared" si="15"/>
        <v>4.1837495921065136E-3</v>
      </c>
      <c r="M96">
        <f t="shared" si="16"/>
        <v>4.9999750331342598</v>
      </c>
      <c r="N96">
        <f t="shared" si="17"/>
        <v>3.6509920486937301E-4</v>
      </c>
    </row>
    <row r="97" spans="7:14" x14ac:dyDescent="0.25">
      <c r="G97">
        <f t="shared" si="12"/>
        <v>0.88000000000000111</v>
      </c>
      <c r="H97">
        <f t="shared" si="10"/>
        <v>75.857757502918574</v>
      </c>
      <c r="I97" t="str">
        <f t="shared" si="13"/>
        <v>476.62834737793j</v>
      </c>
      <c r="J97" t="str">
        <f t="shared" si="11"/>
        <v>4.99997503631893+0.000382305800314557j</v>
      </c>
      <c r="K97">
        <f t="shared" si="14"/>
        <v>13.979356745646822</v>
      </c>
      <c r="L97">
        <f t="shared" si="15"/>
        <v>4.3809236325376847E-3</v>
      </c>
      <c r="M97">
        <f t="shared" si="16"/>
        <v>4.9999750363189301</v>
      </c>
      <c r="N97">
        <f t="shared" si="17"/>
        <v>3.8230580031455702E-4</v>
      </c>
    </row>
    <row r="98" spans="7:14" x14ac:dyDescent="0.25">
      <c r="G98">
        <f t="shared" si="12"/>
        <v>0.90000000000000113</v>
      </c>
      <c r="H98">
        <f t="shared" si="10"/>
        <v>79.432823472428396</v>
      </c>
      <c r="I98" t="str">
        <f t="shared" si="13"/>
        <v>499.091149349752j</v>
      </c>
      <c r="J98" t="str">
        <f t="shared" si="11"/>
        <v>4.99997503981085+0.000400323317623708j</v>
      </c>
      <c r="K98">
        <f t="shared" si="14"/>
        <v>13.979356754162563</v>
      </c>
      <c r="L98">
        <f t="shared" si="15"/>
        <v>4.5873901987258251E-3</v>
      </c>
      <c r="M98">
        <f t="shared" si="16"/>
        <v>4.9999750398108498</v>
      </c>
      <c r="N98">
        <f t="shared" si="17"/>
        <v>4.00323317623708E-4</v>
      </c>
    </row>
    <row r="99" spans="7:14" x14ac:dyDescent="0.25">
      <c r="G99">
        <f t="shared" si="12"/>
        <v>0.92000000000000115</v>
      </c>
      <c r="H99">
        <f t="shared" si="10"/>
        <v>83.176377110267339</v>
      </c>
      <c r="I99" t="str">
        <f t="shared" si="13"/>
        <v>522.61259056366j</v>
      </c>
      <c r="J99" t="str">
        <f t="shared" si="11"/>
        <v>4.99997504363969+0.000419189974367393j</v>
      </c>
      <c r="K99">
        <f t="shared" si="14"/>
        <v>13.979356763499933</v>
      </c>
      <c r="L99">
        <f t="shared" si="15"/>
        <v>4.803587233845958E-3</v>
      </c>
      <c r="M99">
        <f t="shared" si="16"/>
        <v>4.9999750436396901</v>
      </c>
      <c r="N99">
        <f t="shared" si="17"/>
        <v>4.1918997436739302E-4</v>
      </c>
    </row>
    <row r="100" spans="7:14" x14ac:dyDescent="0.25">
      <c r="G100">
        <f t="shared" si="12"/>
        <v>0.94000000000000117</v>
      </c>
      <c r="H100">
        <f t="shared" si="10"/>
        <v>87.096358995608341</v>
      </c>
      <c r="I100" t="str">
        <f t="shared" si="13"/>
        <v>547.242563150045j</v>
      </c>
      <c r="J100" t="str">
        <f t="shared" si="11"/>
        <v>4.99997504783789+0.000438945789254898j</v>
      </c>
      <c r="K100">
        <f t="shared" si="14"/>
        <v>13.979356773738086</v>
      </c>
      <c r="L100">
        <f t="shared" si="15"/>
        <v>5.0299733206888896E-3</v>
      </c>
      <c r="M100">
        <f t="shared" si="16"/>
        <v>4.9999750478378902</v>
      </c>
      <c r="N100">
        <f t="shared" si="17"/>
        <v>4.3894578925489797E-4</v>
      </c>
    </row>
    <row r="101" spans="7:14" x14ac:dyDescent="0.25">
      <c r="G101">
        <f t="shared" si="12"/>
        <v>0.96000000000000119</v>
      </c>
      <c r="H101">
        <f t="shared" si="10"/>
        <v>91.201083935591228</v>
      </c>
      <c r="I101" t="str">
        <f t="shared" si="13"/>
        <v>573.033310582959j</v>
      </c>
      <c r="J101" t="str">
        <f t="shared" si="11"/>
        <v>4.99997505244116+0.000459632667019254j</v>
      </c>
      <c r="K101">
        <f t="shared" si="14"/>
        <v>13.979356784964059</v>
      </c>
      <c r="L101">
        <f t="shared" si="15"/>
        <v>5.2670286543740914E-3</v>
      </c>
      <c r="M101">
        <f t="shared" si="16"/>
        <v>4.9999750524411599</v>
      </c>
      <c r="N101">
        <f t="shared" si="17"/>
        <v>4.5963266701925398E-4</v>
      </c>
    </row>
    <row r="102" spans="7:14" x14ac:dyDescent="0.25">
      <c r="G102">
        <f t="shared" si="12"/>
        <v>0.9800000000000012</v>
      </c>
      <c r="H102">
        <f t="shared" si="10"/>
        <v>95.499258602143883</v>
      </c>
      <c r="I102" t="str">
        <f t="shared" si="13"/>
        <v>600.039538495534j</v>
      </c>
      <c r="J102" t="str">
        <f t="shared" si="11"/>
        <v>4.99997505748851+0.000481294487302819j</v>
      </c>
      <c r="K102">
        <f t="shared" si="14"/>
        <v>13.979356797273033</v>
      </c>
      <c r="L102">
        <f t="shared" si="15"/>
        <v>5.515256060905937E-3</v>
      </c>
      <c r="M102">
        <f t="shared" si="16"/>
        <v>4.99997505748851</v>
      </c>
      <c r="N102">
        <f t="shared" si="17"/>
        <v>4.8129448730281898E-4</v>
      </c>
    </row>
    <row r="103" spans="7:14" x14ac:dyDescent="0.25">
      <c r="G103">
        <f t="shared" si="12"/>
        <v>1.0000000000000011</v>
      </c>
      <c r="H103">
        <f t="shared" si="10"/>
        <v>100.00000000000028</v>
      </c>
      <c r="I103" t="str">
        <f t="shared" si="13"/>
        <v>628.31853071796j</v>
      </c>
      <c r="J103" t="str">
        <f t="shared" si="11"/>
        <v>4.99997506302286+0.000503977197731938j</v>
      </c>
      <c r="K103">
        <f t="shared" si="14"/>
        <v>13.979356810769625</v>
      </c>
      <c r="L103">
        <f t="shared" si="15"/>
        <v>5.7751820637324865E-3</v>
      </c>
      <c r="M103">
        <f t="shared" si="16"/>
        <v>4.9999750630228599</v>
      </c>
      <c r="N103">
        <f t="shared" si="17"/>
        <v>5.0397719773193799E-4</v>
      </c>
    </row>
    <row r="104" spans="7:14" x14ac:dyDescent="0.25">
      <c r="G104">
        <f t="shared" si="12"/>
        <v>1.0200000000000011</v>
      </c>
      <c r="H104">
        <f t="shared" si="10"/>
        <v>104.71285480509023</v>
      </c>
      <c r="I104" t="str">
        <f t="shared" si="13"/>
        <v>657.930270784172j</v>
      </c>
      <c r="J104" t="str">
        <f t="shared" si="11"/>
        <v>4.99997506909112+0.000527728911377973j</v>
      </c>
      <c r="K104">
        <f t="shared" si="14"/>
        <v>13.979356825568285</v>
      </c>
      <c r="L104">
        <f t="shared" si="15"/>
        <v>6.047358000568724E-3</v>
      </c>
      <c r="M104">
        <f t="shared" si="16"/>
        <v>4.9999750690911204</v>
      </c>
      <c r="N104">
        <f t="shared" si="17"/>
        <v>5.2772891137797297E-4</v>
      </c>
    </row>
    <row r="105" spans="7:14" x14ac:dyDescent="0.25">
      <c r="G105">
        <f t="shared" si="12"/>
        <v>1.0400000000000011</v>
      </c>
      <c r="H105">
        <f t="shared" si="10"/>
        <v>109.64781961431882</v>
      </c>
      <c r="I105" t="str">
        <f t="shared" si="13"/>
        <v>688.937569164966j</v>
      </c>
      <c r="J105" t="str">
        <f t="shared" si="11"/>
        <v>4.99997507574485+0.000552600008811669j</v>
      </c>
      <c r="K105">
        <f t="shared" si="14"/>
        <v>13.979356841794717</v>
      </c>
      <c r="L105">
        <f t="shared" si="15"/>
        <v>6.3323611928546653E-3</v>
      </c>
      <c r="M105">
        <f t="shared" si="16"/>
        <v>4.9999750757448496</v>
      </c>
      <c r="N105">
        <f t="shared" si="17"/>
        <v>5.5260000881166905E-4</v>
      </c>
    </row>
    <row r="106" spans="7:14" x14ac:dyDescent="0.25">
      <c r="G106">
        <f t="shared" si="12"/>
        <v>1.0600000000000012</v>
      </c>
      <c r="H106">
        <f t="shared" si="10"/>
        <v>114.81536214968858</v>
      </c>
      <c r="I106" t="str">
        <f t="shared" si="13"/>
        <v>721.406196497426j</v>
      </c>
      <c r="J106" t="str">
        <f t="shared" si="11"/>
        <v>4.99997508304052+0.0005786432449671j</v>
      </c>
      <c r="K106">
        <f t="shared" si="14"/>
        <v>13.979356859586654</v>
      </c>
      <c r="L106">
        <f t="shared" si="15"/>
        <v>6.63079617032729E-3</v>
      </c>
      <c r="M106">
        <f t="shared" si="16"/>
        <v>4.9999750830405203</v>
      </c>
      <c r="N106">
        <f t="shared" si="17"/>
        <v>5.7864324496709999E-4</v>
      </c>
    </row>
    <row r="107" spans="7:14" x14ac:dyDescent="0.25">
      <c r="G107">
        <f t="shared" si="12"/>
        <v>1.0800000000000012</v>
      </c>
      <c r="H107">
        <f t="shared" si="10"/>
        <v>120.22644346174164</v>
      </c>
      <c r="I107" t="str">
        <f t="shared" si="13"/>
        <v>755.405023093272j</v>
      </c>
      <c r="J107" t="str">
        <f t="shared" si="11"/>
        <v>4.99997509104005+0.000605913861042007j</v>
      </c>
      <c r="K107">
        <f t="shared" si="14"/>
        <v>13.979356879095095</v>
      </c>
      <c r="L107">
        <f t="shared" si="15"/>
        <v>6.9432959533045962E-3</v>
      </c>
      <c r="M107">
        <f t="shared" si="16"/>
        <v>4.9999750910400502</v>
      </c>
      <c r="N107">
        <f t="shared" si="17"/>
        <v>6.0591386104200703E-4</v>
      </c>
    </row>
    <row r="108" spans="7:14" x14ac:dyDescent="0.25">
      <c r="G108">
        <f t="shared" si="12"/>
        <v>1.1000000000000012</v>
      </c>
      <c r="H108">
        <f t="shared" si="10"/>
        <v>125.89254117941708</v>
      </c>
      <c r="I108" t="str">
        <f t="shared" si="13"/>
        <v>791.006165022014j</v>
      </c>
      <c r="J108" t="str">
        <f t="shared" si="11"/>
        <v>4.99997509981137+0.000634469701671813j</v>
      </c>
      <c r="K108">
        <f t="shared" si="14"/>
        <v>13.979356900485691</v>
      </c>
      <c r="L108">
        <f t="shared" si="15"/>
        <v>7.270523395400969E-3</v>
      </c>
      <c r="M108">
        <f t="shared" si="16"/>
        <v>4.9999750998113699</v>
      </c>
      <c r="N108">
        <f t="shared" si="17"/>
        <v>6.3446970167181302E-4</v>
      </c>
    </row>
    <row r="109" spans="7:14" x14ac:dyDescent="0.25">
      <c r="G109">
        <f t="shared" si="12"/>
        <v>1.1200000000000012</v>
      </c>
      <c r="H109">
        <f t="shared" si="10"/>
        <v>131.8256738556411</v>
      </c>
      <c r="I109" t="str">
        <f t="shared" si="13"/>
        <v>828.285137078812j</v>
      </c>
      <c r="J109" t="str">
        <f t="shared" si="11"/>
        <v>4.99997510942894+0.000664371337625919j</v>
      </c>
      <c r="K109">
        <f t="shared" si="14"/>
        <v>13.979356923940031</v>
      </c>
      <c r="L109">
        <f t="shared" si="15"/>
        <v>7.6131725895227194E-3</v>
      </c>
      <c r="M109">
        <f t="shared" si="16"/>
        <v>4.9999751094289397</v>
      </c>
      <c r="N109">
        <f t="shared" si="17"/>
        <v>6.6437133762591895E-4</v>
      </c>
    </row>
    <row r="110" spans="7:14" x14ac:dyDescent="0.25">
      <c r="G110">
        <f t="shared" si="12"/>
        <v>1.1400000000000012</v>
      </c>
      <c r="H110">
        <f t="shared" si="10"/>
        <v>138.03842646028889</v>
      </c>
      <c r="I110" t="str">
        <f t="shared" si="13"/>
        <v>867.321012961477j</v>
      </c>
      <c r="J110" t="str">
        <f t="shared" si="11"/>
        <v>4.99997511997439+0.000695682194286443j</v>
      </c>
      <c r="K110">
        <f t="shared" si="14"/>
        <v>13.979356949657193</v>
      </c>
      <c r="L110">
        <f t="shared" si="15"/>
        <v>7.9719703401246698E-3</v>
      </c>
      <c r="M110">
        <f t="shared" si="16"/>
        <v>4.9999751199743896</v>
      </c>
      <c r="N110">
        <f t="shared" si="17"/>
        <v>6.9568219428644304E-4</v>
      </c>
    </row>
    <row r="111" spans="7:14" x14ac:dyDescent="0.25">
      <c r="G111">
        <f t="shared" si="12"/>
        <v>1.1600000000000013</v>
      </c>
      <c r="H111">
        <f t="shared" si="10"/>
        <v>144.54397707459319</v>
      </c>
      <c r="I111" t="str">
        <f t="shared" si="13"/>
        <v>908.196592996387j</v>
      </c>
      <c r="J111" t="str">
        <f t="shared" si="11"/>
        <v>4.99997513153723+0.000728468686182059j</v>
      </c>
      <c r="K111">
        <f t="shared" si="14"/>
        <v>13.979356977855478</v>
      </c>
      <c r="L111">
        <f t="shared" si="15"/>
        <v>8.3476777048520998E-3</v>
      </c>
      <c r="M111">
        <f t="shared" si="16"/>
        <v>4.9999751315372301</v>
      </c>
      <c r="N111">
        <f t="shared" si="17"/>
        <v>7.28468686182059E-4</v>
      </c>
    </row>
    <row r="112" spans="7:14" x14ac:dyDescent="0.25">
      <c r="G112">
        <f t="shared" si="12"/>
        <v>1.1800000000000013</v>
      </c>
      <c r="H112">
        <f t="shared" si="10"/>
        <v>151.35612484362133</v>
      </c>
      <c r="I112" t="str">
        <f t="shared" si="13"/>
        <v>950.998579769081j</v>
      </c>
      <c r="J112" t="str">
        <f t="shared" si="11"/>
        <v>4.99997514421565+0.000762800357862189j</v>
      </c>
      <c r="K112">
        <f t="shared" si="14"/>
        <v>13.979357008774304</v>
      </c>
      <c r="L112">
        <f t="shared" si="15"/>
        <v>8.7410916088366541E-3</v>
      </c>
      <c r="M112">
        <f t="shared" si="16"/>
        <v>4.9999751442156501</v>
      </c>
      <c r="N112">
        <f t="shared" si="17"/>
        <v>7.6280035786218899E-4</v>
      </c>
    </row>
    <row r="113" spans="7:14" x14ac:dyDescent="0.25">
      <c r="G113">
        <f t="shared" si="12"/>
        <v>1.2000000000000013</v>
      </c>
      <c r="H113">
        <f t="shared" si="10"/>
        <v>158.48931924611185</v>
      </c>
      <c r="I113" t="str">
        <f t="shared" si="13"/>
        <v>995.817762032065j</v>
      </c>
      <c r="J113" t="str">
        <f t="shared" si="11"/>
        <v>4.99997515811725+0.000798750031410364j</v>
      </c>
      <c r="K113">
        <f t="shared" si="14"/>
        <v>13.979357042676108</v>
      </c>
      <c r="L113">
        <f t="shared" si="15"/>
        <v>9.1530465350704252E-3</v>
      </c>
      <c r="M113">
        <f t="shared" si="16"/>
        <v>4.99997515811725</v>
      </c>
      <c r="N113">
        <f t="shared" si="17"/>
        <v>7.9875003141036398E-4</v>
      </c>
    </row>
    <row r="114" spans="7:14" x14ac:dyDescent="0.25">
      <c r="G114">
        <f t="shared" si="12"/>
        <v>1.2200000000000013</v>
      </c>
      <c r="H114">
        <f t="shared" si="10"/>
        <v>165.95869074375662</v>
      </c>
      <c r="I114" t="str">
        <f t="shared" si="13"/>
        <v>1042.74920727993j</v>
      </c>
      <c r="J114" t="str">
        <f t="shared" si="11"/>
        <v>4.99997517336007+0.000836393960909765j</v>
      </c>
      <c r="K114">
        <f t="shared" si="14"/>
        <v>13.979357079848731</v>
      </c>
      <c r="L114">
        <f t="shared" si="15"/>
        <v>9.5844162944442434E-3</v>
      </c>
      <c r="M114">
        <f t="shared" si="16"/>
        <v>4.9999751733600704</v>
      </c>
      <c r="N114">
        <f t="shared" si="17"/>
        <v>8.3639396090976501E-4</v>
      </c>
    </row>
    <row r="115" spans="7:14" x14ac:dyDescent="0.25">
      <c r="G115">
        <f t="shared" si="12"/>
        <v>1.2400000000000013</v>
      </c>
      <c r="H115">
        <f t="shared" si="10"/>
        <v>173.7800828749381</v>
      </c>
      <c r="I115" t="str">
        <f t="shared" si="13"/>
        <v>1091.89246340026j</v>
      </c>
      <c r="J115" t="str">
        <f t="shared" si="11"/>
        <v>4.99997519007347+0.000875811994188419j</v>
      </c>
      <c r="K115">
        <f t="shared" si="14"/>
        <v>13.979357120607665</v>
      </c>
      <c r="L115">
        <f t="shared" si="15"/>
        <v>1.0036115879203278E-2</v>
      </c>
      <c r="M115">
        <f t="shared" si="16"/>
        <v>4.9999751900734699</v>
      </c>
      <c r="N115">
        <f t="shared" si="17"/>
        <v>8.7581199418841898E-4</v>
      </c>
    </row>
    <row r="116" spans="7:14" x14ac:dyDescent="0.25">
      <c r="G116">
        <f t="shared" si="12"/>
        <v>1.2600000000000013</v>
      </c>
      <c r="H116">
        <f t="shared" si="10"/>
        <v>181.97008586099898</v>
      </c>
      <c r="I116" t="str">
        <f t="shared" si="13"/>
        <v>1143.35176982804j</v>
      </c>
      <c r="J116" t="str">
        <f t="shared" si="11"/>
        <v>4.99997520839934+0.00091708774218733j</v>
      </c>
      <c r="K116">
        <f t="shared" si="14"/>
        <v>13.979357165298932</v>
      </c>
      <c r="L116">
        <f t="shared" si="15"/>
        <v>1.0509103403752466E-2</v>
      </c>
      <c r="M116">
        <f t="shared" si="16"/>
        <v>4.9999752083993396</v>
      </c>
      <c r="N116">
        <f t="shared" si="17"/>
        <v>9.1708774218732996E-4</v>
      </c>
    </row>
    <row r="117" spans="7:14" x14ac:dyDescent="0.25">
      <c r="G117">
        <f t="shared" si="12"/>
        <v>1.2800000000000014</v>
      </c>
      <c r="H117">
        <f t="shared" si="10"/>
        <v>190.54607179632535</v>
      </c>
      <c r="I117" t="str">
        <f t="shared" si="13"/>
        <v>1197.23627865146j</v>
      </c>
      <c r="J117" t="str">
        <f t="shared" si="11"/>
        <v>4.99997522849328+0.000960308756310595j</v>
      </c>
      <c r="K117">
        <f t="shared" si="14"/>
        <v>13.97935721430197</v>
      </c>
      <c r="L117">
        <f t="shared" si="15"/>
        <v>1.1004382136926529E-2</v>
      </c>
      <c r="M117">
        <f t="shared" si="16"/>
        <v>4.9999752284932804</v>
      </c>
      <c r="N117">
        <f t="shared" si="17"/>
        <v>9.6030875631059498E-4</v>
      </c>
    </row>
    <row r="118" spans="7:14" x14ac:dyDescent="0.25">
      <c r="G118">
        <f t="shared" si="12"/>
        <v>1.3000000000000014</v>
      </c>
      <c r="H118">
        <f t="shared" si="10"/>
        <v>199.52623149688867</v>
      </c>
      <c r="I118" t="str">
        <f t="shared" si="13"/>
        <v>1253.66028613816j</v>
      </c>
      <c r="J118" t="str">
        <f t="shared" si="11"/>
        <v>4.99997525052586+0.00100556671413384j</v>
      </c>
      <c r="K118">
        <f t="shared" si="14"/>
        <v>13.979357268032757</v>
      </c>
      <c r="L118">
        <f t="shared" si="15"/>
        <v>1.1523002630036455E-2</v>
      </c>
      <c r="M118">
        <f t="shared" si="16"/>
        <v>4.9999752505258597</v>
      </c>
      <c r="N118">
        <f t="shared" si="17"/>
        <v>1.00556671413384E-3</v>
      </c>
    </row>
    <row r="119" spans="7:14" x14ac:dyDescent="0.25">
      <c r="G119">
        <f t="shared" si="12"/>
        <v>1.3200000000000014</v>
      </c>
      <c r="H119">
        <f t="shared" si="10"/>
        <v>208.92961308540464</v>
      </c>
      <c r="I119" t="str">
        <f t="shared" si="13"/>
        <v>1312.74347517293j</v>
      </c>
      <c r="J119" t="str">
        <f t="shared" si="11"/>
        <v>4.99997527468407+0.00105295761386486j</v>
      </c>
      <c r="K119">
        <f t="shared" si="14"/>
        <v>13.979357326947333</v>
      </c>
      <c r="L119">
        <f t="shared" si="15"/>
        <v>1.2066064945205348E-2</v>
      </c>
      <c r="M119">
        <f t="shared" si="16"/>
        <v>4.9999752746840702</v>
      </c>
      <c r="N119">
        <f t="shared" si="17"/>
        <v>1.05295761386486E-3</v>
      </c>
    </row>
    <row r="120" spans="7:14" x14ac:dyDescent="0.25">
      <c r="G120">
        <f t="shared" si="12"/>
        <v>1.3400000000000014</v>
      </c>
      <c r="H120">
        <f t="shared" si="10"/>
        <v>218.77616239495606</v>
      </c>
      <c r="I120" t="str">
        <f t="shared" si="13"/>
        <v>1374.61116912112j</v>
      </c>
      <c r="J120" t="str">
        <f t="shared" si="11"/>
        <v>4.99997530117304+0.0011025819779689j</v>
      </c>
      <c r="K120">
        <f t="shared" si="14"/>
        <v>13.979357391545918</v>
      </c>
      <c r="L120">
        <f t="shared" si="15"/>
        <v>1.2634720988719107E-2</v>
      </c>
      <c r="M120">
        <f t="shared" si="16"/>
        <v>4.9999753011730403</v>
      </c>
      <c r="N120">
        <f t="shared" si="17"/>
        <v>1.1025819779688999E-3</v>
      </c>
    </row>
    <row r="121" spans="7:14" x14ac:dyDescent="0.25">
      <c r="G121">
        <f t="shared" si="12"/>
        <v>1.3600000000000014</v>
      </c>
      <c r="H121">
        <f t="shared" si="10"/>
        <v>229.0867652767781</v>
      </c>
      <c r="I121" t="str">
        <f t="shared" si="13"/>
        <v>1439.39459765635j</v>
      </c>
      <c r="J121" t="str">
        <f t="shared" si="11"/>
        <v>4.9999753302176+0.00115454506639052j</v>
      </c>
      <c r="K121">
        <f t="shared" si="14"/>
        <v>13.97935746237682</v>
      </c>
      <c r="L121">
        <f t="shared" si="15"/>
        <v>1.3230176954341989E-2</v>
      </c>
      <c r="M121">
        <f t="shared" si="16"/>
        <v>4.9999753302176</v>
      </c>
      <c r="N121">
        <f t="shared" si="17"/>
        <v>1.1545450663905199E-3</v>
      </c>
    </row>
    <row r="122" spans="7:14" x14ac:dyDescent="0.25">
      <c r="G122">
        <f t="shared" si="12"/>
        <v>1.3800000000000014</v>
      </c>
      <c r="H122">
        <f t="shared" si="10"/>
        <v>239.88329190194992</v>
      </c>
      <c r="I122" t="str">
        <f t="shared" si="13"/>
        <v>1507.2311751162j</v>
      </c>
      <c r="J122" t="str">
        <f t="shared" si="11"/>
        <v>4.99997536206435+0.00120895709982433j</v>
      </c>
      <c r="K122">
        <f t="shared" si="14"/>
        <v>13.979357540041404</v>
      </c>
      <c r="L122">
        <f t="shared" si="15"/>
        <v>1.3853695881777631E-2</v>
      </c>
      <c r="M122">
        <f t="shared" si="16"/>
        <v>4.9999753620643501</v>
      </c>
      <c r="N122">
        <f t="shared" si="17"/>
        <v>1.2089570998243301E-3</v>
      </c>
    </row>
    <row r="123" spans="7:14" x14ac:dyDescent="0.25">
      <c r="G123">
        <f t="shared" si="12"/>
        <v>1.4000000000000015</v>
      </c>
      <c r="H123">
        <f t="shared" si="10"/>
        <v>251.18864315095888</v>
      </c>
      <c r="I123" t="str">
        <f t="shared" si="13"/>
        <v>1578.26479197648j</v>
      </c>
      <c r="J123" t="str">
        <f t="shared" si="11"/>
        <v>4.9999753969836+0.00126593349350824j</v>
      </c>
      <c r="K123">
        <f t="shared" si="14"/>
        <v>13.979357625198894</v>
      </c>
      <c r="L123">
        <f t="shared" si="15"/>
        <v>1.4506600335703865E-2</v>
      </c>
      <c r="M123">
        <f t="shared" si="16"/>
        <v>4.9999753969835998</v>
      </c>
      <c r="N123">
        <f t="shared" si="17"/>
        <v>1.26593349350824E-3</v>
      </c>
    </row>
    <row r="124" spans="7:14" x14ac:dyDescent="0.25">
      <c r="G124">
        <f t="shared" si="12"/>
        <v>1.4200000000000015</v>
      </c>
      <c r="H124">
        <f t="shared" si="10"/>
        <v>263.02679918953919</v>
      </c>
      <c r="I124" t="str">
        <f t="shared" si="13"/>
        <v>1652.64612006219j</v>
      </c>
      <c r="J124" t="str">
        <f t="shared" si="11"/>
        <v>4.99997543527181+0.00132559510203496j</v>
      </c>
      <c r="K124">
        <f t="shared" si="14"/>
        <v>13.979357718572247</v>
      </c>
      <c r="L124">
        <f t="shared" si="15"/>
        <v>1.5190275211059482E-2</v>
      </c>
      <c r="M124">
        <f t="shared" si="16"/>
        <v>4.9999754352718098</v>
      </c>
      <c r="N124">
        <f t="shared" si="17"/>
        <v>1.3255951020349601E-3</v>
      </c>
    </row>
    <row r="125" spans="7:14" x14ac:dyDescent="0.25">
      <c r="G125">
        <f t="shared" si="12"/>
        <v>1.4400000000000015</v>
      </c>
      <c r="H125">
        <f t="shared" si="10"/>
        <v>275.42287033381763</v>
      </c>
      <c r="I125" t="str">
        <f t="shared" si="13"/>
        <v>1730.53293214267j</v>
      </c>
      <c r="J125" t="str">
        <f t="shared" si="11"/>
        <v>4.99997547725399+0.00138806847570129j</v>
      </c>
      <c r="K125">
        <f t="shared" si="14"/>
        <v>13.979357820954082</v>
      </c>
      <c r="L125">
        <f t="shared" si="15"/>
        <v>1.5906170670536797E-2</v>
      </c>
      <c r="M125">
        <f t="shared" si="16"/>
        <v>4.9999754772539902</v>
      </c>
      <c r="N125">
        <f t="shared" si="17"/>
        <v>1.3880684757012901E-3</v>
      </c>
    </row>
    <row r="126" spans="7:14" x14ac:dyDescent="0.25">
      <c r="G126">
        <f t="shared" si="12"/>
        <v>1.4600000000000015</v>
      </c>
      <c r="H126">
        <f t="shared" si="10"/>
        <v>288.40315031266169</v>
      </c>
      <c r="I126" t="str">
        <f t="shared" si="13"/>
        <v>1812.09043658882j</v>
      </c>
      <c r="J126" t="str">
        <f t="shared" si="11"/>
        <v>4.99997552328654+0.00145348612893874j</v>
      </c>
      <c r="K126">
        <f t="shared" si="14"/>
        <v>13.979357933213532</v>
      </c>
      <c r="L126">
        <f t="shared" si="15"/>
        <v>1.6655805220506005E-2</v>
      </c>
      <c r="M126">
        <f t="shared" si="16"/>
        <v>4.9999755232865404</v>
      </c>
      <c r="N126">
        <f t="shared" si="17"/>
        <v>1.45348612893874E-3</v>
      </c>
    </row>
    <row r="127" spans="7:14" x14ac:dyDescent="0.25">
      <c r="G127">
        <f t="shared" si="12"/>
        <v>1.4800000000000015</v>
      </c>
      <c r="H127">
        <f t="shared" si="10"/>
        <v>301.99517204020287</v>
      </c>
      <c r="I127" t="str">
        <f t="shared" si="13"/>
        <v>1897.49162780217j</v>
      </c>
      <c r="J127" t="str">
        <f t="shared" si="11"/>
        <v>4.99997557376023+0.00152198682139498j</v>
      </c>
      <c r="K127">
        <f t="shared" si="14"/>
        <v>13.979358056303576</v>
      </c>
      <c r="L127">
        <f t="shared" si="15"/>
        <v>1.7440768931896711E-2</v>
      </c>
      <c r="M127">
        <f t="shared" si="16"/>
        <v>4.9999755737602296</v>
      </c>
      <c r="N127">
        <f t="shared" si="17"/>
        <v>1.5219868213949799E-3</v>
      </c>
    </row>
    <row r="128" spans="7:14" x14ac:dyDescent="0.25">
      <c r="G128">
        <f t="shared" si="12"/>
        <v>1.5000000000000016</v>
      </c>
      <c r="H128">
        <f t="shared" si="10"/>
        <v>316.22776601683915</v>
      </c>
      <c r="I128" t="str">
        <f t="shared" si="13"/>
        <v>1986.91765315923j</v>
      </c>
      <c r="J128" t="str">
        <f t="shared" si="11"/>
        <v>4.99997562910354+0.00159371585226232j</v>
      </c>
      <c r="K128">
        <f t="shared" si="14"/>
        <v>13.97935819126914</v>
      </c>
      <c r="L128">
        <f t="shared" si="15"/>
        <v>1.8262726812866351E-2</v>
      </c>
      <c r="M128">
        <f t="shared" si="16"/>
        <v>4.99997562910354</v>
      </c>
      <c r="N128">
        <f t="shared" si="17"/>
        <v>1.5937158522623201E-3</v>
      </c>
    </row>
    <row r="129" spans="7:14" x14ac:dyDescent="0.25">
      <c r="G129">
        <f t="shared" si="12"/>
        <v>1.5200000000000016</v>
      </c>
      <c r="H129">
        <f t="shared" si="10"/>
        <v>331.13112148259245</v>
      </c>
      <c r="I129" t="str">
        <f t="shared" si="13"/>
        <v>2080.55819724932j</v>
      </c>
      <c r="J129" t="str">
        <f t="shared" si="11"/>
        <v>4.99997568978626+0.00166882536847752j</v>
      </c>
      <c r="K129">
        <f t="shared" si="14"/>
        <v>13.979358339255914</v>
      </c>
      <c r="L129">
        <f t="shared" si="15"/>
        <v>1.9123422340407911E-2</v>
      </c>
      <c r="M129">
        <f t="shared" si="16"/>
        <v>4.9999756897862602</v>
      </c>
      <c r="N129">
        <f t="shared" si="17"/>
        <v>1.6688253684775201E-3</v>
      </c>
    </row>
    <row r="130" spans="7:14" x14ac:dyDescent="0.25">
      <c r="G130">
        <f t="shared" si="12"/>
        <v>1.5400000000000016</v>
      </c>
      <c r="H130">
        <f t="shared" si="10"/>
        <v>346.73685045253302</v>
      </c>
      <c r="I130" t="str">
        <f t="shared" si="13"/>
        <v>2178.61188422108j</v>
      </c>
      <c r="J130" t="str">
        <f t="shared" si="11"/>
        <v>4.99997575632354+0.00174747468744674j</v>
      </c>
      <c r="K130">
        <f t="shared" si="14"/>
        <v>13.979358501520181</v>
      </c>
      <c r="L130">
        <f t="shared" si="15"/>
        <v>2.0024681158386175E-2</v>
      </c>
      <c r="M130">
        <f t="shared" si="16"/>
        <v>4.9999757563235399</v>
      </c>
      <c r="N130">
        <f t="shared" si="17"/>
        <v>1.7474746874467401E-3</v>
      </c>
    </row>
    <row r="131" spans="7:14" x14ac:dyDescent="0.25">
      <c r="G131">
        <f t="shared" si="12"/>
        <v>1.5600000000000016</v>
      </c>
      <c r="H131">
        <f t="shared" ref="H131:H194" si="18">$B$3*10^G131</f>
        <v>363.07805477010282</v>
      </c>
      <c r="I131" t="str">
        <f t="shared" si="13"/>
        <v>2281.28669909086j</v>
      </c>
      <c r="J131" t="str">
        <f t="shared" ref="J131:J194" si="19">IMDIV(1,IMSUM(IMDIV(IMSUM(1,IMDIV(I131,wc)),Aolv),IMDIV(IMDIV(R_1,IMSUM(1,IMPRODUCT(I131,C_s,R_1))),IMSUM(R_f,IMDIV(R_1,IMSUM(1,IMPRODUCT(I131,C_s,R_1)))))))</f>
        <v>4.99997582928022+0.00182983063498012j</v>
      </c>
      <c r="K131">
        <f t="shared" si="14"/>
        <v>13.979358679439411</v>
      </c>
      <c r="L131">
        <f t="shared" si="15"/>
        <v>2.0968414949844416E-2</v>
      </c>
      <c r="M131">
        <f t="shared" si="16"/>
        <v>4.9999758292802197</v>
      </c>
      <c r="N131">
        <f t="shared" si="17"/>
        <v>1.8298306349801201E-3</v>
      </c>
    </row>
    <row r="132" spans="7:14" x14ac:dyDescent="0.25">
      <c r="G132">
        <f t="shared" ref="G132:G195" si="20">G131+(1/ppd)</f>
        <v>1.5800000000000016</v>
      </c>
      <c r="H132">
        <f t="shared" si="18"/>
        <v>380.18939632056276</v>
      </c>
      <c r="I132" t="str">
        <f t="shared" ref="I132:I195" si="21">COMPLEX(0,H132*2*PI(),"j")</f>
        <v>2388.80042890684j</v>
      </c>
      <c r="J132" t="str">
        <f t="shared" si="19"/>
        <v>4.99997590927563+0.00191606789915272j</v>
      </c>
      <c r="K132">
        <f t="shared" ref="K132:K195" si="22">20*LOG(IMABS(J132))</f>
        <v>13.979358874523964</v>
      </c>
      <c r="L132">
        <f t="shared" ref="L132:L195" si="23">DEGREES(IMARGUMENT(J132))</f>
        <v>2.1956625491791049E-2</v>
      </c>
      <c r="M132">
        <f t="shared" ref="M132:M195" si="24">IMREAL(J132)</f>
        <v>4.99997590927563</v>
      </c>
      <c r="N132">
        <f t="shared" ref="N132:N195" si="25">IMAGINARY(J132)</f>
        <v>1.91606789915272E-3</v>
      </c>
    </row>
    <row r="133" spans="7:14" x14ac:dyDescent="0.25">
      <c r="G133">
        <f t="shared" si="20"/>
        <v>1.6000000000000016</v>
      </c>
      <c r="H133">
        <f t="shared" si="18"/>
        <v>398.10717055349897</v>
      </c>
      <c r="I133" t="str">
        <f t="shared" si="21"/>
        <v>2501.38112470458j</v>
      </c>
      <c r="J133" t="str">
        <f t="shared" si="19"/>
        <v>4.99997599698885+0.00200636940084286j</v>
      </c>
      <c r="K133">
        <f t="shared" si="22"/>
        <v>13.979359088429909</v>
      </c>
      <c r="L133">
        <f t="shared" si="23"/>
        <v>2.2991408901069366E-2</v>
      </c>
      <c r="M133">
        <f t="shared" si="24"/>
        <v>4.9999759969888498</v>
      </c>
      <c r="N133">
        <f t="shared" si="25"/>
        <v>2.0063694008428598E-3</v>
      </c>
    </row>
    <row r="134" spans="7:14" x14ac:dyDescent="0.25">
      <c r="G134">
        <f t="shared" si="20"/>
        <v>1.6200000000000017</v>
      </c>
      <c r="H134">
        <f t="shared" si="18"/>
        <v>416.86938347033708</v>
      </c>
      <c r="I134" t="str">
        <f t="shared" si="21"/>
        <v>2619.26758523383j</v>
      </c>
      <c r="J134" t="str">
        <f t="shared" si="19"/>
        <v>4.99997609316449+0.0021009266817332j</v>
      </c>
      <c r="K134">
        <f t="shared" si="22"/>
        <v>13.979359322973121</v>
      </c>
      <c r="L134">
        <f t="shared" si="23"/>
        <v>2.407496008030555E-2</v>
      </c>
      <c r="M134">
        <f t="shared" si="24"/>
        <v>4.9999760931644897</v>
      </c>
      <c r="N134">
        <f t="shared" si="25"/>
        <v>2.1009266817332002E-3</v>
      </c>
    </row>
    <row r="135" spans="7:14" x14ac:dyDescent="0.25">
      <c r="G135">
        <f t="shared" si="20"/>
        <v>1.6400000000000017</v>
      </c>
      <c r="H135">
        <f t="shared" si="18"/>
        <v>436.51583224016781</v>
      </c>
      <c r="I135" t="str">
        <f t="shared" si="21"/>
        <v>2742.70986348269j</v>
      </c>
      <c r="J135" t="str">
        <f t="shared" si="19"/>
        <v>4.99997619861897+0.00219994031059803j</v>
      </c>
      <c r="K135">
        <f t="shared" si="22"/>
        <v>13.979359580144608</v>
      </c>
      <c r="L135">
        <f t="shared" si="23"/>
        <v>2.5209577373367206E-2</v>
      </c>
      <c r="M135">
        <f t="shared" si="24"/>
        <v>4.9999761986189704</v>
      </c>
      <c r="N135">
        <f t="shared" si="25"/>
        <v>2.19994031059803E-3</v>
      </c>
    </row>
    <row r="136" spans="7:14" x14ac:dyDescent="0.25">
      <c r="G136">
        <f t="shared" si="20"/>
        <v>1.6600000000000017</v>
      </c>
      <c r="H136">
        <f t="shared" si="18"/>
        <v>457.08818961487691</v>
      </c>
      <c r="I136" t="str">
        <f t="shared" si="21"/>
        <v>2871.96979707351j</v>
      </c>
      <c r="J136" t="str">
        <f t="shared" si="19"/>
        <v>4.99997631424754+0.00230362030873867j</v>
      </c>
      <c r="K136">
        <f t="shared" si="22"/>
        <v>13.979359862127577</v>
      </c>
      <c r="L136">
        <f t="shared" si="23"/>
        <v>2.6397667440202877E-2</v>
      </c>
      <c r="M136">
        <f t="shared" si="24"/>
        <v>4.9999763142475402</v>
      </c>
      <c r="N136">
        <f t="shared" si="25"/>
        <v>2.3036203087386702E-3</v>
      </c>
    </row>
    <row r="137" spans="7:14" x14ac:dyDescent="0.25">
      <c r="G137">
        <f t="shared" si="20"/>
        <v>1.6800000000000017</v>
      </c>
      <c r="H137">
        <f t="shared" si="18"/>
        <v>478.63009232264039</v>
      </c>
      <c r="I137" t="str">
        <f t="shared" si="21"/>
        <v>3007.32156365562j</v>
      </c>
      <c r="J137" t="str">
        <f t="shared" si="19"/>
        <v>4.99997644103174+0.00241218659546899j</v>
      </c>
      <c r="K137">
        <f t="shared" si="22"/>
        <v>13.979360171315731</v>
      </c>
      <c r="L137">
        <f t="shared" si="23"/>
        <v>2.764175036139457E-2</v>
      </c>
      <c r="M137">
        <f t="shared" si="24"/>
        <v>4.9999764410317402</v>
      </c>
      <c r="N137">
        <f t="shared" si="25"/>
        <v>2.4121865954689898E-3</v>
      </c>
    </row>
    <row r="138" spans="7:14" x14ac:dyDescent="0.25">
      <c r="G138">
        <f t="shared" si="20"/>
        <v>1.7000000000000017</v>
      </c>
      <c r="H138">
        <f t="shared" si="18"/>
        <v>501.1872336272744</v>
      </c>
      <c r="I138" t="str">
        <f t="shared" si="21"/>
        <v>3149.05226247287j</v>
      </c>
      <c r="J138" t="str">
        <f t="shared" si="19"/>
        <v>4.99997658004784+0.00252586945459633j</v>
      </c>
      <c r="K138">
        <f t="shared" si="22"/>
        <v>13.979360510333761</v>
      </c>
      <c r="L138">
        <f t="shared" si="23"/>
        <v>2.894446498324631E-2</v>
      </c>
      <c r="M138">
        <f t="shared" si="24"/>
        <v>4.9999765800478402</v>
      </c>
      <c r="N138">
        <f t="shared" si="25"/>
        <v>2.5258694545963298E-3</v>
      </c>
    </row>
    <row r="139" spans="7:14" x14ac:dyDescent="0.25">
      <c r="G139">
        <f t="shared" si="20"/>
        <v>1.7200000000000017</v>
      </c>
      <c r="H139">
        <f t="shared" si="18"/>
        <v>524.80746024977498</v>
      </c>
      <c r="I139" t="str">
        <f t="shared" si="21"/>
        <v>3297.46252333962j</v>
      </c>
      <c r="J139" t="str">
        <f t="shared" si="19"/>
        <v>4.99997673247598+0.00264491002288748j</v>
      </c>
      <c r="K139">
        <f t="shared" si="22"/>
        <v>13.979360882059646</v>
      </c>
      <c r="L139">
        <f t="shared" si="23"/>
        <v>3.0308574514743097E-2</v>
      </c>
      <c r="M139">
        <f t="shared" si="24"/>
        <v>4.9999767324759796</v>
      </c>
      <c r="N139">
        <f t="shared" si="25"/>
        <v>2.64491002288748E-3</v>
      </c>
    </row>
    <row r="140" spans="7:14" x14ac:dyDescent="0.25">
      <c r="G140">
        <f t="shared" si="20"/>
        <v>1.7400000000000018</v>
      </c>
      <c r="H140">
        <f t="shared" si="18"/>
        <v>549.54087385762716</v>
      </c>
      <c r="I140" t="str">
        <f t="shared" si="21"/>
        <v>3452.86714431687j</v>
      </c>
      <c r="J140" t="str">
        <f t="shared" si="19"/>
        <v>4.99997689961013+0.00276956080155544j</v>
      </c>
      <c r="K140">
        <f t="shared" si="22"/>
        <v>13.979361289648985</v>
      </c>
      <c r="L140">
        <f t="shared" si="23"/>
        <v>3.1736972388239568E-2</v>
      </c>
      <c r="M140">
        <f t="shared" si="24"/>
        <v>4.9999768996101297</v>
      </c>
      <c r="N140">
        <f t="shared" si="25"/>
        <v>2.76956080155544E-3</v>
      </c>
    </row>
    <row r="141" spans="7:14" x14ac:dyDescent="0.25">
      <c r="G141">
        <f t="shared" si="20"/>
        <v>1.7600000000000018</v>
      </c>
      <c r="H141">
        <f t="shared" si="18"/>
        <v>575.43993733715956</v>
      </c>
      <c r="I141" t="str">
        <f t="shared" si="21"/>
        <v>3615.59575944118j</v>
      </c>
      <c r="J141" t="str">
        <f t="shared" si="19"/>
        <v>4.99997708286907+0.00290008619185238j</v>
      </c>
      <c r="K141">
        <f t="shared" si="22"/>
        <v>13.979361736561753</v>
      </c>
      <c r="L141">
        <f t="shared" si="23"/>
        <v>3.3232688396305547E-2</v>
      </c>
      <c r="M141">
        <f t="shared" si="24"/>
        <v>4.9999770828690702</v>
      </c>
      <c r="N141">
        <f t="shared" si="25"/>
        <v>2.90008619185238E-3</v>
      </c>
    </row>
    <row r="142" spans="7:14" x14ac:dyDescent="0.25">
      <c r="G142">
        <f t="shared" si="20"/>
        <v>1.7800000000000018</v>
      </c>
      <c r="H142">
        <f t="shared" si="18"/>
        <v>602.55958607436037</v>
      </c>
      <c r="I142" t="str">
        <f t="shared" si="21"/>
        <v>3785.99353792263j</v>
      </c>
      <c r="J142" t="str">
        <f t="shared" si="19"/>
        <v>4.99997728380853+0.00303676305590469j</v>
      </c>
      <c r="K142">
        <f t="shared" si="22"/>
        <v>13.979362226591871</v>
      </c>
      <c r="L142">
        <f t="shared" si="23"/>
        <v>3.4798895117732112E-2</v>
      </c>
      <c r="M142">
        <f t="shared" si="24"/>
        <v>4.9999772838085299</v>
      </c>
      <c r="N142">
        <f t="shared" si="25"/>
        <v>3.0367630559046902E-3</v>
      </c>
    </row>
    <row r="143" spans="7:14" x14ac:dyDescent="0.25">
      <c r="G143">
        <f t="shared" si="20"/>
        <v>1.8000000000000018</v>
      </c>
      <c r="H143">
        <f t="shared" si="18"/>
        <v>630.95734448019641</v>
      </c>
      <c r="I143" t="str">
        <f t="shared" si="21"/>
        <v>3964.42191629502j</v>
      </c>
      <c r="J143" t="str">
        <f t="shared" si="19"/>
        <v>4.99997750413426+0.00317988130397979j</v>
      </c>
      <c r="K143">
        <f t="shared" si="22"/>
        <v>13.979362763899157</v>
      </c>
      <c r="L143">
        <f t="shared" si="23"/>
        <v>3.6438914646319522E-2</v>
      </c>
      <c r="M143">
        <f t="shared" si="24"/>
        <v>4.99997750413426</v>
      </c>
      <c r="N143">
        <f t="shared" si="25"/>
        <v>3.17988130397979E-3</v>
      </c>
    </row>
    <row r="144" spans="7:14" x14ac:dyDescent="0.25">
      <c r="G144">
        <f t="shared" si="20"/>
        <v>1.8200000000000018</v>
      </c>
      <c r="H144">
        <f t="shared" si="18"/>
        <v>660.69344800759927</v>
      </c>
      <c r="I144" t="str">
        <f t="shared" si="21"/>
        <v>4151.25936507117j</v>
      </c>
      <c r="J144" t="str">
        <f t="shared" si="19"/>
        <v>4.99997774571665+0.00332974450943094j</v>
      </c>
      <c r="K144">
        <f t="shared" si="22"/>
        <v>13.97936335304488</v>
      </c>
      <c r="L144">
        <f t="shared" si="23"/>
        <v>3.8156225636708632E-2</v>
      </c>
      <c r="M144">
        <f t="shared" si="24"/>
        <v>4.9999777457166497</v>
      </c>
      <c r="N144">
        <f t="shared" si="25"/>
        <v>3.3297445094309401E-3</v>
      </c>
    </row>
    <row r="145" spans="7:14" x14ac:dyDescent="0.25">
      <c r="G145">
        <f t="shared" si="20"/>
        <v>1.8400000000000019</v>
      </c>
      <c r="H145">
        <f t="shared" si="18"/>
        <v>691.83097091893967</v>
      </c>
      <c r="I145" t="str">
        <f t="shared" si="21"/>
        <v>4346.90219152967j</v>
      </c>
      <c r="J145" t="str">
        <f t="shared" si="19"/>
        <v>4.99997801060648+0.00348667055262353j</v>
      </c>
      <c r="K145">
        <f t="shared" si="22"/>
        <v>13.979363999030266</v>
      </c>
      <c r="L145">
        <f t="shared" si="23"/>
        <v>3.9954470682178139E-2</v>
      </c>
      <c r="M145">
        <f t="shared" si="24"/>
        <v>4.9999780106064797</v>
      </c>
      <c r="N145">
        <f t="shared" si="25"/>
        <v>3.4866705526235301E-3</v>
      </c>
    </row>
    <row r="146" spans="7:14" x14ac:dyDescent="0.25">
      <c r="G146">
        <f t="shared" si="20"/>
        <v>1.8600000000000019</v>
      </c>
      <c r="H146">
        <f t="shared" si="18"/>
        <v>724.4359600749932</v>
      </c>
      <c r="I146" t="str">
        <f t="shared" si="21"/>
        <v>4551.76538033573j</v>
      </c>
      <c r="J146" t="str">
        <f t="shared" si="19"/>
        <v>4.99997830105241+0.00365099229521034j</v>
      </c>
      <c r="K146">
        <f t="shared" si="22"/>
        <v>13.979364707339093</v>
      </c>
      <c r="L146">
        <f t="shared" si="23"/>
        <v>4.1837464040053937E-2</v>
      </c>
      <c r="M146">
        <f t="shared" si="24"/>
        <v>4.9999783010524101</v>
      </c>
      <c r="N146">
        <f t="shared" si="25"/>
        <v>3.6509922952103402E-3</v>
      </c>
    </row>
    <row r="147" spans="7:14" x14ac:dyDescent="0.25">
      <c r="G147">
        <f t="shared" si="20"/>
        <v>1.8800000000000019</v>
      </c>
      <c r="H147">
        <f t="shared" si="18"/>
        <v>758.57757502918776</v>
      </c>
      <c r="I147" t="str">
        <f t="shared" si="21"/>
        <v>4766.28347377931j</v>
      </c>
      <c r="J147" t="str">
        <f t="shared" si="19"/>
        <v>4.9999786195201+0.00382305828618451j</v>
      </c>
      <c r="K147">
        <f t="shared" si="22"/>
        <v>13.979365483984285</v>
      </c>
      <c r="L147">
        <f t="shared" si="23"/>
        <v>4.3809199721080438E-2</v>
      </c>
      <c r="M147">
        <f t="shared" si="24"/>
        <v>4.9999786195200997</v>
      </c>
      <c r="N147">
        <f t="shared" si="25"/>
        <v>3.82305828618451E-3</v>
      </c>
    </row>
    <row r="148" spans="7:14" x14ac:dyDescent="0.25">
      <c r="G148">
        <f t="shared" si="20"/>
        <v>1.9000000000000019</v>
      </c>
      <c r="H148">
        <f t="shared" si="18"/>
        <v>794.32823472428538</v>
      </c>
      <c r="I148" t="str">
        <f t="shared" si="21"/>
        <v>4990.91149349753j</v>
      </c>
      <c r="J148" t="str">
        <f t="shared" si="19"/>
        <v>4.99997896871298+0.00400323350120915j</v>
      </c>
      <c r="K148">
        <f t="shared" si="22"/>
        <v>13.979366335558701</v>
      </c>
      <c r="L148">
        <f t="shared" si="23"/>
        <v>4.5873859959904298E-2</v>
      </c>
      <c r="M148">
        <f t="shared" si="24"/>
        <v>4.9999789687129796</v>
      </c>
      <c r="N148">
        <f t="shared" si="25"/>
        <v>4.0032335012091498E-3</v>
      </c>
    </row>
    <row r="149" spans="7:14" x14ac:dyDescent="0.25">
      <c r="G149">
        <f t="shared" si="20"/>
        <v>1.9200000000000019</v>
      </c>
      <c r="H149">
        <f t="shared" si="18"/>
        <v>831.76377110267492</v>
      </c>
      <c r="I149" t="str">
        <f t="shared" si="21"/>
        <v>5226.12590563661j</v>
      </c>
      <c r="J149" t="str">
        <f t="shared" si="19"/>
        <v>4.99997935159538+0.00419190011679168j</v>
      </c>
      <c r="K149">
        <f t="shared" si="22"/>
        <v>13.979367269291377</v>
      </c>
      <c r="L149">
        <f t="shared" si="23"/>
        <v>4.8035824084603669E-2</v>
      </c>
      <c r="M149">
        <f t="shared" si="24"/>
        <v>4.9999793515953801</v>
      </c>
      <c r="N149">
        <f t="shared" si="25"/>
        <v>4.1919001167916798E-3</v>
      </c>
    </row>
    <row r="150" spans="7:14" x14ac:dyDescent="0.25">
      <c r="G150">
        <f t="shared" si="20"/>
        <v>1.9400000000000019</v>
      </c>
      <c r="H150">
        <f t="shared" si="18"/>
        <v>870.96358995608455</v>
      </c>
      <c r="I150" t="str">
        <f t="shared" si="21"/>
        <v>5472.42563150046j</v>
      </c>
      <c r="J150" t="str">
        <f t="shared" si="19"/>
        <v>4.99997977141767+0.00438945832094541j</v>
      </c>
      <c r="K150">
        <f t="shared" si="22"/>
        <v>13.979368293108887</v>
      </c>
      <c r="L150">
        <f t="shared" si="23"/>
        <v>5.0299677804052804E-2</v>
      </c>
      <c r="M150">
        <f t="shared" si="24"/>
        <v>4.9999797714176699</v>
      </c>
      <c r="N150">
        <f t="shared" si="25"/>
        <v>4.3894583209454097E-3</v>
      </c>
    </row>
    <row r="151" spans="7:14" x14ac:dyDescent="0.25">
      <c r="G151">
        <f t="shared" si="20"/>
        <v>1.960000000000002</v>
      </c>
      <c r="H151">
        <f t="shared" si="18"/>
        <v>912.01083935591453</v>
      </c>
      <c r="I151" t="str">
        <f t="shared" si="21"/>
        <v>5730.3331058296j</v>
      </c>
      <c r="J151" t="str">
        <f t="shared" si="19"/>
        <v>4.99998023174369+0.00459632716205737j</v>
      </c>
      <c r="K151">
        <f t="shared" si="22"/>
        <v>13.979369415702326</v>
      </c>
      <c r="L151">
        <f t="shared" si="23"/>
        <v>5.2670222932778885E-2</v>
      </c>
      <c r="M151">
        <f t="shared" si="24"/>
        <v>4.9999802317436899</v>
      </c>
      <c r="N151">
        <f t="shared" si="25"/>
        <v>4.59632716205737E-3</v>
      </c>
    </row>
    <row r="152" spans="7:14" x14ac:dyDescent="0.25">
      <c r="G152">
        <f t="shared" si="20"/>
        <v>1.980000000000002</v>
      </c>
      <c r="H152">
        <f t="shared" si="18"/>
        <v>954.99258602144084</v>
      </c>
      <c r="I152" t="str">
        <f t="shared" si="21"/>
        <v>6000.39538495535j</v>
      </c>
      <c r="J152" t="str">
        <f t="shared" si="19"/>
        <v>4.99998073648118+0.00481294543776445j</v>
      </c>
      <c r="K152">
        <f t="shared" si="22"/>
        <v>13.979370646601396</v>
      </c>
      <c r="L152">
        <f t="shared" si="23"/>
        <v>5.5152487573908553E-2</v>
      </c>
      <c r="M152">
        <f t="shared" si="24"/>
        <v>4.9999807364811799</v>
      </c>
      <c r="N152">
        <f t="shared" si="25"/>
        <v>4.8129454377644496E-3</v>
      </c>
    </row>
    <row r="153" spans="7:14" x14ac:dyDescent="0.25">
      <c r="G153">
        <f t="shared" si="20"/>
        <v>2.0000000000000018</v>
      </c>
      <c r="H153">
        <f t="shared" si="18"/>
        <v>1000.0000000000048</v>
      </c>
      <c r="I153" t="str">
        <f t="shared" si="21"/>
        <v>6283.18530717962j</v>
      </c>
      <c r="J153" t="str">
        <f t="shared" si="19"/>
        <v>4.99998128991495+0.0050397726257232j</v>
      </c>
      <c r="K153">
        <f t="shared" si="22"/>
        <v>13.979371996255313</v>
      </c>
      <c r="L153">
        <f t="shared" si="23"/>
        <v>5.7751736781758968E-2</v>
      </c>
      <c r="M153">
        <f t="shared" si="24"/>
        <v>4.9999812899149498</v>
      </c>
      <c r="N153">
        <f t="shared" si="25"/>
        <v>5.0397726257232003E-3</v>
      </c>
    </row>
    <row r="154" spans="7:14" x14ac:dyDescent="0.25">
      <c r="G154">
        <f t="shared" si="20"/>
        <v>2.0200000000000018</v>
      </c>
      <c r="H154">
        <f t="shared" si="18"/>
        <v>1047.1285480509046</v>
      </c>
      <c r="I154" t="str">
        <f t="shared" si="21"/>
        <v>6579.30270784174j</v>
      </c>
      <c r="J154" t="str">
        <f t="shared" si="19"/>
        <v>4.99998189674308+0.00527728985824666j</v>
      </c>
      <c r="K154">
        <f t="shared" si="22"/>
        <v>13.979373476121186</v>
      </c>
      <c r="L154">
        <f t="shared" si="23"/>
        <v>6.0473483726623575E-2</v>
      </c>
      <c r="M154">
        <f t="shared" si="24"/>
        <v>4.9999818967430798</v>
      </c>
      <c r="N154">
        <f t="shared" si="25"/>
        <v>5.2772898582466596E-3</v>
      </c>
    </row>
    <row r="155" spans="7:14" x14ac:dyDescent="0.25">
      <c r="G155">
        <f t="shared" si="20"/>
        <v>2.0400000000000018</v>
      </c>
      <c r="H155">
        <f t="shared" si="18"/>
        <v>1096.47819614319</v>
      </c>
      <c r="I155" t="str">
        <f t="shared" si="21"/>
        <v>6889.37569164967j</v>
      </c>
      <c r="J155" t="str">
        <f t="shared" si="19"/>
        <v>4.99998256211697+0.00552600094287881j</v>
      </c>
      <c r="K155">
        <f t="shared" si="22"/>
        <v>13.979375098761572</v>
      </c>
      <c r="L155">
        <f t="shared" si="23"/>
        <v>6.3323501385402325E-2</v>
      </c>
      <c r="M155">
        <f t="shared" si="24"/>
        <v>4.99998256211697</v>
      </c>
      <c r="N155">
        <f t="shared" si="25"/>
        <v>5.5260009428788103E-3</v>
      </c>
    </row>
    <row r="156" spans="7:14" x14ac:dyDescent="0.25">
      <c r="G156">
        <f t="shared" si="20"/>
        <v>2.0600000000000018</v>
      </c>
      <c r="H156">
        <f t="shared" si="18"/>
        <v>1148.1536214968876</v>
      </c>
      <c r="I156" t="str">
        <f t="shared" si="21"/>
        <v>7214.06196497428j</v>
      </c>
      <c r="J156" t="str">
        <f t="shared" si="19"/>
        <v>4.9999832916851+0.00578643343106889j</v>
      </c>
      <c r="K156">
        <f t="shared" si="22"/>
        <v>13.979376877951177</v>
      </c>
      <c r="L156">
        <f t="shared" si="23"/>
        <v>6.6307834782775313E-2</v>
      </c>
      <c r="M156">
        <f t="shared" si="24"/>
        <v>4.9999832916851004</v>
      </c>
      <c r="N156">
        <f t="shared" si="25"/>
        <v>5.7864334310688903E-3</v>
      </c>
    </row>
    <row r="157" spans="7:14" x14ac:dyDescent="0.25">
      <c r="G157">
        <f t="shared" si="20"/>
        <v>2.0800000000000018</v>
      </c>
      <c r="H157">
        <f t="shared" si="18"/>
        <v>1202.2644346174188</v>
      </c>
      <c r="I157" t="str">
        <f t="shared" si="21"/>
        <v>7554.05023093274j</v>
      </c>
      <c r="J157" t="str">
        <f t="shared" si="19"/>
        <v>4.99998409164079+0.00605913973721518j</v>
      </c>
      <c r="K157">
        <f t="shared" si="22"/>
        <v>13.97937882879344</v>
      </c>
      <c r="L157">
        <f t="shared" si="23"/>
        <v>6.9432813808834426E-2</v>
      </c>
      <c r="M157">
        <f t="shared" si="24"/>
        <v>4.9999840916407896</v>
      </c>
      <c r="N157">
        <f t="shared" si="25"/>
        <v>6.0591397372151802E-3</v>
      </c>
    </row>
    <row r="158" spans="7:14" x14ac:dyDescent="0.25">
      <c r="G158">
        <f t="shared" si="20"/>
        <v>2.1000000000000019</v>
      </c>
      <c r="H158">
        <f t="shared" si="18"/>
        <v>1258.9254117941732</v>
      </c>
      <c r="I158" t="str">
        <f t="shared" si="21"/>
        <v>7910.06165022016j</v>
      </c>
      <c r="J158" t="str">
        <f t="shared" si="19"/>
        <v>4.99998496877496+0.00634469831045154j</v>
      </c>
      <c r="K158">
        <f t="shared" si="22"/>
        <v>13.979380967849089</v>
      </c>
      <c r="L158">
        <f t="shared" si="23"/>
        <v>7.2705066640251156E-2</v>
      </c>
      <c r="M158">
        <f t="shared" si="24"/>
        <v>4.9999849687749602</v>
      </c>
      <c r="N158">
        <f t="shared" si="25"/>
        <v>6.3446983104515397E-3</v>
      </c>
    </row>
    <row r="159" spans="7:14" x14ac:dyDescent="0.25">
      <c r="G159">
        <f t="shared" si="20"/>
        <v>2.1200000000000019</v>
      </c>
      <c r="H159">
        <f t="shared" si="18"/>
        <v>1318.2567385564132</v>
      </c>
      <c r="I159" t="str">
        <f t="shared" si="21"/>
        <v>8282.85137078814j</v>
      </c>
      <c r="J159" t="str">
        <f t="shared" si="19"/>
        <v>4.99998593053367+0.00664371486166308j</v>
      </c>
      <c r="K159">
        <f t="shared" si="22"/>
        <v>13.979383313276488</v>
      </c>
      <c r="L159">
        <f t="shared" si="23"/>
        <v>7.6131533793355854E-2</v>
      </c>
      <c r="M159">
        <f t="shared" si="24"/>
        <v>4.9999859305336702</v>
      </c>
      <c r="N159">
        <f t="shared" si="25"/>
        <v>6.6437148616630796E-3</v>
      </c>
    </row>
    <row r="160" spans="7:14" x14ac:dyDescent="0.25">
      <c r="G160">
        <f t="shared" si="20"/>
        <v>2.1400000000000019</v>
      </c>
      <c r="H160">
        <f t="shared" si="18"/>
        <v>1380.3842646028909</v>
      </c>
      <c r="I160" t="str">
        <f t="shared" si="21"/>
        <v>8673.21012961478j</v>
      </c>
      <c r="J160" t="str">
        <f t="shared" si="19"/>
        <v>4.9999869850814+0.00695682364833533j</v>
      </c>
      <c r="K160">
        <f t="shared" si="22"/>
        <v>13.979385884985945</v>
      </c>
      <c r="L160">
        <f t="shared" si="23"/>
        <v>7.9719482838821284E-2</v>
      </c>
      <c r="M160">
        <f t="shared" si="24"/>
        <v>4.9999869850814003</v>
      </c>
      <c r="N160">
        <f t="shared" si="25"/>
        <v>6.9568236483353299E-3</v>
      </c>
    </row>
    <row r="161" spans="7:14" x14ac:dyDescent="0.25">
      <c r="G161">
        <f t="shared" si="20"/>
        <v>2.1600000000000019</v>
      </c>
      <c r="H161">
        <f t="shared" si="18"/>
        <v>1445.439770745935</v>
      </c>
      <c r="I161" t="str">
        <f t="shared" si="21"/>
        <v>9081.96592996389j</v>
      </c>
      <c r="J161" t="str">
        <f t="shared" si="19"/>
        <v>4.99998814137032+0.00728468881996211j</v>
      </c>
      <c r="K161">
        <f t="shared" si="22"/>
        <v>13.979388704808624</v>
      </c>
      <c r="L161">
        <f t="shared" si="23"/>
        <v>8.3476523809017406E-2</v>
      </c>
      <c r="M161">
        <f t="shared" si="24"/>
        <v>4.99998814137032</v>
      </c>
      <c r="N161">
        <f t="shared" si="25"/>
        <v>7.2846888199621096E-3</v>
      </c>
    </row>
    <row r="162" spans="7:14" x14ac:dyDescent="0.25">
      <c r="G162">
        <f t="shared" si="20"/>
        <v>2.1800000000000019</v>
      </c>
      <c r="H162">
        <f t="shared" si="18"/>
        <v>1513.5612484362155</v>
      </c>
      <c r="I162" t="str">
        <f t="shared" si="21"/>
        <v>9509.98579769082j</v>
      </c>
      <c r="J162" t="str">
        <f t="shared" si="19"/>
        <v>4.99998940921632+0.00762800582686776j</v>
      </c>
      <c r="K162">
        <f t="shared" si="22"/>
        <v>13.979391796681943</v>
      </c>
      <c r="L162">
        <f t="shared" si="23"/>
        <v>8.7410625330568023E-2</v>
      </c>
      <c r="M162">
        <f t="shared" si="24"/>
        <v>4.9999894092163197</v>
      </c>
      <c r="N162">
        <f t="shared" si="25"/>
        <v>7.6280058268677602E-3</v>
      </c>
    </row>
    <row r="163" spans="7:14" x14ac:dyDescent="0.25">
      <c r="G163">
        <f t="shared" si="20"/>
        <v>2.200000000000002</v>
      </c>
      <c r="H163">
        <f t="shared" si="18"/>
        <v>1584.8931924611211</v>
      </c>
      <c r="I163" t="str">
        <f t="shared" si="21"/>
        <v>9958.17762032066j</v>
      </c>
      <c r="J163" t="str">
        <f t="shared" si="19"/>
        <v>4.99999079938225+0.00798750289543343j</v>
      </c>
      <c r="K163">
        <f t="shared" si="22"/>
        <v>13.979395186852599</v>
      </c>
      <c r="L163">
        <f t="shared" si="23"/>
        <v>9.1530131516153315E-2</v>
      </c>
      <c r="M163">
        <f t="shared" si="24"/>
        <v>4.9999907993822497</v>
      </c>
      <c r="N163">
        <f t="shared" si="25"/>
        <v>7.9875028954334293E-3</v>
      </c>
    </row>
    <row r="164" spans="7:14" x14ac:dyDescent="0.25">
      <c r="G164">
        <f t="shared" si="20"/>
        <v>2.220000000000002</v>
      </c>
      <c r="H164">
        <f t="shared" si="18"/>
        <v>1659.5869074375696</v>
      </c>
      <c r="I164" t="str">
        <f t="shared" si="21"/>
        <v>10427.4920727993j</v>
      </c>
      <c r="J164" t="str">
        <f t="shared" si="19"/>
        <v>4.9999923236695+0.00836394257285854j</v>
      </c>
      <c r="K164">
        <f t="shared" si="22"/>
        <v>13.979398904099739</v>
      </c>
      <c r="L164">
        <f t="shared" si="23"/>
        <v>9.58437796511801E-2</v>
      </c>
      <c r="M164">
        <f t="shared" si="24"/>
        <v>4.9999923236694999</v>
      </c>
      <c r="N164">
        <f t="shared" si="25"/>
        <v>8.3639425728585393E-3</v>
      </c>
    </row>
    <row r="165" spans="7:14" x14ac:dyDescent="0.25">
      <c r="G165">
        <f t="shared" si="20"/>
        <v>2.240000000000002</v>
      </c>
      <c r="H165">
        <f t="shared" si="18"/>
        <v>1737.8008287493847</v>
      </c>
      <c r="I165" t="str">
        <f t="shared" si="21"/>
        <v>10918.9246340026j</v>
      </c>
      <c r="J165" t="str">
        <f t="shared" si="19"/>
        <v>4.99999399501788+0.00875812334473417j</v>
      </c>
      <c r="K165">
        <f t="shared" si="22"/>
        <v>13.979402979978719</v>
      </c>
      <c r="L165">
        <f t="shared" si="23"/>
        <v>0.10036071871259486</v>
      </c>
      <c r="M165">
        <f t="shared" si="24"/>
        <v>4.9999939950178796</v>
      </c>
      <c r="N165">
        <f t="shared" si="25"/>
        <v>8.7581233447341696E-3</v>
      </c>
    </row>
    <row r="166" spans="7:14" x14ac:dyDescent="0.25">
      <c r="G166">
        <f t="shared" si="20"/>
        <v>2.260000000000002</v>
      </c>
      <c r="H166">
        <f t="shared" si="18"/>
        <v>1819.7008586099926</v>
      </c>
      <c r="I166" t="str">
        <f t="shared" si="21"/>
        <v>11433.5176982804j</v>
      </c>
      <c r="J166" t="str">
        <f t="shared" si="19"/>
        <v>4.99999582761577+0.00917088132886429j</v>
      </c>
      <c r="K166">
        <f t="shared" si="22"/>
        <v>13.979407449089507</v>
      </c>
      <c r="L166">
        <f t="shared" si="23"/>
        <v>0.10509052875886161</v>
      </c>
      <c r="M166">
        <f t="shared" si="24"/>
        <v>4.9999958276157699</v>
      </c>
      <c r="N166">
        <f t="shared" si="25"/>
        <v>9.1708813288642905E-3</v>
      </c>
    </row>
    <row r="167" spans="7:14" x14ac:dyDescent="0.25">
      <c r="G167">
        <f t="shared" si="20"/>
        <v>2.280000000000002</v>
      </c>
      <c r="H167">
        <f t="shared" si="18"/>
        <v>1905.4607179632562</v>
      </c>
      <c r="I167" t="str">
        <f t="shared" si="21"/>
        <v>11972.3627865146j</v>
      </c>
      <c r="J167" t="str">
        <f t="shared" si="19"/>
        <v>4.9999978370204+0.00960309204892725j</v>
      </c>
      <c r="K167">
        <f t="shared" si="22"/>
        <v>13.979412349370062</v>
      </c>
      <c r="L167">
        <f t="shared" si="23"/>
        <v>0.1100432412319105</v>
      </c>
      <c r="M167">
        <f t="shared" si="24"/>
        <v>4.9999978370204001</v>
      </c>
      <c r="N167">
        <f t="shared" si="25"/>
        <v>9.60309204892725E-3</v>
      </c>
    </row>
    <row r="168" spans="7:14" x14ac:dyDescent="0.25">
      <c r="G168">
        <f t="shared" si="20"/>
        <v>2.300000000000002</v>
      </c>
      <c r="H168">
        <f t="shared" si="18"/>
        <v>1995.2623149688907</v>
      </c>
      <c r="I168" t="str">
        <f t="shared" si="21"/>
        <v>12536.6028613817j</v>
      </c>
      <c r="J168" t="str">
        <f t="shared" si="19"/>
        <v>5.00000004028994+0.0100556722917447j</v>
      </c>
      <c r="K168">
        <f t="shared" si="22"/>
        <v>13.979417722418415</v>
      </c>
      <c r="L168">
        <f t="shared" si="23"/>
        <v>0.11522936021377758</v>
      </c>
      <c r="M168">
        <f t="shared" si="24"/>
        <v>5.0000000402899403</v>
      </c>
      <c r="N168">
        <f t="shared" si="25"/>
        <v>1.0055672291744699E-2</v>
      </c>
    </row>
    <row r="169" spans="7:14" x14ac:dyDescent="0.25">
      <c r="G169">
        <f t="shared" si="20"/>
        <v>2.3200000000000021</v>
      </c>
      <c r="H169">
        <f t="shared" si="18"/>
        <v>2089.2961308540507</v>
      </c>
      <c r="I169" t="str">
        <f t="shared" si="21"/>
        <v>13127.4347517293j</v>
      </c>
      <c r="J169" t="str">
        <f t="shared" si="19"/>
        <v>5.00000245612839+0.0105295820520991j</v>
      </c>
      <c r="K169">
        <f t="shared" si="22"/>
        <v>13.979423613845901</v>
      </c>
      <c r="L169">
        <f t="shared" si="23"/>
        <v>0.12065988468259961</v>
      </c>
      <c r="M169">
        <f t="shared" si="24"/>
        <v>5.0000024561283896</v>
      </c>
      <c r="N169">
        <f t="shared" si="25"/>
        <v>1.05295820520991E-2</v>
      </c>
    </row>
    <row r="170" spans="7:14" x14ac:dyDescent="0.25">
      <c r="G170">
        <f t="shared" si="20"/>
        <v>2.3400000000000021</v>
      </c>
      <c r="H170">
        <f t="shared" si="18"/>
        <v>2187.7616239495642</v>
      </c>
      <c r="I170" t="str">
        <f t="shared" si="21"/>
        <v>13746.1116912113j</v>
      </c>
      <c r="J170" t="str">
        <f t="shared" si="19"/>
        <v>5.00000510504426+0.0110258265692296j</v>
      </c>
      <c r="K170">
        <f t="shared" si="22"/>
        <v>13.979430073664144</v>
      </c>
      <c r="L170">
        <f t="shared" si="23"/>
        <v>0.12634633181471824</v>
      </c>
      <c r="M170">
        <f t="shared" si="24"/>
        <v>5.0000051050442602</v>
      </c>
      <c r="N170">
        <f t="shared" si="25"/>
        <v>1.10258265692296E-2</v>
      </c>
    </row>
    <row r="171" spans="7:14" x14ac:dyDescent="0.25">
      <c r="G171">
        <f t="shared" si="20"/>
        <v>2.3600000000000021</v>
      </c>
      <c r="H171">
        <f t="shared" si="18"/>
        <v>2290.8676527677844</v>
      </c>
      <c r="I171" t="str">
        <f t="shared" si="21"/>
        <v>14393.9459765635j</v>
      </c>
      <c r="J171" t="str">
        <f t="shared" si="19"/>
        <v>5.00000800952486+0.0115454584593294j</v>
      </c>
      <c r="K171">
        <f t="shared" si="22"/>
        <v>13.97943715670988</v>
      </c>
      <c r="L171">
        <f t="shared" si="23"/>
        <v>0.13230076138176214</v>
      </c>
      <c r="M171">
        <f t="shared" si="24"/>
        <v>5.0000080095248602</v>
      </c>
      <c r="N171">
        <f t="shared" si="25"/>
        <v>1.1545458459329401E-2</v>
      </c>
    </row>
    <row r="172" spans="7:14" x14ac:dyDescent="0.25">
      <c r="G172">
        <f t="shared" si="20"/>
        <v>2.3800000000000021</v>
      </c>
      <c r="H172">
        <f t="shared" si="18"/>
        <v>2398.8329190195041</v>
      </c>
      <c r="I172" t="str">
        <f t="shared" si="21"/>
        <v>15072.3117511621j</v>
      </c>
      <c r="J172" t="str">
        <f t="shared" si="19"/>
        <v>5.000011194227+0.0120895799485738j</v>
      </c>
      <c r="K172">
        <f t="shared" si="22"/>
        <v>13.979444923110071</v>
      </c>
      <c r="L172">
        <f t="shared" si="23"/>
        <v>0.13853580129386639</v>
      </c>
      <c r="M172">
        <f t="shared" si="24"/>
        <v>5.0000111942269996</v>
      </c>
      <c r="N172">
        <f t="shared" si="25"/>
        <v>1.2089579948573801E-2</v>
      </c>
    </row>
    <row r="173" spans="7:14" x14ac:dyDescent="0.25">
      <c r="G173">
        <f t="shared" si="20"/>
        <v>2.4000000000000021</v>
      </c>
      <c r="H173">
        <f t="shared" si="18"/>
        <v>2511.8864315095939</v>
      </c>
      <c r="I173" t="str">
        <f t="shared" si="21"/>
        <v>15782.6479197648j</v>
      </c>
      <c r="J173" t="str">
        <f t="shared" si="19"/>
        <v>5.00001468618644+0.0126593452114186j</v>
      </c>
      <c r="K173">
        <f t="shared" si="22"/>
        <v>13.979453438792488</v>
      </c>
      <c r="L173">
        <f t="shared" si="23"/>
        <v>0.14506467434245368</v>
      </c>
      <c r="M173">
        <f t="shared" si="24"/>
        <v>5.0000146861864403</v>
      </c>
      <c r="N173">
        <f t="shared" si="25"/>
        <v>1.26593452114186E-2</v>
      </c>
    </row>
    <row r="174" spans="7:14" x14ac:dyDescent="0.25">
      <c r="G174">
        <f t="shared" si="20"/>
        <v>2.4200000000000021</v>
      </c>
      <c r="H174">
        <f t="shared" si="18"/>
        <v>2630.2679918953959</v>
      </c>
      <c r="I174" t="str">
        <f t="shared" si="21"/>
        <v>16526.4612006219j</v>
      </c>
      <c r="J174" t="str">
        <f t="shared" si="19"/>
        <v>5.00001851504739+0.0132559628191396j</v>
      </c>
      <c r="K174">
        <f t="shared" si="22"/>
        <v>13.979462776045263</v>
      </c>
      <c r="L174">
        <f t="shared" si="23"/>
        <v>0.15190122619855181</v>
      </c>
      <c r="M174">
        <f t="shared" si="24"/>
        <v>5.0000185150473904</v>
      </c>
      <c r="N174">
        <f t="shared" si="25"/>
        <v>1.32559628191396E-2</v>
      </c>
    </row>
    <row r="175" spans="7:14" x14ac:dyDescent="0.25">
      <c r="G175">
        <f t="shared" si="20"/>
        <v>2.4400000000000022</v>
      </c>
      <c r="H175">
        <f t="shared" si="18"/>
        <v>2754.2287033381804</v>
      </c>
      <c r="I175" t="str">
        <f t="shared" si="21"/>
        <v>17305.3293214267j</v>
      </c>
      <c r="J175" t="str">
        <f t="shared" si="19"/>
        <v>5.0000227133143+0.013880698303808j</v>
      </c>
      <c r="K175">
        <f t="shared" si="22"/>
        <v>13.979473014130676</v>
      </c>
      <c r="L175">
        <f t="shared" si="23"/>
        <v>0.15905995472501919</v>
      </c>
      <c r="M175">
        <f t="shared" si="24"/>
        <v>5.0000227133142996</v>
      </c>
      <c r="N175">
        <f t="shared" si="25"/>
        <v>1.3880698303808E-2</v>
      </c>
    </row>
    <row r="176" spans="7:14" x14ac:dyDescent="0.25">
      <c r="G176">
        <f t="shared" si="20"/>
        <v>2.4600000000000022</v>
      </c>
      <c r="H176">
        <f t="shared" si="18"/>
        <v>2884.0315031266227</v>
      </c>
      <c r="I176" t="str">
        <f t="shared" si="21"/>
        <v>18120.9043658883j</v>
      </c>
      <c r="J176" t="str">
        <f t="shared" si="19"/>
        <v>5.00002731662757+0.0145348768431534j</v>
      </c>
      <c r="K176">
        <f t="shared" si="22"/>
        <v>13.979484239957504</v>
      </c>
      <c r="L176">
        <f t="shared" si="23"/>
        <v>0.16655604066384969</v>
      </c>
      <c r="M176">
        <f t="shared" si="24"/>
        <v>5.0000273166275697</v>
      </c>
      <c r="N176">
        <f t="shared" si="25"/>
        <v>1.45348768431534E-2</v>
      </c>
    </row>
    <row r="177" spans="7:14" x14ac:dyDescent="0.25">
      <c r="G177">
        <f t="shared" si="20"/>
        <v>2.4800000000000022</v>
      </c>
      <c r="H177">
        <f t="shared" si="18"/>
        <v>3019.9517204020331</v>
      </c>
      <c r="I177" t="str">
        <f t="shared" si="21"/>
        <v>18974.9162780218j</v>
      </c>
      <c r="J177" t="str">
        <f t="shared" si="19"/>
        <v>5.00003236406648+0.0152198860720174j</v>
      </c>
      <c r="K177">
        <f t="shared" si="22"/>
        <v>13.979496548819291</v>
      </c>
      <c r="L177">
        <f t="shared" si="23"/>
        <v>0.17440537976236697</v>
      </c>
      <c r="M177">
        <f t="shared" si="24"/>
        <v>5.0000323640664801</v>
      </c>
      <c r="N177">
        <f t="shared" si="25"/>
        <v>1.5219886072017399E-2</v>
      </c>
    </row>
    <row r="178" spans="7:14" x14ac:dyDescent="0.25">
      <c r="G178">
        <f t="shared" si="20"/>
        <v>2.5000000000000022</v>
      </c>
      <c r="H178">
        <f t="shared" si="18"/>
        <v>3162.2776601683968</v>
      </c>
      <c r="I178" t="str">
        <f t="shared" si="21"/>
        <v>19869.1765315923j</v>
      </c>
      <c r="J178" t="str">
        <f t="shared" si="19"/>
        <v>5.0000378984807+0.0159371790263714j</v>
      </c>
      <c r="K178">
        <f t="shared" si="22"/>
        <v>13.979510045202677</v>
      </c>
      <c r="L178">
        <f t="shared" si="23"/>
        <v>0.18262461640506217</v>
      </c>
      <c r="M178">
        <f t="shared" si="24"/>
        <v>5.0000378984807003</v>
      </c>
      <c r="N178">
        <f t="shared" si="25"/>
        <v>1.5937179026371401E-2</v>
      </c>
    </row>
    <row r="179" spans="7:14" x14ac:dyDescent="0.25">
      <c r="G179">
        <f t="shared" si="20"/>
        <v>2.5200000000000022</v>
      </c>
      <c r="H179">
        <f t="shared" si="18"/>
        <v>3311.3112148259315</v>
      </c>
      <c r="I179" t="str">
        <f t="shared" si="21"/>
        <v>20805.5819724933j</v>
      </c>
      <c r="J179" t="str">
        <f t="shared" si="19"/>
        <v>5.00004396685423+0.0166882772261565j</v>
      </c>
      <c r="K179">
        <f t="shared" si="22"/>
        <v>13.979524843674497</v>
      </c>
      <c r="L179">
        <f t="shared" si="23"/>
        <v>0.19123117882075918</v>
      </c>
      <c r="M179">
        <f t="shared" si="24"/>
        <v>5.0000439668542302</v>
      </c>
      <c r="N179">
        <f t="shared" si="25"/>
        <v>1.6688277226156501E-2</v>
      </c>
    </row>
    <row r="180" spans="7:14" x14ac:dyDescent="0.25">
      <c r="G180">
        <f t="shared" si="20"/>
        <v>2.5400000000000023</v>
      </c>
      <c r="H180">
        <f t="shared" si="18"/>
        <v>3467.3685045253369</v>
      </c>
      <c r="I180" t="str">
        <f t="shared" si="21"/>
        <v>21786.1188422108j</v>
      </c>
      <c r="J180" t="str">
        <f t="shared" si="19"/>
        <v>5.00005062070433+0.0174747739034994j</v>
      </c>
      <c r="K180">
        <f t="shared" si="22"/>
        <v>13.979541069854216</v>
      </c>
      <c r="L180">
        <f t="shared" si="23"/>
        <v>0.20024331593793929</v>
      </c>
      <c r="M180">
        <f t="shared" si="24"/>
        <v>5.0000506207043296</v>
      </c>
      <c r="N180">
        <f t="shared" si="25"/>
        <v>1.7474773903499399E-2</v>
      </c>
    </row>
    <row r="181" spans="7:14" x14ac:dyDescent="0.25">
      <c r="G181">
        <f t="shared" si="20"/>
        <v>2.5600000000000023</v>
      </c>
      <c r="H181">
        <f t="shared" si="18"/>
        <v>3630.7805477010343</v>
      </c>
      <c r="I181" t="str">
        <f t="shared" si="21"/>
        <v>22812.8669909086j</v>
      </c>
      <c r="J181" t="str">
        <f t="shared" si="19"/>
        <v>5.00005791651893+0.0182983373831688j</v>
      </c>
      <c r="K181">
        <f t="shared" si="22"/>
        <v>13.979558861480095</v>
      </c>
      <c r="L181">
        <f t="shared" si="23"/>
        <v>0.20968013596425419</v>
      </c>
      <c r="M181">
        <f t="shared" si="24"/>
        <v>5.0000579165189301</v>
      </c>
      <c r="N181">
        <f t="shared" si="25"/>
        <v>1.82983373831688E-2</v>
      </c>
    </row>
    <row r="182" spans="7:14" x14ac:dyDescent="0.25">
      <c r="G182">
        <f t="shared" si="20"/>
        <v>2.5800000000000023</v>
      </c>
      <c r="H182">
        <f t="shared" si="18"/>
        <v>3801.8939632056336</v>
      </c>
      <c r="I182" t="str">
        <f t="shared" si="21"/>
        <v>23888.0042890684j</v>
      </c>
      <c r="J182" t="str">
        <f t="shared" si="19"/>
        <v>5.00006591623627+0.0191607146224583j</v>
      </c>
      <c r="K182">
        <f t="shared" si="22"/>
        <v>13.97957836957826</v>
      </c>
      <c r="L182">
        <f t="shared" si="23"/>
        <v>0.21956164676955686</v>
      </c>
      <c r="M182">
        <f t="shared" si="24"/>
        <v>5.0000659162362702</v>
      </c>
      <c r="N182">
        <f t="shared" si="25"/>
        <v>1.9160714622458299E-2</v>
      </c>
    </row>
    <row r="183" spans="7:14" x14ac:dyDescent="0.25">
      <c r="G183">
        <f t="shared" si="20"/>
        <v>2.6000000000000023</v>
      </c>
      <c r="H183">
        <f t="shared" si="18"/>
        <v>3981.0717055349969</v>
      </c>
      <c r="I183" t="str">
        <f t="shared" si="21"/>
        <v>25013.8112470459j</v>
      </c>
      <c r="J183" t="str">
        <f t="shared" si="19"/>
        <v>5.00007468777073+0.0200637349180315j</v>
      </c>
      <c r="K183">
        <f t="shared" si="22"/>
        <v>13.979599759744341</v>
      </c>
      <c r="L183">
        <f t="shared" si="23"/>
        <v>0.22990879815534396</v>
      </c>
      <c r="M183">
        <f t="shared" si="24"/>
        <v>5.0000746877707298</v>
      </c>
      <c r="N183">
        <f t="shared" si="25"/>
        <v>2.0063734918031501E-2</v>
      </c>
    </row>
    <row r="184" spans="7:14" x14ac:dyDescent="0.25">
      <c r="G184">
        <f t="shared" si="20"/>
        <v>2.6200000000000023</v>
      </c>
      <c r="H184">
        <f t="shared" si="18"/>
        <v>4168.6938347033793</v>
      </c>
      <c r="I184" t="str">
        <f t="shared" si="21"/>
        <v>26192.6758523384j</v>
      </c>
      <c r="J184" t="str">
        <f t="shared" si="19"/>
        <v>5.00008430558968+0.0210093137876143j</v>
      </c>
      <c r="K184">
        <f t="shared" si="22"/>
        <v>13.9796232135492</v>
      </c>
      <c r="L184">
        <f t="shared" si="23"/>
        <v>0.24074352609697219</v>
      </c>
      <c r="M184">
        <f t="shared" si="24"/>
        <v>5.00008430558968</v>
      </c>
      <c r="N184">
        <f t="shared" si="25"/>
        <v>2.1009313787614298E-2</v>
      </c>
    </row>
    <row r="185" spans="7:14" x14ac:dyDescent="0.25">
      <c r="G185">
        <f t="shared" si="20"/>
        <v>2.6400000000000023</v>
      </c>
      <c r="H185">
        <f t="shared" si="18"/>
        <v>4365.1583224016858</v>
      </c>
      <c r="I185" t="str">
        <f t="shared" si="21"/>
        <v>27427.098634827j</v>
      </c>
      <c r="J185" t="str">
        <f t="shared" si="19"/>
        <v>5.00009485134572+0.0219994570347957j</v>
      </c>
      <c r="K185">
        <f t="shared" si="22"/>
        <v>13.979648930079726</v>
      </c>
      <c r="L185">
        <f t="shared" si="23"/>
        <v>0.25208879904877607</v>
      </c>
      <c r="M185">
        <f t="shared" si="24"/>
        <v>5.00009485134572</v>
      </c>
      <c r="N185">
        <f t="shared" si="25"/>
        <v>2.1999457034795701E-2</v>
      </c>
    </row>
    <row r="186" spans="7:14" x14ac:dyDescent="0.25">
      <c r="G186">
        <f t="shared" si="20"/>
        <v>2.6600000000000024</v>
      </c>
      <c r="H186">
        <f t="shared" si="18"/>
        <v>4570.8818961487768</v>
      </c>
      <c r="I186" t="str">
        <f t="shared" si="21"/>
        <v>28719.6979707352j</v>
      </c>
      <c r="J186" t="str">
        <f t="shared" si="19"/>
        <v>5.00010641457003+0.0230362650055933j</v>
      </c>
      <c r="K186">
        <f t="shared" si="22"/>
        <v>13.979677127628412</v>
      </c>
      <c r="L186">
        <f t="shared" si="23"/>
        <v>0.26396866640602046</v>
      </c>
      <c r="M186">
        <f t="shared" si="24"/>
        <v>5.0001064145700296</v>
      </c>
      <c r="N186">
        <f t="shared" si="25"/>
        <v>2.30362650055933E-2</v>
      </c>
    </row>
    <row r="187" spans="7:14" x14ac:dyDescent="0.25">
      <c r="G187">
        <f t="shared" si="20"/>
        <v>2.6800000000000024</v>
      </c>
      <c r="H187">
        <f t="shared" si="18"/>
        <v>4786.3009232264139</v>
      </c>
      <c r="I187" t="str">
        <f t="shared" si="21"/>
        <v>30073.2156365563j</v>
      </c>
      <c r="J187" t="str">
        <f t="shared" si="19"/>
        <v>5.00011909343274+0.0241219370458514j</v>
      </c>
      <c r="K187">
        <f t="shared" si="22"/>
        <v>13.979708045546012</v>
      </c>
      <c r="L187">
        <f t="shared" si="23"/>
        <v>0.27640830922158283</v>
      </c>
      <c r="M187">
        <f t="shared" si="24"/>
        <v>5.0001190934327404</v>
      </c>
      <c r="N187">
        <f t="shared" si="25"/>
        <v>2.4121937045851399E-2</v>
      </c>
    </row>
    <row r="188" spans="7:14" x14ac:dyDescent="0.25">
      <c r="G188">
        <f t="shared" si="20"/>
        <v>2.7000000000000024</v>
      </c>
      <c r="H188">
        <f t="shared" si="18"/>
        <v>5011.8723362727533</v>
      </c>
      <c r="I188" t="str">
        <f t="shared" si="21"/>
        <v>31490.5226247288j</v>
      </c>
      <c r="J188" t="str">
        <f t="shared" si="19"/>
        <v>5.00013299557662+0.0252587761689699j</v>
      </c>
      <c r="K188">
        <f t="shared" si="22"/>
        <v>13.979741946272718</v>
      </c>
      <c r="L188">
        <f t="shared" si="23"/>
        <v>0.2894340932793027</v>
      </c>
      <c r="M188">
        <f t="shared" si="24"/>
        <v>5.0001329955766201</v>
      </c>
      <c r="N188">
        <f t="shared" si="25"/>
        <v>2.5258776168969901E-2</v>
      </c>
    </row>
    <row r="189" spans="7:14" x14ac:dyDescent="0.25">
      <c r="G189">
        <f t="shared" si="20"/>
        <v>2.7200000000000024</v>
      </c>
      <c r="H189">
        <f t="shared" si="18"/>
        <v>5248.074602497758</v>
      </c>
      <c r="I189" t="str">
        <f t="shared" si="21"/>
        <v>32974.6252333963j</v>
      </c>
      <c r="J189" t="str">
        <f t="shared" si="19"/>
        <v>5.00014823903122+0.0264491939439107j</v>
      </c>
      <c r="K189">
        <f t="shared" si="22"/>
        <v>13.979779117565217</v>
      </c>
      <c r="L189">
        <f t="shared" si="23"/>
        <v>0.30307362463004583</v>
      </c>
      <c r="M189">
        <f t="shared" si="24"/>
        <v>5.00014823903122</v>
      </c>
      <c r="N189">
        <f t="shared" si="25"/>
        <v>2.6449193943910699E-2</v>
      </c>
    </row>
    <row r="190" spans="7:14" x14ac:dyDescent="0.25">
      <c r="G190">
        <f t="shared" si="20"/>
        <v>2.7400000000000024</v>
      </c>
      <c r="H190">
        <f t="shared" si="18"/>
        <v>5495.4087385762778</v>
      </c>
      <c r="I190" t="str">
        <f t="shared" si="21"/>
        <v>34528.6714431688j</v>
      </c>
      <c r="J190" t="str">
        <f t="shared" si="19"/>
        <v>5.00016495321523+0.0276957156139119j</v>
      </c>
      <c r="K190">
        <f t="shared" si="22"/>
        <v>13.979819874938382</v>
      </c>
      <c r="L190">
        <f t="shared" si="23"/>
        <v>0.31735580770090238</v>
      </c>
      <c r="M190">
        <f t="shared" si="24"/>
        <v>5.0001649532152301</v>
      </c>
      <c r="N190">
        <f t="shared" si="25"/>
        <v>2.76957156139119E-2</v>
      </c>
    </row>
    <row r="191" spans="7:14" x14ac:dyDescent="0.25">
      <c r="G191">
        <f t="shared" si="20"/>
        <v>2.7600000000000025</v>
      </c>
      <c r="H191">
        <f t="shared" si="18"/>
        <v>5754.399373371607</v>
      </c>
      <c r="I191" t="str">
        <f t="shared" si="21"/>
        <v>36155.9575944119j</v>
      </c>
      <c r="J191" t="str">
        <f t="shared" si="19"/>
        <v>5.00018328003586+0.029000985456835j</v>
      </c>
      <c r="K191">
        <f t="shared" si="22"/>
        <v>13.97986456434287</v>
      </c>
      <c r="L191">
        <f t="shared" si="23"/>
        <v>0.33231090609223746</v>
      </c>
      <c r="M191">
        <f t="shared" si="24"/>
        <v>5.0001832800358601</v>
      </c>
      <c r="N191">
        <f t="shared" si="25"/>
        <v>2.9000985456835E-2</v>
      </c>
    </row>
    <row r="192" spans="7:14" x14ac:dyDescent="0.25">
      <c r="G192">
        <f t="shared" si="20"/>
        <v>2.7800000000000025</v>
      </c>
      <c r="H192">
        <f t="shared" si="18"/>
        <v>6025.595860743615</v>
      </c>
      <c r="I192" t="str">
        <f t="shared" si="21"/>
        <v>37859.9353792264j</v>
      </c>
      <c r="J192" t="str">
        <f t="shared" si="19"/>
        <v>5.00020337509406+0.0303677723985794j</v>
      </c>
      <c r="K192">
        <f t="shared" si="22"/>
        <v>13.97991356510035</v>
      </c>
      <c r="L192">
        <f t="shared" si="23"/>
        <v>0.3479706061816526</v>
      </c>
      <c r="M192">
        <f t="shared" si="24"/>
        <v>5.0002033750940598</v>
      </c>
      <c r="N192">
        <f t="shared" si="25"/>
        <v>3.03677723985794E-2</v>
      </c>
    </row>
    <row r="193" spans="7:14" x14ac:dyDescent="0.25">
      <c r="G193">
        <f t="shared" si="20"/>
        <v>2.8000000000000025</v>
      </c>
      <c r="H193">
        <f t="shared" si="18"/>
        <v>6309.5734448019712</v>
      </c>
      <c r="I193" t="str">
        <f t="shared" si="21"/>
        <v>39644.2191629502j</v>
      </c>
      <c r="J193" t="str">
        <f t="shared" si="19"/>
        <v>5.00022540900614+0.0317989758915749j</v>
      </c>
      <c r="K193">
        <f t="shared" si="22"/>
        <v>13.979967293121762</v>
      </c>
      <c r="L193">
        <f t="shared" si="23"/>
        <v>0.36436808365869372</v>
      </c>
      <c r="M193">
        <f t="shared" si="24"/>
        <v>5.0002254090061404</v>
      </c>
      <c r="N193">
        <f t="shared" si="25"/>
        <v>3.1798975891574897E-2</v>
      </c>
    </row>
    <row r="194" spans="7:14" x14ac:dyDescent="0.25">
      <c r="G194">
        <f t="shared" si="20"/>
        <v>2.8200000000000025</v>
      </c>
      <c r="H194">
        <f t="shared" si="18"/>
        <v>6606.9344800760055</v>
      </c>
      <c r="I194" t="str">
        <f t="shared" si="21"/>
        <v>41512.5936507118j</v>
      </c>
      <c r="J194" t="str">
        <f t="shared" si="19"/>
        <v>5.00024956885335+0.0332976320709052j</v>
      </c>
      <c r="K194">
        <f t="shared" si="22"/>
        <v>13.980026204436438</v>
      </c>
      <c r="L194">
        <f t="shared" si="23"/>
        <v>0.38153807311831084</v>
      </c>
      <c r="M194">
        <f t="shared" si="24"/>
        <v>5.0002495688533504</v>
      </c>
      <c r="N194">
        <f t="shared" si="25"/>
        <v>3.3297632070905199E-2</v>
      </c>
    </row>
    <row r="195" spans="7:14" x14ac:dyDescent="0.25">
      <c r="G195">
        <f t="shared" si="20"/>
        <v>2.8400000000000025</v>
      </c>
      <c r="H195">
        <f t="shared" ref="H195:H258" si="26">$B$3*10^G195</f>
        <v>6918.3097091894106</v>
      </c>
      <c r="I195" t="str">
        <f t="shared" si="21"/>
        <v>43469.0219152968j</v>
      </c>
      <c r="J195" t="str">
        <f t="shared" ref="J195:J258" si="27">IMDIV(1,IMSUM(IMDIV(IMSUM(1,IMDIV(I195,wc)),Aolv),IMDIV(IMDIV(R_1,IMSUM(1,IMPRODUCT(I195,C_s,R_1))),IMSUM(R_f,IMDIV(R_1,IMSUM(1,IMPRODUCT(I195,C_s,R_1)))))))</f>
        <v>5.00027605977096+0.0348669202012447j</v>
      </c>
      <c r="K195">
        <f t="shared" si="22"/>
        <v>13.980090799060555</v>
      </c>
      <c r="L195">
        <f t="shared" si="23"/>
        <v>0.39951694084601946</v>
      </c>
      <c r="M195">
        <f t="shared" si="24"/>
        <v>5.0002760597709601</v>
      </c>
      <c r="N195">
        <f t="shared" si="25"/>
        <v>3.4866920201244697E-2</v>
      </c>
    </row>
    <row r="196" spans="7:14" x14ac:dyDescent="0.25">
      <c r="G196">
        <f t="shared" ref="G196:G259" si="28">G195+(1/ppd)</f>
        <v>2.8600000000000025</v>
      </c>
      <c r="H196">
        <f t="shared" si="26"/>
        <v>7244.3596007499473</v>
      </c>
      <c r="I196" t="str">
        <f t="shared" ref="I196:I259" si="29">COMPLEX(0,H196*2*PI(),"j")</f>
        <v>45517.6538033574j</v>
      </c>
      <c r="J196" t="str">
        <f t="shared" si="27"/>
        <v>5.00030510669124+0.0365101694284098j</v>
      </c>
      <c r="K196">
        <f t="shared" ref="K196:K259" si="30">20*LOG(IMABS(J196))</f>
        <v>13.980161625239251</v>
      </c>
      <c r="L196">
        <f t="shared" ref="L196:L259" si="31">DEGREES(IMARGUMENT(J196))</f>
        <v>0.41834276093200723</v>
      </c>
      <c r="M196">
        <f t="shared" ref="M196:M259" si="32">IMREAL(J196)</f>
        <v>5.0003051066912398</v>
      </c>
      <c r="N196">
        <f t="shared" ref="N196:N259" si="33">IMAGINARY(J196)</f>
        <v>3.6510169428409803E-2</v>
      </c>
    </row>
    <row r="197" spans="7:14" x14ac:dyDescent="0.25">
      <c r="G197">
        <f t="shared" si="28"/>
        <v>2.8800000000000026</v>
      </c>
      <c r="H197">
        <f t="shared" si="26"/>
        <v>7585.7757502918857</v>
      </c>
      <c r="I197" t="str">
        <f t="shared" si="29"/>
        <v>47662.8347377932j</v>
      </c>
      <c r="J197" t="str">
        <f t="shared" si="27"/>
        <v>5.00033695625452+0.0382308658499972j</v>
      </c>
      <c r="K197">
        <f t="shared" si="30"/>
        <v>13.980239284097063</v>
      </c>
      <c r="L197">
        <f t="shared" si="31"/>
        <v>0.43805539485613898</v>
      </c>
      <c r="M197">
        <f t="shared" si="32"/>
        <v>5.0003369562545199</v>
      </c>
      <c r="N197">
        <f t="shared" si="33"/>
        <v>3.82308658499972E-2</v>
      </c>
    </row>
    <row r="198" spans="7:14" x14ac:dyDescent="0.25">
      <c r="G198">
        <f t="shared" si="28"/>
        <v>2.9000000000000026</v>
      </c>
      <c r="H198">
        <f t="shared" si="26"/>
        <v>7943.2823472428699</v>
      </c>
      <c r="I198" t="str">
        <f t="shared" si="29"/>
        <v>49909.1149349754j</v>
      </c>
      <c r="J198" t="str">
        <f t="shared" si="27"/>
        <v>5.00037187890501+0.0400326599202834j</v>
      </c>
      <c r="K198">
        <f t="shared" si="30"/>
        <v>13.980324434736843</v>
      </c>
      <c r="L198">
        <f t="shared" si="31"/>
        <v>0.45869657469024117</v>
      </c>
      <c r="M198">
        <f t="shared" si="32"/>
        <v>5.0003718789050096</v>
      </c>
      <c r="N198">
        <f t="shared" si="33"/>
        <v>4.0032659920283403E-2</v>
      </c>
    </row>
    <row r="199" spans="7:14" x14ac:dyDescent="0.25">
      <c r="G199">
        <f t="shared" si="28"/>
        <v>2.9200000000000026</v>
      </c>
      <c r="H199">
        <f t="shared" si="26"/>
        <v>8317.6377110267658</v>
      </c>
      <c r="I199" t="str">
        <f t="shared" si="29"/>
        <v>52261.2590563662j</v>
      </c>
      <c r="J199" t="str">
        <f t="shared" si="27"/>
        <v>5.00041017118909+0.041919374205284j</v>
      </c>
      <c r="K199">
        <f t="shared" si="30"/>
        <v>13.980417799830011</v>
      </c>
      <c r="L199">
        <f t="shared" si="31"/>
        <v>0.48030999006831654</v>
      </c>
      <c r="M199">
        <f t="shared" si="32"/>
        <v>5.00041017118909</v>
      </c>
      <c r="N199">
        <f t="shared" si="33"/>
        <v>4.1919374205284E-2</v>
      </c>
    </row>
    <row r="200" spans="7:14" x14ac:dyDescent="0.25">
      <c r="G200">
        <f t="shared" si="28"/>
        <v>2.9400000000000026</v>
      </c>
      <c r="H200">
        <f t="shared" si="26"/>
        <v>8709.6358995608643</v>
      </c>
      <c r="I200" t="str">
        <f t="shared" si="29"/>
        <v>54724.2563150047j</v>
      </c>
      <c r="J200" t="str">
        <f t="shared" si="27"/>
        <v>5.00045215827557+0.0438950115046558j</v>
      </c>
      <c r="K200">
        <f t="shared" si="30"/>
        <v>13.980520171745173</v>
      </c>
      <c r="L200">
        <f t="shared" si="31"/>
        <v>0.5029413790796684</v>
      </c>
      <c r="M200">
        <f t="shared" si="32"/>
        <v>5.0004521582755697</v>
      </c>
      <c r="N200">
        <f t="shared" si="33"/>
        <v>4.3895011504655801E-2</v>
      </c>
    </row>
    <row r="201" spans="7:14" x14ac:dyDescent="0.25">
      <c r="G201">
        <f t="shared" si="28"/>
        <v>2.9600000000000026</v>
      </c>
      <c r="H201">
        <f t="shared" si="26"/>
        <v>9120.108393559156</v>
      </c>
      <c r="I201" t="str">
        <f t="shared" si="29"/>
        <v>57303.3310582961j</v>
      </c>
      <c r="J201" t="str">
        <f t="shared" si="27"/>
        <v>5.00049819671968+0.0459637633579268j</v>
      </c>
      <c r="K201">
        <f t="shared" si="30"/>
        <v>13.980632419267568</v>
      </c>
      <c r="L201">
        <f t="shared" si="31"/>
        <v>0.52663862324370803</v>
      </c>
      <c r="M201">
        <f t="shared" si="32"/>
        <v>5.00049819671968</v>
      </c>
      <c r="N201">
        <f t="shared" si="33"/>
        <v>4.5963763357926797E-2</v>
      </c>
    </row>
    <row r="202" spans="7:14" x14ac:dyDescent="0.25">
      <c r="G202">
        <f t="shared" si="28"/>
        <v>2.9800000000000026</v>
      </c>
      <c r="H202">
        <f t="shared" si="26"/>
        <v>9549.9258602144273</v>
      </c>
      <c r="I202" t="str">
        <f t="shared" si="29"/>
        <v>60003.9538495537j</v>
      </c>
      <c r="J202" t="str">
        <f t="shared" si="27"/>
        <v>5.00054867749415+0.0481300189534005j</v>
      </c>
      <c r="K202">
        <f t="shared" si="30"/>
        <v>13.980755494965569</v>
      </c>
      <c r="L202">
        <f t="shared" si="31"/>
        <v>0.55145184672899361</v>
      </c>
      <c r="M202">
        <f t="shared" si="32"/>
        <v>5.0005486774941499</v>
      </c>
      <c r="N202">
        <f t="shared" si="33"/>
        <v>4.8130018953400501E-2</v>
      </c>
    </row>
    <row r="203" spans="7:14" x14ac:dyDescent="0.25">
      <c r="G203">
        <f t="shared" si="28"/>
        <v>3.0000000000000027</v>
      </c>
      <c r="H203">
        <f t="shared" si="26"/>
        <v>10000.000000000069</v>
      </c>
      <c r="I203" t="str">
        <f t="shared" si="29"/>
        <v>62831.8530717963j</v>
      </c>
      <c r="J203" t="str">
        <f t="shared" si="27"/>
        <v>5.00060402931327+0.0503983744589664j</v>
      </c>
      <c r="K203">
        <f t="shared" si="30"/>
        <v>13.98089044326662</v>
      </c>
      <c r="L203">
        <f t="shared" si="31"/>
        <v>0.57743351998211445</v>
      </c>
      <c r="M203">
        <f t="shared" si="32"/>
        <v>5.0006040293132701</v>
      </c>
      <c r="N203">
        <f t="shared" si="33"/>
        <v>5.0398374458966402E-2</v>
      </c>
    </row>
    <row r="204" spans="7:14" x14ac:dyDescent="0.25">
      <c r="G204">
        <f t="shared" si="28"/>
        <v>3.0200000000000027</v>
      </c>
      <c r="H204">
        <f t="shared" si="26"/>
        <v>10471.285480509066</v>
      </c>
      <c r="I204" t="str">
        <f t="shared" si="29"/>
        <v>65793.0270784175j</v>
      </c>
      <c r="J204" t="str">
        <f t="shared" si="27"/>
        <v>5.0006647222785+0.0527736427950213j</v>
      </c>
      <c r="K204">
        <f t="shared" si="30"/>
        <v>13.981038409311077</v>
      </c>
      <c r="L204">
        <f t="shared" si="31"/>
        <v>0.60463856793507353</v>
      </c>
      <c r="M204">
        <f t="shared" si="32"/>
        <v>5.0006647222784997</v>
      </c>
      <c r="N204">
        <f t="shared" si="33"/>
        <v>5.2773642795021301E-2</v>
      </c>
    </row>
    <row r="205" spans="7:14" x14ac:dyDescent="0.25">
      <c r="G205">
        <f t="shared" si="28"/>
        <v>3.0400000000000027</v>
      </c>
      <c r="H205">
        <f t="shared" si="26"/>
        <v>10964.781961431923</v>
      </c>
      <c r="I205" t="str">
        <f t="shared" si="29"/>
        <v>68893.7569164968j</v>
      </c>
      <c r="J205" t="str">
        <f t="shared" si="27"/>
        <v>5.0007312718765+0.0552608638706569j</v>
      </c>
      <c r="K205">
        <f t="shared" si="30"/>
        <v>13.981200648658209</v>
      </c>
      <c r="L205">
        <f t="shared" si="31"/>
        <v>0.63312448296146728</v>
      </c>
      <c r="M205">
        <f t="shared" si="32"/>
        <v>5.0007312718765</v>
      </c>
      <c r="N205">
        <f t="shared" si="33"/>
        <v>5.5260863870656901E-2</v>
      </c>
    </row>
    <row r="206" spans="7:14" x14ac:dyDescent="0.25">
      <c r="G206">
        <f t="shared" si="28"/>
        <v>3.0600000000000027</v>
      </c>
      <c r="H206">
        <f t="shared" si="26"/>
        <v>11481.53621496891</v>
      </c>
      <c r="I206" t="str">
        <f t="shared" si="29"/>
        <v>72140.619649743j</v>
      </c>
      <c r="J206" t="str">
        <f t="shared" si="27"/>
        <v>5.00080424336413+0.0578653153053715j</v>
      </c>
      <c r="K206">
        <f t="shared" si="30"/>
        <v>13.981378537926844</v>
      </c>
      <c r="L206">
        <f t="shared" si="31"/>
        <v>0.66295144275366991</v>
      </c>
      <c r="M206">
        <f t="shared" si="32"/>
        <v>5.0008042433641302</v>
      </c>
      <c r="N206">
        <f t="shared" si="33"/>
        <v>5.7865315305371499E-2</v>
      </c>
    </row>
    <row r="207" spans="7:14" x14ac:dyDescent="0.25">
      <c r="G207">
        <f t="shared" si="28"/>
        <v>3.0800000000000027</v>
      </c>
      <c r="H207">
        <f t="shared" si="26"/>
        <v>12022.644346174213</v>
      </c>
      <c r="I207" t="str">
        <f t="shared" si="29"/>
        <v>75540.5023093275j</v>
      </c>
      <c r="J207" t="str">
        <f t="shared" si="27"/>
        <v>5.00088425657759+0.0605925236596222j</v>
      </c>
      <c r="K207">
        <f t="shared" si="30"/>
        <v>13.981573586459762</v>
      </c>
      <c r="L207">
        <f t="shared" si="31"/>
        <v>0.69418243329319784</v>
      </c>
      <c r="M207">
        <f t="shared" si="32"/>
        <v>5.0008842565775904</v>
      </c>
      <c r="N207">
        <f t="shared" si="33"/>
        <v>6.0592523659622199E-2</v>
      </c>
    </row>
    <row r="208" spans="7:14" x14ac:dyDescent="0.25">
      <c r="G208">
        <f t="shared" si="28"/>
        <v>3.1000000000000028</v>
      </c>
      <c r="H208">
        <f t="shared" si="26"/>
        <v>12589.254117941757</v>
      </c>
      <c r="I208" t="str">
        <f t="shared" si="29"/>
        <v>79100.6165022018j</v>
      </c>
      <c r="J208" t="str">
        <f t="shared" si="27"/>
        <v>5.00097199120717+0.0634482761987411j</v>
      </c>
      <c r="K208">
        <f t="shared" si="30"/>
        <v>13.981787449110639</v>
      </c>
      <c r="L208">
        <f t="shared" si="31"/>
        <v>0.72688337708615791</v>
      </c>
      <c r="M208">
        <f t="shared" si="32"/>
        <v>5.0009719912071704</v>
      </c>
      <c r="N208">
        <f t="shared" si="33"/>
        <v>6.3448276198741105E-2</v>
      </c>
    </row>
    <row r="209" spans="7:14" x14ac:dyDescent="0.25">
      <c r="G209">
        <f t="shared" si="28"/>
        <v>3.1200000000000028</v>
      </c>
      <c r="H209">
        <f t="shared" si="26"/>
        <v>13182.567385564171</v>
      </c>
      <c r="I209" t="str">
        <f t="shared" si="29"/>
        <v>82828.5137078816j</v>
      </c>
      <c r="J209" t="str">
        <f t="shared" si="27"/>
        <v>5.00106819258255+0.0664386332159232j</v>
      </c>
      <c r="K209">
        <f t="shared" si="30"/>
        <v>13.982021940260674</v>
      </c>
      <c r="L209">
        <f t="shared" si="31"/>
        <v>0.76112326683320952</v>
      </c>
      <c r="M209">
        <f t="shared" si="32"/>
        <v>5.00106819258255</v>
      </c>
      <c r="N209">
        <f t="shared" si="33"/>
        <v>6.6438633215923207E-2</v>
      </c>
    </row>
    <row r="210" spans="7:14" x14ac:dyDescent="0.25">
      <c r="G210">
        <f t="shared" si="28"/>
        <v>3.1400000000000028</v>
      </c>
      <c r="H210">
        <f t="shared" si="26"/>
        <v>13803.84264602895</v>
      </c>
      <c r="I210" t="str">
        <f t="shared" si="29"/>
        <v>86732.1012961481j</v>
      </c>
      <c r="J210" t="str">
        <f t="shared" si="27"/>
        <v>5.00117367801874+0.0695699409413577j</v>
      </c>
      <c r="K210">
        <f t="shared" si="30"/>
        <v>13.982279049183649</v>
      </c>
      <c r="L210">
        <f t="shared" si="31"/>
        <v>0.79697430470052755</v>
      </c>
      <c r="M210">
        <f t="shared" si="32"/>
        <v>5.0011736780187404</v>
      </c>
      <c r="N210">
        <f t="shared" si="33"/>
        <v>6.9569940941357697E-2</v>
      </c>
    </row>
    <row r="211" spans="7:14" x14ac:dyDescent="0.25">
      <c r="G211">
        <f t="shared" si="28"/>
        <v>3.1600000000000028</v>
      </c>
      <c r="H211">
        <f t="shared" si="26"/>
        <v>14454.397707459377</v>
      </c>
      <c r="I211" t="str">
        <f t="shared" si="29"/>
        <v>90819.6592996391j</v>
      </c>
      <c r="J211" t="str">
        <f t="shared" si="27"/>
        <v>5.00128934377659+0.0728488450658799j</v>
      </c>
      <c r="K211">
        <f t="shared" si="30"/>
        <v>13.982560956887555</v>
      </c>
      <c r="L211">
        <f t="shared" si="31"/>
        <v>0.834512047352159</v>
      </c>
      <c r="M211">
        <f t="shared" si="32"/>
        <v>5.0012893437765902</v>
      </c>
      <c r="N211">
        <f t="shared" si="33"/>
        <v>7.2848845065879894E-2</v>
      </c>
    </row>
    <row r="212" spans="7:14" x14ac:dyDescent="0.25">
      <c r="G212">
        <f t="shared" si="28"/>
        <v>3.1800000000000028</v>
      </c>
      <c r="H212">
        <f t="shared" si="26"/>
        <v>15135.612484362187</v>
      </c>
      <c r="I212" t="str">
        <f t="shared" si="29"/>
        <v>95099.8579769084j</v>
      </c>
      <c r="J212" t="str">
        <f t="shared" si="27"/>
        <v>5.00141617269808+0.0762823049090242j</v>
      </c>
      <c r="K212">
        <f t="shared" si="30"/>
        <v>13.982870054574848</v>
      </c>
      <c r="L212">
        <f t="shared" si="31"/>
        <v>0.87381555689694401</v>
      </c>
      <c r="M212">
        <f t="shared" si="32"/>
        <v>5.0014161726980797</v>
      </c>
      <c r="N212">
        <f t="shared" si="33"/>
        <v>7.6282304909024198E-2</v>
      </c>
    </row>
    <row r="213" spans="7:14" x14ac:dyDescent="0.25">
      <c r="G213">
        <f t="shared" si="28"/>
        <v>3.2000000000000028</v>
      </c>
      <c r="H213">
        <f t="shared" si="26"/>
        <v>15848.931924611257</v>
      </c>
      <c r="I213" t="str">
        <f t="shared" si="29"/>
        <v>99581.7762032069j</v>
      </c>
      <c r="J213" t="str">
        <f t="shared" si="27"/>
        <v>5.0015552425822+0.0798776082628823j</v>
      </c>
      <c r="K213">
        <f t="shared" si="30"/>
        <v>13.98320896387637</v>
      </c>
      <c r="L213">
        <f t="shared" si="31"/>
        <v>0.91496755789277484</v>
      </c>
      <c r="M213">
        <f t="shared" si="32"/>
        <v>5.0015552425822003</v>
      </c>
      <c r="N213">
        <f t="shared" si="33"/>
        <v>7.9877608262882302E-2</v>
      </c>
    </row>
    <row r="214" spans="7:14" x14ac:dyDescent="0.25">
      <c r="G214">
        <f t="shared" si="28"/>
        <v>3.2200000000000029</v>
      </c>
      <c r="H214">
        <f t="shared" si="26"/>
        <v>16595.869074375729</v>
      </c>
      <c r="I214" t="str">
        <f t="shared" si="29"/>
        <v>104274.920727994j</v>
      </c>
      <c r="J214" t="str">
        <f t="shared" si="27"/>
        <v>5.00170773537325+0.0836423869447868j</v>
      </c>
      <c r="K214">
        <f t="shared" si="30"/>
        <v>13.983580559027772</v>
      </c>
      <c r="L214">
        <f t="shared" si="31"/>
        <v>0.95805460053758429</v>
      </c>
      <c r="M214">
        <f t="shared" si="32"/>
        <v>5.00170773537325</v>
      </c>
      <c r="N214">
        <f t="shared" si="33"/>
        <v>8.3642386944786803E-2</v>
      </c>
    </row>
    <row r="215" spans="7:14" x14ac:dyDescent="0.25">
      <c r="G215">
        <f t="shared" si="28"/>
        <v>3.2400000000000029</v>
      </c>
      <c r="H215">
        <f t="shared" si="26"/>
        <v>17378.008287493882</v>
      </c>
      <c r="I215" t="str">
        <f t="shared" si="29"/>
        <v>109189.246340027j</v>
      </c>
      <c r="J215" t="str">
        <f t="shared" si="27"/>
        <v>5.00187494724139+0.0875846330935981j</v>
      </c>
      <c r="K215">
        <f t="shared" si="30"/>
        <v>13.983987991174951</v>
      </c>
      <c r="L215">
        <f t="shared" si="31"/>
        <v>1.0031672301597525</v>
      </c>
      <c r="M215">
        <f t="shared" si="32"/>
        <v>5.0018749472413901</v>
      </c>
      <c r="N215">
        <f t="shared" si="33"/>
        <v>8.7584633093598097E-2</v>
      </c>
    </row>
    <row r="216" spans="7:14" x14ac:dyDescent="0.25">
      <c r="G216">
        <f t="shared" si="28"/>
        <v>3.2600000000000029</v>
      </c>
      <c r="H216">
        <f t="shared" si="26"/>
        <v>18197.008586099961</v>
      </c>
      <c r="I216" t="str">
        <f t="shared" si="29"/>
        <v>114335.176982804j</v>
      </c>
      <c r="J216" t="str">
        <f t="shared" si="27"/>
        <v>5.00205829964201+0.091712716246169j</v>
      </c>
      <c r="K216">
        <f t="shared" si="30"/>
        <v>13.984434715010606</v>
      </c>
      <c r="L216">
        <f t="shared" si="31"/>
        <v>1.0504001630993636</v>
      </c>
      <c r="M216">
        <f t="shared" si="32"/>
        <v>5.0020582996420098</v>
      </c>
      <c r="N216">
        <f t="shared" si="33"/>
        <v>9.1712716246169002E-2</v>
      </c>
    </row>
    <row r="217" spans="7:14" x14ac:dyDescent="0.25">
      <c r="G217">
        <f t="shared" si="28"/>
        <v>3.2800000000000029</v>
      </c>
      <c r="H217">
        <f t="shared" si="26"/>
        <v>19054.607179632618</v>
      </c>
      <c r="I217" t="str">
        <f t="shared" si="29"/>
        <v>119723.627865146j</v>
      </c>
      <c r="J217" t="str">
        <f t="shared" si="27"/>
        <v>5.00225935145026+0.0960354012325568j</v>
      </c>
      <c r="K217">
        <f t="shared" si="30"/>
        <v>13.984924517965061</v>
      </c>
      <c r="L217">
        <f t="shared" si="31"/>
        <v>1.0998524690461686</v>
      </c>
      <c r="M217">
        <f t="shared" si="32"/>
        <v>5.0022593514502596</v>
      </c>
      <c r="N217">
        <f t="shared" si="33"/>
        <v>9.60354012325568E-2</v>
      </c>
    </row>
    <row r="218" spans="7:14" x14ac:dyDescent="0.25">
      <c r="G218">
        <f t="shared" si="28"/>
        <v>3.3000000000000029</v>
      </c>
      <c r="H218">
        <f t="shared" si="26"/>
        <v>19952.623149688949</v>
      </c>
      <c r="I218" t="str">
        <f t="shared" si="29"/>
        <v>125366.028613817j</v>
      </c>
      <c r="J218" t="str">
        <f t="shared" si="27"/>
        <v>5.00247981227595+0.100561866930576j</v>
      </c>
      <c r="K218">
        <f t="shared" si="30"/>
        <v>13.985461552194456</v>
      </c>
      <c r="L218">
        <f t="shared" si="31"/>
        <v>1.1516277598681475</v>
      </c>
      <c r="M218">
        <f t="shared" si="32"/>
        <v>5.0024798122759497</v>
      </c>
      <c r="N218">
        <f t="shared" si="33"/>
        <v>0.100561866930576</v>
      </c>
    </row>
    <row r="219" spans="7:14" x14ac:dyDescent="0.25">
      <c r="G219">
        <f t="shared" si="28"/>
        <v>3.3200000000000029</v>
      </c>
      <c r="H219">
        <f t="shared" si="26"/>
        <v>20892.961308540547</v>
      </c>
      <c r="I219" t="str">
        <f t="shared" si="29"/>
        <v>131274.347517294j</v>
      </c>
      <c r="J219" t="str">
        <f t="shared" si="27"/>
        <v>5.00272155707408+0.105301725922517j</v>
      </c>
      <c r="K219">
        <f t="shared" si="30"/>
        <v>13.986050369631261</v>
      </c>
      <c r="L219">
        <f t="shared" si="31"/>
        <v>1.2058343849268947</v>
      </c>
      <c r="M219">
        <f t="shared" si="32"/>
        <v>5.0027215570740804</v>
      </c>
      <c r="N219">
        <f t="shared" si="33"/>
        <v>0.10530172592251701</v>
      </c>
    </row>
    <row r="220" spans="7:14" x14ac:dyDescent="0.25">
      <c r="G220">
        <f t="shared" si="28"/>
        <v>3.340000000000003</v>
      </c>
      <c r="H220">
        <f t="shared" si="26"/>
        <v>21877.616239495685</v>
      </c>
      <c r="I220" t="str">
        <f t="shared" si="29"/>
        <v>137461.116912113j</v>
      </c>
      <c r="J220" t="str">
        <f t="shared" si="27"/>
        <v>5.00298664217944+0.110265045099231j</v>
      </c>
      <c r="K220">
        <f t="shared" si="30"/>
        <v>13.986695960389968</v>
      </c>
      <c r="L220">
        <f t="shared" si="31"/>
        <v>1.2625856328303295</v>
      </c>
      <c r="M220">
        <f t="shared" si="32"/>
        <v>5.0029866421794402</v>
      </c>
      <c r="N220">
        <f t="shared" si="33"/>
        <v>0.110265045099231</v>
      </c>
    </row>
    <row r="221" spans="7:14" x14ac:dyDescent="0.25">
      <c r="G221">
        <f t="shared" si="28"/>
        <v>3.360000000000003</v>
      </c>
      <c r="H221">
        <f t="shared" si="26"/>
        <v>22908.676527677912</v>
      </c>
      <c r="I221" t="str">
        <f t="shared" si="29"/>
        <v>143939.459765636j</v>
      </c>
      <c r="J221" t="str">
        <f t="shared" si="27"/>
        <v>5.00327732290416+0.115462367259213j</v>
      </c>
      <c r="K221">
        <f t="shared" si="30"/>
        <v>13.987403794843733</v>
      </c>
      <c r="L221">
        <f t="shared" si="31"/>
        <v>1.3219999395184305</v>
      </c>
      <c r="M221">
        <f t="shared" si="32"/>
        <v>5.0032773229041601</v>
      </c>
      <c r="N221">
        <f t="shared" si="33"/>
        <v>0.11546236725921299</v>
      </c>
    </row>
    <row r="222" spans="7:14" x14ac:dyDescent="0.25">
      <c r="G222">
        <f t="shared" si="28"/>
        <v>3.380000000000003</v>
      </c>
      <c r="H222">
        <f t="shared" si="26"/>
        <v>23988.329190195091</v>
      </c>
      <c r="I222" t="str">
        <f t="shared" si="29"/>
        <v>150723.117511621j</v>
      </c>
      <c r="J222" t="str">
        <f t="shared" si="27"/>
        <v>5.00359607285351+0.120904733753087j</v>
      </c>
      <c r="K222">
        <f t="shared" si="30"/>
        <v>13.988179869721547</v>
      </c>
      <c r="L222">
        <f t="shared" si="31"/>
        <v>1.3842011025136851</v>
      </c>
      <c r="M222">
        <f t="shared" si="32"/>
        <v>5.0035960728535098</v>
      </c>
      <c r="N222">
        <f t="shared" si="33"/>
        <v>0.120904733753087</v>
      </c>
    </row>
    <row r="223" spans="7:14" x14ac:dyDescent="0.25">
      <c r="G223">
        <f t="shared" si="28"/>
        <v>3.400000000000003</v>
      </c>
      <c r="H223">
        <f t="shared" si="26"/>
        <v>25118.864315095991</v>
      </c>
      <c r="I223" t="str">
        <f t="shared" si="29"/>
        <v>157826.479197649j</v>
      </c>
      <c r="J223" t="str">
        <f t="shared" si="27"/>
        <v>5.00394560512905+0.126603708226689j</v>
      </c>
      <c r="K223">
        <f t="shared" si="30"/>
        <v>13.989030758604457</v>
      </c>
      <c r="L223">
        <f t="shared" si="31"/>
        <v>1.449318501091222</v>
      </c>
      <c r="M223">
        <f t="shared" si="32"/>
        <v>5.0039456051290498</v>
      </c>
      <c r="N223">
        <f t="shared" si="33"/>
        <v>0.12660370822668901</v>
      </c>
    </row>
    <row r="224" spans="7:14" x14ac:dyDescent="0.25">
      <c r="G224">
        <f t="shared" si="28"/>
        <v>3.420000000000003</v>
      </c>
      <c r="H224">
        <f t="shared" si="26"/>
        <v>26302.679918954014</v>
      </c>
      <c r="I224" t="str">
        <f t="shared" si="29"/>
        <v>165264.612006219j</v>
      </c>
      <c r="J224" t="str">
        <f t="shared" si="27"/>
        <v>5.00432889560624+0.132571401519031j</v>
      </c>
      <c r="K224">
        <f t="shared" si="30"/>
        <v>13.989963667235967</v>
      </c>
      <c r="L224">
        <f t="shared" si="31"/>
        <v>1.5174873220339162</v>
      </c>
      <c r="M224">
        <f t="shared" si="32"/>
        <v>5.0043288956062399</v>
      </c>
      <c r="N224">
        <f t="shared" si="33"/>
        <v>0.13257140151903099</v>
      </c>
    </row>
    <row r="225" spans="7:14" x14ac:dyDescent="0.25">
      <c r="G225">
        <f t="shared" si="28"/>
        <v>3.4400000000000031</v>
      </c>
      <c r="H225">
        <f t="shared" si="26"/>
        <v>27542.287033381886</v>
      </c>
      <c r="I225" t="str">
        <f t="shared" si="29"/>
        <v>173053.293214268j</v>
      </c>
      <c r="J225" t="str">
        <f t="shared" si="27"/>
        <v>5.00474920849303+0.138820497774755j</v>
      </c>
      <c r="K225">
        <f t="shared" si="30"/>
        <v>13.99098649410044</v>
      </c>
      <c r="L225">
        <f t="shared" si="31"/>
        <v>1.5888487905327469</v>
      </c>
      <c r="M225">
        <f t="shared" si="32"/>
        <v>5.0047492084930303</v>
      </c>
      <c r="N225">
        <f t="shared" si="33"/>
        <v>0.138820497774755</v>
      </c>
    </row>
    <row r="226" spans="7:14" x14ac:dyDescent="0.25">
      <c r="G226">
        <f t="shared" si="28"/>
        <v>3.4600000000000031</v>
      </c>
      <c r="H226">
        <f t="shared" si="26"/>
        <v>28840.315031266287</v>
      </c>
      <c r="I226" t="str">
        <f t="shared" si="29"/>
        <v>181209.043658883j</v>
      </c>
      <c r="J226" t="str">
        <f t="shared" si="27"/>
        <v>5.00521012439548+0.145364281834104j</v>
      </c>
      <c r="K226">
        <f t="shared" si="30"/>
        <v>13.992107896762002</v>
      </c>
      <c r="L226">
        <f t="shared" si="31"/>
        <v>1.663550405668734</v>
      </c>
      <c r="M226">
        <f t="shared" si="32"/>
        <v>5.0052101243954796</v>
      </c>
      <c r="N226">
        <f t="shared" si="33"/>
        <v>0.14536428183410399</v>
      </c>
    </row>
    <row r="227" spans="7:14" x14ac:dyDescent="0.25">
      <c r="G227">
        <f t="shared" si="28"/>
        <v>3.4800000000000031</v>
      </c>
      <c r="H227">
        <f t="shared" si="26"/>
        <v>30199.517204020391</v>
      </c>
      <c r="I227" t="str">
        <f t="shared" si="29"/>
        <v>189749.162780218j</v>
      </c>
      <c r="J227" t="str">
        <f t="shared" si="27"/>
        <v>5.00571557114191+0.152216667967354j</v>
      </c>
      <c r="K227">
        <f t="shared" si="30"/>
        <v>13.993337364505189</v>
      </c>
      <c r="L227">
        <f t="shared" si="31"/>
        <v>1.7417461797699283</v>
      </c>
      <c r="M227">
        <f t="shared" si="32"/>
        <v>5.0057155711419101</v>
      </c>
      <c r="N227">
        <f t="shared" si="33"/>
        <v>0.152216667967354</v>
      </c>
    </row>
    <row r="228" spans="7:14" x14ac:dyDescent="0.25">
      <c r="G228">
        <f t="shared" si="28"/>
        <v>3.5000000000000031</v>
      </c>
      <c r="H228">
        <f t="shared" si="26"/>
        <v>31622.776601684025</v>
      </c>
      <c r="I228" t="str">
        <f t="shared" si="29"/>
        <v>198691.765315923j</v>
      </c>
      <c r="J228" t="str">
        <f t="shared" si="27"/>
        <v>5.00626985764129+0.159392230024609j</v>
      </c>
      <c r="K228">
        <f t="shared" si="30"/>
        <v>13.994685297864145</v>
      </c>
      <c r="L228">
        <f t="shared" si="31"/>
        <v>1.8235968807688125</v>
      </c>
      <c r="M228">
        <f t="shared" si="32"/>
        <v>5.0062698576412901</v>
      </c>
      <c r="N228">
        <f t="shared" si="33"/>
        <v>0.15939223002460901</v>
      </c>
    </row>
    <row r="229" spans="7:14" x14ac:dyDescent="0.25">
      <c r="G229">
        <f t="shared" si="28"/>
        <v>3.5200000000000031</v>
      </c>
      <c r="H229">
        <f t="shared" si="26"/>
        <v>33113.112148259344</v>
      </c>
      <c r="I229" t="str">
        <f t="shared" si="29"/>
        <v>208055.819724933j</v>
      </c>
      <c r="J229" t="str">
        <f t="shared" si="27"/>
        <v>5.00687771108074+0.166906233076274j</v>
      </c>
      <c r="K229">
        <f t="shared" si="30"/>
        <v>13.99616309568097</v>
      </c>
      <c r="L229">
        <f t="shared" si="31"/>
        <v>1.9092702764913905</v>
      </c>
      <c r="M229">
        <f t="shared" si="32"/>
        <v>5.0068777110807403</v>
      </c>
      <c r="N229">
        <f t="shared" si="33"/>
        <v>0.166906233076274</v>
      </c>
    </row>
    <row r="230" spans="7:14" x14ac:dyDescent="0.25">
      <c r="G230">
        <f t="shared" si="28"/>
        <v>3.5400000000000031</v>
      </c>
      <c r="H230">
        <f t="shared" si="26"/>
        <v>34673.685045253471</v>
      </c>
      <c r="I230" t="str">
        <f t="shared" si="29"/>
        <v>217861.188422109j</v>
      </c>
      <c r="J230" t="str">
        <f t="shared" si="27"/>
        <v>5.0075443177998+0.174774666624255j</v>
      </c>
      <c r="K230">
        <f t="shared" si="30"/>
        <v>13.997783250392175</v>
      </c>
      <c r="L230">
        <f t="shared" si="31"/>
        <v>1.9989413795838069</v>
      </c>
      <c r="M230">
        <f t="shared" si="32"/>
        <v>5.0075443177998</v>
      </c>
      <c r="N230">
        <f t="shared" si="33"/>
        <v>0.174774666624255</v>
      </c>
    </row>
    <row r="231" spans="7:14" x14ac:dyDescent="0.25">
      <c r="G231">
        <f t="shared" si="28"/>
        <v>3.5600000000000032</v>
      </c>
      <c r="H231">
        <f t="shared" si="26"/>
        <v>36307.80547701045</v>
      </c>
      <c r="I231" t="str">
        <f t="shared" si="29"/>
        <v>228128.669909087j</v>
      </c>
      <c r="J231" t="str">
        <f t="shared" si="27"/>
        <v>5.00827536821323+0.183014279468943j</v>
      </c>
      <c r="K231">
        <f t="shared" si="30"/>
        <v>13.999559452301447</v>
      </c>
      <c r="L231">
        <f t="shared" si="31"/>
        <v>2.0927926915211876</v>
      </c>
      <c r="M231">
        <f t="shared" si="32"/>
        <v>5.0082753682132299</v>
      </c>
      <c r="N231">
        <f t="shared" si="33"/>
        <v>0.183014279468943</v>
      </c>
    </row>
    <row r="232" spans="7:14" x14ac:dyDescent="0.25">
      <c r="G232">
        <f t="shared" si="28"/>
        <v>3.5800000000000032</v>
      </c>
      <c r="H232">
        <f t="shared" si="26"/>
        <v>38018.939632056441</v>
      </c>
      <c r="I232" t="str">
        <f t="shared" si="29"/>
        <v>238880.042890685j</v>
      </c>
      <c r="J232" t="str">
        <f t="shared" si="27"/>
        <v>5.00907710619471+0.191642616322568j</v>
      </c>
      <c r="K232">
        <f t="shared" si="30"/>
        <v>14.001506703665253</v>
      </c>
      <c r="L232">
        <f t="shared" si="31"/>
        <v>2.1910144438423043</v>
      </c>
      <c r="M232">
        <f t="shared" si="32"/>
        <v>5.0090771061947104</v>
      </c>
      <c r="N232">
        <f t="shared" si="33"/>
        <v>0.19164261632256799</v>
      </c>
    </row>
    <row r="233" spans="7:14" x14ac:dyDescent="0.25">
      <c r="G233">
        <f t="shared" si="28"/>
        <v>3.6000000000000032</v>
      </c>
      <c r="H233">
        <f t="shared" si="26"/>
        <v>39810.717055350047</v>
      </c>
      <c r="I233" t="str">
        <f t="shared" si="29"/>
        <v>250138.112470459j</v>
      </c>
      <c r="J233" t="str">
        <f t="shared" si="27"/>
        <v>5.00995638337765+0.200678056265339j</v>
      </c>
      <c r="K233">
        <f t="shared" si="30"/>
        <v>14.003641443488817</v>
      </c>
      <c r="L233">
        <f t="shared" si="31"/>
        <v>2.2938048344053001</v>
      </c>
      <c r="M233">
        <f t="shared" si="32"/>
        <v>5.0099563833776504</v>
      </c>
      <c r="N233">
        <f t="shared" si="33"/>
        <v>0.20067805626533899</v>
      </c>
    </row>
    <row r="234" spans="7:14" x14ac:dyDescent="0.25">
      <c r="G234">
        <f t="shared" si="28"/>
        <v>3.6200000000000032</v>
      </c>
      <c r="H234">
        <f t="shared" si="26"/>
        <v>41686.938347033873</v>
      </c>
      <c r="I234" t="str">
        <f t="shared" si="29"/>
        <v>261926.758523384j</v>
      </c>
      <c r="J234" t="str">
        <f t="shared" si="27"/>
        <v>5.01092071887827+0.210139853147148j</v>
      </c>
      <c r="K234">
        <f t="shared" si="30"/>
        <v>14.005981684006461</v>
      </c>
      <c r="L234">
        <f t="shared" si="31"/>
        <v>2.4013702560593986</v>
      </c>
      <c r="M234">
        <f t="shared" si="32"/>
        <v>5.0109207188782703</v>
      </c>
      <c r="N234">
        <f t="shared" si="33"/>
        <v>0.210139853147148</v>
      </c>
    </row>
    <row r="235" spans="7:14" x14ac:dyDescent="0.25">
      <c r="G235">
        <f t="shared" si="28"/>
        <v>3.6400000000000032</v>
      </c>
      <c r="H235">
        <f t="shared" si="26"/>
        <v>43651.58322401694</v>
      </c>
      <c r="I235" t="str">
        <f t="shared" si="29"/>
        <v>274270.98634827j</v>
      </c>
      <c r="J235" t="str">
        <f t="shared" si="27"/>
        <v>5.01197836500186+0.220048178044476j</v>
      </c>
      <c r="K235">
        <f t="shared" si="30"/>
        <v>14.008547159903685</v>
      </c>
      <c r="L235">
        <f t="shared" si="31"/>
        <v>2.5139255146667616</v>
      </c>
      <c r="M235">
        <f t="shared" si="32"/>
        <v>5.0119783650018599</v>
      </c>
      <c r="N235">
        <f t="shared" si="33"/>
        <v>0.22004817804447599</v>
      </c>
    </row>
    <row r="236" spans="7:14" x14ac:dyDescent="0.25">
      <c r="G236">
        <f t="shared" si="28"/>
        <v>3.6600000000000033</v>
      </c>
      <c r="H236">
        <f t="shared" si="26"/>
        <v>45708.81896148785</v>
      </c>
      <c r="I236" t="str">
        <f t="shared" si="29"/>
        <v>287196.979707352j</v>
      </c>
      <c r="J236" t="str">
        <f t="shared" si="27"/>
        <v>5.0131383795539+0.230424163889404j</v>
      </c>
      <c r="K236">
        <f t="shared" si="30"/>
        <v>14.011359491424995</v>
      </c>
      <c r="L236">
        <f t="shared" si="31"/>
        <v>2.6316940328787659</v>
      </c>
      <c r="M236">
        <f t="shared" si="32"/>
        <v>5.0131383795539</v>
      </c>
      <c r="N236">
        <f t="shared" si="33"/>
        <v>0.23042416388940401</v>
      </c>
    </row>
    <row r="237" spans="7:14" x14ac:dyDescent="0.25">
      <c r="G237">
        <f t="shared" si="28"/>
        <v>3.6800000000000033</v>
      </c>
      <c r="H237">
        <f t="shared" si="26"/>
        <v>47863.009232264194</v>
      </c>
      <c r="I237" t="str">
        <f t="shared" si="29"/>
        <v>300732.156365563j</v>
      </c>
      <c r="J237" t="str">
        <f t="shared" si="27"/>
        <v>5.01441070544825+0.241289952395579j</v>
      </c>
      <c r="K237">
        <f t="shared" si="30"/>
        <v>14.014442362607561</v>
      </c>
      <c r="L237">
        <f t="shared" si="31"/>
        <v>2.7549080354638158</v>
      </c>
      <c r="M237">
        <f t="shared" si="32"/>
        <v>5.0144107054482498</v>
      </c>
      <c r="N237">
        <f t="shared" si="33"/>
        <v>0.24128995239557899</v>
      </c>
    </row>
    <row r="238" spans="7:14" x14ac:dyDescent="0.25">
      <c r="G238">
        <f t="shared" si="28"/>
        <v>3.7000000000000033</v>
      </c>
      <c r="H238">
        <f t="shared" si="26"/>
        <v>50118.72336272768</v>
      </c>
      <c r="I238" t="str">
        <f t="shared" si="29"/>
        <v>314905.226247289j</v>
      </c>
      <c r="J238" t="str">
        <f t="shared" si="27"/>
        <v>5.01580625838073+0.25266874341441j</v>
      </c>
      <c r="K238">
        <f t="shared" si="30"/>
        <v>14.017821715977819</v>
      </c>
      <c r="L238">
        <f t="shared" si="31"/>
        <v>2.8838087112887592</v>
      </c>
      <c r="M238">
        <f t="shared" si="32"/>
        <v>5.0158062583807297</v>
      </c>
      <c r="N238">
        <f t="shared" si="33"/>
        <v>0.25266874341440998</v>
      </c>
    </row>
    <row r="239" spans="7:14" x14ac:dyDescent="0.25">
      <c r="G239">
        <f t="shared" si="28"/>
        <v>3.7200000000000033</v>
      </c>
      <c r="H239">
        <f t="shared" si="26"/>
        <v>52480.746024977721</v>
      </c>
      <c r="I239" t="str">
        <f t="shared" si="29"/>
        <v>329746.252333963j</v>
      </c>
      <c r="J239" t="str">
        <f t="shared" si="27"/>
        <v>5.0173370234259+0.26458484686377j</v>
      </c>
      <c r="K239">
        <f t="shared" si="30"/>
        <v>14.021525965157116</v>
      </c>
      <c r="L239">
        <f t="shared" si="31"/>
        <v>3.0186463462590298</v>
      </c>
      <c r="M239">
        <f t="shared" si="32"/>
        <v>5.0173370234258998</v>
      </c>
      <c r="N239">
        <f t="shared" si="33"/>
        <v>0.26458484686376998</v>
      </c>
    </row>
    <row r="240" spans="7:14" x14ac:dyDescent="0.25">
      <c r="G240">
        <f t="shared" si="28"/>
        <v>3.7400000000000033</v>
      </c>
      <c r="H240">
        <f t="shared" si="26"/>
        <v>54954.087385762934</v>
      </c>
      <c r="I240" t="str">
        <f t="shared" si="29"/>
        <v>345286.714431689j</v>
      </c>
      <c r="J240" t="str">
        <f t="shared" si="27"/>
        <v>5.01901616151217+0.277063737381132j</v>
      </c>
      <c r="K240">
        <f t="shared" si="30"/>
        <v>14.02558622693136</v>
      </c>
      <c r="L240">
        <f t="shared" si="31"/>
        <v>3.1596804206150542</v>
      </c>
      <c r="M240">
        <f t="shared" si="32"/>
        <v>5.0190161615121696</v>
      </c>
      <c r="N240">
        <f t="shared" si="33"/>
        <v>0.27706373738113199</v>
      </c>
    </row>
    <row r="241" spans="7:14" x14ac:dyDescent="0.25">
      <c r="G241">
        <f t="shared" si="28"/>
        <v>3.7600000000000033</v>
      </c>
      <c r="H241">
        <f t="shared" si="26"/>
        <v>57543.993733716183</v>
      </c>
      <c r="I241" t="str">
        <f t="shared" si="29"/>
        <v>361559.57594412j</v>
      </c>
      <c r="J241" t="str">
        <f t="shared" si="27"/>
        <v>5.02085812684255+0.290132111863076j</v>
      </c>
      <c r="K241">
        <f t="shared" si="30"/>
        <v>14.030036574457647</v>
      </c>
      <c r="L241">
        <f t="shared" si="31"/>
        <v>3.3071796629438044</v>
      </c>
      <c r="M241">
        <f t="shared" si="32"/>
        <v>5.0208581268425503</v>
      </c>
      <c r="N241">
        <f t="shared" si="33"/>
        <v>0.29013211186307603</v>
      </c>
    </row>
    <row r="242" spans="7:14" x14ac:dyDescent="0.25">
      <c r="G242">
        <f t="shared" si="28"/>
        <v>3.7800000000000034</v>
      </c>
      <c r="H242">
        <f t="shared" si="26"/>
        <v>60255.958607436274</v>
      </c>
      <c r="I242" t="str">
        <f t="shared" si="29"/>
        <v>378599.353792265j</v>
      </c>
      <c r="J242" t="str">
        <f t="shared" si="27"/>
        <v>5.02287879645539+0.303817950063985j</v>
      </c>
      <c r="K242">
        <f t="shared" si="30"/>
        <v>14.034914313403892</v>
      </c>
      <c r="L242">
        <f t="shared" si="31"/>
        <v>3.4614220520856622</v>
      </c>
      <c r="M242">
        <f t="shared" si="32"/>
        <v>5.02287879645539</v>
      </c>
      <c r="N242">
        <f t="shared" si="33"/>
        <v>0.30381795006398499</v>
      </c>
    </row>
    <row r="243" spans="7:14" x14ac:dyDescent="0.25">
      <c r="G243">
        <f t="shared" si="28"/>
        <v>3.8000000000000034</v>
      </c>
      <c r="H243">
        <f t="shared" si="26"/>
        <v>63095.734448019837</v>
      </c>
      <c r="I243" t="str">
        <f t="shared" si="29"/>
        <v>396442.191629503j</v>
      </c>
      <c r="J243" t="str">
        <f t="shared" si="27"/>
        <v>5.02509561326192+0.318150578437531j</v>
      </c>
      <c r="K243">
        <f t="shared" si="30"/>
        <v>14.040260282942214</v>
      </c>
      <c r="L243">
        <f t="shared" si="31"/>
        <v>3.622694756771117</v>
      </c>
      <c r="M243">
        <f t="shared" si="32"/>
        <v>5.0250956132619198</v>
      </c>
      <c r="N243">
        <f t="shared" si="33"/>
        <v>0.31815057843753097</v>
      </c>
    </row>
    <row r="244" spans="7:14" x14ac:dyDescent="0.25">
      <c r="G244">
        <f t="shared" si="28"/>
        <v>3.8200000000000034</v>
      </c>
      <c r="H244">
        <f t="shared" si="26"/>
        <v>66069.344800760126</v>
      </c>
      <c r="I244" t="str">
        <f t="shared" si="29"/>
        <v>415125.936507118j</v>
      </c>
      <c r="J244" t="str">
        <f t="shared" si="27"/>
        <v>5.02752774406199+0.333160737416113j</v>
      </c>
      <c r="K244">
        <f t="shared" si="30"/>
        <v>14.046119183649338</v>
      </c>
      <c r="L244">
        <f t="shared" si="31"/>
        <v>3.7912940012985179</v>
      </c>
      <c r="M244">
        <f t="shared" si="32"/>
        <v>5.0275277440619899</v>
      </c>
      <c r="N244">
        <f t="shared" si="33"/>
        <v>0.33316073741611302</v>
      </c>
    </row>
    <row r="245" spans="7:14" x14ac:dyDescent="0.25">
      <c r="G245">
        <f t="shared" si="28"/>
        <v>3.8400000000000034</v>
      </c>
      <c r="H245">
        <f t="shared" si="26"/>
        <v>69183.097091894306</v>
      </c>
      <c r="I245" t="str">
        <f t="shared" si="29"/>
        <v>434690.219152969j</v>
      </c>
      <c r="J245" t="str">
        <f t="shared" si="27"/>
        <v>5.03019625422442+0.348880652334814j</v>
      </c>
      <c r="K245">
        <f t="shared" si="30"/>
        <v>14.05253993449813</v>
      </c>
      <c r="L245">
        <f t="shared" si="31"/>
        <v>3.9675248438362227</v>
      </c>
      <c r="M245">
        <f t="shared" si="32"/>
        <v>5.0301962542244203</v>
      </c>
      <c r="N245">
        <f t="shared" si="33"/>
        <v>0.34888065233481402</v>
      </c>
    </row>
    <row r="246" spans="7:14" x14ac:dyDescent="0.25">
      <c r="G246">
        <f t="shared" si="28"/>
        <v>3.8600000000000034</v>
      </c>
      <c r="H246">
        <f t="shared" si="26"/>
        <v>72443.596007499684</v>
      </c>
      <c r="I246" t="str">
        <f t="shared" si="29"/>
        <v>455176.538033576j</v>
      </c>
      <c r="J246" t="str">
        <f t="shared" si="27"/>
        <v>5.03312430093266+0.365344108217455j</v>
      </c>
      <c r="K246">
        <f t="shared" si="30"/>
        <v>14.059576061260781</v>
      </c>
      <c r="L246">
        <f t="shared" si="31"/>
        <v>4.1517008519736951</v>
      </c>
      <c r="M246">
        <f t="shared" si="32"/>
        <v>5.0331243009326601</v>
      </c>
      <c r="N246">
        <f t="shared" si="33"/>
        <v>0.365344108217455</v>
      </c>
    </row>
    <row r="247" spans="7:14" x14ac:dyDescent="0.25">
      <c r="G247">
        <f t="shared" si="28"/>
        <v>3.8800000000000034</v>
      </c>
      <c r="H247">
        <f t="shared" si="26"/>
        <v>75857.757502919063</v>
      </c>
      <c r="I247" t="str">
        <f t="shared" si="29"/>
        <v>476628.347377933j</v>
      </c>
      <c r="J247" t="str">
        <f t="shared" si="27"/>
        <v>5.0363373471389+0.382586528653161j</v>
      </c>
      <c r="K247">
        <f t="shared" si="30"/>
        <v>14.067286118775089</v>
      </c>
      <c r="L247">
        <f t="shared" si="31"/>
        <v>4.344143657941915</v>
      </c>
      <c r="M247">
        <f t="shared" si="32"/>
        <v>5.0363373471389004</v>
      </c>
      <c r="N247">
        <f t="shared" si="33"/>
        <v>0.38258652865316101</v>
      </c>
    </row>
    <row r="248" spans="7:14" x14ac:dyDescent="0.25">
      <c r="G248">
        <f t="shared" si="28"/>
        <v>3.9000000000000035</v>
      </c>
      <c r="H248">
        <f t="shared" si="26"/>
        <v>79432.823472428863</v>
      </c>
      <c r="I248" t="str">
        <f t="shared" si="29"/>
        <v>499091.149349755j</v>
      </c>
      <c r="J248" t="str">
        <f t="shared" si="27"/>
        <v>5.03986339865175+0.400645059000891j</v>
      </c>
      <c r="K248">
        <f t="shared" si="30"/>
        <v>14.075734149658665</v>
      </c>
      <c r="L248">
        <f t="shared" si="31"/>
        <v>4.545182373430074</v>
      </c>
      <c r="M248">
        <f t="shared" si="32"/>
        <v>5.0398633986517503</v>
      </c>
      <c r="N248">
        <f t="shared" si="33"/>
        <v>0.40064505900089098</v>
      </c>
    </row>
    <row r="249" spans="7:14" x14ac:dyDescent="0.25">
      <c r="G249">
        <f t="shared" si="28"/>
        <v>3.9200000000000035</v>
      </c>
      <c r="H249">
        <f t="shared" si="26"/>
        <v>83176.377110267815</v>
      </c>
      <c r="I249" t="str">
        <f t="shared" si="29"/>
        <v>522612.590563663j</v>
      </c>
      <c r="J249" t="str">
        <f t="shared" si="27"/>
        <v>5.04373326710377+0.419558654166728j</v>
      </c>
      <c r="K249">
        <f t="shared" si="30"/>
        <v>14.08499018217813</v>
      </c>
      <c r="L249">
        <f t="shared" si="31"/>
        <v>4.7551528411287283</v>
      </c>
      <c r="M249">
        <f t="shared" si="32"/>
        <v>5.0437332671037698</v>
      </c>
      <c r="N249">
        <f t="shared" si="33"/>
        <v>0.419558654166728</v>
      </c>
    </row>
    <row r="250" spans="7:14" x14ac:dyDescent="0.25">
      <c r="G250">
        <f t="shared" si="28"/>
        <v>3.9400000000000035</v>
      </c>
      <c r="H250">
        <f t="shared" si="26"/>
        <v>87096.358995608811</v>
      </c>
      <c r="I250" t="str">
        <f t="shared" si="29"/>
        <v>547242.563150048j</v>
      </c>
      <c r="J250" t="str">
        <f t="shared" si="27"/>
        <v>5.04798086191976+0.439368171202823j</v>
      </c>
      <c r="K250">
        <f t="shared" si="30"/>
        <v>14.095130770099349</v>
      </c>
      <c r="L250">
        <f t="shared" si="31"/>
        <v>4.9743966969875988</v>
      </c>
      <c r="M250">
        <f t="shared" si="32"/>
        <v>5.0479808619197604</v>
      </c>
      <c r="N250">
        <f t="shared" si="33"/>
        <v>0.43936817120282301</v>
      </c>
    </row>
    <row r="251" spans="7:14" x14ac:dyDescent="0.25">
      <c r="G251">
        <f t="shared" si="28"/>
        <v>3.9600000000000035</v>
      </c>
      <c r="H251">
        <f t="shared" si="26"/>
        <v>91201.083935591741</v>
      </c>
      <c r="I251" t="str">
        <f t="shared" si="29"/>
        <v>573033.310582962j</v>
      </c>
      <c r="J251" t="str">
        <f t="shared" si="27"/>
        <v>5.05264351483713+0.460116466976138j</v>
      </c>
      <c r="K251">
        <f t="shared" si="30"/>
        <v>14.106239577445974</v>
      </c>
      <c r="L251">
        <f t="shared" si="31"/>
        <v>5.2032602136601156</v>
      </c>
      <c r="M251">
        <f t="shared" si="32"/>
        <v>5.05264351483713</v>
      </c>
      <c r="N251">
        <f t="shared" si="33"/>
        <v>0.46011646697613801</v>
      </c>
    </row>
    <row r="252" spans="7:14" x14ac:dyDescent="0.25">
      <c r="G252">
        <f t="shared" si="28"/>
        <v>3.9800000000000035</v>
      </c>
      <c r="H252">
        <f t="shared" si="26"/>
        <v>95499.258602144386</v>
      </c>
      <c r="I252" t="str">
        <f t="shared" si="29"/>
        <v>600039.538495537j</v>
      </c>
      <c r="J252" t="str">
        <f t="shared" si="27"/>
        <v>5.05776234103223+0.481848501147811j</v>
      </c>
      <c r="K252">
        <f t="shared" si="30"/>
        <v>14.118408011181494</v>
      </c>
      <c r="L252">
        <f t="shared" si="31"/>
        <v>5.4420928916807929</v>
      </c>
      <c r="M252">
        <f t="shared" si="32"/>
        <v>5.0577623410322303</v>
      </c>
      <c r="N252">
        <f t="shared" si="33"/>
        <v>0.48184850114781103</v>
      </c>
    </row>
    <row r="253" spans="7:14" x14ac:dyDescent="0.25">
      <c r="G253">
        <f t="shared" si="28"/>
        <v>4.0000000000000036</v>
      </c>
      <c r="H253">
        <f t="shared" si="26"/>
        <v>100000.00000000099</v>
      </c>
      <c r="I253" t="str">
        <f t="shared" si="29"/>
        <v>628318.530717965j</v>
      </c>
      <c r="J253" t="str">
        <f t="shared" si="27"/>
        <v>5.06338264149039+0.504611444687351j</v>
      </c>
      <c r="K253">
        <f t="shared" si="30"/>
        <v>14.13173590489369</v>
      </c>
      <c r="L253">
        <f t="shared" si="31"/>
        <v>5.6912457605525963</v>
      </c>
      <c r="M253">
        <f t="shared" si="32"/>
        <v>5.0633826414903904</v>
      </c>
      <c r="N253">
        <f t="shared" si="33"/>
        <v>0.50461144468735097</v>
      </c>
    </row>
    <row r="254" spans="7:14" x14ac:dyDescent="0.25">
      <c r="G254">
        <f t="shared" si="28"/>
        <v>4.0200000000000031</v>
      </c>
      <c r="H254">
        <f t="shared" si="26"/>
        <v>104712.85480509077</v>
      </c>
      <c r="I254" t="str">
        <f t="shared" si="29"/>
        <v>657930.270784176j</v>
      </c>
      <c r="J254" t="str">
        <f t="shared" si="27"/>
        <v>5.06955435193927+0.52845479411581j</v>
      </c>
      <c r="K254">
        <f t="shared" si="30"/>
        <v>14.146332256595851</v>
      </c>
      <c r="L254">
        <f t="shared" si="31"/>
        <v>5.9510693470665057</v>
      </c>
      <c r="M254">
        <f t="shared" si="32"/>
        <v>5.0695543519392698</v>
      </c>
      <c r="N254">
        <f t="shared" si="33"/>
        <v>0.52845479411580998</v>
      </c>
    </row>
    <row r="255" spans="7:14" x14ac:dyDescent="0.25">
      <c r="G255">
        <f t="shared" si="28"/>
        <v>4.0400000000000027</v>
      </c>
      <c r="H255">
        <f t="shared" si="26"/>
        <v>109647.81961431933</v>
      </c>
      <c r="I255" t="str">
        <f t="shared" si="29"/>
        <v>688937.569164969j</v>
      </c>
      <c r="J255" t="str">
        <f t="shared" si="27"/>
        <v>5.07633254446527+0.553430491624819j</v>
      </c>
      <c r="K255">
        <f t="shared" si="30"/>
        <v>14.162316023762367</v>
      </c>
      <c r="L255">
        <f t="shared" si="31"/>
        <v>6.2219112628072502</v>
      </c>
      <c r="M255">
        <f t="shared" si="32"/>
        <v>5.07633254446527</v>
      </c>
      <c r="N255">
        <f t="shared" si="33"/>
        <v>0.55343049162481905</v>
      </c>
    </row>
    <row r="256" spans="7:14" x14ac:dyDescent="0.25">
      <c r="G256">
        <f t="shared" si="28"/>
        <v>4.0600000000000023</v>
      </c>
      <c r="H256">
        <f t="shared" si="26"/>
        <v>114815.36214968891</v>
      </c>
      <c r="I256" t="str">
        <f t="shared" si="29"/>
        <v>721406.196497429j</v>
      </c>
      <c r="J256" t="str">
        <f t="shared" si="27"/>
        <v>5.08377798887057+0.579593051146361j</v>
      </c>
      <c r="K256">
        <f t="shared" si="30"/>
        <v>14.179816978675072</v>
      </c>
      <c r="L256">
        <f t="shared" si="31"/>
        <v>6.5041133568714438</v>
      </c>
      <c r="M256">
        <f t="shared" si="32"/>
        <v>5.0837779888705699</v>
      </c>
      <c r="N256">
        <f t="shared" si="33"/>
        <v>0.57959305114636095</v>
      </c>
    </row>
    <row r="257" spans="7:14" x14ac:dyDescent="0.25">
      <c r="G257">
        <f t="shared" si="28"/>
        <v>4.0800000000000018</v>
      </c>
      <c r="H257">
        <f t="shared" si="26"/>
        <v>120226.44346174195</v>
      </c>
      <c r="I257" t="str">
        <f t="shared" si="29"/>
        <v>755405.023093274j</v>
      </c>
      <c r="J257" t="str">
        <f t="shared" si="27"/>
        <v>5.09195778193484+0.606999690343848j</v>
      </c>
      <c r="K257">
        <f t="shared" si="30"/>
        <v>14.198976627069115</v>
      </c>
      <c r="L257">
        <f t="shared" si="31"/>
        <v>6.7980083733069883</v>
      </c>
      <c r="M257">
        <f t="shared" si="32"/>
        <v>5.0919577819348403</v>
      </c>
      <c r="N257">
        <f t="shared" si="33"/>
        <v>0.60699969034384804</v>
      </c>
    </row>
    <row r="258" spans="7:14" x14ac:dyDescent="0.25">
      <c r="G258">
        <f t="shared" si="28"/>
        <v>4.1000000000000014</v>
      </c>
      <c r="H258">
        <f t="shared" si="26"/>
        <v>125892.54117941715</v>
      </c>
      <c r="I258" t="str">
        <f t="shared" si="29"/>
        <v>791006.165022015j</v>
      </c>
      <c r="J258" t="str">
        <f t="shared" si="27"/>
        <v>5.10094605405361+0.63571046834705j</v>
      </c>
      <c r="K258">
        <f t="shared" si="30"/>
        <v>14.219949192924656</v>
      </c>
      <c r="L258">
        <f t="shared" si="31"/>
        <v>7.103916045637253</v>
      </c>
      <c r="M258">
        <f t="shared" si="32"/>
        <v>5.10094605405361</v>
      </c>
      <c r="N258">
        <f t="shared" si="33"/>
        <v>0.63571046834705003</v>
      </c>
    </row>
    <row r="259" spans="7:14" x14ac:dyDescent="0.25">
      <c r="G259">
        <f t="shared" si="28"/>
        <v>4.120000000000001</v>
      </c>
      <c r="H259">
        <f t="shared" ref="H259:H322" si="34">$B$3*10^G259</f>
        <v>131825.67385564116</v>
      </c>
      <c r="I259" t="str">
        <f t="shared" si="29"/>
        <v>828285.137078813j</v>
      </c>
      <c r="J259" t="str">
        <f t="shared" ref="J259:J322" si="35">IMDIV(1,IMSUM(IMDIV(IMSUM(1,IMDIV(I259,wc)),Aolv),IMDIV(IMDIV(R_1,IMSUM(1,IMPRODUCT(I259,C_s,R_1))),IMSUM(R_f,IMDIV(R_1,IMSUM(1,IMPRODUCT(I259,C_s,R_1)))))))</f>
        <v>5.11082476427276+0.665788428846144j</v>
      </c>
      <c r="K259">
        <f t="shared" si="30"/>
        <v>14.242902672041019</v>
      </c>
      <c r="L259">
        <f t="shared" si="31"/>
        <v>7.4221385530200354</v>
      </c>
      <c r="M259">
        <f t="shared" si="32"/>
        <v>5.1108247642727598</v>
      </c>
      <c r="N259">
        <f t="shared" si="33"/>
        <v>0.66578842884614398</v>
      </c>
    </row>
    <row r="260" spans="7:14" x14ac:dyDescent="0.25">
      <c r="G260">
        <f t="shared" ref="G260:G323" si="36">G259+(1/ppd)</f>
        <v>4.1400000000000006</v>
      </c>
      <c r="H260">
        <f t="shared" si="34"/>
        <v>138038.4264602889</v>
      </c>
      <c r="I260" t="str">
        <f t="shared" ref="I260:I323" si="37">COMPLEX(0,H260*2*PI(),"j")</f>
        <v>867321.012961477j</v>
      </c>
      <c r="J260" t="str">
        <f t="shared" si="35"/>
        <v>5.12168459658229+0.69729974787538j</v>
      </c>
      <c r="K260">
        <f t="shared" ref="K260:K323" si="38">20*LOG(IMABS(J260))</f>
        <v>14.268019956757836</v>
      </c>
      <c r="L260">
        <f t="shared" ref="L260:L323" si="39">DEGREES(IMARGUMENT(J260))</f>
        <v>7.7529552540795885</v>
      </c>
      <c r="M260">
        <f t="shared" ref="M260:M323" si="40">IMREAL(J260)</f>
        <v>5.1216845965822904</v>
      </c>
      <c r="N260">
        <f t="shared" ref="N260:N323" si="41">IMAGINARY(J260)</f>
        <v>0.69729974787537996</v>
      </c>
    </row>
    <row r="261" spans="7:14" x14ac:dyDescent="0.25">
      <c r="G261">
        <f t="shared" si="36"/>
        <v>4.16</v>
      </c>
      <c r="H261">
        <f t="shared" si="34"/>
        <v>144543.9770745929</v>
      </c>
      <c r="I261" t="str">
        <f t="shared" si="37"/>
        <v>908196.592996385j</v>
      </c>
      <c r="J261" t="str">
        <f t="shared" si="35"/>
        <v>5.13362597252714+0.730313885226961j</v>
      </c>
      <c r="K261">
        <f t="shared" si="38"/>
        <v>14.295500033836593</v>
      </c>
      <c r="L261">
        <f t="shared" si="39"/>
        <v>8.096616605190615</v>
      </c>
      <c r="M261">
        <f t="shared" si="40"/>
        <v>5.13362597252714</v>
      </c>
      <c r="N261">
        <f t="shared" si="41"/>
        <v>0.73031388522696095</v>
      </c>
    </row>
    <row r="262" spans="7:14" x14ac:dyDescent="0.25">
      <c r="G262">
        <f t="shared" si="36"/>
        <v>4.18</v>
      </c>
      <c r="H262">
        <f t="shared" si="34"/>
        <v>151356.12484362096</v>
      </c>
      <c r="I262" t="str">
        <f t="shared" si="37"/>
        <v>950998.579769078j</v>
      </c>
      <c r="J262" t="str">
        <f t="shared" si="35"/>
        <v>5.14676019781991+0.76490373790637j</v>
      </c>
      <c r="K262">
        <f t="shared" si="38"/>
        <v>14.325559257093188</v>
      </c>
      <c r="L262">
        <f t="shared" si="39"/>
        <v>8.4533371599338718</v>
      </c>
      <c r="M262">
        <f t="shared" si="40"/>
        <v>5.1467601978199102</v>
      </c>
      <c r="N262">
        <f t="shared" si="41"/>
        <v>0.76490373790637001</v>
      </c>
    </row>
    <row r="263" spans="7:14" x14ac:dyDescent="0.25">
      <c r="G263">
        <f t="shared" si="36"/>
        <v>4.1999999999999993</v>
      </c>
      <c r="H263">
        <f t="shared" si="34"/>
        <v>158489.3192461112</v>
      </c>
      <c r="I263" t="str">
        <f t="shared" si="37"/>
        <v>995817.762032061j</v>
      </c>
      <c r="J263" t="str">
        <f t="shared" si="35"/>
        <v>5.1612107637905+0.801145793325804j</v>
      </c>
      <c r="K263">
        <f t="shared" si="38"/>
        <v>14.358432695873834</v>
      </c>
      <c r="L263">
        <f t="shared" si="39"/>
        <v>8.8232875355295111</v>
      </c>
      <c r="M263">
        <f t="shared" si="40"/>
        <v>5.1612107637904998</v>
      </c>
      <c r="N263">
        <f t="shared" si="41"/>
        <v>0.80114579332580405</v>
      </c>
    </row>
    <row r="264" spans="7:14" x14ac:dyDescent="0.25">
      <c r="G264">
        <f t="shared" si="36"/>
        <v>4.2199999999999989</v>
      </c>
      <c r="H264">
        <f t="shared" si="34"/>
        <v>165958.69074375587</v>
      </c>
      <c r="I264" t="str">
        <f t="shared" si="37"/>
        <v>1042749.20727993j</v>
      </c>
      <c r="J264" t="str">
        <f t="shared" si="35"/>
        <v>5.17711482829972+0.839120278969738j</v>
      </c>
      <c r="K264">
        <f t="shared" si="38"/>
        <v>14.394375559904493</v>
      </c>
      <c r="L264">
        <f t="shared" si="39"/>
        <v>9.2065852201803438</v>
      </c>
      <c r="M264">
        <f t="shared" si="40"/>
        <v>5.1771148282997199</v>
      </c>
      <c r="N264">
        <f t="shared" si="41"/>
        <v>0.83912027896973795</v>
      </c>
    </row>
    <row r="265" spans="7:14" x14ac:dyDescent="0.25">
      <c r="G265">
        <f t="shared" si="36"/>
        <v>4.2399999999999984</v>
      </c>
      <c r="H265">
        <f t="shared" si="34"/>
        <v>173780.08287493698</v>
      </c>
      <c r="I265" t="str">
        <f t="shared" si="37"/>
        <v>1091892.46340025j</v>
      </c>
      <c r="J265" t="str">
        <f t="shared" si="35"/>
        <v>5.19462490531846+0.878911303972847j</v>
      </c>
      <c r="K265">
        <f t="shared" si="38"/>
        <v>14.433664700425359</v>
      </c>
      <c r="L265">
        <f t="shared" si="39"/>
        <v>9.603284082292717</v>
      </c>
      <c r="M265">
        <f t="shared" si="40"/>
        <v>5.1946249053184603</v>
      </c>
      <c r="N265">
        <f t="shared" si="41"/>
        <v>0.878911303972847</v>
      </c>
    </row>
    <row r="266" spans="7:14" x14ac:dyDescent="0.25">
      <c r="G266">
        <f t="shared" si="36"/>
        <v>4.259999999999998</v>
      </c>
      <c r="H266">
        <f t="shared" si="34"/>
        <v>181970.08586099773</v>
      </c>
      <c r="I266" t="str">
        <f t="shared" si="37"/>
        <v>1143351.76982803j</v>
      </c>
      <c r="J266" t="str">
        <f t="shared" si="35"/>
        <v>5.21391079791516+0.920606986315524j</v>
      </c>
      <c r="K266">
        <f t="shared" si="38"/>
        <v>14.476600186878553</v>
      </c>
      <c r="L266">
        <f t="shared" si="39"/>
        <v>10.013362428293947</v>
      </c>
      <c r="M266">
        <f t="shared" si="40"/>
        <v>5.21391079791516</v>
      </c>
      <c r="N266">
        <f t="shared" si="41"/>
        <v>0.92060698631552396</v>
      </c>
    </row>
    <row r="267" spans="7:14" x14ac:dyDescent="0.25">
      <c r="G267">
        <f t="shared" si="36"/>
        <v>4.2799999999999976</v>
      </c>
      <c r="H267">
        <f t="shared" si="34"/>
        <v>190546.0717963237</v>
      </c>
      <c r="I267" t="str">
        <f t="shared" si="37"/>
        <v>1197236.27865145j</v>
      </c>
      <c r="J267" t="str">
        <f t="shared" si="35"/>
        <v>5.23516181612057+0.964299557013475j</v>
      </c>
      <c r="K267">
        <f t="shared" si="38"/>
        <v>14.52350695777282</v>
      </c>
      <c r="L267">
        <f t="shared" si="39"/>
        <v>10.436709439913528</v>
      </c>
      <c r="M267">
        <f t="shared" si="40"/>
        <v>5.23516181612057</v>
      </c>
      <c r="N267">
        <f t="shared" si="41"/>
        <v>0.96429955701347503</v>
      </c>
    </row>
    <row r="268" spans="7:14" x14ac:dyDescent="0.25">
      <c r="G268">
        <f t="shared" si="36"/>
        <v>4.2999999999999972</v>
      </c>
      <c r="H268">
        <f t="shared" si="34"/>
        <v>199526.23149688687</v>
      </c>
      <c r="I268" t="str">
        <f t="shared" si="37"/>
        <v>1253660.28613815j</v>
      </c>
      <c r="J268" t="str">
        <f t="shared" si="35"/>
        <v>5.25858932933431+1.01008542955515j</v>
      </c>
      <c r="K268">
        <f t="shared" si="38"/>
        <v>14.574736543758952</v>
      </c>
      <c r="L268">
        <f t="shared" si="39"/>
        <v>10.87310980391541</v>
      </c>
      <c r="M268">
        <f t="shared" si="40"/>
        <v>5.2585893293343098</v>
      </c>
      <c r="N268">
        <f t="shared" si="41"/>
        <v>1.01008542955515</v>
      </c>
    </row>
    <row r="269" spans="7:14" x14ac:dyDescent="0.25">
      <c r="G269">
        <f t="shared" si="36"/>
        <v>4.3199999999999967</v>
      </c>
      <c r="H269">
        <f t="shared" si="34"/>
        <v>208929.61308540276</v>
      </c>
      <c r="I269" t="str">
        <f t="shared" si="37"/>
        <v>1312743.47517292j</v>
      </c>
      <c r="J269" t="str">
        <f t="shared" si="35"/>
        <v>5.28442971294765+1.05806521864572j</v>
      </c>
      <c r="K269">
        <f t="shared" si="38"/>
        <v>14.630668860465741</v>
      </c>
      <c r="L269">
        <f t="shared" si="39"/>
        <v>11.322226326680205</v>
      </c>
      <c r="M269">
        <f t="shared" si="40"/>
        <v>5.2844297129476496</v>
      </c>
      <c r="N269">
        <f t="shared" si="41"/>
        <v>1.05806521864572</v>
      </c>
    </row>
    <row r="270" spans="7:14" x14ac:dyDescent="0.25">
      <c r="G270">
        <f t="shared" si="36"/>
        <v>4.3399999999999963</v>
      </c>
      <c r="H270">
        <f t="shared" si="34"/>
        <v>218776.16239495357</v>
      </c>
      <c r="I270" t="str">
        <f t="shared" si="37"/>
        <v>1374611.16912111j</v>
      </c>
      <c r="J270" t="str">
        <f t="shared" si="35"/>
        <v>5.31294776112738+1.10834368667655j</v>
      </c>
      <c r="K270">
        <f t="shared" si="38"/>
        <v>14.69171406835593</v>
      </c>
      <c r="L270">
        <f t="shared" si="39"/>
        <v>11.783580301802896</v>
      </c>
      <c r="M270">
        <f t="shared" si="40"/>
        <v>5.3129477611273801</v>
      </c>
      <c r="N270">
        <f t="shared" si="41"/>
        <v>1.1083436866765499</v>
      </c>
    </row>
    <row r="271" spans="7:14" x14ac:dyDescent="0.25">
      <c r="G271">
        <f t="shared" si="36"/>
        <v>4.3599999999999959</v>
      </c>
      <c r="H271">
        <f t="shared" si="34"/>
        <v>229086.76527677546</v>
      </c>
      <c r="I271" t="str">
        <f t="shared" si="37"/>
        <v>1439394.59765633j</v>
      </c>
      <c r="J271" t="str">
        <f t="shared" si="35"/>
        <v>5.34444065277866+1.16102958873768j</v>
      </c>
      <c r="K271">
        <f t="shared" si="38"/>
        <v>14.758314496837961</v>
      </c>
      <c r="L271">
        <f t="shared" si="39"/>
        <v>12.256529369609682</v>
      </c>
      <c r="M271">
        <f t="shared" si="40"/>
        <v>5.3444406527786601</v>
      </c>
      <c r="N271">
        <f t="shared" si="41"/>
        <v>1.16102958873768</v>
      </c>
    </row>
    <row r="272" spans="7:14" x14ac:dyDescent="0.25">
      <c r="G272">
        <f t="shared" si="36"/>
        <v>4.3799999999999955</v>
      </c>
      <c r="H272">
        <f t="shared" si="34"/>
        <v>239883.29190194668</v>
      </c>
      <c r="I272" t="str">
        <f t="shared" si="37"/>
        <v>1507231.17511618j</v>
      </c>
      <c r="J272" t="str">
        <f t="shared" si="35"/>
        <v>5.37924257628676+1.21623537672547j</v>
      </c>
      <c r="K272">
        <f t="shared" si="38"/>
        <v>14.830946630233313</v>
      </c>
      <c r="L272">
        <f t="shared" si="39"/>
        <v>12.740242571292423</v>
      </c>
      <c r="M272">
        <f t="shared" si="40"/>
        <v>5.3792425762867602</v>
      </c>
      <c r="N272">
        <f t="shared" si="41"/>
        <v>1.2162353767254701</v>
      </c>
    </row>
    <row r="273" spans="7:14" x14ac:dyDescent="0.25">
      <c r="G273">
        <f t="shared" si="36"/>
        <v>4.399999999999995</v>
      </c>
      <c r="H273">
        <f t="shared" si="34"/>
        <v>251188.64315095547</v>
      </c>
      <c r="I273" t="str">
        <f t="shared" si="37"/>
        <v>1578264.79197646j</v>
      </c>
      <c r="J273" t="str">
        <f t="shared" si="35"/>
        <v>5.41773014159009+1.27407670918826j</v>
      </c>
      <c r="K273">
        <f t="shared" si="38"/>
        <v>14.910123154033091</v>
      </c>
      <c r="L273">
        <f t="shared" si="39"/>
        <v>13.233672254492648</v>
      </c>
      <c r="M273">
        <f t="shared" si="40"/>
        <v>5.4177301415900896</v>
      </c>
      <c r="N273">
        <f t="shared" si="41"/>
        <v>1.2740767091882601</v>
      </c>
    </row>
    <row r="274" spans="7:14" x14ac:dyDescent="0.25">
      <c r="G274">
        <f t="shared" si="36"/>
        <v>4.4199999999999946</v>
      </c>
      <c r="H274">
        <f t="shared" si="34"/>
        <v>263026.79918953503</v>
      </c>
      <c r="I274" t="str">
        <f t="shared" si="37"/>
        <v>1652646.12006216j</v>
      </c>
      <c r="J274" t="str">
        <f t="shared" si="35"/>
        <v>5.46032873656804+1.33467169464904j</v>
      </c>
      <c r="K274">
        <f t="shared" si="38"/>
        <v>14.996395061290348</v>
      </c>
      <c r="L274">
        <f t="shared" si="39"/>
        <v>13.735522427944357</v>
      </c>
      <c r="M274">
        <f t="shared" si="40"/>
        <v>5.46032873656804</v>
      </c>
      <c r="N274">
        <f t="shared" si="41"/>
        <v>1.33467169464904</v>
      </c>
    </row>
    <row r="275" spans="7:14" x14ac:dyDescent="0.25">
      <c r="G275">
        <f t="shared" si="36"/>
        <v>4.4399999999999942</v>
      </c>
      <c r="H275">
        <f t="shared" si="34"/>
        <v>275422.87033381331</v>
      </c>
      <c r="I275" t="str">
        <f t="shared" si="37"/>
        <v>1730532.93214264j</v>
      </c>
      <c r="J275" t="str">
        <f t="shared" si="35"/>
        <v>5.50752002000541+1.39813977035064j</v>
      </c>
      <c r="K275">
        <f t="shared" si="38"/>
        <v>15.090353821027598</v>
      </c>
      <c r="L275">
        <f t="shared" si="39"/>
        <v>14.24421308511686</v>
      </c>
      <c r="M275">
        <f t="shared" si="40"/>
        <v>5.5075200200054102</v>
      </c>
      <c r="N275">
        <f t="shared" si="41"/>
        <v>1.39813977035064</v>
      </c>
    </row>
    <row r="276" spans="7:14" x14ac:dyDescent="0.25">
      <c r="G276">
        <f t="shared" si="36"/>
        <v>4.4599999999999937</v>
      </c>
      <c r="H276">
        <f t="shared" si="34"/>
        <v>288403.15031265654</v>
      </c>
      <c r="I276" t="str">
        <f t="shared" si="37"/>
        <v>1812090.43658879j</v>
      </c>
      <c r="J276" t="str">
        <f t="shared" si="35"/>
        <v>5.55985078724719+1.46460008303197j</v>
      </c>
      <c r="K276">
        <f t="shared" si="38"/>
        <v>15.192633613185984</v>
      </c>
      <c r="L276">
        <f t="shared" si="39"/>
        <v>14.757839913838065</v>
      </c>
      <c r="M276">
        <f t="shared" si="40"/>
        <v>5.5598507872471901</v>
      </c>
      <c r="N276">
        <f t="shared" si="41"/>
        <v>1.4646000830319701</v>
      </c>
    </row>
    <row r="277" spans="7:14" x14ac:dyDescent="0.25">
      <c r="G277">
        <f t="shared" si="36"/>
        <v>4.4799999999999933</v>
      </c>
      <c r="H277">
        <f t="shared" si="34"/>
        <v>301995.1720401973</v>
      </c>
      <c r="I277" t="str">
        <f t="shared" si="37"/>
        <v>1897491.62780214j</v>
      </c>
      <c r="J277" t="str">
        <f t="shared" si="35"/>
        <v>5.61794349920526+1.53416918971137j</v>
      </c>
      <c r="K277">
        <f t="shared" si="38"/>
        <v>15.303913637739193</v>
      </c>
      <c r="L277">
        <f t="shared" si="39"/>
        <v>15.274128671454609</v>
      </c>
      <c r="M277">
        <f t="shared" si="40"/>
        <v>5.6179434992052597</v>
      </c>
      <c r="N277">
        <f t="shared" si="41"/>
        <v>1.5341691897113701</v>
      </c>
    </row>
    <row r="278" spans="7:14" x14ac:dyDescent="0.25">
      <c r="G278">
        <f t="shared" si="36"/>
        <v>4.4999999999999929</v>
      </c>
      <c r="H278">
        <f t="shared" si="34"/>
        <v>316227.76601683337</v>
      </c>
      <c r="I278" t="str">
        <f t="shared" si="37"/>
        <v>1986917.65315919j</v>
      </c>
      <c r="J278" t="str">
        <f t="shared" si="35"/>
        <v>5.6825088332394+1.60695782919619j</v>
      </c>
      <c r="K278">
        <f t="shared" si="38"/>
        <v>15.424920508780327</v>
      </c>
      <c r="L278">
        <f t="shared" si="39"/>
        <v>15.790383320971122</v>
      </c>
      <c r="M278">
        <f t="shared" si="40"/>
        <v>5.6825088332393996</v>
      </c>
      <c r="N278">
        <f t="shared" si="41"/>
        <v>1.6069578291961899</v>
      </c>
    </row>
    <row r="279" spans="7:14" x14ac:dyDescent="0.25">
      <c r="G279">
        <f t="shared" si="36"/>
        <v>4.5199999999999925</v>
      </c>
      <c r="H279">
        <f t="shared" si="34"/>
        <v>331131.12148258556</v>
      </c>
      <c r="I279" t="str">
        <f t="shared" si="37"/>
        <v>2080558.19724928j</v>
      </c>
      <c r="J279" t="str">
        <f t="shared" si="35"/>
        <v>5.75436069873044+1.68306642153908j</v>
      </c>
      <c r="K279">
        <f t="shared" si="38"/>
        <v>15.556430746917405</v>
      </c>
      <c r="L279">
        <f t="shared" si="39"/>
        <v>16.303426776701837</v>
      </c>
      <c r="M279">
        <f t="shared" si="40"/>
        <v>5.7543606987304399</v>
      </c>
      <c r="N279">
        <f t="shared" si="41"/>
        <v>1.68306642153908</v>
      </c>
    </row>
    <row r="280" spans="7:14" x14ac:dyDescent="0.25">
      <c r="G280">
        <f t="shared" si="36"/>
        <v>4.539999999999992</v>
      </c>
      <c r="H280">
        <f t="shared" si="34"/>
        <v>346736.85045252583</v>
      </c>
      <c r="I280" t="str">
        <f t="shared" si="37"/>
        <v>2178611.88422104j</v>
      </c>
      <c r="J280" t="str">
        <f t="shared" si="35"/>
        <v>5.8344342645412+1.76257882196535j</v>
      </c>
      <c r="K280">
        <f t="shared" si="38"/>
        <v>15.699273383902732</v>
      </c>
      <c r="L280">
        <f t="shared" si="39"/>
        <v>16.809532777032544</v>
      </c>
      <c r="M280">
        <f t="shared" si="40"/>
        <v>5.8344342645412004</v>
      </c>
      <c r="N280">
        <f t="shared" si="41"/>
        <v>1.76257882196535</v>
      </c>
    </row>
    <row r="281" spans="7:14" x14ac:dyDescent="0.25">
      <c r="G281">
        <f t="shared" si="36"/>
        <v>4.5599999999999916</v>
      </c>
      <c r="H281">
        <f t="shared" si="34"/>
        <v>363078.05477009452</v>
      </c>
      <c r="I281" t="str">
        <f t="shared" si="37"/>
        <v>2281286.6990908j</v>
      </c>
      <c r="J281" t="str">
        <f t="shared" si="35"/>
        <v>5.92380767401242+1.84555367204862j</v>
      </c>
      <c r="K281">
        <f t="shared" si="38"/>
        <v>15.854332689910224</v>
      </c>
      <c r="L281">
        <f t="shared" si="39"/>
        <v>17.304346959166438</v>
      </c>
      <c r="M281">
        <f t="shared" si="40"/>
        <v>5.9238076740124201</v>
      </c>
      <c r="N281">
        <f t="shared" si="41"/>
        <v>1.8455536720486201</v>
      </c>
    </row>
    <row r="282" spans="7:14" x14ac:dyDescent="0.25">
      <c r="G282">
        <f t="shared" si="36"/>
        <v>4.5799999999999912</v>
      </c>
      <c r="H282">
        <f t="shared" si="34"/>
        <v>380189.39632055402</v>
      </c>
      <c r="I282" t="str">
        <f t="shared" si="37"/>
        <v>2388800.42890678j</v>
      </c>
      <c r="J282" t="str">
        <f t="shared" si="35"/>
        <v>6.02372827958768+1.9320124310358j</v>
      </c>
      <c r="K282">
        <f t="shared" si="38"/>
        <v>16.022551022789987</v>
      </c>
      <c r="L282">
        <f t="shared" si="39"/>
        <v>17.782794619960381</v>
      </c>
      <c r="M282">
        <f t="shared" si="40"/>
        <v>6.0237282795876803</v>
      </c>
      <c r="N282">
        <f t="shared" si="41"/>
        <v>1.9320124310358</v>
      </c>
    </row>
    <row r="283" spans="7:14" x14ac:dyDescent="0.25">
      <c r="G283">
        <f t="shared" si="36"/>
        <v>4.5999999999999908</v>
      </c>
      <c r="H283">
        <f t="shared" si="34"/>
        <v>398107.17055348901</v>
      </c>
      <c r="I283" t="str">
        <f t="shared" si="37"/>
        <v>2501381.12470452j</v>
      </c>
      <c r="J283" t="str">
        <f t="shared" si="35"/>
        <v>6.1356444164442+2.02192280042762j</v>
      </c>
      <c r="K283">
        <f t="shared" si="38"/>
        <v>16.204931774466964</v>
      </c>
      <c r="L283">
        <f t="shared" si="39"/>
        <v>18.238971860977202</v>
      </c>
      <c r="M283">
        <f t="shared" si="40"/>
        <v>6.1356444164442001</v>
      </c>
      <c r="N283">
        <f t="shared" si="41"/>
        <v>2.0219228004276202</v>
      </c>
    </row>
    <row r="284" spans="7:14" x14ac:dyDescent="0.25">
      <c r="G284">
        <f t="shared" si="36"/>
        <v>4.6199999999999903</v>
      </c>
      <c r="H284">
        <f t="shared" si="34"/>
        <v>416869.38347032666</v>
      </c>
      <c r="I284" t="str">
        <f t="shared" si="37"/>
        <v>2619267.58523377j</v>
      </c>
      <c r="J284" t="str">
        <f t="shared" si="35"/>
        <v>6.2612439523053+2.11517572548774j</v>
      </c>
      <c r="K284">
        <f t="shared" si="38"/>
        <v>16.402542343801574</v>
      </c>
      <c r="L284">
        <f t="shared" si="39"/>
        <v>18.666015773610088</v>
      </c>
      <c r="M284">
        <f t="shared" si="40"/>
        <v>6.2612439523052998</v>
      </c>
      <c r="N284">
        <f t="shared" si="41"/>
        <v>2.1151757254877399</v>
      </c>
    </row>
    <row r="285" spans="7:14" x14ac:dyDescent="0.25">
      <c r="G285">
        <f t="shared" si="36"/>
        <v>4.6399999999999899</v>
      </c>
      <c r="H285">
        <f t="shared" si="34"/>
        <v>436515.83224015596</v>
      </c>
      <c r="I285" t="str">
        <f t="shared" si="37"/>
        <v>2742709.86348262j</v>
      </c>
      <c r="J285" t="str">
        <f t="shared" si="35"/>
        <v>6.40250109128169+2.21155339480061j</v>
      </c>
      <c r="K285">
        <f t="shared" si="38"/>
        <v>16.616516984275822</v>
      </c>
      <c r="L285">
        <f t="shared" si="39"/>
        <v>19.055947942992177</v>
      </c>
      <c r="M285">
        <f t="shared" si="40"/>
        <v>6.4025010912816898</v>
      </c>
      <c r="N285">
        <f t="shared" si="41"/>
        <v>2.2115533948006099</v>
      </c>
    </row>
    <row r="286" spans="7:14" x14ac:dyDescent="0.25">
      <c r="G286">
        <f t="shared" si="36"/>
        <v>4.6599999999999895</v>
      </c>
      <c r="H286">
        <f t="shared" si="34"/>
        <v>457088.18961486447</v>
      </c>
      <c r="I286" t="str">
        <f t="shared" si="37"/>
        <v>2871969.79707343j</v>
      </c>
      <c r="J286" t="str">
        <f t="shared" si="35"/>
        <v>6.56173315010631+2.31068455442803j</v>
      </c>
      <c r="K286">
        <f t="shared" si="38"/>
        <v>16.848059237907258</v>
      </c>
      <c r="L286">
        <f t="shared" si="39"/>
        <v>19.399483737598128</v>
      </c>
      <c r="M286">
        <f t="shared" si="40"/>
        <v>6.5617331501063099</v>
      </c>
      <c r="N286">
        <f t="shared" si="41"/>
        <v>2.3106845544280299</v>
      </c>
    </row>
    <row r="287" spans="7:14" x14ac:dyDescent="0.25">
      <c r="G287">
        <f t="shared" si="36"/>
        <v>4.6799999999999891</v>
      </c>
      <c r="H287">
        <f t="shared" si="34"/>
        <v>478630.0923226272</v>
      </c>
      <c r="I287" t="str">
        <f t="shared" si="37"/>
        <v>3007321.56365554j</v>
      </c>
      <c r="J287" t="str">
        <f t="shared" si="35"/>
        <v>6.74166921168937+2.41198184514216j</v>
      </c>
      <c r="K287">
        <f t="shared" si="38"/>
        <v>17.098443441183441</v>
      </c>
      <c r="L287">
        <f t="shared" si="39"/>
        <v>19.685797481201128</v>
      </c>
      <c r="M287">
        <f t="shared" si="40"/>
        <v>6.7416692116893699</v>
      </c>
      <c r="N287">
        <f t="shared" si="41"/>
        <v>2.4119818451421602</v>
      </c>
    </row>
    <row r="288" spans="7:14" x14ac:dyDescent="0.25">
      <c r="G288">
        <f t="shared" si="36"/>
        <v>4.6999999999999886</v>
      </c>
      <c r="H288">
        <f t="shared" si="34"/>
        <v>501187.23362725956</v>
      </c>
      <c r="I288" t="str">
        <f t="shared" si="37"/>
        <v>3149052.26247278j</v>
      </c>
      <c r="J288" t="str">
        <f t="shared" si="35"/>
        <v>6.94553257982213+2.51455352085103j</v>
      </c>
      <c r="K288">
        <f t="shared" si="38"/>
        <v>17.369014423333482</v>
      </c>
      <c r="L288">
        <f t="shared" si="39"/>
        <v>19.902230528384159</v>
      </c>
      <c r="M288">
        <f t="shared" si="40"/>
        <v>6.9455325798221299</v>
      </c>
      <c r="N288">
        <f t="shared" si="41"/>
        <v>2.5145535208510301</v>
      </c>
    </row>
    <row r="289" spans="7:14" x14ac:dyDescent="0.25">
      <c r="G289">
        <f t="shared" si="36"/>
        <v>4.7199999999999882</v>
      </c>
      <c r="H289">
        <f t="shared" si="34"/>
        <v>524807.46024975914</v>
      </c>
      <c r="I289" t="str">
        <f t="shared" si="37"/>
        <v>3297462.52333952j</v>
      </c>
      <c r="J289" t="str">
        <f t="shared" si="35"/>
        <v>7.17713858175966+2.61707846359357j</v>
      </c>
      <c r="K289">
        <f t="shared" si="38"/>
        <v>17.661183931218353</v>
      </c>
      <c r="L289">
        <f t="shared" si="39"/>
        <v>20.033925325597707</v>
      </c>
      <c r="M289">
        <f t="shared" si="40"/>
        <v>7.1771385817596602</v>
      </c>
      <c r="N289">
        <f t="shared" si="41"/>
        <v>2.61707846359357</v>
      </c>
    </row>
    <row r="290" spans="7:14" x14ac:dyDescent="0.25">
      <c r="G290">
        <f t="shared" si="36"/>
        <v>4.7399999999999878</v>
      </c>
      <c r="H290">
        <f t="shared" si="34"/>
        <v>549540.87385760946</v>
      </c>
      <c r="I290" t="str">
        <f t="shared" si="37"/>
        <v>3452867.14431676j</v>
      </c>
      <c r="J290" t="str">
        <f t="shared" si="35"/>
        <v>7.44100804683157+2.71762837128348j</v>
      </c>
      <c r="K290">
        <f t="shared" si="38"/>
        <v>17.976421380864839</v>
      </c>
      <c r="L290">
        <f t="shared" si="39"/>
        <v>20.063363602258825</v>
      </c>
      <c r="M290">
        <f t="shared" si="40"/>
        <v>7.4410080468315698</v>
      </c>
      <c r="N290">
        <f t="shared" si="41"/>
        <v>2.7176283712834799</v>
      </c>
    </row>
    <row r="291" spans="7:14" x14ac:dyDescent="0.25">
      <c r="G291">
        <f t="shared" si="36"/>
        <v>4.7599999999999874</v>
      </c>
      <c r="H291">
        <f t="shared" si="34"/>
        <v>575439.93733714102</v>
      </c>
      <c r="I291" t="str">
        <f t="shared" si="37"/>
        <v>3615595.75944107j</v>
      </c>
      <c r="J291" t="str">
        <f t="shared" si="35"/>
        <v>7.74249387580625+2.81341365830966j</v>
      </c>
      <c r="K291">
        <f t="shared" si="38"/>
        <v>18.316235051002302</v>
      </c>
      <c r="L291">
        <f t="shared" si="39"/>
        <v>19.969780880487502</v>
      </c>
      <c r="M291">
        <f t="shared" si="40"/>
        <v>7.7424938758062503</v>
      </c>
      <c r="N291">
        <f t="shared" si="41"/>
        <v>2.8134136583096598</v>
      </c>
    </row>
    <row r="292" spans="7:14" x14ac:dyDescent="0.25">
      <c r="G292">
        <f t="shared" si="36"/>
        <v>4.7799999999999869</v>
      </c>
      <c r="H292">
        <f t="shared" si="34"/>
        <v>602559.58607433992</v>
      </c>
      <c r="I292" t="str">
        <f t="shared" si="37"/>
        <v>3785993.53792251j</v>
      </c>
      <c r="J292" t="str">
        <f t="shared" si="35"/>
        <v>8.08791189423357+2.90041907057433j</v>
      </c>
      <c r="K292">
        <f t="shared" si="38"/>
        <v>18.682137479492727</v>
      </c>
      <c r="L292">
        <f t="shared" si="39"/>
        <v>19.728422820612334</v>
      </c>
      <c r="M292">
        <f t="shared" si="40"/>
        <v>8.0879118942335708</v>
      </c>
      <c r="N292">
        <f t="shared" si="41"/>
        <v>2.9004190705743298</v>
      </c>
    </row>
    <row r="293" spans="7:14" x14ac:dyDescent="0.25">
      <c r="G293">
        <f t="shared" si="36"/>
        <v>4.7999999999999865</v>
      </c>
      <c r="H293">
        <f t="shared" si="34"/>
        <v>630957.34448017448</v>
      </c>
      <c r="I293" t="str">
        <f t="shared" si="37"/>
        <v>3964421.91629488j</v>
      </c>
      <c r="J293" t="str">
        <f t="shared" si="35"/>
        <v>8.48465464153097+2.97288028647768j</v>
      </c>
      <c r="K293">
        <f t="shared" si="38"/>
        <v>19.075585099858021</v>
      </c>
      <c r="L293">
        <f t="shared" si="39"/>
        <v>19.309602614769226</v>
      </c>
      <c r="M293">
        <f t="shared" si="40"/>
        <v>8.4846546415309696</v>
      </c>
      <c r="N293">
        <f t="shared" si="41"/>
        <v>2.9728802864776802</v>
      </c>
    </row>
    <row r="294" spans="7:14" x14ac:dyDescent="0.25">
      <c r="G294">
        <f t="shared" si="36"/>
        <v>4.8199999999999861</v>
      </c>
      <c r="H294">
        <f t="shared" si="34"/>
        <v>660693.44800757489</v>
      </c>
      <c r="I294" t="str">
        <f t="shared" si="37"/>
        <v>4151259.36507101j</v>
      </c>
      <c r="J294" t="str">
        <f t="shared" si="35"/>
        <v>8.94124235144125+3.0225332888961j</v>
      </c>
      <c r="K294">
        <f t="shared" si="38"/>
        <v>19.497876298671457</v>
      </c>
      <c r="L294">
        <f t="shared" si="39"/>
        <v>18.677515529664433</v>
      </c>
      <c r="M294">
        <f t="shared" si="40"/>
        <v>8.9412423514412502</v>
      </c>
      <c r="N294">
        <f t="shared" si="41"/>
        <v>3.0225332888961001</v>
      </c>
    </row>
    <row r="295" spans="7:14" x14ac:dyDescent="0.25">
      <c r="G295">
        <f t="shared" si="36"/>
        <v>4.8399999999999856</v>
      </c>
      <c r="H295">
        <f t="shared" si="34"/>
        <v>691830.97091891442</v>
      </c>
      <c r="I295" t="str">
        <f t="shared" si="37"/>
        <v>4346902.19152951j</v>
      </c>
      <c r="J295" t="str">
        <f t="shared" si="35"/>
        <v>9.46721921026065+3.03754543628257j</v>
      </c>
      <c r="K295">
        <f t="shared" si="38"/>
        <v>19.949982971217764</v>
      </c>
      <c r="L295">
        <f t="shared" si="39"/>
        <v>17.78877333471581</v>
      </c>
      <c r="M295">
        <f t="shared" si="40"/>
        <v>9.4672192102606498</v>
      </c>
      <c r="N295">
        <f t="shared" si="41"/>
        <v>3.0375454362825698</v>
      </c>
    </row>
    <row r="296" spans="7:14" x14ac:dyDescent="0.25">
      <c r="G296">
        <f t="shared" si="36"/>
        <v>4.8599999999999852</v>
      </c>
      <c r="H296">
        <f t="shared" si="34"/>
        <v>724435.96007496677</v>
      </c>
      <c r="I296" t="str">
        <f t="shared" si="37"/>
        <v>4551765.38033557j</v>
      </c>
      <c r="J296" t="str">
        <f t="shared" si="35"/>
        <v>10.0727180425518+3.0010182920645j</v>
      </c>
      <c r="K296">
        <f t="shared" si="38"/>
        <v>20.432276830786265</v>
      </c>
      <c r="L296">
        <f t="shared" si="39"/>
        <v>16.590651938339104</v>
      </c>
      <c r="M296">
        <f t="shared" si="40"/>
        <v>10.0727180425518</v>
      </c>
      <c r="N296">
        <f t="shared" si="41"/>
        <v>3.0010182920644999</v>
      </c>
    </row>
    <row r="297" spans="7:14" x14ac:dyDescent="0.25">
      <c r="G297">
        <f t="shared" si="36"/>
        <v>4.8799999999999848</v>
      </c>
      <c r="H297">
        <f t="shared" si="34"/>
        <v>758577.57502915792</v>
      </c>
      <c r="I297" t="str">
        <f t="shared" si="37"/>
        <v>4766283.47377913j</v>
      </c>
      <c r="J297" t="str">
        <f t="shared" si="35"/>
        <v>10.7673662239412+2.88896042846888j</v>
      </c>
      <c r="K297">
        <f t="shared" si="38"/>
        <v>20.944091691539256</v>
      </c>
      <c r="L297">
        <f t="shared" si="39"/>
        <v>15.01912932443464</v>
      </c>
      <c r="M297">
        <f t="shared" si="40"/>
        <v>10.767366223941201</v>
      </c>
      <c r="N297">
        <f t="shared" si="41"/>
        <v>2.8889604284688799</v>
      </c>
    </row>
    <row r="298" spans="7:14" x14ac:dyDescent="0.25">
      <c r="G298">
        <f t="shared" si="36"/>
        <v>4.8999999999999844</v>
      </c>
      <c r="H298">
        <f t="shared" si="34"/>
        <v>794328.23472425411</v>
      </c>
      <c r="I298" t="str">
        <f t="shared" si="37"/>
        <v>4990911.49349733j</v>
      </c>
      <c r="J298" t="str">
        <f t="shared" si="35"/>
        <v>11.5579560198493+2.66772371356119j</v>
      </c>
      <c r="K298">
        <f t="shared" si="38"/>
        <v>21.483036572674227</v>
      </c>
      <c r="L298">
        <f t="shared" si="39"/>
        <v>12.996984635140404</v>
      </c>
      <c r="M298">
        <f t="shared" si="40"/>
        <v>11.5579560198493</v>
      </c>
      <c r="N298">
        <f t="shared" si="41"/>
        <v>2.6677237135611902</v>
      </c>
    </row>
    <row r="299" spans="7:14" x14ac:dyDescent="0.25">
      <c r="G299">
        <f t="shared" si="36"/>
        <v>4.9199999999999839</v>
      </c>
      <c r="H299">
        <f t="shared" si="34"/>
        <v>831763.77110264078</v>
      </c>
      <c r="I299" t="str">
        <f t="shared" si="37"/>
        <v>5226125.9056364j</v>
      </c>
      <c r="J299" t="str">
        <f t="shared" si="35"/>
        <v>12.4439372008978+2.29121714092727j</v>
      </c>
      <c r="K299">
        <f t="shared" si="38"/>
        <v>22.043947201266864</v>
      </c>
      <c r="L299">
        <f t="shared" si="39"/>
        <v>10.432634289756406</v>
      </c>
      <c r="M299">
        <f t="shared" si="40"/>
        <v>12.4439372008978</v>
      </c>
      <c r="N299">
        <f t="shared" si="41"/>
        <v>2.2912171409272699</v>
      </c>
    </row>
    <row r="300" spans="7:14" x14ac:dyDescent="0.25">
      <c r="G300">
        <f t="shared" si="36"/>
        <v>4.9399999999999835</v>
      </c>
      <c r="H300">
        <f t="shared" si="34"/>
        <v>870963.58995604888</v>
      </c>
      <c r="I300" t="str">
        <f t="shared" si="37"/>
        <v>5472425.63150023j</v>
      </c>
      <c r="J300" t="str">
        <f t="shared" si="35"/>
        <v>13.4094030109554+1.69903080541199j</v>
      </c>
      <c r="K300">
        <f t="shared" si="38"/>
        <v>22.617356824446805</v>
      </c>
      <c r="L300">
        <f t="shared" si="39"/>
        <v>7.2211504969556843</v>
      </c>
      <c r="M300">
        <f t="shared" si="40"/>
        <v>13.409403010955399</v>
      </c>
      <c r="N300">
        <f t="shared" si="41"/>
        <v>1.69903080541199</v>
      </c>
    </row>
    <row r="301" spans="7:14" x14ac:dyDescent="0.25">
      <c r="G301">
        <f t="shared" si="36"/>
        <v>4.9599999999999831</v>
      </c>
      <c r="H301">
        <f t="shared" si="34"/>
        <v>912010.83935587457</v>
      </c>
      <c r="I301" t="str">
        <f t="shared" si="37"/>
        <v>5730333.10582935j</v>
      </c>
      <c r="J301" t="str">
        <f t="shared" si="35"/>
        <v>14.4102952475349+0.818322720900203j</v>
      </c>
      <c r="K301">
        <f t="shared" si="38"/>
        <v>23.187440197025193</v>
      </c>
      <c r="L301">
        <f t="shared" si="39"/>
        <v>3.2501857042314994</v>
      </c>
      <c r="M301">
        <f t="shared" si="40"/>
        <v>14.410295247534901</v>
      </c>
      <c r="N301">
        <f t="shared" si="41"/>
        <v>0.81832272090020297</v>
      </c>
    </row>
    <row r="302" spans="7:14" x14ac:dyDescent="0.25">
      <c r="G302">
        <f t="shared" si="36"/>
        <v>4.9799999999999827</v>
      </c>
      <c r="H302">
        <f t="shared" si="34"/>
        <v>954992.58602139901</v>
      </c>
      <c r="I302" t="str">
        <f t="shared" si="37"/>
        <v>6000395.38495509j</v>
      </c>
      <c r="J302" t="str">
        <f t="shared" si="35"/>
        <v>15.3573741121447-0.424904569210584j</v>
      </c>
      <c r="K302">
        <f t="shared" si="38"/>
        <v>23.729662560521735</v>
      </c>
      <c r="L302">
        <f t="shared" si="39"/>
        <v>-1.5848431534955225</v>
      </c>
      <c r="M302">
        <f t="shared" si="40"/>
        <v>15.357374112144701</v>
      </c>
      <c r="N302">
        <f t="shared" si="41"/>
        <v>-0.424904569210584</v>
      </c>
    </row>
    <row r="303" spans="7:14" x14ac:dyDescent="0.25">
      <c r="G303">
        <f t="shared" si="36"/>
        <v>4.9999999999999822</v>
      </c>
      <c r="H303">
        <f t="shared" si="34"/>
        <v>999999.99999995937</v>
      </c>
      <c r="I303" t="str">
        <f t="shared" si="37"/>
        <v>6283185.30717933j</v>
      </c>
      <c r="J303" t="str">
        <f t="shared" si="35"/>
        <v>16.1015216885277-2.07728696215818j</v>
      </c>
      <c r="K303">
        <f t="shared" si="38"/>
        <v>24.20902768186259</v>
      </c>
      <c r="L303">
        <f t="shared" si="39"/>
        <v>-7.351228724665277</v>
      </c>
      <c r="M303">
        <f t="shared" si="40"/>
        <v>16.101521688527701</v>
      </c>
      <c r="N303">
        <f t="shared" si="41"/>
        <v>-2.0772869621581802</v>
      </c>
    </row>
    <row r="304" spans="7:14" x14ac:dyDescent="0.25">
      <c r="G304">
        <f t="shared" si="36"/>
        <v>5.0199999999999818</v>
      </c>
      <c r="H304">
        <f t="shared" si="34"/>
        <v>1047128.5480508568</v>
      </c>
      <c r="I304" t="str">
        <f t="shared" si="37"/>
        <v>6579302.70784144j</v>
      </c>
      <c r="J304" t="str">
        <f t="shared" si="35"/>
        <v>16.4393416145731-4.10906533246647j</v>
      </c>
      <c r="K304">
        <f t="shared" si="38"/>
        <v>24.580882066456873</v>
      </c>
      <c r="L304">
        <f t="shared" si="39"/>
        <v>-14.033717400560729</v>
      </c>
      <c r="M304">
        <f t="shared" si="40"/>
        <v>16.439341614573099</v>
      </c>
      <c r="N304">
        <f t="shared" si="41"/>
        <v>-4.1090653324664697</v>
      </c>
    </row>
    <row r="305" spans="7:14" x14ac:dyDescent="0.25">
      <c r="G305">
        <f t="shared" si="36"/>
        <v>5.0399999999999814</v>
      </c>
      <c r="H305">
        <f t="shared" si="34"/>
        <v>1096478.1961431401</v>
      </c>
      <c r="I305" t="str">
        <f t="shared" si="37"/>
        <v>6889375.69164935j</v>
      </c>
      <c r="J305" t="str">
        <f t="shared" si="35"/>
        <v>16.1647408482318-6.36262072416488j</v>
      </c>
      <c r="K305">
        <f t="shared" si="38"/>
        <v>24.796930290062576</v>
      </c>
      <c r="L305">
        <f t="shared" si="39"/>
        <v>-21.485147409139053</v>
      </c>
      <c r="M305">
        <f t="shared" si="40"/>
        <v>16.164740848231801</v>
      </c>
      <c r="N305">
        <f t="shared" si="41"/>
        <v>-6.3626207241648798</v>
      </c>
    </row>
    <row r="306" spans="7:14" x14ac:dyDescent="0.25">
      <c r="G306">
        <f t="shared" si="36"/>
        <v>5.059999999999981</v>
      </c>
      <c r="H306">
        <f t="shared" si="34"/>
        <v>1148153.6214968334</v>
      </c>
      <c r="I306" t="str">
        <f t="shared" si="37"/>
        <v>7214061.96497394j</v>
      </c>
      <c r="J306" t="str">
        <f t="shared" si="35"/>
        <v>15.1697052884456-8.54929944924854j</v>
      </c>
      <c r="K306">
        <f t="shared" si="38"/>
        <v>24.817442073778007</v>
      </c>
      <c r="L306">
        <f t="shared" si="39"/>
        <v>-29.4046147668254</v>
      </c>
      <c r="M306">
        <f t="shared" si="40"/>
        <v>15.1697052884456</v>
      </c>
      <c r="N306">
        <f t="shared" si="41"/>
        <v>-8.5492994492485401</v>
      </c>
    </row>
    <row r="307" spans="7:14" x14ac:dyDescent="0.25">
      <c r="G307">
        <f t="shared" si="36"/>
        <v>5.0799999999999805</v>
      </c>
      <c r="H307">
        <f t="shared" si="34"/>
        <v>1202264.4346173611</v>
      </c>
      <c r="I307" t="str">
        <f t="shared" si="37"/>
        <v>7554050.23093238j</v>
      </c>
      <c r="J307" t="str">
        <f t="shared" si="35"/>
        <v>13.5342716014669-10.3399918457018j</v>
      </c>
      <c r="K307">
        <f t="shared" si="38"/>
        <v>24.625356611339932</v>
      </c>
      <c r="L307">
        <f t="shared" si="39"/>
        <v>-37.379315221862463</v>
      </c>
      <c r="M307">
        <f t="shared" si="40"/>
        <v>13.5342716014669</v>
      </c>
      <c r="N307">
        <f t="shared" si="41"/>
        <v>-10.3399918457018</v>
      </c>
    </row>
    <row r="308" spans="7:14" x14ac:dyDescent="0.25">
      <c r="G308">
        <f t="shared" si="36"/>
        <v>5.0999999999999801</v>
      </c>
      <c r="H308">
        <f t="shared" si="34"/>
        <v>1258925.4117941104</v>
      </c>
      <c r="I308" t="str">
        <f t="shared" si="37"/>
        <v>7910061.65021976j</v>
      </c>
      <c r="J308" t="str">
        <f t="shared" si="35"/>
        <v>11.5143430191005-11.5096809492081j</v>
      </c>
      <c r="K308">
        <f t="shared" si="38"/>
        <v>24.233324795404997</v>
      </c>
      <c r="L308">
        <f t="shared" si="39"/>
        <v>-44.988398338824425</v>
      </c>
      <c r="M308">
        <f t="shared" si="40"/>
        <v>11.514343019100499</v>
      </c>
      <c r="N308">
        <f t="shared" si="41"/>
        <v>-11.5096809492081</v>
      </c>
    </row>
    <row r="309" spans="7:14" x14ac:dyDescent="0.25">
      <c r="G309">
        <f t="shared" si="36"/>
        <v>5.1199999999999797</v>
      </c>
      <c r="H309">
        <f t="shared" si="34"/>
        <v>1318256.7385563473</v>
      </c>
      <c r="I309" t="str">
        <f t="shared" si="37"/>
        <v>8282851.37078772j</v>
      </c>
      <c r="J309" t="str">
        <f t="shared" si="35"/>
        <v>9.42125008556062-12.0203803370126j</v>
      </c>
      <c r="K309">
        <f t="shared" si="38"/>
        <v>23.678207151627696</v>
      </c>
      <c r="L309">
        <f t="shared" si="39"/>
        <v>-51.911608303939495</v>
      </c>
      <c r="M309">
        <f t="shared" si="40"/>
        <v>9.4212500855606205</v>
      </c>
      <c r="N309">
        <f t="shared" si="41"/>
        <v>-12.0203803370126</v>
      </c>
    </row>
    <row r="310" spans="7:14" x14ac:dyDescent="0.25">
      <c r="G310">
        <f t="shared" si="36"/>
        <v>5.1399999999999793</v>
      </c>
      <c r="H310">
        <f t="shared" si="34"/>
        <v>1380384.2646028195</v>
      </c>
      <c r="I310" t="str">
        <f t="shared" si="37"/>
        <v>8673210.12961433j</v>
      </c>
      <c r="J310" t="str">
        <f t="shared" si="35"/>
        <v>7.49569107776849-11.9866371285399j</v>
      </c>
      <c r="K310">
        <f t="shared" si="38"/>
        <v>23.007364314929863</v>
      </c>
      <c r="L310">
        <f t="shared" si="39"/>
        <v>-57.980722403275443</v>
      </c>
      <c r="M310">
        <f t="shared" si="40"/>
        <v>7.4956910777684902</v>
      </c>
      <c r="N310">
        <f t="shared" si="41"/>
        <v>-11.9866371285399</v>
      </c>
    </row>
    <row r="311" spans="7:14" x14ac:dyDescent="0.25">
      <c r="G311">
        <f t="shared" si="36"/>
        <v>5.1599999999999788</v>
      </c>
      <c r="H311">
        <f t="shared" si="34"/>
        <v>1445439.7707458588</v>
      </c>
      <c r="I311" t="str">
        <f t="shared" si="37"/>
        <v>9081965.92996341j</v>
      </c>
      <c r="J311" t="str">
        <f t="shared" si="35"/>
        <v>5.85980593634443-11.5825579365213j</v>
      </c>
      <c r="K311">
        <f t="shared" si="38"/>
        <v>22.26581795818214</v>
      </c>
      <c r="L311">
        <f t="shared" si="39"/>
        <v>-63.164403606713726</v>
      </c>
      <c r="M311">
        <f t="shared" si="40"/>
        <v>5.8598059363444301</v>
      </c>
      <c r="N311">
        <f t="shared" si="41"/>
        <v>-11.582557936521299</v>
      </c>
    </row>
    <row r="312" spans="7:14" x14ac:dyDescent="0.25">
      <c r="G312">
        <f t="shared" si="36"/>
        <v>5.1799999999999784</v>
      </c>
      <c r="H312">
        <f t="shared" si="34"/>
        <v>1513561.2484361334</v>
      </c>
      <c r="I312" t="str">
        <f t="shared" si="37"/>
        <v>9509985.7976903j</v>
      </c>
      <c r="J312" t="str">
        <f t="shared" si="35"/>
        <v>4.5387723150889-10.9685432911204j</v>
      </c>
      <c r="K312">
        <f t="shared" si="38"/>
        <v>21.489399535055604</v>
      </c>
      <c r="L312">
        <f t="shared" si="39"/>
        <v>-67.520276835721319</v>
      </c>
      <c r="M312">
        <f t="shared" si="40"/>
        <v>4.5387723150888997</v>
      </c>
      <c r="N312">
        <f t="shared" si="41"/>
        <v>-10.968543291120399</v>
      </c>
    </row>
    <row r="313" spans="7:14" x14ac:dyDescent="0.25">
      <c r="G313">
        <f t="shared" si="36"/>
        <v>5.199999999999978</v>
      </c>
      <c r="H313">
        <f t="shared" si="34"/>
        <v>1584893.1924610347</v>
      </c>
      <c r="I313" t="str">
        <f t="shared" si="37"/>
        <v>9958177.62032012j</v>
      </c>
      <c r="J313" t="str">
        <f t="shared" si="35"/>
        <v>3.50379859591663-10.2618493802904j</v>
      </c>
      <c r="K313">
        <f t="shared" si="38"/>
        <v>20.70341424018153</v>
      </c>
      <c r="L313">
        <f t="shared" si="39"/>
        <v>-71.148079001136395</v>
      </c>
      <c r="M313">
        <f t="shared" si="40"/>
        <v>3.50379859591663</v>
      </c>
      <c r="N313">
        <f t="shared" si="41"/>
        <v>-10.2618493802904</v>
      </c>
    </row>
    <row r="314" spans="7:14" x14ac:dyDescent="0.25">
      <c r="G314">
        <f t="shared" si="36"/>
        <v>5.2199999999999775</v>
      </c>
      <c r="H314">
        <f t="shared" si="34"/>
        <v>1659586.9074374777</v>
      </c>
      <c r="I314" t="str">
        <f t="shared" si="37"/>
        <v>10427492.0727988j</v>
      </c>
      <c r="J314" t="str">
        <f t="shared" si="35"/>
        <v>2.70613623155856-9.53659047576427j</v>
      </c>
      <c r="K314">
        <f t="shared" si="38"/>
        <v>19.924197681429231</v>
      </c>
      <c r="L314">
        <f t="shared" si="39"/>
        <v>-74.157993778272825</v>
      </c>
      <c r="M314">
        <f t="shared" si="40"/>
        <v>2.7061362315585602</v>
      </c>
      <c r="N314">
        <f t="shared" si="41"/>
        <v>-9.5365904757642692</v>
      </c>
    </row>
    <row r="315" spans="7:14" x14ac:dyDescent="0.25">
      <c r="G315">
        <f t="shared" si="36"/>
        <v>5.2399999999999771</v>
      </c>
      <c r="H315">
        <f t="shared" si="34"/>
        <v>1737800.8287492855</v>
      </c>
      <c r="I315" t="str">
        <f t="shared" si="37"/>
        <v>10918924.634002j</v>
      </c>
      <c r="J315" t="str">
        <f t="shared" si="35"/>
        <v>2.09590225783113-8.8345220738748j</v>
      </c>
      <c r="K315">
        <f t="shared" si="38"/>
        <v>19.161463409732875</v>
      </c>
      <c r="L315">
        <f t="shared" si="39"/>
        <v>-76.653882389884828</v>
      </c>
      <c r="M315">
        <f t="shared" si="40"/>
        <v>2.0959022578311299</v>
      </c>
      <c r="N315">
        <f t="shared" si="41"/>
        <v>-8.8345220738747994</v>
      </c>
    </row>
    <row r="316" spans="7:14" x14ac:dyDescent="0.25">
      <c r="G316">
        <f t="shared" si="36"/>
        <v>5.2599999999999767</v>
      </c>
      <c r="H316">
        <f t="shared" si="34"/>
        <v>1819700.8586098887</v>
      </c>
      <c r="I316" t="str">
        <f t="shared" si="37"/>
        <v>11433517.6982797j</v>
      </c>
      <c r="J316" t="str">
        <f t="shared" si="35"/>
        <v>1.62987093470315-8.17635305248803j</v>
      </c>
      <c r="K316">
        <f t="shared" si="38"/>
        <v>18.420424682122601</v>
      </c>
      <c r="L316">
        <f t="shared" si="39"/>
        <v>-78.726455044767917</v>
      </c>
      <c r="M316">
        <f t="shared" si="40"/>
        <v>1.6298709347031499</v>
      </c>
      <c r="N316">
        <f t="shared" si="41"/>
        <v>-8.1763530524880306</v>
      </c>
    </row>
    <row r="317" spans="7:14" x14ac:dyDescent="0.25">
      <c r="G317">
        <f t="shared" si="36"/>
        <v>5.2799999999999763</v>
      </c>
      <c r="H317">
        <f t="shared" si="34"/>
        <v>1905460.7179631444</v>
      </c>
      <c r="I317" t="str">
        <f t="shared" si="37"/>
        <v>11972362.7865139j</v>
      </c>
      <c r="J317" t="str">
        <f t="shared" si="35"/>
        <v>1.27337188220663-7.57026846850127j</v>
      </c>
      <c r="K317">
        <f t="shared" si="38"/>
        <v>17.703396884205361</v>
      </c>
      <c r="L317">
        <f t="shared" si="39"/>
        <v>-80.451831918402206</v>
      </c>
      <c r="M317">
        <f t="shared" si="40"/>
        <v>1.27337188220663</v>
      </c>
      <c r="N317">
        <f t="shared" si="41"/>
        <v>-7.5702684685012702</v>
      </c>
    </row>
    <row r="318" spans="7:14" x14ac:dyDescent="0.25">
      <c r="G318">
        <f t="shared" si="36"/>
        <v>5.2999999999999758</v>
      </c>
      <c r="H318">
        <f t="shared" si="34"/>
        <v>1995262.3149687715</v>
      </c>
      <c r="I318" t="str">
        <f t="shared" si="37"/>
        <v>12536602.8613809j</v>
      </c>
      <c r="J318" t="str">
        <f t="shared" si="35"/>
        <v>0.999668376206838-7.0175063506692j</v>
      </c>
      <c r="K318">
        <f t="shared" si="38"/>
        <v>17.010905361969154</v>
      </c>
      <c r="L318">
        <f t="shared" si="39"/>
        <v>-81.892563134670993</v>
      </c>
      <c r="M318">
        <f t="shared" si="40"/>
        <v>0.99966837620683802</v>
      </c>
      <c r="N318">
        <f t="shared" si="41"/>
        <v>-7.0175063506692004</v>
      </c>
    </row>
    <row r="319" spans="7:14" x14ac:dyDescent="0.25">
      <c r="G319">
        <f t="shared" si="36"/>
        <v>5.3199999999999754</v>
      </c>
      <c r="H319">
        <f t="shared" si="34"/>
        <v>2089296.1308539221</v>
      </c>
      <c r="I319" t="str">
        <f t="shared" si="37"/>
        <v>13127434.7517285j</v>
      </c>
      <c r="J319" t="str">
        <f t="shared" si="35"/>
        <v>0.788545505393337-6.51573479894728j</v>
      </c>
      <c r="K319">
        <f t="shared" si="38"/>
        <v>16.34241457647779</v>
      </c>
      <c r="L319">
        <f t="shared" si="39"/>
        <v>-83.099523717878384</v>
      </c>
      <c r="M319">
        <f t="shared" si="40"/>
        <v>0.78854550539333701</v>
      </c>
      <c r="N319">
        <f t="shared" si="41"/>
        <v>-6.51573479894728</v>
      </c>
    </row>
    <row r="320" spans="7:14" x14ac:dyDescent="0.25">
      <c r="G320">
        <f t="shared" si="36"/>
        <v>5.339999999999975</v>
      </c>
      <c r="H320">
        <f t="shared" si="34"/>
        <v>2187761.623949429</v>
      </c>
      <c r="I320" t="str">
        <f t="shared" si="37"/>
        <v>13746111.6912104j</v>
      </c>
      <c r="J320" t="str">
        <f t="shared" si="35"/>
        <v>0.62485366591505-6.06099516826745j</v>
      </c>
      <c r="K320">
        <f t="shared" si="38"/>
        <v>15.696793831521596</v>
      </c>
      <c r="L320">
        <f t="shared" si="39"/>
        <v>-84.11392982369054</v>
      </c>
      <c r="M320">
        <f t="shared" si="40"/>
        <v>0.62485366591504998</v>
      </c>
      <c r="N320">
        <f t="shared" si="41"/>
        <v>-6.0609951682674499</v>
      </c>
    </row>
    <row r="321" spans="7:14" x14ac:dyDescent="0.25">
      <c r="G321">
        <f t="shared" si="36"/>
        <v>5.3599999999999746</v>
      </c>
      <c r="H321">
        <f t="shared" si="34"/>
        <v>2290867.6527676433</v>
      </c>
      <c r="I321" t="str">
        <f t="shared" si="37"/>
        <v>14393945.9765626j</v>
      </c>
      <c r="J321" t="str">
        <f t="shared" si="35"/>
        <v>0.497266949264481-5.64877324272612j</v>
      </c>
      <c r="K321">
        <f t="shared" si="38"/>
        <v>15.072608526307704</v>
      </c>
      <c r="L321">
        <f t="shared" si="39"/>
        <v>-84.969165996971924</v>
      </c>
      <c r="M321">
        <f t="shared" si="40"/>
        <v>0.49726694926448101</v>
      </c>
      <c r="N321">
        <f t="shared" si="41"/>
        <v>-5.6487732427261204</v>
      </c>
    </row>
    <row r="322" spans="7:14" x14ac:dyDescent="0.25">
      <c r="G322">
        <f t="shared" si="36"/>
        <v>5.3799999999999741</v>
      </c>
      <c r="H322">
        <f t="shared" si="34"/>
        <v>2398832.9190193499</v>
      </c>
      <c r="I322" t="str">
        <f t="shared" si="37"/>
        <v>15072311.7511611j</v>
      </c>
      <c r="J322" t="str">
        <f t="shared" si="35"/>
        <v>0.397306553781106-5.2745615411415j</v>
      </c>
      <c r="K322">
        <f t="shared" si="38"/>
        <v>14.468298901966232</v>
      </c>
      <c r="L322">
        <f t="shared" si="39"/>
        <v>-85.692327928472821</v>
      </c>
      <c r="M322">
        <f t="shared" si="40"/>
        <v>0.39730655378110602</v>
      </c>
      <c r="N322">
        <f t="shared" si="41"/>
        <v>-5.2745615411414999</v>
      </c>
    </row>
    <row r="323" spans="7:14" x14ac:dyDescent="0.25">
      <c r="G323">
        <f t="shared" si="36"/>
        <v>5.3999999999999737</v>
      </c>
      <c r="H323">
        <f t="shared" ref="H323:H353" si="42">$B$3*10^G323</f>
        <v>2511886.4315094328</v>
      </c>
      <c r="I323" t="str">
        <f t="shared" si="37"/>
        <v>15782647.9197638j</v>
      </c>
      <c r="J323" t="str">
        <f t="shared" ref="J323:J353" si="43">IMDIV(1,IMSUM(IMDIV(IMSUM(1,IMDIV(I323,wc)),Aolv),IMDIV(IMDIV(R_1,IMSUM(1,IMPRODUCT(I323,C_s,R_1))),IMSUM(R_f,IMDIV(R_1,IMSUM(1,IMPRODUCT(I323,C_s,R_1)))))))</f>
        <v>0.318602234577973-4.9341332186517j</v>
      </c>
      <c r="K323">
        <f t="shared" si="38"/>
        <v>13.882287346933282</v>
      </c>
      <c r="L323">
        <f t="shared" si="39"/>
        <v>-86.305479498029783</v>
      </c>
      <c r="M323">
        <f t="shared" si="40"/>
        <v>0.31860223457797299</v>
      </c>
      <c r="N323">
        <f t="shared" si="41"/>
        <v>-4.9341332186517004</v>
      </c>
    </row>
    <row r="324" spans="7:14" x14ac:dyDescent="0.25">
      <c r="G324">
        <f t="shared" ref="G324:G353" si="44">G323+(1/ppd)</f>
        <v>5.4199999999999733</v>
      </c>
      <c r="H324">
        <f t="shared" si="42"/>
        <v>2630267.9918952221</v>
      </c>
      <c r="I324" t="str">
        <f t="shared" ref="I324:I353" si="45">COMPLEX(0,H324*2*PI(),"j")</f>
        <v>16526461.2006208j</v>
      </c>
      <c r="J324" t="str">
        <f t="shared" si="43"/>
        <v>0.256344594589458-4.62365683132763j</v>
      </c>
      <c r="K324">
        <f t="shared" ref="K324:K353" si="46">20*LOG(IMABS(J324))</f>
        <v>13.313040780004036</v>
      </c>
      <c r="L324">
        <f t="shared" ref="L324:L353" si="47">DEGREES(IMARGUMENT(J324))</f>
        <v>-86.826658471508111</v>
      </c>
      <c r="M324">
        <f t="shared" ref="M324:M353" si="48">IMREAL(J324)</f>
        <v>0.25634459458945802</v>
      </c>
      <c r="N324">
        <f t="shared" ref="N324:N353" si="49">IMAGINARY(J324)</f>
        <v>-4.6236568313276303</v>
      </c>
    </row>
    <row r="325" spans="7:14" x14ac:dyDescent="0.25">
      <c r="G325">
        <f t="shared" si="44"/>
        <v>5.4399999999999729</v>
      </c>
      <c r="H325">
        <f t="shared" si="42"/>
        <v>2754228.7033379986</v>
      </c>
      <c r="I325" t="str">
        <f t="shared" si="45"/>
        <v>17305329.3214256j</v>
      </c>
      <c r="J325" t="str">
        <f t="shared" si="43"/>
        <v>0.206882500703981-4.33972611651041j</v>
      </c>
      <c r="K325">
        <f t="shared" si="46"/>
        <v>12.759105009647826</v>
      </c>
      <c r="L325">
        <f t="shared" si="47"/>
        <v>-87.270674084638287</v>
      </c>
      <c r="M325">
        <f t="shared" si="48"/>
        <v>0.20688250070398101</v>
      </c>
      <c r="N325">
        <f t="shared" si="49"/>
        <v>-4.33972611651041</v>
      </c>
    </row>
    <row r="326" spans="7:14" x14ac:dyDescent="0.25">
      <c r="G326">
        <f t="shared" si="44"/>
        <v>5.4599999999999724</v>
      </c>
      <c r="H326">
        <f t="shared" si="42"/>
        <v>2884031.5031264247</v>
      </c>
      <c r="I326" t="str">
        <f t="shared" si="45"/>
        <v>18120904.365887j</v>
      </c>
      <c r="J326" t="str">
        <f t="shared" si="43"/>
        <v>0.167427971709367-4.07934661696176j</v>
      </c>
      <c r="K326">
        <f t="shared" si="46"/>
        <v>12.219121766561951</v>
      </c>
      <c r="L326">
        <f t="shared" si="47"/>
        <v>-87.649737563467227</v>
      </c>
      <c r="M326">
        <f t="shared" si="48"/>
        <v>0.16742797170936699</v>
      </c>
      <c r="N326">
        <f t="shared" si="49"/>
        <v>-4.07934661696176</v>
      </c>
    </row>
    <row r="327" spans="7:14" x14ac:dyDescent="0.25">
      <c r="G327">
        <f t="shared" si="44"/>
        <v>5.479999999999972</v>
      </c>
      <c r="H327">
        <f t="shared" si="42"/>
        <v>3019951.7204018258</v>
      </c>
      <c r="I327" t="str">
        <f t="shared" si="45"/>
        <v>18974916.2780205j</v>
      </c>
      <c r="J327" t="str">
        <f t="shared" si="43"/>
        <v>0.135839628666022-3.83990234297378j</v>
      </c>
      <c r="K327">
        <f t="shared" si="46"/>
        <v>11.691835158390393</v>
      </c>
      <c r="L327">
        <f t="shared" si="47"/>
        <v>-87.973960672286751</v>
      </c>
      <c r="M327">
        <f t="shared" si="48"/>
        <v>0.13583962866602201</v>
      </c>
      <c r="N327">
        <f t="shared" si="49"/>
        <v>-3.83990234297378</v>
      </c>
    </row>
    <row r="328" spans="7:14" x14ac:dyDescent="0.25">
      <c r="G328">
        <f t="shared" si="44"/>
        <v>5.4999999999999716</v>
      </c>
      <c r="H328">
        <f t="shared" si="42"/>
        <v>3162277.6601681737</v>
      </c>
      <c r="I328" t="str">
        <f t="shared" si="45"/>
        <v>19869176.5315909j</v>
      </c>
      <c r="J328" t="str">
        <f t="shared" si="43"/>
        <v>0.110463271310058-3.61911504595728j</v>
      </c>
      <c r="K328">
        <f t="shared" si="46"/>
        <v>11.1760917956334</v>
      </c>
      <c r="L328">
        <f t="shared" si="47"/>
        <v>-88.251750812636544</v>
      </c>
      <c r="M328">
        <f t="shared" si="48"/>
        <v>0.11046327131005799</v>
      </c>
      <c r="N328">
        <f t="shared" si="49"/>
        <v>-3.6191150459572801</v>
      </c>
    </row>
    <row r="329" spans="7:14" x14ac:dyDescent="0.25">
      <c r="G329">
        <f t="shared" si="44"/>
        <v>5.5199999999999712</v>
      </c>
      <c r="H329">
        <f t="shared" si="42"/>
        <v>3311311.2148256949</v>
      </c>
      <c r="I329" t="str">
        <f t="shared" si="45"/>
        <v>20805581.9724918j</v>
      </c>
      <c r="J329" t="str">
        <f t="shared" si="43"/>
        <v>0.0900139634149876-3.41500268148196j</v>
      </c>
      <c r="K329">
        <f t="shared" si="46"/>
        <v>10.670837257134909</v>
      </c>
      <c r="L329">
        <f t="shared" si="47"/>
        <v>-88.490125255566966</v>
      </c>
      <c r="M329">
        <f t="shared" si="48"/>
        <v>9.0013963414987602E-2</v>
      </c>
      <c r="N329">
        <f t="shared" si="49"/>
        <v>-3.4150026814819601</v>
      </c>
    </row>
    <row r="330" spans="7:14" x14ac:dyDescent="0.25">
      <c r="G330">
        <f t="shared" si="44"/>
        <v>5.5399999999999707</v>
      </c>
      <c r="H330">
        <f t="shared" si="42"/>
        <v>3467368.5045250896</v>
      </c>
      <c r="I330" t="str">
        <f t="shared" si="45"/>
        <v>21786118.8422093j</v>
      </c>
      <c r="J330" t="str">
        <f t="shared" si="43"/>
        <v>0.0734883428683782-3.22584029256892j</v>
      </c>
      <c r="K330">
        <f t="shared" si="46"/>
        <v>10.175110563625086</v>
      </c>
      <c r="L330">
        <f t="shared" si="47"/>
        <v>-88.694962139201976</v>
      </c>
      <c r="M330">
        <f t="shared" si="48"/>
        <v>7.3488342868378201E-2</v>
      </c>
      <c r="N330">
        <f t="shared" si="49"/>
        <v>-3.22584029256892</v>
      </c>
    </row>
    <row r="331" spans="7:14" x14ac:dyDescent="0.25">
      <c r="G331">
        <f t="shared" si="44"/>
        <v>5.5599999999999703</v>
      </c>
      <c r="H331">
        <f t="shared" si="42"/>
        <v>3630780.5477007688</v>
      </c>
      <c r="I331" t="str">
        <f t="shared" si="45"/>
        <v>22812866.9909069j</v>
      </c>
      <c r="J331" t="str">
        <f t="shared" si="43"/>
        <v>0.0600990247681702-3.05012470519978j</v>
      </c>
      <c r="K331">
        <f t="shared" si="46"/>
        <v>9.6880376944828548</v>
      </c>
      <c r="L331">
        <f t="shared" si="47"/>
        <v>-88.871201906567649</v>
      </c>
      <c r="M331">
        <f t="shared" si="48"/>
        <v>6.0099024768170202E-2</v>
      </c>
      <c r="N331">
        <f t="shared" si="49"/>
        <v>-3.0501247051997802</v>
      </c>
    </row>
    <row r="332" spans="7:14" x14ac:dyDescent="0.25">
      <c r="G332">
        <f t="shared" si="44"/>
        <v>5.5799999999999699</v>
      </c>
      <c r="H332">
        <f t="shared" si="42"/>
        <v>3801893.9632053552</v>
      </c>
      <c r="I332" t="str">
        <f t="shared" si="45"/>
        <v>23888004.2890667j</v>
      </c>
      <c r="J332" t="str">
        <f t="shared" si="43"/>
        <v>0.0492252333485358-2.88654344372273j</v>
      </c>
      <c r="K332">
        <f t="shared" si="46"/>
        <v>9.2088247814074382</v>
      </c>
      <c r="L332">
        <f t="shared" si="47"/>
        <v>-89.023009764866586</v>
      </c>
      <c r="M332">
        <f t="shared" si="48"/>
        <v>4.9225233348535798E-2</v>
      </c>
      <c r="N332">
        <f t="shared" si="49"/>
        <v>-2.8865434437227302</v>
      </c>
    </row>
    <row r="333" spans="7:14" x14ac:dyDescent="0.25">
      <c r="G333">
        <f t="shared" si="44"/>
        <v>5.5999999999999694</v>
      </c>
      <c r="H333">
        <f t="shared" si="42"/>
        <v>3981071.7055346956</v>
      </c>
      <c r="I333" t="str">
        <f t="shared" si="45"/>
        <v>25013811.247044j</v>
      </c>
      <c r="J333" t="str">
        <f t="shared" si="43"/>
        <v>0.0403754215660516-2.73394777018806j</v>
      </c>
      <c r="K333">
        <f t="shared" si="46"/>
        <v>8.7367513582106877</v>
      </c>
      <c r="L333">
        <f t="shared" si="47"/>
        <v>-89.153907357019946</v>
      </c>
      <c r="M333">
        <f t="shared" si="48"/>
        <v>4.0375421566051603E-2</v>
      </c>
      <c r="N333">
        <f t="shared" si="49"/>
        <v>-2.7339477701880601</v>
      </c>
    </row>
    <row r="334" spans="7:14" x14ac:dyDescent="0.25">
      <c r="G334">
        <f t="shared" si="44"/>
        <v>5.619999999999969</v>
      </c>
      <c r="H334">
        <f t="shared" si="42"/>
        <v>4168693.8347030636</v>
      </c>
      <c r="I334" t="str">
        <f t="shared" si="45"/>
        <v>26192675.8523364j</v>
      </c>
      <c r="J334" t="str">
        <f t="shared" si="43"/>
        <v>0.0331587979755461-2.59132951520736j</v>
      </c>
      <c r="K334">
        <f t="shared" si="46"/>
        <v>8.271163884986489</v>
      </c>
      <c r="L334">
        <f t="shared" si="47"/>
        <v>-89.266879999996618</v>
      </c>
      <c r="M334">
        <f t="shared" si="48"/>
        <v>3.3158797975546099E-2</v>
      </c>
      <c r="N334">
        <f t="shared" si="49"/>
        <v>-2.5913295152073599</v>
      </c>
    </row>
    <row r="335" spans="7:14" x14ac:dyDescent="0.25">
      <c r="G335">
        <f t="shared" si="44"/>
        <v>5.6399999999999686</v>
      </c>
      <c r="H335">
        <f t="shared" si="42"/>
        <v>4365158.3224013466</v>
      </c>
      <c r="I335" t="str">
        <f t="shared" si="45"/>
        <v>27427098.6348248j</v>
      </c>
      <c r="J335" t="str">
        <f t="shared" si="43"/>
        <v>0.0272635122162641-2.45780127717827j</v>
      </c>
      <c r="K335">
        <f t="shared" si="46"/>
        <v>7.8114696636173884</v>
      </c>
      <c r="L335">
        <f t="shared" si="47"/>
        <v>-89.364464436508484</v>
      </c>
      <c r="M335">
        <f t="shared" si="48"/>
        <v>2.7263512216264101E-2</v>
      </c>
      <c r="N335">
        <f t="shared" si="49"/>
        <v>-2.45780127717827</v>
      </c>
    </row>
    <row r="336" spans="7:14" x14ac:dyDescent="0.25">
      <c r="G336">
        <f t="shared" si="44"/>
        <v>5.6599999999999682</v>
      </c>
      <c r="H336">
        <f t="shared" si="42"/>
        <v>4570881.8961484218</v>
      </c>
      <c r="I336" t="str">
        <f t="shared" si="45"/>
        <v>28719697.9707329j</v>
      </c>
      <c r="J336" t="str">
        <f t="shared" si="43"/>
        <v>0.0224398483660786-2.33257955278506j</v>
      </c>
      <c r="K336">
        <f t="shared" si="46"/>
        <v>7.3571311984204533</v>
      </c>
      <c r="L336">
        <f t="shared" si="47"/>
        <v>-89.448820966592251</v>
      </c>
      <c r="M336">
        <f t="shared" si="48"/>
        <v>2.24398483660786E-2</v>
      </c>
      <c r="N336">
        <f t="shared" si="49"/>
        <v>-2.3325795527850599</v>
      </c>
    </row>
    <row r="337" spans="7:14" x14ac:dyDescent="0.25">
      <c r="G337">
        <f t="shared" si="44"/>
        <v>5.6799999999999677</v>
      </c>
      <c r="H337">
        <f t="shared" si="42"/>
        <v>4786300.9232260305</v>
      </c>
      <c r="I337" t="str">
        <f t="shared" si="45"/>
        <v>30073215.6365539j</v>
      </c>
      <c r="J337" t="str">
        <f t="shared" si="43"/>
        <v>0.0184872072354804-2.21497038588341j</v>
      </c>
      <c r="K337">
        <f t="shared" si="46"/>
        <v>6.90766101699068</v>
      </c>
      <c r="L337">
        <f t="shared" si="47"/>
        <v>-89.521792995289061</v>
      </c>
      <c r="M337">
        <f t="shared" si="48"/>
        <v>1.8487207235480401E-2</v>
      </c>
      <c r="N337">
        <f t="shared" si="49"/>
        <v>-2.2149703858834102</v>
      </c>
    </row>
    <row r="338" spans="7:14" x14ac:dyDescent="0.25">
      <c r="G338">
        <f t="shared" si="44"/>
        <v>5.6999999999999673</v>
      </c>
      <c r="H338">
        <f t="shared" si="42"/>
        <v>5011872.3362723524</v>
      </c>
      <c r="I338" t="str">
        <f t="shared" si="45"/>
        <v>31490522.6247263j</v>
      </c>
      <c r="J338" t="str">
        <f t="shared" si="43"/>
        <v>0.015243972128361-2.10435716277898j</v>
      </c>
      <c r="K338">
        <f t="shared" si="46"/>
        <v>6.4626169431501133</v>
      </c>
      <c r="L338">
        <f t="shared" si="47"/>
        <v>-89.584956392271707</v>
      </c>
      <c r="M338">
        <f t="shared" si="48"/>
        <v>1.5243972128361E-2</v>
      </c>
      <c r="N338">
        <f t="shared" si="49"/>
        <v>-2.1043571627789799</v>
      </c>
    </row>
    <row r="339" spans="7:14" x14ac:dyDescent="0.25">
      <c r="G339">
        <f t="shared" si="44"/>
        <v>5.7199999999999669</v>
      </c>
      <c r="H339">
        <f t="shared" si="42"/>
        <v>5248074.6024973365</v>
      </c>
      <c r="I339" t="str">
        <f t="shared" si="45"/>
        <v>32974625.2333936j</v>
      </c>
      <c r="J339" t="str">
        <f t="shared" si="43"/>
        <v>0.0125795814029608-2.00019022795844j</v>
      </c>
      <c r="K339">
        <f t="shared" si="46"/>
        <v>6.0215978007116755</v>
      </c>
      <c r="L339">
        <f t="shared" si="47"/>
        <v>-89.639660563452438</v>
      </c>
      <c r="M339">
        <f t="shared" si="48"/>
        <v>1.25795814029608E-2</v>
      </c>
      <c r="N339">
        <f t="shared" si="49"/>
        <v>-2.00019022795844</v>
      </c>
    </row>
    <row r="340" spans="7:14" x14ac:dyDescent="0.25">
      <c r="G340">
        <f t="shared" si="44"/>
        <v>5.7399999999999665</v>
      </c>
      <c r="H340">
        <f t="shared" si="42"/>
        <v>5495408.7385758273</v>
      </c>
      <c r="I340" t="str">
        <f t="shared" si="45"/>
        <v>34528671.4431659j</v>
      </c>
      <c r="J340" t="str">
        <f t="shared" si="43"/>
        <v>0.0103882991512882-1.90197803955593j</v>
      </c>
      <c r="K340">
        <f t="shared" si="46"/>
        <v>5.5842395198494632</v>
      </c>
      <c r="L340">
        <f t="shared" si="47"/>
        <v>-89.687062749016519</v>
      </c>
      <c r="M340">
        <f t="shared" si="48"/>
        <v>1.0388299151288201E-2</v>
      </c>
      <c r="N340">
        <f t="shared" si="49"/>
        <v>-1.90197803955593</v>
      </c>
    </row>
    <row r="341" spans="7:14" x14ac:dyDescent="0.25">
      <c r="G341">
        <f t="shared" si="44"/>
        <v>5.759999999999966</v>
      </c>
      <c r="H341">
        <f t="shared" si="42"/>
        <v>5754399.3733711299</v>
      </c>
      <c r="I341" t="str">
        <f t="shared" si="45"/>
        <v>36155957.5944089j</v>
      </c>
      <c r="J341" t="str">
        <f t="shared" si="43"/>
        <v>0.00858429937309406-1.80927962541148j</v>
      </c>
      <c r="K341">
        <f t="shared" si="46"/>
        <v>5.1502116148910986</v>
      </c>
      <c r="L341">
        <f t="shared" si="47"/>
        <v>-89.728156761048666</v>
      </c>
      <c r="M341">
        <f t="shared" si="48"/>
        <v>8.5842993730940592E-3</v>
      </c>
      <c r="N341">
        <f t="shared" si="49"/>
        <v>-1.80927962541148</v>
      </c>
    </row>
    <row r="342" spans="7:14" x14ac:dyDescent="0.25">
      <c r="G342">
        <f t="shared" si="44"/>
        <v>5.7799999999999656</v>
      </c>
      <c r="H342">
        <f t="shared" si="42"/>
        <v>6025595.8607431054</v>
      </c>
      <c r="I342" t="str">
        <f t="shared" si="45"/>
        <v>37859935.3792232j</v>
      </c>
      <c r="J342" t="str">
        <f t="shared" si="43"/>
        <v>0.00709777117811278-1.7216981373918j</v>
      </c>
      <c r="K342">
        <f t="shared" si="46"/>
        <v>4.7192140017785453</v>
      </c>
      <c r="L342">
        <f t="shared" si="47"/>
        <v>-89.763797137371853</v>
      </c>
      <c r="M342">
        <f t="shared" si="48"/>
        <v>7.0977711781127798E-3</v>
      </c>
      <c r="N342">
        <f t="shared" si="49"/>
        <v>-1.7216981373918001</v>
      </c>
    </row>
    <row r="343" spans="7:14" x14ac:dyDescent="0.25">
      <c r="G343">
        <f t="shared" si="44"/>
        <v>5.7999999999999652</v>
      </c>
      <c r="H343">
        <f t="shared" si="42"/>
        <v>6309573.4448014377</v>
      </c>
      <c r="I343" t="str">
        <f t="shared" si="45"/>
        <v>39644219.1629469j</v>
      </c>
      <c r="J343" t="str">
        <f t="shared" si="43"/>
        <v>0.00587182141030666-1.63887533351133j</v>
      </c>
      <c r="K343">
        <f t="shared" si="46"/>
        <v>4.2909741243101358</v>
      </c>
      <c r="L343">
        <f t="shared" si="47"/>
        <v>-89.794719501573624</v>
      </c>
      <c r="M343">
        <f t="shared" si="48"/>
        <v>5.8718214103066603E-3</v>
      </c>
      <c r="N343">
        <f t="shared" si="49"/>
        <v>-1.63887533351133</v>
      </c>
    </row>
    <row r="344" spans="7:14" x14ac:dyDescent="0.25">
      <c r="G344">
        <f t="shared" si="44"/>
        <v>5.8199999999999648</v>
      </c>
      <c r="H344">
        <f t="shared" si="42"/>
        <v>6606934.4800754283</v>
      </c>
      <c r="I344" t="str">
        <f t="shared" si="45"/>
        <v>41512593.6507081j</v>
      </c>
      <c r="J344" t="str">
        <f t="shared" si="43"/>
        <v>0.00486000283505338-1.56048684458139j</v>
      </c>
      <c r="K344">
        <f t="shared" si="46"/>
        <v>3.8652443599481661</v>
      </c>
      <c r="L344">
        <f t="shared" si="47"/>
        <v>-89.821557771194847</v>
      </c>
      <c r="M344">
        <f t="shared" si="48"/>
        <v>4.8600028350533802E-3</v>
      </c>
      <c r="N344">
        <f t="shared" si="49"/>
        <v>-1.56048684458139</v>
      </c>
    </row>
    <row r="345" spans="7:14" x14ac:dyDescent="0.25">
      <c r="G345">
        <f t="shared" si="44"/>
        <v>5.8399999999999643</v>
      </c>
      <c r="H345">
        <f t="shared" si="42"/>
        <v>6918309.7091888068</v>
      </c>
      <c r="I345" t="str">
        <f t="shared" si="45"/>
        <v>43469021.915293j</v>
      </c>
      <c r="J345" t="str">
        <f t="shared" si="43"/>
        <v>0.00402433513513577-1.48623810509955j</v>
      </c>
      <c r="K345">
        <f t="shared" si="46"/>
        <v>3.4417996780518041</v>
      </c>
      <c r="L345">
        <f t="shared" si="47"/>
        <v>-89.844858738122895</v>
      </c>
      <c r="M345">
        <f t="shared" si="48"/>
        <v>4.0243351351357702E-3</v>
      </c>
      <c r="N345">
        <f t="shared" si="49"/>
        <v>-1.4862381050995499</v>
      </c>
    </row>
    <row r="346" spans="7:14" x14ac:dyDescent="0.25">
      <c r="G346">
        <f t="shared" si="44"/>
        <v>5.8599999999999639</v>
      </c>
      <c r="H346">
        <f t="shared" si="42"/>
        <v>7244359.6007493027</v>
      </c>
      <c r="I346" t="str">
        <f t="shared" si="45"/>
        <v>45517653.8033534j</v>
      </c>
      <c r="J346" t="str">
        <f t="shared" si="43"/>
        <v>0.00333371567343553-1.4158608474075j</v>
      </c>
      <c r="K346">
        <f t="shared" si="46"/>
        <v>3.0204355256338671</v>
      </c>
      <c r="L346">
        <f t="shared" si="47"/>
        <v>-89.865094450800882</v>
      </c>
      <c r="M346">
        <f t="shared" si="48"/>
        <v>3.3337156734355301E-3</v>
      </c>
      <c r="N346">
        <f t="shared" si="49"/>
        <v>-1.4158608474075001</v>
      </c>
    </row>
    <row r="347" spans="7:14" x14ac:dyDescent="0.25">
      <c r="G347">
        <f t="shared" si="44"/>
        <v>5.8799999999999635</v>
      </c>
      <c r="H347">
        <f t="shared" si="42"/>
        <v>7585775.7502912087</v>
      </c>
      <c r="I347" t="str">
        <f t="shared" si="45"/>
        <v>47662834.7377889j</v>
      </c>
      <c r="J347" t="str">
        <f t="shared" si="43"/>
        <v>0.00276263967437595-1.34911007431819j</v>
      </c>
      <c r="K347">
        <f t="shared" si="46"/>
        <v>2.6009659179761151</v>
      </c>
      <c r="L347">
        <f t="shared" si="47"/>
        <v>-89.882672751895583</v>
      </c>
      <c r="M347">
        <f t="shared" si="48"/>
        <v>2.7626396743759499E-3</v>
      </c>
      <c r="N347">
        <f t="shared" si="49"/>
        <v>-1.3491100743181901</v>
      </c>
    </row>
    <row r="348" spans="7:14" x14ac:dyDescent="0.25">
      <c r="G348">
        <f t="shared" si="44"/>
        <v>5.8999999999999631</v>
      </c>
      <c r="H348">
        <f t="shared" si="42"/>
        <v>7943282.347242156</v>
      </c>
      <c r="I348" t="str">
        <f t="shared" si="45"/>
        <v>49909114.9349709j</v>
      </c>
      <c r="J348" t="str">
        <f t="shared" si="43"/>
        <v>0.00229016689806706-1.28576143892898j</v>
      </c>
      <c r="K348">
        <f t="shared" si="46"/>
        <v>2.1832217135988525</v>
      </c>
      <c r="L348">
        <f t="shared" si="47"/>
        <v>-89.897946263667919</v>
      </c>
      <c r="M348">
        <f t="shared" si="48"/>
        <v>2.2901668980670601E-3</v>
      </c>
      <c r="N348">
        <f t="shared" si="49"/>
        <v>-1.28576143892898</v>
      </c>
    </row>
    <row r="349" spans="7:14" x14ac:dyDescent="0.25">
      <c r="G349">
        <f t="shared" si="44"/>
        <v>5.9199999999999626</v>
      </c>
      <c r="H349">
        <f t="shared" si="42"/>
        <v>8317637.7110260036</v>
      </c>
      <c r="I349" t="str">
        <f t="shared" si="45"/>
        <v>52261259.0563614j</v>
      </c>
      <c r="J349" t="str">
        <f t="shared" si="43"/>
        <v>0.00189908532092418-1.22560897162097j</v>
      </c>
      <c r="K349">
        <f t="shared" si="46"/>
        <v>1.7670490551009974</v>
      </c>
      <c r="L349">
        <f t="shared" si="47"/>
        <v>-89.911220063444944</v>
      </c>
      <c r="M349">
        <f t="shared" si="48"/>
        <v>1.89908532092418E-3</v>
      </c>
      <c r="N349">
        <f t="shared" si="49"/>
        <v>-1.2256089716209699</v>
      </c>
    </row>
    <row r="350" spans="7:14" x14ac:dyDescent="0.25">
      <c r="G350">
        <f t="shared" si="44"/>
        <v>5.9399999999999622</v>
      </c>
      <c r="H350">
        <f t="shared" si="42"/>
        <v>8709635.8995600641</v>
      </c>
      <c r="I350" t="str">
        <f t="shared" si="45"/>
        <v>54724256.3149997j</v>
      </c>
      <c r="J350" t="str">
        <f t="shared" si="43"/>
        <v>0.00157523275304207-1.16846310366584j</v>
      </c>
      <c r="K350">
        <f t="shared" si="46"/>
        <v>1.352307959255727</v>
      </c>
      <c r="L350">
        <f t="shared" si="47"/>
        <v>-89.922758250953862</v>
      </c>
      <c r="M350">
        <f t="shared" si="48"/>
        <v>1.5752327530420701E-3</v>
      </c>
      <c r="N350">
        <f t="shared" si="49"/>
        <v>-1.1684631036658399</v>
      </c>
    </row>
    <row r="351" spans="7:14" x14ac:dyDescent="0.25">
      <c r="G351">
        <f t="shared" si="44"/>
        <v>5.9599999999999618</v>
      </c>
      <c r="H351">
        <f t="shared" si="42"/>
        <v>9120108.3935583029</v>
      </c>
      <c r="I351" t="str">
        <f t="shared" si="45"/>
        <v>57303331.0582907j</v>
      </c>
      <c r="J351" t="str">
        <f t="shared" si="43"/>
        <v>0.00130694543210993-1.11414894473112j</v>
      </c>
      <c r="K351">
        <f t="shared" si="46"/>
        <v>0.93887104144871281</v>
      </c>
      <c r="L351">
        <f t="shared" si="47"/>
        <v>-89.932789576006797</v>
      </c>
      <c r="M351">
        <f t="shared" si="48"/>
        <v>1.30694543210993E-3</v>
      </c>
      <c r="N351">
        <f t="shared" si="49"/>
        <v>-1.1141489447311199</v>
      </c>
    </row>
    <row r="352" spans="7:14" x14ac:dyDescent="0.25">
      <c r="G352">
        <f t="shared" si="44"/>
        <v>5.9799999999999613</v>
      </c>
      <c r="H352">
        <f t="shared" si="42"/>
        <v>9549925.8602135256</v>
      </c>
      <c r="I352" t="str">
        <f t="shared" si="45"/>
        <v>60003953.849548j</v>
      </c>
      <c r="J352" t="str">
        <f t="shared" si="43"/>
        <v>0.00108460897414166-1.06250477815563j</v>
      </c>
      <c r="K352">
        <f t="shared" si="46"/>
        <v>0.52662236108827276</v>
      </c>
      <c r="L352">
        <f t="shared" si="47"/>
        <v>-89.94151226767859</v>
      </c>
      <c r="M352">
        <f t="shared" si="48"/>
        <v>1.0846089741416601E-3</v>
      </c>
      <c r="N352">
        <f t="shared" si="49"/>
        <v>-1.06250477815563</v>
      </c>
    </row>
    <row r="353" spans="7:14" x14ac:dyDescent="0.25">
      <c r="G353">
        <f t="shared" si="44"/>
        <v>5.9999999999999609</v>
      </c>
      <c r="H353">
        <f t="shared" si="42"/>
        <v>9999999.9999991078</v>
      </c>
      <c r="I353" t="str">
        <f t="shared" si="45"/>
        <v>62831853.0717903j</v>
      </c>
      <c r="J353" t="str">
        <f t="shared" si="43"/>
        <v>0.000900292038901906-1.01338074337682j</v>
      </c>
      <c r="K353">
        <f t="shared" si="46"/>
        <v>0.11545637600359374</v>
      </c>
      <c r="L353">
        <f t="shared" si="47"/>
        <v>-89.949098183555776</v>
      </c>
      <c r="M353">
        <f t="shared" si="48"/>
        <v>9.0029203890190602E-4</v>
      </c>
      <c r="N353">
        <f t="shared" si="49"/>
        <v>-1.01338074337682</v>
      </c>
    </row>
  </sheetData>
  <conditionalFormatting sqref="B16">
    <cfRule type="cellIs" dxfId="0" priority="1" operator="lessThan">
      <formula>45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4CEEC-B12F-4AF6-BB12-F9B13EFAEBBF}">
  <dimension ref="A1:G13"/>
  <sheetViews>
    <sheetView showGridLines="0" zoomScaleNormal="100" workbookViewId="0">
      <selection activeCell="A2" sqref="A2"/>
    </sheetView>
  </sheetViews>
  <sheetFormatPr defaultRowHeight="15" x14ac:dyDescent="0.25"/>
  <cols>
    <col min="1" max="1" width="13" customWidth="1"/>
    <col min="2" max="2" width="11" bestFit="1" customWidth="1"/>
    <col min="5" max="5" width="11.5703125" bestFit="1" customWidth="1"/>
  </cols>
  <sheetData>
    <row r="1" spans="1:7" x14ac:dyDescent="0.25">
      <c r="A1" s="21" t="s">
        <v>72</v>
      </c>
    </row>
    <row r="3" spans="1:7" x14ac:dyDescent="0.25">
      <c r="A3" s="6" t="s">
        <v>47</v>
      </c>
      <c r="B3" s="5">
        <v>0.02</v>
      </c>
      <c r="C3" t="s">
        <v>50</v>
      </c>
      <c r="E3" s="6" t="s">
        <v>47</v>
      </c>
      <c r="F3" s="22">
        <f>CONVERT(B3,"in","m")</f>
        <v>5.0799999999999999E-4</v>
      </c>
      <c r="G3" t="s">
        <v>51</v>
      </c>
    </row>
    <row r="4" spans="1:7" x14ac:dyDescent="0.25">
      <c r="A4" s="6" t="s">
        <v>48</v>
      </c>
      <c r="B4" s="5">
        <v>0.5</v>
      </c>
      <c r="C4" t="s">
        <v>50</v>
      </c>
      <c r="E4" s="6" t="s">
        <v>48</v>
      </c>
      <c r="F4" s="22">
        <f>CONVERT(B4,"in","m")</f>
        <v>1.2699999999999999E-2</v>
      </c>
      <c r="G4" t="s">
        <v>51</v>
      </c>
    </row>
    <row r="5" spans="1:7" x14ac:dyDescent="0.25">
      <c r="A5" s="6" t="s">
        <v>49</v>
      </c>
      <c r="B5" s="5">
        <v>0.01</v>
      </c>
      <c r="C5" t="s">
        <v>50</v>
      </c>
      <c r="E5" s="6" t="s">
        <v>49</v>
      </c>
      <c r="F5" s="22">
        <f>CONVERT(B5,"in","m")</f>
        <v>2.5399999999999999E-4</v>
      </c>
      <c r="G5" t="s">
        <v>51</v>
      </c>
    </row>
    <row r="6" spans="1:7" ht="18.75" x14ac:dyDescent="0.35">
      <c r="A6" s="23" t="s">
        <v>54</v>
      </c>
      <c r="B6" s="5">
        <v>4.5</v>
      </c>
      <c r="C6" t="s">
        <v>55</v>
      </c>
      <c r="E6" s="6" t="s">
        <v>52</v>
      </c>
      <c r="F6" s="19">
        <f>F3*F4</f>
        <v>6.4515999999999994E-6</v>
      </c>
      <c r="G6" t="s">
        <v>53</v>
      </c>
    </row>
    <row r="7" spans="1:7" x14ac:dyDescent="0.25">
      <c r="A7" s="6"/>
      <c r="E7" s="6" t="s">
        <v>58</v>
      </c>
      <c r="F7" s="11">
        <f>(B6*F8*F6)/F5</f>
        <v>1.0115550000000001E-12</v>
      </c>
      <c r="G7" t="s">
        <v>11</v>
      </c>
    </row>
    <row r="8" spans="1:7" ht="18" x14ac:dyDescent="0.35">
      <c r="A8" s="6" t="s">
        <v>58</v>
      </c>
      <c r="B8" s="17">
        <f>F7*1000000000000</f>
        <v>1.0115550000000002</v>
      </c>
      <c r="C8" t="s">
        <v>59</v>
      </c>
      <c r="E8" s="23" t="s">
        <v>56</v>
      </c>
      <c r="F8" s="12">
        <v>8.8500000000000005E-12</v>
      </c>
      <c r="G8" t="s">
        <v>57</v>
      </c>
    </row>
    <row r="13" spans="1:7" x14ac:dyDescent="0.25">
      <c r="B13" s="10"/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56</vt:i4>
      </vt:variant>
    </vt:vector>
  </HeadingPairs>
  <TitlesOfParts>
    <vt:vector size="66" baseType="lpstr">
      <vt:lpstr>Opamp Response</vt:lpstr>
      <vt:lpstr>Opamp and Cload Pole</vt:lpstr>
      <vt:lpstr>Opamp and Iso R</vt:lpstr>
      <vt:lpstr>Opamp and C Stray</vt:lpstr>
      <vt:lpstr>Opamp and C Stray Using B</vt:lpstr>
      <vt:lpstr>Opamp and C Stray Using B (2)</vt:lpstr>
      <vt:lpstr>Overshoot</vt:lpstr>
      <vt:lpstr>Phase Margin Example</vt:lpstr>
      <vt:lpstr>Opamp and C Stray (2)</vt:lpstr>
      <vt:lpstr>PWB Trace Capacitance</vt:lpstr>
      <vt:lpstr>'Opamp and C Stray'!AoldB</vt:lpstr>
      <vt:lpstr>'Opamp and C Stray (2)'!AoldB</vt:lpstr>
      <vt:lpstr>'Opamp and C Stray Using B'!AoldB</vt:lpstr>
      <vt:lpstr>'Opamp and C Stray Using B (2)'!AoldB</vt:lpstr>
      <vt:lpstr>'Opamp and Cload Pole'!AoldB</vt:lpstr>
      <vt:lpstr>'Opamp and Iso R'!AoldB</vt:lpstr>
      <vt:lpstr>'Phase Margin Example'!AoldB</vt:lpstr>
      <vt:lpstr>AoldB</vt:lpstr>
      <vt:lpstr>'Opamp and C Stray'!Aolv</vt:lpstr>
      <vt:lpstr>'Opamp and C Stray (2)'!Aolv</vt:lpstr>
      <vt:lpstr>'Opamp and C Stray Using B'!Aolv</vt:lpstr>
      <vt:lpstr>'Opamp and C Stray Using B (2)'!Aolv</vt:lpstr>
      <vt:lpstr>'Opamp and Cload Pole'!Aolv</vt:lpstr>
      <vt:lpstr>'Opamp and Iso R'!Aolv</vt:lpstr>
      <vt:lpstr>'Phase Margin Example'!Aolv</vt:lpstr>
      <vt:lpstr>Aolv</vt:lpstr>
      <vt:lpstr>'Opamp and Iso R'!C_L</vt:lpstr>
      <vt:lpstr>C_L</vt:lpstr>
      <vt:lpstr>'Opamp and C Stray (2)'!C_s</vt:lpstr>
      <vt:lpstr>'Opamp and C Stray Using B'!C_s</vt:lpstr>
      <vt:lpstr>'Opamp and C Stray Using B (2)'!C_s</vt:lpstr>
      <vt:lpstr>'Phase Margin Example'!C_s</vt:lpstr>
      <vt:lpstr>C_s</vt:lpstr>
      <vt:lpstr>'Opamp and C Stray'!ppd</vt:lpstr>
      <vt:lpstr>'Opamp and C Stray (2)'!ppd</vt:lpstr>
      <vt:lpstr>'Opamp and C Stray Using B'!ppd</vt:lpstr>
      <vt:lpstr>'Opamp and C Stray Using B (2)'!ppd</vt:lpstr>
      <vt:lpstr>'Opamp and Iso R'!ppd</vt:lpstr>
      <vt:lpstr>'Phase Margin Example'!ppd</vt:lpstr>
      <vt:lpstr>ppd</vt:lpstr>
      <vt:lpstr>'Opamp and C Stray (2)'!R_1</vt:lpstr>
      <vt:lpstr>'Opamp and C Stray Using B'!R_1</vt:lpstr>
      <vt:lpstr>'Opamp and C Stray Using B (2)'!R_1</vt:lpstr>
      <vt:lpstr>'Phase Margin Example'!R_1</vt:lpstr>
      <vt:lpstr>R_1</vt:lpstr>
      <vt:lpstr>'Opamp and C Stray (2)'!R_f</vt:lpstr>
      <vt:lpstr>'Opamp and C Stray Using B'!R_f</vt:lpstr>
      <vt:lpstr>'Opamp and C Stray Using B (2)'!R_f</vt:lpstr>
      <vt:lpstr>'Phase Margin Example'!R_f</vt:lpstr>
      <vt:lpstr>R_f</vt:lpstr>
      <vt:lpstr>R_I</vt:lpstr>
      <vt:lpstr>'Opamp and C Stray'!R_O</vt:lpstr>
      <vt:lpstr>'Opamp and C Stray (2)'!R_O</vt:lpstr>
      <vt:lpstr>'Opamp and C Stray Using B'!R_O</vt:lpstr>
      <vt:lpstr>'Opamp and C Stray Using B (2)'!R_O</vt:lpstr>
      <vt:lpstr>'Opamp and Iso R'!R_O</vt:lpstr>
      <vt:lpstr>'Phase Margin Example'!R_O</vt:lpstr>
      <vt:lpstr>R_O</vt:lpstr>
      <vt:lpstr>'Opamp and C Stray'!wc</vt:lpstr>
      <vt:lpstr>'Opamp and C Stray (2)'!wc</vt:lpstr>
      <vt:lpstr>'Opamp and C Stray Using B'!wc</vt:lpstr>
      <vt:lpstr>'Opamp and C Stray Using B (2)'!wc</vt:lpstr>
      <vt:lpstr>'Opamp and Cload Pole'!wc</vt:lpstr>
      <vt:lpstr>'Opamp and Iso R'!wc</vt:lpstr>
      <vt:lpstr>'Phase Margin Example'!wc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Oldhack EE</cp:lastModifiedBy>
  <dcterms:created xsi:type="dcterms:W3CDTF">2022-10-20T01:15:40Z</dcterms:created>
  <dcterms:modified xsi:type="dcterms:W3CDTF">2022-10-20T01:17:53Z</dcterms:modified>
</cp:coreProperties>
</file>