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Terry's Presentations\Excel for Electrical Engineering\Sallen-Key Component Calculator\Workbook WIP\"/>
    </mc:Choice>
  </mc:AlternateContent>
  <xr:revisionPtr revIDLastSave="0" documentId="13_ncr:1_{A2C233E1-6F87-404F-B61C-A317CEB2F582}" xr6:coauthVersionLast="47" xr6:coauthVersionMax="47" xr10:uidLastSave="{00000000-0000-0000-0000-000000000000}"/>
  <bookViews>
    <workbookView xWindow="2310" yWindow="2370" windowWidth="23160" windowHeight="11835" xr2:uid="{14AEE215-88F7-4E7B-BB24-BEF73C0AD69D}"/>
  </bookViews>
  <sheets>
    <sheet name="Sallen-Key Components" sheetId="1" r:id="rId1"/>
  </sheets>
  <functionGroups builtInGroupCount="19"/>
  <definedNames>
    <definedName name="_C1">'Sallen-Key Components'!$B$13</definedName>
    <definedName name="_C1lbl">'Sallen-Key Components'!$AD$4</definedName>
    <definedName name="_C1up">'Sallen-Key Components'!$B$7</definedName>
    <definedName name="_C1upsb">'Sallen-Key Components'!$Z$2</definedName>
    <definedName name="_C2">'Sallen-Key Components'!$B$14</definedName>
    <definedName name="_C2dwn">'Sallen-Key Components'!$B$8</definedName>
    <definedName name="_C2dwnsb">'Sallen-Key Components'!$Z$3</definedName>
    <definedName name="_C2lbl">'Sallen-Key Components'!$AD$5</definedName>
    <definedName name="_R1">'Sallen-Key Components'!$B$18</definedName>
    <definedName name="_R1lbl">'Sallen-Key Components'!$AD$2</definedName>
    <definedName name="_R1R2">'Sallen-Key Components'!$B$17</definedName>
    <definedName name="_R2">'Sallen-Key Components'!$B$19</definedName>
    <definedName name="_R2lbl">'Sallen-Key Components'!$AD$3</definedName>
    <definedName name="Cgm">'Sallen-Key Components'!$B$12</definedName>
    <definedName name="Cnom">'Sallen-Key Components'!$G$1</definedName>
    <definedName name="Cratio">'Sallen-Key Components'!$B$15</definedName>
    <definedName name="Cseries">'Sallen-Key Components'!$V$10</definedName>
    <definedName name="CseriesSel">'Sallen-Key Components'!$B$5</definedName>
    <definedName name="fc">'Sallen-Key Components'!$B$3</definedName>
    <definedName name="fc_res">'Sallen-Key Components'!$F$13</definedName>
    <definedName name="Q">'Sallen-Key Components'!$B$4</definedName>
    <definedName name="Qres">'Sallen-Key Components'!$F$14</definedName>
    <definedName name="Rratio">'Sallen-Key Components'!$B$16</definedName>
    <definedName name="Rseries">'Sallen-Key Components'!$V$11</definedName>
    <definedName name="RseriesSel">'Sallen-Key Components'!$B$6</definedName>
    <definedName name="Zeta">'Sallen-Key Components'!$B$11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/>
  <c r="M3" i="1"/>
  <c r="N3" i="1" s="1"/>
  <c r="M4" i="1"/>
  <c r="N4" i="1" s="1"/>
  <c r="M5" i="1"/>
  <c r="N5" i="1" s="1"/>
  <c r="M6" i="1"/>
  <c r="N6" i="1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22" i="1"/>
  <c r="N22" i="1" s="1"/>
  <c r="M23" i="1"/>
  <c r="N23" i="1" s="1"/>
  <c r="M24" i="1"/>
  <c r="N24" i="1" s="1"/>
  <c r="M25" i="1"/>
  <c r="N25" i="1" s="1"/>
  <c r="M26" i="1"/>
  <c r="N26" i="1" s="1"/>
  <c r="M27" i="1"/>
  <c r="N27" i="1" s="1"/>
  <c r="M28" i="1"/>
  <c r="N28" i="1" s="1"/>
  <c r="M29" i="1"/>
  <c r="N29" i="1" s="1"/>
  <c r="M30" i="1"/>
  <c r="N30" i="1" s="1"/>
  <c r="M31" i="1"/>
  <c r="N31" i="1" s="1"/>
  <c r="M32" i="1"/>
  <c r="N32" i="1" s="1"/>
  <c r="M33" i="1"/>
  <c r="N33" i="1" s="1"/>
  <c r="M34" i="1"/>
  <c r="N34" i="1" s="1"/>
  <c r="M35" i="1"/>
  <c r="N35" i="1" s="1"/>
  <c r="M36" i="1"/>
  <c r="N36" i="1" s="1"/>
  <c r="M37" i="1"/>
  <c r="N37" i="1" s="1"/>
  <c r="M38" i="1"/>
  <c r="N38" i="1" s="1"/>
  <c r="M39" i="1"/>
  <c r="N39" i="1" s="1"/>
  <c r="M40" i="1"/>
  <c r="N40" i="1" s="1"/>
  <c r="M41" i="1"/>
  <c r="N41" i="1" s="1"/>
  <c r="M42" i="1"/>
  <c r="N42" i="1" s="1"/>
  <c r="M43" i="1"/>
  <c r="N43" i="1" s="1"/>
  <c r="M44" i="1"/>
  <c r="N44" i="1" s="1"/>
  <c r="M45" i="1"/>
  <c r="N45" i="1" s="1"/>
  <c r="M46" i="1"/>
  <c r="N46" i="1" s="1"/>
  <c r="M47" i="1"/>
  <c r="N47" i="1" s="1"/>
  <c r="M48" i="1"/>
  <c r="N48" i="1" s="1"/>
  <c r="M49" i="1"/>
  <c r="N49" i="1" s="1"/>
  <c r="M50" i="1"/>
  <c r="N50" i="1" s="1"/>
  <c r="M51" i="1"/>
  <c r="N51" i="1" s="1"/>
  <c r="M52" i="1"/>
  <c r="N52" i="1" s="1"/>
  <c r="M53" i="1"/>
  <c r="N53" i="1" s="1"/>
  <c r="M54" i="1"/>
  <c r="N54" i="1" s="1"/>
  <c r="M55" i="1"/>
  <c r="N55" i="1" s="1"/>
  <c r="M56" i="1"/>
  <c r="N56" i="1" s="1"/>
  <c r="M57" i="1"/>
  <c r="N57" i="1" s="1"/>
  <c r="M58" i="1"/>
  <c r="N58" i="1" s="1"/>
  <c r="M59" i="1"/>
  <c r="N59" i="1" s="1"/>
  <c r="M60" i="1"/>
  <c r="N60" i="1" s="1"/>
  <c r="M61" i="1"/>
  <c r="N61" i="1" s="1"/>
  <c r="M62" i="1"/>
  <c r="N62" i="1" s="1"/>
  <c r="M63" i="1"/>
  <c r="N63" i="1" s="1"/>
  <c r="M64" i="1"/>
  <c r="N64" i="1" s="1"/>
  <c r="M65" i="1"/>
  <c r="N65" i="1" s="1"/>
  <c r="M66" i="1"/>
  <c r="N66" i="1" s="1"/>
  <c r="M67" i="1"/>
  <c r="N67" i="1" s="1"/>
  <c r="M68" i="1"/>
  <c r="N68" i="1" s="1"/>
  <c r="M69" i="1"/>
  <c r="N69" i="1" s="1"/>
  <c r="M70" i="1"/>
  <c r="N70" i="1" s="1"/>
  <c r="M71" i="1"/>
  <c r="N71" i="1" s="1"/>
  <c r="M72" i="1"/>
  <c r="N72" i="1" s="1"/>
  <c r="M73" i="1"/>
  <c r="N73" i="1" s="1"/>
  <c r="M74" i="1"/>
  <c r="N74" i="1" s="1"/>
  <c r="M75" i="1"/>
  <c r="N75" i="1" s="1"/>
  <c r="M76" i="1"/>
  <c r="N76" i="1" s="1"/>
  <c r="M77" i="1"/>
  <c r="N77" i="1" s="1"/>
  <c r="M78" i="1"/>
  <c r="N78" i="1" s="1"/>
  <c r="M79" i="1"/>
  <c r="N79" i="1" s="1"/>
  <c r="M80" i="1"/>
  <c r="N80" i="1" s="1"/>
  <c r="M81" i="1"/>
  <c r="N81" i="1" s="1"/>
  <c r="M82" i="1"/>
  <c r="N82" i="1" s="1"/>
  <c r="M83" i="1"/>
  <c r="N83" i="1" s="1"/>
  <c r="M84" i="1"/>
  <c r="N84" i="1" s="1"/>
  <c r="M85" i="1"/>
  <c r="N85" i="1" s="1"/>
  <c r="M86" i="1"/>
  <c r="N86" i="1" s="1"/>
  <c r="M87" i="1"/>
  <c r="N87" i="1" s="1"/>
  <c r="M88" i="1"/>
  <c r="N88" i="1" s="1"/>
  <c r="M89" i="1"/>
  <c r="N89" i="1" s="1"/>
  <c r="M90" i="1"/>
  <c r="N90" i="1" s="1"/>
  <c r="M91" i="1"/>
  <c r="N91" i="1" s="1"/>
  <c r="M92" i="1"/>
  <c r="N92" i="1" s="1"/>
  <c r="M93" i="1"/>
  <c r="N93" i="1" s="1"/>
  <c r="M94" i="1"/>
  <c r="N94" i="1" s="1"/>
  <c r="M95" i="1"/>
  <c r="N95" i="1" s="1"/>
  <c r="M96" i="1"/>
  <c r="N96" i="1" s="1"/>
  <c r="M97" i="1"/>
  <c r="N97" i="1" s="1"/>
  <c r="M98" i="1"/>
  <c r="N98" i="1" s="1"/>
  <c r="M99" i="1"/>
  <c r="N99" i="1" s="1"/>
  <c r="M100" i="1"/>
  <c r="N100" i="1" s="1"/>
  <c r="M101" i="1"/>
  <c r="N101" i="1" s="1"/>
  <c r="M102" i="1"/>
  <c r="N102" i="1" s="1"/>
  <c r="M103" i="1"/>
  <c r="N103" i="1" s="1"/>
  <c r="M104" i="1"/>
  <c r="N104" i="1" s="1"/>
  <c r="M105" i="1"/>
  <c r="N105" i="1" s="1"/>
  <c r="M106" i="1"/>
  <c r="N106" i="1" s="1"/>
  <c r="M107" i="1"/>
  <c r="N107" i="1" s="1"/>
  <c r="M108" i="1"/>
  <c r="N108" i="1" s="1"/>
  <c r="M109" i="1"/>
  <c r="N109" i="1" s="1"/>
  <c r="M110" i="1"/>
  <c r="N110" i="1" s="1"/>
  <c r="M111" i="1"/>
  <c r="N111" i="1" s="1"/>
  <c r="M112" i="1"/>
  <c r="N112" i="1" s="1"/>
  <c r="M113" i="1"/>
  <c r="N113" i="1" s="1"/>
  <c r="M114" i="1"/>
  <c r="N114" i="1" s="1"/>
  <c r="M115" i="1"/>
  <c r="N115" i="1" s="1"/>
  <c r="M116" i="1"/>
  <c r="N116" i="1" s="1"/>
  <c r="M117" i="1"/>
  <c r="N117" i="1" s="1"/>
  <c r="M118" i="1"/>
  <c r="N118" i="1" s="1"/>
  <c r="M119" i="1"/>
  <c r="N119" i="1" s="1"/>
  <c r="M120" i="1"/>
  <c r="N120" i="1" s="1"/>
  <c r="M121" i="1"/>
  <c r="N121" i="1" s="1"/>
  <c r="M122" i="1"/>
  <c r="N122" i="1" s="1"/>
  <c r="M123" i="1"/>
  <c r="N123" i="1" s="1"/>
  <c r="M124" i="1"/>
  <c r="N124" i="1" s="1"/>
  <c r="M125" i="1"/>
  <c r="N125" i="1" s="1"/>
  <c r="M126" i="1"/>
  <c r="N126" i="1" s="1"/>
  <c r="M127" i="1"/>
  <c r="N127" i="1" s="1"/>
  <c r="M128" i="1"/>
  <c r="N128" i="1" s="1"/>
  <c r="M129" i="1"/>
  <c r="N129" i="1" s="1"/>
  <c r="M130" i="1"/>
  <c r="N130" i="1" s="1"/>
  <c r="M131" i="1"/>
  <c r="N131" i="1" s="1"/>
  <c r="M132" i="1"/>
  <c r="N132" i="1" s="1"/>
  <c r="M133" i="1"/>
  <c r="N133" i="1" s="1"/>
  <c r="M134" i="1"/>
  <c r="N134" i="1" s="1"/>
  <c r="M135" i="1"/>
  <c r="N135" i="1" s="1"/>
  <c r="M136" i="1"/>
  <c r="N136" i="1" s="1"/>
  <c r="M137" i="1"/>
  <c r="N137" i="1" s="1"/>
  <c r="M138" i="1"/>
  <c r="N138" i="1" s="1"/>
  <c r="M139" i="1"/>
  <c r="N139" i="1" s="1"/>
  <c r="M140" i="1"/>
  <c r="N140" i="1" s="1"/>
  <c r="M141" i="1"/>
  <c r="N141" i="1" s="1"/>
  <c r="M142" i="1"/>
  <c r="N142" i="1" s="1"/>
  <c r="M143" i="1"/>
  <c r="N143" i="1" s="1"/>
  <c r="M144" i="1"/>
  <c r="N144" i="1" s="1"/>
  <c r="M145" i="1"/>
  <c r="N145" i="1" s="1"/>
  <c r="M146" i="1"/>
  <c r="N146" i="1" s="1"/>
  <c r="M147" i="1"/>
  <c r="N147" i="1" s="1"/>
  <c r="M148" i="1"/>
  <c r="N148" i="1" s="1"/>
  <c r="M149" i="1"/>
  <c r="N149" i="1" s="1"/>
  <c r="M150" i="1"/>
  <c r="N150" i="1" s="1"/>
  <c r="M151" i="1"/>
  <c r="N151" i="1" s="1"/>
  <c r="M152" i="1"/>
  <c r="N152" i="1" s="1"/>
  <c r="M153" i="1"/>
  <c r="N153" i="1" s="1"/>
  <c r="M154" i="1"/>
  <c r="N154" i="1" s="1"/>
  <c r="M155" i="1"/>
  <c r="N155" i="1" s="1"/>
  <c r="M156" i="1"/>
  <c r="N156" i="1" s="1"/>
  <c r="M157" i="1"/>
  <c r="N157" i="1" s="1"/>
  <c r="M158" i="1"/>
  <c r="N158" i="1" s="1"/>
  <c r="M159" i="1"/>
  <c r="N159" i="1" s="1"/>
  <c r="M160" i="1"/>
  <c r="N160" i="1" s="1"/>
  <c r="M161" i="1"/>
  <c r="N161" i="1" s="1"/>
  <c r="M162" i="1"/>
  <c r="N162" i="1" s="1"/>
  <c r="M163" i="1"/>
  <c r="N163" i="1" s="1"/>
  <c r="M164" i="1"/>
  <c r="N164" i="1" s="1"/>
  <c r="M165" i="1"/>
  <c r="N165" i="1" s="1"/>
  <c r="M166" i="1"/>
  <c r="N166" i="1" s="1"/>
  <c r="M167" i="1"/>
  <c r="N167" i="1" s="1"/>
  <c r="M168" i="1"/>
  <c r="N168" i="1" s="1"/>
  <c r="M169" i="1"/>
  <c r="N169" i="1" s="1"/>
  <c r="M170" i="1"/>
  <c r="N170" i="1" s="1"/>
  <c r="M171" i="1"/>
  <c r="N171" i="1" s="1"/>
  <c r="M172" i="1"/>
  <c r="N172" i="1" s="1"/>
  <c r="M173" i="1"/>
  <c r="N173" i="1" s="1"/>
  <c r="M174" i="1"/>
  <c r="N174" i="1" s="1"/>
  <c r="M175" i="1"/>
  <c r="N175" i="1" s="1"/>
  <c r="M176" i="1"/>
  <c r="N176" i="1" s="1"/>
  <c r="M177" i="1"/>
  <c r="N177" i="1" s="1"/>
  <c r="M178" i="1"/>
  <c r="N178" i="1" s="1"/>
  <c r="M179" i="1"/>
  <c r="N179" i="1" s="1"/>
  <c r="M180" i="1"/>
  <c r="N180" i="1" s="1"/>
  <c r="M181" i="1"/>
  <c r="N181" i="1" s="1"/>
  <c r="M182" i="1"/>
  <c r="N182" i="1" s="1"/>
  <c r="M183" i="1"/>
  <c r="N183" i="1" s="1"/>
  <c r="M184" i="1"/>
  <c r="N184" i="1" s="1"/>
  <c r="M185" i="1"/>
  <c r="N185" i="1" s="1"/>
  <c r="M186" i="1"/>
  <c r="N186" i="1" s="1"/>
  <c r="M187" i="1"/>
  <c r="N187" i="1" s="1"/>
  <c r="M188" i="1"/>
  <c r="N188" i="1" s="1"/>
  <c r="M189" i="1"/>
  <c r="N189" i="1" s="1"/>
  <c r="M190" i="1"/>
  <c r="N190" i="1" s="1"/>
  <c r="M191" i="1"/>
  <c r="N191" i="1" s="1"/>
  <c r="M192" i="1"/>
  <c r="N192" i="1" s="1"/>
  <c r="M193" i="1"/>
  <c r="N193" i="1" s="1"/>
  <c r="M194" i="1"/>
  <c r="N194" i="1" s="1"/>
  <c r="M195" i="1"/>
  <c r="N195" i="1" s="1"/>
  <c r="M196" i="1"/>
  <c r="N196" i="1" s="1"/>
  <c r="M197" i="1"/>
  <c r="N197" i="1" s="1"/>
  <c r="M198" i="1"/>
  <c r="N198" i="1" s="1"/>
  <c r="M199" i="1"/>
  <c r="N199" i="1" s="1"/>
  <c r="M200" i="1"/>
  <c r="N200" i="1" s="1"/>
  <c r="M201" i="1"/>
  <c r="N201" i="1" s="1"/>
  <c r="M202" i="1"/>
  <c r="N202" i="1" s="1"/>
  <c r="M2" i="1"/>
  <c r="B12" i="1" l="1"/>
  <c r="V11" i="1"/>
  <c r="V10" i="1"/>
  <c r="B8" i="1"/>
  <c r="B7" i="1" l="1"/>
  <c r="B11" i="1"/>
  <c r="B13" i="1" a="1"/>
  <c r="B13" i="1" l="1"/>
  <c r="AD4" i="1" a="1"/>
  <c r="B14" i="1" a="1"/>
  <c r="AD4" i="1" l="1"/>
  <c r="B14" i="1"/>
  <c r="B17" i="1" s="1"/>
  <c r="AD5" i="1" a="1"/>
  <c r="AD5" i="1" l="1"/>
  <c r="B15" i="1"/>
  <c r="B16" i="1" s="1"/>
  <c r="B18" i="1" a="1"/>
  <c r="B18" i="1" l="1"/>
  <c r="AD2" i="1" a="1"/>
  <c r="B19" i="1" a="1"/>
  <c r="O2" i="1" l="1"/>
  <c r="AD2" i="1"/>
  <c r="B19" i="1"/>
  <c r="F14" i="1" s="1"/>
  <c r="AD3" i="1" a="1"/>
  <c r="O165" i="1" l="1"/>
  <c r="O44" i="1"/>
  <c r="O129" i="1"/>
  <c r="O89" i="1"/>
  <c r="O199" i="1"/>
  <c r="O49" i="1"/>
  <c r="O193" i="1"/>
  <c r="O121" i="1"/>
  <c r="O185" i="1"/>
  <c r="O149" i="1"/>
  <c r="Q149" i="1" s="1"/>
  <c r="O105" i="1"/>
  <c r="O69" i="1"/>
  <c r="O9" i="1"/>
  <c r="O192" i="1"/>
  <c r="Q192" i="1" s="1"/>
  <c r="O177" i="1"/>
  <c r="O133" i="1"/>
  <c r="O101" i="1"/>
  <c r="O65" i="1"/>
  <c r="O164" i="1"/>
  <c r="O153" i="1"/>
  <c r="O81" i="1"/>
  <c r="O37" i="1"/>
  <c r="Q37" i="1" s="1"/>
  <c r="O43" i="1"/>
  <c r="O197" i="1"/>
  <c r="O169" i="1"/>
  <c r="O145" i="1"/>
  <c r="Q145" i="1" s="1"/>
  <c r="O113" i="1"/>
  <c r="O85" i="1"/>
  <c r="O57" i="1"/>
  <c r="O25" i="1"/>
  <c r="O140" i="1"/>
  <c r="O12" i="1"/>
  <c r="Q12" i="1" s="1"/>
  <c r="O190" i="1"/>
  <c r="O108" i="1"/>
  <c r="O171" i="1"/>
  <c r="O126" i="1"/>
  <c r="O41" i="1"/>
  <c r="O180" i="1"/>
  <c r="O76" i="1"/>
  <c r="O107" i="1"/>
  <c r="O62" i="1"/>
  <c r="O201" i="1"/>
  <c r="O181" i="1"/>
  <c r="O161" i="1"/>
  <c r="O137" i="1"/>
  <c r="O117" i="1"/>
  <c r="P117" i="1" s="1"/>
  <c r="O97" i="1"/>
  <c r="O73" i="1"/>
  <c r="O53" i="1"/>
  <c r="P53" i="1" s="1"/>
  <c r="O33" i="1"/>
  <c r="O188" i="1"/>
  <c r="O156" i="1"/>
  <c r="O92" i="1"/>
  <c r="P92" i="1" s="1"/>
  <c r="O28" i="1"/>
  <c r="O155" i="1"/>
  <c r="O91" i="1"/>
  <c r="O27" i="1"/>
  <c r="O174" i="1"/>
  <c r="O110" i="1"/>
  <c r="Q110" i="1" s="1"/>
  <c r="O46" i="1"/>
  <c r="O139" i="1"/>
  <c r="O75" i="1"/>
  <c r="Q75" i="1" s="1"/>
  <c r="O11" i="1"/>
  <c r="P11" i="1" s="1"/>
  <c r="O158" i="1"/>
  <c r="O94" i="1"/>
  <c r="P94" i="1" s="1"/>
  <c r="O30" i="1"/>
  <c r="O17" i="1"/>
  <c r="O172" i="1"/>
  <c r="P172" i="1" s="1"/>
  <c r="O124" i="1"/>
  <c r="Q124" i="1" s="1"/>
  <c r="O60" i="1"/>
  <c r="O191" i="1"/>
  <c r="P191" i="1" s="1"/>
  <c r="O123" i="1"/>
  <c r="O59" i="1"/>
  <c r="O195" i="1"/>
  <c r="O142" i="1"/>
  <c r="O78" i="1"/>
  <c r="O14" i="1"/>
  <c r="O187" i="1"/>
  <c r="O189" i="1"/>
  <c r="O173" i="1"/>
  <c r="O157" i="1"/>
  <c r="Q157" i="1" s="1"/>
  <c r="O141" i="1"/>
  <c r="O125" i="1"/>
  <c r="P125" i="1" s="1"/>
  <c r="O109" i="1"/>
  <c r="O93" i="1"/>
  <c r="O77" i="1"/>
  <c r="O61" i="1"/>
  <c r="O45" i="1"/>
  <c r="P45" i="1" s="1"/>
  <c r="O29" i="1"/>
  <c r="P29" i="1" s="1"/>
  <c r="O13" i="1"/>
  <c r="Q13" i="1" s="1"/>
  <c r="O184" i="1"/>
  <c r="Q184" i="1" s="1"/>
  <c r="O168" i="1"/>
  <c r="P168" i="1" s="1"/>
  <c r="O152" i="1"/>
  <c r="O136" i="1"/>
  <c r="O120" i="1"/>
  <c r="Q120" i="1" s="1"/>
  <c r="O104" i="1"/>
  <c r="O88" i="1"/>
  <c r="O72" i="1"/>
  <c r="P72" i="1" s="1"/>
  <c r="O56" i="1"/>
  <c r="O40" i="1"/>
  <c r="O24" i="1"/>
  <c r="O8" i="1"/>
  <c r="Q8" i="1" s="1"/>
  <c r="O183" i="1"/>
  <c r="O167" i="1"/>
  <c r="P167" i="1" s="1"/>
  <c r="O151" i="1"/>
  <c r="Q151" i="1" s="1"/>
  <c r="O135" i="1"/>
  <c r="O119" i="1"/>
  <c r="O103" i="1"/>
  <c r="O87" i="1"/>
  <c r="Q87" i="1" s="1"/>
  <c r="O71" i="1"/>
  <c r="O55" i="1"/>
  <c r="O39" i="1"/>
  <c r="Q39" i="1" s="1"/>
  <c r="O23" i="1"/>
  <c r="O7" i="1"/>
  <c r="Q7" i="1" s="1"/>
  <c r="O202" i="1"/>
  <c r="P202" i="1" s="1"/>
  <c r="O186" i="1"/>
  <c r="P186" i="1" s="1"/>
  <c r="O170" i="1"/>
  <c r="Q170" i="1" s="1"/>
  <c r="O154" i="1"/>
  <c r="P154" i="1" s="1"/>
  <c r="O138" i="1"/>
  <c r="O122" i="1"/>
  <c r="O106" i="1"/>
  <c r="Q106" i="1" s="1"/>
  <c r="O90" i="1"/>
  <c r="O74" i="1"/>
  <c r="O58" i="1"/>
  <c r="O42" i="1"/>
  <c r="O26" i="1"/>
  <c r="O10" i="1"/>
  <c r="P10" i="1" s="1"/>
  <c r="O148" i="1"/>
  <c r="O132" i="1"/>
  <c r="O116" i="1"/>
  <c r="O100" i="1"/>
  <c r="O84" i="1"/>
  <c r="Q84" i="1" s="1"/>
  <c r="O68" i="1"/>
  <c r="P68" i="1" s="1"/>
  <c r="O52" i="1"/>
  <c r="O36" i="1"/>
  <c r="O20" i="1"/>
  <c r="O4" i="1"/>
  <c r="O179" i="1"/>
  <c r="Q179" i="1" s="1"/>
  <c r="O163" i="1"/>
  <c r="O147" i="1"/>
  <c r="O131" i="1"/>
  <c r="O115" i="1"/>
  <c r="O99" i="1"/>
  <c r="O83" i="1"/>
  <c r="O67" i="1"/>
  <c r="O51" i="1"/>
  <c r="O35" i="1"/>
  <c r="O19" i="1"/>
  <c r="Q19" i="1" s="1"/>
  <c r="O3" i="1"/>
  <c r="O198" i="1"/>
  <c r="O182" i="1"/>
  <c r="O166" i="1"/>
  <c r="O150" i="1"/>
  <c r="O134" i="1"/>
  <c r="P134" i="1" s="1"/>
  <c r="O118" i="1"/>
  <c r="Q118" i="1" s="1"/>
  <c r="O102" i="1"/>
  <c r="O86" i="1"/>
  <c r="P86" i="1" s="1"/>
  <c r="O70" i="1"/>
  <c r="O54" i="1"/>
  <c r="O38" i="1"/>
  <c r="O22" i="1"/>
  <c r="Q22" i="1" s="1"/>
  <c r="O6" i="1"/>
  <c r="P6" i="1" s="1"/>
  <c r="O21" i="1"/>
  <c r="O5" i="1"/>
  <c r="O176" i="1"/>
  <c r="P176" i="1" s="1"/>
  <c r="O160" i="1"/>
  <c r="Q160" i="1" s="1"/>
  <c r="O144" i="1"/>
  <c r="Q144" i="1" s="1"/>
  <c r="O128" i="1"/>
  <c r="O112" i="1"/>
  <c r="O96" i="1"/>
  <c r="O80" i="1"/>
  <c r="O64" i="1"/>
  <c r="O48" i="1"/>
  <c r="P48" i="1" s="1"/>
  <c r="O32" i="1"/>
  <c r="O16" i="1"/>
  <c r="O200" i="1"/>
  <c r="Q200" i="1" s="1"/>
  <c r="O175" i="1"/>
  <c r="P175" i="1" s="1"/>
  <c r="O159" i="1"/>
  <c r="Q159" i="1" s="1"/>
  <c r="O143" i="1"/>
  <c r="O127" i="1"/>
  <c r="O111" i="1"/>
  <c r="O95" i="1"/>
  <c r="O79" i="1"/>
  <c r="O63" i="1"/>
  <c r="O47" i="1"/>
  <c r="O31" i="1"/>
  <c r="O15" i="1"/>
  <c r="O196" i="1"/>
  <c r="O194" i="1"/>
  <c r="P194" i="1" s="1"/>
  <c r="O178" i="1"/>
  <c r="P178" i="1" s="1"/>
  <c r="O162" i="1"/>
  <c r="Q162" i="1" s="1"/>
  <c r="O146" i="1"/>
  <c r="O130" i="1"/>
  <c r="O114" i="1"/>
  <c r="P114" i="1" s="1"/>
  <c r="O98" i="1"/>
  <c r="O82" i="1"/>
  <c r="O66" i="1"/>
  <c r="O50" i="1"/>
  <c r="Q50" i="1" s="1"/>
  <c r="O34" i="1"/>
  <c r="O18" i="1"/>
  <c r="Q61" i="1"/>
  <c r="Q169" i="1"/>
  <c r="Q89" i="1"/>
  <c r="P57" i="1"/>
  <c r="P9" i="1"/>
  <c r="P59" i="1"/>
  <c r="Q85" i="1"/>
  <c r="P140" i="1"/>
  <c r="P183" i="1"/>
  <c r="Q129" i="1"/>
  <c r="Q81" i="1"/>
  <c r="P88" i="1"/>
  <c r="P40" i="1"/>
  <c r="Q140" i="1"/>
  <c r="P162" i="1"/>
  <c r="Q173" i="1"/>
  <c r="P36" i="1"/>
  <c r="P169" i="1"/>
  <c r="Q11" i="1"/>
  <c r="P199" i="1"/>
  <c r="Q199" i="1"/>
  <c r="P85" i="1"/>
  <c r="F13" i="1"/>
  <c r="AD3" i="1"/>
  <c r="P75" i="1" l="1"/>
  <c r="Q125" i="1"/>
  <c r="P184" i="1"/>
  <c r="Q168" i="1"/>
  <c r="Q88" i="1"/>
  <c r="P7" i="1"/>
  <c r="Q186" i="1"/>
  <c r="P61" i="1"/>
  <c r="Q59" i="1"/>
  <c r="Q57" i="1"/>
  <c r="Q202" i="1"/>
  <c r="Q172" i="1"/>
  <c r="Q175" i="1"/>
  <c r="Q94" i="1"/>
  <c r="P192" i="1"/>
  <c r="P39" i="1"/>
  <c r="P179" i="1"/>
  <c r="P159" i="1"/>
  <c r="P129" i="1"/>
  <c r="Q114" i="1"/>
  <c r="Q29" i="1"/>
  <c r="P8" i="1"/>
  <c r="P145" i="1"/>
  <c r="Q178" i="1"/>
  <c r="P157" i="1"/>
  <c r="Q117" i="1"/>
  <c r="P84" i="1"/>
  <c r="P110" i="1"/>
  <c r="P13" i="1"/>
  <c r="Q183" i="1"/>
  <c r="Q10" i="1"/>
  <c r="Q191" i="1"/>
  <c r="P37" i="1"/>
  <c r="Q86" i="1"/>
  <c r="P50" i="1"/>
  <c r="P22" i="1"/>
  <c r="Q9" i="1"/>
  <c r="Q92" i="1"/>
  <c r="P12" i="1"/>
  <c r="Q154" i="1"/>
  <c r="Q134" i="1"/>
  <c r="P120" i="1"/>
  <c r="Q6" i="1"/>
  <c r="P149" i="1"/>
  <c r="P160" i="1"/>
  <c r="P144" i="1"/>
  <c r="Q36" i="1"/>
  <c r="Q194" i="1"/>
  <c r="P19" i="1"/>
  <c r="P124" i="1"/>
  <c r="Q53" i="1"/>
  <c r="P81" i="1"/>
  <c r="Q40" i="1"/>
  <c r="P87" i="1"/>
  <c r="P170" i="1"/>
  <c r="P106" i="1"/>
  <c r="P173" i="1"/>
  <c r="Q45" i="1"/>
  <c r="P151" i="1"/>
  <c r="P200" i="1"/>
  <c r="P89" i="1"/>
  <c r="Q167" i="1"/>
  <c r="P118" i="1"/>
  <c r="Q176" i="1"/>
  <c r="Q68" i="1"/>
  <c r="Q48" i="1"/>
  <c r="Q72" i="1"/>
  <c r="P77" i="1"/>
  <c r="Q77" i="1"/>
  <c r="P139" i="1"/>
  <c r="Q139" i="1"/>
  <c r="P109" i="1"/>
  <c r="Q109" i="1"/>
  <c r="Q96" i="1"/>
  <c r="P96" i="1"/>
  <c r="Q181" i="1"/>
  <c r="P181" i="1"/>
  <c r="Q105" i="1"/>
  <c r="P105" i="1"/>
  <c r="P76" i="1"/>
  <c r="Q76" i="1"/>
  <c r="P24" i="1"/>
  <c r="Q24" i="1"/>
  <c r="P196" i="1"/>
  <c r="Q196" i="1"/>
  <c r="P189" i="1"/>
  <c r="Q189" i="1"/>
  <c r="Q113" i="1"/>
  <c r="P113" i="1"/>
  <c r="P138" i="1"/>
  <c r="Q138" i="1"/>
  <c r="Q65" i="1"/>
  <c r="P65" i="1"/>
  <c r="Q201" i="1"/>
  <c r="P201" i="1"/>
  <c r="P95" i="1"/>
  <c r="Q95" i="1"/>
  <c r="Q132" i="1"/>
  <c r="P132" i="1"/>
  <c r="P2" i="1"/>
  <c r="Q2" i="1"/>
  <c r="Q107" i="1"/>
  <c r="P107" i="1"/>
  <c r="Q31" i="1"/>
  <c r="P31" i="1"/>
  <c r="Q91" i="1"/>
  <c r="P91" i="1"/>
  <c r="P195" i="1"/>
  <c r="Q195" i="1"/>
  <c r="Q133" i="1"/>
  <c r="P133" i="1"/>
  <c r="Q158" i="1"/>
  <c r="P158" i="1"/>
  <c r="Q148" i="1"/>
  <c r="P148" i="1"/>
  <c r="Q35" i="1"/>
  <c r="P35" i="1"/>
  <c r="Q143" i="1"/>
  <c r="P143" i="1"/>
  <c r="P30" i="1"/>
  <c r="Q30" i="1"/>
  <c r="Q131" i="1"/>
  <c r="P131" i="1"/>
  <c r="P104" i="1"/>
  <c r="Q104" i="1"/>
  <c r="Q67" i="1"/>
  <c r="P67" i="1"/>
  <c r="Q62" i="1"/>
  <c r="P62" i="1"/>
  <c r="P82" i="1"/>
  <c r="Q82" i="1"/>
  <c r="P4" i="1"/>
  <c r="Q4" i="1"/>
  <c r="Q197" i="1"/>
  <c r="P197" i="1"/>
  <c r="P63" i="1"/>
  <c r="Q63" i="1"/>
  <c r="Q177" i="1"/>
  <c r="P177" i="1"/>
  <c r="Q44" i="1"/>
  <c r="P44" i="1"/>
  <c r="Q153" i="1"/>
  <c r="P153" i="1"/>
  <c r="Q142" i="1"/>
  <c r="P142" i="1"/>
  <c r="Q34" i="1"/>
  <c r="P34" i="1"/>
  <c r="Q33" i="1"/>
  <c r="P33" i="1"/>
  <c r="P51" i="1"/>
  <c r="Q51" i="1"/>
  <c r="Q141" i="1"/>
  <c r="P141" i="1"/>
  <c r="Q127" i="1"/>
  <c r="P127" i="1"/>
  <c r="Q99" i="1"/>
  <c r="P99" i="1"/>
  <c r="P112" i="1"/>
  <c r="Q112" i="1"/>
  <c r="P188" i="1"/>
  <c r="Q188" i="1"/>
  <c r="Q163" i="1"/>
  <c r="P163" i="1"/>
  <c r="P126" i="1"/>
  <c r="Q126" i="1"/>
  <c r="Q58" i="1"/>
  <c r="P58" i="1"/>
  <c r="Q52" i="1"/>
  <c r="P52" i="1"/>
  <c r="P152" i="1"/>
  <c r="Q152" i="1"/>
  <c r="Q43" i="1"/>
  <c r="P43" i="1"/>
  <c r="P135" i="1"/>
  <c r="Q135" i="1"/>
  <c r="Q136" i="1"/>
  <c r="P136" i="1"/>
  <c r="P190" i="1"/>
  <c r="Q190" i="1"/>
  <c r="Q20" i="1"/>
  <c r="P20" i="1"/>
  <c r="Q147" i="1"/>
  <c r="P147" i="1"/>
  <c r="Q26" i="1"/>
  <c r="P26" i="1"/>
  <c r="P60" i="1"/>
  <c r="Q60" i="1"/>
  <c r="P90" i="1"/>
  <c r="Q90" i="1"/>
  <c r="Q74" i="1"/>
  <c r="P74" i="1"/>
  <c r="Q21" i="1"/>
  <c r="P21" i="1"/>
  <c r="Q5" i="1"/>
  <c r="P5" i="1"/>
  <c r="P111" i="1"/>
  <c r="Q111" i="1"/>
  <c r="P80" i="1"/>
  <c r="Q80" i="1"/>
  <c r="P121" i="1"/>
  <c r="Q121" i="1"/>
  <c r="Q115" i="1"/>
  <c r="P115" i="1"/>
  <c r="Q14" i="1"/>
  <c r="P14" i="1"/>
  <c r="P161" i="1"/>
  <c r="Q161" i="1"/>
  <c r="Q185" i="1"/>
  <c r="P185" i="1"/>
  <c r="Q97" i="1"/>
  <c r="P97" i="1"/>
  <c r="Q18" i="1"/>
  <c r="P18" i="1"/>
  <c r="P180" i="1"/>
  <c r="Q180" i="1"/>
  <c r="Q171" i="1"/>
  <c r="P171" i="1"/>
  <c r="P108" i="1"/>
  <c r="Q108" i="1"/>
  <c r="P55" i="1"/>
  <c r="Q55" i="1"/>
  <c r="P46" i="1"/>
  <c r="Q46" i="1"/>
  <c r="P165" i="1"/>
  <c r="Q165" i="1"/>
  <c r="P102" i="1"/>
  <c r="Q102" i="1"/>
  <c r="P174" i="1"/>
  <c r="Q174" i="1"/>
  <c r="P70" i="1"/>
  <c r="Q70" i="1"/>
  <c r="P182" i="1"/>
  <c r="Q182" i="1"/>
  <c r="P155" i="1"/>
  <c r="Q155" i="1"/>
  <c r="Q3" i="1"/>
  <c r="P3" i="1"/>
  <c r="P103" i="1"/>
  <c r="Q103" i="1"/>
  <c r="Q83" i="1"/>
  <c r="P83" i="1"/>
  <c r="P187" i="1"/>
  <c r="Q187" i="1"/>
  <c r="Q93" i="1"/>
  <c r="P93" i="1"/>
  <c r="P98" i="1"/>
  <c r="Q98" i="1"/>
  <c r="P16" i="1"/>
  <c r="Q16" i="1"/>
  <c r="Q193" i="1"/>
  <c r="P193" i="1"/>
  <c r="Q47" i="1"/>
  <c r="P47" i="1"/>
  <c r="P156" i="1"/>
  <c r="Q156" i="1"/>
  <c r="Q27" i="1"/>
  <c r="P27" i="1"/>
  <c r="P23" i="1"/>
  <c r="Q23" i="1"/>
  <c r="P25" i="1"/>
  <c r="Q25" i="1"/>
  <c r="Q49" i="1"/>
  <c r="P49" i="1"/>
  <c r="P71" i="1"/>
  <c r="Q71" i="1"/>
  <c r="P79" i="1"/>
  <c r="Q79" i="1"/>
  <c r="P56" i="1"/>
  <c r="Q56" i="1"/>
  <c r="Q166" i="1"/>
  <c r="P166" i="1"/>
  <c r="Q119" i="1"/>
  <c r="P119" i="1"/>
  <c r="P32" i="1"/>
  <c r="Q32" i="1"/>
  <c r="Q123" i="1"/>
  <c r="P123" i="1"/>
  <c r="Q198" i="1"/>
  <c r="P198" i="1"/>
  <c r="P15" i="1"/>
  <c r="Q15" i="1"/>
  <c r="Q128" i="1"/>
  <c r="P128" i="1"/>
  <c r="P101" i="1"/>
  <c r="Q101" i="1"/>
  <c r="P73" i="1"/>
  <c r="Q73" i="1"/>
  <c r="Q54" i="1"/>
  <c r="P54" i="1"/>
  <c r="Q28" i="1"/>
  <c r="P28" i="1"/>
  <c r="Q130" i="1"/>
  <c r="P130" i="1"/>
  <c r="P100" i="1"/>
  <c r="Q100" i="1"/>
  <c r="Q122" i="1"/>
  <c r="P122" i="1"/>
  <c r="P17" i="1"/>
  <c r="Q17" i="1"/>
  <c r="Q164" i="1"/>
  <c r="P164" i="1"/>
  <c r="P69" i="1"/>
  <c r="Q69" i="1"/>
  <c r="P116" i="1"/>
  <c r="Q116" i="1"/>
  <c r="Q38" i="1"/>
  <c r="P38" i="1"/>
  <c r="Q41" i="1"/>
  <c r="P41" i="1"/>
  <c r="P66" i="1"/>
  <c r="Q66" i="1"/>
  <c r="P64" i="1"/>
  <c r="Q64" i="1"/>
  <c r="Q42" i="1"/>
  <c r="P42" i="1"/>
  <c r="P78" i="1"/>
  <c r="Q78" i="1"/>
  <c r="Q150" i="1"/>
  <c r="P150" i="1"/>
  <c r="Q146" i="1"/>
  <c r="P146" i="1"/>
  <c r="P137" i="1"/>
  <c r="Q1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<sst xmlns="http://schemas.openxmlformats.org/spreadsheetml/2006/main" count="52" uniqueCount="43">
  <si>
    <r>
      <t>f</t>
    </r>
    <r>
      <rPr>
        <vertAlign val="subscript"/>
        <sz val="11"/>
        <color theme="1"/>
        <rFont val="Calibri"/>
        <family val="2"/>
        <scheme val="minor"/>
      </rPr>
      <t>c</t>
    </r>
  </si>
  <si>
    <t>Q</t>
  </si>
  <si>
    <t>ζ</t>
  </si>
  <si>
    <t>C1 upscale</t>
  </si>
  <si>
    <t>C2 downscale</t>
  </si>
  <si>
    <t>C1</t>
  </si>
  <si>
    <t>C2</t>
  </si>
  <si>
    <t>C2/C1</t>
  </si>
  <si>
    <t>R2/R1</t>
  </si>
  <si>
    <t>R1R2</t>
  </si>
  <si>
    <t>R1</t>
  </si>
  <si>
    <t>R2</t>
  </si>
  <si>
    <t>Resultant Values</t>
  </si>
  <si>
    <t>Hz</t>
  </si>
  <si>
    <t>Nominal Capacitance</t>
  </si>
  <si>
    <r>
      <t>(C</t>
    </r>
    <r>
      <rPr>
        <vertAlign val="subscript"/>
        <sz val="11"/>
        <color theme="1"/>
        <rFont val="Calibri"/>
        <family val="2"/>
      </rPr>
      <t>nom</t>
    </r>
    <r>
      <rPr>
        <sz val="11"/>
        <color theme="1"/>
        <rFont val="Calibri"/>
        <family val="2"/>
      </rPr>
      <t>)</t>
    </r>
  </si>
  <si>
    <r>
      <t>F/</t>
    </r>
    <r>
      <rPr>
        <sz val="11"/>
        <color theme="1"/>
        <rFont val="Arial"/>
        <family val="2"/>
      </rPr>
      <t>√</t>
    </r>
    <r>
      <rPr>
        <sz val="11"/>
        <color theme="1"/>
        <rFont val="Calibri"/>
        <family val="2"/>
      </rPr>
      <t>Hz</t>
    </r>
  </si>
  <si>
    <r>
      <t>┌INPUTS</t>
    </r>
    <r>
      <rPr>
        <b/>
        <sz val="11"/>
        <color theme="1"/>
        <rFont val="Arial"/>
        <family val="2"/>
      </rPr>
      <t>┐</t>
    </r>
  </si>
  <si>
    <r>
      <t>┌OUTPUTS</t>
    </r>
    <r>
      <rPr>
        <b/>
        <sz val="11"/>
        <color theme="1"/>
        <rFont val="Arial"/>
        <family val="2"/>
      </rPr>
      <t>┐</t>
    </r>
  </si>
  <si>
    <t>Low-Pass Sallen Key Component Selection</t>
  </si>
  <si>
    <t>E3 (40%)</t>
  </si>
  <si>
    <t>E6 (20%)</t>
  </si>
  <si>
    <t>E12 (10%)</t>
  </si>
  <si>
    <t>E24 (5%)</t>
  </si>
  <si>
    <t>E48 (2%)</t>
  </si>
  <si>
    <t>E96 (1%)</t>
  </si>
  <si>
    <t>E192 (&lt;= 0.5%)</t>
  </si>
  <si>
    <t>Component Series Lookup</t>
  </si>
  <si>
    <t>Capacitor Series</t>
  </si>
  <si>
    <t>Resistor Series</t>
  </si>
  <si>
    <t>Scroll Bar Lookup</t>
  </si>
  <si>
    <t>Component Labels</t>
  </si>
  <si>
    <t>C1up</t>
  </si>
  <si>
    <t>C2dwn</t>
  </si>
  <si>
    <r>
      <t xml:space="preserve">     ┌ADJUST</t>
    </r>
    <r>
      <rPr>
        <b/>
        <sz val="11"/>
        <color theme="1"/>
        <rFont val="Arial"/>
        <family val="2"/>
      </rPr>
      <t>┐</t>
    </r>
  </si>
  <si>
    <r>
      <t>C</t>
    </r>
    <r>
      <rPr>
        <vertAlign val="subscript"/>
        <sz val="11"/>
        <color theme="1"/>
        <rFont val="Calibri"/>
        <family val="2"/>
      </rPr>
      <t>gm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</si>
  <si>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</rPr>
      <t>(Hz)</t>
    </r>
  </si>
  <si>
    <t>Decade</t>
  </si>
  <si>
    <t>f</t>
  </si>
  <si>
    <t>s</t>
  </si>
  <si>
    <t>H</t>
  </si>
  <si>
    <t>Mag(dB)</t>
  </si>
  <si>
    <t>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</si>
</sst>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sz val="11"/>
      <color theme="1"/>
      <name val="Arial"/>
      <family val="2"/>
    </font>
    <font>
      <b/>
      <i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>
      <alignment horizontal="center"/>
      <protection locked="0"/>
    </xf>
    <xf numFmtId="0" fontId="1" fillId="3" borderId="1">
      <alignment horizontal="center"/>
    </xf>
    <xf numFmtId="0" fontId="1" fillId="4" borderId="1">
      <alignment horizontal="center"/>
    </xf>
    <xf numFmtId="0" fontId="1" fillId="5" borderId="1">
      <alignment horizontal="center"/>
    </xf>
  </cellStyleXfs>
  <cellXfs count="2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" fillId="0" borderId="1" xfId="0" applyFont="1" applyBorder="1" applyAlignment="1">
      <alignment horizontal="right" vertical="center"/>
    </xf>
    <xf numFmtId="11" fontId="1" fillId="5" borderId="1" xfId="4" applyNumberFormat="1">
      <alignment horizontal="center"/>
    </xf>
    <xf numFmtId="0" fontId="1" fillId="2" borderId="1" xfId="1" applyAlignment="1">
      <alignment horizontal="center" vertical="center"/>
      <protection locked="0"/>
    </xf>
    <xf numFmtId="0" fontId="1" fillId="3" borderId="1" xfId="2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left" vertical="center"/>
    </xf>
    <xf numFmtId="0" fontId="6" fillId="0" borderId="1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1" fillId="3" borderId="1" xfId="2">
      <alignment horizontal="center"/>
    </xf>
    <xf numFmtId="48" fontId="1" fillId="3" borderId="1" xfId="2" applyNumberFormat="1" applyAlignment="1">
      <alignment horizontal="center" vertical="center"/>
    </xf>
    <xf numFmtId="0" fontId="1" fillId="2" borderId="1" xfId="1">
      <alignment horizontal="center"/>
      <protection locked="0"/>
    </xf>
    <xf numFmtId="0" fontId="1" fillId="3" borderId="2" xfId="2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5">
    <cellStyle name="INPUTS" xfId="1" xr:uid="{D0463B22-0481-4272-9D64-1E97F633AE48}"/>
    <cellStyle name="Normal" xfId="0" builtinId="0"/>
    <cellStyle name="OUTPUTS" xfId="2" xr:uid="{44EC0948-9AD8-4445-ABD8-79422F8D0032}"/>
    <cellStyle name="REFERENCE" xfId="3" xr:uid="{C58A993A-ACF0-462C-8155-81A4A2B91E71}"/>
    <cellStyle name="SPECS" xfId="4" xr:uid="{8850176C-E17B-4A56-80F8-4FDF2D8718D6}"/>
  </cellStyles>
  <dxfs count="3"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13670166229222"/>
          <c:y val="6.8217054263565891E-2"/>
          <c:w val="0.84029396325459316"/>
          <c:h val="0.7122275529512299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'Sallen-Key Components'!$M$2:$M$202</c:f>
              <c:numCache>
                <c:formatCode>General</c:formatCode>
                <c:ptCount val="201"/>
                <c:pt idx="0">
                  <c:v>200</c:v>
                </c:pt>
                <c:pt idx="1">
                  <c:v>209.42570961017978</c:v>
                </c:pt>
                <c:pt idx="2">
                  <c:v>219.29563922863701</c:v>
                </c:pt>
                <c:pt idx="3">
                  <c:v>229.63072429937654</c:v>
                </c:pt>
                <c:pt idx="4">
                  <c:v>240.45288692348251</c:v>
                </c:pt>
                <c:pt idx="5">
                  <c:v>251.78508235883328</c:v>
                </c:pt>
                <c:pt idx="6">
                  <c:v>263.65134771128152</c:v>
                </c:pt>
                <c:pt idx="7">
                  <c:v>276.07685292057675</c:v>
                </c:pt>
                <c:pt idx="8">
                  <c:v>289.08795414918546</c:v>
                </c:pt>
                <c:pt idx="9">
                  <c:v>302.71224968724152</c:v>
                </c:pt>
                <c:pt idx="10">
                  <c:v>316.9786384922225</c:v>
                </c:pt>
                <c:pt idx="11">
                  <c:v>331.91738148751182</c:v>
                </c:pt>
                <c:pt idx="12">
                  <c:v>347.56016574987513</c:v>
                </c:pt>
                <c:pt idx="13">
                  <c:v>363.94017172199659</c:v>
                </c:pt>
                <c:pt idx="14">
                  <c:v>381.09214359264928</c:v>
                </c:pt>
                <c:pt idx="15">
                  <c:v>399.05246299377586</c:v>
                </c:pt>
                <c:pt idx="16">
                  <c:v>417.85922617080769</c:v>
                </c:pt>
                <c:pt idx="17">
                  <c:v>437.55232478991047</c:v>
                </c:pt>
                <c:pt idx="18">
                  <c:v>458.17353055355449</c:v>
                </c:pt>
                <c:pt idx="19">
                  <c:v>479.7665838038979</c:v>
                </c:pt>
                <c:pt idx="20">
                  <c:v>502.3772863019156</c:v>
                </c:pt>
                <c:pt idx="21">
                  <c:v>526.05359837907611</c:v>
                </c:pt>
                <c:pt idx="22">
                  <c:v>550.84574066763298</c:v>
                </c:pt>
                <c:pt idx="23">
                  <c:v>576.80630062532089</c:v>
                </c:pt>
                <c:pt idx="24">
                  <c:v>603.99034408040291</c:v>
                </c:pt>
                <c:pt idx="25">
                  <c:v>632.45553203367569</c:v>
                </c:pt>
                <c:pt idx="26">
                  <c:v>662.26224296518217</c:v>
                </c:pt>
                <c:pt idx="27">
                  <c:v>693.4737009050632</c:v>
                </c:pt>
                <c:pt idx="28">
                  <c:v>726.15610954020258</c:v>
                </c:pt>
                <c:pt idx="29">
                  <c:v>760.37879264112223</c:v>
                </c:pt>
                <c:pt idx="30">
                  <c:v>796.21434110699454</c:v>
                </c:pt>
                <c:pt idx="31">
                  <c:v>833.73876694067064</c:v>
                </c:pt>
                <c:pt idx="32">
                  <c:v>873.03166448033164</c:v>
                </c:pt>
                <c:pt idx="33">
                  <c:v>914.17637922974961</c:v>
                </c:pt>
                <c:pt idx="34">
                  <c:v>957.26018464527647</c:v>
                </c:pt>
                <c:pt idx="35">
                  <c:v>1002.3744672545441</c:v>
                </c:pt>
                <c:pt idx="36">
                  <c:v>1049.614920499545</c:v>
                </c:pt>
                <c:pt idx="37">
                  <c:v>1099.0817477152486</c:v>
                </c:pt>
                <c:pt idx="38">
                  <c:v>1150.8798746743137</c:v>
                </c:pt>
                <c:pt idx="39">
                  <c:v>1205.1191721487148</c:v>
                </c:pt>
                <c:pt idx="40">
                  <c:v>1261.9146889603862</c:v>
                </c:pt>
                <c:pt idx="41">
                  <c:v>1321.3868960151917</c:v>
                </c:pt>
                <c:pt idx="42">
                  <c:v>1383.661941837873</c:v>
                </c:pt>
                <c:pt idx="43">
                  <c:v>1448.8719201499798</c:v>
                </c:pt>
                <c:pt idx="44">
                  <c:v>1517.1551500583671</c:v>
                </c:pt>
                <c:pt idx="45">
                  <c:v>1588.6564694485619</c:v>
                </c:pt>
                <c:pt idx="46">
                  <c:v>1663.5275422053417</c:v>
                </c:pt>
                <c:pt idx="47">
                  <c:v>1741.9271799121602</c:v>
                </c:pt>
                <c:pt idx="48">
                  <c:v>1824.0216787118188</c:v>
                </c:pt>
                <c:pt idx="49">
                  <c:v>1909.9851720428712</c:v>
                </c:pt>
                <c:pt idx="50">
                  <c:v>2000</c:v>
                </c:pt>
                <c:pt idx="51">
                  <c:v>2094.2570961017991</c:v>
                </c:pt>
                <c:pt idx="52">
                  <c:v>2192.9563922863699</c:v>
                </c:pt>
                <c:pt idx="53">
                  <c:v>2296.3072429937661</c:v>
                </c:pt>
                <c:pt idx="54">
                  <c:v>2404.5288692348258</c:v>
                </c:pt>
                <c:pt idx="55">
                  <c:v>2517.8508235883332</c:v>
                </c:pt>
                <c:pt idx="56">
                  <c:v>2636.5134771128141</c:v>
                </c:pt>
                <c:pt idx="57">
                  <c:v>2760.7685292057686</c:v>
                </c:pt>
                <c:pt idx="58">
                  <c:v>2890.8795414918541</c:v>
                </c:pt>
                <c:pt idx="59">
                  <c:v>3027.1224968724159</c:v>
                </c:pt>
                <c:pt idx="60">
                  <c:v>3169.7863849222263</c:v>
                </c:pt>
                <c:pt idx="61">
                  <c:v>3319.1738148751197</c:v>
                </c:pt>
                <c:pt idx="62">
                  <c:v>3475.6016574987498</c:v>
                </c:pt>
                <c:pt idx="63">
                  <c:v>3639.4017172199665</c:v>
                </c:pt>
                <c:pt idx="64">
                  <c:v>3810.9214359264943</c:v>
                </c:pt>
                <c:pt idx="65">
                  <c:v>3990.5246299377591</c:v>
                </c:pt>
                <c:pt idx="66">
                  <c:v>4178.5922617080787</c:v>
                </c:pt>
                <c:pt idx="67">
                  <c:v>4375.5232478991047</c:v>
                </c:pt>
                <c:pt idx="68">
                  <c:v>4581.7353055355461</c:v>
                </c:pt>
                <c:pt idx="69">
                  <c:v>4797.6658380389799</c:v>
                </c:pt>
                <c:pt idx="70">
                  <c:v>5023.7728630191605</c:v>
                </c:pt>
                <c:pt idx="71">
                  <c:v>5260.5359837907636</c:v>
                </c:pt>
                <c:pt idx="72">
                  <c:v>5508.4574066763325</c:v>
                </c:pt>
                <c:pt idx="73">
                  <c:v>5768.0630062532109</c:v>
                </c:pt>
                <c:pt idx="74">
                  <c:v>6039.9034408040307</c:v>
                </c:pt>
                <c:pt idx="75">
                  <c:v>6324.555320336759</c:v>
                </c:pt>
                <c:pt idx="76">
                  <c:v>6622.6224296518212</c:v>
                </c:pt>
                <c:pt idx="77">
                  <c:v>6934.7370090506329</c:v>
                </c:pt>
                <c:pt idx="78">
                  <c:v>7261.5610954020267</c:v>
                </c:pt>
                <c:pt idx="79">
                  <c:v>7603.7879264112225</c:v>
                </c:pt>
                <c:pt idx="80">
                  <c:v>7962.1434110699438</c:v>
                </c:pt>
                <c:pt idx="81">
                  <c:v>8337.3876694067076</c:v>
                </c:pt>
                <c:pt idx="82">
                  <c:v>8730.3166448033189</c:v>
                </c:pt>
                <c:pt idx="83">
                  <c:v>9141.7637922975009</c:v>
                </c:pt>
                <c:pt idx="84">
                  <c:v>9572.601846452766</c:v>
                </c:pt>
                <c:pt idx="85">
                  <c:v>10023.744672545445</c:v>
                </c:pt>
                <c:pt idx="86">
                  <c:v>10496.14920499545</c:v>
                </c:pt>
                <c:pt idx="87">
                  <c:v>10990.81747715249</c:v>
                </c:pt>
                <c:pt idx="88">
                  <c:v>11508.798746743139</c:v>
                </c:pt>
                <c:pt idx="89">
                  <c:v>12051.191721487156</c:v>
                </c:pt>
                <c:pt idx="90">
                  <c:v>12619.146889603864</c:v>
                </c:pt>
                <c:pt idx="91">
                  <c:v>13213.86896015192</c:v>
                </c:pt>
                <c:pt idx="92">
                  <c:v>13836.61941837873</c:v>
                </c:pt>
                <c:pt idx="93">
                  <c:v>14488.7192014998</c:v>
                </c:pt>
                <c:pt idx="94">
                  <c:v>15171.551500583673</c:v>
                </c:pt>
                <c:pt idx="95">
                  <c:v>15886.564694485629</c:v>
                </c:pt>
                <c:pt idx="96">
                  <c:v>16635.275422053419</c:v>
                </c:pt>
                <c:pt idx="97">
                  <c:v>17419.271799121609</c:v>
                </c:pt>
                <c:pt idx="98">
                  <c:v>18240.216787118192</c:v>
                </c:pt>
                <c:pt idx="99">
                  <c:v>19099.851720428716</c:v>
                </c:pt>
                <c:pt idx="100">
                  <c:v>20000</c:v>
                </c:pt>
                <c:pt idx="101">
                  <c:v>20942.570961017991</c:v>
                </c:pt>
                <c:pt idx="102">
                  <c:v>21929.563922863701</c:v>
                </c:pt>
                <c:pt idx="103">
                  <c:v>22963.07242993766</c:v>
                </c:pt>
                <c:pt idx="104">
                  <c:v>24045.288692348262</c:v>
                </c:pt>
                <c:pt idx="105">
                  <c:v>25178.508235883346</c:v>
                </c:pt>
                <c:pt idx="106">
                  <c:v>26365.134771128145</c:v>
                </c:pt>
                <c:pt idx="107">
                  <c:v>27607.6852920577</c:v>
                </c:pt>
                <c:pt idx="108">
                  <c:v>28908.79541491855</c:v>
                </c:pt>
                <c:pt idx="109">
                  <c:v>30271.224968724164</c:v>
                </c:pt>
                <c:pt idx="110">
                  <c:v>31697.863849222271</c:v>
                </c:pt>
                <c:pt idx="111">
                  <c:v>33191.73814875121</c:v>
                </c:pt>
                <c:pt idx="112">
                  <c:v>34756.016574987509</c:v>
                </c:pt>
                <c:pt idx="113">
                  <c:v>36394.017172199674</c:v>
                </c:pt>
                <c:pt idx="114">
                  <c:v>38109.214359264952</c:v>
                </c:pt>
                <c:pt idx="115">
                  <c:v>39905.246299377592</c:v>
                </c:pt>
                <c:pt idx="116">
                  <c:v>41785.922617080796</c:v>
                </c:pt>
                <c:pt idx="117">
                  <c:v>43755.232478991049</c:v>
                </c:pt>
                <c:pt idx="118">
                  <c:v>45817.353055355466</c:v>
                </c:pt>
                <c:pt idx="119">
                  <c:v>47976.658380389817</c:v>
                </c:pt>
                <c:pt idx="120">
                  <c:v>50237.72863019161</c:v>
                </c:pt>
                <c:pt idx="121">
                  <c:v>52605.359837907643</c:v>
                </c:pt>
                <c:pt idx="122">
                  <c:v>55084.574066763329</c:v>
                </c:pt>
                <c:pt idx="123">
                  <c:v>57680.630062532116</c:v>
                </c:pt>
                <c:pt idx="124">
                  <c:v>60399.03440804033</c:v>
                </c:pt>
                <c:pt idx="125">
                  <c:v>63245.553203367592</c:v>
                </c:pt>
                <c:pt idx="126">
                  <c:v>66226.224296518238</c:v>
                </c:pt>
                <c:pt idx="127">
                  <c:v>69347.370090506345</c:v>
                </c:pt>
                <c:pt idx="128">
                  <c:v>72615.610954020274</c:v>
                </c:pt>
                <c:pt idx="129">
                  <c:v>76037.879264112242</c:v>
                </c:pt>
                <c:pt idx="130">
                  <c:v>79621.434110699454</c:v>
                </c:pt>
                <c:pt idx="131">
                  <c:v>83373.87669406709</c:v>
                </c:pt>
                <c:pt idx="132">
                  <c:v>87303.166448033197</c:v>
                </c:pt>
                <c:pt idx="133">
                  <c:v>91417.637922975016</c:v>
                </c:pt>
                <c:pt idx="134">
                  <c:v>95726.018464527675</c:v>
                </c:pt>
                <c:pt idx="135">
                  <c:v>100237.44672545446</c:v>
                </c:pt>
                <c:pt idx="136">
                  <c:v>104961.49204995453</c:v>
                </c:pt>
                <c:pt idx="137">
                  <c:v>109908.17477152492</c:v>
                </c:pt>
                <c:pt idx="138">
                  <c:v>115087.98746743142</c:v>
                </c:pt>
                <c:pt idx="139">
                  <c:v>120511.91721487159</c:v>
                </c:pt>
                <c:pt idx="140">
                  <c:v>126191.46889603868</c:v>
                </c:pt>
                <c:pt idx="141">
                  <c:v>132138.68960151923</c:v>
                </c:pt>
                <c:pt idx="142">
                  <c:v>138366.19418378733</c:v>
                </c:pt>
                <c:pt idx="143">
                  <c:v>144887.19201499806</c:v>
                </c:pt>
                <c:pt idx="144">
                  <c:v>151715.51500583676</c:v>
                </c:pt>
                <c:pt idx="145">
                  <c:v>158865.64694485636</c:v>
                </c:pt>
                <c:pt idx="146">
                  <c:v>166352.7542205342</c:v>
                </c:pt>
                <c:pt idx="147">
                  <c:v>174192.71799121611</c:v>
                </c:pt>
                <c:pt idx="148">
                  <c:v>182402.16787118197</c:v>
                </c:pt>
                <c:pt idx="149">
                  <c:v>190998.51720428717</c:v>
                </c:pt>
                <c:pt idx="150">
                  <c:v>200000</c:v>
                </c:pt>
                <c:pt idx="151">
                  <c:v>209425.70961018</c:v>
                </c:pt>
                <c:pt idx="152">
                  <c:v>219295.63922863707</c:v>
                </c:pt>
                <c:pt idx="153">
                  <c:v>229630.72429937668</c:v>
                </c:pt>
                <c:pt idx="154">
                  <c:v>240452.88692348264</c:v>
                </c:pt>
                <c:pt idx="155">
                  <c:v>251785.08235883361</c:v>
                </c:pt>
                <c:pt idx="156">
                  <c:v>263651.3477112815</c:v>
                </c:pt>
                <c:pt idx="157">
                  <c:v>276076.85292057705</c:v>
                </c:pt>
                <c:pt idx="158">
                  <c:v>289087.95414918551</c:v>
                </c:pt>
                <c:pt idx="159">
                  <c:v>302712.24968724174</c:v>
                </c:pt>
                <c:pt idx="160">
                  <c:v>316978.6384922227</c:v>
                </c:pt>
                <c:pt idx="161">
                  <c:v>331917.38148751226</c:v>
                </c:pt>
                <c:pt idx="162">
                  <c:v>347560.16574987513</c:v>
                </c:pt>
                <c:pt idx="163">
                  <c:v>363940.1717219968</c:v>
                </c:pt>
                <c:pt idx="164">
                  <c:v>381092.14359264955</c:v>
                </c:pt>
                <c:pt idx="165">
                  <c:v>399052.46299377608</c:v>
                </c:pt>
                <c:pt idx="166">
                  <c:v>417859.22617080802</c:v>
                </c:pt>
                <c:pt idx="167">
                  <c:v>437552.32478991075</c:v>
                </c:pt>
                <c:pt idx="168">
                  <c:v>458173.53055355477</c:v>
                </c:pt>
                <c:pt idx="169">
                  <c:v>479766.58380389813</c:v>
                </c:pt>
                <c:pt idx="170">
                  <c:v>502377.286301916</c:v>
                </c:pt>
                <c:pt idx="171">
                  <c:v>526053.59837907646</c:v>
                </c:pt>
                <c:pt idx="172">
                  <c:v>550845.74066763336</c:v>
                </c:pt>
                <c:pt idx="173">
                  <c:v>576806.30062532134</c:v>
                </c:pt>
                <c:pt idx="174">
                  <c:v>603990.34408040333</c:v>
                </c:pt>
                <c:pt idx="175">
                  <c:v>632455.53203367605</c:v>
                </c:pt>
                <c:pt idx="176">
                  <c:v>662262.24296518252</c:v>
                </c:pt>
                <c:pt idx="177">
                  <c:v>693473.70090506354</c:v>
                </c:pt>
                <c:pt idx="178">
                  <c:v>726156.10954020312</c:v>
                </c:pt>
                <c:pt idx="179">
                  <c:v>760378.79264112283</c:v>
                </c:pt>
                <c:pt idx="180">
                  <c:v>796214.34110699513</c:v>
                </c:pt>
                <c:pt idx="181">
                  <c:v>833738.76694067125</c:v>
                </c:pt>
                <c:pt idx="182">
                  <c:v>873031.66448033229</c:v>
                </c:pt>
                <c:pt idx="183">
                  <c:v>914176.37922975013</c:v>
                </c:pt>
                <c:pt idx="184">
                  <c:v>957260.1846452771</c:v>
                </c:pt>
                <c:pt idx="185">
                  <c:v>1002374.4672545447</c:v>
                </c:pt>
                <c:pt idx="186">
                  <c:v>1049614.9204995458</c:v>
                </c:pt>
                <c:pt idx="187">
                  <c:v>1099081.7477152494</c:v>
                </c:pt>
                <c:pt idx="188">
                  <c:v>1150879.8746743139</c:v>
                </c:pt>
                <c:pt idx="189">
                  <c:v>1205119.1721487164</c:v>
                </c:pt>
                <c:pt idx="190">
                  <c:v>1261914.6889603874</c:v>
                </c:pt>
                <c:pt idx="191">
                  <c:v>1321386.8960151924</c:v>
                </c:pt>
                <c:pt idx="192">
                  <c:v>1383661.9418378731</c:v>
                </c:pt>
                <c:pt idx="193">
                  <c:v>1448871.9201499813</c:v>
                </c:pt>
                <c:pt idx="194">
                  <c:v>1517155.1500583673</c:v>
                </c:pt>
                <c:pt idx="195">
                  <c:v>1588656.4694485639</c:v>
                </c:pt>
                <c:pt idx="196">
                  <c:v>1663527.5422053426</c:v>
                </c:pt>
                <c:pt idx="197">
                  <c:v>1741927.1799121613</c:v>
                </c:pt>
                <c:pt idx="198">
                  <c:v>1824021.6787118195</c:v>
                </c:pt>
                <c:pt idx="199">
                  <c:v>1909985.172042873</c:v>
                </c:pt>
                <c:pt idx="200">
                  <c:v>2000000</c:v>
                </c:pt>
              </c:numCache>
            </c:numRef>
          </c:xVal>
          <c:yVal>
            <c:numRef>
              <c:f>'Sallen-Key Components'!$P$2:$P$202</c:f>
              <c:numCache>
                <c:formatCode>General</c:formatCode>
                <c:ptCount val="201"/>
                <c:pt idx="0">
                  <c:v>7.5834141834243843E-4</c:v>
                </c:pt>
                <c:pt idx="1">
                  <c:v>8.3150727002383889E-4</c:v>
                </c:pt>
                <c:pt idx="2">
                  <c:v>9.1173252444214396E-4</c:v>
                </c:pt>
                <c:pt idx="3">
                  <c:v>9.9969835990792099E-4</c:v>
                </c:pt>
                <c:pt idx="4">
                  <c:v>1.096151693700205E-3</c:v>
                </c:pt>
                <c:pt idx="5">
                  <c:v>1.2019115287136655E-3</c:v>
                </c:pt>
                <c:pt idx="6">
                  <c:v>1.3178759127029061E-3</c:v>
                </c:pt>
                <c:pt idx="7">
                  <c:v>1.4450295707332168E-3</c:v>
                </c:pt>
                <c:pt idx="8">
                  <c:v>1.5844522745579034E-3</c:v>
                </c:pt>
                <c:pt idx="9">
                  <c:v>1.7373280208099087E-3</c:v>
                </c:pt>
                <c:pt idx="10">
                  <c:v>1.9049550972805574E-3</c:v>
                </c:pt>
                <c:pt idx="11">
                  <c:v>2.0887571213477557E-3</c:v>
                </c:pt>
                <c:pt idx="12">
                  <c:v>2.2902951465866256E-3</c:v>
                </c:pt>
                <c:pt idx="13">
                  <c:v>2.5112809401718989E-3</c:v>
                </c:pt>
                <c:pt idx="14">
                  <c:v>2.7535915448326227E-3</c:v>
                </c:pt>
                <c:pt idx="15">
                  <c:v>3.0192852502061783E-3</c:v>
                </c:pt>
                <c:pt idx="16">
                  <c:v>3.3106191100100561E-3</c:v>
                </c:pt>
                <c:pt idx="17">
                  <c:v>3.6300681559793854E-3</c:v>
                </c:pt>
                <c:pt idx="18">
                  <c:v>3.9803464725180569E-3</c:v>
                </c:pt>
                <c:pt idx="19">
                  <c:v>4.3644303140317441E-3</c:v>
                </c:pt>
                <c:pt idx="20">
                  <c:v>4.7855834633148677E-3</c:v>
                </c:pt>
                <c:pt idx="21">
                  <c:v>5.2473850496217254E-3</c:v>
                </c:pt>
                <c:pt idx="22">
                  <c:v>5.7537600661967357E-3</c:v>
                </c:pt>
                <c:pt idx="23">
                  <c:v>6.3090128513331551E-3</c:v>
                </c:pt>
                <c:pt idx="24">
                  <c:v>6.9178638219355871E-3</c:v>
                </c:pt>
                <c:pt idx="25">
                  <c:v>7.5854897789922101E-3</c:v>
                </c:pt>
                <c:pt idx="26">
                  <c:v>8.3175681338151109E-3</c:v>
                </c:pt>
                <c:pt idx="27">
                  <c:v>9.1203254413921887E-3</c:v>
                </c:pt>
                <c:pt idx="28">
                  <c:v>1.0000590663406136E-2</c:v>
                </c:pt>
                <c:pt idx="29">
                  <c:v>1.0965853627586196E-2</c:v>
                </c:pt>
                <c:pt idx="30">
                  <c:v>1.2024329194655382E-2</c:v>
                </c:pt>
                <c:pt idx="31">
                  <c:v>1.3185027700631458E-2</c:v>
                </c:pt>
                <c:pt idx="32">
                  <c:v>1.4457832292949903E-2</c:v>
                </c:pt>
                <c:pt idx="33">
                  <c:v>1.5853583848462062E-2</c:v>
                </c:pt>
                <c:pt idx="34">
                  <c:v>1.7384174227501388E-2</c:v>
                </c:pt>
                <c:pt idx="35">
                  <c:v>1.9062648697972636E-2</c:v>
                </c:pt>
                <c:pt idx="36">
                  <c:v>2.0903318449045947E-2</c:v>
                </c:pt>
                <c:pt idx="37">
                  <c:v>2.292188420984146E-2</c:v>
                </c:pt>
                <c:pt idx="38">
                  <c:v>2.5135572095357109E-2</c:v>
                </c:pt>
                <c:pt idx="39">
                  <c:v>2.7563282920394856E-2</c:v>
                </c:pt>
                <c:pt idx="40">
                  <c:v>3.02257563528886E-2</c:v>
                </c:pt>
                <c:pt idx="41">
                  <c:v>3.3145751428419454E-2</c:v>
                </c:pt>
                <c:pt idx="42">
                  <c:v>3.6348245108253636E-2</c:v>
                </c:pt>
                <c:pt idx="43">
                  <c:v>3.9860650750529858E-2</c:v>
                </c:pt>
                <c:pt idx="44">
                  <c:v>4.3713058568518481E-2</c:v>
                </c:pt>
                <c:pt idx="45">
                  <c:v>4.7938500381223076E-2</c:v>
                </c:pt>
                <c:pt idx="46">
                  <c:v>5.257324122204373E-2</c:v>
                </c:pt>
                <c:pt idx="47">
                  <c:v>5.7657100663709715E-2</c:v>
                </c:pt>
                <c:pt idx="48">
                  <c:v>6.3233807045748297E-2</c:v>
                </c:pt>
                <c:pt idx="49">
                  <c:v>6.9351388166200345E-2</c:v>
                </c:pt>
                <c:pt idx="50">
                  <c:v>7.6062602418030062E-2</c:v>
                </c:pt>
                <c:pt idx="51">
                  <c:v>8.342541483086513E-2</c:v>
                </c:pt>
                <c:pt idx="52">
                  <c:v>9.1503523021031041E-2</c:v>
                </c:pt>
                <c:pt idx="53">
                  <c:v>0.10036693867098405</c:v>
                </c:pt>
                <c:pt idx="54">
                  <c:v>0.11009263086626615</c:v>
                </c:pt>
                <c:pt idx="55">
                  <c:v>0.12076523842185202</c:v>
                </c:pt>
                <c:pt idx="56">
                  <c:v>0.13247785925557379</c:v>
                </c:pt>
                <c:pt idx="57">
                  <c:v>0.145332925924088</c:v>
                </c:pt>
                <c:pt idx="58">
                  <c:v>0.15944317765343341</c:v>
                </c:pt>
                <c:pt idx="59">
                  <c:v>0.17493274059973959</c:v>
                </c:pt>
                <c:pt idx="60">
                  <c:v>0.19193832968681007</c:v>
                </c:pt>
                <c:pt idx="61">
                  <c:v>0.21061058723455875</c:v>
                </c:pt>
                <c:pt idx="62">
                  <c:v>0.23111557574175182</c:v>
                </c:pt>
                <c:pt idx="63">
                  <c:v>0.25363644467394669</c:v>
                </c:pt>
                <c:pt idx="64">
                  <c:v>0.2783752939802453</c:v>
                </c:pt>
                <c:pt idx="65">
                  <c:v>0.30555526037529601</c:v>
                </c:pt>
                <c:pt idx="66">
                  <c:v>0.33542285624220058</c:v>
                </c:pt>
                <c:pt idx="67">
                  <c:v>0.36825059539144861</c:v>
                </c:pt>
                <c:pt idx="68">
                  <c:v>0.40433994491722458</c:v>
                </c:pt>
                <c:pt idx="69">
                  <c:v>0.44402464805757713</c:v>
                </c:pt>
                <c:pt idx="70">
                  <c:v>0.4876744693122177</c:v>
                </c:pt>
                <c:pt idx="71">
                  <c:v>0.53569942004582216</c:v>
                </c:pt>
                <c:pt idx="72">
                  <c:v>0.58855453025658389</c:v>
                </c:pt>
                <c:pt idx="73">
                  <c:v>0.64674523978977561</c:v>
                </c:pt>
                <c:pt idx="74">
                  <c:v>0.71083348937724711</c:v>
                </c:pt>
                <c:pt idx="75">
                  <c:v>0.7814445973481654</c:v>
                </c:pt>
                <c:pt idx="76">
                  <c:v>0.85927500968937842</c:v>
                </c:pt>
                <c:pt idx="77">
                  <c:v>0.94510100596326241</c:v>
                </c:pt>
                <c:pt idx="78">
                  <c:v>1.0397884257527599</c:v>
                </c:pt>
                <c:pt idx="79">
                  <c:v>1.1443034403510857</c:v>
                </c:pt>
                <c:pt idx="80">
                  <c:v>1.2597243166130256</c:v>
                </c:pt>
                <c:pt idx="81">
                  <c:v>1.3872539780165365</c:v>
                </c:pt>
                <c:pt idx="82">
                  <c:v>1.5282329181923848</c:v>
                </c:pt>
                <c:pt idx="83">
                  <c:v>1.6841515908059093</c:v>
                </c:pt>
                <c:pt idx="84">
                  <c:v>1.8566606623112709</c:v>
                </c:pt>
                <c:pt idx="85">
                  <c:v>2.047576259462824</c:v>
                </c:pt>
                <c:pt idx="86">
                  <c:v>2.2588752110460346</c:v>
                </c:pt>
                <c:pt idx="87">
                  <c:v>2.4926716562673179</c:v>
                </c:pt>
                <c:pt idx="88">
                  <c:v>2.7511602169268112</c:v>
                </c:pt>
                <c:pt idx="89">
                  <c:v>3.036500424030883</c:v>
                </c:pt>
                <c:pt idx="90">
                  <c:v>3.3505993091574537</c:v>
                </c:pt>
                <c:pt idx="91">
                  <c:v>3.6947194265330459</c:v>
                </c:pt>
                <c:pt idx="92">
                  <c:v>4.0687918110622459</c:v>
                </c:pt>
                <c:pt idx="93">
                  <c:v>4.4702420701670667</c:v>
                </c:pt>
                <c:pt idx="94">
                  <c:v>4.8920496467815164</c:v>
                </c:pt>
                <c:pt idx="95">
                  <c:v>5.3197104978862031</c:v>
                </c:pt>
                <c:pt idx="96">
                  <c:v>5.7269565225323316</c:v>
                </c:pt>
                <c:pt idx="97">
                  <c:v>6.0709776596018745</c:v>
                </c:pt>
                <c:pt idx="98">
                  <c:v>6.2901699539607083</c:v>
                </c:pt>
                <c:pt idx="99">
                  <c:v>6.3106313464471171</c:v>
                </c:pt>
                <c:pt idx="100">
                  <c:v>6.0669750839681127</c:v>
                </c:pt>
                <c:pt idx="101">
                  <c:v>5.53118479670702</c:v>
                </c:pt>
                <c:pt idx="102">
                  <c:v>4.7277153519722974</c:v>
                </c:pt>
                <c:pt idx="103">
                  <c:v>3.7202237424879048</c:v>
                </c:pt>
                <c:pt idx="104">
                  <c:v>2.5828690403388417</c:v>
                </c:pt>
                <c:pt idx="105">
                  <c:v>1.3785001916058017</c:v>
                </c:pt>
                <c:pt idx="106">
                  <c:v>0.15125729114989611</c:v>
                </c:pt>
                <c:pt idx="107">
                  <c:v>-1.0715623272412047</c:v>
                </c:pt>
                <c:pt idx="108">
                  <c:v>-2.274769309802986</c:v>
                </c:pt>
                <c:pt idx="109">
                  <c:v>-3.4509237721103196</c:v>
                </c:pt>
                <c:pt idx="110">
                  <c:v>-4.5972090027296062</c:v>
                </c:pt>
                <c:pt idx="111">
                  <c:v>-5.7134231637947739</c:v>
                </c:pt>
                <c:pt idx="112">
                  <c:v>-6.8007608984032162</c:v>
                </c:pt>
                <c:pt idx="113">
                  <c:v>-7.8610988433145081</c:v>
                </c:pt>
                <c:pt idx="114">
                  <c:v>-8.896587259104777</c:v>
                </c:pt>
                <c:pt idx="115">
                  <c:v>-9.9094230019939431</c:v>
                </c:pt>
                <c:pt idx="116">
                  <c:v>-10.901728370854524</c:v>
                </c:pt>
                <c:pt idx="117">
                  <c:v>-11.875491080146015</c:v>
                </c:pt>
                <c:pt idx="118">
                  <c:v>-12.832539063674194</c:v>
                </c:pt>
                <c:pt idx="119">
                  <c:v>-13.774534726017606</c:v>
                </c:pt>
                <c:pt idx="120">
                  <c:v>-14.702979673270974</c:v>
                </c:pt>
                <c:pt idx="121">
                  <c:v>-15.61922472233401</c:v>
                </c:pt>
                <c:pt idx="122">
                  <c:v>-16.524482202836445</c:v>
                </c:pt>
                <c:pt idx="123">
                  <c:v>-17.419838868925584</c:v>
                </c:pt>
                <c:pt idx="124">
                  <c:v>-18.306268504140228</c:v>
                </c:pt>
                <c:pt idx="125">
                  <c:v>-19.184643750936679</c:v>
                </c:pt>
                <c:pt idx="126">
                  <c:v>-20.055746956306258</c:v>
                </c:pt>
                <c:pt idx="127">
                  <c:v>-20.920279972783</c:v>
                </c:pt>
                <c:pt idx="128">
                  <c:v>-21.778872935491513</c:v>
                </c:pt>
                <c:pt idx="129">
                  <c:v>-22.63209207792459</c:v>
                </c:pt>
                <c:pt idx="130">
                  <c:v>-23.480446668190879</c:v>
                </c:pt>
                <c:pt idx="131">
                  <c:v>-24.324395153323923</c:v>
                </c:pt>
                <c:pt idx="132">
                  <c:v>-25.164350597780718</c:v>
                </c:pt>
                <c:pt idx="133">
                  <c:v>-26.000685496973169</c:v>
                </c:pt>
                <c:pt idx="134">
                  <c:v>-26.833736039646375</c:v>
                </c:pt>
                <c:pt idx="135">
                  <c:v>-27.663805885327477</c:v>
                </c:pt>
                <c:pt idx="136">
                  <c:v>-28.491169515592716</c:v>
                </c:pt>
                <c:pt idx="137">
                  <c:v>-29.316075210884538</c:v>
                </c:pt>
                <c:pt idx="138">
                  <c:v>-30.138747698217998</c:v>
                </c:pt>
                <c:pt idx="139">
                  <c:v>-30.959390509398546</c:v>
                </c:pt>
                <c:pt idx="140">
                  <c:v>-31.778188084324594</c:v>
                </c:pt>
                <c:pt idx="141">
                  <c:v>-32.595307649523328</c:v>
                </c:pt>
                <c:pt idx="142">
                  <c:v>-33.410900898211963</c:v>
                </c:pt>
                <c:pt idx="143">
                  <c:v>-34.225105494829442</c:v>
                </c:pt>
                <c:pt idx="144">
                  <c:v>-35.0380464240816</c:v>
                </c:pt>
                <c:pt idx="145">
                  <c:v>-35.84983720202937</c:v>
                </c:pt>
                <c:pt idx="146">
                  <c:v>-36.660580964577122</c:v>
                </c:pt>
                <c:pt idx="147">
                  <c:v>-37.470371446833404</c:v>
                </c:pt>
                <c:pt idx="148">
                  <c:v>-38.279293865186972</c:v>
                </c:pt>
                <c:pt idx="149">
                  <c:v>-39.087425712523725</c:v>
                </c:pt>
                <c:pt idx="150">
                  <c:v>-39.894837475782417</c:v>
                </c:pt>
                <c:pt idx="151">
                  <c:v>-40.701593283975868</c:v>
                </c:pt>
                <c:pt idx="152">
                  <c:v>-41.507751493874359</c:v>
                </c:pt>
                <c:pt idx="153">
                  <c:v>-42.313365219731018</c:v>
                </c:pt>
                <c:pt idx="154">
                  <c:v>-43.118482812717929</c:v>
                </c:pt>
                <c:pt idx="155">
                  <c:v>-43.923148295119574</c:v>
                </c:pt>
                <c:pt idx="156">
                  <c:v>-44.727401753777663</c:v>
                </c:pt>
                <c:pt idx="157">
                  <c:v>-45.531279696803438</c:v>
                </c:pt>
                <c:pt idx="158">
                  <c:v>-46.334815377144025</c:v>
                </c:pt>
                <c:pt idx="159">
                  <c:v>-47.13803908621729</c:v>
                </c:pt>
                <c:pt idx="160">
                  <c:v>-47.940978420494091</c:v>
                </c:pt>
                <c:pt idx="161">
                  <c:v>-48.743658523614222</c:v>
                </c:pt>
                <c:pt idx="162">
                  <c:v>-49.546102306357021</c:v>
                </c:pt>
                <c:pt idx="163">
                  <c:v>-50.348330646559667</c:v>
                </c:pt>
                <c:pt idx="164">
                  <c:v>-51.150362570862868</c:v>
                </c:pt>
                <c:pt idx="165">
                  <c:v>-51.952215419982267</c:v>
                </c:pt>
                <c:pt idx="166">
                  <c:v>-52.75390499903552</c:v>
                </c:pt>
                <c:pt idx="167">
                  <c:v>-53.555445714308604</c:v>
                </c:pt>
                <c:pt idx="168">
                  <c:v>-54.356850697709859</c:v>
                </c:pt>
                <c:pt idx="169">
                  <c:v>-55.158131920043026</c:v>
                </c:pt>
                <c:pt idx="170">
                  <c:v>-55.959300294120581</c:v>
                </c:pt>
                <c:pt idx="171">
                  <c:v>-56.760365768645173</c:v>
                </c:pt>
                <c:pt idx="172">
                  <c:v>-57.561337413697331</c:v>
                </c:pt>
                <c:pt idx="173">
                  <c:v>-58.362223498590211</c:v>
                </c:pt>
                <c:pt idx="174">
                  <c:v>-59.163031562783118</c:v>
                </c:pt>
                <c:pt idx="175">
                  <c:v>-59.96376848047823</c:v>
                </c:pt>
                <c:pt idx="176">
                  <c:v>-60.76444051946978</c:v>
                </c:pt>
                <c:pt idx="177">
                  <c:v>-61.56505339476282</c:v>
                </c:pt>
                <c:pt idx="178">
                  <c:v>-62.365612317430255</c:v>
                </c:pt>
                <c:pt idx="179">
                  <c:v>-63.166122039133754</c:v>
                </c:pt>
                <c:pt idx="180">
                  <c:v>-63.966586892697165</c:v>
                </c:pt>
                <c:pt idx="181">
                  <c:v>-64.767010829085137</c:v>
                </c:pt>
                <c:pt idx="182">
                  <c:v>-65.567397451106189</c:v>
                </c:pt>
                <c:pt idx="183">
                  <c:v>-66.367750044133288</c:v>
                </c:pt>
                <c:pt idx="184">
                  <c:v>-67.1680716041067</c:v>
                </c:pt>
                <c:pt idx="185">
                  <c:v>-67.968364863060685</c:v>
                </c:pt>
                <c:pt idx="186">
                  <c:v>-68.768632312394132</c:v>
                </c:pt>
                <c:pt idx="187">
                  <c:v>-69.568876224085201</c:v>
                </c:pt>
                <c:pt idx="188">
                  <c:v>-70.3690986700325</c:v>
                </c:pt>
                <c:pt idx="189">
                  <c:v>-71.169301539688604</c:v>
                </c:pt>
                <c:pt idx="190">
                  <c:v>-71.969486556136758</c:v>
                </c:pt>
                <c:pt idx="191">
                  <c:v>-72.769655290749853</c:v>
                </c:pt>
                <c:pt idx="192">
                  <c:v>-73.569809176555509</c:v>
                </c:pt>
                <c:pt idx="193">
                  <c:v>-74.369949520422722</c:v>
                </c:pt>
                <c:pt idx="194">
                  <c:v>-75.170077514173798</c:v>
                </c:pt>
                <c:pt idx="195">
                  <c:v>-75.970194244716765</c:v>
                </c:pt>
                <c:pt idx="196">
                  <c:v>-76.77030070328459</c:v>
                </c:pt>
                <c:pt idx="197">
                  <c:v>-77.570397793859939</c:v>
                </c:pt>
                <c:pt idx="198">
                  <c:v>-78.370486340857909</c:v>
                </c:pt>
                <c:pt idx="199">
                  <c:v>-79.170567096131805</c:v>
                </c:pt>
                <c:pt idx="200">
                  <c:v>-79.970640745360811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1E-4F14-9550-CA0B6487F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54448"/>
        <c:axId val="376057688"/>
      </c:scatterChart>
      <c:valAx>
        <c:axId val="376054448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0.4735196850393702"/>
              <c:y val="0.874697430263077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7688"/>
        <c:crossesAt val="-300"/>
        <c:crossBetween val="midCat"/>
      </c:valAx>
      <c:valAx>
        <c:axId val="376057688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13670166229222"/>
          <c:y val="6.8217054263565891E-2"/>
          <c:w val="0.84029396325459316"/>
          <c:h val="0.71222755295122997"/>
        </c:manualLayout>
      </c:layout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'Sallen-Key Components'!$M$2:$M$202</c:f>
              <c:numCache>
                <c:formatCode>General</c:formatCode>
                <c:ptCount val="201"/>
                <c:pt idx="0">
                  <c:v>200</c:v>
                </c:pt>
                <c:pt idx="1">
                  <c:v>209.42570961017978</c:v>
                </c:pt>
                <c:pt idx="2">
                  <c:v>219.29563922863701</c:v>
                </c:pt>
                <c:pt idx="3">
                  <c:v>229.63072429937654</c:v>
                </c:pt>
                <c:pt idx="4">
                  <c:v>240.45288692348251</c:v>
                </c:pt>
                <c:pt idx="5">
                  <c:v>251.78508235883328</c:v>
                </c:pt>
                <c:pt idx="6">
                  <c:v>263.65134771128152</c:v>
                </c:pt>
                <c:pt idx="7">
                  <c:v>276.07685292057675</c:v>
                </c:pt>
                <c:pt idx="8">
                  <c:v>289.08795414918546</c:v>
                </c:pt>
                <c:pt idx="9">
                  <c:v>302.71224968724152</c:v>
                </c:pt>
                <c:pt idx="10">
                  <c:v>316.9786384922225</c:v>
                </c:pt>
                <c:pt idx="11">
                  <c:v>331.91738148751182</c:v>
                </c:pt>
                <c:pt idx="12">
                  <c:v>347.56016574987513</c:v>
                </c:pt>
                <c:pt idx="13">
                  <c:v>363.94017172199659</c:v>
                </c:pt>
                <c:pt idx="14">
                  <c:v>381.09214359264928</c:v>
                </c:pt>
                <c:pt idx="15">
                  <c:v>399.05246299377586</c:v>
                </c:pt>
                <c:pt idx="16">
                  <c:v>417.85922617080769</c:v>
                </c:pt>
                <c:pt idx="17">
                  <c:v>437.55232478991047</c:v>
                </c:pt>
                <c:pt idx="18">
                  <c:v>458.17353055355449</c:v>
                </c:pt>
                <c:pt idx="19">
                  <c:v>479.7665838038979</c:v>
                </c:pt>
                <c:pt idx="20">
                  <c:v>502.3772863019156</c:v>
                </c:pt>
                <c:pt idx="21">
                  <c:v>526.05359837907611</c:v>
                </c:pt>
                <c:pt idx="22">
                  <c:v>550.84574066763298</c:v>
                </c:pt>
                <c:pt idx="23">
                  <c:v>576.80630062532089</c:v>
                </c:pt>
                <c:pt idx="24">
                  <c:v>603.99034408040291</c:v>
                </c:pt>
                <c:pt idx="25">
                  <c:v>632.45553203367569</c:v>
                </c:pt>
                <c:pt idx="26">
                  <c:v>662.26224296518217</c:v>
                </c:pt>
                <c:pt idx="27">
                  <c:v>693.4737009050632</c:v>
                </c:pt>
                <c:pt idx="28">
                  <c:v>726.15610954020258</c:v>
                </c:pt>
                <c:pt idx="29">
                  <c:v>760.37879264112223</c:v>
                </c:pt>
                <c:pt idx="30">
                  <c:v>796.21434110699454</c:v>
                </c:pt>
                <c:pt idx="31">
                  <c:v>833.73876694067064</c:v>
                </c:pt>
                <c:pt idx="32">
                  <c:v>873.03166448033164</c:v>
                </c:pt>
                <c:pt idx="33">
                  <c:v>914.17637922974961</c:v>
                </c:pt>
                <c:pt idx="34">
                  <c:v>957.26018464527647</c:v>
                </c:pt>
                <c:pt idx="35">
                  <c:v>1002.3744672545441</c:v>
                </c:pt>
                <c:pt idx="36">
                  <c:v>1049.614920499545</c:v>
                </c:pt>
                <c:pt idx="37">
                  <c:v>1099.0817477152486</c:v>
                </c:pt>
                <c:pt idx="38">
                  <c:v>1150.8798746743137</c:v>
                </c:pt>
                <c:pt idx="39">
                  <c:v>1205.1191721487148</c:v>
                </c:pt>
                <c:pt idx="40">
                  <c:v>1261.9146889603862</c:v>
                </c:pt>
                <c:pt idx="41">
                  <c:v>1321.3868960151917</c:v>
                </c:pt>
                <c:pt idx="42">
                  <c:v>1383.661941837873</c:v>
                </c:pt>
                <c:pt idx="43">
                  <c:v>1448.8719201499798</c:v>
                </c:pt>
                <c:pt idx="44">
                  <c:v>1517.1551500583671</c:v>
                </c:pt>
                <c:pt idx="45">
                  <c:v>1588.6564694485619</c:v>
                </c:pt>
                <c:pt idx="46">
                  <c:v>1663.5275422053417</c:v>
                </c:pt>
                <c:pt idx="47">
                  <c:v>1741.9271799121602</c:v>
                </c:pt>
                <c:pt idx="48">
                  <c:v>1824.0216787118188</c:v>
                </c:pt>
                <c:pt idx="49">
                  <c:v>1909.9851720428712</c:v>
                </c:pt>
                <c:pt idx="50">
                  <c:v>2000</c:v>
                </c:pt>
                <c:pt idx="51">
                  <c:v>2094.2570961017991</c:v>
                </c:pt>
                <c:pt idx="52">
                  <c:v>2192.9563922863699</c:v>
                </c:pt>
                <c:pt idx="53">
                  <c:v>2296.3072429937661</c:v>
                </c:pt>
                <c:pt idx="54">
                  <c:v>2404.5288692348258</c:v>
                </c:pt>
                <c:pt idx="55">
                  <c:v>2517.8508235883332</c:v>
                </c:pt>
                <c:pt idx="56">
                  <c:v>2636.5134771128141</c:v>
                </c:pt>
                <c:pt idx="57">
                  <c:v>2760.7685292057686</c:v>
                </c:pt>
                <c:pt idx="58">
                  <c:v>2890.8795414918541</c:v>
                </c:pt>
                <c:pt idx="59">
                  <c:v>3027.1224968724159</c:v>
                </c:pt>
                <c:pt idx="60">
                  <c:v>3169.7863849222263</c:v>
                </c:pt>
                <c:pt idx="61">
                  <c:v>3319.1738148751197</c:v>
                </c:pt>
                <c:pt idx="62">
                  <c:v>3475.6016574987498</c:v>
                </c:pt>
                <c:pt idx="63">
                  <c:v>3639.4017172199665</c:v>
                </c:pt>
                <c:pt idx="64">
                  <c:v>3810.9214359264943</c:v>
                </c:pt>
                <c:pt idx="65">
                  <c:v>3990.5246299377591</c:v>
                </c:pt>
                <c:pt idx="66">
                  <c:v>4178.5922617080787</c:v>
                </c:pt>
                <c:pt idx="67">
                  <c:v>4375.5232478991047</c:v>
                </c:pt>
                <c:pt idx="68">
                  <c:v>4581.7353055355461</c:v>
                </c:pt>
                <c:pt idx="69">
                  <c:v>4797.6658380389799</c:v>
                </c:pt>
                <c:pt idx="70">
                  <c:v>5023.7728630191605</c:v>
                </c:pt>
                <c:pt idx="71">
                  <c:v>5260.5359837907636</c:v>
                </c:pt>
                <c:pt idx="72">
                  <c:v>5508.4574066763325</c:v>
                </c:pt>
                <c:pt idx="73">
                  <c:v>5768.0630062532109</c:v>
                </c:pt>
                <c:pt idx="74">
                  <c:v>6039.9034408040307</c:v>
                </c:pt>
                <c:pt idx="75">
                  <c:v>6324.555320336759</c:v>
                </c:pt>
                <c:pt idx="76">
                  <c:v>6622.6224296518212</c:v>
                </c:pt>
                <c:pt idx="77">
                  <c:v>6934.7370090506329</c:v>
                </c:pt>
                <c:pt idx="78">
                  <c:v>7261.5610954020267</c:v>
                </c:pt>
                <c:pt idx="79">
                  <c:v>7603.7879264112225</c:v>
                </c:pt>
                <c:pt idx="80">
                  <c:v>7962.1434110699438</c:v>
                </c:pt>
                <c:pt idx="81">
                  <c:v>8337.3876694067076</c:v>
                </c:pt>
                <c:pt idx="82">
                  <c:v>8730.3166448033189</c:v>
                </c:pt>
                <c:pt idx="83">
                  <c:v>9141.7637922975009</c:v>
                </c:pt>
                <c:pt idx="84">
                  <c:v>9572.601846452766</c:v>
                </c:pt>
                <c:pt idx="85">
                  <c:v>10023.744672545445</c:v>
                </c:pt>
                <c:pt idx="86">
                  <c:v>10496.14920499545</c:v>
                </c:pt>
                <c:pt idx="87">
                  <c:v>10990.81747715249</c:v>
                </c:pt>
                <c:pt idx="88">
                  <c:v>11508.798746743139</c:v>
                </c:pt>
                <c:pt idx="89">
                  <c:v>12051.191721487156</c:v>
                </c:pt>
                <c:pt idx="90">
                  <c:v>12619.146889603864</c:v>
                </c:pt>
                <c:pt idx="91">
                  <c:v>13213.86896015192</c:v>
                </c:pt>
                <c:pt idx="92">
                  <c:v>13836.61941837873</c:v>
                </c:pt>
                <c:pt idx="93">
                  <c:v>14488.7192014998</c:v>
                </c:pt>
                <c:pt idx="94">
                  <c:v>15171.551500583673</c:v>
                </c:pt>
                <c:pt idx="95">
                  <c:v>15886.564694485629</c:v>
                </c:pt>
                <c:pt idx="96">
                  <c:v>16635.275422053419</c:v>
                </c:pt>
                <c:pt idx="97">
                  <c:v>17419.271799121609</c:v>
                </c:pt>
                <c:pt idx="98">
                  <c:v>18240.216787118192</c:v>
                </c:pt>
                <c:pt idx="99">
                  <c:v>19099.851720428716</c:v>
                </c:pt>
                <c:pt idx="100">
                  <c:v>20000</c:v>
                </c:pt>
                <c:pt idx="101">
                  <c:v>20942.570961017991</c:v>
                </c:pt>
                <c:pt idx="102">
                  <c:v>21929.563922863701</c:v>
                </c:pt>
                <c:pt idx="103">
                  <c:v>22963.07242993766</c:v>
                </c:pt>
                <c:pt idx="104">
                  <c:v>24045.288692348262</c:v>
                </c:pt>
                <c:pt idx="105">
                  <c:v>25178.508235883346</c:v>
                </c:pt>
                <c:pt idx="106">
                  <c:v>26365.134771128145</c:v>
                </c:pt>
                <c:pt idx="107">
                  <c:v>27607.6852920577</c:v>
                </c:pt>
                <c:pt idx="108">
                  <c:v>28908.79541491855</c:v>
                </c:pt>
                <c:pt idx="109">
                  <c:v>30271.224968724164</c:v>
                </c:pt>
                <c:pt idx="110">
                  <c:v>31697.863849222271</c:v>
                </c:pt>
                <c:pt idx="111">
                  <c:v>33191.73814875121</c:v>
                </c:pt>
                <c:pt idx="112">
                  <c:v>34756.016574987509</c:v>
                </c:pt>
                <c:pt idx="113">
                  <c:v>36394.017172199674</c:v>
                </c:pt>
                <c:pt idx="114">
                  <c:v>38109.214359264952</c:v>
                </c:pt>
                <c:pt idx="115">
                  <c:v>39905.246299377592</c:v>
                </c:pt>
                <c:pt idx="116">
                  <c:v>41785.922617080796</c:v>
                </c:pt>
                <c:pt idx="117">
                  <c:v>43755.232478991049</c:v>
                </c:pt>
                <c:pt idx="118">
                  <c:v>45817.353055355466</c:v>
                </c:pt>
                <c:pt idx="119">
                  <c:v>47976.658380389817</c:v>
                </c:pt>
                <c:pt idx="120">
                  <c:v>50237.72863019161</c:v>
                </c:pt>
                <c:pt idx="121">
                  <c:v>52605.359837907643</c:v>
                </c:pt>
                <c:pt idx="122">
                  <c:v>55084.574066763329</c:v>
                </c:pt>
                <c:pt idx="123">
                  <c:v>57680.630062532116</c:v>
                </c:pt>
                <c:pt idx="124">
                  <c:v>60399.03440804033</c:v>
                </c:pt>
                <c:pt idx="125">
                  <c:v>63245.553203367592</c:v>
                </c:pt>
                <c:pt idx="126">
                  <c:v>66226.224296518238</c:v>
                </c:pt>
                <c:pt idx="127">
                  <c:v>69347.370090506345</c:v>
                </c:pt>
                <c:pt idx="128">
                  <c:v>72615.610954020274</c:v>
                </c:pt>
                <c:pt idx="129">
                  <c:v>76037.879264112242</c:v>
                </c:pt>
                <c:pt idx="130">
                  <c:v>79621.434110699454</c:v>
                </c:pt>
                <c:pt idx="131">
                  <c:v>83373.87669406709</c:v>
                </c:pt>
                <c:pt idx="132">
                  <c:v>87303.166448033197</c:v>
                </c:pt>
                <c:pt idx="133">
                  <c:v>91417.637922975016</c:v>
                </c:pt>
                <c:pt idx="134">
                  <c:v>95726.018464527675</c:v>
                </c:pt>
                <c:pt idx="135">
                  <c:v>100237.44672545446</c:v>
                </c:pt>
                <c:pt idx="136">
                  <c:v>104961.49204995453</c:v>
                </c:pt>
                <c:pt idx="137">
                  <c:v>109908.17477152492</c:v>
                </c:pt>
                <c:pt idx="138">
                  <c:v>115087.98746743142</c:v>
                </c:pt>
                <c:pt idx="139">
                  <c:v>120511.91721487159</c:v>
                </c:pt>
                <c:pt idx="140">
                  <c:v>126191.46889603868</c:v>
                </c:pt>
                <c:pt idx="141">
                  <c:v>132138.68960151923</c:v>
                </c:pt>
                <c:pt idx="142">
                  <c:v>138366.19418378733</c:v>
                </c:pt>
                <c:pt idx="143">
                  <c:v>144887.19201499806</c:v>
                </c:pt>
                <c:pt idx="144">
                  <c:v>151715.51500583676</c:v>
                </c:pt>
                <c:pt idx="145">
                  <c:v>158865.64694485636</c:v>
                </c:pt>
                <c:pt idx="146">
                  <c:v>166352.7542205342</c:v>
                </c:pt>
                <c:pt idx="147">
                  <c:v>174192.71799121611</c:v>
                </c:pt>
                <c:pt idx="148">
                  <c:v>182402.16787118197</c:v>
                </c:pt>
                <c:pt idx="149">
                  <c:v>190998.51720428717</c:v>
                </c:pt>
                <c:pt idx="150">
                  <c:v>200000</c:v>
                </c:pt>
                <c:pt idx="151">
                  <c:v>209425.70961018</c:v>
                </c:pt>
                <c:pt idx="152">
                  <c:v>219295.63922863707</c:v>
                </c:pt>
                <c:pt idx="153">
                  <c:v>229630.72429937668</c:v>
                </c:pt>
                <c:pt idx="154">
                  <c:v>240452.88692348264</c:v>
                </c:pt>
                <c:pt idx="155">
                  <c:v>251785.08235883361</c:v>
                </c:pt>
                <c:pt idx="156">
                  <c:v>263651.3477112815</c:v>
                </c:pt>
                <c:pt idx="157">
                  <c:v>276076.85292057705</c:v>
                </c:pt>
                <c:pt idx="158">
                  <c:v>289087.95414918551</c:v>
                </c:pt>
                <c:pt idx="159">
                  <c:v>302712.24968724174</c:v>
                </c:pt>
                <c:pt idx="160">
                  <c:v>316978.6384922227</c:v>
                </c:pt>
                <c:pt idx="161">
                  <c:v>331917.38148751226</c:v>
                </c:pt>
                <c:pt idx="162">
                  <c:v>347560.16574987513</c:v>
                </c:pt>
                <c:pt idx="163">
                  <c:v>363940.1717219968</c:v>
                </c:pt>
                <c:pt idx="164">
                  <c:v>381092.14359264955</c:v>
                </c:pt>
                <c:pt idx="165">
                  <c:v>399052.46299377608</c:v>
                </c:pt>
                <c:pt idx="166">
                  <c:v>417859.22617080802</c:v>
                </c:pt>
                <c:pt idx="167">
                  <c:v>437552.32478991075</c:v>
                </c:pt>
                <c:pt idx="168">
                  <c:v>458173.53055355477</c:v>
                </c:pt>
                <c:pt idx="169">
                  <c:v>479766.58380389813</c:v>
                </c:pt>
                <c:pt idx="170">
                  <c:v>502377.286301916</c:v>
                </c:pt>
                <c:pt idx="171">
                  <c:v>526053.59837907646</c:v>
                </c:pt>
                <c:pt idx="172">
                  <c:v>550845.74066763336</c:v>
                </c:pt>
                <c:pt idx="173">
                  <c:v>576806.30062532134</c:v>
                </c:pt>
                <c:pt idx="174">
                  <c:v>603990.34408040333</c:v>
                </c:pt>
                <c:pt idx="175">
                  <c:v>632455.53203367605</c:v>
                </c:pt>
                <c:pt idx="176">
                  <c:v>662262.24296518252</c:v>
                </c:pt>
                <c:pt idx="177">
                  <c:v>693473.70090506354</c:v>
                </c:pt>
                <c:pt idx="178">
                  <c:v>726156.10954020312</c:v>
                </c:pt>
                <c:pt idx="179">
                  <c:v>760378.79264112283</c:v>
                </c:pt>
                <c:pt idx="180">
                  <c:v>796214.34110699513</c:v>
                </c:pt>
                <c:pt idx="181">
                  <c:v>833738.76694067125</c:v>
                </c:pt>
                <c:pt idx="182">
                  <c:v>873031.66448033229</c:v>
                </c:pt>
                <c:pt idx="183">
                  <c:v>914176.37922975013</c:v>
                </c:pt>
                <c:pt idx="184">
                  <c:v>957260.1846452771</c:v>
                </c:pt>
                <c:pt idx="185">
                  <c:v>1002374.4672545447</c:v>
                </c:pt>
                <c:pt idx="186">
                  <c:v>1049614.9204995458</c:v>
                </c:pt>
                <c:pt idx="187">
                  <c:v>1099081.7477152494</c:v>
                </c:pt>
                <c:pt idx="188">
                  <c:v>1150879.8746743139</c:v>
                </c:pt>
                <c:pt idx="189">
                  <c:v>1205119.1721487164</c:v>
                </c:pt>
                <c:pt idx="190">
                  <c:v>1261914.6889603874</c:v>
                </c:pt>
                <c:pt idx="191">
                  <c:v>1321386.8960151924</c:v>
                </c:pt>
                <c:pt idx="192">
                  <c:v>1383661.9418378731</c:v>
                </c:pt>
                <c:pt idx="193">
                  <c:v>1448871.9201499813</c:v>
                </c:pt>
                <c:pt idx="194">
                  <c:v>1517155.1500583673</c:v>
                </c:pt>
                <c:pt idx="195">
                  <c:v>1588656.4694485639</c:v>
                </c:pt>
                <c:pt idx="196">
                  <c:v>1663527.5422053426</c:v>
                </c:pt>
                <c:pt idx="197">
                  <c:v>1741927.1799121613</c:v>
                </c:pt>
                <c:pt idx="198">
                  <c:v>1824021.6787118195</c:v>
                </c:pt>
                <c:pt idx="199">
                  <c:v>1909985.172042873</c:v>
                </c:pt>
                <c:pt idx="200">
                  <c:v>2000000</c:v>
                </c:pt>
              </c:numCache>
            </c:numRef>
          </c:xVal>
          <c:yVal>
            <c:numRef>
              <c:f>'Sallen-Key Components'!$Q$2:$Q$202</c:f>
              <c:numCache>
                <c:formatCode>General</c:formatCode>
                <c:ptCount val="201"/>
                <c:pt idx="0">
                  <c:v>-0.28497325399048623</c:v>
                </c:pt>
                <c:pt idx="1">
                  <c:v>-0.29840626203035253</c:v>
                </c:pt>
                <c:pt idx="2">
                  <c:v>-0.31247273827744876</c:v>
                </c:pt>
                <c:pt idx="3">
                  <c:v>-0.32720259496794352</c:v>
                </c:pt>
                <c:pt idx="4">
                  <c:v>-0.34262716262485809</c:v>
                </c:pt>
                <c:pt idx="5">
                  <c:v>-0.35877925816990419</c:v>
                </c:pt>
                <c:pt idx="6">
                  <c:v>-0.37569325643375728</c:v>
                </c:pt>
                <c:pt idx="7">
                  <c:v>-0.39340516525282204</c:v>
                </c:pt>
                <c:pt idx="8">
                  <c:v>-0.41195270435373693</c:v>
                </c:pt>
                <c:pt idx="9">
                  <c:v>-0.43137538824097038</c:v>
                </c:pt>
                <c:pt idx="10">
                  <c:v>-0.45171461331857099</c:v>
                </c:pt>
                <c:pt idx="11">
                  <c:v>-0.47301374949438546</c:v>
                </c:pt>
                <c:pt idx="12">
                  <c:v>-0.49531823653390328</c:v>
                </c:pt>
                <c:pt idx="13">
                  <c:v>-0.51867568545193388</c:v>
                </c:pt>
                <c:pt idx="14">
                  <c:v>-0.54313598525341455</c:v>
                </c:pt>
                <c:pt idx="15">
                  <c:v>-0.56875141536033536</c:v>
                </c:pt>
                <c:pt idx="16">
                  <c:v>-0.59557676409046156</c:v>
                </c:pt>
                <c:pt idx="17">
                  <c:v>-0.6236694535851437</c:v>
                </c:pt>
                <c:pt idx="18">
                  <c:v>-0.65308967161913078</c:v>
                </c:pt>
                <c:pt idx="19">
                  <c:v>-0.68390051076511182</c:v>
                </c:pt>
                <c:pt idx="20">
                  <c:v>-0.71616811542984848</c:v>
                </c:pt>
                <c:pt idx="21">
                  <c:v>-0.74996183732909638</c:v>
                </c:pt>
                <c:pt idx="22">
                  <c:v>-0.78535440002439938</c:v>
                </c:pt>
                <c:pt idx="23">
                  <c:v>-0.82242207320820082</c:v>
                </c:pt>
                <c:pt idx="24">
                  <c:v>-0.86124485749508917</c:v>
                </c:pt>
                <c:pt idx="25">
                  <c:v>-0.90190668055765266</c:v>
                </c:pt>
                <c:pt idx="26">
                  <c:v>-0.9444956055369258</c:v>
                </c:pt>
                <c:pt idx="27">
                  <c:v>-0.98910405276083069</c:v>
                </c:pt>
                <c:pt idx="28">
                  <c:v>-1.035829035921767</c:v>
                </c:pt>
                <c:pt idx="29">
                  <c:v>-1.0847724139983739</c:v>
                </c:pt>
                <c:pt idx="30">
                  <c:v>-1.1360411603590972</c:v>
                </c:pt>
                <c:pt idx="31">
                  <c:v>-1.1897476506584728</c:v>
                </c:pt>
                <c:pt idx="32">
                  <c:v>-1.2460099713365669</c:v>
                </c:pt>
                <c:pt idx="33">
                  <c:v>-1.3049522507584781</c:v>
                </c:pt>
                <c:pt idx="34">
                  <c:v>-1.3667050152912827</c:v>
                </c:pt>
                <c:pt idx="35">
                  <c:v>-1.4314055729144206</c:v>
                </c:pt>
                <c:pt idx="36">
                  <c:v>-1.499198427301885</c:v>
                </c:pt>
                <c:pt idx="37">
                  <c:v>-1.5702357257092572</c:v>
                </c:pt>
                <c:pt idx="38">
                  <c:v>-1.6446777444520515</c:v>
                </c:pt>
                <c:pt idx="39">
                  <c:v>-1.7226934162859098</c:v>
                </c:pt>
                <c:pt idx="40">
                  <c:v>-1.8044609046034121</c:v>
                </c:pt>
                <c:pt idx="41">
                  <c:v>-1.890168230061642</c:v>
                </c:pt>
                <c:pt idx="42">
                  <c:v>-1.9800139560650729</c:v>
                </c:pt>
                <c:pt idx="43">
                  <c:v>-2.0742079404675042</c:v>
                </c:pt>
                <c:pt idx="44">
                  <c:v>-2.1729721619497324</c:v>
                </c:pt>
                <c:pt idx="45">
                  <c:v>-2.2765416308005606</c:v>
                </c:pt>
                <c:pt idx="46">
                  <c:v>-2.3851653953116374</c:v>
                </c:pt>
                <c:pt idx="47">
                  <c:v>-2.4991076567289094</c:v>
                </c:pt>
                <c:pt idx="48">
                  <c:v>-2.6186490077321611</c:v>
                </c:pt>
                <c:pt idx="49">
                  <c:v>-2.7440878117926508</c:v>
                </c:pt>
                <c:pt idx="50">
                  <c:v>-2.8757417435568824</c:v>
                </c:pt>
                <c:pt idx="51">
                  <c:v>-3.0139495137009815</c:v>
                </c:pt>
                <c:pt idx="52">
                  <c:v>-3.1590728055951112</c:v>
                </c:pt>
                <c:pt idx="53">
                  <c:v>-3.3114984557290787</c:v>
                </c:pt>
                <c:pt idx="54">
                  <c:v>-3.4716409153290879</c:v>
                </c:pt>
                <c:pt idx="55">
                  <c:v>-3.6399450371195927</c:v>
                </c:pt>
                <c:pt idx="56">
                  <c:v>-3.8168892389780629</c:v>
                </c:pt>
                <c:pt idx="57">
                  <c:v>-4.0029891055705331</c:v>
                </c:pt>
                <c:pt idx="58">
                  <c:v>-4.1988015002876535</c:v>
                </c:pt>
                <c:pt idx="59">
                  <c:v>-4.4049292733497722</c:v>
                </c:pt>
                <c:pt idx="60">
                  <c:v>-4.6220266683634206</c:v>
                </c:pt>
                <c:pt idx="61">
                  <c:v>-4.8508055495593263</c:v>
                </c:pt>
                <c:pt idx="62">
                  <c:v>-5.0920425962963618</c:v>
                </c:pt>
                <c:pt idx="63">
                  <c:v>-5.3465876412633007</c:v>
                </c:pt>
                <c:pt idx="64">
                  <c:v>-5.6153733655571365</c:v>
                </c:pt>
                <c:pt idx="65">
                  <c:v>-5.8994266092632826</c:v>
                </c:pt>
                <c:pt idx="66">
                  <c:v>-6.1998816126355942</c:v>
                </c:pt>
                <c:pt idx="67">
                  <c:v>-6.5179955734934314</c:v>
                </c:pt>
                <c:pt idx="68">
                  <c:v>-6.8551669949704648</c:v>
                </c:pt>
                <c:pt idx="69">
                  <c:v>-7.2129574094440665</c:v>
                </c:pt>
                <c:pt idx="70">
                  <c:v>-7.5931172061933276</c:v>
                </c:pt>
                <c:pt idx="71">
                  <c:v>-7.9976164711733508</c:v>
                </c:pt>
                <c:pt idx="72">
                  <c:v>-8.4286819794059795</c:v>
                </c:pt>
                <c:pt idx="73">
                  <c:v>-8.8888417802010693</c:v>
                </c:pt>
                <c:pt idx="74">
                  <c:v>-9.3809792048274403</c:v>
                </c:pt>
                <c:pt idx="75">
                  <c:v>-9.9083986353621185</c:v>
                </c:pt>
                <c:pt idx="76">
                  <c:v>-10.474906043292711</c:v>
                </c:pt>
                <c:pt idx="77">
                  <c:v>-11.084908193401654</c:v>
                </c:pt>
                <c:pt idx="78">
                  <c:v>-11.743535590256579</c:v>
                </c:pt>
                <c:pt idx="79">
                  <c:v>-12.456795828815887</c:v>
                </c:pt>
                <c:pt idx="80">
                  <c:v>-13.231766146181785</c:v>
                </c:pt>
                <c:pt idx="81">
                  <c:v>-14.076836864269076</c:v>
                </c:pt>
                <c:pt idx="82">
                  <c:v>-15.002021345917392</c:v>
                </c:pt>
                <c:pt idx="83">
                  <c:v>-16.019353442606818</c:v>
                </c:pt>
                <c:pt idx="84">
                  <c:v>-17.143400694283955</c:v>
                </c:pt>
                <c:pt idx="85">
                  <c:v>-18.391931377313647</c:v>
                </c:pt>
                <c:pt idx="86">
                  <c:v>-19.786786571741771</c:v>
                </c:pt>
                <c:pt idx="87">
                  <c:v>-21.35502524247439</c:v>
                </c:pt>
                <c:pt idx="88">
                  <c:v>-23.130430551412406</c:v>
                </c:pt>
                <c:pt idx="89">
                  <c:v>-25.155486288960436</c:v>
                </c:pt>
                <c:pt idx="90">
                  <c:v>-27.483943665099023</c:v>
                </c:pt>
                <c:pt idx="91">
                  <c:v>-30.184074366709936</c:v>
                </c:pt>
                <c:pt idx="92">
                  <c:v>-33.34258119517748</c:v>
                </c:pt>
                <c:pt idx="93">
                  <c:v>-37.068765756201238</c:v>
                </c:pt>
                <c:pt idx="94">
                  <c:v>-41.497627403230062</c:v>
                </c:pt>
                <c:pt idx="95">
                  <c:v>-46.788545132648792</c:v>
                </c:pt>
                <c:pt idx="96">
                  <c:v>-53.112447295944989</c:v>
                </c:pt>
                <c:pt idx="97">
                  <c:v>-60.615432683772326</c:v>
                </c:pt>
                <c:pt idx="98">
                  <c:v>-69.34630030369388</c:v>
                </c:pt>
                <c:pt idx="99">
                  <c:v>-79.155018876759328</c:v>
                </c:pt>
                <c:pt idx="100">
                  <c:v>-89.621340061599867</c:v>
                </c:pt>
                <c:pt idx="101">
                  <c:v>-100.11193346442423</c:v>
                </c:pt>
                <c:pt idx="102">
                  <c:v>-109.98487423263857</c:v>
                </c:pt>
                <c:pt idx="103">
                  <c:v>-118.80076162886103</c:v>
                </c:pt>
                <c:pt idx="104">
                  <c:v>-126.39165411009384</c:v>
                </c:pt>
                <c:pt idx="105">
                  <c:v>-132.7956436940247</c:v>
                </c:pt>
                <c:pt idx="106">
                  <c:v>-138.15474914503446</c:v>
                </c:pt>
                <c:pt idx="107">
                  <c:v>-142.63969966415979</c:v>
                </c:pt>
                <c:pt idx="108">
                  <c:v>-146.4113247021501</c:v>
                </c:pt>
                <c:pt idx="109">
                  <c:v>-149.60649491980183</c:v>
                </c:pt>
                <c:pt idx="110">
                  <c:v>-152.33627280767277</c:v>
                </c:pt>
                <c:pt idx="111">
                  <c:v>-154.68884034042182</c:v>
                </c:pt>
                <c:pt idx="112">
                  <c:v>-156.73365037175338</c:v>
                </c:pt>
                <c:pt idx="113">
                  <c:v>-158.52537576108628</c:v>
                </c:pt>
                <c:pt idx="114">
                  <c:v>-160.10721289470828</c:v>
                </c:pt>
                <c:pt idx="115">
                  <c:v>-161.51349503610138</c:v>
                </c:pt>
                <c:pt idx="116">
                  <c:v>-162.77170696247742</c:v>
                </c:pt>
                <c:pt idx="117">
                  <c:v>-163.90402104767244</c:v>
                </c:pt>
                <c:pt idx="118">
                  <c:v>-164.92846498512961</c:v>
                </c:pt>
                <c:pt idx="119">
                  <c:v>-165.85981089318079</c:v>
                </c:pt>
                <c:pt idx="120">
                  <c:v>-166.71025514411326</c:v>
                </c:pt>
                <c:pt idx="121">
                  <c:v>-167.4899411632984</c:v>
                </c:pt>
                <c:pt idx="122">
                  <c:v>-168.20736411366065</c:v>
                </c:pt>
                <c:pt idx="123">
                  <c:v>-168.86968633632418</c:v>
                </c:pt>
                <c:pt idx="124">
                  <c:v>-169.48298497550061</c:v>
                </c:pt>
                <c:pt idx="125">
                  <c:v>-170.05244774054594</c:v>
                </c:pt>
                <c:pt idx="126">
                  <c:v>-170.58252873768438</c:v>
                </c:pt>
                <c:pt idx="127">
                  <c:v>-171.07707334723867</c:v>
                </c:pt>
                <c:pt idx="128">
                  <c:v>-171.53941894017234</c:v>
                </c:pt>
                <c:pt idx="129">
                  <c:v>-171.97247660966943</c:v>
                </c:pt>
                <c:pt idx="130">
                  <c:v>-172.3787978868987</c:v>
                </c:pt>
                <c:pt idx="131">
                  <c:v>-172.76062950495898</c:v>
                </c:pt>
                <c:pt idx="132">
                  <c:v>-173.11995859171722</c:v>
                </c:pt>
                <c:pt idx="133">
                  <c:v>-173.45855015316491</c:v>
                </c:pt>
                <c:pt idx="134">
                  <c:v>-173.77797831206789</c:v>
                </c:pt>
                <c:pt idx="135">
                  <c:v>-174.07965246136496</c:v>
                </c:pt>
                <c:pt idx="136">
                  <c:v>-174.36483925542942</c:v>
                </c:pt>
                <c:pt idx="137">
                  <c:v>-174.63468117824701</c:v>
                </c:pt>
                <c:pt idx="138">
                  <c:v>-174.89021228338126</c:v>
                </c:pt>
                <c:pt idx="139">
                  <c:v>-175.13237158700443</c:v>
                </c:pt>
                <c:pt idx="140">
                  <c:v>-175.36201450529074</c:v>
                </c:pt>
                <c:pt idx="141">
                  <c:v>-175.5799226558027</c:v>
                </c:pt>
                <c:pt idx="142">
                  <c:v>-175.78681228513625</c:v>
                </c:pt>
                <c:pt idx="143">
                  <c:v>-175.98334153893873</c:v>
                </c:pt>
                <c:pt idx="144">
                  <c:v>-176.17011675311292</c:v>
                </c:pt>
                <c:pt idx="145">
                  <c:v>-176.34769791472479</c:v>
                </c:pt>
                <c:pt idx="146">
                  <c:v>-176.51660341643259</c:v>
                </c:pt>
                <c:pt idx="147">
                  <c:v>-176.6773142080153</c:v>
                </c:pt>
                <c:pt idx="148">
                  <c:v>-176.83027743194347</c:v>
                </c:pt>
                <c:pt idx="149">
                  <c:v>-176.97590961619613</c:v>
                </c:pt>
                <c:pt idx="150">
                  <c:v>-177.11459948614791</c:v>
                </c:pt>
                <c:pt idx="151">
                  <c:v>-177.24671044788693</c:v>
                </c:pt>
                <c:pt idx="152">
                  <c:v>-177.37258278742968</c:v>
                </c:pt>
                <c:pt idx="153">
                  <c:v>-177.49253562369194</c:v>
                </c:pt>
                <c:pt idx="154">
                  <c:v>-177.60686864752722</c:v>
                </c:pt>
                <c:pt idx="155">
                  <c:v>-177.71586367447833</c:v>
                </c:pt>
                <c:pt idx="156">
                  <c:v>-177.81978603494167</c:v>
                </c:pt>
                <c:pt idx="157">
                  <c:v>-177.91888582211169</c:v>
                </c:pt>
                <c:pt idx="158">
                  <c:v>-178.01339901524037</c:v>
                </c:pt>
                <c:pt idx="159">
                  <c:v>-178.10354849334126</c:v>
                </c:pt>
                <c:pt idx="160">
                  <c:v>-178.18954495241434</c:v>
                </c:pt>
                <c:pt idx="161">
                  <c:v>-178.27158773751884</c:v>
                </c:pt>
                <c:pt idx="162">
                  <c:v>-178.34986559951903</c:v>
                </c:pt>
                <c:pt idx="163">
                  <c:v>-178.42455738504461</c:v>
                </c:pt>
                <c:pt idx="164">
                  <c:v>-178.49583266710223</c:v>
                </c:pt>
                <c:pt idx="165">
                  <c:v>-178.56385232282548</c:v>
                </c:pt>
                <c:pt idx="166">
                  <c:v>-178.62876906403088</c:v>
                </c:pt>
                <c:pt idx="167">
                  <c:v>-178.69072792554232</c:v>
                </c:pt>
                <c:pt idx="168">
                  <c:v>-178.74986671563377</c:v>
                </c:pt>
                <c:pt idx="169">
                  <c:v>-178.80631643241284</c:v>
                </c:pt>
                <c:pt idx="170">
                  <c:v>-178.86020164950742</c:v>
                </c:pt>
                <c:pt idx="171">
                  <c:v>-178.91164087402115</c:v>
                </c:pt>
                <c:pt idx="172">
                  <c:v>-178.96074687937622</c:v>
                </c:pt>
                <c:pt idx="173">
                  <c:v>-179.00762701536055</c:v>
                </c:pt>
                <c:pt idx="174">
                  <c:v>-179.05238349743482</c:v>
                </c:pt>
                <c:pt idx="175">
                  <c:v>-179.09511367712358</c:v>
                </c:pt>
                <c:pt idx="176">
                  <c:v>-179.13591029511565</c:v>
                </c:pt>
                <c:pt idx="177">
                  <c:v>-179.17486171852306</c:v>
                </c:pt>
                <c:pt idx="178">
                  <c:v>-179.21205216359343</c:v>
                </c:pt>
                <c:pt idx="179">
                  <c:v>-179.24756190503618</c:v>
                </c:pt>
                <c:pt idx="180">
                  <c:v>-179.28146747300383</c:v>
                </c:pt>
                <c:pt idx="181">
                  <c:v>-179.31384183866555</c:v>
                </c:pt>
                <c:pt idx="182">
                  <c:v>-179.34475458921716</c:v>
                </c:pt>
                <c:pt idx="183">
                  <c:v>-179.37427209309129</c:v>
                </c:pt>
                <c:pt idx="184">
                  <c:v>-179.40245765605877</c:v>
                </c:pt>
                <c:pt idx="185">
                  <c:v>-179.42937166884869</c:v>
                </c:pt>
                <c:pt idx="186">
                  <c:v>-179.45507174685767</c:v>
                </c:pt>
                <c:pt idx="187">
                  <c:v>-179.47961286246968</c:v>
                </c:pt>
                <c:pt idx="188">
                  <c:v>-179.50304747046067</c:v>
                </c:pt>
                <c:pt idx="189">
                  <c:v>-179.52542562692494</c:v>
                </c:pt>
                <c:pt idx="190">
                  <c:v>-179.54679510212219</c:v>
                </c:pt>
                <c:pt idx="191">
                  <c:v>-179.56720148761329</c:v>
                </c:pt>
                <c:pt idx="192">
                  <c:v>-179.58668829802374</c:v>
                </c:pt>
                <c:pt idx="193">
                  <c:v>-179.6052970677479</c:v>
                </c:pt>
                <c:pt idx="194">
                  <c:v>-179.62306744288358</c:v>
                </c:pt>
                <c:pt idx="195">
                  <c:v>-179.64003726866579</c:v>
                </c:pt>
                <c:pt idx="196">
                  <c:v>-179.65624267264928</c:v>
                </c:pt>
                <c:pt idx="197">
                  <c:v>-179.67171814387169</c:v>
                </c:pt>
                <c:pt idx="198">
                  <c:v>-179.68649660821458</c:v>
                </c:pt>
                <c:pt idx="199">
                  <c:v>-179.70060950016332</c:v>
                </c:pt>
                <c:pt idx="200">
                  <c:v>-179.71408683115621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31-42F7-8A13-82E591146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54448"/>
        <c:axId val="376057688"/>
      </c:scatterChart>
      <c:valAx>
        <c:axId val="376054448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0.4735196850393702"/>
              <c:y val="0.874697430263077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7688"/>
        <c:crossesAt val="-300"/>
        <c:crossBetween val="midCat"/>
      </c:valAx>
      <c:valAx>
        <c:axId val="37605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φ</a:t>
                </a:r>
                <a:r>
                  <a:rPr lang="en-US"/>
                  <a:t>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5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Z$2" horiz="1" max="50" min="11" page="10" val="13"/>
</file>

<file path=xl/ctrlProps/ctrlProp2.xml><?xml version="1.0" encoding="utf-8"?>
<formControlPr xmlns="http://schemas.microsoft.com/office/spreadsheetml/2009/9/main" objectType="Scroll" dx="22" fmlaLink="$Z$3" horiz="1" max="90" min="20" page="10" val="72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11</xdr:row>
      <xdr:rowOff>28575</xdr:rowOff>
    </xdr:from>
    <xdr:ext cx="1049775" cy="2106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828800" y="2162175"/>
              <a:ext cx="1049775" cy="210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𝑔𝑚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𝑛𝑜𝑚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/</m:t>
                    </m:r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EC29375-FEB8-CEB0-3721-DE51827C0F70}"/>
                </a:ext>
              </a:extLst>
            </xdr:cNvPr>
            <xdr:cNvSpPr txBox="1"/>
          </xdr:nvSpPr>
          <xdr:spPr>
            <a:xfrm>
              <a:off x="1828800" y="2162175"/>
              <a:ext cx="1049775" cy="2106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𝐶_𝑔𝑚=𝐶_𝑛𝑜𝑚/√(𝑓_𝑐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38100</xdr:colOff>
      <xdr:row>12</xdr:row>
      <xdr:rowOff>71602</xdr:rowOff>
    </xdr:from>
    <xdr:ext cx="890693" cy="3508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824859" y="2462705"/>
              <a:ext cx="890693" cy="3508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𝑢𝑝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𝑔𝑚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824859" y="2462705"/>
              <a:ext cx="890693" cy="3508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𝐶1=(𝐶_1𝑢𝑝 𝐶_𝑔𝑚)/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38100</xdr:colOff>
      <xdr:row>13</xdr:row>
      <xdr:rowOff>153385</xdr:rowOff>
    </xdr:from>
    <xdr:ext cx="953787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824859" y="3030592"/>
              <a:ext cx="95378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2=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𝑑𝑛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824859" y="3030592"/>
              <a:ext cx="953787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𝐶2=𝐶_2𝑑𝑛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𝜁^2 𝐶1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38100</xdr:colOff>
      <xdr:row>15</xdr:row>
      <xdr:rowOff>47625</xdr:rowOff>
    </xdr:from>
    <xdr:ext cx="2230675" cy="7296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828800" y="3286125"/>
              <a:ext cx="2230675" cy="7296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2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2</m:t>
                        </m:r>
                        <m:sSup>
                          <m:sSupPr>
                            <m:ctrlPr>
                              <a:rPr lang="en-US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p>
                            <m:r>
                              <a:rPr lang="en-US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US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+2</m:t>
                        </m:r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  <m:rad>
                          <m:radPr>
                            <m:degHide m:val="on"/>
                            <m:ctrlPr>
                              <a:rPr lang="en-US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𝜁</m:t>
                                </m:r>
                              </m:e>
                              <m:sup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d>
                              <m:d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2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2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r>
                                          <a:rPr lang="en-US" sz="12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rad>
                      </m:num>
                      <m:den>
                        <m:d>
                          <m:d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40F0AB83-1C5F-4D5B-81A7-CA098E10DDDB}"/>
                </a:ext>
              </a:extLst>
            </xdr:cNvPr>
            <xdr:cNvSpPr txBox="1"/>
          </xdr:nvSpPr>
          <xdr:spPr>
            <a:xfrm>
              <a:off x="1828800" y="3286125"/>
              <a:ext cx="2230675" cy="7296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𝑅_2/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𝑅_1 </a:t>
              </a:r>
              <a:r>
                <a:rPr lang="en-US" sz="1200" b="0" i="0">
                  <a:latin typeface="Cambria Math" panose="02040503050406030204" pitchFamily="18" charset="0"/>
                </a:rPr>
                <a:t>=(2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𝜁^2−(𝐶_2/𝐶_1 )+2𝜁√(𝜁^2−(𝐶_2/𝐶_1 ) ))/((</a:t>
              </a:r>
              <a:r>
                <a:rPr lang="en-US" sz="1200" b="0" i="0">
                  <a:latin typeface="Cambria Math" panose="02040503050406030204" pitchFamily="18" charset="0"/>
                </a:rPr>
                <a:t>𝐶_2/𝐶_1 ) )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2</xdr:col>
      <xdr:colOff>38100</xdr:colOff>
      <xdr:row>17</xdr:row>
      <xdr:rowOff>19050</xdr:rowOff>
    </xdr:from>
    <xdr:ext cx="888320" cy="5456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1828800" y="4495800"/>
              <a:ext cx="888320" cy="5456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52F82860-01F3-440B-B91F-8405995320F7}"/>
                </a:ext>
              </a:extLst>
            </xdr:cNvPr>
            <xdr:cNvSpPr txBox="1"/>
          </xdr:nvSpPr>
          <xdr:spPr>
            <a:xfrm>
              <a:off x="1828800" y="4495800"/>
              <a:ext cx="888320" cy="5456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𝑅_1=√(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(𝑅_2 𝑅_1)/(𝑅_2/𝑅_1 )</a:t>
              </a:r>
              <a:r>
                <a:rPr lang="en-US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2</xdr:col>
      <xdr:colOff>38100</xdr:colOff>
      <xdr:row>18</xdr:row>
      <xdr:rowOff>38100</xdr:rowOff>
    </xdr:from>
    <xdr:ext cx="700576" cy="3673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828800" y="5095875"/>
              <a:ext cx="700576" cy="3673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1C4B4E5-8E61-4F3E-9B28-DE949FA745EF}"/>
                </a:ext>
              </a:extLst>
            </xdr:cNvPr>
            <xdr:cNvSpPr txBox="1"/>
          </xdr:nvSpPr>
          <xdr:spPr>
            <a:xfrm>
              <a:off x="1828800" y="5095875"/>
              <a:ext cx="700576" cy="3673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𝑅_2=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(𝑅_2 𝑅_1)/𝑅_1 </a:t>
              </a:r>
              <a:endParaRPr lang="en-US" sz="1200"/>
            </a:p>
          </xdr:txBody>
        </xdr:sp>
      </mc:Fallback>
    </mc:AlternateContent>
    <xdr:clientData/>
  </xdr:oneCellAnchor>
  <xdr:twoCellAnchor>
    <xdr:from>
      <xdr:col>5</xdr:col>
      <xdr:colOff>610257</xdr:colOff>
      <xdr:row>12</xdr:row>
      <xdr:rowOff>6570</xdr:rowOff>
    </xdr:from>
    <xdr:to>
      <xdr:col>8</xdr:col>
      <xdr:colOff>229913</xdr:colOff>
      <xdr:row>13</xdr:row>
      <xdr:rowOff>6569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075636" y="2397673"/>
              <a:ext cx="1452398" cy="4072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a:rPr lang="en-US" sz="12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ad>
                          <m:radPr>
                            <m:degHide m:val="on"/>
                            <m:ctrlPr>
                              <a:rPr lang="en-US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rad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075636" y="2397673"/>
              <a:ext cx="1452398" cy="4072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𝑓_0=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1/(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2𝜋√(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 𝑅_2 𝐶_1 𝐶_2 ))</a:t>
              </a:r>
              <a:endParaRPr lang="en-US" sz="1200"/>
            </a:p>
          </xdr:txBody>
        </xdr:sp>
      </mc:Fallback>
    </mc:AlternateContent>
    <xdr:clientData/>
  </xdr:twoCellAnchor>
  <xdr:twoCellAnchor>
    <xdr:from>
      <xdr:col>6</xdr:col>
      <xdr:colOff>45984</xdr:colOff>
      <xdr:row>13</xdr:row>
      <xdr:rowOff>6568</xdr:rowOff>
    </xdr:from>
    <xdr:to>
      <xdr:col>7</xdr:col>
      <xdr:colOff>551794</xdr:colOff>
      <xdr:row>13</xdr:row>
      <xdr:rowOff>433095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23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6122277" y="2804947"/>
              <a:ext cx="1116724" cy="4265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𝑄</m:t>
                    </m:r>
                    <m:r>
                      <a:rPr lang="en-US" sz="12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n-US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rad>
                      </m:num>
                      <m:den>
                        <m:sSub>
                          <m:sSubPr>
                            <m:ctrlPr>
                              <a:rPr lang="en-US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d>
                          <m:dPr>
                            <m:ctrlPr>
                              <a:rPr lang="en-US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2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9" name="TextBox 23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6122277" y="2804947"/>
              <a:ext cx="1116724" cy="4265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𝑄=</a:t>
              </a:r>
              <a:r>
                <a:rPr lang="en-US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√(𝑅_1 𝑅_2 𝐶_1 𝐶_2 )/(𝐶_2 (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𝑅_1+𝑅_2 ) )</a:t>
              </a:r>
              <a:endParaRPr lang="en-US" sz="1200"/>
            </a:p>
          </xdr:txBody>
        </xdr:sp>
      </mc:Fallback>
    </mc:AlternateContent>
    <xdr:clientData/>
  </xdr:twoCellAnchor>
  <xdr:oneCellAnchor>
    <xdr:from>
      <xdr:col>2</xdr:col>
      <xdr:colOff>38100</xdr:colOff>
      <xdr:row>10</xdr:row>
      <xdr:rowOff>0</xdr:rowOff>
    </xdr:from>
    <xdr:ext cx="6129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1828800" y="1943100"/>
              <a:ext cx="6129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𝜁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=1/2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𝑄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3849022-A9B6-D637-F01C-ED73BD5CE262}"/>
                </a:ext>
              </a:extLst>
            </xdr:cNvPr>
            <xdr:cNvSpPr txBox="1"/>
          </xdr:nvSpPr>
          <xdr:spPr>
            <a:xfrm>
              <a:off x="1828800" y="1943100"/>
              <a:ext cx="61298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=1/2𝑄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2</xdr:col>
      <xdr:colOff>1221827</xdr:colOff>
      <xdr:row>1</xdr:row>
      <xdr:rowOff>69959</xdr:rowOff>
    </xdr:from>
    <xdr:to>
      <xdr:col>7</xdr:col>
      <xdr:colOff>489715</xdr:colOff>
      <xdr:row>11</xdr:row>
      <xdr:rowOff>127550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3016923" y="297094"/>
          <a:ext cx="4154946" cy="1962591"/>
          <a:chOff x="2924181" y="142875"/>
          <a:chExt cx="4164119" cy="1962591"/>
        </a:xfrm>
      </xdr:grpSpPr>
      <xdr:pic>
        <xdr:nvPicPr>
          <xdr:cNvPr id="21" name="Graphic 3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23196" y="219516"/>
            <a:ext cx="3886200" cy="1885950"/>
          </a:xfrm>
          <a:prstGeom prst="rect">
            <a:avLst/>
          </a:prstGeom>
        </xdr:spPr>
      </xdr:pic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5419725" y="142875"/>
            <a:ext cx="14670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en-US" sz="1100"/>
              <a:t>C1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3550616" y="772167"/>
            <a:ext cx="14811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en-US" sz="1100"/>
              <a:t>R1</a:t>
            </a: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4331765" y="772167"/>
            <a:ext cx="14811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en-US" sz="1100"/>
              <a:t>R2</a:t>
            </a:r>
          </a:p>
        </xdr:txBody>
      </xdr: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pSpPr/>
        </xdr:nvGrpSpPr>
        <xdr:grpSpPr>
          <a:xfrm>
            <a:off x="3437230" y="546434"/>
            <a:ext cx="2322178" cy="1058051"/>
            <a:chOff x="3437230" y="546434"/>
            <a:chExt cx="2322178" cy="1058051"/>
          </a:xfrm>
        </xdr:grpSpPr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 txBox="1"/>
          </xdr:nvSpPr>
          <xdr:spPr>
            <a:xfrm>
              <a:off x="4455688" y="1294174"/>
              <a:ext cx="1467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C2</a:t>
              </a:r>
            </a:p>
          </xdr:txBody>
        </xdr:sp>
        <xdr:sp macro="" textlink="_C1lbl">
          <xdr:nvSpPr>
            <xdr:cNvPr id="36" name="TextBox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/>
          </xdr:nvSpPr>
          <xdr:spPr>
            <a:xfrm>
              <a:off x="5294411" y="546434"/>
              <a:ext cx="46499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ctr"/>
              <a:fld id="{6BB10C1F-349C-4B59-9B0D-1E516FA09927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0.015µF</a:t>
              </a:fld>
              <a:endParaRPr lang="en-US" sz="1100"/>
            </a:p>
          </xdr:txBody>
        </xdr:sp>
        <xdr:sp macro="" textlink="_C2lbl">
          <xdr:nvSpPr>
            <xdr:cNvPr id="37" name="TextBox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 txBox="1"/>
          </xdr:nvSpPr>
          <xdr:spPr>
            <a:xfrm>
              <a:off x="4171664" y="1432258"/>
              <a:ext cx="4258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r"/>
              <a:fld id="{292CD20A-80BA-4D6E-9636-5F9F008AB003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r"/>
                <a:t>680pF</a:t>
              </a:fld>
              <a:endParaRPr lang="en-US" sz="1100"/>
            </a:p>
          </xdr:txBody>
        </xdr:sp>
        <xdr:sp macro="" textlink="_R1lbl">
          <xdr:nvSpPr>
            <xdr:cNvPr id="38" name="TextBox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 txBox="1"/>
          </xdr:nvSpPr>
          <xdr:spPr>
            <a:xfrm>
              <a:off x="3437230" y="1091754"/>
              <a:ext cx="40877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ctr"/>
              <a:fld id="{8D05520B-BC33-4ACC-A853-596930331066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1.4kΩ</a:t>
              </a:fld>
              <a:endParaRPr lang="en-US" sz="1100"/>
            </a:p>
          </xdr:txBody>
        </xdr:sp>
        <xdr:sp macro="" textlink="_R2lbl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 txBox="1"/>
          </xdr:nvSpPr>
          <xdr:spPr>
            <a:xfrm>
              <a:off x="4226065" y="1091754"/>
              <a:ext cx="40790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ctr"/>
              <a:fld id="{773A9277-9944-43A7-B8ED-9C0949D91A2D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4.42kΩ</a:t>
              </a:fld>
              <a:endParaRPr lang="en-US" sz="1100"/>
            </a:p>
          </xdr:txBody>
        </xdr:sp>
      </xdr:grp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2924181" y="923925"/>
            <a:ext cx="164469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en-US" sz="1100"/>
              <a:t>V</a:t>
            </a:r>
            <a:r>
              <a:rPr lang="en-US" sz="1100" baseline="-25000"/>
              <a:t>IN</a:t>
            </a: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6839834" y="1116763"/>
            <a:ext cx="2484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en-US" sz="1100"/>
              <a:t>V</a:t>
            </a:r>
            <a:r>
              <a:rPr lang="en-US" sz="1100" baseline="-25000"/>
              <a:t>OUT</a:t>
            </a:r>
          </a:p>
        </xdr:txBody>
      </xdr:sp>
    </xdr:grpSp>
    <xdr:clientData/>
  </xdr:twoCellAnchor>
  <xdr:oneCellAnchor>
    <xdr:from>
      <xdr:col>2</xdr:col>
      <xdr:colOff>38100</xdr:colOff>
      <xdr:row>16</xdr:row>
      <xdr:rowOff>19050</xdr:rowOff>
    </xdr:from>
    <xdr:ext cx="1370503" cy="3792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 txBox="1"/>
          </xdr:nvSpPr>
          <xdr:spPr>
            <a:xfrm>
              <a:off x="1828800" y="4076700"/>
              <a:ext cx="1370503" cy="3792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2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𝜋</m:t>
                                </m:r>
                                <m:sSub>
                                  <m:sSubPr>
                                    <m:ctrlP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𝑓</m:t>
                                    </m:r>
                                  </m:e>
                                  <m:sub>
                                    <m:r>
                                      <a:rPr lang="en-US" sz="12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e>
                            </m:d>
                          </m:e>
                          <m:sup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200"/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F5D7612-363D-438F-90A0-8C2EC12A0508}"/>
                </a:ext>
              </a:extLst>
            </xdr:cNvPr>
            <xdr:cNvSpPr txBox="1"/>
          </xdr:nvSpPr>
          <xdr:spPr>
            <a:xfrm>
              <a:off x="1828800" y="4076700"/>
              <a:ext cx="1370503" cy="3792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200" b="0" i="0">
                  <a:latin typeface="Cambria Math" panose="02040503050406030204" pitchFamily="18" charset="0"/>
                </a:rPr>
                <a:t>𝑅_2 𝑅_1=1/((2</a:t>
              </a:r>
              <a:r>
                <a:rPr lang="en-US" sz="12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𝜋𝑓_𝑐 )^</a:t>
              </a:r>
              <a:r>
                <a:rPr lang="en-US" sz="1200" b="0" i="0">
                  <a:latin typeface="Cambria Math" panose="02040503050406030204" pitchFamily="18" charset="0"/>
                </a:rPr>
                <a:t>2 𝐶_1 𝐶_2 )</a:t>
              </a:r>
              <a:endParaRPr lang="en-US" sz="1200"/>
            </a:p>
          </xdr:txBody>
        </xdr:sp>
      </mc:Fallback>
    </mc:AlternateContent>
    <xdr:clientData/>
  </xdr:oneCellAnchor>
  <xdr:oneCellAnchor>
    <xdr:from>
      <xdr:col>2</xdr:col>
      <xdr:colOff>38100</xdr:colOff>
      <xdr:row>14</xdr:row>
      <xdr:rowOff>9525</xdr:rowOff>
    </xdr:from>
    <xdr:ext cx="4256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1828800" y="3057525"/>
              <a:ext cx="4256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2/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96BF4A71-8084-093F-0108-D0F981FBE4A6}"/>
                </a:ext>
              </a:extLst>
            </xdr:cNvPr>
            <xdr:cNvSpPr txBox="1"/>
          </xdr:nvSpPr>
          <xdr:spPr>
            <a:xfrm>
              <a:off x="1828800" y="3057525"/>
              <a:ext cx="4256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𝐶2/𝐶1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942975</xdr:colOff>
          <xdr:row>6</xdr:row>
          <xdr:rowOff>180975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942975</xdr:colOff>
          <xdr:row>7</xdr:row>
          <xdr:rowOff>180975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4</xdr:col>
      <xdr:colOff>142875</xdr:colOff>
      <xdr:row>14</xdr:row>
      <xdr:rowOff>85725</xdr:rowOff>
    </xdr:from>
    <xdr:to>
      <xdr:col>8</xdr:col>
      <xdr:colOff>276225</xdr:colOff>
      <xdr:row>15</xdr:row>
      <xdr:rowOff>241795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6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5000625" y="3419475"/>
              <a:ext cx="2571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>
                          <m:sSubPr>
                            <m:ctrlP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1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sSup>
                          <m:sSup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e>
                          <m:sup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6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5000625" y="3419475"/>
              <a:ext cx="2571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𝐻(𝑠)=1/(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𝑅_1 𝑅〗_2 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𝐶_1 𝐶_2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𝑠^2+𝐶_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𝑅_1+𝑅_2 )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1)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3</xdr:col>
      <xdr:colOff>123825</xdr:colOff>
      <xdr:row>15</xdr:row>
      <xdr:rowOff>314325</xdr:rowOff>
    </xdr:from>
    <xdr:to>
      <xdr:col>10</xdr:col>
      <xdr:colOff>428625</xdr:colOff>
      <xdr:row>19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123825</xdr:colOff>
      <xdr:row>19</xdr:row>
      <xdr:rowOff>104775</xdr:rowOff>
    </xdr:from>
    <xdr:to>
      <xdr:col>10</xdr:col>
      <xdr:colOff>428625</xdr:colOff>
      <xdr:row>25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17</xdr:col>
      <xdr:colOff>244718</xdr:colOff>
      <xdr:row>3</xdr:row>
      <xdr:rowOff>68873</xdr:rowOff>
    </xdr:from>
    <xdr:ext cx="4611775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6378603" y="677008"/>
          <a:ext cx="46117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=IMDIV(1,IMSUM(IMPRODUCT(1,IMPOWER([@s],2)),IMPRODUCT(1,[@s]),1))</a:t>
          </a:r>
        </a:p>
      </xdr:txBody>
    </xdr:sp>
    <xdr:clientData/>
  </xdr:oneCellAnchor>
  <xdr:twoCellAnchor>
    <xdr:from>
      <xdr:col>18</xdr:col>
      <xdr:colOff>589819</xdr:colOff>
      <xdr:row>0</xdr:row>
      <xdr:rowOff>217610</xdr:rowOff>
    </xdr:from>
    <xdr:to>
      <xdr:col>33</xdr:col>
      <xdr:colOff>115034</xdr:colOff>
      <xdr:row>2</xdr:row>
      <xdr:rowOff>146545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16657761" y="217610"/>
              <a:ext cx="256588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𝐻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>
                          <m:sSubPr>
                            <m:ctrlP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sSub>
                              <m:sSubPr>
                                <m:ctrlPr>
                                  <a:rPr lang="en-US" sz="11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sSup>
                          <m:sSup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e>
                          <m:sup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6">
              <a:extLst>
                <a:ext uri="{FF2B5EF4-FFF2-40B4-BE49-F238E27FC236}">
                  <a16:creationId xmlns:a16="http://schemas.microsoft.com/office/drawing/2014/main" id="{C363F351-97BC-49C5-8EDA-D21F6587DC3B}"/>
                </a:ext>
              </a:extLst>
            </xdr:cNvPr>
            <xdr:cNvSpPr txBox="1"/>
          </xdr:nvSpPr>
          <xdr:spPr>
            <a:xfrm>
              <a:off x="16657761" y="217610"/>
              <a:ext cx="256588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𝐻(𝑠)=1/(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𝑅_1 𝑅〗_2 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𝐶_1 𝐶_2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𝑠^2+𝐶_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𝑅_1+𝑅_2 )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1)</a:t>
              </a:r>
              <a:endParaRPr lang="en-US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902AD4-46B3-4FF7-A35A-78351FA99286}" name="Table1" displayName="Table1" ref="L1:Q202" totalsRowShown="0" headerRowDxfId="2">
  <autoFilter ref="L1:Q202" xr:uid="{56902AD4-46B3-4FF7-A35A-78351FA9928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6F950D1-A075-44EE-BA28-CEBD54B6074B}" name="Decade"/>
    <tableColumn id="2" xr3:uid="{F6BB5927-A586-4C32-B8EE-6669FCE7D983}" name="f">
      <calculatedColumnFormula>10^L2*fc</calculatedColumnFormula>
    </tableColumn>
    <tableColumn id="3" xr3:uid="{D5B62607-0F42-417A-A2A9-E65CF135AC19}" name="s" dataDxfId="1">
      <calculatedColumnFormula>COMPLEX(0,Table1[[#This Row],[f]]*2*PI(),"j")</calculatedColumnFormula>
    </tableColumn>
    <tableColumn id="4" xr3:uid="{01B073F1-65FC-4854-B175-F8E1E48A4529}" name="H" dataDxfId="0">
      <calculatedColumnFormula>IMDIV(1,IMSUM(IMPRODUCT(_R1,_R2,_C1,_C2,IMPOWER(Table1[[#This Row],[s]],2)),IMPRODUCT(_C2,(_R1+_R2),Table1[[#This Row],[s]]),1))</calculatedColumnFormula>
    </tableColumn>
    <tableColumn id="5" xr3:uid="{2488C572-53E2-4362-BE1D-0E3E2FCA8C07}" name="Mag(dB)">
      <calculatedColumnFormula>20*LOG(IMABS(O2))</calculatedColumnFormula>
    </tableColumn>
    <tableColumn id="6" xr3:uid="{56B924B2-29EA-408A-B041-F587420E7221}" name="φ">
      <calculatedColumnFormula>DEGREES(IMARGUMENT(O2))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4815-8BE7-4994-B2CD-95B141A6EEE4}">
  <sheetPr codeName="Sheet1"/>
  <dimension ref="A1:AD202"/>
  <sheetViews>
    <sheetView showGridLines="0" tabSelected="1" zoomScale="130" zoomScaleNormal="130" workbookViewId="0">
      <selection activeCell="J5" sqref="J5"/>
    </sheetView>
  </sheetViews>
  <sheetFormatPr defaultRowHeight="15" x14ac:dyDescent="0.25"/>
  <cols>
    <col min="1" max="1" width="15" customWidth="1"/>
    <col min="2" max="2" width="11.85546875" customWidth="1"/>
    <col min="3" max="3" width="36.85546875" customWidth="1"/>
    <col min="12" max="12" width="9.7109375" customWidth="1"/>
    <col min="14" max="14" width="18.85546875" bestFit="1" customWidth="1"/>
    <col min="15" max="15" width="47.7109375" bestFit="1" customWidth="1"/>
    <col min="16" max="16" width="10.7109375" customWidth="1"/>
    <col min="21" max="21" width="14.28515625" hidden="1" customWidth="1"/>
    <col min="22" max="30" width="0" hidden="1" customWidth="1"/>
  </cols>
  <sheetData>
    <row r="1" spans="1:30" ht="18" x14ac:dyDescent="0.35">
      <c r="A1" s="3" t="s">
        <v>19</v>
      </c>
      <c r="B1" s="4"/>
      <c r="C1" s="4"/>
      <c r="E1" s="1" t="s">
        <v>14</v>
      </c>
      <c r="F1" s="2" t="s">
        <v>15</v>
      </c>
      <c r="G1" s="10">
        <v>3.9999999999999998E-7</v>
      </c>
      <c r="H1" t="s">
        <v>16</v>
      </c>
      <c r="L1" s="25" t="s">
        <v>37</v>
      </c>
      <c r="M1" s="26" t="s">
        <v>38</v>
      </c>
      <c r="N1" s="25" t="s">
        <v>39</v>
      </c>
      <c r="O1" s="25" t="s">
        <v>40</v>
      </c>
      <c r="P1" s="25" t="s">
        <v>41</v>
      </c>
      <c r="Q1" s="26" t="s">
        <v>42</v>
      </c>
      <c r="U1" s="13" t="s">
        <v>27</v>
      </c>
      <c r="Y1" s="13" t="s">
        <v>30</v>
      </c>
      <c r="AC1" s="13" t="s">
        <v>31</v>
      </c>
    </row>
    <row r="2" spans="1:30" x14ac:dyDescent="0.25">
      <c r="A2" s="4"/>
      <c r="B2" s="7" t="s">
        <v>17</v>
      </c>
      <c r="C2" s="4"/>
      <c r="D2" s="4"/>
      <c r="E2" s="4"/>
      <c r="F2" s="4"/>
      <c r="G2" s="4"/>
      <c r="H2" s="4"/>
      <c r="I2" s="4"/>
      <c r="J2" s="4"/>
      <c r="K2" s="4"/>
      <c r="L2">
        <v>-2</v>
      </c>
      <c r="M2">
        <f t="shared" ref="M2:M65" si="0">10^L2*fc</f>
        <v>200</v>
      </c>
      <c r="N2" t="str">
        <f>COMPLEX(0,Table1[[#This Row],[f]]*2*PI(),"j")</f>
        <v>1256.63706143592j</v>
      </c>
      <c r="O2" t="str">
        <f>IMDIV(1,IMSUM(IMPRODUCT(_R1,_R2,_C1,_C2,IMPOWER(Table1[[#This Row],[s]],2)),IMPRODUCT(_C2,(_R1+_R2),Table1[[#This Row],[s]]),1))</f>
        <v>1.00007494108612-0.00497413531498388j</v>
      </c>
      <c r="P2">
        <f>20*LOG(IMABS(O2))</f>
        <v>7.5834141834243843E-4</v>
      </c>
      <c r="Q2">
        <f>DEGREES(IMARGUMENT(O2))</f>
        <v>-0.28497325399048623</v>
      </c>
      <c r="U2" t="s">
        <v>20</v>
      </c>
      <c r="V2">
        <v>1</v>
      </c>
      <c r="Y2" t="s">
        <v>32</v>
      </c>
      <c r="Z2" s="19">
        <v>13</v>
      </c>
      <c r="AC2" t="s">
        <v>10</v>
      </c>
      <c r="AD2" t="str" cm="1">
        <f t="array" ref="AD2">EngPrefix(_R1)&amp;"Ω"</f>
        <v>1.4kΩ</v>
      </c>
    </row>
    <row r="3" spans="1:30" ht="15" customHeight="1" x14ac:dyDescent="0.25">
      <c r="A3" s="5" t="s">
        <v>0</v>
      </c>
      <c r="B3" s="11">
        <v>20000</v>
      </c>
      <c r="C3" s="4" t="s">
        <v>13</v>
      </c>
      <c r="D3" s="4"/>
      <c r="E3" s="4"/>
      <c r="F3" s="4"/>
      <c r="G3" s="4"/>
      <c r="H3" s="4"/>
      <c r="I3" s="4"/>
      <c r="J3" s="4"/>
      <c r="K3" s="4"/>
      <c r="L3">
        <v>-1.98</v>
      </c>
      <c r="M3">
        <f t="shared" si="0"/>
        <v>209.42570961017978</v>
      </c>
      <c r="N3" t="str">
        <f>COMPLEX(0,Table1[[#This Row],[f]]*2*PI(),"j")</f>
        <v>1315.86054156834j</v>
      </c>
      <c r="O3" t="str">
        <f>IMDIV(1,IMSUM(IMPRODUCT(_R1,_R2,_C1,_C2,IMPOWER(Table1[[#This Row],[s]],2)),IMPRODUCT(_C2,(_R1+_R2),Table1[[#This Row],[s]]),1))</f>
        <v>1.00008217160017-0.00520864683983401j</v>
      </c>
      <c r="P3">
        <f t="shared" ref="P3:P66" si="1">20*LOG(IMABS(O3))</f>
        <v>8.3150727002383889E-4</v>
      </c>
      <c r="Q3">
        <f t="shared" ref="Q3:Q66" si="2">DEGREES(IMARGUMENT(O3))</f>
        <v>-0.29840626203035253</v>
      </c>
      <c r="U3" t="s">
        <v>21</v>
      </c>
      <c r="V3">
        <v>2</v>
      </c>
      <c r="Y3" t="s">
        <v>33</v>
      </c>
      <c r="Z3" s="19">
        <v>72</v>
      </c>
      <c r="AC3" t="s">
        <v>11</v>
      </c>
      <c r="AD3" t="str" cm="1">
        <f t="array" ref="AD3">EngPrefix(_R2)&amp;"Ω"</f>
        <v>4.42kΩ</v>
      </c>
    </row>
    <row r="4" spans="1:30" x14ac:dyDescent="0.25">
      <c r="A4" s="5" t="s">
        <v>1</v>
      </c>
      <c r="B4" s="11">
        <v>2</v>
      </c>
      <c r="C4" s="4"/>
      <c r="D4" s="4"/>
      <c r="E4" s="4"/>
      <c r="F4" s="4"/>
      <c r="G4" s="4"/>
      <c r="H4" s="4"/>
      <c r="I4" s="4"/>
      <c r="J4" s="4"/>
      <c r="K4" s="4"/>
      <c r="L4">
        <v>-1.96</v>
      </c>
      <c r="M4">
        <f t="shared" si="0"/>
        <v>219.29563922863701</v>
      </c>
      <c r="N4" t="str">
        <f>COMPLEX(0,Table1[[#This Row],[f]]*2*PI(),"j")</f>
        <v>1377.87513832993j</v>
      </c>
      <c r="O4" t="str">
        <f>IMDIV(1,IMSUM(IMPRODUCT(_R1,_R2,_C1,_C2,IMPOWER(Table1[[#This Row],[s]],2)),IMPRODUCT(_C2,(_R1+_R2),Table1[[#This Row],[s]]),1))</f>
        <v>1.00009009976856-0.00545422355517838j</v>
      </c>
      <c r="P4">
        <f t="shared" si="1"/>
        <v>9.1173252444214396E-4</v>
      </c>
      <c r="Q4">
        <f t="shared" si="2"/>
        <v>-0.31247273827744876</v>
      </c>
      <c r="U4" t="s">
        <v>22</v>
      </c>
      <c r="V4">
        <v>3</v>
      </c>
      <c r="AC4" t="s">
        <v>5</v>
      </c>
      <c r="AD4" t="str" cm="1">
        <f t="array" ref="AD4">CapPrefix(_C1)</f>
        <v>0.015µF</v>
      </c>
    </row>
    <row r="5" spans="1:30" x14ac:dyDescent="0.25">
      <c r="A5" s="5" t="s">
        <v>28</v>
      </c>
      <c r="B5" s="11" t="s">
        <v>23</v>
      </c>
      <c r="C5" s="4"/>
      <c r="D5" s="4"/>
      <c r="E5" s="4"/>
      <c r="F5" s="4"/>
      <c r="G5" s="4"/>
      <c r="H5" s="4"/>
      <c r="I5" s="4"/>
      <c r="J5" s="4"/>
      <c r="K5" s="4"/>
      <c r="L5">
        <v>-1.94</v>
      </c>
      <c r="M5">
        <f t="shared" si="0"/>
        <v>229.63072429937654</v>
      </c>
      <c r="N5" t="str">
        <f>COMPLEX(0,Table1[[#This Row],[f]]*2*PI(),"j")</f>
        <v>1442.81239299485j</v>
      </c>
      <c r="O5" t="str">
        <f>IMDIV(1,IMSUM(IMPRODUCT(_R1,_R2,_C1,_C2,IMPOWER(Table1[[#This Row],[s]],2)),IMPRODUCT(_C2,(_R1+_R2),Table1[[#This Row],[s]]),1))</f>
        <v>1.00009879291336-0.00571138887441592j</v>
      </c>
      <c r="P5">
        <f t="shared" si="1"/>
        <v>9.9969835990792099E-4</v>
      </c>
      <c r="Q5">
        <f t="shared" si="2"/>
        <v>-0.32720259496794352</v>
      </c>
      <c r="U5" t="s">
        <v>23</v>
      </c>
      <c r="V5">
        <v>4</v>
      </c>
      <c r="AC5" t="s">
        <v>6</v>
      </c>
      <c r="AD5" t="str" cm="1">
        <f t="array" ref="AD5">CapPrefix(_C2)</f>
        <v>680pF</v>
      </c>
    </row>
    <row r="6" spans="1:30" x14ac:dyDescent="0.25">
      <c r="A6" s="5" t="s">
        <v>29</v>
      </c>
      <c r="B6" s="11" t="s">
        <v>25</v>
      </c>
      <c r="C6" s="14" t="s">
        <v>34</v>
      </c>
      <c r="D6" s="4"/>
      <c r="E6" s="4"/>
      <c r="F6" s="4"/>
      <c r="G6" s="4"/>
      <c r="H6" s="4"/>
      <c r="I6" s="4"/>
      <c r="J6" s="4"/>
      <c r="L6">
        <v>-1.92</v>
      </c>
      <c r="M6">
        <f t="shared" si="0"/>
        <v>240.45288692348251</v>
      </c>
      <c r="N6" t="str">
        <f>COMPLEX(0,Table1[[#This Row],[f]]*2*PI(),"j")</f>
        <v>1510.81004618654j</v>
      </c>
      <c r="O6" t="str">
        <f>IMDIV(1,IMSUM(IMPRODUCT(_R1,_R2,_C1,_C2,IMPOWER(Table1[[#This Row],[s]],2)),IMPRODUCT(_C2,(_R1+_R2),Table1[[#This Row],[s]]),1))</f>
        <v>1.0001083248545-0.0059806911643176j</v>
      </c>
      <c r="P6">
        <f t="shared" si="1"/>
        <v>1.096151693700205E-3</v>
      </c>
      <c r="Q6">
        <f t="shared" si="2"/>
        <v>-0.34262716262485809</v>
      </c>
      <c r="U6" t="s">
        <v>24</v>
      </c>
      <c r="V6">
        <v>5</v>
      </c>
    </row>
    <row r="7" spans="1:30" x14ac:dyDescent="0.25">
      <c r="A7" s="5" t="s">
        <v>3</v>
      </c>
      <c r="B7" s="17">
        <f>_C1upsb/10</f>
        <v>1.3</v>
      </c>
      <c r="C7" s="4"/>
      <c r="D7" s="4"/>
      <c r="E7" s="4"/>
      <c r="F7" s="4"/>
      <c r="G7" s="4"/>
      <c r="H7" s="4"/>
      <c r="I7" s="4"/>
      <c r="J7" s="4"/>
      <c r="L7">
        <v>-1.9</v>
      </c>
      <c r="M7">
        <f t="shared" si="0"/>
        <v>251.78508235883328</v>
      </c>
      <c r="N7" t="str">
        <f>COMPLEX(0,Table1[[#This Row],[f]]*2*PI(),"j")</f>
        <v>1582.01233004402j</v>
      </c>
      <c r="O7" t="str">
        <f>IMDIV(1,IMSUM(IMPRODUCT(_R1,_R2,_C1,_C2,IMPOWER(Table1[[#This Row],[s]],2)),IMPRODUCT(_C2,(_R1+_R2),Table1[[#This Row],[s]]),1))</f>
        <v>1.00011877653725-0.00626270496340549j</v>
      </c>
      <c r="P7">
        <f t="shared" si="1"/>
        <v>1.2019115287136655E-3</v>
      </c>
      <c r="Q7">
        <f t="shared" si="2"/>
        <v>-0.35877925816990419</v>
      </c>
      <c r="U7" t="s">
        <v>25</v>
      </c>
      <c r="V7">
        <v>6</v>
      </c>
    </row>
    <row r="8" spans="1:30" x14ac:dyDescent="0.25">
      <c r="A8" s="5" t="s">
        <v>4</v>
      </c>
      <c r="B8" s="17">
        <f>_C2dwnsb/100</f>
        <v>0.72</v>
      </c>
      <c r="C8" s="4"/>
      <c r="D8" s="4"/>
      <c r="E8" s="4"/>
      <c r="F8" s="4"/>
      <c r="G8" s="4"/>
      <c r="H8" s="4"/>
      <c r="I8" s="4"/>
      <c r="J8" s="4"/>
      <c r="K8" s="4"/>
      <c r="L8">
        <v>-1.88</v>
      </c>
      <c r="M8">
        <f t="shared" si="0"/>
        <v>263.65134771128152</v>
      </c>
      <c r="N8" t="str">
        <f>COMPLEX(0,Table1[[#This Row],[f]]*2*PI(),"j")</f>
        <v>1656.57027415762j</v>
      </c>
      <c r="O8" t="str">
        <f>IMDIV(1,IMSUM(IMPRODUCT(_R1,_R2,_C1,_C2,IMPOWER(Table1[[#This Row],[s]],2)),IMPRODUCT(_C2,(_R1+_R2),Table1[[#This Row],[s]]),1))</f>
        <v>1.00013023672029-0.00655803226403948j</v>
      </c>
      <c r="P8">
        <f t="shared" si="1"/>
        <v>1.3178759127029061E-3</v>
      </c>
      <c r="Q8">
        <f t="shared" si="2"/>
        <v>-0.37569325643375728</v>
      </c>
      <c r="U8" t="s">
        <v>26</v>
      </c>
      <c r="V8">
        <v>7</v>
      </c>
    </row>
    <row r="9" spans="1:30" x14ac:dyDescent="0.25">
      <c r="A9" s="5"/>
      <c r="B9" s="4"/>
      <c r="C9" s="4"/>
      <c r="D9" s="4"/>
      <c r="E9" s="4"/>
      <c r="F9" s="4"/>
      <c r="G9" s="4"/>
      <c r="H9" s="4"/>
      <c r="I9" s="4"/>
      <c r="J9" s="4"/>
      <c r="K9" s="4"/>
      <c r="L9">
        <v>-1.86</v>
      </c>
      <c r="M9">
        <f t="shared" si="0"/>
        <v>276.07685292057675</v>
      </c>
      <c r="N9" t="str">
        <f>COMPLEX(0,Table1[[#This Row],[f]]*2*PI(),"j")</f>
        <v>1734.64202592295j</v>
      </c>
      <c r="O9" t="str">
        <f>IMDIV(1,IMSUM(IMPRODUCT(_R1,_R2,_C1,_C2,IMPOWER(Table1[[#This Row],[s]],2)),IMPRODUCT(_C2,(_R1+_R2),Table1[[#This Row],[s]]),1))</f>
        <v>1.00014280273039-0.00686730386214792j</v>
      </c>
      <c r="P9">
        <f t="shared" si="1"/>
        <v>1.4450295707332168E-3</v>
      </c>
      <c r="Q9">
        <f t="shared" si="2"/>
        <v>-0.39340516525282204</v>
      </c>
    </row>
    <row r="10" spans="1:30" x14ac:dyDescent="0.25">
      <c r="A10" s="5"/>
      <c r="B10" s="7" t="s">
        <v>18</v>
      </c>
      <c r="C10" s="4"/>
      <c r="D10" s="4"/>
      <c r="E10" s="4"/>
      <c r="F10" s="4"/>
      <c r="G10" s="4"/>
      <c r="H10" s="4"/>
      <c r="I10" s="4"/>
      <c r="J10" s="4"/>
      <c r="K10" s="4"/>
      <c r="L10">
        <v>-1.84</v>
      </c>
      <c r="M10">
        <f t="shared" si="0"/>
        <v>289.08795414918546</v>
      </c>
      <c r="N10" t="str">
        <f>COMPLEX(0,Table1[[#This Row],[f]]*2*PI(),"j")</f>
        <v>1816.39318599277j</v>
      </c>
      <c r="O10" t="str">
        <f>IMDIV(1,IMSUM(IMPRODUCT(_R1,_R2,_C1,_C2,IMPOWER(Table1[[#This Row],[s]],2)),IMPRODUCT(_C2,(_R1+_R2),Table1[[#This Row],[s]]),1))</f>
        <v>1.00015658128999-0.00719118077886417j</v>
      </c>
      <c r="P10">
        <f t="shared" si="1"/>
        <v>1.5844522745579034E-3</v>
      </c>
      <c r="Q10">
        <f t="shared" si="2"/>
        <v>-0.41195270435373693</v>
      </c>
      <c r="U10" s="1" t="s">
        <v>28</v>
      </c>
      <c r="V10">
        <f>_xlfn.XLOOKUP(CseriesSel,U2:U8,V2:V8)</f>
        <v>4</v>
      </c>
    </row>
    <row r="11" spans="1:30" x14ac:dyDescent="0.25">
      <c r="A11" s="9" t="s">
        <v>2</v>
      </c>
      <c r="B11" s="12">
        <f>1/(2*Q)</f>
        <v>0.25</v>
      </c>
      <c r="C11" s="6"/>
      <c r="D11" s="4"/>
      <c r="E11" s="4"/>
      <c r="F11" s="4"/>
      <c r="G11" s="4"/>
      <c r="H11" s="4"/>
      <c r="I11" s="4"/>
      <c r="J11" s="4"/>
      <c r="K11" s="4"/>
      <c r="L11">
        <v>-1.82</v>
      </c>
      <c r="M11">
        <f t="shared" si="0"/>
        <v>302.71224968724152</v>
      </c>
      <c r="N11" t="str">
        <f>COMPLEX(0,Table1[[#This Row],[f]]*2*PI(),"j")</f>
        <v>1901.99715953815j</v>
      </c>
      <c r="O11" t="str">
        <f>IMDIV(1,IMSUM(IMPRODUCT(_R1,_R2,_C1,_C2,IMPOWER(Table1[[#This Row],[s]],2)),IMPRODUCT(_C2,(_R1+_R2),Table1[[#This Row],[s]]),1))</f>
        <v>1.00017168942481-0.00753035575869031j</v>
      </c>
      <c r="P11">
        <f t="shared" si="1"/>
        <v>1.7373280208099087E-3</v>
      </c>
      <c r="Q11">
        <f t="shared" si="2"/>
        <v>-0.43137538824097038</v>
      </c>
      <c r="U11" s="1" t="s">
        <v>29</v>
      </c>
      <c r="V11">
        <f>_xlfn.XLOOKUP(RseriesSel,U3:U9,V3:V9)</f>
        <v>6</v>
      </c>
    </row>
    <row r="12" spans="1:30" ht="20.25" customHeight="1" x14ac:dyDescent="0.25">
      <c r="A12" s="8" t="s">
        <v>35</v>
      </c>
      <c r="B12" s="18">
        <f>Cnom/SQRT(fc)</f>
        <v>2.8284271247461898E-9</v>
      </c>
      <c r="C12" s="6"/>
      <c r="D12" s="4"/>
      <c r="E12" s="4"/>
      <c r="F12" s="24" t="s">
        <v>12</v>
      </c>
      <c r="G12" s="4"/>
      <c r="H12" s="4"/>
      <c r="I12" s="4"/>
      <c r="J12" s="4"/>
      <c r="K12" s="4"/>
      <c r="L12">
        <v>-1.8</v>
      </c>
      <c r="M12">
        <f t="shared" si="0"/>
        <v>316.9786384922225</v>
      </c>
      <c r="N12" t="str">
        <f>COMPLEX(0,Table1[[#This Row],[f]]*2*PI(),"j")</f>
        <v>1991.63552406412j</v>
      </c>
      <c r="O12" t="str">
        <f>IMDIV(1,IMSUM(IMPRODUCT(_R1,_R2,_C1,_C2,IMPOWER(Table1[[#This Row],[s]],2)),IMPRODUCT(_C2,(_R1+_R2),Table1[[#This Row],[s]]),1))</f>
        <v>1.00018825545936-0.00788555484921268j</v>
      </c>
      <c r="P12">
        <f t="shared" si="1"/>
        <v>1.9049550972805574E-3</v>
      </c>
      <c r="Q12">
        <f t="shared" si="2"/>
        <v>-0.45171461331857099</v>
      </c>
    </row>
    <row r="13" spans="1:30" ht="38.25" customHeight="1" x14ac:dyDescent="0.25">
      <c r="A13" s="15" t="s">
        <v>5</v>
      </c>
      <c r="B13" s="18" cm="1">
        <f t="array" ref="B13">Eseries(_C1up*Cgm/Zeta,Cseries)</f>
        <v>1.5000000000000002E-8</v>
      </c>
      <c r="C13" s="6"/>
      <c r="D13" s="4"/>
      <c r="E13" s="8" t="s">
        <v>36</v>
      </c>
      <c r="F13" s="20">
        <f>1/(2*PI()*SQRT(_R1*_R2*_C1*_C2))</f>
        <v>20032.949362104071</v>
      </c>
      <c r="G13" s="21"/>
      <c r="H13" s="22"/>
      <c r="I13" s="23"/>
      <c r="J13" s="4"/>
      <c r="K13" s="4"/>
      <c r="L13">
        <v>-1.78</v>
      </c>
      <c r="M13">
        <f t="shared" si="0"/>
        <v>331.91738148751182</v>
      </c>
      <c r="N13" t="str">
        <f>COMPLEX(0,Table1[[#This Row],[f]]*2*PI(),"j")</f>
        <v>2085.49841455986j</v>
      </c>
      <c r="O13" t="str">
        <f>IMDIV(1,IMSUM(IMPRODUCT(_R1,_R2,_C1,_C2,IMPOWER(Table1[[#This Row],[s]],2)),IMPRODUCT(_C2,(_R1+_R2),Table1[[#This Row],[s]]),1))</f>
        <v>1.00020642010865-0.00825753906784056j</v>
      </c>
      <c r="P13">
        <f t="shared" si="1"/>
        <v>2.0887571213477557E-3</v>
      </c>
      <c r="Q13">
        <f t="shared" si="2"/>
        <v>-0.47301374949438546</v>
      </c>
    </row>
    <row r="14" spans="1:30" ht="36" customHeight="1" x14ac:dyDescent="0.25">
      <c r="A14" s="15" t="s">
        <v>6</v>
      </c>
      <c r="B14" s="18" cm="1">
        <f t="array" ref="B14">Eseries(_C2dwn*Zeta^2*_C1,Cseries)</f>
        <v>6.8000000000000003E-10</v>
      </c>
      <c r="C14" s="6"/>
      <c r="D14" s="4"/>
      <c r="E14" s="8" t="s">
        <v>1</v>
      </c>
      <c r="F14" s="20">
        <f>SQRT(_R1*_R2*_C1*_C2)/(_C2*(_R1+_R2))</f>
        <v>2.0074435473450039</v>
      </c>
      <c r="G14" s="21"/>
      <c r="H14" s="22"/>
      <c r="I14" s="23"/>
      <c r="J14" s="4"/>
      <c r="K14" s="4"/>
      <c r="L14">
        <v>-1.76</v>
      </c>
      <c r="M14">
        <f t="shared" si="0"/>
        <v>347.56016574987513</v>
      </c>
      <c r="N14" t="str">
        <f>COMPLEX(0,Table1[[#This Row],[f]]*2*PI(),"j")</f>
        <v>2183.78492680052j</v>
      </c>
      <c r="O14" t="str">
        <f>IMDIV(1,IMSUM(IMPRODUCT(_R1,_R2,_C1,_C2,IMPOWER(Table1[[#This Row],[s]],2)),IMPRODUCT(_C2,(_R1+_R2),Table1[[#This Row],[s]]),1))</f>
        <v>1.00022633767565-0.00864710616154131j</v>
      </c>
      <c r="P14">
        <f t="shared" si="1"/>
        <v>2.2902951465866256E-3</v>
      </c>
      <c r="Q14">
        <f t="shared" si="2"/>
        <v>-0.49531823653390328</v>
      </c>
    </row>
    <row r="15" spans="1:30" x14ac:dyDescent="0.25">
      <c r="A15" s="8" t="s">
        <v>7</v>
      </c>
      <c r="B15" s="12">
        <f>_C2/_C1</f>
        <v>4.533333333333333E-2</v>
      </c>
      <c r="C15" s="6"/>
      <c r="D15" s="4"/>
      <c r="E15" s="4"/>
      <c r="F15" s="4"/>
      <c r="H15" s="4"/>
      <c r="I15" s="4"/>
      <c r="J15" s="4"/>
      <c r="K15" s="4"/>
      <c r="L15">
        <v>-1.74</v>
      </c>
      <c r="M15">
        <f t="shared" si="0"/>
        <v>363.94017172199659</v>
      </c>
      <c r="N15" t="str">
        <f>COMPLEX(0,Table1[[#This Row],[f]]*2*PI(),"j")</f>
        <v>2286.70353965606j</v>
      </c>
      <c r="O15" t="str">
        <f>IMDIV(1,IMSUM(IMPRODUCT(_R1,_R2,_C1,_C2,IMPOWER(Table1[[#This Row],[s]],2)),IMPRODUCT(_C2,(_R1+_R2),Table1[[#This Row],[s]]),1))</f>
        <v>1.00024817736466-0.00905509246610626j</v>
      </c>
      <c r="P15">
        <f t="shared" si="1"/>
        <v>2.5112809401718989E-3</v>
      </c>
      <c r="Q15">
        <f t="shared" si="2"/>
        <v>-0.51867568545193388</v>
      </c>
    </row>
    <row r="16" spans="1:30" ht="64.5" customHeight="1" x14ac:dyDescent="0.25">
      <c r="A16" s="8" t="s">
        <v>8</v>
      </c>
      <c r="B16" s="12">
        <f>(2*Zeta^2-Cratio+2*Zeta*SQRT(Zeta^2-Cratio))/Cratio</f>
        <v>3.2024444122818787</v>
      </c>
      <c r="C16" s="6"/>
      <c r="D16" s="4"/>
      <c r="E16" s="4"/>
      <c r="F16" s="4"/>
      <c r="G16" s="4"/>
      <c r="H16" s="4"/>
      <c r="I16" s="4"/>
      <c r="J16" s="4"/>
      <c r="K16" s="4"/>
      <c r="L16">
        <v>-1.72</v>
      </c>
      <c r="M16">
        <f t="shared" si="0"/>
        <v>381.09214359264928</v>
      </c>
      <c r="N16" t="str">
        <f>COMPLEX(0,Table1[[#This Row],[f]]*2*PI(),"j")</f>
        <v>2394.47255730291j</v>
      </c>
      <c r="O16" t="str">
        <f>IMDIV(1,IMSUM(IMPRODUCT(_R1,_R2,_C1,_C2,IMPOWER(Table1[[#This Row],[s]],2)),IMPRODUCT(_C2,(_R1+_R2),Table1[[#This Row],[s]]),1))</f>
        <v>1.00027212472188-0.00948237487211065j</v>
      </c>
      <c r="P16">
        <f t="shared" si="1"/>
        <v>2.7535915448326227E-3</v>
      </c>
      <c r="Q16">
        <f t="shared" si="2"/>
        <v>-0.54313598525341455</v>
      </c>
    </row>
    <row r="17" spans="1:17" ht="33" customHeight="1" x14ac:dyDescent="0.25">
      <c r="A17" s="8" t="s">
        <v>9</v>
      </c>
      <c r="B17" s="12">
        <f>1/((2*PI()*fc)^2*_C1*_C2)</f>
        <v>6208405.8604373625</v>
      </c>
      <c r="C17" s="6"/>
      <c r="D17" s="4"/>
      <c r="E17" s="4"/>
      <c r="F17" s="4"/>
      <c r="G17" s="4"/>
      <c r="H17" s="4"/>
      <c r="I17" s="4"/>
      <c r="J17" s="4"/>
      <c r="K17" s="4"/>
      <c r="L17">
        <v>-1.7</v>
      </c>
      <c r="M17">
        <f t="shared" si="0"/>
        <v>399.05246299377586</v>
      </c>
      <c r="N17" t="str">
        <f>COMPLEX(0,Table1[[#This Row],[f]]*2*PI(),"j")</f>
        <v>2507.32057227632j</v>
      </c>
      <c r="O17" t="str">
        <f>IMDIV(1,IMSUM(IMPRODUCT(_R1,_R2,_C1,_C2,IMPOWER(Table1[[#This Row],[s]],2)),IMPRODUCT(_C2,(_R1+_R2),Table1[[#This Row],[s]]),1))</f>
        <v>1.00029838321557-0.00992987290543851j</v>
      </c>
      <c r="P17">
        <f t="shared" si="1"/>
        <v>3.0192852502061783E-3</v>
      </c>
      <c r="Q17">
        <f t="shared" si="2"/>
        <v>-0.56875141536033536</v>
      </c>
    </row>
    <row r="18" spans="1:17" ht="45.75" customHeight="1" x14ac:dyDescent="0.25">
      <c r="A18" s="15" t="s">
        <v>10</v>
      </c>
      <c r="B18" s="12" cm="1">
        <f t="array" ref="B18">Eseries(SQRT(_R1R2/Rratio),Rseries)</f>
        <v>1400</v>
      </c>
      <c r="C18" s="6"/>
      <c r="D18" s="4"/>
      <c r="E18" s="4"/>
      <c r="F18" s="4"/>
      <c r="G18" s="4"/>
      <c r="H18" s="4"/>
      <c r="I18" s="4"/>
      <c r="J18" s="4"/>
      <c r="K18" s="4"/>
      <c r="L18">
        <v>-1.68</v>
      </c>
      <c r="M18">
        <f t="shared" si="0"/>
        <v>417.85922617080769</v>
      </c>
      <c r="N18" t="str">
        <f>COMPLEX(0,Table1[[#This Row],[f]]*2*PI(),"j")</f>
        <v>2625.48695034585j</v>
      </c>
      <c r="O18" t="str">
        <f>IMDIV(1,IMSUM(IMPRODUCT(_R1,_R2,_C1,_C2,IMPOWER(Table1[[#This Row],[s]],2)),IMPRODUCT(_C2,(_R1+_R2),Table1[[#This Row],[s]]),1))</f>
        <v>1.00032717596934-0.0103985509310417j</v>
      </c>
      <c r="P18">
        <f t="shared" si="1"/>
        <v>3.3106191100100561E-3</v>
      </c>
      <c r="Q18">
        <f t="shared" si="2"/>
        <v>-0.59557676409046156</v>
      </c>
    </row>
    <row r="19" spans="1:17" ht="35.25" customHeight="1" x14ac:dyDescent="0.25">
      <c r="A19" s="15" t="s">
        <v>11</v>
      </c>
      <c r="B19" s="12" cm="1">
        <f t="array" ref="B19">Eseries(_R1R2/_R1,Rseries)</f>
        <v>4420</v>
      </c>
      <c r="C19" s="6"/>
      <c r="D19" s="4"/>
      <c r="E19" s="4"/>
      <c r="F19" s="4"/>
      <c r="G19" s="4"/>
      <c r="H19" s="4"/>
      <c r="I19" s="4"/>
      <c r="J19" s="4"/>
      <c r="K19" s="4"/>
      <c r="L19">
        <v>-1.66</v>
      </c>
      <c r="M19">
        <f t="shared" si="0"/>
        <v>437.55232478991047</v>
      </c>
      <c r="N19" t="str">
        <f>COMPLEX(0,Table1[[#This Row],[f]]*2*PI(),"j")</f>
        <v>2749.22233824224j</v>
      </c>
      <c r="O19" t="str">
        <f>IMDIV(1,IMSUM(IMPRODUCT(_R1,_R2,_C1,_C2,IMPOWER(Table1[[#This Row],[s]],2)),IMPRODUCT(_C2,(_R1+_R2),Table1[[#This Row],[s]]),1))</f>
        <v>1.00035874766357-0.0108894204894987j</v>
      </c>
      <c r="P19">
        <f t="shared" si="1"/>
        <v>3.6300681559793854E-3</v>
      </c>
      <c r="Q19">
        <f t="shared" si="2"/>
        <v>-0.6236694535851437</v>
      </c>
    </row>
    <row r="20" spans="1:17" x14ac:dyDescent="0.25">
      <c r="A20" s="5"/>
      <c r="B20" s="4"/>
      <c r="C20" s="4"/>
      <c r="D20" s="4"/>
      <c r="E20" s="4"/>
      <c r="F20" s="4"/>
      <c r="G20" s="4"/>
      <c r="H20" s="4"/>
      <c r="I20" s="4"/>
      <c r="J20" s="4"/>
      <c r="K20" s="4"/>
      <c r="L20">
        <v>-1.64</v>
      </c>
      <c r="M20">
        <f t="shared" si="0"/>
        <v>458.17353055355449</v>
      </c>
      <c r="N20" t="str">
        <f>COMPLEX(0,Table1[[#This Row],[f]]*2*PI(),"j")</f>
        <v>2878.78919531269j</v>
      </c>
      <c r="O20" t="str">
        <f>IMDIV(1,IMSUM(IMPRODUCT(_R1,_R2,_C1,_C2,IMPOWER(Table1[[#This Row],[s]],2)),IMPRODUCT(_C2,(_R1+_R2),Table1[[#This Row],[s]]),1))</f>
        <v>1.00039336662124-0.0114035427769539j</v>
      </c>
      <c r="P20">
        <f t="shared" si="1"/>
        <v>3.9803464725180569E-3</v>
      </c>
      <c r="Q20">
        <f t="shared" si="2"/>
        <v>-0.65308967161913078</v>
      </c>
    </row>
    <row r="21" spans="1:17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>
        <v>-1.62</v>
      </c>
      <c r="M21">
        <f t="shared" si="0"/>
        <v>479.7665838038979</v>
      </c>
      <c r="N21" t="str">
        <f>COMPLEX(0,Table1[[#This Row],[f]]*2*PI(),"j")</f>
        <v>3014.46235023239j</v>
      </c>
      <c r="O21" t="str">
        <f>IMDIV(1,IMSUM(IMPRODUCT(_R1,_R2,_C1,_C2,IMPOWER(Table1[[#This Row],[s]],2)),IMPRODUCT(_C2,(_R1+_R2),Table1[[#This Row],[s]]),1))</f>
        <v>1.00043132709627-0.0119420312801705j</v>
      </c>
      <c r="P21">
        <f t="shared" si="1"/>
        <v>4.3644303140317441E-3</v>
      </c>
      <c r="Q21">
        <f t="shared" si="2"/>
        <v>-0.68390051076511182</v>
      </c>
    </row>
    <row r="22" spans="1:17" ht="35.25" customHeight="1" x14ac:dyDescent="0.25">
      <c r="D22" s="4"/>
      <c r="E22" s="4"/>
      <c r="F22" s="4"/>
      <c r="G22" s="4"/>
      <c r="H22" s="4"/>
      <c r="I22" s="4"/>
      <c r="J22" s="4"/>
      <c r="K22" s="4"/>
      <c r="L22">
        <v>-1.6</v>
      </c>
      <c r="M22">
        <f t="shared" si="0"/>
        <v>502.3772863019156</v>
      </c>
      <c r="N22" t="str">
        <f>COMPLEX(0,Table1[[#This Row],[f]]*2*PI(),"j")</f>
        <v>3156.52958395295j</v>
      </c>
      <c r="O22" t="str">
        <f>IMDIV(1,IMSUM(IMPRODUCT(_R1,_R2,_C1,_C2,IMPOWER(Table1[[#This Row],[s]],2)),IMPRODUCT(_C2,(_R1+_R2),Table1[[#This Row],[s]]),1))</f>
        <v>1.0004729517841-0.0125060545797236j</v>
      </c>
      <c r="P22">
        <f t="shared" si="1"/>
        <v>4.7855834633148677E-3</v>
      </c>
      <c r="Q22">
        <f t="shared" si="2"/>
        <v>-0.71616811542984848</v>
      </c>
    </row>
    <row r="23" spans="1:17" ht="36" customHeight="1" x14ac:dyDescent="0.25">
      <c r="D23" s="4"/>
      <c r="E23" s="4"/>
      <c r="F23" s="4"/>
      <c r="G23" s="4"/>
      <c r="H23" s="4"/>
      <c r="I23" s="4"/>
      <c r="J23" s="4"/>
      <c r="K23" s="4"/>
      <c r="L23">
        <v>-1.58</v>
      </c>
      <c r="M23">
        <f t="shared" si="0"/>
        <v>526.05359837907611</v>
      </c>
      <c r="N23" t="str">
        <f>COMPLEX(0,Table1[[#This Row],[f]]*2*PI(),"j")</f>
        <v>3305.29224012436j</v>
      </c>
      <c r="O23" t="str">
        <f>IMDIV(1,IMSUM(IMPRODUCT(_R1,_R2,_C1,_C2,IMPOWER(Table1[[#This Row],[s]],2)),IMPRODUCT(_C2,(_R1+_R2),Table1[[#This Row],[s]]),1))</f>
        <v>1.00051859457627-0.0130968393358441j</v>
      </c>
      <c r="P23">
        <f t="shared" si="1"/>
        <v>5.2473850496217254E-3</v>
      </c>
      <c r="Q23">
        <f t="shared" si="2"/>
        <v>-0.74996183732909638</v>
      </c>
    </row>
    <row r="24" spans="1:17" ht="46.5" customHeight="1" x14ac:dyDescent="0.25">
      <c r="A24" s="16"/>
      <c r="C24" s="4"/>
      <c r="D24" s="4"/>
      <c r="E24" s="4"/>
      <c r="F24" s="4"/>
      <c r="G24" s="4"/>
      <c r="H24" s="4"/>
      <c r="I24" s="4"/>
      <c r="J24" s="4"/>
      <c r="K24" s="4"/>
      <c r="L24">
        <v>-1.56</v>
      </c>
      <c r="M24">
        <f t="shared" si="0"/>
        <v>550.84574066763298</v>
      </c>
      <c r="N24" t="str">
        <f>COMPLEX(0,Table1[[#This Row],[f]]*2*PI(),"j")</f>
        <v>3461.06586428533j</v>
      </c>
      <c r="O24" t="str">
        <f>IMDIV(1,IMSUM(IMPRODUCT(_R1,_R2,_C1,_C2,IMPOWER(Table1[[#This Row],[s]],2)),IMPRODUCT(_C2,(_R1+_R2),Table1[[#This Row],[s]]),1))</f>
        <v>1.00056864358288-0.0137156734730963j</v>
      </c>
      <c r="P24">
        <f t="shared" si="1"/>
        <v>5.7537600661967357E-3</v>
      </c>
      <c r="Q24">
        <f t="shared" si="2"/>
        <v>-0.78535440002439938</v>
      </c>
    </row>
    <row r="25" spans="1:17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>
        <v>-1.54</v>
      </c>
      <c r="M25">
        <f t="shared" si="0"/>
        <v>576.80630062532089</v>
      </c>
      <c r="N25" t="str">
        <f>COMPLEX(0,Table1[[#This Row],[f]]*2*PI(),"j")</f>
        <v>3624.18087317763j</v>
      </c>
      <c r="O25" t="str">
        <f>IMDIV(1,IMSUM(IMPRODUCT(_R1,_R2,_C1,_C2,IMPOWER(Table1[[#This Row],[s]],2)),IMPRODUCT(_C2,(_R1+_R2),Table1[[#This Row],[s]]),1))</f>
        <v>1.00062352444926-0.0143639095819831j</v>
      </c>
      <c r="P25">
        <f t="shared" si="1"/>
        <v>6.3090128513331551E-3</v>
      </c>
      <c r="Q25">
        <f t="shared" si="2"/>
        <v>-0.82242207320820082</v>
      </c>
    </row>
    <row r="26" spans="1:1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>
        <v>-1.52</v>
      </c>
      <c r="M26">
        <f t="shared" si="0"/>
        <v>603.99034408040291</v>
      </c>
      <c r="N26" t="str">
        <f>COMPLEX(0,Table1[[#This Row],[f]]*2*PI(),"j")</f>
        <v>3794.98325560433j</v>
      </c>
      <c r="O26" t="str">
        <f>IMDIV(1,IMSUM(IMPRODUCT(_R1,_R2,_C1,_C2,IMPOWER(Table1[[#This Row],[s]],2)),IMPRODUCT(_C2,(_R1+_R2),Table1[[#This Row],[s]]),1))</f>
        <v>1.00068370399566-0.0150429685577446j</v>
      </c>
      <c r="P26">
        <f t="shared" si="1"/>
        <v>6.9178638219355871E-3</v>
      </c>
      <c r="Q26">
        <f t="shared" si="2"/>
        <v>-0.86124485749508917</v>
      </c>
    </row>
    <row r="27" spans="1:17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>
        <v>-1.5</v>
      </c>
      <c r="M27">
        <f t="shared" si="0"/>
        <v>632.45553203367569</v>
      </c>
      <c r="N27" t="str">
        <f>COMPLEX(0,Table1[[#This Row],[f]]*2*PI(),"j")</f>
        <v>3973.83530631844j</v>
      </c>
      <c r="O27" t="str">
        <f>IMDIV(1,IMSUM(IMPRODUCT(_R1,_R2,_C1,_C2,IMPOWER(Table1[[#This Row],[s]],2)),IMPRODUCT(_C2,(_R1+_R2),Table1[[#This Row],[s]]),1))</f>
        <v>1.00074969421186-0.0157543434990978j</v>
      </c>
      <c r="P27">
        <f t="shared" si="1"/>
        <v>7.5854897789922101E-3</v>
      </c>
      <c r="Q27">
        <f t="shared" si="2"/>
        <v>-0.90190668055765266</v>
      </c>
    </row>
    <row r="28" spans="1:17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>
        <v>-1.48</v>
      </c>
      <c r="M28">
        <f t="shared" si="0"/>
        <v>662.26224296518217</v>
      </c>
      <c r="N28" t="str">
        <f>COMPLEX(0,Table1[[#This Row],[f]]*2*PI(),"j")</f>
        <v>4161.11639449863j</v>
      </c>
      <c r="O28" t="str">
        <f>IMDIV(1,IMSUM(IMPRODUCT(_R1,_R2,_C1,_C2,IMPOWER(Table1[[#This Row],[s]],2)),IMPRODUCT(_C2,(_R1+_R2),Table1[[#This Row],[s]]),1))</f>
        <v>1.00082205664155-0.0164996038924962j</v>
      </c>
      <c r="P28">
        <f t="shared" si="1"/>
        <v>8.3175681338151109E-3</v>
      </c>
      <c r="Q28">
        <f t="shared" si="2"/>
        <v>-0.9444956055369258</v>
      </c>
    </row>
    <row r="29" spans="1:17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>
        <v>-1.46</v>
      </c>
      <c r="M29">
        <f t="shared" si="0"/>
        <v>693.4737009050632</v>
      </c>
      <c r="N29" t="str">
        <f>COMPLEX(0,Table1[[#This Row],[f]]*2*PI(),"j")</f>
        <v>4357.22376844214j</v>
      </c>
      <c r="O29" t="str">
        <f>IMDIV(1,IMSUM(IMPRODUCT(_R1,_R2,_C1,_C2,IMPOWER(Table1[[#This Row],[s]],2)),IMPRODUCT(_C2,(_R1+_R2),Table1[[#This Row],[s]]),1))</f>
        <v>1.00090140719513-0.0172804001107276j</v>
      </c>
      <c r="P29">
        <f t="shared" si="1"/>
        <v>9.1203254413921887E-3</v>
      </c>
      <c r="Q29">
        <f t="shared" si="2"/>
        <v>-0.98910405276083069</v>
      </c>
    </row>
    <row r="30" spans="1:17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>
        <v>-1.44</v>
      </c>
      <c r="M30">
        <f t="shared" si="0"/>
        <v>726.15610954020258</v>
      </c>
      <c r="N30" t="str">
        <f>COMPLEX(0,Table1[[#This Row],[f]]*2*PI(),"j")</f>
        <v>4562.57339818169j</v>
      </c>
      <c r="O30" t="str">
        <f>IMDIV(1,IMSUM(IMPRODUCT(_R1,_R2,_C1,_C2,IMPOWER(Table1[[#This Row],[s]],2)),IMPRODUCT(_C2,(_R1+_R2),Table1[[#This Row],[s]]),1))</f>
        <v>1.00098842143324-0.0180984682583736j</v>
      </c>
      <c r="P30">
        <f t="shared" si="1"/>
        <v>1.0000590663406136E-2</v>
      </c>
      <c r="Q30">
        <f t="shared" si="2"/>
        <v>-1.035829035921767</v>
      </c>
    </row>
    <row r="31" spans="1:17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>
        <v>-1.42</v>
      </c>
      <c r="M31">
        <f t="shared" si="0"/>
        <v>760.37879264112223</v>
      </c>
      <c r="N31" t="str">
        <f>COMPLEX(0,Table1[[#This Row],[f]]*2*PI(),"j")</f>
        <v>4777.60085781365j</v>
      </c>
      <c r="O31" t="str">
        <f>IMDIV(1,IMSUM(IMPRODUCT(_R1,_R2,_C1,_C2,IMPOWER(Table1[[#This Row],[s]],2)),IMPRODUCT(_C2,(_R1+_R2),Table1[[#This Row],[s]]),1))</f>
        <v>1.0010838403678-0.0189556354009075j</v>
      </c>
      <c r="P31">
        <f t="shared" si="1"/>
        <v>1.0965853627586196E-2</v>
      </c>
      <c r="Q31">
        <f t="shared" si="2"/>
        <v>-1.0847724139983739</v>
      </c>
    </row>
    <row r="32" spans="1:17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>
        <v>-1.4</v>
      </c>
      <c r="M32">
        <f t="shared" si="0"/>
        <v>796.21434110699454</v>
      </c>
      <c r="N32" t="str">
        <f>COMPLEX(0,Table1[[#This Row],[f]]*2*PI(),"j")</f>
        <v>5002.76224940914j</v>
      </c>
      <c r="O32" t="str">
        <f>IMDIV(1,IMSUM(IMPRODUCT(_R1,_R2,_C1,_C2,IMPOWER(Table1[[#This Row],[s]],2)),IMPRODUCT(_C2,(_R1+_R2),Table1[[#This Row],[s]]),1))</f>
        <v>1.00118847683186-0.019853825219082j</v>
      </c>
      <c r="P32">
        <f t="shared" si="1"/>
        <v>1.2024329194655382E-2</v>
      </c>
      <c r="Q32">
        <f t="shared" si="2"/>
        <v>-1.1360411603590972</v>
      </c>
    </row>
    <row r="33" spans="1:17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>
        <v>-1.38</v>
      </c>
      <c r="M33">
        <f t="shared" si="0"/>
        <v>833.73876694067064</v>
      </c>
      <c r="N33" t="str">
        <f>COMPLEX(0,Table1[[#This Row],[f]]*2*PI(),"j")</f>
        <v>5238.53517046765j</v>
      </c>
      <c r="O33" t="str">
        <f>IMDIV(1,IMSUM(IMPRODUCT(_R1,_R2,_C1,_C2,IMPOWER(Table1[[#This Row],[s]],2)),IMPRODUCT(_C2,(_R1+_R2),Table1[[#This Row],[s]]),1))</f>
        <v>1.00130322247536-0.0207950641358603j</v>
      </c>
      <c r="P33">
        <f t="shared" si="1"/>
        <v>1.3185027700631458E-2</v>
      </c>
      <c r="Q33">
        <f t="shared" si="2"/>
        <v>-1.1897476506584728</v>
      </c>
    </row>
    <row r="34" spans="1:17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>
        <v>-1.36</v>
      </c>
      <c r="M34">
        <f t="shared" si="0"/>
        <v>873.03166448033164</v>
      </c>
      <c r="N34" t="str">
        <f>COMPLEX(0,Table1[[#This Row],[f]]*2*PI(),"j")</f>
        <v>5485.41972696536j</v>
      </c>
      <c r="O34" t="str">
        <f>IMDIV(1,IMSUM(IMPRODUCT(_R1,_R2,_C1,_C2,IMPOWER(Table1[[#This Row],[s]],2)),IMPRODUCT(_C2,(_R1+_R2),Table1[[#This Row],[s]]),1))</f>
        <v>1.001429055449-0.021781487969591j</v>
      </c>
      <c r="P34">
        <f t="shared" si="1"/>
        <v>1.4457832292949903E-2</v>
      </c>
      <c r="Q34">
        <f t="shared" si="2"/>
        <v>-1.2460099713365669</v>
      </c>
    </row>
    <row r="35" spans="1:17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>
        <v>-1.34</v>
      </c>
      <c r="M35">
        <f t="shared" si="0"/>
        <v>914.17637922974961</v>
      </c>
      <c r="N35" t="str">
        <f>COMPLEX(0,Table1[[#This Row],[f]]*2*PI(),"j")</f>
        <v>5743.939594147j</v>
      </c>
      <c r="O35" t="str">
        <f>IMDIV(1,IMSUM(IMPRODUCT(_R1,_R2,_C1,_C2,IMPOWER(Table1[[#This Row],[s]],2)),IMPRODUCT(_C2,(_R1+_R2),Table1[[#This Row],[s]]),1))</f>
        <v>1.00156704884561-0.0228153491745502j</v>
      </c>
      <c r="P35">
        <f t="shared" si="1"/>
        <v>1.5853583848462062E-2</v>
      </c>
      <c r="Q35">
        <f t="shared" si="2"/>
        <v>-1.3049522507584781</v>
      </c>
    </row>
    <row r="36" spans="1:17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>
        <v>-1.32</v>
      </c>
      <c r="M36">
        <f t="shared" si="0"/>
        <v>957.26018464527647</v>
      </c>
      <c r="N36" t="str">
        <f>COMPLEX(0,Table1[[#This Row],[f]]*2*PI(),"j")</f>
        <v>6014.64312731122j</v>
      </c>
      <c r="O36" t="str">
        <f>IMDIV(1,IMSUM(IMPRODUCT(_R1,_R2,_C1,_C2,IMPOWER(Table1[[#This Row],[s]],2)),IMPRODUCT(_C2,(_R1+_R2),Table1[[#This Row],[s]]),1))</f>
        <v>1.00171837997515-0.023899024738529j</v>
      </c>
      <c r="P36">
        <f t="shared" si="1"/>
        <v>1.7384174227501388E-2</v>
      </c>
      <c r="Q36">
        <f t="shared" si="2"/>
        <v>-1.3667050152912827</v>
      </c>
    </row>
    <row r="37" spans="1:17" x14ac:dyDescent="0.25">
      <c r="L37">
        <v>-1.3</v>
      </c>
      <c r="M37">
        <f t="shared" si="0"/>
        <v>1002.3744672545441</v>
      </c>
      <c r="N37" t="str">
        <f>COMPLEX(0,Table1[[#This Row],[f]]*2*PI(),"j")</f>
        <v>6298.10452494572j</v>
      </c>
      <c r="O37" t="str">
        <f>IMDIV(1,IMSUM(IMPRODUCT(_R1,_R2,_C1,_C2,IMPOWER(Table1[[#This Row],[s]],2)),IMPRODUCT(_C2,(_R1+_R2),Table1[[#This Row],[s]]),1))</f>
        <v>1.00188434055769-0.0250350248170334j</v>
      </c>
      <c r="P37">
        <f t="shared" si="1"/>
        <v>1.9062648697972636E-2</v>
      </c>
      <c r="Q37">
        <f t="shared" si="2"/>
        <v>-1.4314055729144206</v>
      </c>
    </row>
    <row r="38" spans="1:17" x14ac:dyDescent="0.25">
      <c r="L38">
        <v>-1.28</v>
      </c>
      <c r="M38">
        <f t="shared" si="0"/>
        <v>1049.614920499545</v>
      </c>
      <c r="N38" t="str">
        <f>COMPLEX(0,Table1[[#This Row],[f]]*2*PI(),"j")</f>
        <v>6594.92504667921j</v>
      </c>
      <c r="O38" t="str">
        <f>IMDIV(1,IMSUM(IMPRODUCT(_R1,_R2,_C1,_C2,IMPOWER(Table1[[#This Row],[s]],2)),IMPRODUCT(_C2,(_R1+_R2),Table1[[#This Row],[s]]),1))</f>
        <v>1.00206634792755-0.0262260021950789j</v>
      </c>
      <c r="P38">
        <f t="shared" si="1"/>
        <v>2.0903318449045947E-2</v>
      </c>
      <c r="Q38">
        <f t="shared" si="2"/>
        <v>-1.499198427301885</v>
      </c>
    </row>
    <row r="39" spans="1:17" x14ac:dyDescent="0.25">
      <c r="L39">
        <v>-1.26</v>
      </c>
      <c r="M39">
        <f t="shared" si="0"/>
        <v>1099.0817477152486</v>
      </c>
      <c r="N39" t="str">
        <f>COMPLEX(0,Table1[[#This Row],[f]]*2*PI(),"j")</f>
        <v>6905.73428863371j</v>
      </c>
      <c r="O39" t="str">
        <f>IMDIV(1,IMSUM(IMPRODUCT(_R1,_R2,_C1,_C2,IMPOWER(Table1[[#This Row],[s]],2)),IMPRODUCT(_C2,(_R1+_R2),Table1[[#This Row],[s]]),1))</f>
        <v>1.00226595735167-0.0274747626807945j</v>
      </c>
      <c r="P39">
        <f t="shared" si="1"/>
        <v>2.292188420984146E-2</v>
      </c>
      <c r="Q39">
        <f t="shared" si="2"/>
        <v>-1.5702357257092572</v>
      </c>
    </row>
    <row r="40" spans="1:17" x14ac:dyDescent="0.25">
      <c r="L40">
        <v>-1.24</v>
      </c>
      <c r="M40">
        <f t="shared" si="0"/>
        <v>1150.8798746743137</v>
      </c>
      <c r="N40" t="str">
        <f>COMPLEX(0,Table1[[#This Row],[f]]*2*PI(),"j")</f>
        <v>7231.19151888233j</v>
      </c>
      <c r="O40" t="str">
        <f>IMDIV(1,IMSUM(IMPRODUCT(_R1,_R2,_C1,_C2,IMPOWER(Table1[[#This Row],[s]],2)),IMPRODUCT(_C2,(_R1+_R2),Table1[[#This Row],[s]]),1))</f>
        <v>1.00248487557639-0.0287842765503719j</v>
      </c>
      <c r="P40">
        <f t="shared" si="1"/>
        <v>2.5135572095357109E-2</v>
      </c>
      <c r="Q40">
        <f t="shared" si="2"/>
        <v>-1.6446777444520515</v>
      </c>
    </row>
    <row r="41" spans="1:17" x14ac:dyDescent="0.25">
      <c r="L41">
        <v>-1.22</v>
      </c>
      <c r="M41">
        <f t="shared" si="0"/>
        <v>1205.1191721487148</v>
      </c>
      <c r="N41" t="str">
        <f>COMPLEX(0,Table1[[#This Row],[f]]*2*PI(),"j")</f>
        <v>7571.98707584523j</v>
      </c>
      <c r="O41" t="str">
        <f>IMDIV(1,IMSUM(IMPRODUCT(_R1,_R2,_C1,_C2,IMPOWER(Table1[[#This Row],[s]],2)),IMPRODUCT(_C2,(_R1+_R2),Table1[[#This Row],[s]]),1))</f>
        <v>1.00272497572912-0.0301576911817009j</v>
      </c>
      <c r="P41">
        <f t="shared" si="1"/>
        <v>2.7563282920394856E-2</v>
      </c>
      <c r="Q41">
        <f t="shared" si="2"/>
        <v>-1.7226934162859098</v>
      </c>
    </row>
    <row r="42" spans="1:17" x14ac:dyDescent="0.25">
      <c r="L42">
        <v>-1.2</v>
      </c>
      <c r="M42">
        <f t="shared" si="0"/>
        <v>1261.9146889603862</v>
      </c>
      <c r="N42" t="str">
        <f>COMPLEX(0,Table1[[#This Row],[f]]*2*PI(),"j")</f>
        <v>7928.84383259j</v>
      </c>
      <c r="O42" t="str">
        <f>IMDIV(1,IMSUM(IMPRODUCT(_R1,_R2,_C1,_C2,IMPOWER(Table1[[#This Row],[s]],2)),IMPRODUCT(_C2,(_R1+_R2),Table1[[#This Row],[s]]),1))</f>
        <v>1.002988313715-0.0315983450347107j</v>
      </c>
      <c r="P42">
        <f t="shared" si="1"/>
        <v>3.02257563528886E-2</v>
      </c>
      <c r="Q42">
        <f t="shared" si="2"/>
        <v>-1.8044609046034121</v>
      </c>
    </row>
    <row r="43" spans="1:17" x14ac:dyDescent="0.25">
      <c r="L43">
        <v>-1.18</v>
      </c>
      <c r="M43">
        <f t="shared" si="0"/>
        <v>1321.3868960151917</v>
      </c>
      <c r="N43" t="str">
        <f>COMPLEX(0,Table1[[#This Row],[f]]*2*PI(),"j")</f>
        <v>8302.51873014229j</v>
      </c>
      <c r="O43" t="str">
        <f>IMDIV(1,IMSUM(IMPRODUCT(_R1,_R2,_C1,_C2,IMPOWER(Table1[[#This Row],[s]],2)),IMPRODUCT(_C2,(_R1+_R2),Table1[[#This Row],[s]]),1))</f>
        <v>1.00327714626441-0.0331097831605415j</v>
      </c>
      <c r="P43">
        <f t="shared" si="1"/>
        <v>3.3145751428419454E-2</v>
      </c>
      <c r="Q43">
        <f t="shared" si="2"/>
        <v>-1.890168230061642</v>
      </c>
    </row>
    <row r="44" spans="1:17" x14ac:dyDescent="0.25">
      <c r="L44">
        <v>-1.1599999999999999</v>
      </c>
      <c r="M44">
        <f t="shared" si="0"/>
        <v>1383.661941837873</v>
      </c>
      <c r="N44" t="str">
        <f>COMPLEX(0,Table1[[#This Row],[f]]*2*PI(),"j")</f>
        <v>8693.8043830593j</v>
      </c>
      <c r="O44" t="str">
        <f>IMDIV(1,IMSUM(IMPRODUCT(_R1,_R2,_C1,_C2,IMPOWER(Table1[[#This Row],[s]],2)),IMPRODUCT(_C2,(_R1+_R2),Table1[[#This Row],[s]]),1))</f>
        <v>1.00359395080397-0.0346957744497679j</v>
      </c>
      <c r="P44">
        <f t="shared" si="1"/>
        <v>3.6348245108253636E-2</v>
      </c>
      <c r="Q44">
        <f t="shared" si="2"/>
        <v>-1.9800139560650729</v>
      </c>
    </row>
    <row r="45" spans="1:17" x14ac:dyDescent="0.25">
      <c r="L45">
        <v>-1.1399999999999999</v>
      </c>
      <c r="M45">
        <f t="shared" si="0"/>
        <v>1448.8719201499798</v>
      </c>
      <c r="N45" t="str">
        <f>COMPLEX(0,Table1[[#This Row],[f]]*2*PI(),"j")</f>
        <v>9103.53076067143j</v>
      </c>
      <c r="O45" t="str">
        <f>IMDIV(1,IMSUM(IMPRODUCT(_R1,_R2,_C1,_C2,IMPOWER(Table1[[#This Row],[s]],2)),IMPRODUCT(_C2,(_R1+_R2),Table1[[#This Row],[s]]),1))</f>
        <v>1.0039414473434-0.0363603308627336j</v>
      </c>
      <c r="P45">
        <f t="shared" si="1"/>
        <v>3.9860650750529858E-2</v>
      </c>
      <c r="Q45">
        <f t="shared" si="2"/>
        <v>-2.0742079404675042</v>
      </c>
    </row>
    <row r="46" spans="1:17" x14ac:dyDescent="0.25">
      <c r="L46">
        <v>-1.1200000000000001</v>
      </c>
      <c r="M46">
        <f t="shared" si="0"/>
        <v>1517.1551500583671</v>
      </c>
      <c r="N46" t="str">
        <f>COMPLEX(0,Table1[[#This Row],[f]]*2*PI(),"j")</f>
        <v>9532.56694755857j</v>
      </c>
      <c r="O46" t="str">
        <f>IMDIV(1,IMSUM(IMPRODUCT(_R1,_R2,_C1,_C2,IMPOWER(Table1[[#This Row],[s]],2)),IMPRODUCT(_C2,(_R1+_R2),Table1[[#This Row],[s]]),1))</f>
        <v>1.00432262259209-0.0381077289235071j</v>
      </c>
      <c r="P46">
        <f t="shared" si="1"/>
        <v>4.3713058568518481E-2</v>
      </c>
      <c r="Q46">
        <f t="shared" si="2"/>
        <v>-2.1729721619497324</v>
      </c>
    </row>
    <row r="47" spans="1:17" x14ac:dyDescent="0.25">
      <c r="L47">
        <v>-1.1000000000000001</v>
      </c>
      <c r="M47">
        <f t="shared" si="0"/>
        <v>1588.6564694485619</v>
      </c>
      <c r="N47" t="str">
        <f>COMPLEX(0,Table1[[#This Row],[f]]*2*PI(),"j")</f>
        <v>9981.822986995j</v>
      </c>
      <c r="O47" t="str">
        <f>IMDIV(1,IMSUM(IMPRODUCT(_R1,_R2,_C1,_C2,IMPOWER(Table1[[#This Row],[s]],2)),IMPRODUCT(_C2,(_R1+_R2),Table1[[#This Row],[s]]),1))</f>
        <v>1.00474075654364-0.0399425338040501j</v>
      </c>
      <c r="P47">
        <f t="shared" si="1"/>
        <v>4.7938500381223076E-2</v>
      </c>
      <c r="Q47">
        <f t="shared" si="2"/>
        <v>-2.2765416308005606</v>
      </c>
    </row>
    <row r="48" spans="1:17" x14ac:dyDescent="0.25">
      <c r="L48">
        <v>-1.08</v>
      </c>
      <c r="M48">
        <f t="shared" si="0"/>
        <v>1663.5275422053417</v>
      </c>
      <c r="N48" t="str">
        <f>COMPLEX(0,Table1[[#This Row],[f]]*2*PI(),"j")</f>
        <v>10452.2518112732j</v>
      </c>
      <c r="O48" t="str">
        <f>IMDIV(1,IMSUM(IMPRODUCT(_R1,_R2,_C1,_C2,IMPOWER(Table1[[#This Row],[s]],2)),IMPRODUCT(_C2,(_R1+_R2),Table1[[#This Row],[s]]),1))</f>
        <v>1.00519945179414-0.041869626378193j</v>
      </c>
      <c r="P48">
        <f t="shared" si="1"/>
        <v>5.257324122204373E-2</v>
      </c>
      <c r="Q48">
        <f t="shared" si="2"/>
        <v>-2.3851653953116374</v>
      </c>
    </row>
    <row r="49" spans="12:17" x14ac:dyDescent="0.25">
      <c r="L49">
        <v>-1.06</v>
      </c>
      <c r="M49">
        <f t="shared" si="0"/>
        <v>1741.9271799121602</v>
      </c>
      <c r="N49" t="str">
        <f>COMPLEX(0,Table1[[#This Row],[f]]*2*PI(),"j")</f>
        <v>10944.8512630009j</v>
      </c>
      <c r="O49" t="str">
        <f>IMDIV(1,IMSUM(IMPRODUCT(_R1,_R2,_C1,_C2,IMPOWER(Table1[[#This Row],[s]],2)),IMPRODUCT(_C2,(_R1+_R2),Table1[[#This Row],[s]]),1))</f>
        <v>1.00570266589086-0.0438942336874361j</v>
      </c>
      <c r="P49">
        <f t="shared" si="1"/>
        <v>5.7657100663709715E-2</v>
      </c>
      <c r="Q49">
        <f t="shared" si="2"/>
        <v>-2.4991076567289094</v>
      </c>
    </row>
    <row r="50" spans="12:17" x14ac:dyDescent="0.25">
      <c r="L50">
        <v>-1.04</v>
      </c>
      <c r="M50">
        <f t="shared" si="0"/>
        <v>1824.0216787118188</v>
      </c>
      <c r="N50" t="str">
        <f>COMPLEX(0,Table1[[#This Row],[f]]*2*PI(),"j")</f>
        <v>11460.6662116591j</v>
      </c>
      <c r="O50" t="str">
        <f>IMDIV(1,IMSUM(IMPRODUCT(_R1,_R2,_C1,_C2,IMPOWER(Table1[[#This Row],[s]],2)),IMPRODUCT(_C2,(_R1+_R2),Table1[[#This Row],[s]]),1))</f>
        <v>1.00625474704264-0.0460219633342956j</v>
      </c>
      <c r="P50">
        <f t="shared" si="1"/>
        <v>6.3233807045748297E-2</v>
      </c>
      <c r="Q50">
        <f t="shared" si="2"/>
        <v>-2.6186490077321611</v>
      </c>
    </row>
    <row r="51" spans="12:17" x14ac:dyDescent="0.25">
      <c r="L51">
        <v>-1.02</v>
      </c>
      <c r="M51">
        <f t="shared" si="0"/>
        <v>1909.9851720428712</v>
      </c>
      <c r="N51" t="str">
        <f>COMPLEX(0,Table1[[#This Row],[f]]*2*PI(),"j")</f>
        <v>12000.7907699106j</v>
      </c>
      <c r="O51" t="str">
        <f>IMDIV(1,IMSUM(IMPRODUCT(_R1,_R2,_C1,_C2,IMPOWER(Table1[[#This Row],[s]],2)),IMPRODUCT(_C2,(_R1+_R2),Table1[[#This Row],[s]]),1))</f>
        <v>1.00686047356289-0.0482588424061317j</v>
      </c>
      <c r="P51">
        <f t="shared" si="1"/>
        <v>6.9351388166200345E-2</v>
      </c>
      <c r="Q51">
        <f t="shared" si="2"/>
        <v>-2.7440878117926508</v>
      </c>
    </row>
    <row r="52" spans="12:17" x14ac:dyDescent="0.25">
      <c r="L52">
        <v>-1</v>
      </c>
      <c r="M52">
        <f t="shared" si="0"/>
        <v>2000</v>
      </c>
      <c r="N52" t="str">
        <f>COMPLEX(0,Table1[[#This Row],[f]]*2*PI(),"j")</f>
        <v>12566.3706143592j</v>
      </c>
      <c r="O52" t="str">
        <f>IMDIV(1,IMSUM(IMPRODUCT(_R1,_R2,_C1,_C2,IMPOWER(Table1[[#This Row],[s]],2)),IMPRODUCT(_C2,(_R1+_R2),Table1[[#This Row],[s]]),1))</f>
        <v>1.00752509746012-0.0506113616358743j</v>
      </c>
      <c r="P52">
        <f t="shared" si="1"/>
        <v>7.6062602418030062E-2</v>
      </c>
      <c r="Q52">
        <f t="shared" si="2"/>
        <v>-2.8757417435568824</v>
      </c>
    </row>
    <row r="53" spans="12:17" x14ac:dyDescent="0.25">
      <c r="L53">
        <v>-0.98</v>
      </c>
      <c r="M53">
        <f t="shared" si="0"/>
        <v>2094.2570961017991</v>
      </c>
      <c r="N53" t="str">
        <f>COMPLEX(0,Table1[[#This Row],[f]]*2*PI(),"j")</f>
        <v>13158.6054156834j</v>
      </c>
      <c r="O53" t="str">
        <f>IMDIV(1,IMSUM(IMPRODUCT(_R1,_R2,_C1,_C2,IMPOWER(Table1[[#This Row],[s]],2)),IMPRODUCT(_C2,(_R1+_R2),Table1[[#This Row],[s]]),1))</f>
        <v>1.00825439264119-0.0530865256291702j</v>
      </c>
      <c r="P53">
        <f t="shared" si="1"/>
        <v>8.342541483086513E-2</v>
      </c>
      <c r="Q53">
        <f t="shared" si="2"/>
        <v>-3.0139495137009815</v>
      </c>
    </row>
    <row r="54" spans="12:17" x14ac:dyDescent="0.25">
      <c r="L54">
        <v>-0.96</v>
      </c>
      <c r="M54">
        <f t="shared" si="0"/>
        <v>2192.9563922863699</v>
      </c>
      <c r="N54" t="str">
        <f>COMPLEX(0,Table1[[#This Row],[f]]*2*PI(),"j")</f>
        <v>13778.7513832993j</v>
      </c>
      <c r="O54" t="str">
        <f>IMDIV(1,IMSUM(IMPRODUCT(_R1,_R2,_C1,_C2,IMPOWER(Table1[[#This Row],[s]],2)),IMPRODUCT(_C2,(_R1+_R2),Table1[[#This Row],[s]]),1))</f>
        <v>1.00905470824888-0.0556919101343385j</v>
      </c>
      <c r="P54">
        <f t="shared" si="1"/>
        <v>9.1503523021031041E-2</v>
      </c>
      <c r="Q54">
        <f t="shared" si="2"/>
        <v>-3.1590728055951112</v>
      </c>
    </row>
    <row r="55" spans="12:17" x14ac:dyDescent="0.25">
      <c r="L55">
        <v>-0.94</v>
      </c>
      <c r="M55">
        <f t="shared" si="0"/>
        <v>2296.3072429937661</v>
      </c>
      <c r="N55" t="str">
        <f>COMPLEX(0,Table1[[#This Row],[f]]*2*PI(),"j")</f>
        <v>14428.1239299485j</v>
      </c>
      <c r="O55" t="str">
        <f>IMDIV(1,IMSUM(IMPRODUCT(_R1,_R2,_C1,_C2,IMPOWER(Table1[[#This Row],[s]],2)),IMPRODUCT(_C2,(_R1+_R2),Table1[[#This Row],[s]]),1))</f>
        <v>1.00993302771909-0.0584357275072186j</v>
      </c>
      <c r="P55">
        <f t="shared" si="1"/>
        <v>0.10036693867098405</v>
      </c>
      <c r="Q55">
        <f t="shared" si="2"/>
        <v>-3.3114984557290787</v>
      </c>
    </row>
    <row r="56" spans="12:17" x14ac:dyDescent="0.25">
      <c r="L56">
        <v>-0.92</v>
      </c>
      <c r="M56">
        <f t="shared" si="0"/>
        <v>2404.5288692348258</v>
      </c>
      <c r="N56" t="str">
        <f>COMPLEX(0,Table1[[#This Row],[f]]*2*PI(),"j")</f>
        <v>15108.1004618654j</v>
      </c>
      <c r="O56" t="str">
        <f>IMDIV(1,IMSUM(IMPRODUCT(_R1,_R2,_C1,_C2,IMPOWER(Table1[[#This Row],[s]],2)),IMPRODUCT(_C2,(_R1+_R2),Table1[[#This Row],[s]]),1))</f>
        <v>1.01089703421501-0.0613269017339104j</v>
      </c>
      <c r="P56">
        <f t="shared" si="1"/>
        <v>0.11009263086626615</v>
      </c>
      <c r="Q56">
        <f t="shared" si="2"/>
        <v>-3.4716409153290879</v>
      </c>
    </row>
    <row r="57" spans="12:17" x14ac:dyDescent="0.25">
      <c r="L57">
        <v>-0.9</v>
      </c>
      <c r="M57">
        <f t="shared" si="0"/>
        <v>2517.8508235883332</v>
      </c>
      <c r="N57" t="str">
        <f>COMPLEX(0,Table1[[#This Row],[f]]*2*PI(),"j")</f>
        <v>15820.1233004402j</v>
      </c>
      <c r="O57" t="str">
        <f>IMDIV(1,IMSUM(IMPRODUCT(_R1,_R2,_C1,_C2,IMPOWER(Table1[[#This Row],[s]],2)),IMPRODUCT(_C2,(_R1+_R2),Table1[[#This Row],[s]]),1))</f>
        <v>1.01195518317615-0.0643751546283148j</v>
      </c>
      <c r="P57">
        <f t="shared" si="1"/>
        <v>0.12076523842185202</v>
      </c>
      <c r="Q57">
        <f t="shared" si="2"/>
        <v>-3.6399450371195927</v>
      </c>
    </row>
    <row r="58" spans="12:17" x14ac:dyDescent="0.25">
      <c r="L58">
        <v>-0.88</v>
      </c>
      <c r="M58">
        <f t="shared" si="0"/>
        <v>2636.5134771128141</v>
      </c>
      <c r="N58" t="str">
        <f>COMPLEX(0,Table1[[#This Row],[f]]*2*PI(),"j")</f>
        <v>16565.7027415762j</v>
      </c>
      <c r="O58" t="str">
        <f>IMDIV(1,IMSUM(IMPRODUCT(_R1,_R2,_C1,_C2,IMPOWER(Table1[[#This Row],[s]],2)),IMPRODUCT(_C2,(_R1+_R2),Table1[[#This Row],[s]]),1))</f>
        <v>1.0131167828111-0.0675911051281804j</v>
      </c>
      <c r="P58">
        <f t="shared" si="1"/>
        <v>0.13247785925557379</v>
      </c>
      <c r="Q58">
        <f t="shared" si="2"/>
        <v>-3.8168892389780629</v>
      </c>
    </row>
    <row r="59" spans="12:17" x14ac:dyDescent="0.25">
      <c r="L59">
        <v>-0.86</v>
      </c>
      <c r="M59">
        <f t="shared" si="0"/>
        <v>2760.7685292057686</v>
      </c>
      <c r="N59" t="str">
        <f>COMPLEX(0,Table1[[#This Row],[f]]*2*PI(),"j")</f>
        <v>17346.4202592295j</v>
      </c>
      <c r="O59" t="str">
        <f>IMDIV(1,IMSUM(IMPRODUCT(_R1,_R2,_C1,_C2,IMPOWER(Table1[[#This Row],[s]],2)),IMPRODUCT(_C2,(_R1+_R2),Table1[[#This Row],[s]]),1))</f>
        <v>1.01439208346406-0.0709863839852984j</v>
      </c>
      <c r="P59">
        <f t="shared" si="1"/>
        <v>0.145332925924088</v>
      </c>
      <c r="Q59">
        <f t="shared" si="2"/>
        <v>-4.0029891055705331</v>
      </c>
    </row>
    <row r="60" spans="12:17" x14ac:dyDescent="0.25">
      <c r="L60">
        <v>-0.84</v>
      </c>
      <c r="M60">
        <f t="shared" si="0"/>
        <v>2890.8795414918541</v>
      </c>
      <c r="N60" t="str">
        <f>COMPLEX(0,Table1[[#This Row],[f]]*2*PI(),"j")</f>
        <v>18163.9318599277j</v>
      </c>
      <c r="O60" t="str">
        <f>IMDIV(1,IMSUM(IMPRODUCT(_R1,_R2,_C1,_C2,IMPOWER(Table1[[#This Row],[s]],2)),IMPRODUCT(_C2,(_R1+_R2),Table1[[#This Row],[s]]),1))</f>
        <v>1.01579237689766-0.0745737665981166j</v>
      </c>
      <c r="P60">
        <f t="shared" si="1"/>
        <v>0.15944317765343341</v>
      </c>
      <c r="Q60">
        <f t="shared" si="2"/>
        <v>-4.1988015002876535</v>
      </c>
    </row>
    <row r="61" spans="12:17" x14ac:dyDescent="0.25">
      <c r="L61">
        <v>-0.82</v>
      </c>
      <c r="M61">
        <f t="shared" si="0"/>
        <v>3027.1224968724159</v>
      </c>
      <c r="N61" t="str">
        <f>COMPLEX(0,Table1[[#This Row],[f]]*2*PI(),"j")</f>
        <v>19019.9715953815j</v>
      </c>
      <c r="O61" t="str">
        <f>IMDIV(1,IMSUM(IMPRODUCT(_R1,_R2,_C1,_C2,IMPOWER(Table1[[#This Row],[s]],2)),IMPRODUCT(_C2,(_R1+_R2),Table1[[#This Row],[s]]),1))</f>
        <v>1.01733010665887-0.078367327287898j</v>
      </c>
      <c r="P61">
        <f t="shared" si="1"/>
        <v>0.17493274059973959</v>
      </c>
      <c r="Q61">
        <f t="shared" si="2"/>
        <v>-4.4049292733497722</v>
      </c>
    </row>
    <row r="62" spans="12:17" x14ac:dyDescent="0.25">
      <c r="L62">
        <v>-0.8</v>
      </c>
      <c r="M62">
        <f t="shared" si="0"/>
        <v>3169.7863849222263</v>
      </c>
      <c r="N62" t="str">
        <f>COMPLEX(0,Table1[[#This Row],[f]]*2*PI(),"j")</f>
        <v>19916.3552406412j</v>
      </c>
      <c r="O62" t="str">
        <f>IMDIV(1,IMSUM(IMPRODUCT(_R1,_R2,_C1,_C2,IMPOWER(Table1[[#This Row],[s]],2)),IMPRODUCT(_C2,(_R1+_R2),Table1[[#This Row],[s]]),1))</f>
        <v>1.01901899082936-0.0823826189976073j</v>
      </c>
      <c r="P62">
        <f t="shared" si="1"/>
        <v>0.19193832968681007</v>
      </c>
      <c r="Q62">
        <f t="shared" si="2"/>
        <v>-4.6220266683634206</v>
      </c>
    </row>
    <row r="63" spans="12:17" x14ac:dyDescent="0.25">
      <c r="L63">
        <v>-0.78</v>
      </c>
      <c r="M63">
        <f t="shared" si="0"/>
        <v>3319.1738148751197</v>
      </c>
      <c r="N63" t="str">
        <f>COMPLEX(0,Table1[[#This Row],[f]]*2*PI(),"j")</f>
        <v>20854.9841455986j</v>
      </c>
      <c r="O63" t="str">
        <f>IMDIV(1,IMSUM(IMPRODUCT(_R1,_R2,_C1,_C2,IMPOWER(Table1[[#This Row],[s]],2)),IMPRODUCT(_C2,(_R1+_R2),Table1[[#This Row],[s]]),1))</f>
        <v>1.02087415860658-0.0866368832276277j</v>
      </c>
      <c r="P63">
        <f t="shared" si="1"/>
        <v>0.21061058723455875</v>
      </c>
      <c r="Q63">
        <f t="shared" si="2"/>
        <v>-4.8508055495593263</v>
      </c>
    </row>
    <row r="64" spans="12:17" x14ac:dyDescent="0.25">
      <c r="L64">
        <v>-0.76</v>
      </c>
      <c r="M64">
        <f t="shared" si="0"/>
        <v>3475.6016574987498</v>
      </c>
      <c r="N64" t="str">
        <f>COMPLEX(0,Table1[[#This Row],[f]]*2*PI(),"j")</f>
        <v>21837.8492680052j</v>
      </c>
      <c r="O64" t="str">
        <f>IMDIV(1,IMSUM(IMPRODUCT(_R1,_R2,_C1,_C2,IMPOWER(Table1[[#This Row],[s]],2)),IMPRODUCT(_C2,(_R1+_R2),Table1[[#This Row],[s]]),1))</f>
        <v>1.02291230231228-0.0911492960549805j</v>
      </c>
      <c r="P64">
        <f t="shared" si="1"/>
        <v>0.23111557574175182</v>
      </c>
      <c r="Q64">
        <f t="shared" si="2"/>
        <v>-5.0920425962963618</v>
      </c>
    </row>
    <row r="65" spans="12:17" x14ac:dyDescent="0.25">
      <c r="L65">
        <v>-0.74</v>
      </c>
      <c r="M65">
        <f t="shared" si="0"/>
        <v>3639.4017172199665</v>
      </c>
      <c r="N65" t="str">
        <f>COMPLEX(0,Table1[[#This Row],[f]]*2*PI(),"j")</f>
        <v>22867.0353965606j</v>
      </c>
      <c r="O65" t="str">
        <f>IMDIV(1,IMSUM(IMPRODUCT(_R1,_R2,_C1,_C2,IMPOWER(Table1[[#This Row],[s]],2)),IMPRODUCT(_C2,(_R1+_R2),Table1[[#This Row],[s]]),1))</f>
        <v>1.02515184657645-0.0959412573652421j</v>
      </c>
      <c r="P65">
        <f t="shared" si="1"/>
        <v>0.25363644467394669</v>
      </c>
      <c r="Q65">
        <f t="shared" si="2"/>
        <v>-5.3465876412633007</v>
      </c>
    </row>
    <row r="66" spans="12:17" x14ac:dyDescent="0.25">
      <c r="L66">
        <v>-0.72</v>
      </c>
      <c r="M66">
        <f t="shared" ref="M66:M129" si="3">10^L66*fc</f>
        <v>3810.9214359264943</v>
      </c>
      <c r="N66" t="str">
        <f>COMPLEX(0,Table1[[#This Row],[f]]*2*PI(),"j")</f>
        <v>23944.7255730291j</v>
      </c>
      <c r="O66" t="str">
        <f>IMDIV(1,IMSUM(IMPRODUCT(_R1,_R2,_C1,_C2,IMPOWER(Table1[[#This Row],[s]],2)),IMPRODUCT(_C2,(_R1+_R2),Table1[[#This Row],[s]]),1))</f>
        <v>1.02761313658631-0.101036732026652j</v>
      </c>
      <c r="P66">
        <f t="shared" si="1"/>
        <v>0.2783752939802453</v>
      </c>
      <c r="Q66">
        <f t="shared" si="2"/>
        <v>-5.6153733655571365</v>
      </c>
    </row>
    <row r="67" spans="12:17" x14ac:dyDescent="0.25">
      <c r="L67">
        <v>-0.7</v>
      </c>
      <c r="M67">
        <f t="shared" si="3"/>
        <v>3990.5246299377591</v>
      </c>
      <c r="N67" t="str">
        <f>COMPLEX(0,Table1[[#This Row],[f]]*2*PI(),"j")</f>
        <v>25073.2057227632j</v>
      </c>
      <c r="O67" t="str">
        <f>IMDIV(1,IMSUM(IMPRODUCT(_R1,_R2,_C1,_C2,IMPOWER(Table1[[#This Row],[s]],2)),IMPRODUCT(_C2,(_R1+_R2),Table1[[#This Row],[s]]),1))</f>
        <v>1.03031864740547-0.106462653741998j</v>
      </c>
      <c r="P67">
        <f t="shared" ref="P67:P130" si="4">20*LOG(IMABS(O67))</f>
        <v>0.30555526037529601</v>
      </c>
      <c r="Q67">
        <f t="shared" ref="Q67:Q130" si="5">DEGREES(IMARGUMENT(O67))</f>
        <v>-5.8994266092632826</v>
      </c>
    </row>
    <row r="68" spans="12:17" x14ac:dyDescent="0.25">
      <c r="L68">
        <v>-0.68</v>
      </c>
      <c r="M68">
        <f t="shared" si="3"/>
        <v>4178.5922617080787</v>
      </c>
      <c r="N68" t="str">
        <f>COMPLEX(0,Table1[[#This Row],[f]]*2*PI(),"j")</f>
        <v>26254.8695034585j</v>
      </c>
      <c r="O68" t="str">
        <f>IMDIV(1,IMSUM(IMPRODUCT(_R1,_R2,_C1,_C2,IMPOWER(Table1[[#This Row],[s]],2)),IMPRODUCT(_C2,(_R1+_R2),Table1[[#This Row],[s]]),1))</f>
        <v>1.0332932164326-0.112249404840814j</v>
      </c>
      <c r="P68">
        <f t="shared" si="4"/>
        <v>0.33542285624220058</v>
      </c>
      <c r="Q68">
        <f t="shared" si="5"/>
        <v>-6.1998816126355942</v>
      </c>
    </row>
    <row r="69" spans="12:17" x14ac:dyDescent="0.25">
      <c r="L69">
        <v>-0.66</v>
      </c>
      <c r="M69">
        <f t="shared" si="3"/>
        <v>4375.5232478991047</v>
      </c>
      <c r="N69" t="str">
        <f>COMPLEX(0,Table1[[#This Row],[f]]*2*PI(),"j")</f>
        <v>27492.2233824224j</v>
      </c>
      <c r="O69" t="str">
        <f>IMDIV(1,IMSUM(IMPRODUCT(_R1,_R2,_C1,_C2,IMPOWER(Table1[[#This Row],[s]],2)),IMPRODUCT(_C2,(_R1+_R2),Table1[[#This Row],[s]]),1))</f>
        <v>1.03656430104051-0.118431388473012j</v>
      </c>
      <c r="P69">
        <f t="shared" si="4"/>
        <v>0.36825059539144861</v>
      </c>
      <c r="Q69">
        <f t="shared" si="5"/>
        <v>-6.5179955734934314</v>
      </c>
    </row>
    <row r="70" spans="12:17" x14ac:dyDescent="0.25">
      <c r="L70">
        <v>-0.64</v>
      </c>
      <c r="M70">
        <f t="shared" si="3"/>
        <v>4581.7353055355461</v>
      </c>
      <c r="N70" t="str">
        <f>COMPLEX(0,Table1[[#This Row],[f]]*2*PI(),"j")</f>
        <v>28787.8919531269j</v>
      </c>
      <c r="O70" t="str">
        <f>IMDIV(1,IMSUM(IMPRODUCT(_R1,_R2,_C1,_C2,IMPOWER(Table1[[#This Row],[s]],2)),IMPRODUCT(_C2,(_R1+_R2),Table1[[#This Row],[s]]),1))</f>
        <v>1.04016226325414-0.125047713734466j</v>
      </c>
      <c r="P70">
        <f t="shared" si="4"/>
        <v>0.40433994491722458</v>
      </c>
      <c r="Q70">
        <f t="shared" si="5"/>
        <v>-6.8551669949704648</v>
      </c>
    </row>
    <row r="71" spans="12:17" x14ac:dyDescent="0.25">
      <c r="L71">
        <v>-0.62</v>
      </c>
      <c r="M71">
        <f t="shared" si="3"/>
        <v>4797.6658380389799</v>
      </c>
      <c r="N71" t="str">
        <f>COMPLEX(0,Table1[[#This Row],[f]]*2*PI(),"j")</f>
        <v>30144.623502324j</v>
      </c>
      <c r="O71" t="str">
        <f>IMDIV(1,IMSUM(IMPRODUCT(_R1,_R2,_C1,_C2,IMPOWER(Table1[[#This Row],[s]],2)),IMPRODUCT(_C2,(_R1+_R2),Table1[[#This Row],[s]]),1))</f>
        <v>1.0441206828923-0.13214301945868j</v>
      </c>
      <c r="P71">
        <f t="shared" si="4"/>
        <v>0.44402464805757713</v>
      </c>
      <c r="Q71">
        <f t="shared" si="5"/>
        <v>-7.2129574094440665</v>
      </c>
    </row>
    <row r="72" spans="12:17" x14ac:dyDescent="0.25">
      <c r="L72">
        <v>-0.6</v>
      </c>
      <c r="M72">
        <f t="shared" si="3"/>
        <v>5023.7728630191605</v>
      </c>
      <c r="N72" t="str">
        <f>COMPLEX(0,Table1[[#This Row],[f]]*2*PI(),"j")</f>
        <v>31565.2958395295j</v>
      </c>
      <c r="O72" t="str">
        <f>IMDIV(1,IMSUM(IMPRODUCT(_R1,_R2,_C1,_C2,IMPOWER(Table1[[#This Row],[s]],2)),IMPRODUCT(_C2,(_R1+_R2),Table1[[#This Row],[s]]),1))</f>
        <v>1.04847669976735-0.139768469097605j</v>
      </c>
      <c r="P72">
        <f t="shared" si="4"/>
        <v>0.4876744693122177</v>
      </c>
      <c r="Q72">
        <f t="shared" si="5"/>
        <v>-7.5931172061933276</v>
      </c>
    </row>
    <row r="73" spans="12:17" x14ac:dyDescent="0.25">
      <c r="L73">
        <v>-0.57999999999999996</v>
      </c>
      <c r="M73">
        <f t="shared" si="3"/>
        <v>5260.5359837907636</v>
      </c>
      <c r="N73" t="str">
        <f>COMPLEX(0,Table1[[#This Row],[f]]*2*PI(),"j")</f>
        <v>33052.9224012436j</v>
      </c>
      <c r="O73" t="str">
        <f>IMDIV(1,IMSUM(IMPRODUCT(_R1,_R2,_C1,_C2,IMPOWER(Table1[[#This Row],[s]],2)),IMPRODUCT(_C2,(_R1+_R2),Table1[[#This Row],[s]]),1))</f>
        <v>1.0532713840834-0.147982957758064j</v>
      </c>
      <c r="P73">
        <f t="shared" si="4"/>
        <v>0.53569942004582216</v>
      </c>
      <c r="Q73">
        <f t="shared" si="5"/>
        <v>-7.9976164711733508</v>
      </c>
    </row>
    <row r="74" spans="12:17" x14ac:dyDescent="0.25">
      <c r="L74">
        <v>-0.56000000000000005</v>
      </c>
      <c r="M74">
        <f t="shared" si="3"/>
        <v>5508.4574066763325</v>
      </c>
      <c r="N74" t="str">
        <f>COMPLEX(0,Table1[[#This Row],[f]]*2*PI(),"j")</f>
        <v>34610.6586428533j</v>
      </c>
      <c r="O74" t="str">
        <f>IMDIV(1,IMSUM(IMPRODUCT(_R1,_R2,_C1,_C2,IMPOWER(Table1[[#This Row],[s]],2)),IMPRODUCT(_C2,(_R1+_R2),Table1[[#This Row],[s]]),1))</f>
        <v>1.05855013175261-0.156854583688192j</v>
      </c>
      <c r="P74">
        <f t="shared" si="4"/>
        <v>0.58855453025658389</v>
      </c>
      <c r="Q74">
        <f t="shared" si="5"/>
        <v>-8.4286819794059795</v>
      </c>
    </row>
    <row r="75" spans="12:17" x14ac:dyDescent="0.25">
      <c r="L75">
        <v>-0.54</v>
      </c>
      <c r="M75">
        <f t="shared" si="3"/>
        <v>5768.0630062532109</v>
      </c>
      <c r="N75" t="str">
        <f>COMPLEX(0,Table1[[#This Row],[f]]*2*PI(),"j")</f>
        <v>36241.8087317763j</v>
      </c>
      <c r="O75" t="str">
        <f>IMDIV(1,IMSUM(IMPRODUCT(_R1,_R2,_C1,_C2,IMPOWER(Table1[[#This Row],[s]],2)),IMPRODUCT(_C2,(_R1+_R2),Table1[[#This Row],[s]]),1))</f>
        <v>1.06436307743204-0.166462451169918j</v>
      </c>
      <c r="P75">
        <f t="shared" si="4"/>
        <v>0.64674523978977561</v>
      </c>
      <c r="Q75">
        <f t="shared" si="5"/>
        <v>-8.8888417802010693</v>
      </c>
    </row>
    <row r="76" spans="12:17" x14ac:dyDescent="0.25">
      <c r="L76">
        <v>-0.52</v>
      </c>
      <c r="M76">
        <f t="shared" si="3"/>
        <v>6039.9034408040307</v>
      </c>
      <c r="N76" t="str">
        <f>COMPLEX(0,Table1[[#This Row],[f]]*2*PI(),"j")</f>
        <v>37949.8325560433j</v>
      </c>
      <c r="O76" t="str">
        <f>IMDIV(1,IMSUM(IMPRODUCT(_R1,_R2,_C1,_C2,IMPOWER(Table1[[#This Row],[s]],2)),IMPRODUCT(_C2,(_R1+_R2),Table1[[#This Row],[s]]),1))</f>
        <v>1.07076551185352-0.176898891016695j</v>
      </c>
      <c r="P76">
        <f t="shared" si="4"/>
        <v>0.71083348937724711</v>
      </c>
      <c r="Q76">
        <f t="shared" si="5"/>
        <v>-9.3809792048274403</v>
      </c>
    </row>
    <row r="77" spans="12:17" x14ac:dyDescent="0.25">
      <c r="L77">
        <v>-0.5</v>
      </c>
      <c r="M77">
        <f t="shared" si="3"/>
        <v>6324.555320336759</v>
      </c>
      <c r="N77" t="str">
        <f>COMPLEX(0,Table1[[#This Row],[f]]*2*PI(),"j")</f>
        <v>39738.3530631844j</v>
      </c>
      <c r="O77" t="str">
        <f>IMDIV(1,IMSUM(IMPRODUCT(_R1,_R2,_C1,_C2,IMPOWER(Table1[[#This Row],[s]],2)),IMPRODUCT(_C2,(_R1+_R2),Table1[[#This Row],[s]]),1))</f>
        <v>1.07781828021445-0.188272210255051j</v>
      </c>
      <c r="P77">
        <f t="shared" si="4"/>
        <v>0.7814445973481654</v>
      </c>
      <c r="Q77">
        <f t="shared" si="5"/>
        <v>-9.9083986353621185</v>
      </c>
    </row>
    <row r="78" spans="12:17" x14ac:dyDescent="0.25">
      <c r="L78">
        <v>-0.48</v>
      </c>
      <c r="M78">
        <f t="shared" si="3"/>
        <v>6622.6224296518212</v>
      </c>
      <c r="N78" t="str">
        <f>COMPLEX(0,Table1[[#This Row],[f]]*2*PI(),"j")</f>
        <v>41611.1639449863j</v>
      </c>
      <c r="O78" t="str">
        <f>IMDIV(1,IMSUM(IMPRODUCT(_R1,_R2,_C1,_C2,IMPOWER(Table1[[#This Row],[s]],2)),IMPRODUCT(_C2,(_R1+_R2),Table1[[#This Row],[s]]),1))</f>
        <v>1.08558812305118-0.200710116190143j</v>
      </c>
      <c r="P78">
        <f t="shared" si="4"/>
        <v>0.85927500968937842</v>
      </c>
      <c r="Q78">
        <f t="shared" si="5"/>
        <v>-10.474906043292711</v>
      </c>
    </row>
    <row r="79" spans="12:17" x14ac:dyDescent="0.25">
      <c r="L79">
        <v>-0.46</v>
      </c>
      <c r="M79">
        <f t="shared" si="3"/>
        <v>6934.7370090506329</v>
      </c>
      <c r="N79" t="str">
        <f>COMPLEX(0,Table1[[#This Row],[f]]*2*PI(),"j")</f>
        <v>43572.2376844214j</v>
      </c>
      <c r="O79" t="str">
        <f>IMDIV(1,IMSUM(IMPRODUCT(_R1,_R2,_C1,_C2,IMPOWER(Table1[[#This Row],[s]],2)),IMPRODUCT(_C2,(_R1+_R2),Table1[[#This Row],[s]]),1))</f>
        <v>1.09414789704765-0.21436400476693j</v>
      </c>
      <c r="P79">
        <f t="shared" si="4"/>
        <v>0.94510100596326241</v>
      </c>
      <c r="Q79">
        <f t="shared" si="5"/>
        <v>-11.084908193401654</v>
      </c>
    </row>
    <row r="80" spans="12:17" x14ac:dyDescent="0.25">
      <c r="L80">
        <v>-0.44</v>
      </c>
      <c r="M80">
        <f t="shared" si="3"/>
        <v>7261.5610954020267</v>
      </c>
      <c r="N80" t="str">
        <f>COMPLEX(0,Table1[[#This Row],[f]]*2*PI(),"j")</f>
        <v>45625.7339818169j</v>
      </c>
      <c r="O80" t="str">
        <f>IMDIV(1,IMSUM(IMPRODUCT(_R1,_R2,_C1,_C2,IMPOWER(Table1[[#This Row],[s]],2)),IMPRODUCT(_C2,(_R1+_R2),Table1[[#This Row],[s]]),1))</f>
        <v>1.10357657577767-0.229414362766708j</v>
      </c>
      <c r="P80">
        <f t="shared" si="4"/>
        <v>1.0397884257527599</v>
      </c>
      <c r="Q80">
        <f t="shared" si="5"/>
        <v>-11.743535590256579</v>
      </c>
    </row>
    <row r="81" spans="12:17" x14ac:dyDescent="0.25">
      <c r="L81">
        <v>-0.42</v>
      </c>
      <c r="M81">
        <f t="shared" si="3"/>
        <v>7603.7879264112225</v>
      </c>
      <c r="N81" t="str">
        <f>COMPLEX(0,Table1[[#This Row],[f]]*2*PI(),"j")</f>
        <v>47776.0085781365j</v>
      </c>
      <c r="O81" t="str">
        <f>IMDIV(1,IMSUM(IMPRODUCT(_R1,_R2,_C1,_C2,IMPOWER(Table1[[#This Row],[s]],2)),IMPRODUCT(_C2,(_R1+_R2),Table1[[#This Row],[s]]),1))</f>
        <v>1.11395887170794-0.246077613006375j</v>
      </c>
      <c r="P81">
        <f t="shared" si="4"/>
        <v>1.1443034403510857</v>
      </c>
      <c r="Q81">
        <f t="shared" si="5"/>
        <v>-12.456795828815887</v>
      </c>
    </row>
    <row r="82" spans="12:17" x14ac:dyDescent="0.25">
      <c r="L82">
        <v>-0.4</v>
      </c>
      <c r="M82">
        <f t="shared" si="3"/>
        <v>7962.1434110699438</v>
      </c>
      <c r="N82" t="str">
        <f>COMPLEX(0,Table1[[#This Row],[f]]*2*PI(),"j")</f>
        <v>50027.6224940914j</v>
      </c>
      <c r="O82" t="str">
        <f>IMDIV(1,IMSUM(IMPRODUCT(_R1,_R2,_C1,_C2,IMPOWER(Table1[[#This Row],[s]],2)),IMPRODUCT(_C2,(_R1+_R2),Table1[[#This Row],[s]]),1))</f>
        <v>1.12538422850902-0.264614837937154j</v>
      </c>
      <c r="P82">
        <f t="shared" si="4"/>
        <v>1.2597243166130256</v>
      </c>
      <c r="Q82">
        <f t="shared" si="5"/>
        <v>-13.231766146181785</v>
      </c>
    </row>
    <row r="83" spans="12:17" x14ac:dyDescent="0.25">
      <c r="L83">
        <v>-0.38</v>
      </c>
      <c r="M83">
        <f t="shared" si="3"/>
        <v>8337.3876694067076</v>
      </c>
      <c r="N83" t="str">
        <f>COMPLEX(0,Table1[[#This Row],[f]]*2*PI(),"j")</f>
        <v>52385.3517046765j</v>
      </c>
      <c r="O83" t="str">
        <f>IMDIV(1,IMSUM(IMPRODUCT(_R1,_R2,_C1,_C2,IMPOWER(Table1[[#This Row],[s]],2)),IMPRODUCT(_C2,(_R1+_R2),Table1[[#This Row],[s]]),1))</f>
        <v>1.13794478681507-0.285342958097464j</v>
      </c>
      <c r="P83">
        <f t="shared" si="4"/>
        <v>1.3872539780165365</v>
      </c>
      <c r="Q83">
        <f t="shared" si="5"/>
        <v>-14.076836864269076</v>
      </c>
    </row>
    <row r="84" spans="12:17" x14ac:dyDescent="0.25">
      <c r="L84">
        <v>-0.36</v>
      </c>
      <c r="M84">
        <f t="shared" si="3"/>
        <v>8730.3166448033189</v>
      </c>
      <c r="N84" t="str">
        <f>COMPLEX(0,Table1[[#This Row],[f]]*2*PI(),"j")</f>
        <v>54854.1972696536j</v>
      </c>
      <c r="O84" t="str">
        <f>IMDIV(1,IMSUM(IMPRODUCT(_R1,_R2,_C1,_C2,IMPOWER(Table1[[#This Row],[s]],2)),IMPRODUCT(_C2,(_R1+_R2),Table1[[#This Row],[s]]),1))</f>
        <v>1.15173169444602-0.308649127195268j</v>
      </c>
      <c r="P84">
        <f t="shared" si="4"/>
        <v>1.5282329181923848</v>
      </c>
      <c r="Q84">
        <f t="shared" si="5"/>
        <v>-15.002021345917392</v>
      </c>
    </row>
    <row r="85" spans="12:17" x14ac:dyDescent="0.25">
      <c r="L85">
        <v>-0.34</v>
      </c>
      <c r="M85">
        <f t="shared" si="3"/>
        <v>9141.7637922975009</v>
      </c>
      <c r="N85" t="str">
        <f>COMPLEX(0,Table1[[#This Row],[f]]*2*PI(),"j")</f>
        <v>57439.39594147j</v>
      </c>
      <c r="O85" t="str">
        <f>IMDIV(1,IMSUM(IMPRODUCT(_R1,_R2,_C1,_C2,IMPOWER(Table1[[#This Row],[s]],2)),IMPRODUCT(_C2,(_R1+_R2),Table1[[#This Row],[s]]),1))</f>
        <v>1.16682876031109-0.335009344012234j</v>
      </c>
      <c r="P85">
        <f t="shared" si="4"/>
        <v>1.6841515908059093</v>
      </c>
      <c r="Q85">
        <f t="shared" si="5"/>
        <v>-16.019353442606818</v>
      </c>
    </row>
    <row r="86" spans="12:17" x14ac:dyDescent="0.25">
      <c r="L86">
        <v>-0.32</v>
      </c>
      <c r="M86">
        <f t="shared" si="3"/>
        <v>9572.601846452766</v>
      </c>
      <c r="N86" t="str">
        <f>COMPLEX(0,Table1[[#This Row],[f]]*2*PI(),"j")</f>
        <v>60146.4312731122j</v>
      </c>
      <c r="O86" t="str">
        <f>IMDIV(1,IMSUM(IMPRODUCT(_R1,_R2,_C1,_C2,IMPOWER(Table1[[#This Row],[s]],2)),IMPRODUCT(_C2,(_R1+_R2),Table1[[#This Row],[s]]),1))</f>
        <v>1.18330185160598-0.3650125759021j</v>
      </c>
      <c r="P86">
        <f t="shared" si="4"/>
        <v>1.8566606623112709</v>
      </c>
      <c r="Q86">
        <f t="shared" si="5"/>
        <v>-17.143400694283955</v>
      </c>
    </row>
    <row r="87" spans="12:17" x14ac:dyDescent="0.25">
      <c r="L87">
        <v>-0.3</v>
      </c>
      <c r="M87">
        <f t="shared" si="3"/>
        <v>10023.744672545445</v>
      </c>
      <c r="N87" t="str">
        <f>COMPLEX(0,Table1[[#This Row],[f]]*2*PI(),"j")</f>
        <v>62981.0452494572j</v>
      </c>
      <c r="O87" t="str">
        <f>IMDIV(1,IMSUM(IMPRODUCT(_R1,_R2,_C1,_C2,IMPOWER(Table1[[#This Row],[s]],2)),IMPRODUCT(_C2,(_R1+_R2),Table1[[#This Row],[s]]),1))</f>
        <v>1.20118146067427-0.399392023740342j</v>
      </c>
      <c r="P87">
        <f t="shared" si="4"/>
        <v>2.047576259462824</v>
      </c>
      <c r="Q87">
        <f t="shared" si="5"/>
        <v>-18.391931377313647</v>
      </c>
    </row>
    <row r="88" spans="12:17" x14ac:dyDescent="0.25">
      <c r="L88">
        <v>-0.28000000000000003</v>
      </c>
      <c r="M88">
        <f t="shared" si="3"/>
        <v>10496.14920499545</v>
      </c>
      <c r="N88" t="str">
        <f>COMPLEX(0,Table1[[#This Row],[f]]*2*PI(),"j")</f>
        <v>65949.2504667921j</v>
      </c>
      <c r="O88" t="str">
        <f>IMDIV(1,IMSUM(IMPRODUCT(_R1,_R2,_C1,_C2,IMPOWER(Table1[[#This Row],[s]],2)),IMPRODUCT(_C2,(_R1+_R2),Table1[[#This Row],[s]]),1))</f>
        <v>1.22043428012061-0.439065468811498j</v>
      </c>
      <c r="P88">
        <f t="shared" si="4"/>
        <v>2.2588752110460346</v>
      </c>
      <c r="Q88">
        <f t="shared" si="5"/>
        <v>-19.786786571741771</v>
      </c>
    </row>
    <row r="89" spans="12:17" x14ac:dyDescent="0.25">
      <c r="L89">
        <v>-0.26</v>
      </c>
      <c r="M89">
        <f t="shared" si="3"/>
        <v>10990.81747715249</v>
      </c>
      <c r="N89" t="str">
        <f>COMPLEX(0,Table1[[#This Row],[f]]*2*PI(),"j")</f>
        <v>69057.3428863371j</v>
      </c>
      <c r="O89" t="str">
        <f>IMDIV(1,IMSUM(IMPRODUCT(_R1,_R2,_C1,_C2,IMPOWER(Table1[[#This Row],[s]],2)),IMPRODUCT(_C2,(_R1+_R2),Table1[[#This Row],[s]]),1))</f>
        <v>1.24091702819413-0.485186744221759j</v>
      </c>
      <c r="P89">
        <f t="shared" si="4"/>
        <v>2.4926716562673179</v>
      </c>
      <c r="Q89">
        <f t="shared" si="5"/>
        <v>-21.35502524247439</v>
      </c>
    </row>
    <row r="90" spans="12:17" x14ac:dyDescent="0.25">
      <c r="L90">
        <v>-0.24</v>
      </c>
      <c r="M90">
        <f t="shared" si="3"/>
        <v>11508.798746743139</v>
      </c>
      <c r="N90" t="str">
        <f>COMPLEX(0,Table1[[#This Row],[f]]*2*PI(),"j")</f>
        <v>72311.9151888233j</v>
      </c>
      <c r="O90" t="str">
        <f>IMDIV(1,IMSUM(IMPRODUCT(_R1,_R2,_C1,_C2,IMPOWER(Table1[[#This Row],[s]],2)),IMPRODUCT(_C2,(_R1+_R2),Table1[[#This Row],[s]]),1))</f>
        <v>1.26230153149012-0.539209807798267j</v>
      </c>
      <c r="P90">
        <f t="shared" si="4"/>
        <v>2.7511602169268112</v>
      </c>
      <c r="Q90">
        <f t="shared" si="5"/>
        <v>-23.130430551412406</v>
      </c>
    </row>
    <row r="91" spans="12:17" x14ac:dyDescent="0.25">
      <c r="L91">
        <v>-0.22</v>
      </c>
      <c r="M91">
        <f t="shared" si="3"/>
        <v>12051.191721487156</v>
      </c>
      <c r="N91" t="str">
        <f>COMPLEX(0,Table1[[#This Row],[f]]*2*PI(),"j")</f>
        <v>75719.8707584524j</v>
      </c>
      <c r="O91" t="str">
        <f>IMDIV(1,IMSUM(IMPRODUCT(_R1,_R2,_C1,_C2,IMPOWER(Table1[[#This Row],[s]],2)),IMPRODUCT(_C2,(_R1+_R2),Table1[[#This Row],[s]]),1))</f>
        <v>1.28395324713921-0.602964583734512j</v>
      </c>
      <c r="P91">
        <f t="shared" si="4"/>
        <v>3.036500424030883</v>
      </c>
      <c r="Q91">
        <f t="shared" si="5"/>
        <v>-25.155486288960436</v>
      </c>
    </row>
    <row r="92" spans="12:17" x14ac:dyDescent="0.25">
      <c r="L92">
        <v>-0.2</v>
      </c>
      <c r="M92">
        <f t="shared" si="3"/>
        <v>12619.146889603864</v>
      </c>
      <c r="N92" t="str">
        <f>COMPLEX(0,Table1[[#This Row],[f]]*2*PI(),"j")</f>
        <v>79288.4383259j</v>
      </c>
      <c r="O92" t="str">
        <f>IMDIV(1,IMSUM(IMPRODUCT(_R1,_R2,_C1,_C2,IMPOWER(Table1[[#This Row],[s]],2)),IMPRODUCT(_C2,(_R1+_R2),Table1[[#This Row],[s]]),1))</f>
        <v>1.30473473159481-0.678737262177068j</v>
      </c>
      <c r="P92">
        <f t="shared" si="4"/>
        <v>3.3505993091574537</v>
      </c>
      <c r="Q92">
        <f t="shared" si="5"/>
        <v>-27.483943665099023</v>
      </c>
    </row>
    <row r="93" spans="12:17" x14ac:dyDescent="0.25">
      <c r="L93">
        <v>-0.18</v>
      </c>
      <c r="M93">
        <f t="shared" si="3"/>
        <v>13213.86896015192</v>
      </c>
      <c r="N93" t="str">
        <f>COMPLEX(0,Table1[[#This Row],[f]]*2*PI(),"j")</f>
        <v>83025.1873014229j</v>
      </c>
      <c r="O93" t="str">
        <f>IMDIV(1,IMSUM(IMPRODUCT(_R1,_R2,_C1,_C2,IMPOWER(Table1[[#This Row],[s]],2)),IMPRODUCT(_C2,(_R1+_R2),Table1[[#This Row],[s]]),1))</f>
        <v>1.32268996146752-0.76933183515732j</v>
      </c>
      <c r="P93">
        <f t="shared" si="4"/>
        <v>3.6947194265330459</v>
      </c>
      <c r="Q93">
        <f t="shared" si="5"/>
        <v>-30.184074366709936</v>
      </c>
    </row>
    <row r="94" spans="12:17" x14ac:dyDescent="0.25">
      <c r="L94">
        <v>-0.16</v>
      </c>
      <c r="M94">
        <f t="shared" si="3"/>
        <v>13836.61941837873</v>
      </c>
      <c r="N94" t="str">
        <f>COMPLEX(0,Table1[[#This Row],[f]]*2*PI(),"j")</f>
        <v>86938.043830593j</v>
      </c>
      <c r="O94" t="str">
        <f>IMDIV(1,IMSUM(IMPRODUCT(_R1,_R2,_C1,_C2,IMPOWER(Table1[[#This Row],[s]],2)),IMPRODUCT(_C2,(_R1+_R2),Table1[[#This Row],[s]]),1))</f>
        <v>1.33454615104028-0.878053427438522j</v>
      </c>
      <c r="P94">
        <f t="shared" si="4"/>
        <v>4.0687918110622459</v>
      </c>
      <c r="Q94">
        <f t="shared" si="5"/>
        <v>-33.34258119517748</v>
      </c>
    </row>
    <row r="95" spans="12:17" x14ac:dyDescent="0.25">
      <c r="L95">
        <v>-0.14000000000000001</v>
      </c>
      <c r="M95">
        <f t="shared" si="3"/>
        <v>14488.7192014998</v>
      </c>
      <c r="N95" t="str">
        <f>COMPLEX(0,Table1[[#This Row],[f]]*2*PI(),"j")</f>
        <v>91035.3076067143j</v>
      </c>
      <c r="O95" t="str">
        <f>IMDIV(1,IMSUM(IMPRODUCT(_R1,_R2,_C1,_C2,IMPOWER(Table1[[#This Row],[s]],2)),IMPRODUCT(_C2,(_R1+_R2),Table1[[#This Row],[s]]),1))</f>
        <v>1.33495753267319-1.00847693159826j</v>
      </c>
      <c r="P95">
        <f t="shared" si="4"/>
        <v>4.4702420701670667</v>
      </c>
      <c r="Q95">
        <f t="shared" si="5"/>
        <v>-37.068765756201238</v>
      </c>
    </row>
    <row r="96" spans="12:17" x14ac:dyDescent="0.25">
      <c r="L96">
        <v>-0.12</v>
      </c>
      <c r="M96">
        <f t="shared" si="3"/>
        <v>15171.551500583673</v>
      </c>
      <c r="N96" t="str">
        <f>COMPLEX(0,Table1[[#This Row],[f]]*2*PI(),"j")</f>
        <v>95325.6694755857j</v>
      </c>
      <c r="O96" t="str">
        <f>IMDIV(1,IMSUM(IMPRODUCT(_R1,_R2,_C1,_C2,IMPOWER(Table1[[#This Row],[s]],2)),IMPRODUCT(_C2,(_R1+_R2),Table1[[#This Row],[s]]),1))</f>
        <v>1.31545057453412-1.16371525121231j</v>
      </c>
      <c r="P96">
        <f t="shared" si="4"/>
        <v>4.8920496467815164</v>
      </c>
      <c r="Q96">
        <f t="shared" si="5"/>
        <v>-41.497627403230062</v>
      </c>
    </row>
    <row r="97" spans="12:17" x14ac:dyDescent="0.25">
      <c r="L97">
        <v>-0.1</v>
      </c>
      <c r="M97">
        <f t="shared" si="3"/>
        <v>15886.564694485629</v>
      </c>
      <c r="N97" t="str">
        <f>COMPLEX(0,Table1[[#This Row],[f]]*2*PI(),"j")</f>
        <v>99818.2298699501j</v>
      </c>
      <c r="O97" t="str">
        <f>IMDIV(1,IMSUM(IMPRODUCT(_R1,_R2,_C1,_C2,IMPOWER(Table1[[#This Row],[s]],2)),IMPRODUCT(_C2,(_R1+_R2),Table1[[#This Row],[s]]),1))</f>
        <v>1.26322672709866-1.34466100683797j</v>
      </c>
      <c r="P97">
        <f t="shared" si="4"/>
        <v>5.3197104978862031</v>
      </c>
      <c r="Q97">
        <f t="shared" si="5"/>
        <v>-46.788545132648792</v>
      </c>
    </row>
    <row r="98" spans="12:17" x14ac:dyDescent="0.25">
      <c r="L98">
        <v>-8.0000000000000099E-2</v>
      </c>
      <c r="M98">
        <f t="shared" si="3"/>
        <v>16635.275422053419</v>
      </c>
      <c r="N98" t="str">
        <f>COMPLEX(0,Table1[[#This Row],[f]]*2*PI(),"j")</f>
        <v>104522.518112732j</v>
      </c>
      <c r="O98" t="str">
        <f>IMDIV(1,IMSUM(IMPRODUCT(_R1,_R2,_C1,_C2,IMPOWER(Table1[[#This Row],[s]],2)),IMPRODUCT(_C2,(_R1+_R2),Table1[[#This Row],[s]]),1))</f>
        <v>1.16058632743758-1.54645545066388j</v>
      </c>
      <c r="P98">
        <f t="shared" si="4"/>
        <v>5.7269565225323316</v>
      </c>
      <c r="Q98">
        <f t="shared" si="5"/>
        <v>-53.112447295944989</v>
      </c>
    </row>
    <row r="99" spans="12:17" x14ac:dyDescent="0.25">
      <c r="L99">
        <v>-6.0000000000000102E-2</v>
      </c>
      <c r="M99">
        <f t="shared" si="3"/>
        <v>17419.271799121609</v>
      </c>
      <c r="N99" t="str">
        <f>COMPLEX(0,Table1[[#This Row],[f]]*2*PI(),"j")</f>
        <v>109448.512630009j</v>
      </c>
      <c r="O99" t="str">
        <f>IMDIV(1,IMSUM(IMPRODUCT(_R1,_R2,_C1,_C2,IMPOWER(Table1[[#This Row],[s]],2)),IMPRODUCT(_C2,(_R1+_R2),Table1[[#This Row],[s]]),1))</f>
        <v>0.987046399065746-1.75282890903509j</v>
      </c>
      <c r="P99">
        <f t="shared" si="4"/>
        <v>6.0709776596018745</v>
      </c>
      <c r="Q99">
        <f t="shared" si="5"/>
        <v>-60.615432683772326</v>
      </c>
    </row>
    <row r="100" spans="12:17" x14ac:dyDescent="0.25">
      <c r="L100">
        <v>-0.04</v>
      </c>
      <c r="M100">
        <f t="shared" si="3"/>
        <v>18240.216787118192</v>
      </c>
      <c r="N100" t="str">
        <f>COMPLEX(0,Table1[[#This Row],[f]]*2*PI(),"j")</f>
        <v>114606.662116591j</v>
      </c>
      <c r="O100" t="str">
        <f>IMDIV(1,IMSUM(IMPRODUCT(_R1,_R2,_C1,_C2,IMPOWER(Table1[[#This Row],[s]],2)),IMPRODUCT(_C2,(_R1+_R2),Table1[[#This Row],[s]]),1))</f>
        <v>0.727674421972551-1.93045088544135j</v>
      </c>
      <c r="P100">
        <f t="shared" si="4"/>
        <v>6.2901699539607083</v>
      </c>
      <c r="Q100">
        <f t="shared" si="5"/>
        <v>-69.34630030369388</v>
      </c>
    </row>
    <row r="101" spans="12:17" x14ac:dyDescent="0.25">
      <c r="L101">
        <v>-0.02</v>
      </c>
      <c r="M101">
        <f t="shared" si="3"/>
        <v>19099.851720428716</v>
      </c>
      <c r="N101" t="str">
        <f>COMPLEX(0,Table1[[#This Row],[f]]*2*PI(),"j")</f>
        <v>120007.907699106j</v>
      </c>
      <c r="O101" t="str">
        <f>IMDIV(1,IMSUM(IMPRODUCT(_R1,_R2,_C1,_C2,IMPOWER(Table1[[#This Row],[s]],2)),IMPRODUCT(_C2,(_R1+_R2),Table1[[#This Row],[s]]),1))</f>
        <v>0.389082211120619-2.03097648933174j</v>
      </c>
      <c r="P101">
        <f t="shared" si="4"/>
        <v>6.3106313464471171</v>
      </c>
      <c r="Q101">
        <f t="shared" si="5"/>
        <v>-79.155018876759328</v>
      </c>
    </row>
    <row r="102" spans="12:17" x14ac:dyDescent="0.25">
      <c r="L102">
        <v>0</v>
      </c>
      <c r="M102">
        <f t="shared" si="3"/>
        <v>20000</v>
      </c>
      <c r="N102" t="str">
        <f>COMPLEX(0,Table1[[#This Row],[f]]*2*PI(),"j")</f>
        <v>125663.706143592j</v>
      </c>
      <c r="O102" t="str">
        <f>IMDIV(1,IMSUM(IMPRODUCT(_R1,_R2,_C1,_C2,IMPOWER(Table1[[#This Row],[s]],2)),IMPRODUCT(_C2,(_R1+_R2),Table1[[#This Row],[s]]),1))</f>
        <v>0.0132883886088283-2.01066292414821j</v>
      </c>
      <c r="P102">
        <f t="shared" si="4"/>
        <v>6.0669750839681127</v>
      </c>
      <c r="Q102">
        <f t="shared" si="5"/>
        <v>-89.621340061599867</v>
      </c>
    </row>
    <row r="103" spans="12:17" x14ac:dyDescent="0.25">
      <c r="L103">
        <v>0.02</v>
      </c>
      <c r="M103">
        <f t="shared" si="3"/>
        <v>20942.570961017991</v>
      </c>
      <c r="N103" t="str">
        <f>COMPLEX(0,Table1[[#This Row],[f]]*2*PI(),"j")</f>
        <v>131586.054156834j</v>
      </c>
      <c r="O103" t="str">
        <f>IMDIV(1,IMSUM(IMPRODUCT(_R1,_R2,_C1,_C2,IMPOWER(Table1[[#This Row],[s]],2)),IMPRODUCT(_C2,(_R1+_R2),Table1[[#This Row],[s]]),1))</f>
        <v>-0.3319051066-1.86105942651547j</v>
      </c>
      <c r="P103">
        <f t="shared" si="4"/>
        <v>5.53118479670702</v>
      </c>
      <c r="Q103">
        <f t="shared" si="5"/>
        <v>-100.11193346442423</v>
      </c>
    </row>
    <row r="104" spans="12:17" x14ac:dyDescent="0.25">
      <c r="L104">
        <v>0.04</v>
      </c>
      <c r="M104">
        <f t="shared" si="3"/>
        <v>21929.563922863701</v>
      </c>
      <c r="N104" t="str">
        <f>COMPLEX(0,Table1[[#This Row],[f]]*2*PI(),"j")</f>
        <v>137787.513832993j</v>
      </c>
      <c r="O104" t="str">
        <f>IMDIV(1,IMSUM(IMPRODUCT(_R1,_R2,_C1,_C2,IMPOWER(Table1[[#This Row],[s]],2)),IMPRODUCT(_C2,(_R1+_R2),Table1[[#This Row],[s]]),1))</f>
        <v>-0.589009529010156-1.61962061730479j</v>
      </c>
      <c r="P104">
        <f t="shared" si="4"/>
        <v>4.7277153519722974</v>
      </c>
      <c r="Q104">
        <f t="shared" si="5"/>
        <v>-109.98487423263857</v>
      </c>
    </row>
    <row r="105" spans="12:17" x14ac:dyDescent="0.25">
      <c r="L105">
        <v>6.0000000000000102E-2</v>
      </c>
      <c r="M105">
        <f t="shared" si="3"/>
        <v>22963.07242993766</v>
      </c>
      <c r="N105" t="str">
        <f>COMPLEX(0,Table1[[#This Row],[f]]*2*PI(),"j")</f>
        <v>144281.239299485j</v>
      </c>
      <c r="O105" t="str">
        <f>IMDIV(1,IMSUM(IMPRODUCT(_R1,_R2,_C1,_C2,IMPOWER(Table1[[#This Row],[s]],2)),IMPRODUCT(_C2,(_R1+_R2),Table1[[#This Row],[s]]),1))</f>
        <v>-0.739344290756623-1.34481992683655j</v>
      </c>
      <c r="P105">
        <f t="shared" si="4"/>
        <v>3.7202237424879048</v>
      </c>
      <c r="Q105">
        <f t="shared" si="5"/>
        <v>-118.80076162886103</v>
      </c>
    </row>
    <row r="106" spans="12:17" x14ac:dyDescent="0.25">
      <c r="L106">
        <v>8.0000000000000099E-2</v>
      </c>
      <c r="M106">
        <f t="shared" si="3"/>
        <v>24045.288692348262</v>
      </c>
      <c r="N106" t="str">
        <f>COMPLEX(0,Table1[[#This Row],[f]]*2*PI(),"j")</f>
        <v>151081.004618654j</v>
      </c>
      <c r="O106" t="str">
        <f>IMDIV(1,IMSUM(IMPRODUCT(_R1,_R2,_C1,_C2,IMPOWER(Table1[[#This Row],[s]],2)),IMPRODUCT(_C2,(_R1+_R2),Table1[[#This Row],[s]]),1))</f>
        <v>-0.798764947900907-1.08374888935566j</v>
      </c>
      <c r="P106">
        <f t="shared" si="4"/>
        <v>2.5828690403388417</v>
      </c>
      <c r="Q106">
        <f t="shared" si="5"/>
        <v>-126.39165411009384</v>
      </c>
    </row>
    <row r="107" spans="12:17" x14ac:dyDescent="0.25">
      <c r="L107">
        <v>0.1</v>
      </c>
      <c r="M107">
        <f t="shared" si="3"/>
        <v>25178.508235883346</v>
      </c>
      <c r="N107" t="str">
        <f>COMPLEX(0,Table1[[#This Row],[f]]*2*PI(),"j")</f>
        <v>158201.233004402j</v>
      </c>
      <c r="O107" t="str">
        <f>IMDIV(1,IMSUM(IMPRODUCT(_R1,_R2,_C1,_C2,IMPOWER(Table1[[#This Row],[s]],2)),IMPRODUCT(_C2,(_R1+_R2),Table1[[#This Row],[s]]),1))</f>
        <v>-0.796235053384649-0.859986790617239j</v>
      </c>
      <c r="P107">
        <f t="shared" si="4"/>
        <v>1.3785001916058017</v>
      </c>
      <c r="Q107">
        <f t="shared" si="5"/>
        <v>-132.7956436940247</v>
      </c>
    </row>
    <row r="108" spans="12:17" x14ac:dyDescent="0.25">
      <c r="L108">
        <v>0.12</v>
      </c>
      <c r="M108">
        <f t="shared" si="3"/>
        <v>26365.134771128145</v>
      </c>
      <c r="N108" t="str">
        <f>COMPLEX(0,Table1[[#This Row],[f]]*2*PI(),"j")</f>
        <v>165657.027415762j</v>
      </c>
      <c r="O108" t="str">
        <f>IMDIV(1,IMSUM(IMPRODUCT(_R1,_R2,_C1,_C2,IMPOWER(Table1[[#This Row],[s]],2)),IMPRODUCT(_C2,(_R1+_R2),Table1[[#This Row],[s]]),1))</f>
        <v>-0.758035619702114-0.678840102702907j</v>
      </c>
      <c r="P108">
        <f t="shared" si="4"/>
        <v>0.15125729114989611</v>
      </c>
      <c r="Q108">
        <f t="shared" si="5"/>
        <v>-138.15474914503446</v>
      </c>
    </row>
    <row r="109" spans="12:17" x14ac:dyDescent="0.25">
      <c r="L109">
        <v>0.14000000000000001</v>
      </c>
      <c r="M109">
        <f t="shared" si="3"/>
        <v>27607.6852920577</v>
      </c>
      <c r="N109" t="str">
        <f>COMPLEX(0,Table1[[#This Row],[f]]*2*PI(),"j")</f>
        <v>173464.202592295j</v>
      </c>
      <c r="O109" t="str">
        <f>IMDIV(1,IMSUM(IMPRODUCT(_R1,_R2,_C1,_C2,IMPOWER(Table1[[#This Row],[s]],2)),IMPRODUCT(_C2,(_R1+_R2),Table1[[#This Row],[s]]),1))</f>
        <v>-0.702585230971808-0.536395997620407j</v>
      </c>
      <c r="P109">
        <f t="shared" si="4"/>
        <v>-1.0715623272412047</v>
      </c>
      <c r="Q109">
        <f t="shared" si="5"/>
        <v>-142.63969966415979</v>
      </c>
    </row>
    <row r="110" spans="12:17" x14ac:dyDescent="0.25">
      <c r="L110">
        <v>0.16</v>
      </c>
      <c r="M110">
        <f t="shared" si="3"/>
        <v>28908.79541491855</v>
      </c>
      <c r="N110" t="str">
        <f>COMPLEX(0,Table1[[#This Row],[f]]*2*PI(),"j")</f>
        <v>181639.318599277j</v>
      </c>
      <c r="O110" t="str">
        <f>IMDIV(1,IMSUM(IMPRODUCT(_R1,_R2,_C1,_C2,IMPOWER(Table1[[#This Row],[s]],2)),IMPRODUCT(_C2,(_R1+_R2),Table1[[#This Row],[s]]),1))</f>
        <v>-0.641095150103044-0.425759973717452j</v>
      </c>
      <c r="P110">
        <f t="shared" si="4"/>
        <v>-2.274769309802986</v>
      </c>
      <c r="Q110">
        <f t="shared" si="5"/>
        <v>-146.4113247021501</v>
      </c>
    </row>
    <row r="111" spans="12:17" x14ac:dyDescent="0.25">
      <c r="L111">
        <v>0.18</v>
      </c>
      <c r="M111">
        <f t="shared" si="3"/>
        <v>30271.224968724164</v>
      </c>
      <c r="N111" t="str">
        <f>COMPLEX(0,Table1[[#This Row],[f]]*2*PI(),"j")</f>
        <v>190199.715953815j</v>
      </c>
      <c r="O111" t="str">
        <f>IMDIV(1,IMSUM(IMPRODUCT(_R1,_R2,_C1,_C2,IMPOWER(Table1[[#This Row],[s]],2)),IMPRODUCT(_C2,(_R1+_R2),Table1[[#This Row],[s]]),1))</f>
        <v>-0.579760573122726-0.340055171703346j</v>
      </c>
      <c r="P111">
        <f t="shared" si="4"/>
        <v>-3.4509237721103196</v>
      </c>
      <c r="Q111">
        <f t="shared" si="5"/>
        <v>-149.60649491980183</v>
      </c>
    </row>
    <row r="112" spans="12:17" x14ac:dyDescent="0.25">
      <c r="L112">
        <v>0.2</v>
      </c>
      <c r="M112">
        <f t="shared" si="3"/>
        <v>31697.863849222271</v>
      </c>
      <c r="N112" t="str">
        <f>COMPLEX(0,Table1[[#This Row],[f]]*2*PI(),"j")</f>
        <v>199163.552406412j</v>
      </c>
      <c r="O112" t="str">
        <f>IMDIV(1,IMSUM(IMPRODUCT(_R1,_R2,_C1,_C2,IMPOWER(Table1[[#This Row],[s]],2)),IMPRODUCT(_C2,(_R1+_R2),Table1[[#This Row],[s]]),1))</f>
        <v>-0.521699209010791-0.273477034000118j</v>
      </c>
      <c r="P112">
        <f t="shared" si="4"/>
        <v>-4.5972090027296062</v>
      </c>
      <c r="Q112">
        <f t="shared" si="5"/>
        <v>-152.33627280767277</v>
      </c>
    </row>
    <row r="113" spans="12:17" x14ac:dyDescent="0.25">
      <c r="L113">
        <v>0.22</v>
      </c>
      <c r="M113">
        <f t="shared" si="3"/>
        <v>33191.73814875121</v>
      </c>
      <c r="N113" t="str">
        <f>COMPLEX(0,Table1[[#This Row],[f]]*2*PI(),"j")</f>
        <v>208549.841455986j</v>
      </c>
      <c r="O113" t="str">
        <f>IMDIV(1,IMSUM(IMPRODUCT(_R1,_R2,_C1,_C2,IMPOWER(Table1[[#This Row],[s]],2)),IMPRODUCT(_C2,(_R1+_R2),Table1[[#This Row],[s]]),1))</f>
        <v>-0.468270644969749-0.221462115925618j</v>
      </c>
      <c r="P113">
        <f t="shared" si="4"/>
        <v>-5.7134231637947739</v>
      </c>
      <c r="Q113">
        <f t="shared" si="5"/>
        <v>-154.68884034042182</v>
      </c>
    </row>
    <row r="114" spans="12:17" x14ac:dyDescent="0.25">
      <c r="L114">
        <v>0.24</v>
      </c>
      <c r="M114">
        <f t="shared" si="3"/>
        <v>34756.016574987509</v>
      </c>
      <c r="N114" t="str">
        <f>COMPLEX(0,Table1[[#This Row],[f]]*2*PI(),"j")</f>
        <v>218378.492680052j</v>
      </c>
      <c r="O114" t="str">
        <f>IMDIV(1,IMSUM(IMPRODUCT(_R1,_R2,_C1,_C2,IMPOWER(Table1[[#This Row],[s]],2)),IMPRODUCT(_C2,(_R1+_R2),Table1[[#This Row],[s]]),1))</f>
        <v>-0.419880322595684-0.180536771391474j</v>
      </c>
      <c r="P114">
        <f t="shared" si="4"/>
        <v>-6.8007608984032162</v>
      </c>
      <c r="Q114">
        <f t="shared" si="5"/>
        <v>-156.73365037175338</v>
      </c>
    </row>
    <row r="115" spans="12:17" x14ac:dyDescent="0.25">
      <c r="L115">
        <v>0.26</v>
      </c>
      <c r="M115">
        <f t="shared" si="3"/>
        <v>36394.017172199674</v>
      </c>
      <c r="N115" t="str">
        <f>COMPLEX(0,Table1[[#This Row],[f]]*2*PI(),"j")</f>
        <v>228670.353965607j</v>
      </c>
      <c r="O115" t="str">
        <f>IMDIV(1,IMSUM(IMPRODUCT(_R1,_R2,_C1,_C2,IMPOWER(Table1[[#This Row],[s]],2)),IMPRODUCT(_C2,(_R1+_R2),Table1[[#This Row],[s]]),1))</f>
        <v>-0.376442524647611-0.148092095030257j</v>
      </c>
      <c r="P115">
        <f t="shared" si="4"/>
        <v>-7.8610988433145081</v>
      </c>
      <c r="Q115">
        <f t="shared" si="5"/>
        <v>-158.52537576108628</v>
      </c>
    </row>
    <row r="116" spans="12:17" x14ac:dyDescent="0.25">
      <c r="L116">
        <v>0.28000000000000003</v>
      </c>
      <c r="M116">
        <f t="shared" si="3"/>
        <v>38109.214359264952</v>
      </c>
      <c r="N116" t="str">
        <f>COMPLEX(0,Table1[[#This Row],[f]]*2*PI(),"j")</f>
        <v>239447.255730291j</v>
      </c>
      <c r="O116" t="str">
        <f>IMDIV(1,IMSUM(IMPRODUCT(_R1,_R2,_C1,_C2,IMPOWER(Table1[[#This Row],[s]],2)),IMPRODUCT(_C2,(_R1+_R2),Table1[[#This Row],[s]]),1))</f>
        <v>-0.337638044848633-0.12217519348177j</v>
      </c>
      <c r="P116">
        <f t="shared" si="4"/>
        <v>-8.896587259104777</v>
      </c>
      <c r="Q116">
        <f t="shared" si="5"/>
        <v>-160.10721289470828</v>
      </c>
    </row>
    <row r="117" spans="12:17" x14ac:dyDescent="0.25">
      <c r="L117">
        <v>0.3</v>
      </c>
      <c r="M117">
        <f t="shared" si="3"/>
        <v>39905.246299377592</v>
      </c>
      <c r="N117" t="str">
        <f>COMPLEX(0,Table1[[#This Row],[f]]*2*PI(),"j")</f>
        <v>250732.057227632j</v>
      </c>
      <c r="O117" t="str">
        <f>IMDIV(1,IMSUM(IMPRODUCT(_R1,_R2,_C1,_C2,IMPOWER(Table1[[#This Row],[s]],2)),IMPRODUCT(_C2,(_R1+_R2),Table1[[#This Row],[s]]),1))</f>
        <v>-0.303053738794373-0.101320998534097j</v>
      </c>
      <c r="P117">
        <f t="shared" si="4"/>
        <v>-9.9094230019939431</v>
      </c>
      <c r="Q117">
        <f t="shared" si="5"/>
        <v>-161.51349503610138</v>
      </c>
    </row>
    <row r="118" spans="12:17" x14ac:dyDescent="0.25">
      <c r="L118">
        <v>0.32</v>
      </c>
      <c r="M118">
        <f t="shared" si="3"/>
        <v>41785.922617080796</v>
      </c>
      <c r="N118" t="str">
        <f>COMPLEX(0,Table1[[#This Row],[f]]*2*PI(),"j")</f>
        <v>262548.695034585j</v>
      </c>
      <c r="O118" t="str">
        <f>IMDIV(1,IMSUM(IMPRODUCT(_R1,_R2,_C1,_C2,IMPOWER(Table1[[#This Row],[s]],2)),IMPRODUCT(_C2,(_R1+_R2),Table1[[#This Row],[s]]),1))</f>
        <v>-0.27225576109238-0.0844245830192994j</v>
      </c>
      <c r="P118">
        <f t="shared" si="4"/>
        <v>-10.901728370854524</v>
      </c>
      <c r="Q118">
        <f t="shared" si="5"/>
        <v>-162.77170696247742</v>
      </c>
    </row>
    <row r="119" spans="12:17" x14ac:dyDescent="0.25">
      <c r="L119">
        <v>0.34</v>
      </c>
      <c r="M119">
        <f t="shared" si="3"/>
        <v>43755.232478991049</v>
      </c>
      <c r="N119" t="str">
        <f>COMPLEX(0,Table1[[#This Row],[f]]*2*PI(),"j")</f>
        <v>274922.233824224j</v>
      </c>
      <c r="O119" t="str">
        <f>IMDIV(1,IMSUM(IMPRODUCT(_R1,_R2,_C1,_C2,IMPOWER(Table1[[#This Row],[s]],2)),IMPRODUCT(_C2,(_R1+_R2),Table1[[#This Row],[s]]),1))</f>
        <v>-0.244826156024043-0.0706468257717087j</v>
      </c>
      <c r="P119">
        <f t="shared" si="4"/>
        <v>-11.875491080146015</v>
      </c>
      <c r="Q119">
        <f t="shared" si="5"/>
        <v>-163.90402104767244</v>
      </c>
    </row>
    <row r="120" spans="12:17" x14ac:dyDescent="0.25">
      <c r="L120">
        <v>0.36</v>
      </c>
      <c r="M120">
        <f t="shared" si="3"/>
        <v>45817.353055355466</v>
      </c>
      <c r="N120" t="str">
        <f>COMPLEX(0,Table1[[#This Row],[f]]*2*PI(),"j")</f>
        <v>287878.919531269j</v>
      </c>
      <c r="O120" t="str">
        <f>IMDIV(1,IMSUM(IMPRODUCT(_R1,_R2,_C1,_C2,IMPOWER(Table1[[#This Row],[s]],2)),IMPRODUCT(_C2,(_R1+_R2),Table1[[#This Row],[s]]),1))</f>
        <v>-0.220379489660983-0.059345508442607j</v>
      </c>
      <c r="P120">
        <f t="shared" si="4"/>
        <v>-12.832539063674194</v>
      </c>
      <c r="Q120">
        <f t="shared" si="5"/>
        <v>-164.92846498512961</v>
      </c>
    </row>
    <row r="121" spans="12:17" x14ac:dyDescent="0.25">
      <c r="L121">
        <v>0.38</v>
      </c>
      <c r="M121">
        <f t="shared" si="3"/>
        <v>47976.658380389817</v>
      </c>
      <c r="N121" t="str">
        <f>COMPLEX(0,Table1[[#This Row],[f]]*2*PI(),"j")</f>
        <v>301446.23502324j</v>
      </c>
      <c r="O121" t="str">
        <f>IMDIV(1,IMSUM(IMPRODUCT(_R1,_R2,_C1,_C2,IMPOWER(Table1[[#This Row],[s]],2)),IMPRODUCT(_C2,(_R1+_R2),Table1[[#This Row],[s]]),1))</f>
        <v>-0.198568822816887-0.0500251372416215j</v>
      </c>
      <c r="P121">
        <f t="shared" si="4"/>
        <v>-13.774534726017606</v>
      </c>
      <c r="Q121">
        <f t="shared" si="5"/>
        <v>-165.85981089318079</v>
      </c>
    </row>
    <row r="122" spans="12:17" x14ac:dyDescent="0.25">
      <c r="L122">
        <v>0.4</v>
      </c>
      <c r="M122">
        <f t="shared" si="3"/>
        <v>50237.72863019161</v>
      </c>
      <c r="N122" t="str">
        <f>COMPLEX(0,Table1[[#This Row],[f]]*2*PI(),"j")</f>
        <v>315652.958395295j</v>
      </c>
      <c r="O122" t="str">
        <f>IMDIV(1,IMSUM(IMPRODUCT(_R1,_R2,_C1,_C2,IMPOWER(Table1[[#This Row],[s]],2)),IMPRODUCT(_C2,(_R1+_R2),Table1[[#This Row],[s]]),1))</f>
        <v>-0.179086173164975-0.0423003337573377j</v>
      </c>
      <c r="P122">
        <f t="shared" si="4"/>
        <v>-14.702979673270974</v>
      </c>
      <c r="Q122">
        <f t="shared" si="5"/>
        <v>-166.71025514411326</v>
      </c>
    </row>
    <row r="123" spans="12:17" x14ac:dyDescent="0.25">
      <c r="L123">
        <v>0.42</v>
      </c>
      <c r="M123">
        <f t="shared" si="3"/>
        <v>52605.359837907643</v>
      </c>
      <c r="N123" t="str">
        <f>COMPLEX(0,Table1[[#This Row],[f]]*2*PI(),"j")</f>
        <v>330529.224012436j</v>
      </c>
      <c r="O123" t="str">
        <f>IMDIV(1,IMSUM(IMPRODUCT(_R1,_R2,_C1,_C2,IMPOWER(Table1[[#This Row],[s]],2)),IMPRODUCT(_C2,(_R1+_R2),Table1[[#This Row],[s]]),1))</f>
        <v>-0.161660294993741-0.0358690016596424j</v>
      </c>
      <c r="P123">
        <f t="shared" si="4"/>
        <v>-15.61922472233401</v>
      </c>
      <c r="Q123">
        <f t="shared" si="5"/>
        <v>-167.4899411632984</v>
      </c>
    </row>
    <row r="124" spans="12:17" x14ac:dyDescent="0.25">
      <c r="L124">
        <v>0.44</v>
      </c>
      <c r="M124">
        <f t="shared" si="3"/>
        <v>55084.574066763329</v>
      </c>
      <c r="N124" t="str">
        <f>COMPLEX(0,Table1[[#This Row],[f]]*2*PI(),"j")</f>
        <v>346106.586428533j</v>
      </c>
      <c r="O124" t="str">
        <f>IMDIV(1,IMSUM(IMPRODUCT(_R1,_R2,_C1,_C2,IMPOWER(Table1[[#This Row],[s]],2)),IMPRODUCT(_C2,(_R1+_R2),Table1[[#This Row],[s]]),1))</f>
        <v>-0.14605331121171-0.0304925357100059j</v>
      </c>
      <c r="P124">
        <f t="shared" si="4"/>
        <v>-16.524482202836445</v>
      </c>
      <c r="Q124">
        <f t="shared" si="5"/>
        <v>-168.20736411366065</v>
      </c>
    </row>
    <row r="125" spans="12:17" x14ac:dyDescent="0.25">
      <c r="L125">
        <v>0.46</v>
      </c>
      <c r="M125">
        <f t="shared" si="3"/>
        <v>57680.630062532116</v>
      </c>
      <c r="N125" t="str">
        <f>COMPLEX(0,Table1[[#This Row],[f]]*2*PI(),"j")</f>
        <v>362418.087317763j</v>
      </c>
      <c r="O125" t="str">
        <f>IMDIV(1,IMSUM(IMPRODUCT(_R1,_R2,_C1,_C2,IMPOWER(Table1[[#This Row],[s]],2)),IMPRODUCT(_C2,(_R1+_R2),Table1[[#This Row],[s]]),1))</f>
        <v>-0.132057011795465-0.0259811203398175j</v>
      </c>
      <c r="P125">
        <f t="shared" si="4"/>
        <v>-17.419838868925584</v>
      </c>
      <c r="Q125">
        <f t="shared" si="5"/>
        <v>-168.86968633632418</v>
      </c>
    </row>
    <row r="126" spans="12:17" x14ac:dyDescent="0.25">
      <c r="L126">
        <v>0.48</v>
      </c>
      <c r="M126">
        <f t="shared" si="3"/>
        <v>60399.03440804033</v>
      </c>
      <c r="N126" t="str">
        <f>COMPLEX(0,Table1[[#This Row],[f]]*2*PI(),"j")</f>
        <v>379498.325560433j</v>
      </c>
      <c r="O126" t="str">
        <f>IMDIV(1,IMSUM(IMPRODUCT(_R1,_R2,_C1,_C2,IMPOWER(Table1[[#This Row],[s]],2)),IMPRODUCT(_C2,(_R1+_R2),Table1[[#This Row],[s]]),1))</f>
        <v>-0.119489233222088-0.0221827258013979j</v>
      </c>
      <c r="P126">
        <f t="shared" si="4"/>
        <v>-18.306268504140228</v>
      </c>
      <c r="Q126">
        <f t="shared" si="5"/>
        <v>-169.48298497550061</v>
      </c>
    </row>
    <row r="127" spans="12:17" x14ac:dyDescent="0.25">
      <c r="L127">
        <v>0.5</v>
      </c>
      <c r="M127">
        <f t="shared" si="3"/>
        <v>63245.553203367592</v>
      </c>
      <c r="N127" t="str">
        <f>COMPLEX(0,Table1[[#This Row],[f]]*2*PI(),"j")</f>
        <v>397383.530631844j</v>
      </c>
      <c r="O127" t="str">
        <f>IMDIV(1,IMSUM(IMPRODUCT(_R1,_R2,_C1,_C2,IMPOWER(Table1[[#This Row],[s]],2)),IMPRODUCT(_C2,(_R1+_R2),Table1[[#This Row],[s]]),1))</f>
        <v>-0.108190513504805-0.0189748078331637j</v>
      </c>
      <c r="P127">
        <f t="shared" si="4"/>
        <v>-19.184643750936679</v>
      </c>
      <c r="Q127">
        <f t="shared" si="5"/>
        <v>-170.05244774054594</v>
      </c>
    </row>
    <row r="128" spans="12:17" x14ac:dyDescent="0.25">
      <c r="L128">
        <v>0.52</v>
      </c>
      <c r="M128">
        <f t="shared" si="3"/>
        <v>66226.224296518238</v>
      </c>
      <c r="N128" t="str">
        <f>COMPLEX(0,Table1[[#This Row],[f]]*2*PI(),"j")</f>
        <v>416111.639449863j</v>
      </c>
      <c r="O128" t="str">
        <f>IMDIV(1,IMSUM(IMPRODUCT(_R1,_R2,_C1,_C2,IMPOWER(Table1[[#This Row],[s]],2)),IMPRODUCT(_C2,(_R1+_R2),Table1[[#This Row],[s]]),1))</f>
        <v>-0.0980210983327983-0.0162579979983489j</v>
      </c>
      <c r="P128">
        <f t="shared" si="4"/>
        <v>-20.055746956306258</v>
      </c>
      <c r="Q128">
        <f t="shared" si="5"/>
        <v>-170.58252873768438</v>
      </c>
    </row>
    <row r="129" spans="12:17" x14ac:dyDescent="0.25">
      <c r="L129">
        <v>0.54</v>
      </c>
      <c r="M129">
        <f t="shared" si="3"/>
        <v>69347.370090506345</v>
      </c>
      <c r="N129" t="str">
        <f>COMPLEX(0,Table1[[#This Row],[f]]*2*PI(),"j")</f>
        <v>435722.376844215j</v>
      </c>
      <c r="O129" t="str">
        <f>IMDIV(1,IMSUM(IMPRODUCT(_R1,_R2,_C1,_C2,IMPOWER(Table1[[#This Row],[s]],2)),IMPRODUCT(_C2,(_R1+_R2),Table1[[#This Row],[s]]),1))</f>
        <v>-0.0888583111646122-0.0139512706543456j</v>
      </c>
      <c r="P129">
        <f t="shared" si="4"/>
        <v>-20.920279972783</v>
      </c>
      <c r="Q129">
        <f t="shared" si="5"/>
        <v>-171.07707334723867</v>
      </c>
    </row>
    <row r="130" spans="12:17" x14ac:dyDescent="0.25">
      <c r="L130">
        <v>0.56000000000000005</v>
      </c>
      <c r="M130">
        <f t="shared" ref="M130:M193" si="6">10^L130*fc</f>
        <v>72615.610954020274</v>
      </c>
      <c r="N130" t="str">
        <f>COMPLEX(0,Table1[[#This Row],[f]]*2*PI(),"j")</f>
        <v>456257.339818169j</v>
      </c>
      <c r="O130" t="str">
        <f>IMDIV(1,IMSUM(IMPRODUCT(_R1,_R2,_C1,_C2,IMPOWER(Table1[[#This Row],[s]],2)),IMPRODUCT(_C2,(_R1+_R2),Table1[[#This Row],[s]]),1))</f>
        <v>-0.0805942689401481-0.011988213474249j</v>
      </c>
      <c r="P130">
        <f t="shared" si="4"/>
        <v>-21.778872935491513</v>
      </c>
      <c r="Q130">
        <f t="shared" si="5"/>
        <v>-171.53941894017234</v>
      </c>
    </row>
    <row r="131" spans="12:17" x14ac:dyDescent="0.25">
      <c r="L131">
        <v>0.57999999999999996</v>
      </c>
      <c r="M131">
        <f t="shared" si="6"/>
        <v>76037.879264112242</v>
      </c>
      <c r="N131" t="str">
        <f>COMPLEX(0,Table1[[#This Row],[f]]*2*PI(),"j")</f>
        <v>477760.085781365j</v>
      </c>
      <c r="O131" t="str">
        <f>IMDIV(1,IMSUM(IMPRODUCT(_R1,_R2,_C1,_C2,IMPOWER(Table1[[#This Row],[s]],2)),IMPRODUCT(_C2,(_R1+_R2),Table1[[#This Row],[s]]),1))</f>
        <v>-0.0731339112292136-0.0103141288743661j</v>
      </c>
      <c r="P131">
        <f t="shared" ref="P131:P194" si="7">20*LOG(IMABS(O131))</f>
        <v>-22.63209207792459</v>
      </c>
      <c r="Q131">
        <f t="shared" ref="Q131:Q194" si="8">DEGREES(IMARGUMENT(O131))</f>
        <v>-171.97247660966943</v>
      </c>
    </row>
    <row r="132" spans="12:17" x14ac:dyDescent="0.25">
      <c r="L132">
        <v>0.6</v>
      </c>
      <c r="M132">
        <f t="shared" si="6"/>
        <v>79621.434110699454</v>
      </c>
      <c r="N132" t="str">
        <f>COMPLEX(0,Table1[[#This Row],[f]]*2*PI(),"j")</f>
        <v>500276.224940914j</v>
      </c>
      <c r="O132" t="str">
        <f>IMDIV(1,IMSUM(IMPRODUCT(_R1,_R2,_C1,_C2,IMPOWER(Table1[[#This Row],[s]],2)),IMPRODUCT(_C2,(_R1+_R2),Table1[[#This Row],[s]]),1))</f>
        <v>-0.066393306136509-0.00888376567121849j</v>
      </c>
      <c r="P132">
        <f t="shared" si="7"/>
        <v>-23.480446668190879</v>
      </c>
      <c r="Q132">
        <f t="shared" si="8"/>
        <v>-172.3787978868987</v>
      </c>
    </row>
    <row r="133" spans="12:17" x14ac:dyDescent="0.25">
      <c r="L133">
        <v>0.62</v>
      </c>
      <c r="M133">
        <f t="shared" si="6"/>
        <v>83373.87669406709</v>
      </c>
      <c r="N133" t="str">
        <f>COMPLEX(0,Table1[[#This Row],[f]]*2*PI(),"j")</f>
        <v>523853.517046765j</v>
      </c>
      <c r="O133" t="str">
        <f>IMDIV(1,IMSUM(IMPRODUCT(_R1,_R2,_C1,_C2,IMPOWER(Table1[[#This Row],[s]],2)),IMPRODUCT(_C2,(_R1+_R2),Table1[[#This Row],[s]]),1))</f>
        <v>-0.0602981966317774-0.00765953219651829j</v>
      </c>
      <c r="P133">
        <f t="shared" si="7"/>
        <v>-24.324395153323923</v>
      </c>
      <c r="Q133">
        <f t="shared" si="8"/>
        <v>-172.76062950495898</v>
      </c>
    </row>
    <row r="134" spans="12:17" x14ac:dyDescent="0.25">
      <c r="L134">
        <v>0.64</v>
      </c>
      <c r="M134">
        <f t="shared" si="6"/>
        <v>87303.166448033197</v>
      </c>
      <c r="N134" t="str">
        <f>COMPLEX(0,Table1[[#This Row],[f]]*2*PI(),"j")</f>
        <v>548541.972696536j</v>
      </c>
      <c r="O134" t="str">
        <f>IMDIV(1,IMSUM(IMPRODUCT(_R1,_R2,_C1,_C2,IMPOWER(Table1[[#This Row],[s]],2)),IMPRODUCT(_C2,(_R1+_R2),Table1[[#This Row],[s]]),1))</f>
        <v>-0.0547827536529279-0.00661007978592284j</v>
      </c>
      <c r="P134">
        <f t="shared" si="7"/>
        <v>-25.164350597780718</v>
      </c>
      <c r="Q134">
        <f t="shared" si="8"/>
        <v>-173.11995859171722</v>
      </c>
    </row>
    <row r="135" spans="12:17" x14ac:dyDescent="0.25">
      <c r="L135">
        <v>0.66</v>
      </c>
      <c r="M135">
        <f t="shared" si="6"/>
        <v>91417.637922975016</v>
      </c>
      <c r="N135" t="str">
        <f>COMPLEX(0,Table1[[#This Row],[f]]*2*PI(),"j")</f>
        <v>574393.9594147j</v>
      </c>
      <c r="O135" t="str">
        <f>IMDIV(1,IMSUM(IMPRODUCT(_R1,_R2,_C1,_C2,IMPOWER(Table1[[#This Row],[s]],2)),IMPRODUCT(_C2,(_R1+_R2),Table1[[#This Row],[s]]),1))</f>
        <v>-0.0497885059550713-0.00570917311088232j</v>
      </c>
      <c r="P135">
        <f t="shared" si="7"/>
        <v>-26.000685496973169</v>
      </c>
      <c r="Q135">
        <f t="shared" si="8"/>
        <v>-173.45855015316491</v>
      </c>
    </row>
    <row r="136" spans="12:17" x14ac:dyDescent="0.25">
      <c r="L136">
        <v>0.68</v>
      </c>
      <c r="M136">
        <f t="shared" si="6"/>
        <v>95726.018464527675</v>
      </c>
      <c r="N136" t="str">
        <f>COMPLEX(0,Table1[[#This Row],[f]]*2*PI(),"j")</f>
        <v>601464.312731122j</v>
      </c>
      <c r="O136" t="str">
        <f>IMDIV(1,IMSUM(IMPRODUCT(_R1,_R2,_C1,_C2,IMPOWER(Table1[[#This Row],[s]],2)),IMPRODUCT(_C2,(_R1+_R2),Table1[[#This Row],[s]]),1))</f>
        <v>-0.0452634205097694-0.00493478410746664j</v>
      </c>
      <c r="P136">
        <f t="shared" si="7"/>
        <v>-26.833736039646375</v>
      </c>
      <c r="Q136">
        <f t="shared" si="8"/>
        <v>-173.77797831206789</v>
      </c>
    </row>
    <row r="137" spans="12:17" x14ac:dyDescent="0.25">
      <c r="L137">
        <v>0.7</v>
      </c>
      <c r="M137">
        <f t="shared" si="6"/>
        <v>100237.44672545446</v>
      </c>
      <c r="N137" t="str">
        <f>COMPLEX(0,Table1[[#This Row],[f]]*2*PI(),"j")</f>
        <v>629810.452494572j</v>
      </c>
      <c r="O137" t="str">
        <f>IMDIV(1,IMSUM(IMPRODUCT(_R1,_R2,_C1,_C2,IMPOWER(Table1[[#This Row],[s]],2)),IMPRODUCT(_C2,(_R1+_R2),Table1[[#This Row],[s]]),1))</f>
        <v>-0.0411611109215361-0.00426836129230391j</v>
      </c>
      <c r="P137">
        <f t="shared" si="7"/>
        <v>-27.663805885327477</v>
      </c>
      <c r="Q137">
        <f t="shared" si="8"/>
        <v>-174.07965246136496</v>
      </c>
    </row>
    <row r="138" spans="12:17" x14ac:dyDescent="0.25">
      <c r="L138">
        <v>0.72</v>
      </c>
      <c r="M138">
        <f t="shared" si="6"/>
        <v>104961.49204995453</v>
      </c>
      <c r="N138" t="str">
        <f>COMPLEX(0,Table1[[#This Row],[f]]*2*PI(),"j")</f>
        <v>659492.504667921j</v>
      </c>
      <c r="O138" t="str">
        <f>IMDIV(1,IMSUM(IMPRODUCT(_R1,_R2,_C1,_C2,IMPOWER(Table1[[#This Row],[s]],2)),IMPRODUCT(_C2,(_R1+_R2),Table1[[#This Row],[s]]),1))</f>
        <v>-0.0374401546517116-0.00369423747722224j</v>
      </c>
      <c r="P138">
        <f t="shared" si="7"/>
        <v>-28.491169515592716</v>
      </c>
      <c r="Q138">
        <f t="shared" si="8"/>
        <v>-174.36483925542942</v>
      </c>
    </row>
    <row r="139" spans="12:17" x14ac:dyDescent="0.25">
      <c r="L139">
        <v>0.74</v>
      </c>
      <c r="M139">
        <f t="shared" si="6"/>
        <v>109908.17477152492</v>
      </c>
      <c r="N139" t="str">
        <f>COMPLEX(0,Table1[[#This Row],[f]]*2*PI(),"j")</f>
        <v>690573.428863371j</v>
      </c>
      <c r="O139" t="str">
        <f>IMDIV(1,IMSUM(IMPRODUCT(_R1,_R2,_C1,_C2,IMPOWER(Table1[[#This Row],[s]],2)),IMPRODUCT(_C2,(_R1+_R2),Table1[[#This Row],[s]]),1))</f>
        <v>-0.0340635027638968-0.00319914732430142j</v>
      </c>
      <c r="P139">
        <f t="shared" si="7"/>
        <v>-29.316075210884538</v>
      </c>
      <c r="Q139">
        <f t="shared" si="8"/>
        <v>-174.63468117824701</v>
      </c>
    </row>
    <row r="140" spans="12:17" x14ac:dyDescent="0.25">
      <c r="L140">
        <v>0.76</v>
      </c>
      <c r="M140">
        <f t="shared" si="6"/>
        <v>115087.98746743142</v>
      </c>
      <c r="N140" t="str">
        <f>COMPLEX(0,Table1[[#This Row],[f]]*2*PI(),"j")</f>
        <v>723119.151888233j</v>
      </c>
      <c r="O140" t="str">
        <f>IMDIV(1,IMSUM(IMPRODUCT(_R1,_R2,_C1,_C2,IMPOWER(Table1[[#This Row],[s]],2)),IMPRODUCT(_C2,(_R1+_R2),Table1[[#This Row],[s]]),1))</f>
        <v>-0.030997968429512-0.00277183255713054j</v>
      </c>
      <c r="P140">
        <f t="shared" si="7"/>
        <v>-30.138747698217998</v>
      </c>
      <c r="Q140">
        <f t="shared" si="8"/>
        <v>-174.89021228338126</v>
      </c>
    </row>
    <row r="141" spans="12:17" x14ac:dyDescent="0.25">
      <c r="L141">
        <v>0.78</v>
      </c>
      <c r="M141">
        <f t="shared" si="6"/>
        <v>120511.91721487159</v>
      </c>
      <c r="N141" t="str">
        <f>COMPLEX(0,Table1[[#This Row],[f]]*2*PI(),"j")</f>
        <v>757198.707584524j</v>
      </c>
      <c r="O141" t="str">
        <f>IMDIV(1,IMSUM(IMPRODUCT(_R1,_R2,_C1,_C2,IMPOWER(Table1[[#This Row],[s]],2)),IMPRODUCT(_C2,(_R1+_R2),Table1[[#This Row],[s]]),1))</f>
        <v>-0.0282137825848512-0.0024027174938874j</v>
      </c>
      <c r="P141">
        <f t="shared" si="7"/>
        <v>-30.959390509398546</v>
      </c>
      <c r="Q141">
        <f t="shared" si="8"/>
        <v>-175.13237158700443</v>
      </c>
    </row>
    <row r="142" spans="12:17" x14ac:dyDescent="0.25">
      <c r="L142">
        <v>0.8</v>
      </c>
      <c r="M142">
        <f t="shared" si="6"/>
        <v>126191.46889603868</v>
      </c>
      <c r="N142" t="str">
        <f>COMPLEX(0,Table1[[#This Row],[f]]*2*PI(),"j")</f>
        <v>792884.383259j</v>
      </c>
      <c r="O142" t="str">
        <f>IMDIV(1,IMSUM(IMPRODUCT(_R1,_R2,_C1,_C2,IMPOWER(Table1[[#This Row],[s]],2)),IMPRODUCT(_C2,(_R1+_R2),Table1[[#This Row],[s]]),1))</f>
        <v>-0.0256842069524329-0.00208364128041782j</v>
      </c>
      <c r="P142">
        <f t="shared" si="7"/>
        <v>-31.778188084324594</v>
      </c>
      <c r="Q142">
        <f t="shared" si="8"/>
        <v>-175.36201450529074</v>
      </c>
    </row>
    <row r="143" spans="12:17" x14ac:dyDescent="0.25">
      <c r="L143">
        <v>0.82</v>
      </c>
      <c r="M143">
        <f t="shared" si="6"/>
        <v>132138.68960151923</v>
      </c>
      <c r="N143" t="str">
        <f>COMPLEX(0,Table1[[#This Row],[f]]*2*PI(),"j")</f>
        <v>830251.87301423j</v>
      </c>
      <c r="O143" t="str">
        <f>IMDIV(1,IMSUM(IMPRODUCT(_R1,_R2,_C1,_C2,IMPOWER(Table1[[#This Row],[s]],2)),IMPRODUCT(_C2,(_R1+_R2),Table1[[#This Row],[s]]),1))</f>
        <v>-0.0233851961727499-0.00180763606028074j</v>
      </c>
      <c r="P143">
        <f t="shared" si="7"/>
        <v>-32.595307649523328</v>
      </c>
      <c r="Q143">
        <f t="shared" si="8"/>
        <v>-175.5799226558027</v>
      </c>
    </row>
    <row r="144" spans="12:17" x14ac:dyDescent="0.25">
      <c r="L144">
        <v>0.84</v>
      </c>
      <c r="M144">
        <f t="shared" si="6"/>
        <v>138366.19418378733</v>
      </c>
      <c r="N144" t="str">
        <f>COMPLEX(0,Table1[[#This Row],[f]]*2*PI(),"j")</f>
        <v>869380.43830593j</v>
      </c>
      <c r="O144" t="str">
        <f>IMDIV(1,IMSUM(IMPRODUCT(_R1,_R2,_C1,_C2,IMPOWER(Table1[[#This Row],[s]],2)),IMPRODUCT(_C2,(_R1+_R2),Table1[[#This Row],[s]]),1))</f>
        <v>-0.0212951020793116-0.00156874253267258j</v>
      </c>
      <c r="P144">
        <f t="shared" si="7"/>
        <v>-33.410900898211963</v>
      </c>
      <c r="Q144">
        <f t="shared" si="8"/>
        <v>-175.78681228513625</v>
      </c>
    </row>
    <row r="145" spans="12:17" x14ac:dyDescent="0.25">
      <c r="L145">
        <v>0.86</v>
      </c>
      <c r="M145">
        <f t="shared" si="6"/>
        <v>144887.19201499806</v>
      </c>
      <c r="N145" t="str">
        <f>COMPLEX(0,Table1[[#This Row],[f]]*2*PI(),"j")</f>
        <v>910353.076067143j</v>
      </c>
      <c r="O145" t="str">
        <f>IMDIV(1,IMSUM(IMPRODUCT(_R1,_R2,_C1,_C2,IMPOWER(Table1[[#This Row],[s]],2)),IMPRODUCT(_C2,(_R1+_R2),Table1[[#This Row],[s]]),1))</f>
        <v>-0.0193944142279882-0.00136185607319935j</v>
      </c>
      <c r="P145">
        <f t="shared" si="7"/>
        <v>-34.225105494829442</v>
      </c>
      <c r="Q145">
        <f t="shared" si="8"/>
        <v>-175.98334153893873</v>
      </c>
    </row>
    <row r="146" spans="12:17" x14ac:dyDescent="0.25">
      <c r="L146">
        <v>0.88</v>
      </c>
      <c r="M146">
        <f t="shared" si="6"/>
        <v>151715.51500583676</v>
      </c>
      <c r="N146" t="str">
        <f>COMPLEX(0,Table1[[#This Row],[f]]*2*PI(),"j")</f>
        <v>953256.694755858j</v>
      </c>
      <c r="O146" t="str">
        <f>IMDIV(1,IMSUM(IMPRODUCT(_R1,_R2,_C1,_C2,IMPOWER(Table1[[#This Row],[s]],2)),IMPRODUCT(_C2,(_R1+_R2),Table1[[#This Row],[s]]),1))</f>
        <v>-0.0176655316943852-0.00118259794222162j</v>
      </c>
      <c r="P146">
        <f t="shared" si="7"/>
        <v>-35.0380464240816</v>
      </c>
      <c r="Q146">
        <f t="shared" si="8"/>
        <v>-176.17011675311292</v>
      </c>
    </row>
    <row r="147" spans="12:17" x14ac:dyDescent="0.25">
      <c r="L147">
        <v>0.9</v>
      </c>
      <c r="M147">
        <f t="shared" si="6"/>
        <v>158865.64694485636</v>
      </c>
      <c r="N147" t="str">
        <f>COMPLEX(0,Table1[[#This Row],[f]]*2*PI(),"j")</f>
        <v>998182.298699501j</v>
      </c>
      <c r="O147" t="str">
        <f>IMDIV(1,IMSUM(IMPRODUCT(_R1,_R2,_C1,_C2,IMPOWER(Table1[[#This Row],[s]],2)),IMPRODUCT(_C2,(_R1+_R2),Table1[[#This Row],[s]]),1))</f>
        <v>-0.0160925619089278-0.00102720716769324j</v>
      </c>
      <c r="P147">
        <f t="shared" si="7"/>
        <v>-35.84983720202937</v>
      </c>
      <c r="Q147">
        <f t="shared" si="8"/>
        <v>-176.34769791472479</v>
      </c>
    </row>
    <row r="148" spans="12:17" x14ac:dyDescent="0.25">
      <c r="L148">
        <v>0.92</v>
      </c>
      <c r="M148">
        <f t="shared" si="6"/>
        <v>166352.7542205342</v>
      </c>
      <c r="N148" t="str">
        <f>COMPLEX(0,Table1[[#This Row],[f]]*2*PI(),"j")</f>
        <v>1045225.18112732j</v>
      </c>
      <c r="O148" t="str">
        <f>IMDIV(1,IMSUM(IMPRODUCT(_R1,_R2,_C1,_C2,IMPOWER(Table1[[#This Row],[s]],2)),IMPRODUCT(_C2,(_R1+_R2),Table1[[#This Row],[s]]),1))</f>
        <v>-0.0146611429328177-0.00089244952950244j</v>
      </c>
      <c r="P148">
        <f t="shared" si="7"/>
        <v>-36.660580964577122</v>
      </c>
      <c r="Q148">
        <f t="shared" si="8"/>
        <v>-176.51660341643259</v>
      </c>
    </row>
    <row r="149" spans="12:17" x14ac:dyDescent="0.25">
      <c r="L149">
        <v>0.94</v>
      </c>
      <c r="M149">
        <f t="shared" si="6"/>
        <v>174192.71799121611</v>
      </c>
      <c r="N149" t="str">
        <f>COMPLEX(0,Table1[[#This Row],[f]]*2*PI(),"j")</f>
        <v>1094485.12630009j</v>
      </c>
      <c r="O149" t="str">
        <f>IMDIV(1,IMSUM(IMPRODUCT(_R1,_R2,_C1,_C2,IMPOWER(Table1[[#This Row],[s]],2)),IMPRODUCT(_C2,(_R1+_R2),Table1[[#This Row],[s]]),1))</f>
        <v>-0.0133582861094954-0.000775540739970952j</v>
      </c>
      <c r="P149">
        <f t="shared" si="7"/>
        <v>-37.470371446833404</v>
      </c>
      <c r="Q149">
        <f t="shared" si="8"/>
        <v>-176.6773142080153</v>
      </c>
    </row>
    <row r="150" spans="12:17" x14ac:dyDescent="0.25">
      <c r="L150">
        <v>0.96</v>
      </c>
      <c r="M150">
        <f t="shared" si="6"/>
        <v>182402.16787118197</v>
      </c>
      <c r="N150" t="str">
        <f>COMPLEX(0,Table1[[#This Row],[f]]*2*PI(),"j")</f>
        <v>1146066.62116591j</v>
      </c>
      <c r="O150" t="str">
        <f>IMDIV(1,IMSUM(IMPRODUCT(_R1,_R2,_C1,_C2,IMPOWER(Table1[[#This Row],[s]],2)),IMPRODUCT(_C2,(_R1+_R2),Table1[[#This Row],[s]]),1))</f>
        <v>-0.0121722364727733-0.000674081448254767j</v>
      </c>
      <c r="P150">
        <f t="shared" si="7"/>
        <v>-38.279293865186972</v>
      </c>
      <c r="Q150">
        <f t="shared" si="8"/>
        <v>-176.83027743194347</v>
      </c>
    </row>
    <row r="151" spans="12:17" x14ac:dyDescent="0.25">
      <c r="L151">
        <v>0.98</v>
      </c>
      <c r="M151">
        <f t="shared" si="6"/>
        <v>190998.51720428717</v>
      </c>
      <c r="N151" t="str">
        <f>COMPLEX(0,Table1[[#This Row],[f]]*2*PI(),"j")</f>
        <v>1200079.07699106j</v>
      </c>
      <c r="O151" t="str">
        <f>IMDIV(1,IMSUM(IMPRODUCT(_R1,_R2,_C1,_C2,IMPOWER(Table1[[#This Row],[s]],2)),IMPRODUCT(_C2,(_R1+_R2),Table1[[#This Row],[s]]),1))</f>
        <v>-0.0110923486686368-0.000586002123970848j</v>
      </c>
      <c r="P151">
        <f t="shared" si="7"/>
        <v>-39.087425712523725</v>
      </c>
      <c r="Q151">
        <f t="shared" si="8"/>
        <v>-176.97590961619613</v>
      </c>
    </row>
    <row r="152" spans="12:17" x14ac:dyDescent="0.25">
      <c r="L152">
        <v>1</v>
      </c>
      <c r="M152">
        <f t="shared" si="6"/>
        <v>200000</v>
      </c>
      <c r="N152" t="str">
        <f>COMPLEX(0,Table1[[#This Row],[f]]*2*PI(),"j")</f>
        <v>1256637.06143592j</v>
      </c>
      <c r="O152" t="str">
        <f>IMDIV(1,IMSUM(IMPRODUCT(_R1,_R2,_C1,_C2,IMPOWER(Table1[[#This Row],[s]],2)),IMPRODUCT(_C2,(_R1+_R2),Table1[[#This Row],[s]]),1))</f>
        <v>-0.0101089764646396-0.000509516219830163j</v>
      </c>
      <c r="P152">
        <f t="shared" si="7"/>
        <v>-39.894837475782417</v>
      </c>
      <c r="Q152">
        <f t="shared" si="8"/>
        <v>-177.11459948614791</v>
      </c>
    </row>
    <row r="153" spans="12:17" x14ac:dyDescent="0.25">
      <c r="L153">
        <v>1.02</v>
      </c>
      <c r="M153">
        <f t="shared" si="6"/>
        <v>209425.70961018</v>
      </c>
      <c r="N153" t="str">
        <f>COMPLEX(0,Table1[[#This Row],[f]]*2*PI(),"j")</f>
        <v>1315860.54156834j</v>
      </c>
      <c r="O153" t="str">
        <f>IMDIV(1,IMSUM(IMPRODUCT(_R1,_R2,_C1,_C2,IMPOWER(Table1[[#This Row],[s]],2)),IMPRODUCT(_C2,(_R1+_R2),Table1[[#This Row],[s]]),1))</f>
        <v>-0.00921337418865167-0.000443080291725337j</v>
      </c>
      <c r="P153">
        <f t="shared" si="7"/>
        <v>-40.701593283975868</v>
      </c>
      <c r="Q153">
        <f t="shared" si="8"/>
        <v>-177.24671044788693</v>
      </c>
    </row>
    <row r="154" spans="12:17" x14ac:dyDescent="0.25">
      <c r="L154">
        <v>1.04</v>
      </c>
      <c r="M154">
        <f t="shared" si="6"/>
        <v>219295.63922863707</v>
      </c>
      <c r="N154" t="str">
        <f>COMPLEX(0,Table1[[#This Row],[f]]*2*PI(),"j")</f>
        <v>1377875.13832993j</v>
      </c>
      <c r="O154" t="str">
        <f>IMDIV(1,IMSUM(IMPRODUCT(_R1,_R2,_C1,_C2,IMPOWER(Table1[[#This Row],[s]],2)),IMPRODUCT(_C2,(_R1+_R2),Table1[[#This Row],[s]]),1))</f>
        <v>-0.00839760866555449-0.000385359981086161j</v>
      </c>
      <c r="P154">
        <f t="shared" si="7"/>
        <v>-41.507751493874359</v>
      </c>
      <c r="Q154">
        <f t="shared" si="8"/>
        <v>-177.37258278742968</v>
      </c>
    </row>
    <row r="155" spans="12:17" x14ac:dyDescent="0.25">
      <c r="L155">
        <v>1.06</v>
      </c>
      <c r="M155">
        <f t="shared" si="6"/>
        <v>229630.72429937668</v>
      </c>
      <c r="N155" t="str">
        <f>COMPLEX(0,Table1[[#This Row],[f]]*2*PI(),"j")</f>
        <v>1442812.39299485j</v>
      </c>
      <c r="O155" t="str">
        <f>IMDIV(1,IMSUM(IMPRODUCT(_R1,_R2,_C1,_C2,IMPOWER(Table1[[#This Row],[s]],2)),IMPRODUCT(_C2,(_R1+_R2),Table1[[#This Row],[s]]),1))</f>
        <v>-0.00765448041305379-0.000335200948921055j</v>
      </c>
      <c r="P155">
        <f t="shared" si="7"/>
        <v>-42.313365219731018</v>
      </c>
      <c r="Q155">
        <f t="shared" si="8"/>
        <v>-177.49253562369194</v>
      </c>
    </row>
    <row r="156" spans="12:17" x14ac:dyDescent="0.25">
      <c r="L156">
        <v>1.08</v>
      </c>
      <c r="M156">
        <f t="shared" si="6"/>
        <v>240452.88692348264</v>
      </c>
      <c r="N156" t="str">
        <f>COMPLEX(0,Table1[[#This Row],[f]]*2*PI(),"j")</f>
        <v>1510810.04618654j</v>
      </c>
      <c r="O156" t="str">
        <f>IMDIV(1,IMSUM(IMPRODUCT(_R1,_R2,_C1,_C2,IMPOWER(Table1[[#This Row],[s]],2)),IMPRODUCT(_C2,(_R1+_R2),Table1[[#This Row],[s]]),1))</f>
        <v>-0.00697745302165384-0.00029160400208218j</v>
      </c>
      <c r="P156">
        <f t="shared" si="7"/>
        <v>-43.118482812717929</v>
      </c>
      <c r="Q156">
        <f t="shared" si="8"/>
        <v>-177.60686864752722</v>
      </c>
    </row>
    <row r="157" spans="12:17" x14ac:dyDescent="0.25">
      <c r="L157">
        <v>1.1000000000000001</v>
      </c>
      <c r="M157">
        <f t="shared" si="6"/>
        <v>251785.08235883361</v>
      </c>
      <c r="N157" t="str">
        <f>COMPLEX(0,Table1[[#This Row],[f]]*2*PI(),"j")</f>
        <v>1582012.33004403j</v>
      </c>
      <c r="O157" t="str">
        <f>IMDIV(1,IMSUM(IMPRODUCT(_R1,_R2,_C1,_C2,IMPOWER(Table1[[#This Row],[s]],2)),IMPRODUCT(_C2,(_R1+_R2),Table1[[#This Row],[s]]),1))</f>
        <v>-0.00636058978363602-0.0002537037764526j</v>
      </c>
      <c r="P157">
        <f t="shared" si="7"/>
        <v>-43.923148295119574</v>
      </c>
      <c r="Q157">
        <f t="shared" si="8"/>
        <v>-177.71586367447833</v>
      </c>
    </row>
    <row r="158" spans="12:17" x14ac:dyDescent="0.25">
      <c r="L158">
        <v>1.1200000000000001</v>
      </c>
      <c r="M158">
        <f t="shared" si="6"/>
        <v>263651.3477112815</v>
      </c>
      <c r="N158" t="str">
        <f>COMPLEX(0,Table1[[#This Row],[f]]*2*PI(),"j")</f>
        <v>1656570.27415762j</v>
      </c>
      <c r="O158" t="str">
        <f>IMDIV(1,IMSUM(IMPRODUCT(_R1,_R2,_C1,_C2,IMPOWER(Table1[[#This Row],[s]],2)),IMPRODUCT(_C2,(_R1+_R2),Table1[[#This Row],[s]]),1))</f>
        <v>-0.00579849675545165-0.000220750444124211j</v>
      </c>
      <c r="P158">
        <f t="shared" si="7"/>
        <v>-44.727401753777663</v>
      </c>
      <c r="Q158">
        <f t="shared" si="8"/>
        <v>-177.81978603494167</v>
      </c>
    </row>
    <row r="159" spans="12:17" x14ac:dyDescent="0.25">
      <c r="L159">
        <v>1.1399999999999999</v>
      </c>
      <c r="M159">
        <f t="shared" si="6"/>
        <v>276076.85292057705</v>
      </c>
      <c r="N159" t="str">
        <f>COMPLEX(0,Table1[[#This Row],[f]]*2*PI(),"j")</f>
        <v>1734642.02592295j</v>
      </c>
      <c r="O159" t="str">
        <f>IMDIV(1,IMSUM(IMPRODUCT(_R1,_R2,_C1,_C2,IMPOWER(Table1[[#This Row],[s]],2)),IMPRODUCT(_C2,(_R1+_R2),Table1[[#This Row],[s]]),1))</f>
        <v>-0.00528627154045011-0.000192093996322466j</v>
      </c>
      <c r="P159">
        <f t="shared" si="7"/>
        <v>-45.531279696803438</v>
      </c>
      <c r="Q159">
        <f t="shared" si="8"/>
        <v>-177.91888582211169</v>
      </c>
    </row>
    <row r="160" spans="12:17" x14ac:dyDescent="0.25">
      <c r="L160">
        <v>1.1599999999999999</v>
      </c>
      <c r="M160">
        <f t="shared" si="6"/>
        <v>289087.95414918551</v>
      </c>
      <c r="N160" t="str">
        <f>COMPLEX(0,Table1[[#This Row],[f]]*2*PI(),"j")</f>
        <v>1816393.18599277j</v>
      </c>
      <c r="O160" t="str">
        <f>IMDIV(1,IMSUM(IMPRODUCT(_R1,_R2,_C1,_C2,IMPOWER(Table1[[#This Row],[s]],2)),IMPRODUCT(_C2,(_R1+_R2),Table1[[#This Row],[s]]),1))</f>
        <v>-0.00481945716699131-0.000167170724120337j</v>
      </c>
      <c r="P160">
        <f t="shared" si="7"/>
        <v>-46.334815377144025</v>
      </c>
      <c r="Q160">
        <f t="shared" si="8"/>
        <v>-178.01339901524037</v>
      </c>
    </row>
    <row r="161" spans="12:17" x14ac:dyDescent="0.25">
      <c r="L161">
        <v>1.18</v>
      </c>
      <c r="M161">
        <f t="shared" si="6"/>
        <v>302712.24968724174</v>
      </c>
      <c r="N161" t="str">
        <f>COMPLEX(0,Table1[[#This Row],[f]]*2*PI(),"j")</f>
        <v>1901997.15953816j</v>
      </c>
      <c r="O161" t="str">
        <f>IMDIV(1,IMSUM(IMPRODUCT(_R1,_R2,_C1,_C2,IMPOWER(Table1[[#This Row],[s]],2)),IMPRODUCT(_C2,(_R1+_R2),Table1[[#This Row],[s]]),1))</f>
        <v>-0.00439400051293697-0.000145491577497416j</v>
      </c>
      <c r="P161">
        <f t="shared" si="7"/>
        <v>-47.13803908621729</v>
      </c>
      <c r="Q161">
        <f t="shared" si="8"/>
        <v>-178.10354849334126</v>
      </c>
    </row>
    <row r="162" spans="12:17" x14ac:dyDescent="0.25">
      <c r="L162">
        <v>1.2</v>
      </c>
      <c r="M162">
        <f t="shared" si="6"/>
        <v>316978.6384922227</v>
      </c>
      <c r="N162" t="str">
        <f>COMPLEX(0,Table1[[#This Row],[f]]*2*PI(),"j")</f>
        <v>1991635.52406412j</v>
      </c>
      <c r="O162" t="str">
        <f>IMDIV(1,IMSUM(IMPRODUCT(_R1,_R2,_C1,_C2,IMPOWER(Table1[[#This Row],[s]],2)),IMPRODUCT(_C2,(_R1+_R2),Table1[[#This Row],[s]]),1))</f>
        <v>-0.00400621479313994-0.000126632132156816j</v>
      </c>
      <c r="P162">
        <f t="shared" si="7"/>
        <v>-47.940978420494091</v>
      </c>
      <c r="Q162">
        <f t="shared" si="8"/>
        <v>-178.18954495241434</v>
      </c>
    </row>
    <row r="163" spans="12:17" x14ac:dyDescent="0.25">
      <c r="L163">
        <v>1.22</v>
      </c>
      <c r="M163">
        <f t="shared" si="6"/>
        <v>331917.38148751226</v>
      </c>
      <c r="N163" t="str">
        <f>COMPLEX(0,Table1[[#This Row],[f]]*2*PI(),"j")</f>
        <v>2085498.41455986j</v>
      </c>
      <c r="O163" t="str">
        <f>IMDIV(1,IMSUM(IMPRODUCT(_R1,_R2,_C1,_C2,IMPOWER(Table1[[#This Row],[s]],2)),IMPRODUCT(_C2,(_R1+_R2),Table1[[#This Row],[s]]),1))</f>
        <v>-0.00365274568339509-0.000110223934420278j</v>
      </c>
      <c r="P163">
        <f t="shared" si="7"/>
        <v>-48.743658523614222</v>
      </c>
      <c r="Q163">
        <f t="shared" si="8"/>
        <v>-178.27158773751884</v>
      </c>
    </row>
    <row r="164" spans="12:17" x14ac:dyDescent="0.25">
      <c r="L164">
        <v>1.24</v>
      </c>
      <c r="M164">
        <f t="shared" si="6"/>
        <v>347560.16574987513</v>
      </c>
      <c r="N164" t="str">
        <f>COMPLEX(0,Table1[[#This Row],[f]]*2*PI(),"j")</f>
        <v>2183784.92680052j</v>
      </c>
      <c r="O164" t="str">
        <f>IMDIV(1,IMSUM(IMPRODUCT(_R1,_R2,_C1,_C2,IMPOWER(Table1[[#This Row],[s]],2)),IMPRODUCT(_C2,(_R1+_R2),Table1[[#This Row],[s]]),1))</f>
        <v>-0.00333054070368414-0.0000959470288658047j</v>
      </c>
      <c r="P164">
        <f t="shared" si="7"/>
        <v>-49.546102306357021</v>
      </c>
      <c r="Q164">
        <f t="shared" si="8"/>
        <v>-178.34986559951903</v>
      </c>
    </row>
    <row r="165" spans="12:17" x14ac:dyDescent="0.25">
      <c r="L165">
        <v>1.26</v>
      </c>
      <c r="M165">
        <f t="shared" si="6"/>
        <v>363940.1717219968</v>
      </c>
      <c r="N165" t="str">
        <f>COMPLEX(0,Table1[[#This Row],[f]]*2*PI(),"j")</f>
        <v>2286703.53965607j</v>
      </c>
      <c r="O165" t="str">
        <f>IMDIV(1,IMSUM(IMPRODUCT(_R1,_R2,_C1,_C2,IMPOWER(Table1[[#This Row],[s]],2)),IMPRODUCT(_C2,(_R1+_R2),Table1[[#This Row],[s]]),1))</f>
        <v>-0.00303682152652343-0.0000835235022778884j</v>
      </c>
      <c r="P165">
        <f t="shared" si="7"/>
        <v>-50.348330646559667</v>
      </c>
      <c r="Q165">
        <f t="shared" si="8"/>
        <v>-178.42455738504461</v>
      </c>
    </row>
    <row r="166" spans="12:17" x14ac:dyDescent="0.25">
      <c r="L166">
        <v>1.28</v>
      </c>
      <c r="M166">
        <f t="shared" si="6"/>
        <v>381092.14359264955</v>
      </c>
      <c r="N166" t="str">
        <f>COMPLEX(0,Table1[[#This Row],[f]]*2*PI(),"j")</f>
        <v>2394472.55730291j</v>
      </c>
      <c r="O166" t="str">
        <f>IMDIV(1,IMSUM(IMPRODUCT(_R1,_R2,_C1,_C2,IMPOWER(Table1[[#This Row],[s]],2)),IMPRODUCT(_C2,(_R1+_R2),Table1[[#This Row],[s]]),1))</f>
        <v>-0.00276905891373654-0.0000727119018680824j</v>
      </c>
      <c r="P166">
        <f t="shared" si="7"/>
        <v>-51.150362570862868</v>
      </c>
      <c r="Q166">
        <f t="shared" si="8"/>
        <v>-178.49583266710223</v>
      </c>
    </row>
    <row r="167" spans="12:17" x14ac:dyDescent="0.25">
      <c r="L167">
        <v>1.3</v>
      </c>
      <c r="M167">
        <f t="shared" si="6"/>
        <v>399052.46299377608</v>
      </c>
      <c r="N167" t="str">
        <f>COMPLEX(0,Table1[[#This Row],[f]]*2*PI(),"j")</f>
        <v>2507320.57227632j</v>
      </c>
      <c r="O167" t="str">
        <f>IMDIV(1,IMSUM(IMPRODUCT(_R1,_R2,_C1,_C2,IMPOWER(Table1[[#This Row],[s]],2)),IMPRODUCT(_C2,(_R1+_R2),Table1[[#This Row],[s]]),1))</f>
        <v>-0.00252495001778665-0.0000633024063453769j</v>
      </c>
      <c r="P167">
        <f t="shared" si="7"/>
        <v>-51.952215419982267</v>
      </c>
      <c r="Q167">
        <f t="shared" si="8"/>
        <v>-178.56385232282548</v>
      </c>
    </row>
    <row r="168" spans="12:17" x14ac:dyDescent="0.25">
      <c r="L168">
        <v>1.32</v>
      </c>
      <c r="M168">
        <f t="shared" si="6"/>
        <v>417859.22617080802</v>
      </c>
      <c r="N168" t="str">
        <f>COMPLEX(0,Table1[[#This Row],[f]]*2*PI(),"j")</f>
        <v>2625486.95034585j</v>
      </c>
      <c r="O168" t="str">
        <f>IMDIV(1,IMSUM(IMPRODUCT(_R1,_R2,_C1,_C2,IMPOWER(Table1[[#This Row],[s]],2)),IMPRODUCT(_C2,(_R1+_R2),Table1[[#This Row],[s]]),1))</f>
        <v>-0.00230239781258011-0.0000551126458909499j</v>
      </c>
      <c r="P168">
        <f t="shared" si="7"/>
        <v>-52.75390499903552</v>
      </c>
      <c r="Q168">
        <f t="shared" si="8"/>
        <v>-178.62876906403088</v>
      </c>
    </row>
    <row r="169" spans="12:17" x14ac:dyDescent="0.25">
      <c r="L169">
        <v>1.34</v>
      </c>
      <c r="M169">
        <f t="shared" si="6"/>
        <v>437552.32478991075</v>
      </c>
      <c r="N169" t="str">
        <f>COMPLEX(0,Table1[[#This Row],[f]]*2*PI(),"j")</f>
        <v>2749222.33824224j</v>
      </c>
      <c r="O169" t="str">
        <f>IMDIV(1,IMSUM(IMPRODUCT(_R1,_R2,_C1,_C2,IMPOWER(Table1[[#This Row],[s]],2)),IMPRODUCT(_C2,(_R1+_R2),Table1[[#This Row],[s]]),1))</f>
        <v>-0.00209949244394234-0.0000479840819298866j</v>
      </c>
      <c r="P169">
        <f t="shared" si="7"/>
        <v>-53.555445714308604</v>
      </c>
      <c r="Q169">
        <f t="shared" si="8"/>
        <v>-178.69072792554232</v>
      </c>
    </row>
    <row r="170" spans="12:17" x14ac:dyDescent="0.25">
      <c r="L170">
        <v>1.36</v>
      </c>
      <c r="M170">
        <f t="shared" si="6"/>
        <v>458173.53055355477</v>
      </c>
      <c r="N170" t="str">
        <f>COMPLEX(0,Table1[[#This Row],[f]]*2*PI(),"j")</f>
        <v>2878789.19531269j</v>
      </c>
      <c r="O170" t="str">
        <f>IMDIV(1,IMSUM(IMPRODUCT(_R1,_R2,_C1,_C2,IMPOWER(Table1[[#This Row],[s]],2)),IMPRODUCT(_C2,(_R1+_R2),Table1[[#This Row],[s]]),1))</f>
        <v>-0.00191449431224455-0.0000417788702153625j</v>
      </c>
      <c r="P170">
        <f t="shared" si="7"/>
        <v>-54.356850697709859</v>
      </c>
      <c r="Q170">
        <f t="shared" si="8"/>
        <v>-178.74986671563377</v>
      </c>
    </row>
    <row r="171" spans="12:17" x14ac:dyDescent="0.25">
      <c r="L171">
        <v>1.38</v>
      </c>
      <c r="M171">
        <f t="shared" si="6"/>
        <v>479766.58380389813</v>
      </c>
      <c r="N171" t="str">
        <f>COMPLEX(0,Table1[[#This Row],[f]]*2*PI(),"j")</f>
        <v>3014462.3502324j</v>
      </c>
      <c r="O171" t="str">
        <f>IMDIV(1,IMSUM(IMPRODUCT(_R1,_R2,_C1,_C2,IMPOWER(Table1[[#This Row],[s]],2)),IMPRODUCT(_C2,(_R1+_R2),Table1[[#This Row],[s]]),1))</f>
        <v>-0.00174581871932334-0.0000363771414981325j</v>
      </c>
      <c r="P171">
        <f t="shared" si="7"/>
        <v>-55.158131920043026</v>
      </c>
      <c r="Q171">
        <f t="shared" si="8"/>
        <v>-178.80631643241284</v>
      </c>
    </row>
    <row r="172" spans="12:17" x14ac:dyDescent="0.25">
      <c r="L172">
        <v>1.4</v>
      </c>
      <c r="M172">
        <f t="shared" si="6"/>
        <v>502377.286301916</v>
      </c>
      <c r="N172" t="str">
        <f>COMPLEX(0,Table1[[#This Row],[f]]*2*PI(),"j")</f>
        <v>3156529.58395295j</v>
      </c>
      <c r="O172" t="str">
        <f>IMDIV(1,IMSUM(IMPRODUCT(_R1,_R2,_C1,_C2,IMPOWER(Table1[[#This Row],[s]],2)),IMPRODUCT(_C2,(_R1+_R2),Table1[[#This Row],[s]]),1))</f>
        <v>-0.00159202192922941-0.0000316746432369618j</v>
      </c>
      <c r="P172">
        <f t="shared" si="7"/>
        <v>-55.959300294120581</v>
      </c>
      <c r="Q172">
        <f t="shared" si="8"/>
        <v>-178.86020164950742</v>
      </c>
    </row>
    <row r="173" spans="12:17" x14ac:dyDescent="0.25">
      <c r="L173">
        <v>1.42</v>
      </c>
      <c r="M173">
        <f t="shared" si="6"/>
        <v>526053.59837907646</v>
      </c>
      <c r="N173" t="str">
        <f>COMPLEX(0,Table1[[#This Row],[f]]*2*PI(),"j")</f>
        <v>3305292.24012436j</v>
      </c>
      <c r="O173" t="str">
        <f>IMDIV(1,IMSUM(IMPRODUCT(_R1,_R2,_C1,_C2,IMPOWER(Table1[[#This Row],[s]],2)),IMPRODUCT(_C2,(_R1+_R2),Table1[[#This Row],[s]]),1))</f>
        <v>-0.00145178850775668-0.0000275806936563699j</v>
      </c>
      <c r="P173">
        <f t="shared" si="7"/>
        <v>-56.760365768645173</v>
      </c>
      <c r="Q173">
        <f t="shared" si="8"/>
        <v>-178.91164087402115</v>
      </c>
    </row>
    <row r="174" spans="12:17" x14ac:dyDescent="0.25">
      <c r="L174">
        <v>1.44</v>
      </c>
      <c r="M174">
        <f t="shared" si="6"/>
        <v>550845.74066763336</v>
      </c>
      <c r="N174" t="str">
        <f>COMPLEX(0,Table1[[#This Row],[f]]*2*PI(),"j")</f>
        <v>3461065.86428533j</v>
      </c>
      <c r="O174" t="str">
        <f>IMDIV(1,IMSUM(IMPRODUCT(_R1,_R2,_C1,_C2,IMPOWER(Table1[[#This Row],[s]],2)),IMPRODUCT(_C2,(_R1+_R2),Table1[[#This Row],[s]]),1))</f>
        <v>-0.00132391981939222-0.0000240164061797787j</v>
      </c>
      <c r="P174">
        <f t="shared" si="7"/>
        <v>-57.561337413697331</v>
      </c>
      <c r="Q174">
        <f t="shared" si="8"/>
        <v>-178.96074687937622</v>
      </c>
    </row>
    <row r="175" spans="12:17" x14ac:dyDescent="0.25">
      <c r="L175">
        <v>1.46</v>
      </c>
      <c r="M175">
        <f t="shared" si="6"/>
        <v>576806.30062532134</v>
      </c>
      <c r="N175" t="str">
        <f>COMPLEX(0,Table1[[#This Row],[f]]*2*PI(),"j")</f>
        <v>3624180.87317763j</v>
      </c>
      <c r="O175" t="str">
        <f>IMDIV(1,IMSUM(IMPRODUCT(_R1,_R2,_C1,_C2,IMPOWER(Table1[[#This Row],[s]],2)),IMPRODUCT(_C2,(_R1+_R2),Table1[[#This Row],[s]]),1))</f>
        <v>-0.00120732357250392-0.0000209131480288385j</v>
      </c>
      <c r="P175">
        <f t="shared" si="7"/>
        <v>-58.362223498590211</v>
      </c>
      <c r="Q175">
        <f t="shared" si="8"/>
        <v>-179.00762701536055</v>
      </c>
    </row>
    <row r="176" spans="12:17" x14ac:dyDescent="0.25">
      <c r="L176">
        <v>1.48</v>
      </c>
      <c r="M176">
        <f t="shared" si="6"/>
        <v>603990.34408040333</v>
      </c>
      <c r="N176" t="str">
        <f>COMPLEX(0,Table1[[#This Row],[f]]*2*PI(),"j")</f>
        <v>3794983.25560433j</v>
      </c>
      <c r="O176" t="str">
        <f>IMDIV(1,IMSUM(IMPRODUCT(_R1,_R2,_C1,_C2,IMPOWER(Table1[[#This Row],[s]],2)),IMPRODUCT(_C2,(_R1+_R2),Table1[[#This Row],[s]]),1))</f>
        <v>-0.00110100431443322-0.0000182112017264454j</v>
      </c>
      <c r="P176">
        <f t="shared" si="7"/>
        <v>-59.163031562783118</v>
      </c>
      <c r="Q176">
        <f t="shared" si="8"/>
        <v>-179.05238349743482</v>
      </c>
    </row>
    <row r="177" spans="12:17" x14ac:dyDescent="0.25">
      <c r="L177">
        <v>1.5</v>
      </c>
      <c r="M177">
        <f t="shared" si="6"/>
        <v>632455.53203367605</v>
      </c>
      <c r="N177" t="str">
        <f>COMPLEX(0,Table1[[#This Row],[f]]*2*PI(),"j")</f>
        <v>3973835.30631844j</v>
      </c>
      <c r="O177" t="str">
        <f>IMDIV(1,IMSUM(IMPRODUCT(_R1,_R2,_C1,_C2,IMPOWER(Table1[[#This Row],[s]],2)),IMPRODUCT(_C2,(_R1+_R2),Table1[[#This Row],[s]]),1))</f>
        <v>-0.00100405478784543-0.0000158586024921991j</v>
      </c>
      <c r="P177">
        <f t="shared" si="7"/>
        <v>-59.96376848047823</v>
      </c>
      <c r="Q177">
        <f t="shared" si="8"/>
        <v>-179.09511367712358</v>
      </c>
    </row>
    <row r="178" spans="12:17" x14ac:dyDescent="0.25">
      <c r="L178">
        <v>1.52</v>
      </c>
      <c r="M178">
        <f t="shared" si="6"/>
        <v>662262.24296518252</v>
      </c>
      <c r="N178" t="str">
        <f>COMPLEX(0,Table1[[#This Row],[f]]*2*PI(),"j")</f>
        <v>4161116.39449863j</v>
      </c>
      <c r="O178" t="str">
        <f>IMDIV(1,IMSUM(IMPRODUCT(_R1,_R2,_C1,_C2,IMPOWER(Table1[[#This Row],[s]],2)),IMPRODUCT(_C2,(_R1+_R2),Table1[[#This Row],[s]]),1))</f>
        <v>-0.000915648068346953-0.0000138101281764684j</v>
      </c>
      <c r="P178">
        <f t="shared" si="7"/>
        <v>-60.76444051946978</v>
      </c>
      <c r="Q178">
        <f t="shared" si="8"/>
        <v>-179.13591029511565</v>
      </c>
    </row>
    <row r="179" spans="12:17" x14ac:dyDescent="0.25">
      <c r="L179">
        <v>1.54</v>
      </c>
      <c r="M179">
        <f t="shared" si="6"/>
        <v>693473.70090506354</v>
      </c>
      <c r="N179" t="str">
        <f>COMPLEX(0,Table1[[#This Row],[f]]*2*PI(),"j")</f>
        <v>4357223.76844215j</v>
      </c>
      <c r="O179" t="str">
        <f>IMDIV(1,IMSUM(IMPRODUCT(_R1,_R2,_C1,_C2,IMPOWER(Table1[[#This Row],[s]],2)),IMPRODUCT(_C2,(_R1+_R2),Table1[[#This Row],[s]]),1))</f>
        <v>-0.000835030411128936-0.0000120264215289572j</v>
      </c>
      <c r="P179">
        <f t="shared" si="7"/>
        <v>-61.56505339476282</v>
      </c>
      <c r="Q179">
        <f t="shared" si="8"/>
        <v>-179.17486171852306</v>
      </c>
    </row>
    <row r="180" spans="12:17" x14ac:dyDescent="0.25">
      <c r="L180">
        <v>1.56</v>
      </c>
      <c r="M180">
        <f t="shared" si="6"/>
        <v>726156.10954020312</v>
      </c>
      <c r="N180" t="str">
        <f>COMPLEX(0,Table1[[#This Row],[f]]*2*PI(),"j")</f>
        <v>4562573.39818169j</v>
      </c>
      <c r="O180" t="str">
        <f>IMDIV(1,IMSUM(IMPRODUCT(_R1,_R2,_C1,_C2,IMPOWER(Table1[[#This Row],[s]],2)),IMPRODUCT(_C2,(_R1+_R2),Table1[[#This Row],[s]]),1))</f>
        <v>-0.000761514741344568-0.000010473227312653j</v>
      </c>
      <c r="P180">
        <f t="shared" si="7"/>
        <v>-62.365612317430255</v>
      </c>
      <c r="Q180">
        <f t="shared" si="8"/>
        <v>-179.21205216359343</v>
      </c>
    </row>
    <row r="181" spans="12:17" x14ac:dyDescent="0.25">
      <c r="L181">
        <v>1.58</v>
      </c>
      <c r="M181">
        <f t="shared" si="6"/>
        <v>760378.79264112283</v>
      </c>
      <c r="N181" t="str">
        <f>COMPLEX(0,Table1[[#This Row],[f]]*2*PI(),"j")</f>
        <v>4777600.85781366j</v>
      </c>
      <c r="O181" t="str">
        <f>IMDIV(1,IMSUM(IMPRODUCT(_R1,_R2,_C1,_C2,IMPOWER(Table1[[#This Row],[s]],2)),IMPRODUCT(_C2,(_R1+_R2),Table1[[#This Row],[s]]),1))</f>
        <v>-0.000694474729163374-9.12072911628962E-06j</v>
      </c>
      <c r="P181">
        <f t="shared" si="7"/>
        <v>-63.166122039133754</v>
      </c>
      <c r="Q181">
        <f t="shared" si="8"/>
        <v>-179.24756190503618</v>
      </c>
    </row>
    <row r="182" spans="12:17" x14ac:dyDescent="0.25">
      <c r="L182">
        <v>1.6</v>
      </c>
      <c r="M182">
        <f t="shared" si="6"/>
        <v>796214.34110699513</v>
      </c>
      <c r="N182" t="str">
        <f>COMPLEX(0,Table1[[#This Row],[f]]*2*PI(),"j")</f>
        <v>5002762.24940915j</v>
      </c>
      <c r="O182" t="str">
        <f>IMDIV(1,IMSUM(IMPRODUCT(_R1,_R2,_C1,_C2,IMPOWER(Table1[[#This Row],[s]],2)),IMPRODUCT(_C2,(_R1+_R2),Table1[[#This Row],[s]]),1))</f>
        <v>-0.00063333939604993-7.94297274072756E-06j</v>
      </c>
      <c r="P182">
        <f t="shared" si="7"/>
        <v>-63.966586892697165</v>
      </c>
      <c r="Q182">
        <f t="shared" si="8"/>
        <v>-179.28146747300383</v>
      </c>
    </row>
    <row r="183" spans="12:17" x14ac:dyDescent="0.25">
      <c r="L183">
        <v>1.62</v>
      </c>
      <c r="M183">
        <f t="shared" si="6"/>
        <v>833738.76694067125</v>
      </c>
      <c r="N183" t="str">
        <f>COMPLEX(0,Table1[[#This Row],[f]]*2*PI(),"j")</f>
        <v>5238535.17046765j</v>
      </c>
      <c r="O183" t="str">
        <f>IMDIV(1,IMSUM(IMPRODUCT(_R1,_R2,_C1,_C2,IMPOWER(Table1[[#This Row],[s]],2)),IMPRODUCT(_C2,(_R1+_R2),Table1[[#This Row],[s]]),1))</f>
        <v>-0.000577588203856726-6.91736478193805E-06j</v>
      </c>
      <c r="P183">
        <f t="shared" si="7"/>
        <v>-64.767010829085137</v>
      </c>
      <c r="Q183">
        <f t="shared" si="8"/>
        <v>-179.31384183866555</v>
      </c>
    </row>
    <row r="184" spans="12:17" x14ac:dyDescent="0.25">
      <c r="L184">
        <v>1.64</v>
      </c>
      <c r="M184">
        <f t="shared" si="6"/>
        <v>873031.66448033229</v>
      </c>
      <c r="N184" t="str">
        <f>COMPLEX(0,Table1[[#This Row],[f]]*2*PI(),"j")</f>
        <v>5485419.72696536j</v>
      </c>
      <c r="O184" t="str">
        <f>IMDIV(1,IMSUM(IMPRODUCT(_R1,_R2,_C1,_C2,IMPOWER(Table1[[#This Row],[s]],2)),IMPRODUCT(_C2,(_R1+_R2),Table1[[#This Row],[s]]),1))</f>
        <v>-0.000526746582862144-6.02423654396899E-06j</v>
      </c>
      <c r="P184">
        <f t="shared" si="7"/>
        <v>-65.567397451106189</v>
      </c>
      <c r="Q184">
        <f t="shared" si="8"/>
        <v>-179.34475458921716</v>
      </c>
    </row>
    <row r="185" spans="12:17" x14ac:dyDescent="0.25">
      <c r="L185">
        <v>1.66</v>
      </c>
      <c r="M185">
        <f t="shared" si="6"/>
        <v>914176.37922975013</v>
      </c>
      <c r="N185" t="str">
        <f>COMPLEX(0,Table1[[#This Row],[f]]*2*PI(),"j")</f>
        <v>5743939.594147j</v>
      </c>
      <c r="O185" t="str">
        <f>IMDIV(1,IMSUM(IMPRODUCT(_R1,_R2,_C1,_C2,IMPOWER(Table1[[#This Row],[s]],2)),IMPRODUCT(_C2,(_R1+_R2),Table1[[#This Row],[s]]),1))</f>
        <v>-0.000480381858978345-5.24646472219887E-06j</v>
      </c>
      <c r="P185">
        <f t="shared" si="7"/>
        <v>-66.367750044133288</v>
      </c>
      <c r="Q185">
        <f t="shared" si="8"/>
        <v>-179.37427209309129</v>
      </c>
    </row>
    <row r="186" spans="12:17" x14ac:dyDescent="0.25">
      <c r="L186">
        <v>1.68</v>
      </c>
      <c r="M186">
        <f t="shared" si="6"/>
        <v>957260.1846452771</v>
      </c>
      <c r="N186" t="str">
        <f>COMPLEX(0,Table1[[#This Row],[f]]*2*PI(),"j")</f>
        <v>6014643.12731122j</v>
      </c>
      <c r="O186" t="str">
        <f>IMDIV(1,IMSUM(IMPRODUCT(_R1,_R2,_C1,_C2,IMPOWER(Table1[[#This Row],[s]],2)),IMPRODUCT(_C2,(_R1+_R2),Table1[[#This Row],[s]]),1))</f>
        <v>-0.000438099544048238-4.56914142849475E-06j</v>
      </c>
      <c r="P186">
        <f t="shared" si="7"/>
        <v>-67.1680716041067</v>
      </c>
      <c r="Q186">
        <f t="shared" si="8"/>
        <v>-179.40245765605877</v>
      </c>
    </row>
    <row r="187" spans="12:17" x14ac:dyDescent="0.25">
      <c r="L187">
        <v>1.7</v>
      </c>
      <c r="M187">
        <f t="shared" si="6"/>
        <v>1002374.4672545447</v>
      </c>
      <c r="N187" t="str">
        <f>COMPLEX(0,Table1[[#This Row],[f]]*2*PI(),"j")</f>
        <v>6298104.52494572j</v>
      </c>
      <c r="O187" t="str">
        <f>IMDIV(1,IMSUM(IMPRODUCT(_R1,_R2,_C1,_C2,IMPOWER(Table1[[#This Row],[s]],2)),IMPRODUCT(_C2,(_R1+_R2),Table1[[#This Row],[s]]),1))</f>
        <v>-0.000399539956487014-3.97928710967374E-06j</v>
      </c>
      <c r="P187">
        <f t="shared" si="7"/>
        <v>-67.968364863060685</v>
      </c>
      <c r="Q187">
        <f t="shared" si="8"/>
        <v>-179.42937166884869</v>
      </c>
    </row>
    <row r="188" spans="12:17" x14ac:dyDescent="0.25">
      <c r="L188">
        <v>1.72</v>
      </c>
      <c r="M188">
        <f t="shared" si="6"/>
        <v>1049614.9204995458</v>
      </c>
      <c r="N188" t="str">
        <f>COMPLEX(0,Table1[[#This Row],[f]]*2*PI(),"j")</f>
        <v>6594925.04667922j</v>
      </c>
      <c r="O188" t="str">
        <f>IMDIV(1,IMSUM(IMPRODUCT(_R1,_R2,_C1,_C2,IMPOWER(Table1[[#This Row],[s]],2)),IMPRODUCT(_C2,(_R1+_R2),Table1[[#This Row],[s]]),1))</f>
        <v>-0.000364375142539195-3.46560075962958E-06j</v>
      </c>
      <c r="P188">
        <f t="shared" si="7"/>
        <v>-68.768632312394132</v>
      </c>
      <c r="Q188">
        <f t="shared" si="8"/>
        <v>-179.45507174685767</v>
      </c>
    </row>
    <row r="189" spans="12:17" x14ac:dyDescent="0.25">
      <c r="L189">
        <v>1.74</v>
      </c>
      <c r="M189">
        <f t="shared" si="6"/>
        <v>1099081.7477152494</v>
      </c>
      <c r="N189" t="str">
        <f>COMPLEX(0,Table1[[#This Row],[f]]*2*PI(),"j")</f>
        <v>6905734.28863372j</v>
      </c>
      <c r="O189" t="str">
        <f>IMDIV(1,IMSUM(IMPRODUCT(_R1,_R2,_C1,_C2,IMPOWER(Table1[[#This Row],[s]],2)),IMPRODUCT(_C2,(_R1+_R2),Table1[[#This Row],[s]]),1))</f>
        <v>-0.000332306071149658-3.01824256142182E-06j</v>
      </c>
      <c r="P189">
        <f t="shared" si="7"/>
        <v>-69.568876224085201</v>
      </c>
      <c r="Q189">
        <f t="shared" si="8"/>
        <v>-179.47961286246968</v>
      </c>
    </row>
    <row r="190" spans="12:17" x14ac:dyDescent="0.25">
      <c r="L190">
        <v>1.76</v>
      </c>
      <c r="M190">
        <f t="shared" si="6"/>
        <v>1150879.8746743139</v>
      </c>
      <c r="N190" t="str">
        <f>COMPLEX(0,Table1[[#This Row],[f]]*2*PI(),"j")</f>
        <v>7231191.51888233j</v>
      </c>
      <c r="O190" t="str">
        <f>IMDIV(1,IMSUM(IMPRODUCT(_R1,_R2,_C1,_C2,IMPOWER(Table1[[#This Row],[s]],2)),IMPRODUCT(_C2,(_R1+_R2),Table1[[#This Row],[s]]),1))</f>
        <v>-0.000303060077915752-2.62864473383287E-06j</v>
      </c>
      <c r="P190">
        <f t="shared" si="7"/>
        <v>-70.3690986700325</v>
      </c>
      <c r="Q190">
        <f t="shared" si="8"/>
        <v>-179.50304747046067</v>
      </c>
    </row>
    <row r="191" spans="12:17" x14ac:dyDescent="0.25">
      <c r="L191">
        <v>1.78</v>
      </c>
      <c r="M191">
        <f t="shared" si="6"/>
        <v>1205119.1721487164</v>
      </c>
      <c r="N191" t="str">
        <f>COMPLEX(0,Table1[[#This Row],[f]]*2*PI(),"j")</f>
        <v>7571987.07584524j</v>
      </c>
      <c r="O191" t="str">
        <f>IMDIV(1,IMSUM(IMPRODUCT(_R1,_R2,_C1,_C2,IMPOWER(Table1[[#This Row],[s]],2)),IMPRODUCT(_C2,(_R1+_R2),Table1[[#This Row],[s]]),1))</f>
        <v>-0.000276388535823408-2.28934691056395E-06j</v>
      </c>
      <c r="P191">
        <f t="shared" si="7"/>
        <v>-71.169301539688604</v>
      </c>
      <c r="Q191">
        <f t="shared" si="8"/>
        <v>-179.52542562692494</v>
      </c>
    </row>
    <row r="192" spans="12:17" x14ac:dyDescent="0.25">
      <c r="L192">
        <v>1.8</v>
      </c>
      <c r="M192">
        <f t="shared" si="6"/>
        <v>1261914.6889603874</v>
      </c>
      <c r="N192" t="str">
        <f>COMPLEX(0,Table1[[#This Row],[f]]*2*PI(),"j")</f>
        <v>7928843.83259j</v>
      </c>
      <c r="O192" t="str">
        <f>IMDIV(1,IMSUM(IMPRODUCT(_R1,_R2,_C1,_C2,IMPOWER(Table1[[#This Row],[s]],2)),IMPRODUCT(_C2,(_R1+_R2),Table1[[#This Row],[s]]),1))</f>
        <v>-0.000252064732496199-1.99385286072525E-06j</v>
      </c>
      <c r="P192">
        <f t="shared" si="7"/>
        <v>-71.969486556136758</v>
      </c>
      <c r="Q192">
        <f t="shared" si="8"/>
        <v>-179.54679510212219</v>
      </c>
    </row>
    <row r="193" spans="12:17" x14ac:dyDescent="0.25">
      <c r="L193">
        <v>1.82</v>
      </c>
      <c r="M193">
        <f t="shared" si="6"/>
        <v>1321386.8960151924</v>
      </c>
      <c r="N193" t="str">
        <f>COMPLEX(0,Table1[[#This Row],[f]]*2*PI(),"j")</f>
        <v>8302518.7301423j</v>
      </c>
      <c r="O193" t="str">
        <f>IMDIV(1,IMSUM(IMPRODUCT(_R1,_R2,_C1,_C2,IMPOWER(Table1[[#This Row],[s]],2)),IMPRODUCT(_C2,(_R1+_R2),Table1[[#This Row],[s]]),1))</f>
        <v>-0.000229881935523224-1.73650577638036E-06j</v>
      </c>
      <c r="P193">
        <f t="shared" si="7"/>
        <v>-72.769655290749853</v>
      </c>
      <c r="Q193">
        <f t="shared" si="8"/>
        <v>-179.56720148761329</v>
      </c>
    </row>
    <row r="194" spans="12:17" x14ac:dyDescent="0.25">
      <c r="L194">
        <v>1.84</v>
      </c>
      <c r="M194">
        <f t="shared" ref="M194:M202" si="9">10^L194*fc</f>
        <v>1383661.9418378731</v>
      </c>
      <c r="N194" t="str">
        <f>COMPLEX(0,Table1[[#This Row],[f]]*2*PI(),"j")</f>
        <v>8693804.3830593j</v>
      </c>
      <c r="O194" t="str">
        <f>IMDIV(1,IMSUM(IMPRODUCT(_R1,_R2,_C1,_C2,IMPOWER(Table1[[#This Row],[s]],2)),IMPRODUCT(_C2,(_R1+_R2),Table1[[#This Row],[s]]),1))</f>
        <v>-0.000209651629098103-1.51237971509512E-06j</v>
      </c>
      <c r="P194">
        <f t="shared" si="7"/>
        <v>-73.569809176555509</v>
      </c>
      <c r="Q194">
        <f t="shared" si="8"/>
        <v>-179.58668829802374</v>
      </c>
    </row>
    <row r="195" spans="12:17" x14ac:dyDescent="0.25">
      <c r="L195">
        <v>1.86</v>
      </c>
      <c r="M195">
        <f t="shared" si="9"/>
        <v>1448871.9201499813</v>
      </c>
      <c r="N195" t="str">
        <f>COMPLEX(0,Table1[[#This Row],[f]]*2*PI(),"j")</f>
        <v>9103530.76067144j</v>
      </c>
      <c r="O195" t="str">
        <f>IMDIV(1,IMSUM(IMPRODUCT(_R1,_R2,_C1,_C2,IMPOWER(Table1[[#This Row],[s]],2)),IMPRODUCT(_C2,(_R1+_R2),Table1[[#This Row],[s]]),1))</f>
        <v>-0.000191201906713551-1.31718510002483E-06j</v>
      </c>
      <c r="P195">
        <f t="shared" ref="P195:P202" si="10">20*LOG(IMABS(O195))</f>
        <v>-74.369949520422722</v>
      </c>
      <c r="Q195">
        <f t="shared" ref="Q195:Q202" si="11">DEGREES(IMARGUMENT(O195))</f>
        <v>-179.6052970677479</v>
      </c>
    </row>
    <row r="196" spans="12:17" x14ac:dyDescent="0.25">
      <c r="L196">
        <v>1.88</v>
      </c>
      <c r="M196">
        <f t="shared" si="9"/>
        <v>1517155.1500583673</v>
      </c>
      <c r="N196" t="str">
        <f>COMPLEX(0,Table1[[#This Row],[f]]*2*PI(),"j")</f>
        <v>9532566.94755857j</v>
      </c>
      <c r="O196" t="str">
        <f>IMDIV(1,IMSUM(IMPRODUCT(_R1,_R2,_C1,_C2,IMPOWER(Table1[[#This Row],[s]],2)),IMPRODUCT(_C2,(_R1+_R2),Table1[[#This Row],[s]]),1))</f>
        <v>-0.000174376006028992-1.14718645337807E-06j</v>
      </c>
      <c r="P196">
        <f t="shared" si="10"/>
        <v>-75.170077514173798</v>
      </c>
      <c r="Q196">
        <f t="shared" si="11"/>
        <v>-179.62306744288358</v>
      </c>
    </row>
    <row r="197" spans="12:17" x14ac:dyDescent="0.25">
      <c r="L197">
        <v>1.9</v>
      </c>
      <c r="M197">
        <f t="shared" si="9"/>
        <v>1588656.4694485639</v>
      </c>
      <c r="N197" t="str">
        <f>COMPLEX(0,Table1[[#This Row],[f]]*2*PI(),"j")</f>
        <v>9981822.98699501j</v>
      </c>
      <c r="O197" t="str">
        <f>IMDIV(1,IMSUM(IMPRODUCT(_R1,_R2,_C1,_C2,IMPOWER(Table1[[#This Row],[s]],2)),IMPRODUCT(_C2,(_R1+_R2),Table1[[#This Row],[s]]),1))</f>
        <v>-0.00015903097327568-9.99130776584587E-07j</v>
      </c>
      <c r="P197">
        <f t="shared" si="10"/>
        <v>-75.970194244716765</v>
      </c>
      <c r="Q197">
        <f t="shared" si="11"/>
        <v>-179.64003726866579</v>
      </c>
    </row>
    <row r="198" spans="12:17" x14ac:dyDescent="0.25">
      <c r="L198">
        <v>1.92</v>
      </c>
      <c r="M198">
        <f t="shared" si="9"/>
        <v>1663527.5422053426</v>
      </c>
      <c r="N198" t="str">
        <f>COMPLEX(0,Table1[[#This Row],[f]]*2*PI(),"j")</f>
        <v>10452251.8112732j</v>
      </c>
      <c r="O198" t="str">
        <f>IMDIV(1,IMSUM(IMPRODUCT(_R1,_R2,_C1,_C2,IMPOWER(Table1[[#This Row],[s]],2)),IMPRODUCT(_C2,(_R1+_R2),Table1[[#This Row],[s]]),1))</f>
        <v>-0.000145036445696769-8.70185196906262E-07j</v>
      </c>
      <c r="P198">
        <f t="shared" si="10"/>
        <v>-76.77030070328459</v>
      </c>
      <c r="Q198">
        <f t="shared" si="11"/>
        <v>-179.65624267264928</v>
      </c>
    </row>
    <row r="199" spans="12:17" x14ac:dyDescent="0.25">
      <c r="L199">
        <v>1.94</v>
      </c>
      <c r="M199">
        <f t="shared" si="9"/>
        <v>1741927.1799121613</v>
      </c>
      <c r="N199" t="str">
        <f>COMPLEX(0,Table1[[#This Row],[f]]*2*PI(),"j")</f>
        <v>10944851.2630009j</v>
      </c>
      <c r="O199" t="str">
        <f>IMDIV(1,IMSUM(IMPRODUCT(_R1,_R2,_C1,_C2,IMPOWER(Table1[[#This Row],[s]],2)),IMPRODUCT(_C2,(_R1+_R2),Table1[[#This Row],[s]]),1))</f>
        <v>-0.000132273541549499-7.57882679661726E-07j</v>
      </c>
      <c r="P199">
        <f t="shared" si="10"/>
        <v>-77.570397793859939</v>
      </c>
      <c r="Q199">
        <f t="shared" si="11"/>
        <v>-179.67171814387169</v>
      </c>
    </row>
    <row r="200" spans="12:17" x14ac:dyDescent="0.25">
      <c r="L200">
        <v>1.96</v>
      </c>
      <c r="M200">
        <f t="shared" si="9"/>
        <v>1824021.6787118195</v>
      </c>
      <c r="N200" t="str">
        <f>COMPLEX(0,Table1[[#This Row],[f]]*2*PI(),"j")</f>
        <v>11460666.2116591j</v>
      </c>
      <c r="O200" t="str">
        <f>IMDIV(1,IMSUM(IMPRODUCT(_R1,_R2,_C1,_C2,IMPOWER(Table1[[#This Row],[s]],2)),IMPRODUCT(_C2,(_R1+_R2),Table1[[#This Row],[s]]),1))</f>
        <v>-0.000120633848132807-6.60074761240388E-07j</v>
      </c>
      <c r="P200">
        <f t="shared" si="10"/>
        <v>-78.370486340857909</v>
      </c>
      <c r="Q200">
        <f t="shared" si="11"/>
        <v>-179.68649660821458</v>
      </c>
    </row>
    <row r="201" spans="12:17" x14ac:dyDescent="0.25">
      <c r="L201">
        <v>1.98</v>
      </c>
      <c r="M201">
        <f t="shared" si="9"/>
        <v>1909985.172042873</v>
      </c>
      <c r="N201" t="str">
        <f>COMPLEX(0,Table1[[#This Row],[f]]*2*PI(),"j")</f>
        <v>12000790.7699107j</v>
      </c>
      <c r="O201" t="str">
        <f>IMDIV(1,IMSUM(IMPRODUCT(_R1,_R2,_C1,_C2,IMPOWER(Table1[[#This Row],[s]],2)),IMPRODUCT(_C2,(_R1+_R2),Table1[[#This Row],[s]]),1))</f>
        <v>-0.000110018499154999-5.74890393739362E-07j</v>
      </c>
      <c r="P201">
        <f t="shared" si="10"/>
        <v>-79.170567096131805</v>
      </c>
      <c r="Q201">
        <f t="shared" si="11"/>
        <v>-179.70060950016332</v>
      </c>
    </row>
    <row r="202" spans="12:17" x14ac:dyDescent="0.25">
      <c r="L202">
        <v>2</v>
      </c>
      <c r="M202">
        <f t="shared" si="9"/>
        <v>2000000</v>
      </c>
      <c r="N202" t="str">
        <f>COMPLEX(0,Table1[[#This Row],[f]]*2*PI(),"j")</f>
        <v>12566370.6143592j</v>
      </c>
      <c r="O202" t="str">
        <f>IMDIV(1,IMSUM(IMPRODUCT(_R1,_R2,_C1,_C2,IMPOWER(Table1[[#This Row],[s]],2)),IMPRODUCT(_C2,(_R1+_R2),Table1[[#This Row],[s]]),1))</f>
        <v>-0.000100337333530473-5.00700110036944E-07j</v>
      </c>
      <c r="P202">
        <f t="shared" si="10"/>
        <v>-79.970640745360811</v>
      </c>
      <c r="Q202">
        <f t="shared" si="11"/>
        <v>-179.71408683115621</v>
      </c>
    </row>
  </sheetData>
  <dataValidations count="2">
    <dataValidation type="list" allowBlank="1" showInputMessage="1" showErrorMessage="1" sqref="B5" xr:uid="{D3B22446-571A-4D28-A5D0-B7AD2C8CD782}">
      <formula1>$U$4:$U$7</formula1>
    </dataValidation>
    <dataValidation type="list" allowBlank="1" showInputMessage="1" showErrorMessage="1" sqref="B6" xr:uid="{F9A704B0-475D-4FB5-BDB0-66BCC5D4A101}">
      <formula1>$U$4:$U$8</formula1>
    </dataValidation>
  </dataValidations>
  <pageMargins left="0.7" right="0.7" top="0.75" bottom="0.75" header="0.3" footer="0.3"/>
  <pageSetup orientation="landscape" horizontalDpi="0" verticalDpi="0" r:id="rId1"/>
  <rowBreaks count="1" manualBreakCount="1">
    <brk id="20" max="16383" man="1"/>
  </rowBreaks>
  <ignoredErrors>
    <ignoredError sqref="V11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locked="0" defaultSiz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942975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croll Bar 4">
              <controlPr locked="0" defaultSiz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942975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26</vt:i4>
      </vt:variant>
    </vt:vector>
  </HeadingPairs>
  <TitlesOfParts>
    <vt:vector size="27" baseType="lpstr">
      <vt:lpstr>Sallen-Key Components</vt:lpstr>
      <vt:lpstr>_C1</vt:lpstr>
      <vt:lpstr>_C1lbl</vt:lpstr>
      <vt:lpstr>_C1up</vt:lpstr>
      <vt:lpstr>_C1upsb</vt:lpstr>
      <vt:lpstr>_C2</vt:lpstr>
      <vt:lpstr>_C2dwn</vt:lpstr>
      <vt:lpstr>_C2dwnsb</vt:lpstr>
      <vt:lpstr>_C2lbl</vt:lpstr>
      <vt:lpstr>_R1</vt:lpstr>
      <vt:lpstr>_R1lbl</vt:lpstr>
      <vt:lpstr>_R1R2</vt:lpstr>
      <vt:lpstr>_R2</vt:lpstr>
      <vt:lpstr>_R2lbl</vt:lpstr>
      <vt:lpstr>Cgm</vt:lpstr>
      <vt:lpstr>Cnom</vt:lpstr>
      <vt:lpstr>Cratio</vt:lpstr>
      <vt:lpstr>Cseries</vt:lpstr>
      <vt:lpstr>CseriesSel</vt:lpstr>
      <vt:lpstr>fc</vt:lpstr>
      <vt:lpstr>fc_res</vt:lpstr>
      <vt:lpstr>Q</vt:lpstr>
      <vt:lpstr>Qres</vt:lpstr>
      <vt:lpstr>Rratio</vt:lpstr>
      <vt:lpstr>Rseries</vt:lpstr>
      <vt:lpstr>RseriesSel</vt:lpstr>
      <vt:lpstr>Zeta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Oldhack EE</dc:creator>
  <cp:lastModifiedBy>Oldhack EE</cp:lastModifiedBy>
  <cp:lastPrinted>2024-01-13T01:45:59Z</cp:lastPrinted>
  <dcterms:created xsi:type="dcterms:W3CDTF">2024-01-11T01:48:47Z</dcterms:created>
  <dcterms:modified xsi:type="dcterms:W3CDTF">2024-01-14T22:46:25Z</dcterms:modified>
</cp:coreProperties>
</file>