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filterPrivacy="1" codeName="ThisWorkbook" defaultThemeVersion="166925"/>
  <xr:revisionPtr revIDLastSave="0" documentId="13_ncr:1_{41905671-3B1E-4261-8B1E-DB074576220B}" xr6:coauthVersionLast="47" xr6:coauthVersionMax="47" xr10:uidLastSave="{00000000-0000-0000-0000-000000000000}"/>
  <bookViews>
    <workbookView xWindow="-25425" yWindow="-180" windowWidth="24825" windowHeight="13830" xr2:uid="{CDCD2FDB-8CC5-4704-B071-AB21BBA62760}"/>
  </bookViews>
  <sheets>
    <sheet name="Bias Network" sheetId="4" r:id="rId1"/>
    <sheet name="Input Stage" sheetId="1" r:id="rId2"/>
    <sheet name="NI AC Coupled Amp" sheetId="2" r:id="rId3"/>
    <sheet name="Sum" sheetId="3" r:id="rId4"/>
    <sheet name="fct vs. fpg" sheetId="6" r:id="rId5"/>
    <sheet name="Inverting AC Coupled Amp" sheetId="5" r:id="rId6"/>
  </sheets>
  <functionGroups builtInGroupCount="19"/>
  <externalReferences>
    <externalReference r:id="rId7"/>
  </externalReferences>
  <definedNames>
    <definedName name="Cg" localSheetId="5">'Inverting AC Coupled Amp'!$B$9</definedName>
    <definedName name="Cg">'NI AC Coupled Amp'!$B$9</definedName>
    <definedName name="Cin" localSheetId="5">'Inverting AC Coupled Amp'!$B$9</definedName>
    <definedName name="Cin">'NI AC Coupled Amp'!$B$9</definedName>
    <definedName name="fc" localSheetId="5">'Inverting AC Coupled Amp'!$B$3</definedName>
    <definedName name="fc">'NI AC Coupled Amp'!$B$3</definedName>
    <definedName name="Gain" localSheetId="5">'Inverting AC Coupled Amp'!$B$5</definedName>
    <definedName name="Gain">'NI AC Coupled Amp'!$B$5</definedName>
    <definedName name="Rf" localSheetId="5">'Inverting AC Coupled Amp'!$B$4</definedName>
    <definedName name="Rf">'NI AC Coupled Amp'!$B$4</definedName>
    <definedName name="Rg" localSheetId="5">'Inverting AC Coupled Amp'!$B$10</definedName>
    <definedName name="Rg">'NI AC Coupled Amp'!$B$10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91" i="6" l="1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B1" i="6"/>
  <c r="H303" i="5"/>
  <c r="I303" i="5" s="1"/>
  <c r="H302" i="5"/>
  <c r="I302" i="5" s="1"/>
  <c r="H301" i="5"/>
  <c r="I301" i="5" s="1"/>
  <c r="H300" i="5"/>
  <c r="I300" i="5" s="1"/>
  <c r="H299" i="5"/>
  <c r="I299" i="5" s="1"/>
  <c r="H298" i="5"/>
  <c r="I298" i="5" s="1"/>
  <c r="H297" i="5"/>
  <c r="I297" i="5" s="1"/>
  <c r="I296" i="5"/>
  <c r="H296" i="5"/>
  <c r="H295" i="5"/>
  <c r="I295" i="5" s="1"/>
  <c r="H294" i="5"/>
  <c r="I294" i="5" s="1"/>
  <c r="H293" i="5"/>
  <c r="I293" i="5" s="1"/>
  <c r="H292" i="5"/>
  <c r="I292" i="5" s="1"/>
  <c r="H291" i="5"/>
  <c r="I291" i="5" s="1"/>
  <c r="I290" i="5"/>
  <c r="H290" i="5"/>
  <c r="H289" i="5"/>
  <c r="I289" i="5" s="1"/>
  <c r="I288" i="5"/>
  <c r="H288" i="5"/>
  <c r="H287" i="5"/>
  <c r="I287" i="5" s="1"/>
  <c r="I286" i="5"/>
  <c r="H286" i="5"/>
  <c r="H285" i="5"/>
  <c r="I285" i="5" s="1"/>
  <c r="H284" i="5"/>
  <c r="I284" i="5" s="1"/>
  <c r="H283" i="5"/>
  <c r="I283" i="5" s="1"/>
  <c r="I282" i="5"/>
  <c r="H282" i="5"/>
  <c r="H281" i="5"/>
  <c r="I281" i="5" s="1"/>
  <c r="I280" i="5"/>
  <c r="H280" i="5"/>
  <c r="H279" i="5"/>
  <c r="I279" i="5" s="1"/>
  <c r="H278" i="5"/>
  <c r="I278" i="5" s="1"/>
  <c r="H277" i="5"/>
  <c r="I277" i="5" s="1"/>
  <c r="H276" i="5"/>
  <c r="I276" i="5" s="1"/>
  <c r="H275" i="5"/>
  <c r="I275" i="5" s="1"/>
  <c r="I274" i="5"/>
  <c r="H274" i="5"/>
  <c r="H273" i="5"/>
  <c r="I273" i="5" s="1"/>
  <c r="I272" i="5"/>
  <c r="H272" i="5"/>
  <c r="H271" i="5"/>
  <c r="I271" i="5" s="1"/>
  <c r="I270" i="5"/>
  <c r="H270" i="5"/>
  <c r="H269" i="5"/>
  <c r="I269" i="5" s="1"/>
  <c r="H268" i="5"/>
  <c r="I268" i="5" s="1"/>
  <c r="H267" i="5"/>
  <c r="I267" i="5" s="1"/>
  <c r="I266" i="5"/>
  <c r="H266" i="5"/>
  <c r="H265" i="5"/>
  <c r="I265" i="5" s="1"/>
  <c r="I264" i="5"/>
  <c r="H264" i="5"/>
  <c r="H263" i="5"/>
  <c r="I263" i="5" s="1"/>
  <c r="H262" i="5"/>
  <c r="I262" i="5" s="1"/>
  <c r="H261" i="5"/>
  <c r="I261" i="5" s="1"/>
  <c r="H260" i="5"/>
  <c r="I260" i="5" s="1"/>
  <c r="H259" i="5"/>
  <c r="I259" i="5" s="1"/>
  <c r="I258" i="5"/>
  <c r="H258" i="5"/>
  <c r="H257" i="5"/>
  <c r="I257" i="5" s="1"/>
  <c r="I256" i="5"/>
  <c r="H256" i="5"/>
  <c r="H255" i="5"/>
  <c r="I255" i="5" s="1"/>
  <c r="I254" i="5"/>
  <c r="H254" i="5"/>
  <c r="H253" i="5"/>
  <c r="I253" i="5" s="1"/>
  <c r="H252" i="5"/>
  <c r="I252" i="5" s="1"/>
  <c r="H251" i="5"/>
  <c r="I251" i="5" s="1"/>
  <c r="I250" i="5"/>
  <c r="H250" i="5"/>
  <c r="H249" i="5"/>
  <c r="I249" i="5" s="1"/>
  <c r="I248" i="5"/>
  <c r="H248" i="5"/>
  <c r="H247" i="5"/>
  <c r="I247" i="5" s="1"/>
  <c r="H246" i="5"/>
  <c r="I246" i="5" s="1"/>
  <c r="H245" i="5"/>
  <c r="I245" i="5" s="1"/>
  <c r="H244" i="5"/>
  <c r="I244" i="5" s="1"/>
  <c r="H243" i="5"/>
  <c r="I243" i="5" s="1"/>
  <c r="I242" i="5"/>
  <c r="H242" i="5"/>
  <c r="H241" i="5"/>
  <c r="I241" i="5" s="1"/>
  <c r="H240" i="5"/>
  <c r="I240" i="5" s="1"/>
  <c r="H239" i="5"/>
  <c r="I239" i="5" s="1"/>
  <c r="I238" i="5"/>
  <c r="H238" i="5"/>
  <c r="H237" i="5"/>
  <c r="I237" i="5" s="1"/>
  <c r="H236" i="5"/>
  <c r="I236" i="5" s="1"/>
  <c r="H235" i="5"/>
  <c r="I235" i="5" s="1"/>
  <c r="H234" i="5"/>
  <c r="I234" i="5" s="1"/>
  <c r="H233" i="5"/>
  <c r="I233" i="5" s="1"/>
  <c r="H232" i="5"/>
  <c r="I232" i="5" s="1"/>
  <c r="H231" i="5"/>
  <c r="I231" i="5" s="1"/>
  <c r="H230" i="5"/>
  <c r="I230" i="5" s="1"/>
  <c r="H229" i="5"/>
  <c r="I229" i="5" s="1"/>
  <c r="H228" i="5"/>
  <c r="I228" i="5" s="1"/>
  <c r="H227" i="5"/>
  <c r="I227" i="5" s="1"/>
  <c r="H226" i="5"/>
  <c r="I226" i="5" s="1"/>
  <c r="H225" i="5"/>
  <c r="I225" i="5" s="1"/>
  <c r="H224" i="5"/>
  <c r="I224" i="5" s="1"/>
  <c r="H223" i="5"/>
  <c r="I223" i="5" s="1"/>
  <c r="H222" i="5"/>
  <c r="I222" i="5" s="1"/>
  <c r="H221" i="5"/>
  <c r="I221" i="5" s="1"/>
  <c r="H220" i="5"/>
  <c r="I220" i="5" s="1"/>
  <c r="H219" i="5"/>
  <c r="I219" i="5" s="1"/>
  <c r="I218" i="5"/>
  <c r="H218" i="5"/>
  <c r="H217" i="5"/>
  <c r="I217" i="5" s="1"/>
  <c r="H216" i="5"/>
  <c r="I216" i="5" s="1"/>
  <c r="H215" i="5"/>
  <c r="I215" i="5" s="1"/>
  <c r="I214" i="5"/>
  <c r="H214" i="5"/>
  <c r="H213" i="5"/>
  <c r="I213" i="5" s="1"/>
  <c r="H212" i="5"/>
  <c r="I212" i="5" s="1"/>
  <c r="H211" i="5"/>
  <c r="I211" i="5" s="1"/>
  <c r="I210" i="5"/>
  <c r="H210" i="5"/>
  <c r="I209" i="5"/>
  <c r="H209" i="5"/>
  <c r="I208" i="5"/>
  <c r="H208" i="5"/>
  <c r="H207" i="5"/>
  <c r="I207" i="5" s="1"/>
  <c r="H206" i="5"/>
  <c r="I206" i="5" s="1"/>
  <c r="H205" i="5"/>
  <c r="I205" i="5" s="1"/>
  <c r="H204" i="5"/>
  <c r="I204" i="5" s="1"/>
  <c r="H203" i="5"/>
  <c r="I203" i="5" s="1"/>
  <c r="I202" i="5"/>
  <c r="H202" i="5"/>
  <c r="H201" i="5"/>
  <c r="I201" i="5" s="1"/>
  <c r="H200" i="5"/>
  <c r="I200" i="5" s="1"/>
  <c r="H199" i="5"/>
  <c r="I199" i="5" s="1"/>
  <c r="I198" i="5"/>
  <c r="H198" i="5"/>
  <c r="H197" i="5"/>
  <c r="I197" i="5" s="1"/>
  <c r="H196" i="5"/>
  <c r="I196" i="5" s="1"/>
  <c r="H195" i="5"/>
  <c r="I195" i="5" s="1"/>
  <c r="I194" i="5"/>
  <c r="H194" i="5"/>
  <c r="H193" i="5"/>
  <c r="I193" i="5" s="1"/>
  <c r="H192" i="5"/>
  <c r="I192" i="5" s="1"/>
  <c r="H191" i="5"/>
  <c r="I191" i="5" s="1"/>
  <c r="I190" i="5"/>
  <c r="H190" i="5"/>
  <c r="H189" i="5"/>
  <c r="I189" i="5" s="1"/>
  <c r="H188" i="5"/>
  <c r="I188" i="5" s="1"/>
  <c r="H187" i="5"/>
  <c r="I187" i="5" s="1"/>
  <c r="I186" i="5"/>
  <c r="H186" i="5"/>
  <c r="H185" i="5"/>
  <c r="I185" i="5" s="1"/>
  <c r="H184" i="5"/>
  <c r="I184" i="5" s="1"/>
  <c r="H183" i="5"/>
  <c r="I183" i="5" s="1"/>
  <c r="I182" i="5"/>
  <c r="H182" i="5"/>
  <c r="H181" i="5"/>
  <c r="I181" i="5" s="1"/>
  <c r="H180" i="5"/>
  <c r="I180" i="5" s="1"/>
  <c r="H179" i="5"/>
  <c r="I179" i="5" s="1"/>
  <c r="I178" i="5"/>
  <c r="H178" i="5"/>
  <c r="H177" i="5"/>
  <c r="I177" i="5" s="1"/>
  <c r="H176" i="5"/>
  <c r="I176" i="5" s="1"/>
  <c r="H175" i="5"/>
  <c r="I175" i="5" s="1"/>
  <c r="I174" i="5"/>
  <c r="H174" i="5"/>
  <c r="H173" i="5"/>
  <c r="I173" i="5" s="1"/>
  <c r="H172" i="5"/>
  <c r="I172" i="5" s="1"/>
  <c r="H171" i="5"/>
  <c r="I171" i="5" s="1"/>
  <c r="I170" i="5"/>
  <c r="H170" i="5"/>
  <c r="H169" i="5"/>
  <c r="I169" i="5" s="1"/>
  <c r="H168" i="5"/>
  <c r="I168" i="5" s="1"/>
  <c r="H167" i="5"/>
  <c r="I167" i="5" s="1"/>
  <c r="I166" i="5"/>
  <c r="H166" i="5"/>
  <c r="H165" i="5"/>
  <c r="I165" i="5" s="1"/>
  <c r="H164" i="5"/>
  <c r="I164" i="5" s="1"/>
  <c r="H163" i="5"/>
  <c r="I163" i="5" s="1"/>
  <c r="I162" i="5"/>
  <c r="H162" i="5"/>
  <c r="H161" i="5"/>
  <c r="I161" i="5" s="1"/>
  <c r="H160" i="5"/>
  <c r="I160" i="5" s="1"/>
  <c r="H159" i="5"/>
  <c r="I159" i="5" s="1"/>
  <c r="I158" i="5"/>
  <c r="H158" i="5"/>
  <c r="H157" i="5"/>
  <c r="I157" i="5" s="1"/>
  <c r="H156" i="5"/>
  <c r="I156" i="5" s="1"/>
  <c r="H155" i="5"/>
  <c r="I155" i="5" s="1"/>
  <c r="I154" i="5"/>
  <c r="H154" i="5"/>
  <c r="H153" i="5"/>
  <c r="I153" i="5" s="1"/>
  <c r="H152" i="5"/>
  <c r="I152" i="5" s="1"/>
  <c r="H151" i="5"/>
  <c r="I151" i="5" s="1"/>
  <c r="I150" i="5"/>
  <c r="H150" i="5"/>
  <c r="H149" i="5"/>
  <c r="I149" i="5" s="1"/>
  <c r="H148" i="5"/>
  <c r="I148" i="5" s="1"/>
  <c r="H147" i="5"/>
  <c r="I147" i="5" s="1"/>
  <c r="I146" i="5"/>
  <c r="H146" i="5"/>
  <c r="H145" i="5"/>
  <c r="I145" i="5" s="1"/>
  <c r="H144" i="5"/>
  <c r="I144" i="5" s="1"/>
  <c r="H143" i="5"/>
  <c r="I143" i="5" s="1"/>
  <c r="I142" i="5"/>
  <c r="H142" i="5"/>
  <c r="I141" i="5"/>
  <c r="H141" i="5"/>
  <c r="H140" i="5"/>
  <c r="I140" i="5" s="1"/>
  <c r="H139" i="5"/>
  <c r="I139" i="5" s="1"/>
  <c r="I138" i="5"/>
  <c r="H138" i="5"/>
  <c r="I137" i="5"/>
  <c r="H137" i="5"/>
  <c r="I136" i="5"/>
  <c r="H136" i="5"/>
  <c r="H135" i="5"/>
  <c r="I135" i="5" s="1"/>
  <c r="H134" i="5"/>
  <c r="I134" i="5" s="1"/>
  <c r="H133" i="5"/>
  <c r="I133" i="5" s="1"/>
  <c r="H132" i="5"/>
  <c r="I132" i="5" s="1"/>
  <c r="H131" i="5"/>
  <c r="I131" i="5" s="1"/>
  <c r="H130" i="5"/>
  <c r="I130" i="5" s="1"/>
  <c r="H129" i="5"/>
  <c r="I129" i="5" s="1"/>
  <c r="H128" i="5"/>
  <c r="I128" i="5" s="1"/>
  <c r="H127" i="5"/>
  <c r="I127" i="5" s="1"/>
  <c r="I126" i="5"/>
  <c r="H126" i="5"/>
  <c r="I125" i="5"/>
  <c r="H125" i="5"/>
  <c r="H124" i="5"/>
  <c r="I124" i="5" s="1"/>
  <c r="H123" i="5"/>
  <c r="I123" i="5" s="1"/>
  <c r="I122" i="5"/>
  <c r="H122" i="5"/>
  <c r="I121" i="5"/>
  <c r="H121" i="5"/>
  <c r="I120" i="5"/>
  <c r="H120" i="5"/>
  <c r="H119" i="5"/>
  <c r="I119" i="5" s="1"/>
  <c r="H118" i="5"/>
  <c r="I118" i="5" s="1"/>
  <c r="H117" i="5"/>
  <c r="I117" i="5" s="1"/>
  <c r="H116" i="5"/>
  <c r="I116" i="5" s="1"/>
  <c r="H115" i="5"/>
  <c r="I115" i="5" s="1"/>
  <c r="H114" i="5"/>
  <c r="I114" i="5" s="1"/>
  <c r="H113" i="5"/>
  <c r="I113" i="5" s="1"/>
  <c r="H112" i="5"/>
  <c r="I112" i="5" s="1"/>
  <c r="H111" i="5"/>
  <c r="I111" i="5" s="1"/>
  <c r="I110" i="5"/>
  <c r="H110" i="5"/>
  <c r="I109" i="5"/>
  <c r="H109" i="5"/>
  <c r="H108" i="5"/>
  <c r="I108" i="5" s="1"/>
  <c r="H107" i="5"/>
  <c r="I107" i="5" s="1"/>
  <c r="I106" i="5"/>
  <c r="H106" i="5"/>
  <c r="I105" i="5"/>
  <c r="H105" i="5"/>
  <c r="I104" i="5"/>
  <c r="H104" i="5"/>
  <c r="H103" i="5"/>
  <c r="I103" i="5" s="1"/>
  <c r="H102" i="5"/>
  <c r="I102" i="5" s="1"/>
  <c r="H101" i="5"/>
  <c r="I101" i="5" s="1"/>
  <c r="H100" i="5"/>
  <c r="I100" i="5" s="1"/>
  <c r="H99" i="5"/>
  <c r="I99" i="5" s="1"/>
  <c r="H98" i="5"/>
  <c r="I98" i="5" s="1"/>
  <c r="H97" i="5"/>
  <c r="I97" i="5" s="1"/>
  <c r="H96" i="5"/>
  <c r="I96" i="5" s="1"/>
  <c r="H95" i="5"/>
  <c r="I95" i="5" s="1"/>
  <c r="H94" i="5"/>
  <c r="I94" i="5" s="1"/>
  <c r="H93" i="5"/>
  <c r="I93" i="5" s="1"/>
  <c r="H92" i="5"/>
  <c r="I92" i="5" s="1"/>
  <c r="H91" i="5"/>
  <c r="I91" i="5" s="1"/>
  <c r="H90" i="5"/>
  <c r="I90" i="5" s="1"/>
  <c r="H89" i="5"/>
  <c r="I89" i="5" s="1"/>
  <c r="H88" i="5"/>
  <c r="I88" i="5" s="1"/>
  <c r="H87" i="5"/>
  <c r="I87" i="5" s="1"/>
  <c r="H86" i="5"/>
  <c r="I86" i="5" s="1"/>
  <c r="H85" i="5"/>
  <c r="I85" i="5" s="1"/>
  <c r="H84" i="5"/>
  <c r="I84" i="5" s="1"/>
  <c r="H83" i="5"/>
  <c r="I83" i="5" s="1"/>
  <c r="H82" i="5"/>
  <c r="I82" i="5" s="1"/>
  <c r="H81" i="5"/>
  <c r="I81" i="5" s="1"/>
  <c r="H80" i="5"/>
  <c r="I80" i="5" s="1"/>
  <c r="H79" i="5"/>
  <c r="I79" i="5" s="1"/>
  <c r="H78" i="5"/>
  <c r="I78" i="5" s="1"/>
  <c r="H77" i="5"/>
  <c r="I77" i="5" s="1"/>
  <c r="H76" i="5"/>
  <c r="I76" i="5" s="1"/>
  <c r="H75" i="5"/>
  <c r="I75" i="5" s="1"/>
  <c r="H74" i="5"/>
  <c r="I74" i="5" s="1"/>
  <c r="H73" i="5"/>
  <c r="I73" i="5" s="1"/>
  <c r="H72" i="5"/>
  <c r="I72" i="5" s="1"/>
  <c r="H71" i="5"/>
  <c r="I71" i="5" s="1"/>
  <c r="H70" i="5"/>
  <c r="I70" i="5" s="1"/>
  <c r="H69" i="5"/>
  <c r="I69" i="5" s="1"/>
  <c r="H68" i="5"/>
  <c r="I68" i="5" s="1"/>
  <c r="H67" i="5"/>
  <c r="I67" i="5" s="1"/>
  <c r="H66" i="5"/>
  <c r="I66" i="5" s="1"/>
  <c r="H65" i="5"/>
  <c r="I65" i="5" s="1"/>
  <c r="H64" i="5"/>
  <c r="I64" i="5" s="1"/>
  <c r="H63" i="5"/>
  <c r="I63" i="5" s="1"/>
  <c r="H62" i="5"/>
  <c r="I62" i="5" s="1"/>
  <c r="H61" i="5"/>
  <c r="I61" i="5" s="1"/>
  <c r="H60" i="5"/>
  <c r="I60" i="5" s="1"/>
  <c r="H59" i="5"/>
  <c r="I59" i="5" s="1"/>
  <c r="H58" i="5"/>
  <c r="I58" i="5" s="1"/>
  <c r="H57" i="5"/>
  <c r="I57" i="5" s="1"/>
  <c r="H56" i="5"/>
  <c r="I56" i="5" s="1"/>
  <c r="H55" i="5"/>
  <c r="I55" i="5" s="1"/>
  <c r="H54" i="5"/>
  <c r="I54" i="5" s="1"/>
  <c r="H53" i="5"/>
  <c r="I53" i="5" s="1"/>
  <c r="H52" i="5"/>
  <c r="I52" i="5" s="1"/>
  <c r="H51" i="5"/>
  <c r="I51" i="5" s="1"/>
  <c r="H50" i="5"/>
  <c r="I50" i="5" s="1"/>
  <c r="H49" i="5"/>
  <c r="I49" i="5" s="1"/>
  <c r="H48" i="5"/>
  <c r="I48" i="5" s="1"/>
  <c r="H47" i="5"/>
  <c r="I47" i="5" s="1"/>
  <c r="H46" i="5"/>
  <c r="I46" i="5" s="1"/>
  <c r="H45" i="5"/>
  <c r="I45" i="5" s="1"/>
  <c r="H44" i="5"/>
  <c r="I44" i="5" s="1"/>
  <c r="H43" i="5"/>
  <c r="I43" i="5" s="1"/>
  <c r="H42" i="5"/>
  <c r="I42" i="5" s="1"/>
  <c r="H41" i="5"/>
  <c r="I41" i="5" s="1"/>
  <c r="H40" i="5"/>
  <c r="I40" i="5" s="1"/>
  <c r="H39" i="5"/>
  <c r="I39" i="5" s="1"/>
  <c r="H38" i="5"/>
  <c r="I38" i="5" s="1"/>
  <c r="H37" i="5"/>
  <c r="I37" i="5" s="1"/>
  <c r="H36" i="5"/>
  <c r="I36" i="5" s="1"/>
  <c r="H35" i="5"/>
  <c r="I35" i="5" s="1"/>
  <c r="I34" i="5"/>
  <c r="H34" i="5"/>
  <c r="H33" i="5"/>
  <c r="I33" i="5" s="1"/>
  <c r="H32" i="5"/>
  <c r="I32" i="5" s="1"/>
  <c r="H31" i="5"/>
  <c r="I31" i="5" s="1"/>
  <c r="H30" i="5"/>
  <c r="I30" i="5" s="1"/>
  <c r="H29" i="5"/>
  <c r="I29" i="5" s="1"/>
  <c r="H28" i="5"/>
  <c r="I28" i="5" s="1"/>
  <c r="H27" i="5"/>
  <c r="I27" i="5" s="1"/>
  <c r="I26" i="5"/>
  <c r="H26" i="5"/>
  <c r="H25" i="5"/>
  <c r="I25" i="5" s="1"/>
  <c r="H24" i="5"/>
  <c r="I24" i="5" s="1"/>
  <c r="H23" i="5"/>
  <c r="I23" i="5" s="1"/>
  <c r="H22" i="5"/>
  <c r="I22" i="5" s="1"/>
  <c r="H21" i="5"/>
  <c r="I21" i="5" s="1"/>
  <c r="H20" i="5"/>
  <c r="I20" i="5" s="1"/>
  <c r="H19" i="5"/>
  <c r="I19" i="5" s="1"/>
  <c r="I18" i="5"/>
  <c r="H18" i="5"/>
  <c r="I17" i="5"/>
  <c r="H17" i="5"/>
  <c r="H16" i="5"/>
  <c r="I16" i="5" s="1"/>
  <c r="H15" i="5"/>
  <c r="I15" i="5" s="1"/>
  <c r="I14" i="5"/>
  <c r="H14" i="5"/>
  <c r="H13" i="5"/>
  <c r="I13" i="5" s="1"/>
  <c r="H12" i="5"/>
  <c r="I12" i="5" s="1"/>
  <c r="H11" i="5"/>
  <c r="I11" i="5" s="1"/>
  <c r="H10" i="5"/>
  <c r="I10" i="5" s="1"/>
  <c r="B10" i="5"/>
  <c r="I9" i="5"/>
  <c r="H9" i="5"/>
  <c r="I8" i="5"/>
  <c r="H8" i="5"/>
  <c r="H7" i="5"/>
  <c r="I7" i="5" s="1"/>
  <c r="H6" i="5"/>
  <c r="I6" i="5" s="1"/>
  <c r="H5" i="5"/>
  <c r="I5" i="5" s="1"/>
  <c r="H4" i="5"/>
  <c r="I4" i="5" s="1"/>
  <c r="H3" i="5"/>
  <c r="I3" i="5" s="1"/>
  <c r="A16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2" i="3"/>
  <c r="I303" i="4"/>
  <c r="H303" i="4"/>
  <c r="H302" i="4"/>
  <c r="I302" i="4" s="1"/>
  <c r="I301" i="4"/>
  <c r="H301" i="4"/>
  <c r="H300" i="4"/>
  <c r="I300" i="4" s="1"/>
  <c r="H299" i="4"/>
  <c r="I299" i="4" s="1"/>
  <c r="H298" i="4"/>
  <c r="I298" i="4" s="1"/>
  <c r="I297" i="4"/>
  <c r="H297" i="4"/>
  <c r="H296" i="4"/>
  <c r="I296" i="4" s="1"/>
  <c r="I295" i="4"/>
  <c r="H295" i="4"/>
  <c r="H294" i="4"/>
  <c r="I294" i="4" s="1"/>
  <c r="H293" i="4"/>
  <c r="I293" i="4" s="1"/>
  <c r="H292" i="4"/>
  <c r="I292" i="4" s="1"/>
  <c r="H291" i="4"/>
  <c r="I291" i="4" s="1"/>
  <c r="H290" i="4"/>
  <c r="I290" i="4" s="1"/>
  <c r="I289" i="4"/>
  <c r="H289" i="4"/>
  <c r="H288" i="4"/>
  <c r="I288" i="4" s="1"/>
  <c r="I287" i="4"/>
  <c r="H287" i="4"/>
  <c r="H286" i="4"/>
  <c r="I286" i="4" s="1"/>
  <c r="H285" i="4"/>
  <c r="I285" i="4" s="1"/>
  <c r="H284" i="4"/>
  <c r="I284" i="4" s="1"/>
  <c r="H283" i="4"/>
  <c r="I283" i="4" s="1"/>
  <c r="H282" i="4"/>
  <c r="I282" i="4" s="1"/>
  <c r="I281" i="4"/>
  <c r="H281" i="4"/>
  <c r="H280" i="4"/>
  <c r="I280" i="4" s="1"/>
  <c r="H279" i="4"/>
  <c r="I279" i="4" s="1"/>
  <c r="H278" i="4"/>
  <c r="I278" i="4" s="1"/>
  <c r="H277" i="4"/>
  <c r="I277" i="4" s="1"/>
  <c r="H276" i="4"/>
  <c r="I276" i="4" s="1"/>
  <c r="H275" i="4"/>
  <c r="I275" i="4" s="1"/>
  <c r="H274" i="4"/>
  <c r="I274" i="4" s="1"/>
  <c r="H273" i="4"/>
  <c r="I273" i="4" s="1"/>
  <c r="H272" i="4"/>
  <c r="I272" i="4" s="1"/>
  <c r="H271" i="4"/>
  <c r="I271" i="4" s="1"/>
  <c r="H270" i="4"/>
  <c r="I270" i="4" s="1"/>
  <c r="I269" i="4"/>
  <c r="H269" i="4"/>
  <c r="H268" i="4"/>
  <c r="I268" i="4" s="1"/>
  <c r="H267" i="4"/>
  <c r="I267" i="4" s="1"/>
  <c r="H266" i="4"/>
  <c r="I266" i="4" s="1"/>
  <c r="H265" i="4"/>
  <c r="I265" i="4" s="1"/>
  <c r="H264" i="4"/>
  <c r="I264" i="4" s="1"/>
  <c r="I263" i="4"/>
  <c r="H263" i="4"/>
  <c r="H262" i="4"/>
  <c r="I262" i="4" s="1"/>
  <c r="I261" i="4"/>
  <c r="H261" i="4"/>
  <c r="H260" i="4"/>
  <c r="I260" i="4" s="1"/>
  <c r="H259" i="4"/>
  <c r="I259" i="4" s="1"/>
  <c r="H258" i="4"/>
  <c r="I258" i="4" s="1"/>
  <c r="I257" i="4"/>
  <c r="H257" i="4"/>
  <c r="H256" i="4"/>
  <c r="I256" i="4" s="1"/>
  <c r="I255" i="4"/>
  <c r="H255" i="4"/>
  <c r="H254" i="4"/>
  <c r="I254" i="4" s="1"/>
  <c r="I253" i="4"/>
  <c r="H253" i="4"/>
  <c r="H252" i="4"/>
  <c r="I252" i="4" s="1"/>
  <c r="H251" i="4"/>
  <c r="I251" i="4" s="1"/>
  <c r="H250" i="4"/>
  <c r="I250" i="4" s="1"/>
  <c r="I249" i="4"/>
  <c r="H249" i="4"/>
  <c r="H248" i="4"/>
  <c r="I248" i="4" s="1"/>
  <c r="H247" i="4"/>
  <c r="I247" i="4" s="1"/>
  <c r="I246" i="4"/>
  <c r="H246" i="4"/>
  <c r="H245" i="4"/>
  <c r="I245" i="4" s="1"/>
  <c r="H244" i="4"/>
  <c r="I244" i="4" s="1"/>
  <c r="H243" i="4"/>
  <c r="I243" i="4" s="1"/>
  <c r="H242" i="4"/>
  <c r="I242" i="4" s="1"/>
  <c r="H241" i="4"/>
  <c r="I241" i="4" s="1"/>
  <c r="H240" i="4"/>
  <c r="I240" i="4" s="1"/>
  <c r="H239" i="4"/>
  <c r="I239" i="4" s="1"/>
  <c r="H238" i="4"/>
  <c r="I238" i="4" s="1"/>
  <c r="H237" i="4"/>
  <c r="I237" i="4" s="1"/>
  <c r="H236" i="4"/>
  <c r="I236" i="4" s="1"/>
  <c r="H235" i="4"/>
  <c r="I235" i="4" s="1"/>
  <c r="I234" i="4"/>
  <c r="H234" i="4"/>
  <c r="H233" i="4"/>
  <c r="I233" i="4" s="1"/>
  <c r="H232" i="4"/>
  <c r="I232" i="4" s="1"/>
  <c r="H231" i="4"/>
  <c r="I231" i="4" s="1"/>
  <c r="I230" i="4"/>
  <c r="H230" i="4"/>
  <c r="H229" i="4"/>
  <c r="I229" i="4" s="1"/>
  <c r="H228" i="4"/>
  <c r="I228" i="4" s="1"/>
  <c r="H227" i="4"/>
  <c r="I227" i="4" s="1"/>
  <c r="H226" i="4"/>
  <c r="I226" i="4" s="1"/>
  <c r="H225" i="4"/>
  <c r="I225" i="4" s="1"/>
  <c r="I224" i="4"/>
  <c r="H224" i="4"/>
  <c r="H223" i="4"/>
  <c r="I223" i="4" s="1"/>
  <c r="H222" i="4"/>
  <c r="I222" i="4" s="1"/>
  <c r="H221" i="4"/>
  <c r="I221" i="4" s="1"/>
  <c r="I220" i="4"/>
  <c r="H220" i="4"/>
  <c r="H219" i="4"/>
  <c r="I219" i="4" s="1"/>
  <c r="H218" i="4"/>
  <c r="I218" i="4" s="1"/>
  <c r="H217" i="4"/>
  <c r="I217" i="4" s="1"/>
  <c r="H216" i="4"/>
  <c r="I216" i="4" s="1"/>
  <c r="H215" i="4"/>
  <c r="I215" i="4" s="1"/>
  <c r="H214" i="4"/>
  <c r="I214" i="4" s="1"/>
  <c r="H213" i="4"/>
  <c r="I213" i="4" s="1"/>
  <c r="H212" i="4"/>
  <c r="I212" i="4" s="1"/>
  <c r="H211" i="4"/>
  <c r="I211" i="4" s="1"/>
  <c r="H210" i="4"/>
  <c r="I210" i="4" s="1"/>
  <c r="H209" i="4"/>
  <c r="I209" i="4" s="1"/>
  <c r="I208" i="4"/>
  <c r="H208" i="4"/>
  <c r="H207" i="4"/>
  <c r="I207" i="4" s="1"/>
  <c r="H206" i="4"/>
  <c r="I206" i="4" s="1"/>
  <c r="H205" i="4"/>
  <c r="I205" i="4" s="1"/>
  <c r="I204" i="4"/>
  <c r="H204" i="4"/>
  <c r="H203" i="4"/>
  <c r="I203" i="4" s="1"/>
  <c r="H202" i="4"/>
  <c r="I202" i="4" s="1"/>
  <c r="H201" i="4"/>
  <c r="I201" i="4" s="1"/>
  <c r="H200" i="4"/>
  <c r="I200" i="4" s="1"/>
  <c r="H199" i="4"/>
  <c r="I199" i="4" s="1"/>
  <c r="H198" i="4"/>
  <c r="I198" i="4" s="1"/>
  <c r="H197" i="4"/>
  <c r="I197" i="4" s="1"/>
  <c r="H196" i="4"/>
  <c r="I196" i="4" s="1"/>
  <c r="H195" i="4"/>
  <c r="I195" i="4" s="1"/>
  <c r="H194" i="4"/>
  <c r="I194" i="4" s="1"/>
  <c r="H193" i="4"/>
  <c r="I193" i="4" s="1"/>
  <c r="I192" i="4"/>
  <c r="H192" i="4"/>
  <c r="H191" i="4"/>
  <c r="I191" i="4" s="1"/>
  <c r="H190" i="4"/>
  <c r="I190" i="4" s="1"/>
  <c r="H189" i="4"/>
  <c r="I189" i="4" s="1"/>
  <c r="H188" i="4"/>
  <c r="I188" i="4" s="1"/>
  <c r="I187" i="4"/>
  <c r="H187" i="4"/>
  <c r="H186" i="4"/>
  <c r="I186" i="4" s="1"/>
  <c r="H185" i="4"/>
  <c r="I185" i="4" s="1"/>
  <c r="I184" i="4"/>
  <c r="H184" i="4"/>
  <c r="H183" i="4"/>
  <c r="I183" i="4" s="1"/>
  <c r="H182" i="4"/>
  <c r="I182" i="4" s="1"/>
  <c r="H181" i="4"/>
  <c r="I181" i="4" s="1"/>
  <c r="H180" i="4"/>
  <c r="I180" i="4" s="1"/>
  <c r="I179" i="4"/>
  <c r="H179" i="4"/>
  <c r="H178" i="4"/>
  <c r="I178" i="4" s="1"/>
  <c r="H177" i="4"/>
  <c r="I177" i="4" s="1"/>
  <c r="I176" i="4"/>
  <c r="H176" i="4"/>
  <c r="H175" i="4"/>
  <c r="I175" i="4" s="1"/>
  <c r="H174" i="4"/>
  <c r="I174" i="4" s="1"/>
  <c r="H173" i="4"/>
  <c r="I173" i="4" s="1"/>
  <c r="H172" i="4"/>
  <c r="I172" i="4" s="1"/>
  <c r="I171" i="4"/>
  <c r="H171" i="4"/>
  <c r="H170" i="4"/>
  <c r="I170" i="4" s="1"/>
  <c r="H169" i="4"/>
  <c r="I169" i="4" s="1"/>
  <c r="I168" i="4"/>
  <c r="H168" i="4"/>
  <c r="H167" i="4"/>
  <c r="I167" i="4" s="1"/>
  <c r="H166" i="4"/>
  <c r="I166" i="4" s="1"/>
  <c r="H165" i="4"/>
  <c r="I165" i="4" s="1"/>
  <c r="H164" i="4"/>
  <c r="I164" i="4" s="1"/>
  <c r="H163" i="4"/>
  <c r="I163" i="4" s="1"/>
  <c r="I162" i="4"/>
  <c r="H162" i="4"/>
  <c r="H161" i="4"/>
  <c r="I161" i="4" s="1"/>
  <c r="I160" i="4"/>
  <c r="H160" i="4"/>
  <c r="H159" i="4"/>
  <c r="I159" i="4" s="1"/>
  <c r="H158" i="4"/>
  <c r="I158" i="4" s="1"/>
  <c r="H157" i="4"/>
  <c r="I157" i="4" s="1"/>
  <c r="H156" i="4"/>
  <c r="I156" i="4" s="1"/>
  <c r="H155" i="4"/>
  <c r="I155" i="4" s="1"/>
  <c r="I154" i="4"/>
  <c r="H154" i="4"/>
  <c r="H153" i="4"/>
  <c r="I153" i="4" s="1"/>
  <c r="I152" i="4"/>
  <c r="H152" i="4"/>
  <c r="H151" i="4"/>
  <c r="I151" i="4" s="1"/>
  <c r="H150" i="4"/>
  <c r="I150" i="4" s="1"/>
  <c r="H149" i="4"/>
  <c r="I149" i="4" s="1"/>
  <c r="H148" i="4"/>
  <c r="I148" i="4" s="1"/>
  <c r="H147" i="4"/>
  <c r="I147" i="4" s="1"/>
  <c r="I146" i="4"/>
  <c r="H146" i="4"/>
  <c r="H145" i="4"/>
  <c r="I145" i="4" s="1"/>
  <c r="I144" i="4"/>
  <c r="H144" i="4"/>
  <c r="H143" i="4"/>
  <c r="I143" i="4" s="1"/>
  <c r="H142" i="4"/>
  <c r="I142" i="4" s="1"/>
  <c r="H141" i="4"/>
  <c r="I141" i="4" s="1"/>
  <c r="H140" i="4"/>
  <c r="I140" i="4" s="1"/>
  <c r="H139" i="4"/>
  <c r="I139" i="4" s="1"/>
  <c r="I138" i="4"/>
  <c r="H138" i="4"/>
  <c r="H137" i="4"/>
  <c r="I137" i="4" s="1"/>
  <c r="I136" i="4"/>
  <c r="H136" i="4"/>
  <c r="H135" i="4"/>
  <c r="I135" i="4" s="1"/>
  <c r="H134" i="4"/>
  <c r="I134" i="4" s="1"/>
  <c r="H133" i="4"/>
  <c r="I133" i="4" s="1"/>
  <c r="H132" i="4"/>
  <c r="I132" i="4" s="1"/>
  <c r="H131" i="4"/>
  <c r="I131" i="4" s="1"/>
  <c r="I130" i="4"/>
  <c r="H130" i="4"/>
  <c r="H129" i="4"/>
  <c r="I129" i="4" s="1"/>
  <c r="I128" i="4"/>
  <c r="H128" i="4"/>
  <c r="H127" i="4"/>
  <c r="I127" i="4" s="1"/>
  <c r="H126" i="4"/>
  <c r="I126" i="4" s="1"/>
  <c r="H125" i="4"/>
  <c r="I125" i="4" s="1"/>
  <c r="H124" i="4"/>
  <c r="I124" i="4" s="1"/>
  <c r="H123" i="4"/>
  <c r="I123" i="4" s="1"/>
  <c r="H122" i="4"/>
  <c r="I122" i="4" s="1"/>
  <c r="H121" i="4"/>
  <c r="I121" i="4" s="1"/>
  <c r="H120" i="4"/>
  <c r="I120" i="4" s="1"/>
  <c r="I119" i="4"/>
  <c r="H119" i="4"/>
  <c r="H118" i="4"/>
  <c r="I118" i="4" s="1"/>
  <c r="H117" i="4"/>
  <c r="I117" i="4" s="1"/>
  <c r="H116" i="4"/>
  <c r="I116" i="4" s="1"/>
  <c r="I115" i="4"/>
  <c r="H115" i="4"/>
  <c r="H114" i="4"/>
  <c r="I114" i="4" s="1"/>
  <c r="H113" i="4"/>
  <c r="I113" i="4" s="1"/>
  <c r="H112" i="4"/>
  <c r="I112" i="4" s="1"/>
  <c r="H111" i="4"/>
  <c r="I111" i="4" s="1"/>
  <c r="H110" i="4"/>
  <c r="I110" i="4" s="1"/>
  <c r="H109" i="4"/>
  <c r="I109" i="4" s="1"/>
  <c r="H108" i="4"/>
  <c r="I108" i="4" s="1"/>
  <c r="H107" i="4"/>
  <c r="I107" i="4" s="1"/>
  <c r="H106" i="4"/>
  <c r="I106" i="4" s="1"/>
  <c r="H105" i="4"/>
  <c r="I105" i="4" s="1"/>
  <c r="H104" i="4"/>
  <c r="I104" i="4" s="1"/>
  <c r="I103" i="4"/>
  <c r="H103" i="4"/>
  <c r="H102" i="4"/>
  <c r="I102" i="4" s="1"/>
  <c r="H101" i="4"/>
  <c r="I101" i="4" s="1"/>
  <c r="H100" i="4"/>
  <c r="I100" i="4" s="1"/>
  <c r="I99" i="4"/>
  <c r="H99" i="4"/>
  <c r="H98" i="4"/>
  <c r="I98" i="4" s="1"/>
  <c r="H97" i="4"/>
  <c r="I97" i="4" s="1"/>
  <c r="H96" i="4"/>
  <c r="I96" i="4" s="1"/>
  <c r="H95" i="4"/>
  <c r="I95" i="4" s="1"/>
  <c r="H94" i="4"/>
  <c r="I94" i="4" s="1"/>
  <c r="H93" i="4"/>
  <c r="I93" i="4" s="1"/>
  <c r="H92" i="4"/>
  <c r="I92" i="4" s="1"/>
  <c r="H91" i="4"/>
  <c r="I91" i="4" s="1"/>
  <c r="H90" i="4"/>
  <c r="I90" i="4" s="1"/>
  <c r="H89" i="4"/>
  <c r="I89" i="4" s="1"/>
  <c r="H88" i="4"/>
  <c r="I88" i="4" s="1"/>
  <c r="I87" i="4"/>
  <c r="H87" i="4"/>
  <c r="H86" i="4"/>
  <c r="I86" i="4" s="1"/>
  <c r="H85" i="4"/>
  <c r="I85" i="4" s="1"/>
  <c r="H84" i="4"/>
  <c r="I84" i="4" s="1"/>
  <c r="I83" i="4"/>
  <c r="H83" i="4"/>
  <c r="H82" i="4"/>
  <c r="I82" i="4" s="1"/>
  <c r="H81" i="4"/>
  <c r="I81" i="4" s="1"/>
  <c r="H80" i="4"/>
  <c r="I80" i="4" s="1"/>
  <c r="H79" i="4"/>
  <c r="I79" i="4" s="1"/>
  <c r="H78" i="4"/>
  <c r="I78" i="4" s="1"/>
  <c r="H77" i="4"/>
  <c r="I77" i="4" s="1"/>
  <c r="H76" i="4"/>
  <c r="I76" i="4" s="1"/>
  <c r="H75" i="4"/>
  <c r="I75" i="4" s="1"/>
  <c r="H74" i="4"/>
  <c r="I74" i="4" s="1"/>
  <c r="H73" i="4"/>
  <c r="I73" i="4" s="1"/>
  <c r="H72" i="4"/>
  <c r="I72" i="4" s="1"/>
  <c r="I71" i="4"/>
  <c r="H71" i="4"/>
  <c r="H70" i="4"/>
  <c r="I70" i="4" s="1"/>
  <c r="H69" i="4"/>
  <c r="I69" i="4" s="1"/>
  <c r="H68" i="4"/>
  <c r="I68" i="4" s="1"/>
  <c r="I67" i="4"/>
  <c r="H67" i="4"/>
  <c r="H66" i="4"/>
  <c r="I66" i="4" s="1"/>
  <c r="H65" i="4"/>
  <c r="I65" i="4" s="1"/>
  <c r="H64" i="4"/>
  <c r="I64" i="4" s="1"/>
  <c r="H63" i="4"/>
  <c r="I63" i="4" s="1"/>
  <c r="H62" i="4"/>
  <c r="I62" i="4" s="1"/>
  <c r="H61" i="4"/>
  <c r="I61" i="4" s="1"/>
  <c r="H60" i="4"/>
  <c r="I60" i="4" s="1"/>
  <c r="H59" i="4"/>
  <c r="I59" i="4" s="1"/>
  <c r="H58" i="4"/>
  <c r="I58" i="4" s="1"/>
  <c r="H57" i="4"/>
  <c r="I57" i="4" s="1"/>
  <c r="H56" i="4"/>
  <c r="I56" i="4" s="1"/>
  <c r="I55" i="4"/>
  <c r="H55" i="4"/>
  <c r="H54" i="4"/>
  <c r="I54" i="4" s="1"/>
  <c r="H53" i="4"/>
  <c r="I53" i="4" s="1"/>
  <c r="H52" i="4"/>
  <c r="I52" i="4" s="1"/>
  <c r="I51" i="4"/>
  <c r="H51" i="4"/>
  <c r="H50" i="4"/>
  <c r="I50" i="4" s="1"/>
  <c r="H49" i="4"/>
  <c r="I49" i="4" s="1"/>
  <c r="H48" i="4"/>
  <c r="I48" i="4" s="1"/>
  <c r="H47" i="4"/>
  <c r="I47" i="4" s="1"/>
  <c r="H46" i="4"/>
  <c r="I46" i="4" s="1"/>
  <c r="H45" i="4"/>
  <c r="I45" i="4" s="1"/>
  <c r="H44" i="4"/>
  <c r="I44" i="4" s="1"/>
  <c r="H43" i="4"/>
  <c r="I43" i="4" s="1"/>
  <c r="H42" i="4"/>
  <c r="I42" i="4" s="1"/>
  <c r="H41" i="4"/>
  <c r="I41" i="4" s="1"/>
  <c r="H40" i="4"/>
  <c r="I40" i="4" s="1"/>
  <c r="I39" i="4"/>
  <c r="H39" i="4"/>
  <c r="H38" i="4"/>
  <c r="I38" i="4" s="1"/>
  <c r="H37" i="4"/>
  <c r="I37" i="4" s="1"/>
  <c r="H36" i="4"/>
  <c r="I36" i="4" s="1"/>
  <c r="I35" i="4"/>
  <c r="H35" i="4"/>
  <c r="H34" i="4"/>
  <c r="I34" i="4" s="1"/>
  <c r="H33" i="4"/>
  <c r="I33" i="4" s="1"/>
  <c r="H32" i="4"/>
  <c r="I32" i="4" s="1"/>
  <c r="H31" i="4"/>
  <c r="I31" i="4" s="1"/>
  <c r="H30" i="4"/>
  <c r="I30" i="4" s="1"/>
  <c r="H29" i="4"/>
  <c r="I29" i="4" s="1"/>
  <c r="H28" i="4"/>
  <c r="I28" i="4" s="1"/>
  <c r="I27" i="4"/>
  <c r="H27" i="4"/>
  <c r="H26" i="4"/>
  <c r="I26" i="4" s="1"/>
  <c r="H25" i="4"/>
  <c r="I25" i="4" s="1"/>
  <c r="H24" i="4"/>
  <c r="I24" i="4" s="1"/>
  <c r="H23" i="4"/>
  <c r="I23" i="4" s="1"/>
  <c r="I22" i="4"/>
  <c r="H22" i="4"/>
  <c r="H21" i="4"/>
  <c r="I21" i="4" s="1"/>
  <c r="H20" i="4"/>
  <c r="I20" i="4" s="1"/>
  <c r="H19" i="4"/>
  <c r="I19" i="4" s="1"/>
  <c r="H18" i="4"/>
  <c r="I18" i="4" s="1"/>
  <c r="I17" i="4"/>
  <c r="H17" i="4"/>
  <c r="H16" i="4"/>
  <c r="I16" i="4" s="1"/>
  <c r="I15" i="4"/>
  <c r="H15" i="4"/>
  <c r="H14" i="4"/>
  <c r="I14" i="4" s="1"/>
  <c r="H13" i="4"/>
  <c r="I13" i="4" s="1"/>
  <c r="H12" i="4"/>
  <c r="I12" i="4" s="1"/>
  <c r="H11" i="4"/>
  <c r="I11" i="4" s="1"/>
  <c r="H10" i="4"/>
  <c r="I10" i="4" s="1"/>
  <c r="H9" i="4"/>
  <c r="I9" i="4" s="1"/>
  <c r="H8" i="4"/>
  <c r="I8" i="4" s="1"/>
  <c r="I7" i="4"/>
  <c r="H7" i="4"/>
  <c r="I6" i="4"/>
  <c r="H6" i="4"/>
  <c r="I5" i="4"/>
  <c r="H5" i="4"/>
  <c r="H4" i="4"/>
  <c r="I4" i="4" s="1"/>
  <c r="H3" i="4"/>
  <c r="I3" i="4" s="1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H204" i="2"/>
  <c r="I204" i="2" s="1"/>
  <c r="H205" i="2"/>
  <c r="I205" i="2"/>
  <c r="H206" i="2"/>
  <c r="I206" i="2" s="1"/>
  <c r="H207" i="2"/>
  <c r="I207" i="2" s="1"/>
  <c r="H208" i="2"/>
  <c r="I208" i="2" s="1"/>
  <c r="H209" i="2"/>
  <c r="I209" i="2" s="1"/>
  <c r="H210" i="2"/>
  <c r="I210" i="2"/>
  <c r="H211" i="2"/>
  <c r="I211" i="2" s="1"/>
  <c r="H212" i="2"/>
  <c r="I212" i="2" s="1"/>
  <c r="H213" i="2"/>
  <c r="I213" i="2"/>
  <c r="H214" i="2"/>
  <c r="I214" i="2" s="1"/>
  <c r="H215" i="2"/>
  <c r="I215" i="2" s="1"/>
  <c r="H216" i="2"/>
  <c r="I216" i="2" s="1"/>
  <c r="H217" i="2"/>
  <c r="I217" i="2" s="1"/>
  <c r="H218" i="2"/>
  <c r="I218" i="2"/>
  <c r="H219" i="2"/>
  <c r="I219" i="2" s="1"/>
  <c r="H220" i="2"/>
  <c r="I220" i="2" s="1"/>
  <c r="H221" i="2"/>
  <c r="I221" i="2"/>
  <c r="H222" i="2"/>
  <c r="I222" i="2" s="1"/>
  <c r="H223" i="2"/>
  <c r="I223" i="2" s="1"/>
  <c r="H224" i="2"/>
  <c r="I224" i="2" s="1"/>
  <c r="H225" i="2"/>
  <c r="I225" i="2" s="1"/>
  <c r="H226" i="2"/>
  <c r="I226" i="2"/>
  <c r="H227" i="2"/>
  <c r="I227" i="2" s="1"/>
  <c r="H228" i="2"/>
  <c r="I228" i="2" s="1"/>
  <c r="H229" i="2"/>
  <c r="I229" i="2"/>
  <c r="H230" i="2"/>
  <c r="I230" i="2" s="1"/>
  <c r="H231" i="2"/>
  <c r="I231" i="2" s="1"/>
  <c r="H232" i="2"/>
  <c r="I232" i="2" s="1"/>
  <c r="H233" i="2"/>
  <c r="I233" i="2" s="1"/>
  <c r="H234" i="2"/>
  <c r="I234" i="2"/>
  <c r="H235" i="2"/>
  <c r="I235" i="2" s="1"/>
  <c r="H236" i="2"/>
  <c r="I236" i="2" s="1"/>
  <c r="H237" i="2"/>
  <c r="I237" i="2"/>
  <c r="H238" i="2"/>
  <c r="I238" i="2" s="1"/>
  <c r="H239" i="2"/>
  <c r="I239" i="2" s="1"/>
  <c r="H240" i="2"/>
  <c r="I240" i="2" s="1"/>
  <c r="H241" i="2"/>
  <c r="I241" i="2" s="1"/>
  <c r="H242" i="2"/>
  <c r="I242" i="2"/>
  <c r="H243" i="2"/>
  <c r="I243" i="2" s="1"/>
  <c r="H244" i="2"/>
  <c r="I244" i="2" s="1"/>
  <c r="H245" i="2"/>
  <c r="I245" i="2"/>
  <c r="H246" i="2"/>
  <c r="I246" i="2" s="1"/>
  <c r="H247" i="2"/>
  <c r="I247" i="2" s="1"/>
  <c r="H248" i="2"/>
  <c r="I248" i="2"/>
  <c r="H249" i="2"/>
  <c r="I249" i="2" s="1"/>
  <c r="H250" i="2"/>
  <c r="I250" i="2"/>
  <c r="H251" i="2"/>
  <c r="I251" i="2" s="1"/>
  <c r="H252" i="2"/>
  <c r="I252" i="2" s="1"/>
  <c r="H253" i="2"/>
  <c r="I253" i="2"/>
  <c r="H254" i="2"/>
  <c r="I254" i="2" s="1"/>
  <c r="H255" i="2"/>
  <c r="I255" i="2" s="1"/>
  <c r="H256" i="2"/>
  <c r="I256" i="2"/>
  <c r="H257" i="2"/>
  <c r="I257" i="2" s="1"/>
  <c r="H258" i="2"/>
  <c r="I258" i="2"/>
  <c r="H259" i="2"/>
  <c r="I259" i="2" s="1"/>
  <c r="H260" i="2"/>
  <c r="I260" i="2" s="1"/>
  <c r="H261" i="2"/>
  <c r="I261" i="2"/>
  <c r="H262" i="2"/>
  <c r="I262" i="2" s="1"/>
  <c r="H263" i="2"/>
  <c r="I263" i="2" s="1"/>
  <c r="H264" i="2"/>
  <c r="I264" i="2" s="1"/>
  <c r="H265" i="2"/>
  <c r="I265" i="2" s="1"/>
  <c r="H266" i="2"/>
  <c r="I266" i="2"/>
  <c r="H267" i="2"/>
  <c r="I267" i="2" s="1"/>
  <c r="H268" i="2"/>
  <c r="I268" i="2" s="1"/>
  <c r="H269" i="2"/>
  <c r="I269" i="2"/>
  <c r="H270" i="2"/>
  <c r="I270" i="2" s="1"/>
  <c r="H271" i="2"/>
  <c r="I271" i="2" s="1"/>
  <c r="H272" i="2"/>
  <c r="I272" i="2" s="1"/>
  <c r="H273" i="2"/>
  <c r="I273" i="2" s="1"/>
  <c r="H274" i="2"/>
  <c r="I274" i="2"/>
  <c r="H275" i="2"/>
  <c r="I275" i="2" s="1"/>
  <c r="H276" i="2"/>
  <c r="I276" i="2" s="1"/>
  <c r="H277" i="2"/>
  <c r="I277" i="2"/>
  <c r="H278" i="2"/>
  <c r="I278" i="2" s="1"/>
  <c r="H279" i="2"/>
  <c r="I279" i="2" s="1"/>
  <c r="H280" i="2"/>
  <c r="I280" i="2" s="1"/>
  <c r="H281" i="2"/>
  <c r="I281" i="2" s="1"/>
  <c r="H282" i="2"/>
  <c r="I282" i="2"/>
  <c r="H283" i="2"/>
  <c r="I283" i="2" s="1"/>
  <c r="H284" i="2"/>
  <c r="I284" i="2" s="1"/>
  <c r="H285" i="2"/>
  <c r="I285" i="2"/>
  <c r="H286" i="2"/>
  <c r="I286" i="2" s="1"/>
  <c r="H287" i="2"/>
  <c r="I287" i="2" s="1"/>
  <c r="H288" i="2"/>
  <c r="I288" i="2" s="1"/>
  <c r="H289" i="2"/>
  <c r="I289" i="2" s="1"/>
  <c r="H290" i="2"/>
  <c r="I290" i="2"/>
  <c r="H291" i="2"/>
  <c r="I291" i="2" s="1"/>
  <c r="H292" i="2"/>
  <c r="I292" i="2" s="1"/>
  <c r="H293" i="2"/>
  <c r="I293" i="2"/>
  <c r="H294" i="2"/>
  <c r="I294" i="2" s="1"/>
  <c r="H295" i="2"/>
  <c r="I295" i="2" s="1"/>
  <c r="H296" i="2"/>
  <c r="I296" i="2" s="1"/>
  <c r="H297" i="2"/>
  <c r="I297" i="2" s="1"/>
  <c r="H298" i="2"/>
  <c r="I298" i="2"/>
  <c r="H299" i="2"/>
  <c r="I299" i="2" s="1"/>
  <c r="H300" i="2"/>
  <c r="I300" i="2"/>
  <c r="H301" i="2"/>
  <c r="I301" i="2"/>
  <c r="H302" i="2"/>
  <c r="I302" i="2"/>
  <c r="H303" i="2"/>
  <c r="I303" i="2" s="1"/>
  <c r="H254" i="1"/>
  <c r="I254" i="1" s="1"/>
  <c r="H255" i="1"/>
  <c r="I255" i="1"/>
  <c r="H256" i="1"/>
  <c r="I256" i="1" s="1"/>
  <c r="H257" i="1"/>
  <c r="I257" i="1" s="1"/>
  <c r="H258" i="1"/>
  <c r="I258" i="1" s="1"/>
  <c r="H259" i="1"/>
  <c r="I259" i="1"/>
  <c r="H260" i="1"/>
  <c r="I260" i="1" s="1"/>
  <c r="H261" i="1"/>
  <c r="I261" i="1" s="1"/>
  <c r="H262" i="1"/>
  <c r="I262" i="1" s="1"/>
  <c r="H263" i="1"/>
  <c r="I263" i="1"/>
  <c r="H264" i="1"/>
  <c r="I264" i="1" s="1"/>
  <c r="H265" i="1"/>
  <c r="I265" i="1" s="1"/>
  <c r="H266" i="1"/>
  <c r="I266" i="1" s="1"/>
  <c r="H267" i="1"/>
  <c r="I267" i="1"/>
  <c r="H268" i="1"/>
  <c r="I268" i="1" s="1"/>
  <c r="H269" i="1"/>
  <c r="I269" i="1" s="1"/>
  <c r="H270" i="1"/>
  <c r="I270" i="1" s="1"/>
  <c r="H271" i="1"/>
  <c r="I271" i="1"/>
  <c r="H272" i="1"/>
  <c r="I272" i="1" s="1"/>
  <c r="H273" i="1"/>
  <c r="I273" i="1" s="1"/>
  <c r="H274" i="1"/>
  <c r="I274" i="1" s="1"/>
  <c r="H275" i="1"/>
  <c r="I275" i="1"/>
  <c r="H276" i="1"/>
  <c r="I276" i="1" s="1"/>
  <c r="H277" i="1"/>
  <c r="I277" i="1" s="1"/>
  <c r="H278" i="1"/>
  <c r="I278" i="1" s="1"/>
  <c r="H279" i="1"/>
  <c r="I279" i="1"/>
  <c r="H280" i="1"/>
  <c r="I280" i="1" s="1"/>
  <c r="H281" i="1"/>
  <c r="I281" i="1" s="1"/>
  <c r="H282" i="1"/>
  <c r="I282" i="1" s="1"/>
  <c r="H283" i="1"/>
  <c r="I283" i="1"/>
  <c r="H284" i="1"/>
  <c r="I284" i="1" s="1"/>
  <c r="H285" i="1"/>
  <c r="I285" i="1" s="1"/>
  <c r="H286" i="1"/>
  <c r="I286" i="1" s="1"/>
  <c r="H287" i="1"/>
  <c r="I287" i="1"/>
  <c r="H288" i="1"/>
  <c r="I288" i="1" s="1"/>
  <c r="H289" i="1"/>
  <c r="I289" i="1" s="1"/>
  <c r="H290" i="1"/>
  <c r="I290" i="1" s="1"/>
  <c r="H291" i="1"/>
  <c r="I291" i="1"/>
  <c r="H292" i="1"/>
  <c r="I292" i="1" s="1"/>
  <c r="H293" i="1"/>
  <c r="I293" i="1" s="1"/>
  <c r="H294" i="1"/>
  <c r="I294" i="1" s="1"/>
  <c r="H295" i="1"/>
  <c r="I295" i="1"/>
  <c r="H296" i="1"/>
  <c r="I296" i="1" s="1"/>
  <c r="H297" i="1"/>
  <c r="I297" i="1" s="1"/>
  <c r="H298" i="1"/>
  <c r="I298" i="1" s="1"/>
  <c r="H299" i="1"/>
  <c r="I299" i="1"/>
  <c r="H300" i="1"/>
  <c r="I300" i="1" s="1"/>
  <c r="H301" i="1"/>
  <c r="I301" i="1" s="1"/>
  <c r="H302" i="1"/>
  <c r="I302" i="1" s="1"/>
  <c r="H303" i="1"/>
  <c r="I3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A92" i="3"/>
  <c r="A108" i="3"/>
  <c r="A124" i="3"/>
  <c r="H203" i="2"/>
  <c r="I203" i="2" s="1"/>
  <c r="H202" i="2"/>
  <c r="I202" i="2" s="1"/>
  <c r="H201" i="2"/>
  <c r="I201" i="2" s="1"/>
  <c r="H200" i="2"/>
  <c r="I200" i="2" s="1"/>
  <c r="H199" i="2"/>
  <c r="I199" i="2" s="1"/>
  <c r="H198" i="2"/>
  <c r="I198" i="2" s="1"/>
  <c r="H197" i="2"/>
  <c r="I197" i="2" s="1"/>
  <c r="H196" i="2"/>
  <c r="I196" i="2" s="1"/>
  <c r="H195" i="2"/>
  <c r="I195" i="2" s="1"/>
  <c r="H194" i="2"/>
  <c r="I194" i="2" s="1"/>
  <c r="H193" i="2"/>
  <c r="I193" i="2" s="1"/>
  <c r="H192" i="2"/>
  <c r="I192" i="2" s="1"/>
  <c r="H191" i="2"/>
  <c r="I191" i="2" s="1"/>
  <c r="H190" i="2"/>
  <c r="I190" i="2" s="1"/>
  <c r="H189" i="2"/>
  <c r="I189" i="2" s="1"/>
  <c r="H188" i="2"/>
  <c r="I188" i="2" s="1"/>
  <c r="H187" i="2"/>
  <c r="I187" i="2" s="1"/>
  <c r="H186" i="2"/>
  <c r="I186" i="2" s="1"/>
  <c r="H185" i="2"/>
  <c r="I185" i="2" s="1"/>
  <c r="H184" i="2"/>
  <c r="I184" i="2" s="1"/>
  <c r="H183" i="2"/>
  <c r="I183" i="2" s="1"/>
  <c r="H182" i="2"/>
  <c r="I182" i="2" s="1"/>
  <c r="H181" i="2"/>
  <c r="I181" i="2" s="1"/>
  <c r="H180" i="2"/>
  <c r="I180" i="2" s="1"/>
  <c r="H179" i="2"/>
  <c r="I179" i="2" s="1"/>
  <c r="H178" i="2"/>
  <c r="I178" i="2" s="1"/>
  <c r="H177" i="2"/>
  <c r="I177" i="2" s="1"/>
  <c r="H176" i="2"/>
  <c r="I176" i="2" s="1"/>
  <c r="H175" i="2"/>
  <c r="I175" i="2" s="1"/>
  <c r="H174" i="2"/>
  <c r="I174" i="2" s="1"/>
  <c r="H173" i="2"/>
  <c r="I173" i="2" s="1"/>
  <c r="H172" i="2"/>
  <c r="I172" i="2" s="1"/>
  <c r="H171" i="2"/>
  <c r="I171" i="2" s="1"/>
  <c r="H170" i="2"/>
  <c r="I170" i="2" s="1"/>
  <c r="H169" i="2"/>
  <c r="I169" i="2" s="1"/>
  <c r="H168" i="2"/>
  <c r="I168" i="2" s="1"/>
  <c r="H167" i="2"/>
  <c r="I167" i="2" s="1"/>
  <c r="H166" i="2"/>
  <c r="I166" i="2" s="1"/>
  <c r="H165" i="2"/>
  <c r="I165" i="2" s="1"/>
  <c r="H164" i="2"/>
  <c r="I164" i="2" s="1"/>
  <c r="H163" i="2"/>
  <c r="I163" i="2" s="1"/>
  <c r="H162" i="2"/>
  <c r="I162" i="2" s="1"/>
  <c r="H161" i="2"/>
  <c r="I161" i="2" s="1"/>
  <c r="H160" i="2"/>
  <c r="I160" i="2" s="1"/>
  <c r="H159" i="2"/>
  <c r="I159" i="2" s="1"/>
  <c r="H158" i="2"/>
  <c r="I158" i="2" s="1"/>
  <c r="H157" i="2"/>
  <c r="I157" i="2" s="1"/>
  <c r="H156" i="2"/>
  <c r="I156" i="2" s="1"/>
  <c r="H155" i="2"/>
  <c r="I155" i="2" s="1"/>
  <c r="H154" i="2"/>
  <c r="I154" i="2" s="1"/>
  <c r="H153" i="2"/>
  <c r="I153" i="2" s="1"/>
  <c r="H152" i="2"/>
  <c r="I152" i="2" s="1"/>
  <c r="H151" i="2"/>
  <c r="I151" i="2" s="1"/>
  <c r="H150" i="2"/>
  <c r="I150" i="2" s="1"/>
  <c r="H149" i="2"/>
  <c r="I149" i="2" s="1"/>
  <c r="H148" i="2"/>
  <c r="I148" i="2" s="1"/>
  <c r="H147" i="2"/>
  <c r="I147" i="2" s="1"/>
  <c r="H146" i="2"/>
  <c r="I146" i="2" s="1"/>
  <c r="H145" i="2"/>
  <c r="I145" i="2" s="1"/>
  <c r="H144" i="2"/>
  <c r="I144" i="2" s="1"/>
  <c r="H143" i="2"/>
  <c r="I143" i="2" s="1"/>
  <c r="H142" i="2"/>
  <c r="I142" i="2" s="1"/>
  <c r="H141" i="2"/>
  <c r="I141" i="2" s="1"/>
  <c r="H140" i="2"/>
  <c r="I140" i="2" s="1"/>
  <c r="H139" i="2"/>
  <c r="I139" i="2" s="1"/>
  <c r="H138" i="2"/>
  <c r="I138" i="2" s="1"/>
  <c r="H137" i="2"/>
  <c r="I137" i="2" s="1"/>
  <c r="H136" i="2"/>
  <c r="I136" i="2" s="1"/>
  <c r="H135" i="2"/>
  <c r="I135" i="2" s="1"/>
  <c r="H134" i="2"/>
  <c r="I134" i="2" s="1"/>
  <c r="H133" i="2"/>
  <c r="I133" i="2" s="1"/>
  <c r="H132" i="2"/>
  <c r="I132" i="2" s="1"/>
  <c r="H131" i="2"/>
  <c r="I131" i="2" s="1"/>
  <c r="H130" i="2"/>
  <c r="I130" i="2" s="1"/>
  <c r="H129" i="2"/>
  <c r="I129" i="2" s="1"/>
  <c r="H128" i="2"/>
  <c r="I128" i="2" s="1"/>
  <c r="H127" i="2"/>
  <c r="I127" i="2" s="1"/>
  <c r="H126" i="2"/>
  <c r="I126" i="2" s="1"/>
  <c r="H125" i="2"/>
  <c r="I125" i="2" s="1"/>
  <c r="H124" i="2"/>
  <c r="I124" i="2" s="1"/>
  <c r="H123" i="2"/>
  <c r="I123" i="2" s="1"/>
  <c r="H122" i="2"/>
  <c r="I122" i="2" s="1"/>
  <c r="H121" i="2"/>
  <c r="I121" i="2" s="1"/>
  <c r="H120" i="2"/>
  <c r="I120" i="2" s="1"/>
  <c r="H119" i="2"/>
  <c r="I119" i="2" s="1"/>
  <c r="H118" i="2"/>
  <c r="I118" i="2" s="1"/>
  <c r="H117" i="2"/>
  <c r="I117" i="2" s="1"/>
  <c r="H116" i="2"/>
  <c r="I116" i="2" s="1"/>
  <c r="H115" i="2"/>
  <c r="I115" i="2" s="1"/>
  <c r="H114" i="2"/>
  <c r="I114" i="2" s="1"/>
  <c r="H113" i="2"/>
  <c r="I113" i="2" s="1"/>
  <c r="H112" i="2"/>
  <c r="I112" i="2" s="1"/>
  <c r="H111" i="2"/>
  <c r="I111" i="2" s="1"/>
  <c r="H110" i="2"/>
  <c r="I110" i="2" s="1"/>
  <c r="H109" i="2"/>
  <c r="I109" i="2" s="1"/>
  <c r="H108" i="2"/>
  <c r="I108" i="2" s="1"/>
  <c r="H107" i="2"/>
  <c r="I107" i="2" s="1"/>
  <c r="H106" i="2"/>
  <c r="I106" i="2" s="1"/>
  <c r="H105" i="2"/>
  <c r="I105" i="2" s="1"/>
  <c r="H104" i="2"/>
  <c r="I104" i="2" s="1"/>
  <c r="H103" i="2"/>
  <c r="I103" i="2" s="1"/>
  <c r="H102" i="2"/>
  <c r="I102" i="2" s="1"/>
  <c r="H101" i="2"/>
  <c r="I101" i="2" s="1"/>
  <c r="H100" i="2"/>
  <c r="I100" i="2" s="1"/>
  <c r="H99" i="2"/>
  <c r="I99" i="2" s="1"/>
  <c r="H98" i="2"/>
  <c r="I98" i="2" s="1"/>
  <c r="H97" i="2"/>
  <c r="I97" i="2" s="1"/>
  <c r="H96" i="2"/>
  <c r="I96" i="2" s="1"/>
  <c r="H95" i="2"/>
  <c r="I95" i="2" s="1"/>
  <c r="H94" i="2"/>
  <c r="I94" i="2" s="1"/>
  <c r="H93" i="2"/>
  <c r="I93" i="2" s="1"/>
  <c r="H92" i="2"/>
  <c r="I92" i="2" s="1"/>
  <c r="H91" i="2"/>
  <c r="I91" i="2" s="1"/>
  <c r="H90" i="2"/>
  <c r="I90" i="2" s="1"/>
  <c r="H89" i="2"/>
  <c r="I89" i="2" s="1"/>
  <c r="H88" i="2"/>
  <c r="I88" i="2" s="1"/>
  <c r="H87" i="2"/>
  <c r="I87" i="2" s="1"/>
  <c r="H86" i="2"/>
  <c r="I86" i="2" s="1"/>
  <c r="H85" i="2"/>
  <c r="I85" i="2" s="1"/>
  <c r="H84" i="2"/>
  <c r="I84" i="2" s="1"/>
  <c r="H83" i="2"/>
  <c r="I83" i="2" s="1"/>
  <c r="H82" i="2"/>
  <c r="I82" i="2" s="1"/>
  <c r="H81" i="2"/>
  <c r="I81" i="2" s="1"/>
  <c r="H80" i="2"/>
  <c r="I80" i="2" s="1"/>
  <c r="H79" i="2"/>
  <c r="I79" i="2" s="1"/>
  <c r="H78" i="2"/>
  <c r="I78" i="2" s="1"/>
  <c r="H77" i="2"/>
  <c r="I77" i="2" s="1"/>
  <c r="H76" i="2"/>
  <c r="I76" i="2" s="1"/>
  <c r="H75" i="2"/>
  <c r="I75" i="2" s="1"/>
  <c r="H74" i="2"/>
  <c r="I74" i="2" s="1"/>
  <c r="H73" i="2"/>
  <c r="I73" i="2" s="1"/>
  <c r="H72" i="2"/>
  <c r="I72" i="2" s="1"/>
  <c r="H71" i="2"/>
  <c r="I71" i="2" s="1"/>
  <c r="H70" i="2"/>
  <c r="I70" i="2" s="1"/>
  <c r="H69" i="2"/>
  <c r="I69" i="2" s="1"/>
  <c r="H68" i="2"/>
  <c r="I68" i="2" s="1"/>
  <c r="H67" i="2"/>
  <c r="I67" i="2" s="1"/>
  <c r="H66" i="2"/>
  <c r="I66" i="2" s="1"/>
  <c r="H65" i="2"/>
  <c r="I65" i="2" s="1"/>
  <c r="H64" i="2"/>
  <c r="I64" i="2" s="1"/>
  <c r="H63" i="2"/>
  <c r="I63" i="2" s="1"/>
  <c r="H62" i="2"/>
  <c r="I62" i="2" s="1"/>
  <c r="H61" i="2"/>
  <c r="I61" i="2" s="1"/>
  <c r="H60" i="2"/>
  <c r="I60" i="2" s="1"/>
  <c r="H59" i="2"/>
  <c r="I59" i="2" s="1"/>
  <c r="H58" i="2"/>
  <c r="I58" i="2" s="1"/>
  <c r="H57" i="2"/>
  <c r="I57" i="2" s="1"/>
  <c r="H56" i="2"/>
  <c r="I56" i="2" s="1"/>
  <c r="H55" i="2"/>
  <c r="I55" i="2" s="1"/>
  <c r="H54" i="2"/>
  <c r="I54" i="2" s="1"/>
  <c r="H53" i="2"/>
  <c r="I53" i="2" s="1"/>
  <c r="H52" i="2"/>
  <c r="I52" i="2" s="1"/>
  <c r="H51" i="2"/>
  <c r="I51" i="2" s="1"/>
  <c r="H50" i="2"/>
  <c r="I50" i="2" s="1"/>
  <c r="H49" i="2"/>
  <c r="I49" i="2" s="1"/>
  <c r="H48" i="2"/>
  <c r="I48" i="2" s="1"/>
  <c r="H47" i="2"/>
  <c r="I47" i="2" s="1"/>
  <c r="H46" i="2"/>
  <c r="I46" i="2" s="1"/>
  <c r="H45" i="2"/>
  <c r="I45" i="2" s="1"/>
  <c r="H44" i="2"/>
  <c r="I44" i="2" s="1"/>
  <c r="H43" i="2"/>
  <c r="I43" i="2" s="1"/>
  <c r="H42" i="2"/>
  <c r="I42" i="2" s="1"/>
  <c r="H41" i="2"/>
  <c r="I41" i="2" s="1"/>
  <c r="H40" i="2"/>
  <c r="I40" i="2" s="1"/>
  <c r="H39" i="2"/>
  <c r="I39" i="2" s="1"/>
  <c r="H38" i="2"/>
  <c r="I38" i="2" s="1"/>
  <c r="H37" i="2"/>
  <c r="I37" i="2" s="1"/>
  <c r="H36" i="2"/>
  <c r="I36" i="2" s="1"/>
  <c r="H35" i="2"/>
  <c r="I35" i="2" s="1"/>
  <c r="H34" i="2"/>
  <c r="I34" i="2" s="1"/>
  <c r="H33" i="2"/>
  <c r="I33" i="2" s="1"/>
  <c r="H32" i="2"/>
  <c r="I32" i="2" s="1"/>
  <c r="H31" i="2"/>
  <c r="I31" i="2" s="1"/>
  <c r="H30" i="2"/>
  <c r="I30" i="2" s="1"/>
  <c r="H29" i="2"/>
  <c r="I29" i="2" s="1"/>
  <c r="H28" i="2"/>
  <c r="I28" i="2" s="1"/>
  <c r="H27" i="2"/>
  <c r="I27" i="2" s="1"/>
  <c r="H26" i="2"/>
  <c r="I26" i="2" s="1"/>
  <c r="H25" i="2"/>
  <c r="I25" i="2" s="1"/>
  <c r="H24" i="2"/>
  <c r="I24" i="2" s="1"/>
  <c r="H23" i="2"/>
  <c r="I23" i="2" s="1"/>
  <c r="H22" i="2"/>
  <c r="I22" i="2" s="1"/>
  <c r="H21" i="2"/>
  <c r="I21" i="2" s="1"/>
  <c r="H20" i="2"/>
  <c r="I20" i="2" s="1"/>
  <c r="H19" i="2"/>
  <c r="I19" i="2" s="1"/>
  <c r="H18" i="2"/>
  <c r="I18" i="2" s="1"/>
  <c r="H17" i="2"/>
  <c r="I17" i="2" s="1"/>
  <c r="H16" i="2"/>
  <c r="I16" i="2" s="1"/>
  <c r="H15" i="2"/>
  <c r="I15" i="2" s="1"/>
  <c r="H14" i="2"/>
  <c r="I14" i="2" s="1"/>
  <c r="H13" i="2"/>
  <c r="I13" i="2" s="1"/>
  <c r="H12" i="2"/>
  <c r="I12" i="2" s="1"/>
  <c r="H11" i="2"/>
  <c r="I11" i="2" s="1"/>
  <c r="H10" i="2"/>
  <c r="I10" i="2" s="1"/>
  <c r="H9" i="2"/>
  <c r="I9" i="2" s="1"/>
  <c r="H8" i="2"/>
  <c r="I8" i="2" s="1"/>
  <c r="H7" i="2"/>
  <c r="I7" i="2" s="1"/>
  <c r="H6" i="2"/>
  <c r="I6" i="2" s="1"/>
  <c r="H5" i="2"/>
  <c r="I5" i="2" s="1"/>
  <c r="H4" i="2"/>
  <c r="I4" i="2" s="1"/>
  <c r="H3" i="2"/>
  <c r="I3" i="2" s="1"/>
  <c r="H4" i="1"/>
  <c r="A3" i="3" s="1"/>
  <c r="H5" i="1"/>
  <c r="A4" i="3" s="1"/>
  <c r="H6" i="1"/>
  <c r="A5" i="3" s="1"/>
  <c r="H7" i="1"/>
  <c r="A6" i="3" s="1"/>
  <c r="H8" i="1"/>
  <c r="A7" i="3" s="1"/>
  <c r="H9" i="1"/>
  <c r="A8" i="3" s="1"/>
  <c r="H10" i="1"/>
  <c r="A9" i="3" s="1"/>
  <c r="H11" i="1"/>
  <c r="A10" i="3" s="1"/>
  <c r="H12" i="1"/>
  <c r="A11" i="3" s="1"/>
  <c r="H13" i="1"/>
  <c r="A12" i="3" s="1"/>
  <c r="H14" i="1"/>
  <c r="A13" i="3" s="1"/>
  <c r="H15" i="1"/>
  <c r="A14" i="3" s="1"/>
  <c r="H16" i="1"/>
  <c r="A15" i="3" s="1"/>
  <c r="H17" i="1"/>
  <c r="A16" i="3" s="1"/>
  <c r="H18" i="1"/>
  <c r="A17" i="3" s="1"/>
  <c r="H19" i="1"/>
  <c r="A18" i="3" s="1"/>
  <c r="H20" i="1"/>
  <c r="A19" i="3" s="1"/>
  <c r="H21" i="1"/>
  <c r="A20" i="3" s="1"/>
  <c r="H22" i="1"/>
  <c r="A21" i="3" s="1"/>
  <c r="H23" i="1"/>
  <c r="A22" i="3" s="1"/>
  <c r="H24" i="1"/>
  <c r="A23" i="3" s="1"/>
  <c r="H25" i="1"/>
  <c r="A24" i="3" s="1"/>
  <c r="H26" i="1"/>
  <c r="A25" i="3" s="1"/>
  <c r="H27" i="1"/>
  <c r="A26" i="3" s="1"/>
  <c r="H28" i="1"/>
  <c r="A27" i="3" s="1"/>
  <c r="H29" i="1"/>
  <c r="A28" i="3" s="1"/>
  <c r="H30" i="1"/>
  <c r="A29" i="3" s="1"/>
  <c r="H31" i="1"/>
  <c r="A30" i="3" s="1"/>
  <c r="H32" i="1"/>
  <c r="A31" i="3" s="1"/>
  <c r="H33" i="1"/>
  <c r="A32" i="3" s="1"/>
  <c r="H34" i="1"/>
  <c r="A33" i="3" s="1"/>
  <c r="H35" i="1"/>
  <c r="A34" i="3" s="1"/>
  <c r="H36" i="1"/>
  <c r="A35" i="3" s="1"/>
  <c r="H37" i="1"/>
  <c r="A36" i="3" s="1"/>
  <c r="H38" i="1"/>
  <c r="A37" i="3" s="1"/>
  <c r="H39" i="1"/>
  <c r="A38" i="3" s="1"/>
  <c r="H40" i="1"/>
  <c r="A39" i="3" s="1"/>
  <c r="H41" i="1"/>
  <c r="A40" i="3" s="1"/>
  <c r="H42" i="1"/>
  <c r="A41" i="3" s="1"/>
  <c r="H43" i="1"/>
  <c r="A42" i="3" s="1"/>
  <c r="H44" i="1"/>
  <c r="A43" i="3" s="1"/>
  <c r="H45" i="1"/>
  <c r="A44" i="3" s="1"/>
  <c r="H46" i="1"/>
  <c r="A45" i="3" s="1"/>
  <c r="H47" i="1"/>
  <c r="A46" i="3" s="1"/>
  <c r="H48" i="1"/>
  <c r="A47" i="3" s="1"/>
  <c r="H49" i="1"/>
  <c r="A48" i="3" s="1"/>
  <c r="H50" i="1"/>
  <c r="A49" i="3" s="1"/>
  <c r="H51" i="1"/>
  <c r="A50" i="3" s="1"/>
  <c r="H52" i="1"/>
  <c r="A51" i="3" s="1"/>
  <c r="H53" i="1"/>
  <c r="A52" i="3" s="1"/>
  <c r="H54" i="1"/>
  <c r="A53" i="3" s="1"/>
  <c r="H55" i="1"/>
  <c r="A54" i="3" s="1"/>
  <c r="H56" i="1"/>
  <c r="A55" i="3" s="1"/>
  <c r="H57" i="1"/>
  <c r="A56" i="3" s="1"/>
  <c r="H58" i="1"/>
  <c r="A57" i="3" s="1"/>
  <c r="H59" i="1"/>
  <c r="A58" i="3" s="1"/>
  <c r="H60" i="1"/>
  <c r="A59" i="3" s="1"/>
  <c r="H61" i="1"/>
  <c r="A60" i="3" s="1"/>
  <c r="H62" i="1"/>
  <c r="A61" i="3" s="1"/>
  <c r="H63" i="1"/>
  <c r="A62" i="3" s="1"/>
  <c r="H64" i="1"/>
  <c r="A63" i="3" s="1"/>
  <c r="H65" i="1"/>
  <c r="A64" i="3" s="1"/>
  <c r="H66" i="1"/>
  <c r="A65" i="3" s="1"/>
  <c r="H67" i="1"/>
  <c r="A66" i="3" s="1"/>
  <c r="H68" i="1"/>
  <c r="A67" i="3" s="1"/>
  <c r="H69" i="1"/>
  <c r="A68" i="3" s="1"/>
  <c r="H70" i="1"/>
  <c r="A69" i="3" s="1"/>
  <c r="H71" i="1"/>
  <c r="A70" i="3" s="1"/>
  <c r="H72" i="1"/>
  <c r="A71" i="3" s="1"/>
  <c r="H73" i="1"/>
  <c r="A72" i="3" s="1"/>
  <c r="H74" i="1"/>
  <c r="A73" i="3" s="1"/>
  <c r="H75" i="1"/>
  <c r="A74" i="3" s="1"/>
  <c r="H76" i="1"/>
  <c r="A75" i="3" s="1"/>
  <c r="H77" i="1"/>
  <c r="A76" i="3" s="1"/>
  <c r="H78" i="1"/>
  <c r="A77" i="3" s="1"/>
  <c r="H79" i="1"/>
  <c r="A78" i="3" s="1"/>
  <c r="H80" i="1"/>
  <c r="A79" i="3" s="1"/>
  <c r="H81" i="1"/>
  <c r="A80" i="3" s="1"/>
  <c r="H82" i="1"/>
  <c r="A81" i="3" s="1"/>
  <c r="H83" i="1"/>
  <c r="A82" i="3" s="1"/>
  <c r="H84" i="1"/>
  <c r="A83" i="3" s="1"/>
  <c r="H85" i="1"/>
  <c r="A84" i="3" s="1"/>
  <c r="H86" i="1"/>
  <c r="A85" i="3" s="1"/>
  <c r="H87" i="1"/>
  <c r="A86" i="3" s="1"/>
  <c r="H88" i="1"/>
  <c r="A87" i="3" s="1"/>
  <c r="H89" i="1"/>
  <c r="A88" i="3" s="1"/>
  <c r="H90" i="1"/>
  <c r="A89" i="3" s="1"/>
  <c r="H91" i="1"/>
  <c r="A90" i="3" s="1"/>
  <c r="H92" i="1"/>
  <c r="A91" i="3" s="1"/>
  <c r="H93" i="1"/>
  <c r="H94" i="1"/>
  <c r="A93" i="3" s="1"/>
  <c r="H95" i="1"/>
  <c r="A94" i="3" s="1"/>
  <c r="H96" i="1"/>
  <c r="A95" i="3" s="1"/>
  <c r="H97" i="1"/>
  <c r="A96" i="3" s="1"/>
  <c r="H98" i="1"/>
  <c r="A97" i="3" s="1"/>
  <c r="H99" i="1"/>
  <c r="A98" i="3" s="1"/>
  <c r="H100" i="1"/>
  <c r="A99" i="3" s="1"/>
  <c r="H101" i="1"/>
  <c r="A100" i="3" s="1"/>
  <c r="H102" i="1"/>
  <c r="A101" i="3" s="1"/>
  <c r="H103" i="1"/>
  <c r="A102" i="3" s="1"/>
  <c r="H104" i="1"/>
  <c r="A103" i="3" s="1"/>
  <c r="H105" i="1"/>
  <c r="A104" i="3" s="1"/>
  <c r="H106" i="1"/>
  <c r="A105" i="3" s="1"/>
  <c r="H107" i="1"/>
  <c r="A106" i="3" s="1"/>
  <c r="H108" i="1"/>
  <c r="A107" i="3" s="1"/>
  <c r="H109" i="1"/>
  <c r="H110" i="1"/>
  <c r="A109" i="3" s="1"/>
  <c r="H111" i="1"/>
  <c r="A110" i="3" s="1"/>
  <c r="H112" i="1"/>
  <c r="A111" i="3" s="1"/>
  <c r="H113" i="1"/>
  <c r="A112" i="3" s="1"/>
  <c r="H114" i="1"/>
  <c r="A113" i="3" s="1"/>
  <c r="H115" i="1"/>
  <c r="A114" i="3" s="1"/>
  <c r="H116" i="1"/>
  <c r="A115" i="3" s="1"/>
  <c r="H117" i="1"/>
  <c r="A116" i="3" s="1"/>
  <c r="H118" i="1"/>
  <c r="A117" i="3" s="1"/>
  <c r="H119" i="1"/>
  <c r="A118" i="3" s="1"/>
  <c r="H120" i="1"/>
  <c r="A119" i="3" s="1"/>
  <c r="H121" i="1"/>
  <c r="A120" i="3" s="1"/>
  <c r="H122" i="1"/>
  <c r="A121" i="3" s="1"/>
  <c r="H123" i="1"/>
  <c r="A122" i="3" s="1"/>
  <c r="H124" i="1"/>
  <c r="A123" i="3" s="1"/>
  <c r="H125" i="1"/>
  <c r="H126" i="1"/>
  <c r="A125" i="3" s="1"/>
  <c r="H127" i="1"/>
  <c r="A126" i="3" s="1"/>
  <c r="H128" i="1"/>
  <c r="A127" i="3" s="1"/>
  <c r="H129" i="1"/>
  <c r="A128" i="3" s="1"/>
  <c r="H130" i="1"/>
  <c r="A129" i="3" s="1"/>
  <c r="H131" i="1"/>
  <c r="A130" i="3" s="1"/>
  <c r="H132" i="1"/>
  <c r="A131" i="3" s="1"/>
  <c r="H133" i="1"/>
  <c r="A132" i="3" s="1"/>
  <c r="H134" i="1"/>
  <c r="A133" i="3" s="1"/>
  <c r="H135" i="1"/>
  <c r="A134" i="3" s="1"/>
  <c r="H136" i="1"/>
  <c r="A135" i="3" s="1"/>
  <c r="H137" i="1"/>
  <c r="A136" i="3" s="1"/>
  <c r="H138" i="1"/>
  <c r="A137" i="3" s="1"/>
  <c r="H139" i="1"/>
  <c r="A138" i="3" s="1"/>
  <c r="H140" i="1"/>
  <c r="A139" i="3" s="1"/>
  <c r="H141" i="1"/>
  <c r="A140" i="3" s="1"/>
  <c r="H142" i="1"/>
  <c r="A141" i="3" s="1"/>
  <c r="H143" i="1"/>
  <c r="A142" i="3" s="1"/>
  <c r="H144" i="1"/>
  <c r="A143" i="3" s="1"/>
  <c r="H145" i="1"/>
  <c r="A144" i="3" s="1"/>
  <c r="H146" i="1"/>
  <c r="A145" i="3" s="1"/>
  <c r="H147" i="1"/>
  <c r="A146" i="3" s="1"/>
  <c r="H148" i="1"/>
  <c r="A147" i="3" s="1"/>
  <c r="H149" i="1"/>
  <c r="A148" i="3" s="1"/>
  <c r="H150" i="1"/>
  <c r="A149" i="3" s="1"/>
  <c r="H151" i="1"/>
  <c r="A150" i="3" s="1"/>
  <c r="H152" i="1"/>
  <c r="A151" i="3" s="1"/>
  <c r="H153" i="1"/>
  <c r="A152" i="3" s="1"/>
  <c r="H154" i="1"/>
  <c r="A153" i="3" s="1"/>
  <c r="H155" i="1"/>
  <c r="A154" i="3" s="1"/>
  <c r="H156" i="1"/>
  <c r="A155" i="3" s="1"/>
  <c r="H157" i="1"/>
  <c r="A156" i="3" s="1"/>
  <c r="H158" i="1"/>
  <c r="A157" i="3" s="1"/>
  <c r="H159" i="1"/>
  <c r="A158" i="3" s="1"/>
  <c r="H160" i="1"/>
  <c r="A159" i="3" s="1"/>
  <c r="H161" i="1"/>
  <c r="A160" i="3" s="1"/>
  <c r="H162" i="1"/>
  <c r="A161" i="3" s="1"/>
  <c r="H163" i="1"/>
  <c r="H164" i="1"/>
  <c r="A163" i="3" s="1"/>
  <c r="H165" i="1"/>
  <c r="A164" i="3" s="1"/>
  <c r="H166" i="1"/>
  <c r="A165" i="3" s="1"/>
  <c r="H167" i="1"/>
  <c r="A166" i="3" s="1"/>
  <c r="H168" i="1"/>
  <c r="A167" i="3" s="1"/>
  <c r="H169" i="1"/>
  <c r="A168" i="3" s="1"/>
  <c r="H170" i="1"/>
  <c r="A169" i="3" s="1"/>
  <c r="H171" i="1"/>
  <c r="A170" i="3" s="1"/>
  <c r="H172" i="1"/>
  <c r="A171" i="3" s="1"/>
  <c r="H173" i="1"/>
  <c r="A172" i="3" s="1"/>
  <c r="H174" i="1"/>
  <c r="A173" i="3" s="1"/>
  <c r="H175" i="1"/>
  <c r="A174" i="3" s="1"/>
  <c r="H176" i="1"/>
  <c r="A175" i="3" s="1"/>
  <c r="H177" i="1"/>
  <c r="A176" i="3" s="1"/>
  <c r="H178" i="1"/>
  <c r="A177" i="3" s="1"/>
  <c r="H179" i="1"/>
  <c r="A178" i="3" s="1"/>
  <c r="H180" i="1"/>
  <c r="A179" i="3" s="1"/>
  <c r="H181" i="1"/>
  <c r="A180" i="3" s="1"/>
  <c r="H182" i="1"/>
  <c r="A181" i="3" s="1"/>
  <c r="H183" i="1"/>
  <c r="A182" i="3" s="1"/>
  <c r="H184" i="1"/>
  <c r="A183" i="3" s="1"/>
  <c r="H185" i="1"/>
  <c r="A184" i="3" s="1"/>
  <c r="H186" i="1"/>
  <c r="A185" i="3" s="1"/>
  <c r="H187" i="1"/>
  <c r="A186" i="3" s="1"/>
  <c r="H188" i="1"/>
  <c r="A187" i="3" s="1"/>
  <c r="H189" i="1"/>
  <c r="A188" i="3" s="1"/>
  <c r="H190" i="1"/>
  <c r="A189" i="3" s="1"/>
  <c r="H191" i="1"/>
  <c r="A190" i="3" s="1"/>
  <c r="H192" i="1"/>
  <c r="A191" i="3" s="1"/>
  <c r="H193" i="1"/>
  <c r="A192" i="3" s="1"/>
  <c r="H194" i="1"/>
  <c r="A193" i="3" s="1"/>
  <c r="H195" i="1"/>
  <c r="A194" i="3" s="1"/>
  <c r="H196" i="1"/>
  <c r="A195" i="3" s="1"/>
  <c r="H197" i="1"/>
  <c r="A196" i="3" s="1"/>
  <c r="H198" i="1"/>
  <c r="A197" i="3" s="1"/>
  <c r="H199" i="1"/>
  <c r="A198" i="3" s="1"/>
  <c r="H200" i="1"/>
  <c r="A199" i="3" s="1"/>
  <c r="H201" i="1"/>
  <c r="A200" i="3" s="1"/>
  <c r="H202" i="1"/>
  <c r="A201" i="3" s="1"/>
  <c r="H203" i="1"/>
  <c r="A202" i="3" s="1"/>
  <c r="H3" i="1"/>
  <c r="A2" i="3" s="1"/>
  <c r="B10" i="2" a="1"/>
  <c r="B7" i="1" a="1"/>
  <c r="B10" i="4" a="1"/>
  <c r="B11" i="4" a="1"/>
  <c r="B10" i="2" l="1"/>
  <c r="B7" i="1"/>
  <c r="J204" i="1" s="1"/>
  <c r="B10" i="4"/>
  <c r="B11" i="4"/>
  <c r="J101" i="5"/>
  <c r="J112" i="5"/>
  <c r="J140" i="5"/>
  <c r="J168" i="5"/>
  <c r="J23" i="5"/>
  <c r="J45" i="5"/>
  <c r="J61" i="5"/>
  <c r="J77" i="5"/>
  <c r="J165" i="5"/>
  <c r="J209" i="5"/>
  <c r="J14" i="5"/>
  <c r="J54" i="5"/>
  <c r="J201" i="5"/>
  <c r="J297" i="5"/>
  <c r="J28" i="5"/>
  <c r="J55" i="5"/>
  <c r="J71" i="5"/>
  <c r="J87" i="5"/>
  <c r="J103" i="5"/>
  <c r="J114" i="5"/>
  <c r="J136" i="5"/>
  <c r="J150" i="5"/>
  <c r="J173" i="5"/>
  <c r="J192" i="5"/>
  <c r="J217" i="5"/>
  <c r="J242" i="5"/>
  <c r="J197" i="5"/>
  <c r="J263" i="5"/>
  <c r="J17" i="5"/>
  <c r="J50" i="5"/>
  <c r="J70" i="5"/>
  <c r="J90" i="5"/>
  <c r="J113" i="5"/>
  <c r="J125" i="5"/>
  <c r="J156" i="5"/>
  <c r="J185" i="5"/>
  <c r="J248" i="5"/>
  <c r="J7" i="5"/>
  <c r="J16" i="5"/>
  <c r="J36" i="5"/>
  <c r="J121" i="5"/>
  <c r="J134" i="5"/>
  <c r="J161" i="5"/>
  <c r="J180" i="5"/>
  <c r="J202" i="5"/>
  <c r="J233" i="5"/>
  <c r="J286" i="5"/>
  <c r="J298" i="5"/>
  <c r="J29" i="5"/>
  <c r="J52" i="5"/>
  <c r="J84" i="5"/>
  <c r="J123" i="5"/>
  <c r="J167" i="5"/>
  <c r="J199" i="5"/>
  <c r="J224" i="5"/>
  <c r="J243" i="5"/>
  <c r="J261" i="5"/>
  <c r="J284" i="5"/>
  <c r="J228" i="5"/>
  <c r="J244" i="5"/>
  <c r="J264" i="5"/>
  <c r="J276" i="5"/>
  <c r="J300" i="5"/>
  <c r="J15" i="5"/>
  <c r="J37" i="5"/>
  <c r="J64" i="5"/>
  <c r="J100" i="5"/>
  <c r="J139" i="5"/>
  <c r="J171" i="5"/>
  <c r="J203" i="5"/>
  <c r="J232" i="5"/>
  <c r="J250" i="5"/>
  <c r="J268" i="5"/>
  <c r="J288" i="5"/>
  <c r="J291" i="5"/>
  <c r="B9" i="5"/>
  <c r="J89" i="5" s="1"/>
  <c r="J288" i="1"/>
  <c r="J272" i="1"/>
  <c r="N272" i="1" s="1"/>
  <c r="J210" i="1"/>
  <c r="K210" i="1" s="1"/>
  <c r="B209" i="3" s="1"/>
  <c r="J214" i="1"/>
  <c r="K214" i="1" s="1"/>
  <c r="B213" i="3" s="1"/>
  <c r="J223" i="1"/>
  <c r="M223" i="1" s="1"/>
  <c r="J226" i="1"/>
  <c r="J237" i="1"/>
  <c r="J296" i="1"/>
  <c r="J213" i="1"/>
  <c r="M213" i="1" s="1"/>
  <c r="J218" i="1"/>
  <c r="K218" i="1" s="1"/>
  <c r="B217" i="3" s="1"/>
  <c r="J231" i="1"/>
  <c r="J236" i="1"/>
  <c r="J247" i="1"/>
  <c r="J252" i="1"/>
  <c r="N252" i="1" s="1"/>
  <c r="J207" i="1"/>
  <c r="L207" i="1" s="1"/>
  <c r="J297" i="1"/>
  <c r="J242" i="1"/>
  <c r="J240" i="1"/>
  <c r="J224" i="1"/>
  <c r="J220" i="1"/>
  <c r="J299" i="1"/>
  <c r="J293" i="1"/>
  <c r="J251" i="1"/>
  <c r="J249" i="1"/>
  <c r="J295" i="1"/>
  <c r="J245" i="1"/>
  <c r="J232" i="1"/>
  <c r="J230" i="1"/>
  <c r="K230" i="1" s="1"/>
  <c r="B229" i="3" s="1"/>
  <c r="J217" i="1"/>
  <c r="J211" i="1"/>
  <c r="J300" i="1"/>
  <c r="J294" i="1"/>
  <c r="J281" i="1"/>
  <c r="J279" i="1"/>
  <c r="L279" i="1" s="1"/>
  <c r="J264" i="1"/>
  <c r="J261" i="1"/>
  <c r="J298" i="1"/>
  <c r="J291" i="1"/>
  <c r="J285" i="1"/>
  <c r="J276" i="1"/>
  <c r="J260" i="1"/>
  <c r="J257" i="1"/>
  <c r="L257" i="1" s="1"/>
  <c r="J269" i="1"/>
  <c r="J266" i="1"/>
  <c r="K266" i="1" s="1"/>
  <c r="B265" i="3" s="1"/>
  <c r="J303" i="1"/>
  <c r="J301" i="1"/>
  <c r="K301" i="1" s="1"/>
  <c r="B300" i="3" s="1"/>
  <c r="J282" i="1"/>
  <c r="J275" i="1"/>
  <c r="M275" i="1" s="1"/>
  <c r="J268" i="1"/>
  <c r="J265" i="1"/>
  <c r="K276" i="1"/>
  <c r="B275" i="3" s="1"/>
  <c r="K300" i="1"/>
  <c r="B299" i="3" s="1"/>
  <c r="L300" i="1"/>
  <c r="N303" i="1"/>
  <c r="M266" i="1"/>
  <c r="L266" i="1"/>
  <c r="N293" i="1"/>
  <c r="M282" i="1"/>
  <c r="N282" i="1"/>
  <c r="K272" i="1"/>
  <c r="B271" i="3" s="1"/>
  <c r="L272" i="1"/>
  <c r="K295" i="1"/>
  <c r="B294" i="3" s="1"/>
  <c r="L269" i="1"/>
  <c r="K269" i="1"/>
  <c r="B268" i="3" s="1"/>
  <c r="M296" i="1"/>
  <c r="L285" i="1"/>
  <c r="M285" i="1"/>
  <c r="N268" i="1"/>
  <c r="M265" i="1"/>
  <c r="L291" i="1"/>
  <c r="N275" i="1"/>
  <c r="K275" i="1"/>
  <c r="B274" i="3" s="1"/>
  <c r="N264" i="1"/>
  <c r="M264" i="1"/>
  <c r="N261" i="1"/>
  <c r="K261" i="1"/>
  <c r="B260" i="3" s="1"/>
  <c r="M297" i="1"/>
  <c r="N297" i="1"/>
  <c r="N294" i="1"/>
  <c r="K294" i="1"/>
  <c r="B293" i="3" s="1"/>
  <c r="M279" i="1"/>
  <c r="K260" i="1"/>
  <c r="B259" i="3" s="1"/>
  <c r="K252" i="1"/>
  <c r="B251" i="3" s="1"/>
  <c r="M251" i="1"/>
  <c r="K240" i="1"/>
  <c r="B239" i="3" s="1"/>
  <c r="K236" i="1"/>
  <c r="B235" i="3" s="1"/>
  <c r="K232" i="1"/>
  <c r="B231" i="3" s="1"/>
  <c r="M231" i="1"/>
  <c r="K224" i="1"/>
  <c r="B223" i="3" s="1"/>
  <c r="K220" i="1"/>
  <c r="B219" i="3" s="1"/>
  <c r="M211" i="1"/>
  <c r="M207" i="1"/>
  <c r="K204" i="1"/>
  <c r="B203" i="3" s="1"/>
  <c r="N251" i="1"/>
  <c r="L237" i="1"/>
  <c r="N236" i="1"/>
  <c r="N220" i="1"/>
  <c r="N245" i="1"/>
  <c r="L249" i="1"/>
  <c r="N240" i="1"/>
  <c r="N232" i="1"/>
  <c r="L231" i="1"/>
  <c r="N230" i="1"/>
  <c r="N224" i="1"/>
  <c r="L223" i="1"/>
  <c r="N218" i="1"/>
  <c r="L211" i="1"/>
  <c r="N210" i="1"/>
  <c r="I31" i="1"/>
  <c r="I32" i="1"/>
  <c r="I36" i="1"/>
  <c r="I47" i="1"/>
  <c r="J47" i="1" s="1"/>
  <c r="I51" i="1"/>
  <c r="I55" i="1"/>
  <c r="I59" i="1"/>
  <c r="I63" i="1"/>
  <c r="J63" i="1" s="1"/>
  <c r="I67" i="1"/>
  <c r="I71" i="1"/>
  <c r="I75" i="1"/>
  <c r="I79" i="1"/>
  <c r="J79" i="1" s="1"/>
  <c r="I83" i="1"/>
  <c r="I87" i="1"/>
  <c r="I91" i="1"/>
  <c r="I95" i="1"/>
  <c r="J95" i="1" s="1"/>
  <c r="I99" i="1"/>
  <c r="I103" i="1"/>
  <c r="I107" i="1"/>
  <c r="I111" i="1"/>
  <c r="J111" i="1" s="1"/>
  <c r="I115" i="1"/>
  <c r="I119" i="1"/>
  <c r="I123" i="1"/>
  <c r="I127" i="1"/>
  <c r="J127" i="1" s="1"/>
  <c r="I131" i="1"/>
  <c r="I135" i="1"/>
  <c r="I139" i="1"/>
  <c r="I143" i="1"/>
  <c r="J143" i="1" s="1"/>
  <c r="I147" i="1"/>
  <c r="I163" i="1"/>
  <c r="I167" i="1"/>
  <c r="J167" i="1" s="1"/>
  <c r="I171" i="1"/>
  <c r="J171" i="1" s="1"/>
  <c r="I175" i="1"/>
  <c r="J175" i="1" s="1"/>
  <c r="I180" i="1"/>
  <c r="I183" i="1"/>
  <c r="J183" i="1" s="1"/>
  <c r="I188" i="1"/>
  <c r="J188" i="1" s="1"/>
  <c r="I191" i="1"/>
  <c r="J191" i="1" s="1"/>
  <c r="I196" i="1"/>
  <c r="J196" i="1" s="1"/>
  <c r="I199" i="1"/>
  <c r="J199" i="1" s="1"/>
  <c r="I7" i="1"/>
  <c r="J7" i="1" s="1"/>
  <c r="I15" i="1"/>
  <c r="J15" i="1" s="1"/>
  <c r="I5" i="1"/>
  <c r="I9" i="1"/>
  <c r="J9" i="1" s="1"/>
  <c r="I13" i="1"/>
  <c r="J13" i="1" s="1"/>
  <c r="I16" i="1"/>
  <c r="J16" i="1" s="1"/>
  <c r="I23" i="1"/>
  <c r="I25" i="1"/>
  <c r="J25" i="1" s="1"/>
  <c r="I33" i="1"/>
  <c r="J33" i="1" s="1"/>
  <c r="I37" i="1"/>
  <c r="J37" i="1" s="1"/>
  <c r="I40" i="1"/>
  <c r="I44" i="1"/>
  <c r="J44" i="1" s="1"/>
  <c r="I164" i="1"/>
  <c r="J164" i="1" s="1"/>
  <c r="I168" i="1"/>
  <c r="I172" i="1"/>
  <c r="I178" i="1"/>
  <c r="J178" i="1" s="1"/>
  <c r="I181" i="1"/>
  <c r="J181" i="1" s="1"/>
  <c r="I186" i="1"/>
  <c r="J186" i="1" s="1"/>
  <c r="I189" i="1"/>
  <c r="J189" i="1" s="1"/>
  <c r="I194" i="1"/>
  <c r="J194" i="1" s="1"/>
  <c r="I197" i="1"/>
  <c r="J197" i="1" s="1"/>
  <c r="I202" i="1"/>
  <c r="J202" i="1" s="1"/>
  <c r="I3" i="1"/>
  <c r="J3" i="1" s="1"/>
  <c r="I11" i="1"/>
  <c r="J11" i="1" s="1"/>
  <c r="I6" i="1"/>
  <c r="J6" i="1" s="1"/>
  <c r="I10" i="1"/>
  <c r="I17" i="1"/>
  <c r="J17" i="1" s="1"/>
  <c r="I27" i="1"/>
  <c r="J27" i="1" s="1"/>
  <c r="I34" i="1"/>
  <c r="J34" i="1" s="1"/>
  <c r="I38" i="1"/>
  <c r="I41" i="1"/>
  <c r="I45" i="1"/>
  <c r="J45" i="1" s="1"/>
  <c r="I49" i="1"/>
  <c r="J49" i="1" s="1"/>
  <c r="I53" i="1"/>
  <c r="I57" i="1"/>
  <c r="J57" i="1" s="1"/>
  <c r="I61" i="1"/>
  <c r="J61" i="1" s="1"/>
  <c r="I65" i="1"/>
  <c r="J65" i="1" s="1"/>
  <c r="I69" i="1"/>
  <c r="I73" i="1"/>
  <c r="J73" i="1" s="1"/>
  <c r="I77" i="1"/>
  <c r="J77" i="1" s="1"/>
  <c r="I81" i="1"/>
  <c r="J81" i="1" s="1"/>
  <c r="I85" i="1"/>
  <c r="I89" i="1"/>
  <c r="J89" i="1" s="1"/>
  <c r="I93" i="1"/>
  <c r="J93" i="1" s="1"/>
  <c r="I97" i="1"/>
  <c r="J97" i="1" s="1"/>
  <c r="I101" i="1"/>
  <c r="I105" i="1"/>
  <c r="J105" i="1" s="1"/>
  <c r="I109" i="1"/>
  <c r="J109" i="1" s="1"/>
  <c r="I113" i="1"/>
  <c r="J113" i="1" s="1"/>
  <c r="I117" i="1"/>
  <c r="I121" i="1"/>
  <c r="J121" i="1" s="1"/>
  <c r="I125" i="1"/>
  <c r="J125" i="1" s="1"/>
  <c r="I129" i="1"/>
  <c r="J129" i="1" s="1"/>
  <c r="I133" i="1"/>
  <c r="I137" i="1"/>
  <c r="J137" i="1" s="1"/>
  <c r="I141" i="1"/>
  <c r="J141" i="1" s="1"/>
  <c r="I145" i="1"/>
  <c r="J145" i="1" s="1"/>
  <c r="I165" i="1"/>
  <c r="I169" i="1"/>
  <c r="J169" i="1" s="1"/>
  <c r="I173" i="1"/>
  <c r="J173" i="1" s="1"/>
  <c r="I176" i="1"/>
  <c r="J176" i="1" s="1"/>
  <c r="I179" i="1"/>
  <c r="J179" i="1" s="1"/>
  <c r="I184" i="1"/>
  <c r="I187" i="1"/>
  <c r="J187" i="1" s="1"/>
  <c r="I192" i="1"/>
  <c r="J192" i="1" s="1"/>
  <c r="I195" i="1"/>
  <c r="J195" i="1" s="1"/>
  <c r="I200" i="1"/>
  <c r="J200" i="1" s="1"/>
  <c r="I203" i="1"/>
  <c r="J203" i="1" s="1"/>
  <c r="I35" i="1"/>
  <c r="J35" i="1" s="1"/>
  <c r="I39" i="1"/>
  <c r="J39" i="1"/>
  <c r="I42" i="1"/>
  <c r="J42" i="1" s="1"/>
  <c r="I162" i="1"/>
  <c r="J162" i="1" s="1"/>
  <c r="I166" i="1"/>
  <c r="I170" i="1"/>
  <c r="J170" i="1" s="1"/>
  <c r="I174" i="1"/>
  <c r="J174" i="1" s="1"/>
  <c r="I177" i="1"/>
  <c r="J177" i="1" s="1"/>
  <c r="I182" i="1"/>
  <c r="J182" i="1" s="1"/>
  <c r="I185" i="1"/>
  <c r="J185" i="1" s="1"/>
  <c r="I190" i="1"/>
  <c r="J190" i="1" s="1"/>
  <c r="I193" i="1"/>
  <c r="J193" i="1" s="1"/>
  <c r="I198" i="1"/>
  <c r="J198" i="1" s="1"/>
  <c r="I201" i="1"/>
  <c r="J201" i="1" s="1"/>
  <c r="I43" i="1"/>
  <c r="J43" i="1" s="1"/>
  <c r="I48" i="1"/>
  <c r="J48" i="1" s="1"/>
  <c r="I52" i="1"/>
  <c r="J52" i="1" s="1"/>
  <c r="I56" i="1"/>
  <c r="J56" i="1" s="1"/>
  <c r="I60" i="1"/>
  <c r="J60" i="1" s="1"/>
  <c r="I64" i="1"/>
  <c r="J64" i="1" s="1"/>
  <c r="I68" i="1"/>
  <c r="J68" i="1" s="1"/>
  <c r="I72" i="1"/>
  <c r="J72" i="1" s="1"/>
  <c r="I76" i="1"/>
  <c r="J76" i="1" s="1"/>
  <c r="I80" i="1"/>
  <c r="J80" i="1" s="1"/>
  <c r="I84" i="1"/>
  <c r="J84" i="1" s="1"/>
  <c r="I88" i="1"/>
  <c r="J88" i="1" s="1"/>
  <c r="I92" i="1"/>
  <c r="J92" i="1" s="1"/>
  <c r="I96" i="1"/>
  <c r="J96" i="1" s="1"/>
  <c r="I100" i="1"/>
  <c r="J100" i="1" s="1"/>
  <c r="I104" i="1"/>
  <c r="J104" i="1" s="1"/>
  <c r="I108" i="1"/>
  <c r="J108" i="1" s="1"/>
  <c r="I112" i="1"/>
  <c r="J112" i="1" s="1"/>
  <c r="I116" i="1"/>
  <c r="J116" i="1" s="1"/>
  <c r="I120" i="1"/>
  <c r="J120" i="1" s="1"/>
  <c r="I124" i="1"/>
  <c r="J124" i="1" s="1"/>
  <c r="I128" i="1"/>
  <c r="J128" i="1" s="1"/>
  <c r="I132" i="1"/>
  <c r="J132" i="1" s="1"/>
  <c r="I136" i="1"/>
  <c r="J136" i="1" s="1"/>
  <c r="I140" i="1"/>
  <c r="J140" i="1" s="1"/>
  <c r="I144" i="1"/>
  <c r="J144" i="1" s="1"/>
  <c r="I30" i="1"/>
  <c r="J30" i="1" s="1"/>
  <c r="I4" i="1"/>
  <c r="J4" i="1" s="1"/>
  <c r="I8" i="1"/>
  <c r="J8" i="1" s="1"/>
  <c r="I12" i="1"/>
  <c r="J12" i="1" s="1"/>
  <c r="I18" i="1"/>
  <c r="J18" i="1" s="1"/>
  <c r="I22" i="1"/>
  <c r="J22" i="1" s="1"/>
  <c r="I46" i="1"/>
  <c r="J46" i="1" s="1"/>
  <c r="I50" i="1"/>
  <c r="J50" i="1" s="1"/>
  <c r="I54" i="1"/>
  <c r="J54" i="1" s="1"/>
  <c r="I58" i="1"/>
  <c r="J58" i="1" s="1"/>
  <c r="I62" i="1"/>
  <c r="J62" i="1" s="1"/>
  <c r="I66" i="1"/>
  <c r="J66" i="1" s="1"/>
  <c r="I70" i="1"/>
  <c r="J70" i="1" s="1"/>
  <c r="I74" i="1"/>
  <c r="J74" i="1" s="1"/>
  <c r="I78" i="1"/>
  <c r="J78" i="1" s="1"/>
  <c r="I82" i="1"/>
  <c r="J82" i="1" s="1"/>
  <c r="I86" i="1"/>
  <c r="J86" i="1" s="1"/>
  <c r="I90" i="1"/>
  <c r="J90" i="1" s="1"/>
  <c r="I94" i="1"/>
  <c r="J94" i="1" s="1"/>
  <c r="I98" i="1"/>
  <c r="J98" i="1" s="1"/>
  <c r="I102" i="1"/>
  <c r="J102" i="1" s="1"/>
  <c r="I106" i="1"/>
  <c r="J106" i="1" s="1"/>
  <c r="I110" i="1"/>
  <c r="J110" i="1" s="1"/>
  <c r="I114" i="1"/>
  <c r="J114" i="1" s="1"/>
  <c r="I118" i="1"/>
  <c r="J118" i="1" s="1"/>
  <c r="I122" i="1"/>
  <c r="J122" i="1" s="1"/>
  <c r="I126" i="1"/>
  <c r="J126" i="1" s="1"/>
  <c r="I130" i="1"/>
  <c r="J130" i="1" s="1"/>
  <c r="I134" i="1"/>
  <c r="J134" i="1" s="1"/>
  <c r="I138" i="1"/>
  <c r="J138" i="1" s="1"/>
  <c r="I142" i="1"/>
  <c r="J142" i="1" s="1"/>
  <c r="I146" i="1"/>
  <c r="J146" i="1" s="1"/>
  <c r="I153" i="1"/>
  <c r="J153" i="1" s="1"/>
  <c r="I161" i="1"/>
  <c r="J161" i="1" s="1"/>
  <c r="I14" i="1"/>
  <c r="J14" i="1" s="1"/>
  <c r="I20" i="1"/>
  <c r="J20" i="1" s="1"/>
  <c r="I28" i="1"/>
  <c r="J28" i="1" s="1"/>
  <c r="I150" i="1"/>
  <c r="J150" i="1" s="1"/>
  <c r="I154" i="1"/>
  <c r="J154" i="1" s="1"/>
  <c r="I158" i="1"/>
  <c r="J158" i="1" s="1"/>
  <c r="J180" i="1"/>
  <c r="J184" i="1"/>
  <c r="I148" i="1"/>
  <c r="J148" i="1" s="1"/>
  <c r="I152" i="1"/>
  <c r="J152" i="1" s="1"/>
  <c r="I156" i="1"/>
  <c r="J156" i="1" s="1"/>
  <c r="I160" i="1"/>
  <c r="J160" i="1" s="1"/>
  <c r="I19" i="1"/>
  <c r="J19" i="1" s="1"/>
  <c r="I24" i="1"/>
  <c r="J24" i="1" s="1"/>
  <c r="I149" i="1"/>
  <c r="J149" i="1" s="1"/>
  <c r="I157" i="1"/>
  <c r="J157" i="1" s="1"/>
  <c r="I26" i="1"/>
  <c r="J26" i="1" s="1"/>
  <c r="J31" i="1"/>
  <c r="I21" i="1"/>
  <c r="J21" i="1" s="1"/>
  <c r="J23" i="1"/>
  <c r="I29" i="1"/>
  <c r="J29" i="1" s="1"/>
  <c r="J51" i="1"/>
  <c r="J53" i="1"/>
  <c r="J55" i="1"/>
  <c r="J59" i="1"/>
  <c r="J67" i="1"/>
  <c r="J69" i="1"/>
  <c r="J71" i="1"/>
  <c r="J75" i="1"/>
  <c r="J83" i="1"/>
  <c r="J85" i="1"/>
  <c r="J87" i="1"/>
  <c r="J91" i="1"/>
  <c r="J99" i="1"/>
  <c r="J101" i="1"/>
  <c r="J103" i="1"/>
  <c r="J107" i="1"/>
  <c r="J115" i="1"/>
  <c r="J117" i="1"/>
  <c r="J119" i="1"/>
  <c r="J123" i="1"/>
  <c r="J131" i="1"/>
  <c r="J133" i="1"/>
  <c r="J135" i="1"/>
  <c r="J139" i="1"/>
  <c r="J147" i="1"/>
  <c r="I151" i="1"/>
  <c r="J151" i="1" s="1"/>
  <c r="I155" i="1"/>
  <c r="J155" i="1" s="1"/>
  <c r="I159" i="1"/>
  <c r="J159" i="1" s="1"/>
  <c r="J5" i="1"/>
  <c r="J10" i="1"/>
  <c r="J41" i="1"/>
  <c r="J32" i="1"/>
  <c r="J36" i="1"/>
  <c r="J38" i="1"/>
  <c r="J40" i="1"/>
  <c r="J163" i="1"/>
  <c r="J165" i="1"/>
  <c r="J166" i="1"/>
  <c r="J168" i="1"/>
  <c r="J172" i="1"/>
  <c r="B9" i="2" a="1"/>
  <c r="B9" i="2" l="1"/>
  <c r="J182" i="2" s="1"/>
  <c r="M182" i="2" s="1"/>
  <c r="J159" i="2"/>
  <c r="M159" i="2" s="1"/>
  <c r="J127" i="2"/>
  <c r="J155" i="2"/>
  <c r="J123" i="2"/>
  <c r="J186" i="2"/>
  <c r="J148" i="2"/>
  <c r="J191" i="2"/>
  <c r="J172" i="2"/>
  <c r="J124" i="2"/>
  <c r="J108" i="2"/>
  <c r="J181" i="2"/>
  <c r="J165" i="2"/>
  <c r="J117" i="2"/>
  <c r="J98" i="2"/>
  <c r="J21" i="2"/>
  <c r="J203" i="2"/>
  <c r="J138" i="2"/>
  <c r="J119" i="2"/>
  <c r="J179" i="2"/>
  <c r="J198" i="2"/>
  <c r="J111" i="2"/>
  <c r="J83" i="2"/>
  <c r="J101" i="2"/>
  <c r="L101" i="2" s="1"/>
  <c r="J65" i="2"/>
  <c r="J122" i="2"/>
  <c r="L122" i="2" s="1"/>
  <c r="J78" i="2"/>
  <c r="J168" i="2"/>
  <c r="M168" i="2" s="1"/>
  <c r="J152" i="2"/>
  <c r="J105" i="2"/>
  <c r="L105" i="2" s="1"/>
  <c r="J93" i="2"/>
  <c r="J161" i="2"/>
  <c r="K161" i="2" s="1"/>
  <c r="C160" i="3" s="1"/>
  <c r="J145" i="2"/>
  <c r="J92" i="2"/>
  <c r="N92" i="2" s="1"/>
  <c r="J74" i="2"/>
  <c r="J202" i="2"/>
  <c r="K202" i="2" s="1"/>
  <c r="C201" i="3" s="1"/>
  <c r="J180" i="2"/>
  <c r="J135" i="2"/>
  <c r="J116" i="2"/>
  <c r="J82" i="2"/>
  <c r="J147" i="2"/>
  <c r="J95" i="2"/>
  <c r="N95" i="2" s="1"/>
  <c r="J70" i="2"/>
  <c r="J54" i="2"/>
  <c r="N54" i="2" s="1"/>
  <c r="J10" i="2"/>
  <c r="K10" i="2" s="1"/>
  <c r="C9" i="3" s="1"/>
  <c r="J141" i="2"/>
  <c r="J9" i="2"/>
  <c r="K9" i="2" s="1"/>
  <c r="C8" i="3" s="1"/>
  <c r="J210" i="2"/>
  <c r="J88" i="2"/>
  <c r="J67" i="2"/>
  <c r="J72" i="2"/>
  <c r="K72" i="2" s="1"/>
  <c r="C71" i="3" s="1"/>
  <c r="J41" i="2"/>
  <c r="K41" i="2" s="1"/>
  <c r="C40" i="3" s="1"/>
  <c r="J201" i="2"/>
  <c r="J121" i="2"/>
  <c r="J76" i="2"/>
  <c r="K76" i="2" s="1"/>
  <c r="C75" i="3" s="1"/>
  <c r="L268" i="1"/>
  <c r="M268" i="1"/>
  <c r="L303" i="1"/>
  <c r="M303" i="1"/>
  <c r="M260" i="1"/>
  <c r="N260" i="1"/>
  <c r="L298" i="1"/>
  <c r="M298" i="1"/>
  <c r="K281" i="1"/>
  <c r="B280" i="3" s="1"/>
  <c r="L281" i="1"/>
  <c r="M281" i="1"/>
  <c r="L217" i="1"/>
  <c r="M217" i="1"/>
  <c r="M295" i="1"/>
  <c r="N295" i="1"/>
  <c r="M299" i="1"/>
  <c r="N299" i="1"/>
  <c r="K242" i="1"/>
  <c r="B241" i="3" s="1"/>
  <c r="N242" i="1"/>
  <c r="K247" i="1"/>
  <c r="B246" i="3" s="1"/>
  <c r="N247" i="1"/>
  <c r="N288" i="1"/>
  <c r="L288" i="1"/>
  <c r="M288" i="1"/>
  <c r="M257" i="1"/>
  <c r="L299" i="1"/>
  <c r="K268" i="1"/>
  <c r="B267" i="3" s="1"/>
  <c r="L301" i="1"/>
  <c r="K298" i="1"/>
  <c r="B297" i="3" s="1"/>
  <c r="N276" i="1"/>
  <c r="L276" i="1"/>
  <c r="L261" i="1"/>
  <c r="M261" i="1"/>
  <c r="L294" i="1"/>
  <c r="M294" i="1"/>
  <c r="K249" i="1"/>
  <c r="B248" i="3" s="1"/>
  <c r="M249" i="1"/>
  <c r="N249" i="1"/>
  <c r="K297" i="1"/>
  <c r="B296" i="3" s="1"/>
  <c r="L297" i="1"/>
  <c r="N296" i="1"/>
  <c r="K296" i="1"/>
  <c r="B295" i="3" s="1"/>
  <c r="L296" i="1"/>
  <c r="L213" i="1"/>
  <c r="L247" i="1"/>
  <c r="N281" i="1"/>
  <c r="K299" i="1"/>
  <c r="B298" i="3" s="1"/>
  <c r="N298" i="1"/>
  <c r="L282" i="1"/>
  <c r="K282" i="1"/>
  <c r="B281" i="3" s="1"/>
  <c r="M269" i="1"/>
  <c r="N269" i="1"/>
  <c r="K285" i="1"/>
  <c r="B284" i="3" s="1"/>
  <c r="N285" i="1"/>
  <c r="K264" i="1"/>
  <c r="B263" i="3" s="1"/>
  <c r="L264" i="1"/>
  <c r="M300" i="1"/>
  <c r="N300" i="1"/>
  <c r="K251" i="1"/>
  <c r="B250" i="3" s="1"/>
  <c r="L251" i="1"/>
  <c r="K231" i="1"/>
  <c r="B230" i="3" s="1"/>
  <c r="N231" i="1"/>
  <c r="K237" i="1"/>
  <c r="B236" i="3" s="1"/>
  <c r="N237" i="1"/>
  <c r="M237" i="1"/>
  <c r="M247" i="1"/>
  <c r="L260" i="1"/>
  <c r="L295" i="1"/>
  <c r="K288" i="1"/>
  <c r="B287" i="3" s="1"/>
  <c r="K303" i="1"/>
  <c r="B302" i="3" s="1"/>
  <c r="L265" i="1"/>
  <c r="K265" i="1"/>
  <c r="B264" i="3" s="1"/>
  <c r="N257" i="1"/>
  <c r="K257" i="1"/>
  <c r="B256" i="3" s="1"/>
  <c r="M291" i="1"/>
  <c r="N291" i="1"/>
  <c r="K291" i="1"/>
  <c r="B290" i="3" s="1"/>
  <c r="N279" i="1"/>
  <c r="K279" i="1"/>
  <c r="B278" i="3" s="1"/>
  <c r="K245" i="1"/>
  <c r="B244" i="3" s="1"/>
  <c r="L245" i="1"/>
  <c r="M245" i="1"/>
  <c r="K293" i="1"/>
  <c r="B292" i="3" s="1"/>
  <c r="L293" i="1"/>
  <c r="M293" i="1"/>
  <c r="K226" i="1"/>
  <c r="B225" i="3" s="1"/>
  <c r="N226" i="1"/>
  <c r="J255" i="1"/>
  <c r="J271" i="1"/>
  <c r="J286" i="1"/>
  <c r="J256" i="1"/>
  <c r="J274" i="1"/>
  <c r="J263" i="1"/>
  <c r="J287" i="1"/>
  <c r="J302" i="1"/>
  <c r="J267" i="1"/>
  <c r="J283" i="1"/>
  <c r="J278" i="1"/>
  <c r="J221" i="1"/>
  <c r="J241" i="1"/>
  <c r="J206" i="1"/>
  <c r="J253" i="1"/>
  <c r="J212" i="1"/>
  <c r="J233" i="1"/>
  <c r="J246" i="1"/>
  <c r="J227" i="1"/>
  <c r="J244" i="1"/>
  <c r="J228" i="1"/>
  <c r="J209" i="1"/>
  <c r="J234" i="1"/>
  <c r="J219" i="1"/>
  <c r="J205" i="1"/>
  <c r="M272" i="1"/>
  <c r="J262" i="1"/>
  <c r="J273" i="1"/>
  <c r="J292" i="1"/>
  <c r="K292" i="1" s="1"/>
  <c r="B291" i="3" s="1"/>
  <c r="J259" i="1"/>
  <c r="J254" i="1"/>
  <c r="J270" i="1"/>
  <c r="J289" i="1"/>
  <c r="K289" i="1" s="1"/>
  <c r="B288" i="3" s="1"/>
  <c r="J258" i="1"/>
  <c r="J277" i="1"/>
  <c r="J290" i="1"/>
  <c r="J280" i="1"/>
  <c r="J225" i="1"/>
  <c r="J243" i="1"/>
  <c r="J235" i="1"/>
  <c r="J284" i="1"/>
  <c r="J216" i="1"/>
  <c r="J238" i="1"/>
  <c r="J248" i="1"/>
  <c r="J250" i="1"/>
  <c r="J239" i="1"/>
  <c r="J222" i="1"/>
  <c r="J208" i="1"/>
  <c r="K208" i="1" s="1"/>
  <c r="B207" i="3" s="1"/>
  <c r="J229" i="1"/>
  <c r="J215" i="1"/>
  <c r="J7" i="4"/>
  <c r="J11" i="4"/>
  <c r="J15" i="4"/>
  <c r="J19" i="4"/>
  <c r="J23" i="4"/>
  <c r="J27" i="4"/>
  <c r="J31" i="4"/>
  <c r="J35" i="4"/>
  <c r="M35" i="4" s="1"/>
  <c r="J39" i="4"/>
  <c r="J43" i="4"/>
  <c r="J47" i="4"/>
  <c r="J51" i="4"/>
  <c r="M51" i="4" s="1"/>
  <c r="J55" i="4"/>
  <c r="J59" i="4"/>
  <c r="J63" i="4"/>
  <c r="J67" i="4"/>
  <c r="M67" i="4" s="1"/>
  <c r="J71" i="4"/>
  <c r="J75" i="4"/>
  <c r="N75" i="4" s="1"/>
  <c r="J79" i="4"/>
  <c r="J83" i="4"/>
  <c r="K83" i="4" s="1"/>
  <c r="G82" i="3" s="1"/>
  <c r="J87" i="4"/>
  <c r="J91" i="4"/>
  <c r="J95" i="4"/>
  <c r="J99" i="4"/>
  <c r="K99" i="4" s="1"/>
  <c r="G98" i="3" s="1"/>
  <c r="J103" i="4"/>
  <c r="J107" i="4"/>
  <c r="J111" i="4"/>
  <c r="J115" i="4"/>
  <c r="K115" i="4" s="1"/>
  <c r="G114" i="3" s="1"/>
  <c r="J119" i="4"/>
  <c r="J123" i="4"/>
  <c r="J127" i="4"/>
  <c r="J131" i="4"/>
  <c r="L131" i="4" s="1"/>
  <c r="J135" i="4"/>
  <c r="J139" i="4"/>
  <c r="J143" i="4"/>
  <c r="J147" i="4"/>
  <c r="K147" i="4" s="1"/>
  <c r="G146" i="3" s="1"/>
  <c r="J151" i="4"/>
  <c r="J155" i="4"/>
  <c r="K155" i="4" s="1"/>
  <c r="G154" i="3" s="1"/>
  <c r="J159" i="4"/>
  <c r="J163" i="4"/>
  <c r="N163" i="4" s="1"/>
  <c r="J167" i="4"/>
  <c r="J171" i="4"/>
  <c r="J175" i="4"/>
  <c r="J179" i="4"/>
  <c r="N179" i="4" s="1"/>
  <c r="J183" i="4"/>
  <c r="J187" i="4"/>
  <c r="J191" i="4"/>
  <c r="J195" i="4"/>
  <c r="N195" i="4" s="1"/>
  <c r="J199" i="4"/>
  <c r="J203" i="4"/>
  <c r="J207" i="4"/>
  <c r="J211" i="4"/>
  <c r="K211" i="4" s="1"/>
  <c r="G210" i="3" s="1"/>
  <c r="J215" i="4"/>
  <c r="J219" i="4"/>
  <c r="J223" i="4"/>
  <c r="J227" i="4"/>
  <c r="N227" i="4" s="1"/>
  <c r="J231" i="4"/>
  <c r="J235" i="4"/>
  <c r="J239" i="4"/>
  <c r="J243" i="4"/>
  <c r="L243" i="4" s="1"/>
  <c r="J247" i="4"/>
  <c r="J251" i="4"/>
  <c r="J255" i="4"/>
  <c r="J259" i="4"/>
  <c r="N259" i="4" s="1"/>
  <c r="J263" i="4"/>
  <c r="J267" i="4"/>
  <c r="J271" i="4"/>
  <c r="J275" i="4"/>
  <c r="L275" i="4" s="1"/>
  <c r="J279" i="4"/>
  <c r="J283" i="4"/>
  <c r="J287" i="4"/>
  <c r="J291" i="4"/>
  <c r="L291" i="4" s="1"/>
  <c r="J295" i="4"/>
  <c r="J299" i="4"/>
  <c r="J303" i="4"/>
  <c r="J4" i="4"/>
  <c r="J8" i="4"/>
  <c r="J12" i="4"/>
  <c r="L12" i="4" s="1"/>
  <c r="J16" i="4"/>
  <c r="J20" i="4"/>
  <c r="J24" i="4"/>
  <c r="J28" i="4"/>
  <c r="M28" i="4" s="1"/>
  <c r="J32" i="4"/>
  <c r="J36" i="4"/>
  <c r="K36" i="4" s="1"/>
  <c r="G35" i="3" s="1"/>
  <c r="J40" i="4"/>
  <c r="J44" i="4"/>
  <c r="J48" i="4"/>
  <c r="J52" i="4"/>
  <c r="K52" i="4" s="1"/>
  <c r="G51" i="3" s="1"/>
  <c r="J56" i="4"/>
  <c r="J60" i="4"/>
  <c r="J64" i="4"/>
  <c r="J68" i="4"/>
  <c r="K68" i="4" s="1"/>
  <c r="G67" i="3" s="1"/>
  <c r="J72" i="4"/>
  <c r="J76" i="4"/>
  <c r="J80" i="4"/>
  <c r="J84" i="4"/>
  <c r="N84" i="4" s="1"/>
  <c r="J88" i="4"/>
  <c r="J92" i="4"/>
  <c r="J96" i="4"/>
  <c r="J100" i="4"/>
  <c r="M100" i="4" s="1"/>
  <c r="J104" i="4"/>
  <c r="J108" i="4"/>
  <c r="M108" i="4" s="1"/>
  <c r="J112" i="4"/>
  <c r="J116" i="4"/>
  <c r="M116" i="4" s="1"/>
  <c r="J120" i="4"/>
  <c r="J124" i="4"/>
  <c r="J128" i="4"/>
  <c r="J132" i="4"/>
  <c r="N132" i="4" s="1"/>
  <c r="J136" i="4"/>
  <c r="J140" i="4"/>
  <c r="J144" i="4"/>
  <c r="J148" i="4"/>
  <c r="N148" i="4" s="1"/>
  <c r="J152" i="4"/>
  <c r="J156" i="4"/>
  <c r="N156" i="4" s="1"/>
  <c r="J160" i="4"/>
  <c r="J164" i="4"/>
  <c r="K164" i="4" s="1"/>
  <c r="G163" i="3" s="1"/>
  <c r="J168" i="4"/>
  <c r="J172" i="4"/>
  <c r="J176" i="4"/>
  <c r="J180" i="4"/>
  <c r="K180" i="4" s="1"/>
  <c r="G179" i="3" s="1"/>
  <c r="J184" i="4"/>
  <c r="J188" i="4"/>
  <c r="J192" i="4"/>
  <c r="J196" i="4"/>
  <c r="L196" i="4" s="1"/>
  <c r="J200" i="4"/>
  <c r="J204" i="4"/>
  <c r="J208" i="4"/>
  <c r="J212" i="4"/>
  <c r="L212" i="4" s="1"/>
  <c r="J216" i="4"/>
  <c r="J220" i="4"/>
  <c r="J224" i="4"/>
  <c r="J228" i="4"/>
  <c r="L228" i="4" s="1"/>
  <c r="J232" i="4"/>
  <c r="J236" i="4"/>
  <c r="J240" i="4"/>
  <c r="J244" i="4"/>
  <c r="L244" i="4" s="1"/>
  <c r="J248" i="4"/>
  <c r="J252" i="4"/>
  <c r="N252" i="4" s="1"/>
  <c r="J256" i="4"/>
  <c r="J260" i="4"/>
  <c r="N260" i="4" s="1"/>
  <c r="J264" i="4"/>
  <c r="J268" i="4"/>
  <c r="J272" i="4"/>
  <c r="J276" i="4"/>
  <c r="K276" i="4" s="1"/>
  <c r="G275" i="3" s="1"/>
  <c r="J280" i="4"/>
  <c r="J284" i="4"/>
  <c r="N284" i="4" s="1"/>
  <c r="J288" i="4"/>
  <c r="J292" i="4"/>
  <c r="M292" i="4" s="1"/>
  <c r="J296" i="4"/>
  <c r="J300" i="4"/>
  <c r="M300" i="4" s="1"/>
  <c r="J3" i="4"/>
  <c r="J5" i="4"/>
  <c r="J9" i="4"/>
  <c r="J13" i="4"/>
  <c r="K13" i="4" s="1"/>
  <c r="G12" i="3" s="1"/>
  <c r="J17" i="4"/>
  <c r="J21" i="4"/>
  <c r="K21" i="4" s="1"/>
  <c r="G20" i="3" s="1"/>
  <c r="J25" i="4"/>
  <c r="J29" i="4"/>
  <c r="M29" i="4" s="1"/>
  <c r="J33" i="4"/>
  <c r="J37" i="4"/>
  <c r="M37" i="4" s="1"/>
  <c r="J41" i="4"/>
  <c r="J45" i="4"/>
  <c r="M45" i="4" s="1"/>
  <c r="J49" i="4"/>
  <c r="J53" i="4"/>
  <c r="M53" i="4" s="1"/>
  <c r="J57" i="4"/>
  <c r="J61" i="4"/>
  <c r="M61" i="4" s="1"/>
  <c r="J65" i="4"/>
  <c r="J69" i="4"/>
  <c r="M69" i="4" s="1"/>
  <c r="J73" i="4"/>
  <c r="J77" i="4"/>
  <c r="M77" i="4" s="1"/>
  <c r="J81" i="4"/>
  <c r="J85" i="4"/>
  <c r="M85" i="4" s="1"/>
  <c r="J89" i="4"/>
  <c r="J93" i="4"/>
  <c r="M93" i="4" s="1"/>
  <c r="J97" i="4"/>
  <c r="J101" i="4"/>
  <c r="M101" i="4" s="1"/>
  <c r="J105" i="4"/>
  <c r="J109" i="4"/>
  <c r="M109" i="4" s="1"/>
  <c r="J113" i="4"/>
  <c r="J117" i="4"/>
  <c r="M117" i="4" s="1"/>
  <c r="J121" i="4"/>
  <c r="J125" i="4"/>
  <c r="N125" i="4" s="1"/>
  <c r="J129" i="4"/>
  <c r="J133" i="4"/>
  <c r="N133" i="4" s="1"/>
  <c r="J137" i="4"/>
  <c r="J141" i="4"/>
  <c r="N141" i="4" s="1"/>
  <c r="J145" i="4"/>
  <c r="J149" i="4"/>
  <c r="K149" i="4" s="1"/>
  <c r="G148" i="3" s="1"/>
  <c r="J153" i="4"/>
  <c r="J157" i="4"/>
  <c r="J161" i="4"/>
  <c r="J165" i="4"/>
  <c r="M165" i="4" s="1"/>
  <c r="J169" i="4"/>
  <c r="J173" i="4"/>
  <c r="L173" i="4" s="1"/>
  <c r="J177" i="4"/>
  <c r="J181" i="4"/>
  <c r="L181" i="4" s="1"/>
  <c r="J185" i="4"/>
  <c r="J189" i="4"/>
  <c r="J193" i="4"/>
  <c r="J197" i="4"/>
  <c r="L197" i="4" s="1"/>
  <c r="J201" i="4"/>
  <c r="J205" i="4"/>
  <c r="L205" i="4" s="1"/>
  <c r="J209" i="4"/>
  <c r="J213" i="4"/>
  <c r="N213" i="4" s="1"/>
  <c r="J217" i="4"/>
  <c r="J221" i="4"/>
  <c r="J225" i="4"/>
  <c r="J229" i="4"/>
  <c r="N229" i="4" s="1"/>
  <c r="J233" i="4"/>
  <c r="J237" i="4"/>
  <c r="N237" i="4" s="1"/>
  <c r="J241" i="4"/>
  <c r="J245" i="4"/>
  <c r="N245" i="4" s="1"/>
  <c r="J249" i="4"/>
  <c r="J253" i="4"/>
  <c r="K253" i="4" s="1"/>
  <c r="G252" i="3" s="1"/>
  <c r="J257" i="4"/>
  <c r="J261" i="4"/>
  <c r="K261" i="4" s="1"/>
  <c r="G260" i="3" s="1"/>
  <c r="J265" i="4"/>
  <c r="J269" i="4"/>
  <c r="K269" i="4" s="1"/>
  <c r="G268" i="3" s="1"/>
  <c r="J273" i="4"/>
  <c r="J277" i="4"/>
  <c r="K277" i="4" s="1"/>
  <c r="G276" i="3" s="1"/>
  <c r="J281" i="4"/>
  <c r="J285" i="4"/>
  <c r="K285" i="4" s="1"/>
  <c r="G284" i="3" s="1"/>
  <c r="J289" i="4"/>
  <c r="J293" i="4"/>
  <c r="K293" i="4" s="1"/>
  <c r="G292" i="3" s="1"/>
  <c r="J297" i="4"/>
  <c r="J301" i="4"/>
  <c r="K301" i="4" s="1"/>
  <c r="G300" i="3" s="1"/>
  <c r="J6" i="4"/>
  <c r="J10" i="4"/>
  <c r="K10" i="4" s="1"/>
  <c r="G9" i="3" s="1"/>
  <c r="J14" i="4"/>
  <c r="K14" i="4" s="1"/>
  <c r="G13" i="3" s="1"/>
  <c r="J18" i="4"/>
  <c r="M18" i="4" s="1"/>
  <c r="J22" i="4"/>
  <c r="J26" i="4"/>
  <c r="M26" i="4" s="1"/>
  <c r="J30" i="4"/>
  <c r="J34" i="4"/>
  <c r="N34" i="4" s="1"/>
  <c r="J38" i="4"/>
  <c r="J42" i="4"/>
  <c r="M42" i="4" s="1"/>
  <c r="J46" i="4"/>
  <c r="J50" i="4"/>
  <c r="N50" i="4" s="1"/>
  <c r="J54" i="4"/>
  <c r="J58" i="4"/>
  <c r="M58" i="4" s="1"/>
  <c r="J62" i="4"/>
  <c r="J66" i="4"/>
  <c r="N66" i="4" s="1"/>
  <c r="J70" i="4"/>
  <c r="J74" i="4"/>
  <c r="M74" i="4" s="1"/>
  <c r="J78" i="4"/>
  <c r="J82" i="4"/>
  <c r="N82" i="4" s="1"/>
  <c r="J86" i="4"/>
  <c r="J90" i="4"/>
  <c r="M90" i="4" s="1"/>
  <c r="J94" i="4"/>
  <c r="J98" i="4"/>
  <c r="N98" i="4" s="1"/>
  <c r="J102" i="4"/>
  <c r="J106" i="4"/>
  <c r="M106" i="4" s="1"/>
  <c r="J110" i="4"/>
  <c r="J114" i="4"/>
  <c r="N114" i="4" s="1"/>
  <c r="J118" i="4"/>
  <c r="J122" i="4"/>
  <c r="L122" i="4" s="1"/>
  <c r="J126" i="4"/>
  <c r="J130" i="4"/>
  <c r="M130" i="4" s="1"/>
  <c r="J134" i="4"/>
  <c r="J138" i="4"/>
  <c r="M138" i="4" s="1"/>
  <c r="J142" i="4"/>
  <c r="J146" i="4"/>
  <c r="M146" i="4" s="1"/>
  <c r="J150" i="4"/>
  <c r="J154" i="4"/>
  <c r="K154" i="4" s="1"/>
  <c r="G153" i="3" s="1"/>
  <c r="J158" i="4"/>
  <c r="J162" i="4"/>
  <c r="N162" i="4" s="1"/>
  <c r="J166" i="4"/>
  <c r="J170" i="4"/>
  <c r="K170" i="4" s="1"/>
  <c r="G169" i="3" s="1"/>
  <c r="J174" i="4"/>
  <c r="J178" i="4"/>
  <c r="L178" i="4" s="1"/>
  <c r="J182" i="4"/>
  <c r="J186" i="4"/>
  <c r="K186" i="4" s="1"/>
  <c r="G185" i="3" s="1"/>
  <c r="J190" i="4"/>
  <c r="J194" i="4"/>
  <c r="M194" i="4" s="1"/>
  <c r="J198" i="4"/>
  <c r="J202" i="4"/>
  <c r="L202" i="4" s="1"/>
  <c r="J206" i="4"/>
  <c r="J210" i="4"/>
  <c r="K210" i="4" s="1"/>
  <c r="G209" i="3" s="1"/>
  <c r="J214" i="4"/>
  <c r="J218" i="4"/>
  <c r="L218" i="4" s="1"/>
  <c r="J222" i="4"/>
  <c r="J226" i="4"/>
  <c r="L226" i="4" s="1"/>
  <c r="J230" i="4"/>
  <c r="J234" i="4"/>
  <c r="L234" i="4" s="1"/>
  <c r="J238" i="4"/>
  <c r="J242" i="4"/>
  <c r="N242" i="4" s="1"/>
  <c r="J246" i="4"/>
  <c r="J250" i="4"/>
  <c r="M250" i="4" s="1"/>
  <c r="J254" i="4"/>
  <c r="J258" i="4"/>
  <c r="L258" i="4" s="1"/>
  <c r="J262" i="4"/>
  <c r="J266" i="4"/>
  <c r="K266" i="4" s="1"/>
  <c r="G265" i="3" s="1"/>
  <c r="J270" i="4"/>
  <c r="J274" i="4"/>
  <c r="M274" i="4" s="1"/>
  <c r="J278" i="4"/>
  <c r="J282" i="4"/>
  <c r="M282" i="4" s="1"/>
  <c r="J286" i="4"/>
  <c r="J290" i="4"/>
  <c r="L290" i="4" s="1"/>
  <c r="J294" i="4"/>
  <c r="J298" i="4"/>
  <c r="K298" i="4" s="1"/>
  <c r="G297" i="3" s="1"/>
  <c r="J302" i="4"/>
  <c r="J245" i="5"/>
  <c r="J195" i="5"/>
  <c r="J132" i="5"/>
  <c r="J56" i="5"/>
  <c r="K56" i="5" s="1"/>
  <c r="J12" i="5"/>
  <c r="J273" i="5"/>
  <c r="J241" i="5"/>
  <c r="J275" i="5"/>
  <c r="K275" i="5" s="1"/>
  <c r="J240" i="5"/>
  <c r="J221" i="5"/>
  <c r="J191" i="5"/>
  <c r="J159" i="5"/>
  <c r="M159" i="5" s="1"/>
  <c r="J116" i="5"/>
  <c r="J44" i="5"/>
  <c r="J19" i="5"/>
  <c r="J295" i="5"/>
  <c r="L295" i="5" s="1"/>
  <c r="J283" i="5"/>
  <c r="J225" i="5"/>
  <c r="J196" i="5"/>
  <c r="J177" i="5"/>
  <c r="M177" i="5" s="1"/>
  <c r="J154" i="5"/>
  <c r="J130" i="5"/>
  <c r="J119" i="5"/>
  <c r="J33" i="5"/>
  <c r="K33" i="5" s="1"/>
  <c r="J13" i="5"/>
  <c r="J294" i="5"/>
  <c r="J216" i="5"/>
  <c r="J172" i="5"/>
  <c r="K172" i="5" s="1"/>
  <c r="J153" i="5"/>
  <c r="J122" i="5"/>
  <c r="J102" i="5"/>
  <c r="J86" i="5"/>
  <c r="J66" i="5"/>
  <c r="J42" i="5"/>
  <c r="J11" i="5"/>
  <c r="J226" i="5"/>
  <c r="M226" i="5" s="1"/>
  <c r="J184" i="5"/>
  <c r="J239" i="5"/>
  <c r="J210" i="5"/>
  <c r="J189" i="5"/>
  <c r="M189" i="5" s="1"/>
  <c r="J166" i="5"/>
  <c r="J144" i="5"/>
  <c r="J133" i="5"/>
  <c r="J110" i="5"/>
  <c r="K110" i="5" s="1"/>
  <c r="J99" i="5"/>
  <c r="J83" i="5"/>
  <c r="J67" i="5"/>
  <c r="J51" i="5"/>
  <c r="K51" i="5" s="1"/>
  <c r="J25" i="5"/>
  <c r="J257" i="5"/>
  <c r="J188" i="5"/>
  <c r="J46" i="5"/>
  <c r="N46" i="5" s="1"/>
  <c r="J278" i="5"/>
  <c r="J200" i="5"/>
  <c r="J93" i="5"/>
  <c r="J73" i="5"/>
  <c r="M73" i="5" s="1"/>
  <c r="J57" i="5"/>
  <c r="J41" i="5"/>
  <c r="J10" i="5"/>
  <c r="J152" i="5"/>
  <c r="N152" i="5" s="1"/>
  <c r="J137" i="5"/>
  <c r="J109" i="5"/>
  <c r="J97" i="5"/>
  <c r="J265" i="5"/>
  <c r="M265" i="5" s="1"/>
  <c r="J229" i="5"/>
  <c r="J163" i="5"/>
  <c r="J88" i="5"/>
  <c r="J27" i="5"/>
  <c r="J296" i="5"/>
  <c r="J258" i="5"/>
  <c r="J303" i="5"/>
  <c r="J255" i="5"/>
  <c r="L255" i="5" s="1"/>
  <c r="J76" i="5"/>
  <c r="J282" i="5"/>
  <c r="J259" i="5"/>
  <c r="J238" i="5"/>
  <c r="N238" i="5" s="1"/>
  <c r="J219" i="5"/>
  <c r="J187" i="5"/>
  <c r="J155" i="5"/>
  <c r="J127" i="5"/>
  <c r="K127" i="5" s="1"/>
  <c r="J80" i="5"/>
  <c r="J48" i="5"/>
  <c r="J24" i="5"/>
  <c r="J218" i="5"/>
  <c r="K218" i="5" s="1"/>
  <c r="J290" i="5"/>
  <c r="J270" i="5"/>
  <c r="J253" i="5"/>
  <c r="J234" i="5"/>
  <c r="M234" i="5" s="1"/>
  <c r="J299" i="5"/>
  <c r="J272" i="5"/>
  <c r="J252" i="5"/>
  <c r="J237" i="5"/>
  <c r="L237" i="5" s="1"/>
  <c r="J215" i="5"/>
  <c r="J183" i="5"/>
  <c r="J151" i="5"/>
  <c r="J111" i="5"/>
  <c r="K111" i="5" s="1"/>
  <c r="J68" i="5"/>
  <c r="J35" i="5"/>
  <c r="J6" i="5"/>
  <c r="J292" i="5"/>
  <c r="K292" i="5" s="1"/>
  <c r="J280" i="5"/>
  <c r="J214" i="5"/>
  <c r="J193" i="5"/>
  <c r="J170" i="5"/>
  <c r="M170" i="5" s="1"/>
  <c r="J148" i="5"/>
  <c r="J126" i="5"/>
  <c r="N126" i="5" s="1"/>
  <c r="J115" i="5"/>
  <c r="J22" i="5"/>
  <c r="M22" i="5" s="1"/>
  <c r="J4" i="5"/>
  <c r="J260" i="5"/>
  <c r="J204" i="5"/>
  <c r="J169" i="5"/>
  <c r="L169" i="5" s="1"/>
  <c r="J146" i="5"/>
  <c r="J120" i="5"/>
  <c r="J98" i="5"/>
  <c r="J82" i="5"/>
  <c r="J62" i="5"/>
  <c r="J34" i="5"/>
  <c r="J281" i="5"/>
  <c r="J212" i="5"/>
  <c r="L212" i="5" s="1"/>
  <c r="J174" i="5"/>
  <c r="J236" i="5"/>
  <c r="L236" i="5" s="1"/>
  <c r="J208" i="5"/>
  <c r="J182" i="5"/>
  <c r="N182" i="5" s="1"/>
  <c r="J160" i="5"/>
  <c r="J141" i="5"/>
  <c r="M141" i="5" s="1"/>
  <c r="J129" i="5"/>
  <c r="J108" i="5"/>
  <c r="L108" i="5" s="1"/>
  <c r="J95" i="5"/>
  <c r="J79" i="5"/>
  <c r="J63" i="5"/>
  <c r="J43" i="5"/>
  <c r="K43" i="5" s="1"/>
  <c r="J9" i="5"/>
  <c r="J251" i="5"/>
  <c r="K251" i="5" s="1"/>
  <c r="J178" i="5"/>
  <c r="J38" i="5"/>
  <c r="N38" i="5" s="1"/>
  <c r="J230" i="5"/>
  <c r="J190" i="5"/>
  <c r="J85" i="5"/>
  <c r="J69" i="5"/>
  <c r="M69" i="5" s="1"/>
  <c r="J53" i="5"/>
  <c r="J30" i="5"/>
  <c r="J8" i="5"/>
  <c r="J149" i="5"/>
  <c r="L149" i="5" s="1"/>
  <c r="J135" i="5"/>
  <c r="N135" i="5" s="1"/>
  <c r="J106" i="5"/>
  <c r="J269" i="5"/>
  <c r="J277" i="5"/>
  <c r="L277" i="5" s="1"/>
  <c r="J285" i="5"/>
  <c r="M285" i="5" s="1"/>
  <c r="J301" i="5"/>
  <c r="J293" i="5"/>
  <c r="J271" i="5"/>
  <c r="L271" i="5" s="1"/>
  <c r="J256" i="5"/>
  <c r="J235" i="5"/>
  <c r="K235" i="5" s="1"/>
  <c r="J211" i="5"/>
  <c r="J179" i="5"/>
  <c r="K179" i="5" s="1"/>
  <c r="J147" i="5"/>
  <c r="J107" i="5"/>
  <c r="J72" i="5"/>
  <c r="J40" i="5"/>
  <c r="L40" i="5" s="1"/>
  <c r="J21" i="5"/>
  <c r="K21" i="5" s="1"/>
  <c r="J213" i="5"/>
  <c r="J279" i="5"/>
  <c r="J267" i="5"/>
  <c r="L267" i="5" s="1"/>
  <c r="J247" i="5"/>
  <c r="J231" i="5"/>
  <c r="J287" i="5"/>
  <c r="J266" i="5"/>
  <c r="K266" i="5" s="1"/>
  <c r="J249" i="5"/>
  <c r="J227" i="5"/>
  <c r="J205" i="5"/>
  <c r="J175" i="5"/>
  <c r="N175" i="5" s="1"/>
  <c r="J143" i="5"/>
  <c r="N143" i="5" s="1"/>
  <c r="J92" i="5"/>
  <c r="J60" i="5"/>
  <c r="J32" i="5"/>
  <c r="K32" i="5" s="1"/>
  <c r="J302" i="5"/>
  <c r="L302" i="5" s="1"/>
  <c r="J289" i="5"/>
  <c r="M289" i="5" s="1"/>
  <c r="J262" i="5"/>
  <c r="J206" i="5"/>
  <c r="N206" i="5" s="1"/>
  <c r="J186" i="5"/>
  <c r="N186" i="5" s="1"/>
  <c r="J164" i="5"/>
  <c r="L164" i="5" s="1"/>
  <c r="J145" i="5"/>
  <c r="J124" i="5"/>
  <c r="L124" i="5" s="1"/>
  <c r="J96" i="5"/>
  <c r="J18" i="5"/>
  <c r="N18" i="5" s="1"/>
  <c r="J47" i="5"/>
  <c r="J254" i="5"/>
  <c r="K254" i="5" s="1"/>
  <c r="J194" i="5"/>
  <c r="J162" i="5"/>
  <c r="L162" i="5" s="1"/>
  <c r="J128" i="5"/>
  <c r="J117" i="5"/>
  <c r="L117" i="5" s="1"/>
  <c r="J94" i="5"/>
  <c r="L94" i="5" s="1"/>
  <c r="J74" i="5"/>
  <c r="J58" i="5"/>
  <c r="J31" i="5"/>
  <c r="J274" i="5"/>
  <c r="J207" i="5"/>
  <c r="K207" i="5" s="1"/>
  <c r="J246" i="5"/>
  <c r="J220" i="5"/>
  <c r="L220" i="5" s="1"/>
  <c r="J198" i="5"/>
  <c r="M198" i="5" s="1"/>
  <c r="J176" i="5"/>
  <c r="J157" i="5"/>
  <c r="J138" i="5"/>
  <c r="K138" i="5" s="1"/>
  <c r="J118" i="5"/>
  <c r="N118" i="5" s="1"/>
  <c r="J105" i="5"/>
  <c r="M105" i="5" s="1"/>
  <c r="J91" i="5"/>
  <c r="J75" i="5"/>
  <c r="K75" i="5" s="1"/>
  <c r="J59" i="5"/>
  <c r="N59" i="5" s="1"/>
  <c r="J39" i="5"/>
  <c r="N39" i="5" s="1"/>
  <c r="J3" i="5"/>
  <c r="J223" i="5"/>
  <c r="K223" i="5" s="1"/>
  <c r="J78" i="5"/>
  <c r="J20" i="5"/>
  <c r="N20" i="5" s="1"/>
  <c r="J222" i="5"/>
  <c r="J181" i="5"/>
  <c r="M181" i="5" s="1"/>
  <c r="J81" i="5"/>
  <c r="J65" i="5"/>
  <c r="L65" i="5" s="1"/>
  <c r="J49" i="5"/>
  <c r="J26" i="5"/>
  <c r="M26" i="5" s="1"/>
  <c r="J5" i="5"/>
  <c r="J142" i="5"/>
  <c r="K142" i="5" s="1"/>
  <c r="J131" i="5"/>
  <c r="J104" i="5"/>
  <c r="K104" i="5" s="1"/>
  <c r="J158" i="5"/>
  <c r="L158" i="5" s="1"/>
  <c r="K62" i="5"/>
  <c r="M62" i="5"/>
  <c r="L62" i="5"/>
  <c r="N62" i="5"/>
  <c r="L38" i="5"/>
  <c r="N22" i="5"/>
  <c r="N16" i="5"/>
  <c r="M16" i="5"/>
  <c r="K16" i="5"/>
  <c r="L16" i="5"/>
  <c r="L32" i="5"/>
  <c r="M48" i="5"/>
  <c r="K48" i="5"/>
  <c r="N48" i="5"/>
  <c r="L48" i="5"/>
  <c r="M64" i="5"/>
  <c r="K64" i="5"/>
  <c r="N64" i="5"/>
  <c r="L64" i="5"/>
  <c r="M80" i="5"/>
  <c r="K80" i="5"/>
  <c r="N80" i="5"/>
  <c r="L80" i="5"/>
  <c r="K101" i="5"/>
  <c r="M101" i="5"/>
  <c r="N101" i="5"/>
  <c r="L101" i="5"/>
  <c r="K133" i="5"/>
  <c r="M133" i="5"/>
  <c r="N133" i="5"/>
  <c r="L133" i="5"/>
  <c r="L198" i="5"/>
  <c r="K198" i="5"/>
  <c r="N198" i="5"/>
  <c r="M51" i="5"/>
  <c r="L67" i="5"/>
  <c r="N67" i="5"/>
  <c r="M67" i="5"/>
  <c r="K67" i="5"/>
  <c r="L83" i="5"/>
  <c r="N83" i="5"/>
  <c r="M83" i="5"/>
  <c r="K83" i="5"/>
  <c r="M103" i="5"/>
  <c r="N103" i="5"/>
  <c r="L103" i="5"/>
  <c r="K103" i="5"/>
  <c r="M135" i="5"/>
  <c r="L135" i="5"/>
  <c r="K135" i="5"/>
  <c r="N21" i="5"/>
  <c r="M21" i="5"/>
  <c r="L21" i="5"/>
  <c r="N37" i="5"/>
  <c r="K37" i="5"/>
  <c r="L37" i="5"/>
  <c r="M37" i="5"/>
  <c r="N53" i="5"/>
  <c r="L53" i="5"/>
  <c r="K53" i="5"/>
  <c r="M53" i="5"/>
  <c r="K69" i="5"/>
  <c r="N85" i="5"/>
  <c r="L85" i="5"/>
  <c r="K85" i="5"/>
  <c r="M85" i="5"/>
  <c r="L98" i="5"/>
  <c r="M98" i="5"/>
  <c r="N98" i="5"/>
  <c r="K98" i="5"/>
  <c r="L114" i="5"/>
  <c r="M114" i="5"/>
  <c r="N114" i="5"/>
  <c r="K114" i="5"/>
  <c r="L130" i="5"/>
  <c r="M130" i="5"/>
  <c r="N130" i="5"/>
  <c r="K130" i="5"/>
  <c r="L171" i="5"/>
  <c r="K171" i="5"/>
  <c r="M171" i="5"/>
  <c r="N171" i="5"/>
  <c r="N94" i="5"/>
  <c r="K94" i="5"/>
  <c r="M94" i="5"/>
  <c r="M110" i="5"/>
  <c r="L126" i="5"/>
  <c r="M126" i="5"/>
  <c r="K126" i="5"/>
  <c r="L142" i="5"/>
  <c r="M142" i="5"/>
  <c r="L235" i="5"/>
  <c r="M235" i="5"/>
  <c r="N235" i="5"/>
  <c r="M153" i="5"/>
  <c r="K153" i="5"/>
  <c r="N153" i="5"/>
  <c r="L153" i="5"/>
  <c r="M161" i="5"/>
  <c r="K161" i="5"/>
  <c r="N161" i="5"/>
  <c r="L161" i="5"/>
  <c r="K201" i="5"/>
  <c r="L201" i="5"/>
  <c r="N201" i="5"/>
  <c r="M201" i="5"/>
  <c r="M108" i="5"/>
  <c r="M124" i="5"/>
  <c r="N140" i="5"/>
  <c r="K140" i="5"/>
  <c r="M140" i="5"/>
  <c r="L140" i="5"/>
  <c r="L156" i="5"/>
  <c r="N156" i="5"/>
  <c r="M156" i="5"/>
  <c r="K156" i="5"/>
  <c r="N172" i="5"/>
  <c r="K209" i="5"/>
  <c r="L209" i="5"/>
  <c r="N209" i="5"/>
  <c r="M209" i="5"/>
  <c r="K230" i="5"/>
  <c r="L230" i="5"/>
  <c r="N230" i="5"/>
  <c r="M230" i="5"/>
  <c r="N158" i="5"/>
  <c r="M158" i="5"/>
  <c r="K158" i="5"/>
  <c r="L175" i="5"/>
  <c r="L202" i="5"/>
  <c r="N202" i="5"/>
  <c r="K202" i="5"/>
  <c r="M202" i="5"/>
  <c r="N226" i="5"/>
  <c r="K169" i="5"/>
  <c r="L186" i="5"/>
  <c r="K186" i="5"/>
  <c r="M186" i="5"/>
  <c r="M206" i="5"/>
  <c r="N180" i="5"/>
  <c r="L180" i="5"/>
  <c r="K180" i="5"/>
  <c r="M180" i="5"/>
  <c r="N196" i="5"/>
  <c r="L196" i="5"/>
  <c r="K196" i="5"/>
  <c r="M196" i="5"/>
  <c r="L223" i="5"/>
  <c r="M251" i="5"/>
  <c r="N251" i="5"/>
  <c r="L251" i="5"/>
  <c r="M259" i="5"/>
  <c r="K259" i="5"/>
  <c r="N259" i="5"/>
  <c r="L259" i="5"/>
  <c r="N204" i="5"/>
  <c r="K204" i="5"/>
  <c r="L204" i="5"/>
  <c r="M204" i="5"/>
  <c r="M220" i="5"/>
  <c r="M236" i="5"/>
  <c r="N236" i="5"/>
  <c r="K236" i="5"/>
  <c r="K269" i="5"/>
  <c r="M269" i="5"/>
  <c r="N269" i="5"/>
  <c r="L269" i="5"/>
  <c r="N277" i="5"/>
  <c r="K285" i="5"/>
  <c r="N285" i="5"/>
  <c r="L285" i="5"/>
  <c r="K293" i="5"/>
  <c r="M293" i="5"/>
  <c r="N293" i="5"/>
  <c r="L293" i="5"/>
  <c r="K242" i="5"/>
  <c r="N242" i="5"/>
  <c r="L242" i="5"/>
  <c r="M242" i="5"/>
  <c r="N233" i="5"/>
  <c r="K233" i="5"/>
  <c r="M233" i="5"/>
  <c r="L233" i="5"/>
  <c r="L250" i="5"/>
  <c r="N250" i="5"/>
  <c r="M250" i="5"/>
  <c r="K250" i="5"/>
  <c r="M266" i="5"/>
  <c r="L282" i="5"/>
  <c r="N282" i="5"/>
  <c r="M282" i="5"/>
  <c r="K282" i="5"/>
  <c r="M298" i="5"/>
  <c r="L298" i="5"/>
  <c r="N298" i="5"/>
  <c r="K298" i="5"/>
  <c r="N252" i="5"/>
  <c r="L252" i="5"/>
  <c r="M252" i="5"/>
  <c r="K252" i="5"/>
  <c r="L35" i="5"/>
  <c r="M35" i="5"/>
  <c r="N35" i="5"/>
  <c r="K35" i="5"/>
  <c r="M20" i="5"/>
  <c r="K20" i="5"/>
  <c r="L20" i="5"/>
  <c r="M52" i="5"/>
  <c r="K52" i="5"/>
  <c r="N52" i="5"/>
  <c r="L52" i="5"/>
  <c r="M68" i="5"/>
  <c r="K68" i="5"/>
  <c r="N68" i="5"/>
  <c r="L68" i="5"/>
  <c r="M84" i="5"/>
  <c r="K84" i="5"/>
  <c r="N84" i="5"/>
  <c r="L84" i="5"/>
  <c r="K109" i="5"/>
  <c r="M109" i="5"/>
  <c r="N109" i="5"/>
  <c r="L109" i="5"/>
  <c r="K141" i="5"/>
  <c r="N141" i="5"/>
  <c r="L141" i="5"/>
  <c r="L39" i="5"/>
  <c r="M39" i="5"/>
  <c r="K39" i="5"/>
  <c r="L55" i="5"/>
  <c r="N55" i="5"/>
  <c r="M55" i="5"/>
  <c r="K55" i="5"/>
  <c r="L71" i="5"/>
  <c r="N71" i="5"/>
  <c r="M71" i="5"/>
  <c r="K71" i="5"/>
  <c r="L87" i="5"/>
  <c r="N87" i="5"/>
  <c r="M87" i="5"/>
  <c r="K87" i="5"/>
  <c r="L111" i="5"/>
  <c r="M143" i="5"/>
  <c r="L143" i="5"/>
  <c r="K143" i="5"/>
  <c r="N25" i="5"/>
  <c r="K25" i="5"/>
  <c r="M25" i="5"/>
  <c r="L25" i="5"/>
  <c r="N41" i="5"/>
  <c r="L41" i="5"/>
  <c r="K41" i="5"/>
  <c r="M41" i="5"/>
  <c r="N57" i="5"/>
  <c r="L57" i="5"/>
  <c r="K57" i="5"/>
  <c r="M57" i="5"/>
  <c r="K73" i="5"/>
  <c r="N89" i="5"/>
  <c r="L89" i="5"/>
  <c r="K89" i="5"/>
  <c r="M89" i="5"/>
  <c r="M99" i="5"/>
  <c r="K99" i="5"/>
  <c r="N99" i="5"/>
  <c r="L99" i="5"/>
  <c r="M115" i="5"/>
  <c r="K115" i="5"/>
  <c r="N115" i="5"/>
  <c r="L115" i="5"/>
  <c r="M131" i="5"/>
  <c r="K131" i="5"/>
  <c r="N131" i="5"/>
  <c r="L131" i="5"/>
  <c r="K193" i="5"/>
  <c r="M193" i="5"/>
  <c r="L193" i="5"/>
  <c r="N193" i="5"/>
  <c r="K97" i="5"/>
  <c r="M97" i="5"/>
  <c r="L97" i="5"/>
  <c r="N97" i="5"/>
  <c r="K113" i="5"/>
  <c r="M113" i="5"/>
  <c r="L113" i="5"/>
  <c r="N113" i="5"/>
  <c r="K129" i="5"/>
  <c r="M129" i="5"/>
  <c r="L129" i="5"/>
  <c r="N129" i="5"/>
  <c r="K185" i="5"/>
  <c r="M185" i="5"/>
  <c r="L185" i="5"/>
  <c r="N185" i="5"/>
  <c r="K147" i="5"/>
  <c r="M147" i="5"/>
  <c r="N147" i="5"/>
  <c r="L147" i="5"/>
  <c r="K155" i="5"/>
  <c r="M155" i="5"/>
  <c r="N155" i="5"/>
  <c r="L155" i="5"/>
  <c r="K163" i="5"/>
  <c r="M163" i="5"/>
  <c r="N163" i="5"/>
  <c r="L163" i="5"/>
  <c r="L222" i="5"/>
  <c r="K222" i="5"/>
  <c r="N222" i="5"/>
  <c r="M222" i="5"/>
  <c r="N112" i="5"/>
  <c r="L112" i="5"/>
  <c r="M112" i="5"/>
  <c r="K112" i="5"/>
  <c r="N128" i="5"/>
  <c r="L128" i="5"/>
  <c r="M128" i="5"/>
  <c r="K128" i="5"/>
  <c r="L144" i="5"/>
  <c r="N144" i="5"/>
  <c r="M144" i="5"/>
  <c r="K144" i="5"/>
  <c r="L160" i="5"/>
  <c r="N160" i="5"/>
  <c r="M160" i="5"/>
  <c r="K160" i="5"/>
  <c r="L179" i="5"/>
  <c r="M218" i="5"/>
  <c r="N146" i="5"/>
  <c r="L146" i="5"/>
  <c r="M146" i="5"/>
  <c r="K146" i="5"/>
  <c r="N162" i="5"/>
  <c r="M162" i="5"/>
  <c r="K162" i="5"/>
  <c r="M183" i="5"/>
  <c r="K183" i="5"/>
  <c r="L183" i="5"/>
  <c r="N183" i="5"/>
  <c r="M203" i="5"/>
  <c r="L203" i="5"/>
  <c r="K203" i="5"/>
  <c r="N203" i="5"/>
  <c r="N234" i="5"/>
  <c r="K173" i="5"/>
  <c r="N173" i="5"/>
  <c r="L173" i="5"/>
  <c r="M173" i="5"/>
  <c r="L189" i="5"/>
  <c r="K217" i="5"/>
  <c r="L217" i="5"/>
  <c r="M217" i="5"/>
  <c r="N217" i="5"/>
  <c r="N184" i="5"/>
  <c r="M184" i="5"/>
  <c r="K184" i="5"/>
  <c r="L184" i="5"/>
  <c r="N200" i="5"/>
  <c r="M200" i="5"/>
  <c r="K200" i="5"/>
  <c r="L200" i="5"/>
  <c r="L239" i="5"/>
  <c r="K239" i="5"/>
  <c r="M239" i="5"/>
  <c r="N239" i="5"/>
  <c r="K253" i="5"/>
  <c r="M253" i="5"/>
  <c r="N253" i="5"/>
  <c r="L253" i="5"/>
  <c r="K261" i="5"/>
  <c r="M261" i="5"/>
  <c r="N261" i="5"/>
  <c r="L261" i="5"/>
  <c r="N208" i="5"/>
  <c r="M208" i="5"/>
  <c r="K208" i="5"/>
  <c r="L208" i="5"/>
  <c r="M224" i="5"/>
  <c r="N224" i="5"/>
  <c r="L224" i="5"/>
  <c r="K224" i="5"/>
  <c r="M240" i="5"/>
  <c r="L240" i="5"/>
  <c r="N240" i="5"/>
  <c r="K240" i="5"/>
  <c r="N271" i="5"/>
  <c r="M279" i="5"/>
  <c r="K279" i="5"/>
  <c r="N279" i="5"/>
  <c r="L279" i="5"/>
  <c r="M287" i="5"/>
  <c r="K287" i="5"/>
  <c r="N287" i="5"/>
  <c r="L287" i="5"/>
  <c r="M295" i="5"/>
  <c r="N295" i="5"/>
  <c r="K246" i="5"/>
  <c r="N246" i="5"/>
  <c r="L246" i="5"/>
  <c r="M246" i="5"/>
  <c r="K237" i="5"/>
  <c r="M254" i="5"/>
  <c r="L270" i="5"/>
  <c r="N270" i="5"/>
  <c r="M270" i="5"/>
  <c r="K270" i="5"/>
  <c r="L286" i="5"/>
  <c r="N286" i="5"/>
  <c r="M286" i="5"/>
  <c r="K286" i="5"/>
  <c r="M302" i="5"/>
  <c r="K302" i="5"/>
  <c r="N302" i="5"/>
  <c r="N256" i="5"/>
  <c r="L256" i="5"/>
  <c r="M256" i="5"/>
  <c r="K256" i="5"/>
  <c r="N272" i="5"/>
  <c r="L272" i="5"/>
  <c r="M272" i="5"/>
  <c r="K272" i="5"/>
  <c r="N288" i="5"/>
  <c r="L288" i="5"/>
  <c r="M288" i="5"/>
  <c r="K288" i="5"/>
  <c r="N299" i="5"/>
  <c r="M299" i="5"/>
  <c r="L299" i="5"/>
  <c r="K299" i="5"/>
  <c r="K17" i="5"/>
  <c r="L17" i="5"/>
  <c r="N17" i="5"/>
  <c r="M17" i="5"/>
  <c r="K3" i="5"/>
  <c r="L3" i="5"/>
  <c r="N3" i="5"/>
  <c r="M3" i="5"/>
  <c r="L23" i="5"/>
  <c r="M23" i="5"/>
  <c r="N23" i="5"/>
  <c r="K23" i="5"/>
  <c r="K70" i="5"/>
  <c r="M70" i="5"/>
  <c r="L70" i="5"/>
  <c r="N70" i="5"/>
  <c r="K42" i="5"/>
  <c r="M42" i="5"/>
  <c r="L42" i="5"/>
  <c r="N42" i="5"/>
  <c r="K7" i="5"/>
  <c r="N7" i="5"/>
  <c r="L7" i="5"/>
  <c r="M7" i="5"/>
  <c r="L46" i="5"/>
  <c r="M11" i="5"/>
  <c r="L11" i="5"/>
  <c r="K11" i="5"/>
  <c r="N11" i="5"/>
  <c r="M36" i="5"/>
  <c r="N36" i="5"/>
  <c r="L36" i="5"/>
  <c r="K36" i="5"/>
  <c r="M15" i="5"/>
  <c r="L15" i="5"/>
  <c r="N15" i="5"/>
  <c r="K15" i="5"/>
  <c r="K30" i="5"/>
  <c r="L30" i="5"/>
  <c r="N30" i="5"/>
  <c r="M30" i="5"/>
  <c r="N6" i="5"/>
  <c r="K6" i="5"/>
  <c r="M6" i="5"/>
  <c r="L6" i="5"/>
  <c r="M24" i="5"/>
  <c r="N24" i="5"/>
  <c r="K24" i="5"/>
  <c r="L24" i="5"/>
  <c r="N40" i="5"/>
  <c r="M56" i="5"/>
  <c r="N56" i="5"/>
  <c r="L56" i="5"/>
  <c r="M72" i="5"/>
  <c r="K72" i="5"/>
  <c r="N72" i="5"/>
  <c r="L72" i="5"/>
  <c r="M88" i="5"/>
  <c r="K88" i="5"/>
  <c r="N88" i="5"/>
  <c r="L88" i="5"/>
  <c r="N117" i="5"/>
  <c r="M145" i="5"/>
  <c r="K145" i="5"/>
  <c r="N145" i="5"/>
  <c r="L145" i="5"/>
  <c r="M43" i="5"/>
  <c r="L59" i="5"/>
  <c r="M59" i="5"/>
  <c r="K59" i="5"/>
  <c r="M75" i="5"/>
  <c r="L91" i="5"/>
  <c r="N91" i="5"/>
  <c r="M91" i="5"/>
  <c r="K91" i="5"/>
  <c r="M119" i="5"/>
  <c r="N119" i="5"/>
  <c r="L119" i="5"/>
  <c r="K119" i="5"/>
  <c r="K182" i="5"/>
  <c r="N29" i="5"/>
  <c r="K29" i="5"/>
  <c r="M29" i="5"/>
  <c r="L29" i="5"/>
  <c r="N45" i="5"/>
  <c r="L45" i="5"/>
  <c r="K45" i="5"/>
  <c r="M45" i="5"/>
  <c r="N61" i="5"/>
  <c r="L61" i="5"/>
  <c r="K61" i="5"/>
  <c r="M61" i="5"/>
  <c r="N77" i="5"/>
  <c r="L77" i="5"/>
  <c r="K77" i="5"/>
  <c r="M77" i="5"/>
  <c r="N93" i="5"/>
  <c r="M93" i="5"/>
  <c r="L93" i="5"/>
  <c r="K93" i="5"/>
  <c r="L106" i="5"/>
  <c r="M106" i="5"/>
  <c r="N106" i="5"/>
  <c r="K106" i="5"/>
  <c r="L122" i="5"/>
  <c r="M122" i="5"/>
  <c r="N122" i="5"/>
  <c r="K122" i="5"/>
  <c r="N138" i="5"/>
  <c r="M211" i="5"/>
  <c r="L211" i="5"/>
  <c r="N211" i="5"/>
  <c r="K211" i="5"/>
  <c r="L102" i="5"/>
  <c r="N102" i="5"/>
  <c r="M102" i="5"/>
  <c r="K102" i="5"/>
  <c r="L118" i="5"/>
  <c r="M118" i="5"/>
  <c r="K118" i="5"/>
  <c r="L134" i="5"/>
  <c r="N134" i="5"/>
  <c r="M134" i="5"/>
  <c r="K134" i="5"/>
  <c r="L190" i="5"/>
  <c r="M190" i="5"/>
  <c r="K190" i="5"/>
  <c r="N190" i="5"/>
  <c r="N149" i="5"/>
  <c r="M157" i="5"/>
  <c r="K157" i="5"/>
  <c r="N157" i="5"/>
  <c r="L157" i="5"/>
  <c r="L167" i="5"/>
  <c r="K167" i="5"/>
  <c r="M167" i="5"/>
  <c r="N167" i="5"/>
  <c r="N100" i="5"/>
  <c r="K100" i="5"/>
  <c r="M100" i="5"/>
  <c r="L100" i="5"/>
  <c r="N116" i="5"/>
  <c r="K116" i="5"/>
  <c r="M116" i="5"/>
  <c r="L116" i="5"/>
  <c r="N132" i="5"/>
  <c r="K132" i="5"/>
  <c r="M132" i="5"/>
  <c r="L132" i="5"/>
  <c r="L148" i="5"/>
  <c r="N148" i="5"/>
  <c r="M148" i="5"/>
  <c r="K148" i="5"/>
  <c r="M164" i="5"/>
  <c r="N164" i="5"/>
  <c r="K164" i="5"/>
  <c r="M187" i="5"/>
  <c r="N187" i="5"/>
  <c r="L187" i="5"/>
  <c r="K187" i="5"/>
  <c r="M219" i="5"/>
  <c r="L219" i="5"/>
  <c r="N219" i="5"/>
  <c r="K219" i="5"/>
  <c r="N150" i="5"/>
  <c r="L150" i="5"/>
  <c r="M150" i="5"/>
  <c r="K150" i="5"/>
  <c r="K166" i="5"/>
  <c r="N166" i="5"/>
  <c r="L166" i="5"/>
  <c r="M166" i="5"/>
  <c r="M191" i="5"/>
  <c r="K191" i="5"/>
  <c r="L191" i="5"/>
  <c r="N191" i="5"/>
  <c r="K205" i="5"/>
  <c r="N205" i="5"/>
  <c r="L205" i="5"/>
  <c r="M205" i="5"/>
  <c r="L243" i="5"/>
  <c r="K243" i="5"/>
  <c r="M243" i="5"/>
  <c r="N243" i="5"/>
  <c r="L178" i="5"/>
  <c r="N178" i="5"/>
  <c r="K178" i="5"/>
  <c r="M178" i="5"/>
  <c r="L194" i="5"/>
  <c r="N194" i="5"/>
  <c r="K194" i="5"/>
  <c r="M194" i="5"/>
  <c r="L231" i="5"/>
  <c r="M231" i="5"/>
  <c r="N231" i="5"/>
  <c r="K231" i="5"/>
  <c r="N188" i="5"/>
  <c r="L188" i="5"/>
  <c r="K188" i="5"/>
  <c r="M188" i="5"/>
  <c r="M207" i="5"/>
  <c r="L207" i="5"/>
  <c r="N207" i="5"/>
  <c r="M247" i="5"/>
  <c r="K247" i="5"/>
  <c r="N247" i="5"/>
  <c r="L247" i="5"/>
  <c r="N255" i="5"/>
  <c r="M263" i="5"/>
  <c r="K263" i="5"/>
  <c r="N263" i="5"/>
  <c r="L263" i="5"/>
  <c r="M212" i="5"/>
  <c r="M228" i="5"/>
  <c r="N228" i="5"/>
  <c r="K228" i="5"/>
  <c r="L228" i="5"/>
  <c r="M244" i="5"/>
  <c r="L244" i="5"/>
  <c r="N244" i="5"/>
  <c r="K244" i="5"/>
  <c r="K273" i="5"/>
  <c r="M273" i="5"/>
  <c r="N273" i="5"/>
  <c r="L273" i="5"/>
  <c r="K281" i="5"/>
  <c r="M281" i="5"/>
  <c r="N281" i="5"/>
  <c r="L281" i="5"/>
  <c r="K289" i="5"/>
  <c r="N289" i="5"/>
  <c r="L289" i="5"/>
  <c r="K297" i="5"/>
  <c r="M297" i="5"/>
  <c r="N297" i="5"/>
  <c r="L297" i="5"/>
  <c r="N225" i="5"/>
  <c r="K225" i="5"/>
  <c r="M225" i="5"/>
  <c r="L225" i="5"/>
  <c r="N241" i="5"/>
  <c r="M241" i="5"/>
  <c r="K241" i="5"/>
  <c r="L241" i="5"/>
  <c r="L258" i="5"/>
  <c r="N258" i="5"/>
  <c r="M258" i="5"/>
  <c r="K258" i="5"/>
  <c r="L274" i="5"/>
  <c r="N274" i="5"/>
  <c r="M274" i="5"/>
  <c r="K274" i="5"/>
  <c r="L290" i="5"/>
  <c r="N290" i="5"/>
  <c r="M290" i="5"/>
  <c r="K290" i="5"/>
  <c r="L301" i="5"/>
  <c r="K301" i="5"/>
  <c r="N301" i="5"/>
  <c r="M301" i="5"/>
  <c r="N260" i="5"/>
  <c r="L260" i="5"/>
  <c r="M260" i="5"/>
  <c r="K260" i="5"/>
  <c r="N276" i="5"/>
  <c r="L276" i="5"/>
  <c r="M276" i="5"/>
  <c r="K276" i="5"/>
  <c r="M292" i="5"/>
  <c r="N303" i="5"/>
  <c r="M303" i="5"/>
  <c r="L303" i="5"/>
  <c r="K303" i="5"/>
  <c r="L14" i="5"/>
  <c r="K14" i="5"/>
  <c r="N14" i="5"/>
  <c r="M14" i="5"/>
  <c r="K34" i="5"/>
  <c r="L34" i="5"/>
  <c r="N34" i="5"/>
  <c r="M34" i="5"/>
  <c r="L19" i="5"/>
  <c r="M19" i="5"/>
  <c r="N19" i="5"/>
  <c r="K19" i="5"/>
  <c r="K90" i="5"/>
  <c r="M90" i="5"/>
  <c r="L90" i="5"/>
  <c r="N90" i="5"/>
  <c r="L18" i="5"/>
  <c r="M18" i="5"/>
  <c r="K18" i="5"/>
  <c r="L4" i="5"/>
  <c r="N4" i="5"/>
  <c r="M4" i="5"/>
  <c r="K4" i="5"/>
  <c r="J68" i="2"/>
  <c r="M68" i="2" s="1"/>
  <c r="J48" i="2"/>
  <c r="J17" i="2"/>
  <c r="J184" i="2"/>
  <c r="L184" i="2" s="1"/>
  <c r="J196" i="2"/>
  <c r="J176" i="2"/>
  <c r="J160" i="2"/>
  <c r="J144" i="2"/>
  <c r="K144" i="2" s="1"/>
  <c r="C143" i="3" s="1"/>
  <c r="J128" i="2"/>
  <c r="J107" i="2"/>
  <c r="J91" i="2"/>
  <c r="J79" i="2"/>
  <c r="M79" i="2" s="1"/>
  <c r="J59" i="2"/>
  <c r="M59" i="2" s="1"/>
  <c r="J69" i="2"/>
  <c r="J51" i="2"/>
  <c r="J43" i="2"/>
  <c r="K43" i="2" s="1"/>
  <c r="C42" i="3" s="1"/>
  <c r="J169" i="2"/>
  <c r="L169" i="2" s="1"/>
  <c r="J118" i="2"/>
  <c r="J27" i="2"/>
  <c r="J32" i="2"/>
  <c r="L32" i="2" s="1"/>
  <c r="K78" i="5"/>
  <c r="M78" i="5"/>
  <c r="L78" i="5"/>
  <c r="N78" i="5"/>
  <c r="K54" i="5"/>
  <c r="M54" i="5"/>
  <c r="L54" i="5"/>
  <c r="N54" i="5"/>
  <c r="N26" i="5"/>
  <c r="N12" i="5"/>
  <c r="K12" i="5"/>
  <c r="M12" i="5"/>
  <c r="L12" i="5"/>
  <c r="M28" i="5"/>
  <c r="N28" i="5"/>
  <c r="K28" i="5"/>
  <c r="L28" i="5"/>
  <c r="M44" i="5"/>
  <c r="K44" i="5"/>
  <c r="N44" i="5"/>
  <c r="L44" i="5"/>
  <c r="M60" i="5"/>
  <c r="K60" i="5"/>
  <c r="N60" i="5"/>
  <c r="L60" i="5"/>
  <c r="M76" i="5"/>
  <c r="K76" i="5"/>
  <c r="N76" i="5"/>
  <c r="L76" i="5"/>
  <c r="M92" i="5"/>
  <c r="L92" i="5"/>
  <c r="K92" i="5"/>
  <c r="N92" i="5"/>
  <c r="K125" i="5"/>
  <c r="M125" i="5"/>
  <c r="N125" i="5"/>
  <c r="L125" i="5"/>
  <c r="K177" i="5"/>
  <c r="L177" i="5"/>
  <c r="N177" i="5"/>
  <c r="L47" i="5"/>
  <c r="N47" i="5"/>
  <c r="M47" i="5"/>
  <c r="K47" i="5"/>
  <c r="L63" i="5"/>
  <c r="N63" i="5"/>
  <c r="M63" i="5"/>
  <c r="K63" i="5"/>
  <c r="L79" i="5"/>
  <c r="N79" i="5"/>
  <c r="M79" i="5"/>
  <c r="K79" i="5"/>
  <c r="N96" i="5"/>
  <c r="L96" i="5"/>
  <c r="M96" i="5"/>
  <c r="K96" i="5"/>
  <c r="M127" i="5"/>
  <c r="L127" i="5"/>
  <c r="L210" i="5"/>
  <c r="N210" i="5"/>
  <c r="M210" i="5"/>
  <c r="K210" i="5"/>
  <c r="N33" i="5"/>
  <c r="L33" i="5"/>
  <c r="M33" i="5"/>
  <c r="N49" i="5"/>
  <c r="L49" i="5"/>
  <c r="K49" i="5"/>
  <c r="M49" i="5"/>
  <c r="N65" i="5"/>
  <c r="K65" i="5"/>
  <c r="M65" i="5"/>
  <c r="N81" i="5"/>
  <c r="L81" i="5"/>
  <c r="K81" i="5"/>
  <c r="M81" i="5"/>
  <c r="K95" i="5"/>
  <c r="N95" i="5"/>
  <c r="M95" i="5"/>
  <c r="L95" i="5"/>
  <c r="M107" i="5"/>
  <c r="K107" i="5"/>
  <c r="N107" i="5"/>
  <c r="L107" i="5"/>
  <c r="M123" i="5"/>
  <c r="K123" i="5"/>
  <c r="N123" i="5"/>
  <c r="L123" i="5"/>
  <c r="M139" i="5"/>
  <c r="K139" i="5"/>
  <c r="N139" i="5"/>
  <c r="L139" i="5"/>
  <c r="K213" i="5"/>
  <c r="N213" i="5"/>
  <c r="M213" i="5"/>
  <c r="L213" i="5"/>
  <c r="K105" i="5"/>
  <c r="L105" i="5"/>
  <c r="N105" i="5"/>
  <c r="K121" i="5"/>
  <c r="M121" i="5"/>
  <c r="L121" i="5"/>
  <c r="N121" i="5"/>
  <c r="K137" i="5"/>
  <c r="M137" i="5"/>
  <c r="L137" i="5"/>
  <c r="N137" i="5"/>
  <c r="L227" i="5"/>
  <c r="M227" i="5"/>
  <c r="N227" i="5"/>
  <c r="K227" i="5"/>
  <c r="K151" i="5"/>
  <c r="M151" i="5"/>
  <c r="N151" i="5"/>
  <c r="L151" i="5"/>
  <c r="K159" i="5"/>
  <c r="N159" i="5"/>
  <c r="L159" i="5"/>
  <c r="L174" i="5"/>
  <c r="M174" i="5"/>
  <c r="K174" i="5"/>
  <c r="N174" i="5"/>
  <c r="M104" i="5"/>
  <c r="N120" i="5"/>
  <c r="L120" i="5"/>
  <c r="M120" i="5"/>
  <c r="K120" i="5"/>
  <c r="N136" i="5"/>
  <c r="L136" i="5"/>
  <c r="M136" i="5"/>
  <c r="K136" i="5"/>
  <c r="L152" i="5"/>
  <c r="M152" i="5"/>
  <c r="K152" i="5"/>
  <c r="M168" i="5"/>
  <c r="L168" i="5"/>
  <c r="N168" i="5"/>
  <c r="K168" i="5"/>
  <c r="M195" i="5"/>
  <c r="N195" i="5"/>
  <c r="L195" i="5"/>
  <c r="K195" i="5"/>
  <c r="K221" i="5"/>
  <c r="N221" i="5"/>
  <c r="M221" i="5"/>
  <c r="L221" i="5"/>
  <c r="N154" i="5"/>
  <c r="L154" i="5"/>
  <c r="M154" i="5"/>
  <c r="K154" i="5"/>
  <c r="K170" i="5"/>
  <c r="L170" i="5"/>
  <c r="M199" i="5"/>
  <c r="K199" i="5"/>
  <c r="L199" i="5"/>
  <c r="N199" i="5"/>
  <c r="L214" i="5"/>
  <c r="K214" i="5"/>
  <c r="M214" i="5"/>
  <c r="N214" i="5"/>
  <c r="N165" i="5"/>
  <c r="M165" i="5"/>
  <c r="K165" i="5"/>
  <c r="L165" i="5"/>
  <c r="L181" i="5"/>
  <c r="K197" i="5"/>
  <c r="N197" i="5"/>
  <c r="L197" i="5"/>
  <c r="M197" i="5"/>
  <c r="N176" i="5"/>
  <c r="M176" i="5"/>
  <c r="K176" i="5"/>
  <c r="L176" i="5"/>
  <c r="N192" i="5"/>
  <c r="M192" i="5"/>
  <c r="K192" i="5"/>
  <c r="L192" i="5"/>
  <c r="M215" i="5"/>
  <c r="L215" i="5"/>
  <c r="K215" i="5"/>
  <c r="N215" i="5"/>
  <c r="K249" i="5"/>
  <c r="M249" i="5"/>
  <c r="N249" i="5"/>
  <c r="L249" i="5"/>
  <c r="K257" i="5"/>
  <c r="M257" i="5"/>
  <c r="N257" i="5"/>
  <c r="L257" i="5"/>
  <c r="K265" i="5"/>
  <c r="N265" i="5"/>
  <c r="L265" i="5"/>
  <c r="N216" i="5"/>
  <c r="M216" i="5"/>
  <c r="K216" i="5"/>
  <c r="L216" i="5"/>
  <c r="M232" i="5"/>
  <c r="N232" i="5"/>
  <c r="L232" i="5"/>
  <c r="K232" i="5"/>
  <c r="N267" i="5"/>
  <c r="M275" i="5"/>
  <c r="N275" i="5"/>
  <c r="L275" i="5"/>
  <c r="M283" i="5"/>
  <c r="K283" i="5"/>
  <c r="N283" i="5"/>
  <c r="L283" i="5"/>
  <c r="M291" i="5"/>
  <c r="K291" i="5"/>
  <c r="N291" i="5"/>
  <c r="L291" i="5"/>
  <c r="K238" i="5"/>
  <c r="L238" i="5"/>
  <c r="M238" i="5"/>
  <c r="N229" i="5"/>
  <c r="K229" i="5"/>
  <c r="L229" i="5"/>
  <c r="M229" i="5"/>
  <c r="N245" i="5"/>
  <c r="M245" i="5"/>
  <c r="K245" i="5"/>
  <c r="L245" i="5"/>
  <c r="L262" i="5"/>
  <c r="N262" i="5"/>
  <c r="M262" i="5"/>
  <c r="K262" i="5"/>
  <c r="L278" i="5"/>
  <c r="N278" i="5"/>
  <c r="M278" i="5"/>
  <c r="K278" i="5"/>
  <c r="L294" i="5"/>
  <c r="N294" i="5"/>
  <c r="M294" i="5"/>
  <c r="K294" i="5"/>
  <c r="N248" i="5"/>
  <c r="L248" i="5"/>
  <c r="M248" i="5"/>
  <c r="K248" i="5"/>
  <c r="N264" i="5"/>
  <c r="L264" i="5"/>
  <c r="M264" i="5"/>
  <c r="K264" i="5"/>
  <c r="N280" i="5"/>
  <c r="L280" i="5"/>
  <c r="M280" i="5"/>
  <c r="K280" i="5"/>
  <c r="N296" i="5"/>
  <c r="L296" i="5"/>
  <c r="M296" i="5"/>
  <c r="K296" i="5"/>
  <c r="K66" i="5"/>
  <c r="M66" i="5"/>
  <c r="L66" i="5"/>
  <c r="N66" i="5"/>
  <c r="M5" i="5"/>
  <c r="L5" i="5"/>
  <c r="K5" i="5"/>
  <c r="N5" i="5"/>
  <c r="K254" i="1"/>
  <c r="B253" i="3" s="1"/>
  <c r="K270" i="1"/>
  <c r="B269" i="3" s="1"/>
  <c r="N273" i="1"/>
  <c r="L258" i="1"/>
  <c r="L275" i="1"/>
  <c r="N265" i="1"/>
  <c r="M301" i="1"/>
  <c r="K262" i="1"/>
  <c r="B261" i="3" s="1"/>
  <c r="M277" i="1"/>
  <c r="M259" i="1"/>
  <c r="N266" i="1"/>
  <c r="M292" i="1"/>
  <c r="M276" i="1"/>
  <c r="K221" i="1"/>
  <c r="B220" i="3" s="1"/>
  <c r="N221" i="1"/>
  <c r="M206" i="1"/>
  <c r="L206" i="1"/>
  <c r="M212" i="1"/>
  <c r="L212" i="1"/>
  <c r="M246" i="1"/>
  <c r="L246" i="1"/>
  <c r="M244" i="1"/>
  <c r="L244" i="1"/>
  <c r="M228" i="1"/>
  <c r="K209" i="1"/>
  <c r="B208" i="3" s="1"/>
  <c r="N209" i="1"/>
  <c r="M234" i="1"/>
  <c r="L234" i="1"/>
  <c r="K219" i="1"/>
  <c r="B218" i="3" s="1"/>
  <c r="N219" i="1"/>
  <c r="K205" i="1"/>
  <c r="B204" i="3" s="1"/>
  <c r="M216" i="1"/>
  <c r="L216" i="1"/>
  <c r="M238" i="1"/>
  <c r="L238" i="1"/>
  <c r="M248" i="1"/>
  <c r="L248" i="1"/>
  <c r="M250" i="1"/>
  <c r="M222" i="1"/>
  <c r="L222" i="1"/>
  <c r="M208" i="1"/>
  <c r="L208" i="1"/>
  <c r="N208" i="1"/>
  <c r="K215" i="1"/>
  <c r="B214" i="3" s="1"/>
  <c r="N215" i="1"/>
  <c r="M204" i="1"/>
  <c r="L204" i="1"/>
  <c r="N204" i="1"/>
  <c r="N254" i="1"/>
  <c r="M270" i="1"/>
  <c r="L273" i="1"/>
  <c r="N258" i="1"/>
  <c r="N262" i="1"/>
  <c r="L259" i="1"/>
  <c r="K211" i="1"/>
  <c r="B210" i="3" s="1"/>
  <c r="N211" i="1"/>
  <c r="M230" i="1"/>
  <c r="L230" i="1"/>
  <c r="M220" i="1"/>
  <c r="L220" i="1"/>
  <c r="M240" i="1"/>
  <c r="L240" i="1"/>
  <c r="M252" i="1"/>
  <c r="L252" i="1"/>
  <c r="M236" i="1"/>
  <c r="L236" i="1"/>
  <c r="M218" i="1"/>
  <c r="L218" i="1"/>
  <c r="M226" i="1"/>
  <c r="L226" i="1"/>
  <c r="M214" i="1"/>
  <c r="L214" i="1"/>
  <c r="N214" i="1"/>
  <c r="N301" i="1"/>
  <c r="N277" i="1"/>
  <c r="K217" i="1"/>
  <c r="B216" i="3" s="1"/>
  <c r="N217" i="1"/>
  <c r="M232" i="1"/>
  <c r="L232" i="1"/>
  <c r="M224" i="1"/>
  <c r="L224" i="1"/>
  <c r="M242" i="1"/>
  <c r="L242" i="1"/>
  <c r="K207" i="1"/>
  <c r="B206" i="3" s="1"/>
  <c r="N207" i="1"/>
  <c r="K213" i="1"/>
  <c r="B212" i="3" s="1"/>
  <c r="N213" i="1"/>
  <c r="K223" i="1"/>
  <c r="B222" i="3" s="1"/>
  <c r="N223" i="1"/>
  <c r="M210" i="1"/>
  <c r="L210" i="1"/>
  <c r="N14" i="4"/>
  <c r="M14" i="4"/>
  <c r="L14" i="4"/>
  <c r="N12" i="4"/>
  <c r="M120" i="4"/>
  <c r="L120" i="4"/>
  <c r="K120" i="4"/>
  <c r="G119" i="3" s="1"/>
  <c r="N120" i="4"/>
  <c r="L75" i="4"/>
  <c r="K75" i="4"/>
  <c r="G74" i="3" s="1"/>
  <c r="L155" i="4"/>
  <c r="K70" i="4"/>
  <c r="G69" i="3" s="1"/>
  <c r="N70" i="4"/>
  <c r="M70" i="4"/>
  <c r="L70" i="4"/>
  <c r="K118" i="4"/>
  <c r="G117" i="3" s="1"/>
  <c r="N118" i="4"/>
  <c r="M118" i="4"/>
  <c r="L118" i="4"/>
  <c r="L144" i="4"/>
  <c r="K144" i="4"/>
  <c r="G143" i="3" s="1"/>
  <c r="N144" i="4"/>
  <c r="M144" i="4"/>
  <c r="N41" i="4"/>
  <c r="M41" i="4"/>
  <c r="L41" i="4"/>
  <c r="K41" i="4"/>
  <c r="G40" i="3" s="1"/>
  <c r="N89" i="4"/>
  <c r="M89" i="4"/>
  <c r="L89" i="4"/>
  <c r="K89" i="4"/>
  <c r="G88" i="3" s="1"/>
  <c r="N122" i="4"/>
  <c r="M197" i="4"/>
  <c r="M145" i="4"/>
  <c r="L145" i="4"/>
  <c r="N145" i="4"/>
  <c r="K145" i="4"/>
  <c r="G144" i="3" s="1"/>
  <c r="M181" i="4"/>
  <c r="L208" i="4"/>
  <c r="K208" i="4"/>
  <c r="G207" i="3" s="1"/>
  <c r="N208" i="4"/>
  <c r="M208" i="4"/>
  <c r="K179" i="4"/>
  <c r="G178" i="3" s="1"/>
  <c r="L230" i="4"/>
  <c r="K230" i="4"/>
  <c r="G229" i="3" s="1"/>
  <c r="M230" i="4"/>
  <c r="N230" i="4"/>
  <c r="L274" i="4"/>
  <c r="M162" i="4"/>
  <c r="K162" i="4"/>
  <c r="G161" i="3" s="1"/>
  <c r="N226" i="4"/>
  <c r="K248" i="4"/>
  <c r="G247" i="3" s="1"/>
  <c r="L248" i="4"/>
  <c r="N248" i="4"/>
  <c r="M248" i="4"/>
  <c r="K280" i="4"/>
  <c r="G279" i="3" s="1"/>
  <c r="L280" i="4"/>
  <c r="N280" i="4"/>
  <c r="M280" i="4"/>
  <c r="M294" i="4"/>
  <c r="N294" i="4"/>
  <c r="L294" i="4"/>
  <c r="K294" i="4"/>
  <c r="G293" i="3" s="1"/>
  <c r="M291" i="4"/>
  <c r="L55" i="4"/>
  <c r="K55" i="4"/>
  <c r="G54" i="3" s="1"/>
  <c r="M55" i="4"/>
  <c r="N55" i="4"/>
  <c r="L39" i="4"/>
  <c r="K39" i="4"/>
  <c r="G38" i="3" s="1"/>
  <c r="M39" i="4"/>
  <c r="N39" i="4"/>
  <c r="K84" i="4"/>
  <c r="G83" i="3" s="1"/>
  <c r="J52" i="2"/>
  <c r="L52" i="2" s="1"/>
  <c r="J11" i="2"/>
  <c r="J269" i="2"/>
  <c r="N269" i="2" s="1"/>
  <c r="M112" i="4"/>
  <c r="L112" i="4"/>
  <c r="K112" i="4"/>
  <c r="G111" i="3" s="1"/>
  <c r="N112" i="4"/>
  <c r="M80" i="4"/>
  <c r="L80" i="4"/>
  <c r="K80" i="4"/>
  <c r="G79" i="3" s="1"/>
  <c r="N80" i="4"/>
  <c r="L79" i="4"/>
  <c r="K79" i="4"/>
  <c r="G78" i="3" s="1"/>
  <c r="N79" i="4"/>
  <c r="M79" i="4"/>
  <c r="L95" i="4"/>
  <c r="K95" i="4"/>
  <c r="G94" i="3" s="1"/>
  <c r="N95" i="4"/>
  <c r="M95" i="4"/>
  <c r="L111" i="4"/>
  <c r="K111" i="4"/>
  <c r="G110" i="3" s="1"/>
  <c r="N111" i="4"/>
  <c r="M111" i="4"/>
  <c r="K156" i="4"/>
  <c r="G155" i="3" s="1"/>
  <c r="M156" i="4"/>
  <c r="N42" i="4"/>
  <c r="N58" i="4"/>
  <c r="N74" i="4"/>
  <c r="N90" i="4"/>
  <c r="N106" i="4"/>
  <c r="M123" i="4"/>
  <c r="K123" i="4"/>
  <c r="G122" i="3" s="1"/>
  <c r="L123" i="4"/>
  <c r="N123" i="4"/>
  <c r="K131" i="4"/>
  <c r="G130" i="3" s="1"/>
  <c r="M139" i="4"/>
  <c r="K139" i="4"/>
  <c r="G138" i="3" s="1"/>
  <c r="L139" i="4"/>
  <c r="N139" i="4"/>
  <c r="K159" i="4"/>
  <c r="G158" i="3" s="1"/>
  <c r="N159" i="4"/>
  <c r="L159" i="4"/>
  <c r="M159" i="4"/>
  <c r="M13" i="4"/>
  <c r="L13" i="4"/>
  <c r="L29" i="4"/>
  <c r="K29" i="4"/>
  <c r="G28" i="3" s="1"/>
  <c r="L45" i="4"/>
  <c r="K45" i="4"/>
  <c r="G44" i="3" s="1"/>
  <c r="L61" i="4"/>
  <c r="K61" i="4"/>
  <c r="G60" i="3" s="1"/>
  <c r="L77" i="4"/>
  <c r="K77" i="4"/>
  <c r="G76" i="3" s="1"/>
  <c r="L93" i="4"/>
  <c r="K93" i="4"/>
  <c r="G92" i="3" s="1"/>
  <c r="L109" i="4"/>
  <c r="K109" i="4"/>
  <c r="G108" i="3" s="1"/>
  <c r="M147" i="4"/>
  <c r="L126" i="4"/>
  <c r="N126" i="4"/>
  <c r="K126" i="4"/>
  <c r="G125" i="3" s="1"/>
  <c r="M126" i="4"/>
  <c r="L142" i="4"/>
  <c r="N142" i="4"/>
  <c r="K142" i="4"/>
  <c r="G141" i="3" s="1"/>
  <c r="M142" i="4"/>
  <c r="K205" i="4"/>
  <c r="G204" i="3" s="1"/>
  <c r="N205" i="4"/>
  <c r="K258" i="4"/>
  <c r="G257" i="3" s="1"/>
  <c r="N258" i="4"/>
  <c r="M132" i="4"/>
  <c r="M153" i="4"/>
  <c r="L153" i="4"/>
  <c r="K153" i="4"/>
  <c r="G152" i="3" s="1"/>
  <c r="N153" i="4"/>
  <c r="L168" i="4"/>
  <c r="K168" i="4"/>
  <c r="G167" i="3" s="1"/>
  <c r="N168" i="4"/>
  <c r="M168" i="4"/>
  <c r="L176" i="4"/>
  <c r="K176" i="4"/>
  <c r="G175" i="3" s="1"/>
  <c r="N176" i="4"/>
  <c r="M176" i="4"/>
  <c r="L184" i="4"/>
  <c r="K184" i="4"/>
  <c r="G183" i="3" s="1"/>
  <c r="N184" i="4"/>
  <c r="M184" i="4"/>
  <c r="L192" i="4"/>
  <c r="K192" i="4"/>
  <c r="G191" i="3" s="1"/>
  <c r="N192" i="4"/>
  <c r="M192" i="4"/>
  <c r="M217" i="4"/>
  <c r="L217" i="4"/>
  <c r="K217" i="4"/>
  <c r="G216" i="3" s="1"/>
  <c r="N217" i="4"/>
  <c r="M196" i="4"/>
  <c r="M212" i="4"/>
  <c r="N250" i="4"/>
  <c r="K167" i="4"/>
  <c r="G166" i="3" s="1"/>
  <c r="N167" i="4"/>
  <c r="L167" i="4"/>
  <c r="M167" i="4"/>
  <c r="K183" i="4"/>
  <c r="G182" i="3" s="1"/>
  <c r="N183" i="4"/>
  <c r="L183" i="4"/>
  <c r="M183" i="4"/>
  <c r="K199" i="4"/>
  <c r="G198" i="3" s="1"/>
  <c r="N199" i="4"/>
  <c r="M199" i="4"/>
  <c r="L199" i="4"/>
  <c r="K215" i="4"/>
  <c r="G214" i="3" s="1"/>
  <c r="N215" i="4"/>
  <c r="M215" i="4"/>
  <c r="L215" i="4"/>
  <c r="M231" i="4"/>
  <c r="L231" i="4"/>
  <c r="K231" i="4"/>
  <c r="G230" i="3" s="1"/>
  <c r="N231" i="4"/>
  <c r="M239" i="4"/>
  <c r="L239" i="4"/>
  <c r="K239" i="4"/>
  <c r="G238" i="3" s="1"/>
  <c r="N239" i="4"/>
  <c r="N247" i="4"/>
  <c r="M247" i="4"/>
  <c r="L247" i="4"/>
  <c r="K247" i="4"/>
  <c r="G246" i="3" s="1"/>
  <c r="L281" i="4"/>
  <c r="N281" i="4"/>
  <c r="M281" i="4"/>
  <c r="K281" i="4"/>
  <c r="G280" i="3" s="1"/>
  <c r="N150" i="4"/>
  <c r="K150" i="4"/>
  <c r="G149" i="3" s="1"/>
  <c r="M150" i="4"/>
  <c r="L150" i="4"/>
  <c r="N166" i="4"/>
  <c r="M166" i="4"/>
  <c r="K166" i="4"/>
  <c r="G165" i="3" s="1"/>
  <c r="L166" i="4"/>
  <c r="N182" i="4"/>
  <c r="M182" i="4"/>
  <c r="K182" i="4"/>
  <c r="G181" i="3" s="1"/>
  <c r="L182" i="4"/>
  <c r="N198" i="4"/>
  <c r="M198" i="4"/>
  <c r="L198" i="4"/>
  <c r="K198" i="4"/>
  <c r="G197" i="3" s="1"/>
  <c r="N214" i="4"/>
  <c r="M214" i="4"/>
  <c r="L214" i="4"/>
  <c r="K214" i="4"/>
  <c r="G213" i="3" s="1"/>
  <c r="M252" i="4"/>
  <c r="L252" i="4"/>
  <c r="K290" i="4"/>
  <c r="G289" i="3" s="1"/>
  <c r="N290" i="4"/>
  <c r="M237" i="4"/>
  <c r="L237" i="4"/>
  <c r="M253" i="4"/>
  <c r="N253" i="4"/>
  <c r="N269" i="4"/>
  <c r="M269" i="4"/>
  <c r="M285" i="4"/>
  <c r="N285" i="4"/>
  <c r="N301" i="4"/>
  <c r="M301" i="4"/>
  <c r="N240" i="4"/>
  <c r="M240" i="4"/>
  <c r="L240" i="4"/>
  <c r="K240" i="4"/>
  <c r="G239" i="3" s="1"/>
  <c r="M270" i="4"/>
  <c r="N270" i="4"/>
  <c r="L270" i="4"/>
  <c r="K270" i="4"/>
  <c r="G269" i="3" s="1"/>
  <c r="M302" i="4"/>
  <c r="N302" i="4"/>
  <c r="L302" i="4"/>
  <c r="K302" i="4"/>
  <c r="G301" i="3" s="1"/>
  <c r="N263" i="4"/>
  <c r="M263" i="4"/>
  <c r="L263" i="4"/>
  <c r="K263" i="4"/>
  <c r="G262" i="3" s="1"/>
  <c r="N279" i="4"/>
  <c r="M279" i="4"/>
  <c r="L279" i="4"/>
  <c r="K279" i="4"/>
  <c r="G278" i="3" s="1"/>
  <c r="N295" i="4"/>
  <c r="M295" i="4"/>
  <c r="L295" i="4"/>
  <c r="K295" i="4"/>
  <c r="G294" i="3" s="1"/>
  <c r="L68" i="4"/>
  <c r="M60" i="4"/>
  <c r="L60" i="4"/>
  <c r="K60" i="4"/>
  <c r="G59" i="3" s="1"/>
  <c r="N60" i="4"/>
  <c r="L52" i="4"/>
  <c r="M44" i="4"/>
  <c r="L44" i="4"/>
  <c r="K44" i="4"/>
  <c r="G43" i="3" s="1"/>
  <c r="N44" i="4"/>
  <c r="L36" i="4"/>
  <c r="L108" i="4"/>
  <c r="K108" i="4"/>
  <c r="G107" i="3" s="1"/>
  <c r="N108" i="4"/>
  <c r="M76" i="4"/>
  <c r="L76" i="4"/>
  <c r="K76" i="4"/>
  <c r="G75" i="3" s="1"/>
  <c r="N76" i="4"/>
  <c r="M88" i="4"/>
  <c r="L88" i="4"/>
  <c r="K88" i="4"/>
  <c r="G87" i="3" s="1"/>
  <c r="N88" i="4"/>
  <c r="L91" i="4"/>
  <c r="K91" i="4"/>
  <c r="G90" i="3" s="1"/>
  <c r="N91" i="4"/>
  <c r="M91" i="4"/>
  <c r="K38" i="4"/>
  <c r="G37" i="3" s="1"/>
  <c r="N38" i="4"/>
  <c r="M38" i="4"/>
  <c r="L38" i="4"/>
  <c r="K86" i="4"/>
  <c r="G85" i="3" s="1"/>
  <c r="N86" i="4"/>
  <c r="M86" i="4"/>
  <c r="L86" i="4"/>
  <c r="K129" i="4"/>
  <c r="G128" i="3" s="1"/>
  <c r="M129" i="4"/>
  <c r="L129" i="4"/>
  <c r="N129" i="4"/>
  <c r="N9" i="4"/>
  <c r="M9" i="4"/>
  <c r="L9" i="4"/>
  <c r="K9" i="4"/>
  <c r="G8" i="3" s="1"/>
  <c r="N57" i="4"/>
  <c r="M57" i="4"/>
  <c r="L57" i="4"/>
  <c r="K57" i="4"/>
  <c r="G56" i="3" s="1"/>
  <c r="N105" i="4"/>
  <c r="M105" i="4"/>
  <c r="L105" i="4"/>
  <c r="K105" i="4"/>
  <c r="G104" i="3" s="1"/>
  <c r="K138" i="4"/>
  <c r="G137" i="3" s="1"/>
  <c r="N128" i="4"/>
  <c r="L128" i="4"/>
  <c r="K128" i="4"/>
  <c r="G127" i="3" s="1"/>
  <c r="M128" i="4"/>
  <c r="N173" i="4"/>
  <c r="K173" i="4"/>
  <c r="G172" i="3" s="1"/>
  <c r="M209" i="4"/>
  <c r="L209" i="4"/>
  <c r="K209" i="4"/>
  <c r="G208" i="3" s="1"/>
  <c r="N209" i="4"/>
  <c r="L224" i="4"/>
  <c r="K224" i="4"/>
  <c r="G223" i="3" s="1"/>
  <c r="N224" i="4"/>
  <c r="M224" i="4"/>
  <c r="K195" i="4"/>
  <c r="G194" i="3" s="1"/>
  <c r="L238" i="4"/>
  <c r="K238" i="4"/>
  <c r="G237" i="3" s="1"/>
  <c r="M238" i="4"/>
  <c r="N238" i="4"/>
  <c r="K146" i="4"/>
  <c r="G145" i="3" s="1"/>
  <c r="L146" i="4"/>
  <c r="L194" i="4"/>
  <c r="K194" i="4"/>
  <c r="G193" i="3" s="1"/>
  <c r="M284" i="4"/>
  <c r="L284" i="4"/>
  <c r="K264" i="4"/>
  <c r="G263" i="3" s="1"/>
  <c r="L264" i="4"/>
  <c r="N264" i="4"/>
  <c r="M264" i="4"/>
  <c r="M262" i="4"/>
  <c r="N262" i="4"/>
  <c r="L262" i="4"/>
  <c r="K262" i="4"/>
  <c r="G261" i="3" s="1"/>
  <c r="M275" i="4"/>
  <c r="L63" i="4"/>
  <c r="K63" i="4"/>
  <c r="G62" i="3" s="1"/>
  <c r="M63" i="4"/>
  <c r="N63" i="4"/>
  <c r="L31" i="4"/>
  <c r="K31" i="4"/>
  <c r="G30" i="3" s="1"/>
  <c r="M31" i="4"/>
  <c r="N31" i="4"/>
  <c r="J257" i="2"/>
  <c r="N257" i="2" s="1"/>
  <c r="M104" i="4"/>
  <c r="L104" i="4"/>
  <c r="K104" i="4"/>
  <c r="G103" i="3" s="1"/>
  <c r="N104" i="4"/>
  <c r="M72" i="4"/>
  <c r="L72" i="4"/>
  <c r="K72" i="4"/>
  <c r="G71" i="3" s="1"/>
  <c r="N72" i="4"/>
  <c r="M8" i="4"/>
  <c r="N8" i="4"/>
  <c r="K8" i="4"/>
  <c r="G7" i="3" s="1"/>
  <c r="L8" i="4"/>
  <c r="L83" i="4"/>
  <c r="L99" i="4"/>
  <c r="L115" i="4"/>
  <c r="K30" i="4"/>
  <c r="G29" i="3" s="1"/>
  <c r="N30" i="4"/>
  <c r="M30" i="4"/>
  <c r="L30" i="4"/>
  <c r="K46" i="4"/>
  <c r="G45" i="3" s="1"/>
  <c r="N46" i="4"/>
  <c r="M46" i="4"/>
  <c r="L46" i="4"/>
  <c r="K62" i="4"/>
  <c r="G61" i="3" s="1"/>
  <c r="N62" i="4"/>
  <c r="M62" i="4"/>
  <c r="L62" i="4"/>
  <c r="K78" i="4"/>
  <c r="G77" i="3" s="1"/>
  <c r="N78" i="4"/>
  <c r="M78" i="4"/>
  <c r="L78" i="4"/>
  <c r="K94" i="4"/>
  <c r="G93" i="3" s="1"/>
  <c r="N94" i="4"/>
  <c r="M94" i="4"/>
  <c r="L94" i="4"/>
  <c r="K110" i="4"/>
  <c r="G109" i="3" s="1"/>
  <c r="N110" i="4"/>
  <c r="M110" i="4"/>
  <c r="L110" i="4"/>
  <c r="K125" i="4"/>
  <c r="G124" i="3" s="1"/>
  <c r="M125" i="4"/>
  <c r="L133" i="4"/>
  <c r="K141" i="4"/>
  <c r="G140" i="3" s="1"/>
  <c r="M141" i="4"/>
  <c r="L160" i="4"/>
  <c r="K160" i="4"/>
  <c r="G159" i="3" s="1"/>
  <c r="N160" i="4"/>
  <c r="M160" i="4"/>
  <c r="N17" i="4"/>
  <c r="M17" i="4"/>
  <c r="L17" i="4"/>
  <c r="K17" i="4"/>
  <c r="G16" i="3" s="1"/>
  <c r="N33" i="4"/>
  <c r="M33" i="4"/>
  <c r="L33" i="4"/>
  <c r="K33" i="4"/>
  <c r="G32" i="3" s="1"/>
  <c r="N49" i="4"/>
  <c r="M49" i="4"/>
  <c r="L49" i="4"/>
  <c r="K49" i="4"/>
  <c r="G48" i="3" s="1"/>
  <c r="N65" i="4"/>
  <c r="M65" i="4"/>
  <c r="L65" i="4"/>
  <c r="K65" i="4"/>
  <c r="G64" i="3" s="1"/>
  <c r="N81" i="4"/>
  <c r="M81" i="4"/>
  <c r="L81" i="4"/>
  <c r="K81" i="4"/>
  <c r="G80" i="3" s="1"/>
  <c r="N97" i="4"/>
  <c r="M97" i="4"/>
  <c r="L97" i="4"/>
  <c r="K97" i="4"/>
  <c r="G96" i="3" s="1"/>
  <c r="N113" i="4"/>
  <c r="M113" i="4"/>
  <c r="L113" i="4"/>
  <c r="K113" i="4"/>
  <c r="G112" i="3" s="1"/>
  <c r="L148" i="4"/>
  <c r="L130" i="4"/>
  <c r="N130" i="4"/>
  <c r="N149" i="4"/>
  <c r="K213" i="4"/>
  <c r="G212" i="3" s="1"/>
  <c r="K300" i="4"/>
  <c r="G299" i="3" s="1"/>
  <c r="N300" i="4"/>
  <c r="L300" i="4"/>
  <c r="N136" i="4"/>
  <c r="L136" i="4"/>
  <c r="K136" i="4"/>
  <c r="G135" i="3" s="1"/>
  <c r="M136" i="4"/>
  <c r="M161" i="4"/>
  <c r="L161" i="4"/>
  <c r="N161" i="4"/>
  <c r="K161" i="4"/>
  <c r="G160" i="3" s="1"/>
  <c r="M169" i="4"/>
  <c r="L169" i="4"/>
  <c r="N169" i="4"/>
  <c r="K169" i="4"/>
  <c r="G168" i="3" s="1"/>
  <c r="M177" i="4"/>
  <c r="L177" i="4"/>
  <c r="N177" i="4"/>
  <c r="K177" i="4"/>
  <c r="G176" i="3" s="1"/>
  <c r="M185" i="4"/>
  <c r="L185" i="4"/>
  <c r="N185" i="4"/>
  <c r="K185" i="4"/>
  <c r="G184" i="3" s="1"/>
  <c r="M193" i="4"/>
  <c r="L193" i="4"/>
  <c r="K193" i="4"/>
  <c r="G192" i="3" s="1"/>
  <c r="N193" i="4"/>
  <c r="M225" i="4"/>
  <c r="L225" i="4"/>
  <c r="K225" i="4"/>
  <c r="G224" i="3" s="1"/>
  <c r="N225" i="4"/>
  <c r="L200" i="4"/>
  <c r="K200" i="4"/>
  <c r="G199" i="3" s="1"/>
  <c r="N200" i="4"/>
  <c r="M200" i="4"/>
  <c r="L216" i="4"/>
  <c r="K216" i="4"/>
  <c r="G215" i="3" s="1"/>
  <c r="N216" i="4"/>
  <c r="M216" i="4"/>
  <c r="L257" i="4"/>
  <c r="N257" i="4"/>
  <c r="M257" i="4"/>
  <c r="K257" i="4"/>
  <c r="G256" i="3" s="1"/>
  <c r="K171" i="4"/>
  <c r="G170" i="3" s="1"/>
  <c r="N171" i="4"/>
  <c r="L171" i="4"/>
  <c r="M171" i="4"/>
  <c r="K187" i="4"/>
  <c r="G186" i="3" s="1"/>
  <c r="N187" i="4"/>
  <c r="L187" i="4"/>
  <c r="M187" i="4"/>
  <c r="K203" i="4"/>
  <c r="G202" i="3" s="1"/>
  <c r="N203" i="4"/>
  <c r="M203" i="4"/>
  <c r="L203" i="4"/>
  <c r="K219" i="4"/>
  <c r="G218" i="3" s="1"/>
  <c r="N219" i="4"/>
  <c r="M219" i="4"/>
  <c r="L219" i="4"/>
  <c r="N234" i="4"/>
  <c r="L242" i="4"/>
  <c r="K242" i="4"/>
  <c r="G241" i="3" s="1"/>
  <c r="L249" i="4"/>
  <c r="N249" i="4"/>
  <c r="M249" i="4"/>
  <c r="K249" i="4"/>
  <c r="G248" i="3" s="1"/>
  <c r="N292" i="4"/>
  <c r="M154" i="4"/>
  <c r="M170" i="4"/>
  <c r="M186" i="4"/>
  <c r="M202" i="4"/>
  <c r="M218" i="4"/>
  <c r="L266" i="4"/>
  <c r="L298" i="4"/>
  <c r="K241" i="4"/>
  <c r="G240" i="3" s="1"/>
  <c r="N241" i="4"/>
  <c r="M241" i="4"/>
  <c r="L241" i="4"/>
  <c r="K256" i="4"/>
  <c r="G255" i="3" s="1"/>
  <c r="L256" i="4"/>
  <c r="N256" i="4"/>
  <c r="M256" i="4"/>
  <c r="K272" i="4"/>
  <c r="G271" i="3" s="1"/>
  <c r="L272" i="4"/>
  <c r="M272" i="4"/>
  <c r="N272" i="4"/>
  <c r="K288" i="4"/>
  <c r="G287" i="3" s="1"/>
  <c r="L288" i="4"/>
  <c r="N288" i="4"/>
  <c r="M288" i="4"/>
  <c r="M228" i="4"/>
  <c r="M244" i="4"/>
  <c r="M278" i="4"/>
  <c r="N278" i="4"/>
  <c r="K278" i="4"/>
  <c r="G277" i="3" s="1"/>
  <c r="L278" i="4"/>
  <c r="N251" i="4"/>
  <c r="K251" i="4"/>
  <c r="G250" i="3" s="1"/>
  <c r="M251" i="4"/>
  <c r="L251" i="4"/>
  <c r="N267" i="4"/>
  <c r="K267" i="4"/>
  <c r="G266" i="3" s="1"/>
  <c r="M267" i="4"/>
  <c r="L267" i="4"/>
  <c r="N283" i="4"/>
  <c r="K283" i="4"/>
  <c r="G282" i="3" s="1"/>
  <c r="M283" i="4"/>
  <c r="L283" i="4"/>
  <c r="N299" i="4"/>
  <c r="K299" i="4"/>
  <c r="G298" i="3" s="1"/>
  <c r="M299" i="4"/>
  <c r="L299" i="4"/>
  <c r="K67" i="4"/>
  <c r="G66" i="3" s="1"/>
  <c r="L59" i="4"/>
  <c r="K59" i="4"/>
  <c r="G58" i="3" s="1"/>
  <c r="M59" i="4"/>
  <c r="N59" i="4"/>
  <c r="K51" i="4"/>
  <c r="G50" i="3" s="1"/>
  <c r="L43" i="4"/>
  <c r="K43" i="4"/>
  <c r="G42" i="3" s="1"/>
  <c r="M43" i="4"/>
  <c r="N43" i="4"/>
  <c r="K35" i="4"/>
  <c r="G34" i="3" s="1"/>
  <c r="L26" i="4"/>
  <c r="K18" i="4"/>
  <c r="G17" i="3" s="1"/>
  <c r="L18" i="4"/>
  <c r="N10" i="4"/>
  <c r="K3" i="4"/>
  <c r="G2" i="3" s="1"/>
  <c r="N3" i="4"/>
  <c r="M3" i="4"/>
  <c r="L3" i="4"/>
  <c r="N100" i="4"/>
  <c r="M24" i="4"/>
  <c r="K24" i="4"/>
  <c r="G23" i="3" s="1"/>
  <c r="N24" i="4"/>
  <c r="L24" i="4"/>
  <c r="L107" i="4"/>
  <c r="K107" i="4"/>
  <c r="G106" i="3" s="1"/>
  <c r="N107" i="4"/>
  <c r="M107" i="4"/>
  <c r="K54" i="4"/>
  <c r="G53" i="3" s="1"/>
  <c r="N54" i="4"/>
  <c r="M54" i="4"/>
  <c r="L54" i="4"/>
  <c r="K102" i="4"/>
  <c r="G101" i="3" s="1"/>
  <c r="N102" i="4"/>
  <c r="M102" i="4"/>
  <c r="L102" i="4"/>
  <c r="K137" i="4"/>
  <c r="G136" i="3" s="1"/>
  <c r="M137" i="4"/>
  <c r="L137" i="4"/>
  <c r="N137" i="4"/>
  <c r="N25" i="4"/>
  <c r="M25" i="4"/>
  <c r="L25" i="4"/>
  <c r="K25" i="4"/>
  <c r="G24" i="3" s="1"/>
  <c r="N73" i="4"/>
  <c r="M73" i="4"/>
  <c r="L73" i="4"/>
  <c r="K73" i="4"/>
  <c r="G72" i="3" s="1"/>
  <c r="N121" i="4"/>
  <c r="M121" i="4"/>
  <c r="L121" i="4"/>
  <c r="K121" i="4"/>
  <c r="G120" i="3" s="1"/>
  <c r="L289" i="4"/>
  <c r="N289" i="4"/>
  <c r="M289" i="4"/>
  <c r="K289" i="4"/>
  <c r="G288" i="3" s="1"/>
  <c r="K165" i="4"/>
  <c r="G164" i="3" s="1"/>
  <c r="M189" i="4"/>
  <c r="L189" i="4"/>
  <c r="N189" i="4"/>
  <c r="K189" i="4"/>
  <c r="G188" i="3" s="1"/>
  <c r="L276" i="4"/>
  <c r="N282" i="4"/>
  <c r="L211" i="4"/>
  <c r="L246" i="4"/>
  <c r="K246" i="4"/>
  <c r="G245" i="3" s="1"/>
  <c r="M246" i="4"/>
  <c r="N246" i="4"/>
  <c r="N178" i="4"/>
  <c r="M178" i="4"/>
  <c r="N210" i="4"/>
  <c r="M210" i="4"/>
  <c r="K233" i="4"/>
  <c r="G232" i="3" s="1"/>
  <c r="N233" i="4"/>
  <c r="M233" i="4"/>
  <c r="L233" i="4"/>
  <c r="K296" i="4"/>
  <c r="G295" i="3" s="1"/>
  <c r="L296" i="4"/>
  <c r="N296" i="4"/>
  <c r="M296" i="4"/>
  <c r="N236" i="4"/>
  <c r="M236" i="4"/>
  <c r="L236" i="4"/>
  <c r="K236" i="4"/>
  <c r="G235" i="3" s="1"/>
  <c r="M259" i="4"/>
  <c r="L47" i="4"/>
  <c r="K47" i="4"/>
  <c r="G46" i="3" s="1"/>
  <c r="M47" i="4"/>
  <c r="N47" i="4"/>
  <c r="N116" i="4"/>
  <c r="M96" i="4"/>
  <c r="L96" i="4"/>
  <c r="K96" i="4"/>
  <c r="G95" i="3" s="1"/>
  <c r="N96" i="4"/>
  <c r="M16" i="4"/>
  <c r="K16" i="4"/>
  <c r="G15" i="3" s="1"/>
  <c r="N16" i="4"/>
  <c r="L16" i="4"/>
  <c r="L71" i="4"/>
  <c r="K71" i="4"/>
  <c r="G70" i="3" s="1"/>
  <c r="N71" i="4"/>
  <c r="M71" i="4"/>
  <c r="L87" i="4"/>
  <c r="K87" i="4"/>
  <c r="G86" i="3" s="1"/>
  <c r="N87" i="4"/>
  <c r="M87" i="4"/>
  <c r="L103" i="4"/>
  <c r="K103" i="4"/>
  <c r="G102" i="3" s="1"/>
  <c r="N103" i="4"/>
  <c r="M103" i="4"/>
  <c r="L119" i="4"/>
  <c r="K119" i="4"/>
  <c r="G118" i="3" s="1"/>
  <c r="N119" i="4"/>
  <c r="M119" i="4"/>
  <c r="K34" i="4"/>
  <c r="G33" i="3" s="1"/>
  <c r="M34" i="4"/>
  <c r="L34" i="4"/>
  <c r="K50" i="4"/>
  <c r="G49" i="3" s="1"/>
  <c r="M50" i="4"/>
  <c r="L50" i="4"/>
  <c r="K66" i="4"/>
  <c r="G65" i="3" s="1"/>
  <c r="M66" i="4"/>
  <c r="L66" i="4"/>
  <c r="K82" i="4"/>
  <c r="G81" i="3" s="1"/>
  <c r="M82" i="4"/>
  <c r="L82" i="4"/>
  <c r="K98" i="4"/>
  <c r="G97" i="3" s="1"/>
  <c r="M98" i="4"/>
  <c r="L98" i="4"/>
  <c r="K114" i="4"/>
  <c r="G113" i="3" s="1"/>
  <c r="M114" i="4"/>
  <c r="L114" i="4"/>
  <c r="M127" i="4"/>
  <c r="K127" i="4"/>
  <c r="G126" i="3" s="1"/>
  <c r="L127" i="4"/>
  <c r="N127" i="4"/>
  <c r="M135" i="4"/>
  <c r="K135" i="4"/>
  <c r="G134" i="3" s="1"/>
  <c r="L135" i="4"/>
  <c r="N135" i="4"/>
  <c r="K143" i="4"/>
  <c r="G142" i="3" s="1"/>
  <c r="N143" i="4"/>
  <c r="L143" i="4"/>
  <c r="M143" i="4"/>
  <c r="M227" i="4"/>
  <c r="N21" i="4"/>
  <c r="N37" i="4"/>
  <c r="N53" i="4"/>
  <c r="N69" i="4"/>
  <c r="N85" i="4"/>
  <c r="N101" i="4"/>
  <c r="N117" i="4"/>
  <c r="K163" i="4"/>
  <c r="G162" i="3" s="1"/>
  <c r="L134" i="4"/>
  <c r="N134" i="4"/>
  <c r="K134" i="4"/>
  <c r="G133" i="3" s="1"/>
  <c r="M134" i="4"/>
  <c r="M157" i="4"/>
  <c r="L157" i="4"/>
  <c r="N157" i="4"/>
  <c r="K157" i="4"/>
  <c r="G156" i="3" s="1"/>
  <c r="M221" i="4"/>
  <c r="L221" i="4"/>
  <c r="K221" i="4"/>
  <c r="G220" i="3" s="1"/>
  <c r="N221" i="4"/>
  <c r="N124" i="4"/>
  <c r="L124" i="4"/>
  <c r="K124" i="4"/>
  <c r="G123" i="3" s="1"/>
  <c r="M124" i="4"/>
  <c r="N140" i="4"/>
  <c r="L140" i="4"/>
  <c r="K140" i="4"/>
  <c r="G139" i="3" s="1"/>
  <c r="M140" i="4"/>
  <c r="L164" i="4"/>
  <c r="L172" i="4"/>
  <c r="K172" i="4"/>
  <c r="G171" i="3" s="1"/>
  <c r="N172" i="4"/>
  <c r="M172" i="4"/>
  <c r="L180" i="4"/>
  <c r="L188" i="4"/>
  <c r="K188" i="4"/>
  <c r="G187" i="3" s="1"/>
  <c r="N188" i="4"/>
  <c r="M188" i="4"/>
  <c r="M201" i="4"/>
  <c r="L201" i="4"/>
  <c r="K201" i="4"/>
  <c r="G200" i="3" s="1"/>
  <c r="N201" i="4"/>
  <c r="L265" i="4"/>
  <c r="N265" i="4"/>
  <c r="M265" i="4"/>
  <c r="K265" i="4"/>
  <c r="G264" i="3" s="1"/>
  <c r="L204" i="4"/>
  <c r="K204" i="4"/>
  <c r="G203" i="3" s="1"/>
  <c r="N204" i="4"/>
  <c r="M204" i="4"/>
  <c r="L220" i="4"/>
  <c r="K220" i="4"/>
  <c r="G219" i="3" s="1"/>
  <c r="N220" i="4"/>
  <c r="M220" i="4"/>
  <c r="K268" i="4"/>
  <c r="G267" i="3" s="1"/>
  <c r="N268" i="4"/>
  <c r="M268" i="4"/>
  <c r="L268" i="4"/>
  <c r="K175" i="4"/>
  <c r="G174" i="3" s="1"/>
  <c r="N175" i="4"/>
  <c r="L175" i="4"/>
  <c r="M175" i="4"/>
  <c r="K191" i="4"/>
  <c r="G190" i="3" s="1"/>
  <c r="N191" i="4"/>
  <c r="L191" i="4"/>
  <c r="M191" i="4"/>
  <c r="K207" i="4"/>
  <c r="G206" i="3" s="1"/>
  <c r="N207" i="4"/>
  <c r="M207" i="4"/>
  <c r="L207" i="4"/>
  <c r="K223" i="4"/>
  <c r="G222" i="3" s="1"/>
  <c r="N223" i="4"/>
  <c r="M223" i="4"/>
  <c r="L223" i="4"/>
  <c r="M235" i="4"/>
  <c r="L235" i="4"/>
  <c r="K235" i="4"/>
  <c r="G234" i="3" s="1"/>
  <c r="N235" i="4"/>
  <c r="M243" i="4"/>
  <c r="K260" i="4"/>
  <c r="G259" i="3" s="1"/>
  <c r="L297" i="4"/>
  <c r="N297" i="4"/>
  <c r="M297" i="4"/>
  <c r="K297" i="4"/>
  <c r="G296" i="3" s="1"/>
  <c r="N158" i="4"/>
  <c r="K158" i="4"/>
  <c r="G157" i="3" s="1"/>
  <c r="M158" i="4"/>
  <c r="L158" i="4"/>
  <c r="N174" i="4"/>
  <c r="M174" i="4"/>
  <c r="K174" i="4"/>
  <c r="G173" i="3" s="1"/>
  <c r="L174" i="4"/>
  <c r="N190" i="4"/>
  <c r="M190" i="4"/>
  <c r="K190" i="4"/>
  <c r="G189" i="3" s="1"/>
  <c r="L190" i="4"/>
  <c r="N206" i="4"/>
  <c r="M206" i="4"/>
  <c r="L206" i="4"/>
  <c r="K206" i="4"/>
  <c r="G205" i="3" s="1"/>
  <c r="N222" i="4"/>
  <c r="M222" i="4"/>
  <c r="L222" i="4"/>
  <c r="K222" i="4"/>
  <c r="G221" i="3" s="1"/>
  <c r="L273" i="4"/>
  <c r="N273" i="4"/>
  <c r="M273" i="4"/>
  <c r="K273" i="4"/>
  <c r="G272" i="3" s="1"/>
  <c r="K229" i="4"/>
  <c r="G228" i="3" s="1"/>
  <c r="K245" i="4"/>
  <c r="G244" i="3" s="1"/>
  <c r="L261" i="4"/>
  <c r="L277" i="4"/>
  <c r="L293" i="4"/>
  <c r="N232" i="4"/>
  <c r="M232" i="4"/>
  <c r="L232" i="4"/>
  <c r="K232" i="4"/>
  <c r="G231" i="3" s="1"/>
  <c r="M254" i="4"/>
  <c r="N254" i="4"/>
  <c r="L254" i="4"/>
  <c r="K254" i="4"/>
  <c r="G253" i="3" s="1"/>
  <c r="M286" i="4"/>
  <c r="N286" i="4"/>
  <c r="L286" i="4"/>
  <c r="K286" i="4"/>
  <c r="G285" i="3" s="1"/>
  <c r="N255" i="4"/>
  <c r="M255" i="4"/>
  <c r="L255" i="4"/>
  <c r="K255" i="4"/>
  <c r="G254" i="3" s="1"/>
  <c r="N271" i="4"/>
  <c r="M271" i="4"/>
  <c r="L271" i="4"/>
  <c r="K271" i="4"/>
  <c r="G270" i="3" s="1"/>
  <c r="N287" i="4"/>
  <c r="M287" i="4"/>
  <c r="L287" i="4"/>
  <c r="K287" i="4"/>
  <c r="G286" i="3" s="1"/>
  <c r="N303" i="4"/>
  <c r="M303" i="4"/>
  <c r="L303" i="4"/>
  <c r="K303" i="4"/>
  <c r="G302" i="3" s="1"/>
  <c r="M64" i="4"/>
  <c r="L64" i="4"/>
  <c r="K64" i="4"/>
  <c r="G63" i="3" s="1"/>
  <c r="N64" i="4"/>
  <c r="M56" i="4"/>
  <c r="L56" i="4"/>
  <c r="K56" i="4"/>
  <c r="G55" i="3" s="1"/>
  <c r="N56" i="4"/>
  <c r="M48" i="4"/>
  <c r="L48" i="4"/>
  <c r="K48" i="4"/>
  <c r="G47" i="3" s="1"/>
  <c r="N48" i="4"/>
  <c r="M40" i="4"/>
  <c r="L40" i="4"/>
  <c r="K40" i="4"/>
  <c r="G39" i="3" s="1"/>
  <c r="N40" i="4"/>
  <c r="M32" i="4"/>
  <c r="L32" i="4"/>
  <c r="K32" i="4"/>
  <c r="G31" i="3" s="1"/>
  <c r="N32" i="4"/>
  <c r="L23" i="4"/>
  <c r="K23" i="4"/>
  <c r="G22" i="3" s="1"/>
  <c r="M23" i="4"/>
  <c r="N23" i="4"/>
  <c r="L15" i="4"/>
  <c r="K15" i="4"/>
  <c r="G14" i="3" s="1"/>
  <c r="M15" i="4"/>
  <c r="N15" i="4"/>
  <c r="L7" i="4"/>
  <c r="K7" i="4"/>
  <c r="G6" i="3" s="1"/>
  <c r="M7" i="4"/>
  <c r="N7" i="4"/>
  <c r="L152" i="4"/>
  <c r="K152" i="4"/>
  <c r="G151" i="3" s="1"/>
  <c r="N152" i="4"/>
  <c r="M152" i="4"/>
  <c r="M92" i="4"/>
  <c r="L92" i="4"/>
  <c r="K92" i="4"/>
  <c r="G91" i="3" s="1"/>
  <c r="N92" i="4"/>
  <c r="J40" i="2"/>
  <c r="J189" i="2"/>
  <c r="L189" i="2" s="1"/>
  <c r="J163" i="2"/>
  <c r="J137" i="2"/>
  <c r="L137" i="2" s="1"/>
  <c r="J109" i="2"/>
  <c r="J84" i="2"/>
  <c r="N84" i="2" s="1"/>
  <c r="J20" i="2"/>
  <c r="J29" i="2"/>
  <c r="N29" i="2" s="1"/>
  <c r="J46" i="2"/>
  <c r="J49" i="2"/>
  <c r="M49" i="2" s="1"/>
  <c r="J3" i="2"/>
  <c r="J206" i="2"/>
  <c r="J53" i="2"/>
  <c r="L53" i="2" s="1"/>
  <c r="J14" i="2"/>
  <c r="L14" i="2" s="1"/>
  <c r="J185" i="2"/>
  <c r="N185" i="2" s="1"/>
  <c r="J157" i="2"/>
  <c r="J125" i="2"/>
  <c r="N125" i="2" s="1"/>
  <c r="J106" i="2"/>
  <c r="J81" i="2"/>
  <c r="M81" i="2" s="1"/>
  <c r="J150" i="2"/>
  <c r="J18" i="2"/>
  <c r="N18" i="2" s="1"/>
  <c r="J42" i="2"/>
  <c r="N42" i="2" s="1"/>
  <c r="J15" i="2"/>
  <c r="L15" i="2" s="1"/>
  <c r="J7" i="2"/>
  <c r="J289" i="2"/>
  <c r="K289" i="2" s="1"/>
  <c r="C288" i="3" s="1"/>
  <c r="J44" i="2"/>
  <c r="L44" i="2" s="1"/>
  <c r="J50" i="2"/>
  <c r="L50" i="2" s="1"/>
  <c r="J37" i="2"/>
  <c r="J195" i="2"/>
  <c r="K195" i="2" s="1"/>
  <c r="C194" i="3" s="1"/>
  <c r="J173" i="2"/>
  <c r="M173" i="2" s="1"/>
  <c r="J153" i="2"/>
  <c r="M153" i="2" s="1"/>
  <c r="J134" i="2"/>
  <c r="J112" i="2"/>
  <c r="N112" i="2" s="1"/>
  <c r="J94" i="2"/>
  <c r="M94" i="2" s="1"/>
  <c r="J166" i="2"/>
  <c r="K166" i="2" s="1"/>
  <c r="C165" i="3" s="1"/>
  <c r="J8" i="2"/>
  <c r="J33" i="2"/>
  <c r="L33" i="2" s="1"/>
  <c r="J64" i="2"/>
  <c r="N64" i="2" s="1"/>
  <c r="J36" i="2"/>
  <c r="J61" i="2"/>
  <c r="J38" i="2"/>
  <c r="L38" i="2" s="1"/>
  <c r="J6" i="2"/>
  <c r="M6" i="2" s="1"/>
  <c r="J236" i="2"/>
  <c r="K236" i="2" s="1"/>
  <c r="C235" i="3" s="1"/>
  <c r="D235" i="3" s="1"/>
  <c r="J283" i="2"/>
  <c r="L283" i="2" s="1"/>
  <c r="J253" i="2"/>
  <c r="K253" i="2" s="1"/>
  <c r="C252" i="3" s="1"/>
  <c r="J28" i="2"/>
  <c r="M28" i="2" s="1"/>
  <c r="J19" i="2"/>
  <c r="J26" i="2"/>
  <c r="J58" i="2"/>
  <c r="N58" i="2" s="1"/>
  <c r="J227" i="2"/>
  <c r="N227" i="2" s="1"/>
  <c r="J246" i="2"/>
  <c r="L246" i="2" s="1"/>
  <c r="J262" i="2"/>
  <c r="M262" i="2" s="1"/>
  <c r="L3" i="2"/>
  <c r="K246" i="2"/>
  <c r="C245" i="3" s="1"/>
  <c r="N262" i="2"/>
  <c r="J131" i="2"/>
  <c r="K131" i="2" s="1"/>
  <c r="C130" i="3" s="1"/>
  <c r="J115" i="2"/>
  <c r="J103" i="2"/>
  <c r="K103" i="2" s="1"/>
  <c r="C102" i="3" s="1"/>
  <c r="J87" i="2"/>
  <c r="K87" i="2" s="1"/>
  <c r="C86" i="3" s="1"/>
  <c r="J35" i="2"/>
  <c r="L35" i="2" s="1"/>
  <c r="J16" i="2"/>
  <c r="J73" i="2"/>
  <c r="L73" i="2" s="1"/>
  <c r="J22" i="2"/>
  <c r="K22" i="2" s="1"/>
  <c r="C21" i="3" s="1"/>
  <c r="J55" i="2"/>
  <c r="M55" i="2" s="1"/>
  <c r="J39" i="2"/>
  <c r="J13" i="2"/>
  <c r="M13" i="2" s="1"/>
  <c r="J23" i="2"/>
  <c r="K23" i="2" s="1"/>
  <c r="C22" i="3" s="1"/>
  <c r="J34" i="2"/>
  <c r="K34" i="2" s="1"/>
  <c r="C33" i="3" s="1"/>
  <c r="J25" i="2"/>
  <c r="J5" i="2"/>
  <c r="J248" i="2"/>
  <c r="J239" i="2"/>
  <c r="J299" i="2"/>
  <c r="J216" i="2"/>
  <c r="J252" i="2"/>
  <c r="M269" i="2"/>
  <c r="M257" i="2"/>
  <c r="K257" i="2"/>
  <c r="C256" i="3" s="1"/>
  <c r="D256" i="3" s="1"/>
  <c r="L257" i="2"/>
  <c r="N206" i="2"/>
  <c r="J4" i="2"/>
  <c r="J247" i="2"/>
  <c r="J270" i="2"/>
  <c r="J214" i="2"/>
  <c r="J278" i="2"/>
  <c r="J266" i="2"/>
  <c r="J297" i="2"/>
  <c r="J293" i="2"/>
  <c r="J243" i="2"/>
  <c r="J282" i="2"/>
  <c r="J272" i="2"/>
  <c r="J284" i="2"/>
  <c r="J242" i="2"/>
  <c r="J215" i="2"/>
  <c r="J232" i="2"/>
  <c r="J295" i="2"/>
  <c r="J280" i="2"/>
  <c r="J268" i="2"/>
  <c r="J254" i="2"/>
  <c r="J233" i="2"/>
  <c r="J225" i="2"/>
  <c r="J221" i="2"/>
  <c r="J267" i="2"/>
  <c r="J244" i="2"/>
  <c r="J220" i="2"/>
  <c r="J207" i="2"/>
  <c r="J226" i="2"/>
  <c r="J250" i="2"/>
  <c r="J274" i="2"/>
  <c r="J218" i="2"/>
  <c r="J286" i="2"/>
  <c r="J290" i="2"/>
  <c r="J291" i="2"/>
  <c r="J281" i="2"/>
  <c r="J235" i="2"/>
  <c r="J263" i="2"/>
  <c r="J260" i="2"/>
  <c r="J271" i="2"/>
  <c r="J240" i="2"/>
  <c r="J213" i="2"/>
  <c r="J228" i="2"/>
  <c r="J292" i="2"/>
  <c r="J277" i="2"/>
  <c r="J261" i="2"/>
  <c r="J251" i="2"/>
  <c r="J231" i="2"/>
  <c r="J223" i="2"/>
  <c r="J296" i="2"/>
  <c r="J264" i="2"/>
  <c r="J241" i="2"/>
  <c r="J212" i="2"/>
  <c r="J204" i="2"/>
  <c r="J230" i="2"/>
  <c r="J255" i="2"/>
  <c r="J298" i="2"/>
  <c r="J234" i="2"/>
  <c r="J302" i="2"/>
  <c r="J301" i="2"/>
  <c r="J279" i="2"/>
  <c r="J276" i="2"/>
  <c r="J294" i="2"/>
  <c r="J303" i="2"/>
  <c r="J219" i="2"/>
  <c r="J265" i="2"/>
  <c r="J237" i="2"/>
  <c r="J209" i="2"/>
  <c r="J300" i="2"/>
  <c r="J285" i="2"/>
  <c r="J275" i="2"/>
  <c r="J259" i="2"/>
  <c r="J249" i="2"/>
  <c r="J229" i="2"/>
  <c r="J217" i="2"/>
  <c r="J288" i="2"/>
  <c r="J256" i="2"/>
  <c r="J238" i="2"/>
  <c r="J208" i="2"/>
  <c r="J258" i="2"/>
  <c r="K269" i="2"/>
  <c r="C268" i="3" s="1"/>
  <c r="D268" i="3" s="1"/>
  <c r="J211" i="2"/>
  <c r="J205" i="2"/>
  <c r="J273" i="2"/>
  <c r="J224" i="2"/>
  <c r="J287" i="2"/>
  <c r="J222" i="2"/>
  <c r="J245" i="2"/>
  <c r="N3" i="2"/>
  <c r="M51" i="2"/>
  <c r="L51" i="2"/>
  <c r="N51" i="2"/>
  <c r="K51" i="2"/>
  <c r="C50" i="3" s="1"/>
  <c r="K46" i="2"/>
  <c r="C45" i="3" s="1"/>
  <c r="N46" i="2"/>
  <c r="M46" i="2"/>
  <c r="L46" i="2"/>
  <c r="M40" i="2"/>
  <c r="K40" i="2"/>
  <c r="C39" i="3" s="1"/>
  <c r="N40" i="2"/>
  <c r="L40" i="2"/>
  <c r="M145" i="2"/>
  <c r="K145" i="2"/>
  <c r="C144" i="3" s="1"/>
  <c r="N145" i="2"/>
  <c r="L145" i="2"/>
  <c r="M78" i="2"/>
  <c r="L78" i="2"/>
  <c r="K78" i="2"/>
  <c r="C77" i="3" s="1"/>
  <c r="N78" i="2"/>
  <c r="K54" i="2"/>
  <c r="C53" i="3" s="1"/>
  <c r="K32" i="2"/>
  <c r="C31" i="3" s="1"/>
  <c r="N17" i="2"/>
  <c r="M17" i="2"/>
  <c r="L17" i="2"/>
  <c r="K17" i="2"/>
  <c r="C16" i="3" s="1"/>
  <c r="L65" i="2"/>
  <c r="K65" i="2"/>
  <c r="C64" i="3" s="1"/>
  <c r="N65" i="2"/>
  <c r="M65" i="2"/>
  <c r="N81" i="2"/>
  <c r="L111" i="2"/>
  <c r="K111" i="2"/>
  <c r="C110" i="3" s="1"/>
  <c r="L76" i="2"/>
  <c r="L106" i="2"/>
  <c r="K106" i="2"/>
  <c r="C105" i="3" s="1"/>
  <c r="K123" i="2"/>
  <c r="C122" i="3" s="1"/>
  <c r="M123" i="2"/>
  <c r="N123" i="2"/>
  <c r="L123" i="2"/>
  <c r="M115" i="2"/>
  <c r="N115" i="2"/>
  <c r="L115" i="2"/>
  <c r="K115" i="2"/>
  <c r="C114" i="3" s="1"/>
  <c r="N116" i="2"/>
  <c r="M116" i="2"/>
  <c r="M144" i="2"/>
  <c r="M155" i="2"/>
  <c r="N155" i="2"/>
  <c r="M163" i="2"/>
  <c r="N163" i="2"/>
  <c r="N179" i="2"/>
  <c r="M203" i="2"/>
  <c r="L203" i="2"/>
  <c r="K203" i="2"/>
  <c r="C202" i="3" s="1"/>
  <c r="N203" i="2"/>
  <c r="N134" i="2"/>
  <c r="L134" i="2"/>
  <c r="M134" i="2"/>
  <c r="K134" i="2"/>
  <c r="C133" i="3" s="1"/>
  <c r="N148" i="2"/>
  <c r="L148" i="2"/>
  <c r="K148" i="2"/>
  <c r="C147" i="3" s="1"/>
  <c r="M148" i="2"/>
  <c r="N180" i="2"/>
  <c r="L180" i="2"/>
  <c r="K180" i="2"/>
  <c r="C179" i="3" s="1"/>
  <c r="M180" i="2"/>
  <c r="K196" i="2"/>
  <c r="C195" i="3" s="1"/>
  <c r="M50" i="2"/>
  <c r="K26" i="2"/>
  <c r="C25" i="3" s="1"/>
  <c r="M26" i="2"/>
  <c r="L26" i="2"/>
  <c r="N26" i="2"/>
  <c r="M105" i="2"/>
  <c r="K125" i="2"/>
  <c r="C124" i="3" s="1"/>
  <c r="L27" i="2"/>
  <c r="N27" i="2"/>
  <c r="M27" i="2"/>
  <c r="K27" i="2"/>
  <c r="C26" i="3" s="1"/>
  <c r="M48" i="2"/>
  <c r="K48" i="2"/>
  <c r="C47" i="3" s="1"/>
  <c r="N48" i="2"/>
  <c r="L48" i="2"/>
  <c r="M8" i="2"/>
  <c r="N8" i="2"/>
  <c r="L8" i="2"/>
  <c r="K8" i="2"/>
  <c r="C7" i="3" s="1"/>
  <c r="K21" i="2"/>
  <c r="C20" i="3" s="1"/>
  <c r="N37" i="2"/>
  <c r="L37" i="2"/>
  <c r="K37" i="2"/>
  <c r="C36" i="3" s="1"/>
  <c r="M37" i="2"/>
  <c r="L69" i="2"/>
  <c r="K69" i="2"/>
  <c r="C68" i="3" s="1"/>
  <c r="N69" i="2"/>
  <c r="M69" i="2"/>
  <c r="M119" i="2"/>
  <c r="L119" i="2"/>
  <c r="K119" i="2"/>
  <c r="C118" i="3" s="1"/>
  <c r="N119" i="2"/>
  <c r="M64" i="2"/>
  <c r="K93" i="2"/>
  <c r="C92" i="3" s="1"/>
  <c r="L93" i="2"/>
  <c r="N93" i="2"/>
  <c r="M93" i="2"/>
  <c r="K109" i="2"/>
  <c r="C108" i="3" s="1"/>
  <c r="L109" i="2"/>
  <c r="N109" i="2"/>
  <c r="M109" i="2"/>
  <c r="K127" i="2"/>
  <c r="C126" i="3" s="1"/>
  <c r="M127" i="2"/>
  <c r="N127" i="2"/>
  <c r="L127" i="2"/>
  <c r="M91" i="2"/>
  <c r="N91" i="2"/>
  <c r="L91" i="2"/>
  <c r="K91" i="2"/>
  <c r="C90" i="3" s="1"/>
  <c r="M121" i="2"/>
  <c r="N121" i="2"/>
  <c r="L121" i="2"/>
  <c r="K121" i="2"/>
  <c r="C120" i="3" s="1"/>
  <c r="L191" i="2"/>
  <c r="K191" i="2"/>
  <c r="C190" i="3" s="1"/>
  <c r="K157" i="2"/>
  <c r="C156" i="3" s="1"/>
  <c r="M157" i="2"/>
  <c r="L157" i="2"/>
  <c r="N157" i="2"/>
  <c r="K165" i="2"/>
  <c r="C164" i="3" s="1"/>
  <c r="M165" i="2"/>
  <c r="L165" i="2"/>
  <c r="N165" i="2"/>
  <c r="L173" i="2"/>
  <c r="M181" i="2"/>
  <c r="L181" i="2"/>
  <c r="M122" i="2"/>
  <c r="L138" i="2"/>
  <c r="M138" i="2"/>
  <c r="L150" i="2"/>
  <c r="N150" i="2"/>
  <c r="K150" i="2"/>
  <c r="C149" i="3" s="1"/>
  <c r="M150" i="2"/>
  <c r="N166" i="2"/>
  <c r="L182" i="2"/>
  <c r="N182" i="2"/>
  <c r="K182" i="2"/>
  <c r="C181" i="3" s="1"/>
  <c r="L198" i="2"/>
  <c r="K198" i="2"/>
  <c r="C197" i="3" s="1"/>
  <c r="N198" i="2"/>
  <c r="M198" i="2"/>
  <c r="N152" i="2"/>
  <c r="L152" i="2"/>
  <c r="K152" i="2"/>
  <c r="C151" i="3" s="1"/>
  <c r="M152" i="2"/>
  <c r="N168" i="2"/>
  <c r="K168" i="2"/>
  <c r="C167" i="3" s="1"/>
  <c r="M184" i="2"/>
  <c r="N34" i="2"/>
  <c r="M23" i="2"/>
  <c r="L10" i="2"/>
  <c r="N10" i="2"/>
  <c r="M10" i="2"/>
  <c r="L118" i="2"/>
  <c r="N118" i="2"/>
  <c r="M118" i="2"/>
  <c r="K118" i="2"/>
  <c r="C117" i="3" s="1"/>
  <c r="M141" i="2"/>
  <c r="K141" i="2"/>
  <c r="C140" i="3" s="1"/>
  <c r="N141" i="2"/>
  <c r="L141" i="2"/>
  <c r="M16" i="2"/>
  <c r="K16" i="2"/>
  <c r="C15" i="3" s="1"/>
  <c r="N16" i="2"/>
  <c r="L16" i="2"/>
  <c r="L9" i="2"/>
  <c r="N25" i="2"/>
  <c r="M25" i="2"/>
  <c r="L25" i="2"/>
  <c r="K25" i="2"/>
  <c r="C24" i="3" s="1"/>
  <c r="N41" i="2"/>
  <c r="L41" i="2"/>
  <c r="M95" i="2"/>
  <c r="K95" i="2"/>
  <c r="C94" i="3" s="1"/>
  <c r="K52" i="2"/>
  <c r="C51" i="3" s="1"/>
  <c r="L68" i="2"/>
  <c r="L98" i="2"/>
  <c r="K98" i="2"/>
  <c r="C97" i="3" s="1"/>
  <c r="N98" i="2"/>
  <c r="M98" i="2"/>
  <c r="L131" i="2"/>
  <c r="M147" i="2"/>
  <c r="K147" i="2"/>
  <c r="C146" i="3" s="1"/>
  <c r="L147" i="2"/>
  <c r="N147" i="2"/>
  <c r="N79" i="2"/>
  <c r="M92" i="2"/>
  <c r="L92" i="2"/>
  <c r="N108" i="2"/>
  <c r="M108" i="2"/>
  <c r="L108" i="2"/>
  <c r="K108" i="2"/>
  <c r="C107" i="3" s="1"/>
  <c r="K159" i="2"/>
  <c r="C158" i="3" s="1"/>
  <c r="L159" i="2"/>
  <c r="N159" i="2"/>
  <c r="L186" i="2"/>
  <c r="K186" i="2"/>
  <c r="C185" i="3" s="1"/>
  <c r="N186" i="2"/>
  <c r="M186" i="2"/>
  <c r="L202" i="2"/>
  <c r="N202" i="2"/>
  <c r="N172" i="2"/>
  <c r="L172" i="2"/>
  <c r="K172" i="2"/>
  <c r="C171" i="3" s="1"/>
  <c r="M172" i="2"/>
  <c r="K42" i="2"/>
  <c r="C41" i="3" s="1"/>
  <c r="M42" i="2"/>
  <c r="L42" i="2"/>
  <c r="N15" i="2"/>
  <c r="L7" i="2"/>
  <c r="K7" i="2"/>
  <c r="C6" i="3" s="1"/>
  <c r="N7" i="2"/>
  <c r="M7" i="2"/>
  <c r="M74" i="2"/>
  <c r="L74" i="2"/>
  <c r="K74" i="2"/>
  <c r="C73" i="3" s="1"/>
  <c r="N74" i="2"/>
  <c r="N137" i="2"/>
  <c r="M70" i="2"/>
  <c r="L70" i="2"/>
  <c r="K70" i="2"/>
  <c r="C69" i="3" s="1"/>
  <c r="N70" i="2"/>
  <c r="M82" i="2"/>
  <c r="L82" i="2"/>
  <c r="K82" i="2"/>
  <c r="C81" i="3" s="1"/>
  <c r="N82" i="2"/>
  <c r="M43" i="2"/>
  <c r="K13" i="2"/>
  <c r="C12" i="3" s="1"/>
  <c r="M29" i="2"/>
  <c r="K61" i="2"/>
  <c r="C60" i="3" s="1"/>
  <c r="N61" i="2"/>
  <c r="M61" i="2"/>
  <c r="L61" i="2"/>
  <c r="L72" i="2"/>
  <c r="N88" i="2"/>
  <c r="K88" i="2"/>
  <c r="C87" i="3" s="1"/>
  <c r="M88" i="2"/>
  <c r="L88" i="2"/>
  <c r="K101" i="2"/>
  <c r="C100" i="3" s="1"/>
  <c r="N101" i="2"/>
  <c r="M101" i="2"/>
  <c r="K117" i="2"/>
  <c r="C116" i="3" s="1"/>
  <c r="L117" i="2"/>
  <c r="N117" i="2"/>
  <c r="M117" i="2"/>
  <c r="K135" i="2"/>
  <c r="C134" i="3" s="1"/>
  <c r="M135" i="2"/>
  <c r="N135" i="2"/>
  <c r="L135" i="2"/>
  <c r="N67" i="2"/>
  <c r="M67" i="2"/>
  <c r="L67" i="2"/>
  <c r="K67" i="2"/>
  <c r="C66" i="3" s="1"/>
  <c r="N83" i="2"/>
  <c r="M83" i="2"/>
  <c r="L83" i="2"/>
  <c r="K83" i="2"/>
  <c r="C82" i="3" s="1"/>
  <c r="M107" i="2"/>
  <c r="N107" i="2"/>
  <c r="L107" i="2"/>
  <c r="K107" i="2"/>
  <c r="C106" i="3" s="1"/>
  <c r="L124" i="2"/>
  <c r="N124" i="2"/>
  <c r="M124" i="2"/>
  <c r="K124" i="2"/>
  <c r="C123" i="3" s="1"/>
  <c r="K153" i="2"/>
  <c r="C152" i="3" s="1"/>
  <c r="M161" i="2"/>
  <c r="L161" i="2"/>
  <c r="N161" i="2"/>
  <c r="M169" i="2"/>
  <c r="K185" i="2"/>
  <c r="C184" i="3" s="1"/>
  <c r="M185" i="2"/>
  <c r="K201" i="2"/>
  <c r="C200" i="3" s="1"/>
  <c r="N201" i="2"/>
  <c r="M201" i="2"/>
  <c r="L201" i="2"/>
  <c r="N160" i="2"/>
  <c r="L160" i="2"/>
  <c r="K160" i="2"/>
  <c r="C159" i="3" s="1"/>
  <c r="M160" i="2"/>
  <c r="N176" i="2"/>
  <c r="L176" i="2"/>
  <c r="K176" i="2"/>
  <c r="C175" i="3" s="1"/>
  <c r="M176" i="2"/>
  <c r="K59" i="2"/>
  <c r="C58" i="3" s="1"/>
  <c r="L39" i="2"/>
  <c r="M39" i="2"/>
  <c r="K39" i="2"/>
  <c r="C38" i="3" s="1"/>
  <c r="N39" i="2"/>
  <c r="K6" i="2"/>
  <c r="C5" i="3" s="1"/>
  <c r="N6" i="2"/>
  <c r="L6" i="2"/>
  <c r="L94" i="2"/>
  <c r="N94" i="2"/>
  <c r="K94" i="2"/>
  <c r="C93" i="3" s="1"/>
  <c r="M44" i="2"/>
  <c r="N44" i="2"/>
  <c r="K44" i="2"/>
  <c r="C43" i="3" s="1"/>
  <c r="N203" i="1"/>
  <c r="L11" i="2" l="1"/>
  <c r="K11" i="2"/>
  <c r="C10" i="3" s="1"/>
  <c r="M128" i="2"/>
  <c r="K128" i="2"/>
  <c r="C127" i="3" s="1"/>
  <c r="M196" i="2"/>
  <c r="L196" i="2"/>
  <c r="K210" i="2"/>
  <c r="C209" i="3" s="1"/>
  <c r="D209" i="3" s="1"/>
  <c r="N210" i="2"/>
  <c r="M210" i="2"/>
  <c r="K179" i="2"/>
  <c r="C178" i="3" s="1"/>
  <c r="L179" i="2"/>
  <c r="M21" i="2"/>
  <c r="N21" i="2"/>
  <c r="N181" i="2"/>
  <c r="K181" i="2"/>
  <c r="C180" i="3" s="1"/>
  <c r="N191" i="2"/>
  <c r="M191" i="2"/>
  <c r="K155" i="2"/>
  <c r="C154" i="3" s="1"/>
  <c r="L155" i="2"/>
  <c r="N59" i="2"/>
  <c r="K169" i="2"/>
  <c r="C168" i="3" s="1"/>
  <c r="M202" i="2"/>
  <c r="K92" i="2"/>
  <c r="C91" i="3" s="1"/>
  <c r="N68" i="2"/>
  <c r="L95" i="2"/>
  <c r="L168" i="2"/>
  <c r="L21" i="2"/>
  <c r="N196" i="2"/>
  <c r="M179" i="2"/>
  <c r="N128" i="2"/>
  <c r="K20" i="2"/>
  <c r="C19" i="3" s="1"/>
  <c r="L20" i="2"/>
  <c r="N20" i="2"/>
  <c r="K163" i="2"/>
  <c r="C162" i="3" s="1"/>
  <c r="L163" i="2"/>
  <c r="L116" i="2"/>
  <c r="K116" i="2"/>
  <c r="C115" i="3" s="1"/>
  <c r="L59" i="2"/>
  <c r="L128" i="2"/>
  <c r="L210" i="2"/>
  <c r="L64" i="2"/>
  <c r="K64" i="2"/>
  <c r="C63" i="3" s="1"/>
  <c r="N173" i="2"/>
  <c r="K173" i="2"/>
  <c r="C172" i="3" s="1"/>
  <c r="N106" i="2"/>
  <c r="M106" i="2"/>
  <c r="K105" i="2"/>
  <c r="C104" i="3" s="1"/>
  <c r="N105" i="2"/>
  <c r="K122" i="2"/>
  <c r="C121" i="3" s="1"/>
  <c r="N122" i="2"/>
  <c r="N111" i="2"/>
  <c r="M111" i="2"/>
  <c r="K138" i="2"/>
  <c r="C137" i="3" s="1"/>
  <c r="N138" i="2"/>
  <c r="N169" i="2"/>
  <c r="K68" i="2"/>
  <c r="C67" i="3" s="1"/>
  <c r="M41" i="2"/>
  <c r="K28" i="2"/>
  <c r="C27" i="3" s="1"/>
  <c r="N246" i="2"/>
  <c r="J12" i="2"/>
  <c r="J113" i="2"/>
  <c r="J177" i="2"/>
  <c r="J120" i="2"/>
  <c r="J188" i="2"/>
  <c r="J167" i="2"/>
  <c r="J139" i="2"/>
  <c r="J143" i="2"/>
  <c r="J66" i="2"/>
  <c r="J164" i="2"/>
  <c r="J60" i="2"/>
  <c r="J133" i="2"/>
  <c r="J197" i="2"/>
  <c r="J140" i="2"/>
  <c r="J47" i="2"/>
  <c r="J24" i="2"/>
  <c r="J187" i="2"/>
  <c r="J194" i="2"/>
  <c r="J31" i="2"/>
  <c r="J75" i="2"/>
  <c r="J63" i="2"/>
  <c r="J154" i="2"/>
  <c r="J57" i="2"/>
  <c r="J129" i="2"/>
  <c r="J193" i="2"/>
  <c r="J136" i="2"/>
  <c r="J90" i="2"/>
  <c r="J192" i="2"/>
  <c r="J171" i="2"/>
  <c r="J175" i="2"/>
  <c r="J85" i="2"/>
  <c r="J183" i="2"/>
  <c r="J77" i="2"/>
  <c r="J149" i="2"/>
  <c r="J96" i="2"/>
  <c r="J156" i="2"/>
  <c r="J100" i="2"/>
  <c r="J80" i="2"/>
  <c r="J99" i="2"/>
  <c r="J30" i="2"/>
  <c r="J62" i="2"/>
  <c r="J151" i="2"/>
  <c r="J200" i="2"/>
  <c r="J89" i="2"/>
  <c r="J174" i="2"/>
  <c r="J102" i="2"/>
  <c r="J146" i="2"/>
  <c r="J56" i="2"/>
  <c r="J132" i="2"/>
  <c r="J199" i="2"/>
  <c r="J71" i="2"/>
  <c r="J126" i="2"/>
  <c r="J158" i="2"/>
  <c r="J86" i="2"/>
  <c r="J114" i="2"/>
  <c r="J162" i="2"/>
  <c r="J97" i="2"/>
  <c r="J104" i="2"/>
  <c r="J170" i="2"/>
  <c r="J45" i="2"/>
  <c r="J110" i="2"/>
  <c r="J142" i="2"/>
  <c r="J190" i="2"/>
  <c r="J130" i="2"/>
  <c r="J178" i="2"/>
  <c r="M72" i="2"/>
  <c r="N43" i="2"/>
  <c r="K79" i="2"/>
  <c r="C78" i="3" s="1"/>
  <c r="M52" i="2"/>
  <c r="M9" i="2"/>
  <c r="N184" i="2"/>
  <c r="N144" i="2"/>
  <c r="M76" i="2"/>
  <c r="N49" i="2"/>
  <c r="M32" i="2"/>
  <c r="L54" i="2"/>
  <c r="L289" i="2"/>
  <c r="N72" i="2"/>
  <c r="L195" i="2"/>
  <c r="L43" i="2"/>
  <c r="L79" i="2"/>
  <c r="K84" i="2"/>
  <c r="C83" i="3" s="1"/>
  <c r="N52" i="2"/>
  <c r="N9" i="2"/>
  <c r="K184" i="2"/>
  <c r="C183" i="3" s="1"/>
  <c r="M189" i="2"/>
  <c r="L144" i="2"/>
  <c r="N76" i="2"/>
  <c r="N32" i="2"/>
  <c r="M54" i="2"/>
  <c r="N22" i="2"/>
  <c r="K112" i="2"/>
  <c r="C111" i="3" s="1"/>
  <c r="L18" i="2"/>
  <c r="N53" i="2"/>
  <c r="L87" i="2"/>
  <c r="K229" i="1"/>
  <c r="B228" i="3" s="1"/>
  <c r="M229" i="1"/>
  <c r="L229" i="1"/>
  <c r="N229" i="1"/>
  <c r="N280" i="1"/>
  <c r="K280" i="1"/>
  <c r="B279" i="3" s="1"/>
  <c r="M280" i="1"/>
  <c r="L280" i="1"/>
  <c r="M205" i="1"/>
  <c r="L205" i="1"/>
  <c r="K241" i="1"/>
  <c r="B240" i="3" s="1"/>
  <c r="M241" i="1"/>
  <c r="N241" i="1"/>
  <c r="L241" i="1"/>
  <c r="N255" i="1"/>
  <c r="M255" i="1"/>
  <c r="K255" i="1"/>
  <c r="B254" i="3" s="1"/>
  <c r="L255" i="1"/>
  <c r="D288" i="3"/>
  <c r="M289" i="1"/>
  <c r="N289" i="1"/>
  <c r="L289" i="1"/>
  <c r="N248" i="1"/>
  <c r="K248" i="1"/>
  <c r="B247" i="3" s="1"/>
  <c r="K235" i="1"/>
  <c r="B234" i="3" s="1"/>
  <c r="L235" i="1"/>
  <c r="N235" i="1"/>
  <c r="M235" i="1"/>
  <c r="L290" i="1"/>
  <c r="N290" i="1"/>
  <c r="K290" i="1"/>
  <c r="B289" i="3" s="1"/>
  <c r="M290" i="1"/>
  <c r="L270" i="1"/>
  <c r="N270" i="1"/>
  <c r="K273" i="1"/>
  <c r="B272" i="3" s="1"/>
  <c r="M273" i="1"/>
  <c r="L219" i="1"/>
  <c r="M219" i="1"/>
  <c r="N244" i="1"/>
  <c r="K244" i="1"/>
  <c r="B243" i="3" s="1"/>
  <c r="K212" i="1"/>
  <c r="B211" i="3" s="1"/>
  <c r="N212" i="1"/>
  <c r="M221" i="1"/>
  <c r="L221" i="1"/>
  <c r="L302" i="1"/>
  <c r="K302" i="1"/>
  <c r="B301" i="3" s="1"/>
  <c r="M302" i="1"/>
  <c r="N302" i="1"/>
  <c r="L256" i="1"/>
  <c r="M256" i="1"/>
  <c r="K256" i="1"/>
  <c r="B255" i="3" s="1"/>
  <c r="N256" i="1"/>
  <c r="N284" i="1"/>
  <c r="K284" i="1"/>
  <c r="B283" i="3" s="1"/>
  <c r="M284" i="1"/>
  <c r="L284" i="1"/>
  <c r="N292" i="1"/>
  <c r="L292" i="1"/>
  <c r="K233" i="1"/>
  <c r="B232" i="3" s="1"/>
  <c r="M233" i="1"/>
  <c r="N233" i="1"/>
  <c r="L233" i="1"/>
  <c r="L274" i="1"/>
  <c r="M274" i="1"/>
  <c r="N274" i="1"/>
  <c r="K274" i="1"/>
  <c r="B273" i="3" s="1"/>
  <c r="K222" i="1"/>
  <c r="B221" i="3" s="1"/>
  <c r="N222" i="1"/>
  <c r="K238" i="1"/>
  <c r="B237" i="3" s="1"/>
  <c r="N238" i="1"/>
  <c r="K243" i="1"/>
  <c r="B242" i="3" s="1"/>
  <c r="L243" i="1"/>
  <c r="N243" i="1"/>
  <c r="M243" i="1"/>
  <c r="K277" i="1"/>
  <c r="B276" i="3" s="1"/>
  <c r="L277" i="1"/>
  <c r="M254" i="1"/>
  <c r="L254" i="1"/>
  <c r="M262" i="1"/>
  <c r="L262" i="1"/>
  <c r="K234" i="1"/>
  <c r="B233" i="3" s="1"/>
  <c r="N234" i="1"/>
  <c r="K227" i="1"/>
  <c r="B226" i="3" s="1"/>
  <c r="N227" i="1"/>
  <c r="L227" i="1"/>
  <c r="M227" i="1"/>
  <c r="K253" i="1"/>
  <c r="B252" i="3" s="1"/>
  <c r="D252" i="3" s="1"/>
  <c r="N253" i="1"/>
  <c r="L253" i="1"/>
  <c r="M253" i="1"/>
  <c r="L278" i="1"/>
  <c r="M278" i="1"/>
  <c r="N278" i="1"/>
  <c r="K278" i="1"/>
  <c r="B277" i="3" s="1"/>
  <c r="M287" i="1"/>
  <c r="N287" i="1"/>
  <c r="K287" i="1"/>
  <c r="B286" i="3" s="1"/>
  <c r="L287" i="1"/>
  <c r="L286" i="1"/>
  <c r="M286" i="1"/>
  <c r="K286" i="1"/>
  <c r="B285" i="3" s="1"/>
  <c r="N286" i="1"/>
  <c r="K250" i="1"/>
  <c r="B249" i="3" s="1"/>
  <c r="N250" i="1"/>
  <c r="K228" i="1"/>
  <c r="B227" i="3" s="1"/>
  <c r="N228" i="1"/>
  <c r="N267" i="1"/>
  <c r="K267" i="1"/>
  <c r="B266" i="3" s="1"/>
  <c r="M267" i="1"/>
  <c r="L267" i="1"/>
  <c r="D245" i="3"/>
  <c r="L250" i="1"/>
  <c r="N205" i="1"/>
  <c r="L228" i="1"/>
  <c r="M215" i="1"/>
  <c r="L215" i="1"/>
  <c r="K239" i="1"/>
  <c r="B238" i="3" s="1"/>
  <c r="L239" i="1"/>
  <c r="M239" i="1"/>
  <c r="N239" i="1"/>
  <c r="N216" i="1"/>
  <c r="K216" i="1"/>
  <c r="B215" i="3" s="1"/>
  <c r="K225" i="1"/>
  <c r="B224" i="3" s="1"/>
  <c r="M225" i="1"/>
  <c r="N225" i="1"/>
  <c r="L225" i="1"/>
  <c r="M258" i="1"/>
  <c r="K258" i="1"/>
  <c r="B257" i="3" s="1"/>
  <c r="K259" i="1"/>
  <c r="B258" i="3" s="1"/>
  <c r="N259" i="1"/>
  <c r="L209" i="1"/>
  <c r="M209" i="1"/>
  <c r="K246" i="1"/>
  <c r="B245" i="3" s="1"/>
  <c r="N246" i="1"/>
  <c r="K206" i="1"/>
  <c r="B205" i="3" s="1"/>
  <c r="N206" i="1"/>
  <c r="M283" i="1"/>
  <c r="K283" i="1"/>
  <c r="B282" i="3" s="1"/>
  <c r="L283" i="1"/>
  <c r="N283" i="1"/>
  <c r="M263" i="1"/>
  <c r="L263" i="1"/>
  <c r="N263" i="1"/>
  <c r="K263" i="1"/>
  <c r="B262" i="3" s="1"/>
  <c r="K271" i="1"/>
  <c r="B270" i="3" s="1"/>
  <c r="N271" i="1"/>
  <c r="M271" i="1"/>
  <c r="L271" i="1"/>
  <c r="M293" i="4"/>
  <c r="M277" i="4"/>
  <c r="M261" i="4"/>
  <c r="L245" i="4"/>
  <c r="L229" i="4"/>
  <c r="L260" i="4"/>
  <c r="N243" i="4"/>
  <c r="M180" i="4"/>
  <c r="M164" i="4"/>
  <c r="M163" i="4"/>
  <c r="K117" i="4"/>
  <c r="G116" i="3" s="1"/>
  <c r="K101" i="4"/>
  <c r="G100" i="3" s="1"/>
  <c r="K85" i="4"/>
  <c r="G84" i="3" s="1"/>
  <c r="K69" i="4"/>
  <c r="G68" i="3" s="1"/>
  <c r="K53" i="4"/>
  <c r="G52" i="3" s="1"/>
  <c r="K37" i="4"/>
  <c r="G36" i="3" s="1"/>
  <c r="M21" i="4"/>
  <c r="K227" i="4"/>
  <c r="G226" i="3" s="1"/>
  <c r="K116" i="4"/>
  <c r="G115" i="3" s="1"/>
  <c r="L259" i="4"/>
  <c r="M211" i="4"/>
  <c r="K282" i="4"/>
  <c r="G281" i="3" s="1"/>
  <c r="M276" i="4"/>
  <c r="N165" i="4"/>
  <c r="K100" i="4"/>
  <c r="G99" i="3" s="1"/>
  <c r="M10" i="4"/>
  <c r="K26" i="4"/>
  <c r="G25" i="3" s="1"/>
  <c r="L35" i="4"/>
  <c r="L51" i="4"/>
  <c r="L67" i="4"/>
  <c r="N244" i="4"/>
  <c r="N228" i="4"/>
  <c r="M298" i="4"/>
  <c r="M266" i="4"/>
  <c r="N218" i="4"/>
  <c r="N202" i="4"/>
  <c r="N186" i="4"/>
  <c r="N170" i="4"/>
  <c r="N154" i="4"/>
  <c r="K292" i="4"/>
  <c r="G291" i="3" s="1"/>
  <c r="M234" i="4"/>
  <c r="L213" i="4"/>
  <c r="L149" i="4"/>
  <c r="M148" i="4"/>
  <c r="M133" i="4"/>
  <c r="M115" i="4"/>
  <c r="M99" i="4"/>
  <c r="M83" i="4"/>
  <c r="K275" i="4"/>
  <c r="G274" i="3" s="1"/>
  <c r="L195" i="4"/>
  <c r="N138" i="4"/>
  <c r="M36" i="4"/>
  <c r="M52" i="4"/>
  <c r="M68" i="4"/>
  <c r="K250" i="4"/>
  <c r="G249" i="3" s="1"/>
  <c r="N212" i="4"/>
  <c r="N196" i="4"/>
  <c r="K132" i="4"/>
  <c r="G131" i="3" s="1"/>
  <c r="N147" i="4"/>
  <c r="M131" i="4"/>
  <c r="K106" i="4"/>
  <c r="G105" i="3" s="1"/>
  <c r="K90" i="4"/>
  <c r="G89" i="3" s="1"/>
  <c r="K74" i="4"/>
  <c r="G73" i="3" s="1"/>
  <c r="K58" i="4"/>
  <c r="G57" i="3" s="1"/>
  <c r="K42" i="4"/>
  <c r="G41" i="3" s="1"/>
  <c r="L84" i="4"/>
  <c r="K291" i="4"/>
  <c r="G290" i="3" s="1"/>
  <c r="M179" i="4"/>
  <c r="K181" i="4"/>
  <c r="G180" i="3" s="1"/>
  <c r="N197" i="4"/>
  <c r="M122" i="4"/>
  <c r="N293" i="4"/>
  <c r="N261" i="4"/>
  <c r="M229" i="4"/>
  <c r="N164" i="4"/>
  <c r="L117" i="4"/>
  <c r="L85" i="4"/>
  <c r="L69" i="4"/>
  <c r="L37" i="4"/>
  <c r="L21" i="4"/>
  <c r="L227" i="4"/>
  <c r="L116" i="4"/>
  <c r="K259" i="4"/>
  <c r="G258" i="3" s="1"/>
  <c r="N211" i="4"/>
  <c r="L282" i="4"/>
  <c r="N276" i="4"/>
  <c r="L165" i="4"/>
  <c r="L100" i="4"/>
  <c r="L10" i="4"/>
  <c r="N26" i="4"/>
  <c r="N35" i="4"/>
  <c r="N51" i="4"/>
  <c r="N67" i="4"/>
  <c r="K244" i="4"/>
  <c r="G243" i="3" s="1"/>
  <c r="K228" i="4"/>
  <c r="G227" i="3" s="1"/>
  <c r="N298" i="4"/>
  <c r="N266" i="4"/>
  <c r="K218" i="4"/>
  <c r="G217" i="3" s="1"/>
  <c r="K202" i="4"/>
  <c r="G201" i="3" s="1"/>
  <c r="L186" i="4"/>
  <c r="L170" i="4"/>
  <c r="L154" i="4"/>
  <c r="L292" i="4"/>
  <c r="K234" i="4"/>
  <c r="G233" i="3" s="1"/>
  <c r="M213" i="4"/>
  <c r="M149" i="4"/>
  <c r="K148" i="4"/>
  <c r="G147" i="3" s="1"/>
  <c r="K133" i="4"/>
  <c r="G132" i="3" s="1"/>
  <c r="N115" i="4"/>
  <c r="N99" i="4"/>
  <c r="N83" i="4"/>
  <c r="N275" i="4"/>
  <c r="M195" i="4"/>
  <c r="L138" i="4"/>
  <c r="N36" i="4"/>
  <c r="N52" i="4"/>
  <c r="N68" i="4"/>
  <c r="L250" i="4"/>
  <c r="K212" i="4"/>
  <c r="G211" i="3" s="1"/>
  <c r="K196" i="4"/>
  <c r="G195" i="3" s="1"/>
  <c r="L132" i="4"/>
  <c r="L147" i="4"/>
  <c r="N131" i="4"/>
  <c r="L106" i="4"/>
  <c r="L90" i="4"/>
  <c r="L74" i="4"/>
  <c r="L58" i="4"/>
  <c r="L42" i="4"/>
  <c r="M84" i="4"/>
  <c r="N291" i="4"/>
  <c r="L179" i="4"/>
  <c r="N181" i="4"/>
  <c r="K197" i="4"/>
  <c r="G196" i="3" s="1"/>
  <c r="K122" i="4"/>
  <c r="G121" i="3" s="1"/>
  <c r="N277" i="4"/>
  <c r="M245" i="4"/>
  <c r="M260" i="4"/>
  <c r="K243" i="4"/>
  <c r="G242" i="3" s="1"/>
  <c r="N180" i="4"/>
  <c r="L163" i="4"/>
  <c r="L101" i="4"/>
  <c r="L53" i="4"/>
  <c r="M226" i="4"/>
  <c r="K274" i="4"/>
  <c r="G273" i="3" s="1"/>
  <c r="L210" i="4"/>
  <c r="K178" i="4"/>
  <c r="G177" i="3" s="1"/>
  <c r="N18" i="4"/>
  <c r="M242" i="4"/>
  <c r="K130" i="4"/>
  <c r="G129" i="3" s="1"/>
  <c r="L141" i="4"/>
  <c r="L125" i="4"/>
  <c r="K284" i="4"/>
  <c r="G283" i="3" s="1"/>
  <c r="N194" i="4"/>
  <c r="N146" i="4"/>
  <c r="M173" i="4"/>
  <c r="L301" i="4"/>
  <c r="L285" i="4"/>
  <c r="L269" i="4"/>
  <c r="L253" i="4"/>
  <c r="K237" i="4"/>
  <c r="G236" i="3" s="1"/>
  <c r="M290" i="4"/>
  <c r="K252" i="4"/>
  <c r="G251" i="3" s="1"/>
  <c r="M258" i="4"/>
  <c r="M205" i="4"/>
  <c r="N109" i="4"/>
  <c r="N93" i="4"/>
  <c r="N77" i="4"/>
  <c r="N61" i="4"/>
  <c r="N45" i="4"/>
  <c r="N29" i="4"/>
  <c r="N13" i="4"/>
  <c r="L156" i="4"/>
  <c r="K226" i="4"/>
  <c r="G225" i="3" s="1"/>
  <c r="L162" i="4"/>
  <c r="N274" i="4"/>
  <c r="M155" i="4"/>
  <c r="M75" i="4"/>
  <c r="K28" i="4"/>
  <c r="G27" i="3" s="1"/>
  <c r="N5" i="4"/>
  <c r="M5" i="4"/>
  <c r="K5" i="4"/>
  <c r="G4" i="3" s="1"/>
  <c r="L5" i="4"/>
  <c r="K20" i="4"/>
  <c r="G19" i="3" s="1"/>
  <c r="L20" i="4"/>
  <c r="N20" i="4"/>
  <c r="M20" i="4"/>
  <c r="N4" i="4"/>
  <c r="K4" i="4"/>
  <c r="G3" i="3" s="1"/>
  <c r="L4" i="4"/>
  <c r="M4" i="4"/>
  <c r="K19" i="4"/>
  <c r="G18" i="3" s="1"/>
  <c r="M19" i="4"/>
  <c r="N19" i="4"/>
  <c r="L19" i="4"/>
  <c r="N155" i="4"/>
  <c r="N28" i="4"/>
  <c r="L22" i="4"/>
  <c r="N22" i="4"/>
  <c r="K22" i="4"/>
  <c r="G21" i="3" s="1"/>
  <c r="M22" i="4"/>
  <c r="K6" i="4"/>
  <c r="G5" i="3" s="1"/>
  <c r="M6" i="4"/>
  <c r="N6" i="4"/>
  <c r="L6" i="4"/>
  <c r="M12" i="4"/>
  <c r="K12" i="4"/>
  <c r="G11" i="3" s="1"/>
  <c r="L27" i="4"/>
  <c r="N27" i="4"/>
  <c r="K27" i="4"/>
  <c r="G26" i="3" s="1"/>
  <c r="M27" i="4"/>
  <c r="M11" i="4"/>
  <c r="N11" i="4"/>
  <c r="K11" i="4"/>
  <c r="G10" i="3" s="1"/>
  <c r="L11" i="4"/>
  <c r="L28" i="4"/>
  <c r="L151" i="4"/>
  <c r="M151" i="4"/>
  <c r="K151" i="4"/>
  <c r="G150" i="3" s="1"/>
  <c r="N151" i="4"/>
  <c r="K267" i="5"/>
  <c r="N181" i="5"/>
  <c r="N170" i="5"/>
  <c r="L104" i="5"/>
  <c r="N127" i="5"/>
  <c r="L26" i="5"/>
  <c r="L292" i="5"/>
  <c r="K212" i="5"/>
  <c r="K255" i="5"/>
  <c r="K149" i="5"/>
  <c r="M138" i="5"/>
  <c r="M182" i="5"/>
  <c r="N75" i="5"/>
  <c r="N43" i="5"/>
  <c r="M117" i="5"/>
  <c r="K40" i="5"/>
  <c r="M46" i="5"/>
  <c r="N254" i="5"/>
  <c r="M237" i="5"/>
  <c r="K295" i="5"/>
  <c r="K271" i="5"/>
  <c r="N189" i="5"/>
  <c r="L234" i="5"/>
  <c r="N218" i="5"/>
  <c r="N179" i="5"/>
  <c r="L73" i="5"/>
  <c r="N111" i="5"/>
  <c r="N266" i="5"/>
  <c r="M277" i="5"/>
  <c r="K220" i="5"/>
  <c r="N223" i="5"/>
  <c r="K206" i="5"/>
  <c r="M169" i="5"/>
  <c r="L226" i="5"/>
  <c r="K175" i="5"/>
  <c r="L172" i="5"/>
  <c r="K124" i="5"/>
  <c r="K108" i="5"/>
  <c r="N142" i="5"/>
  <c r="N110" i="5"/>
  <c r="L69" i="5"/>
  <c r="N51" i="5"/>
  <c r="N32" i="5"/>
  <c r="L22" i="5"/>
  <c r="M38" i="5"/>
  <c r="K181" i="5"/>
  <c r="N104" i="5"/>
  <c r="K26" i="5"/>
  <c r="N292" i="5"/>
  <c r="N212" i="5"/>
  <c r="M255" i="5"/>
  <c r="M149" i="5"/>
  <c r="L138" i="5"/>
  <c r="L182" i="5"/>
  <c r="L75" i="5"/>
  <c r="L43" i="5"/>
  <c r="K117" i="5"/>
  <c r="M40" i="5"/>
  <c r="K46" i="5"/>
  <c r="L254" i="5"/>
  <c r="N237" i="5"/>
  <c r="M271" i="5"/>
  <c r="K189" i="5"/>
  <c r="K234" i="5"/>
  <c r="L218" i="5"/>
  <c r="M179" i="5"/>
  <c r="N73" i="5"/>
  <c r="M111" i="5"/>
  <c r="L266" i="5"/>
  <c r="K277" i="5"/>
  <c r="N220" i="5"/>
  <c r="M223" i="5"/>
  <c r="L206" i="5"/>
  <c r="N169" i="5"/>
  <c r="K226" i="5"/>
  <c r="M175" i="5"/>
  <c r="M172" i="5"/>
  <c r="N124" i="5"/>
  <c r="N108" i="5"/>
  <c r="L110" i="5"/>
  <c r="N69" i="5"/>
  <c r="L51" i="5"/>
  <c r="M32" i="5"/>
  <c r="K22" i="5"/>
  <c r="K38" i="5"/>
  <c r="M267" i="5"/>
  <c r="L269" i="2"/>
  <c r="L262" i="2"/>
  <c r="K74" i="5"/>
  <c r="M74" i="5"/>
  <c r="L74" i="5"/>
  <c r="N74" i="5"/>
  <c r="K58" i="5"/>
  <c r="M58" i="5"/>
  <c r="L58" i="5"/>
  <c r="N58" i="5"/>
  <c r="K50" i="5"/>
  <c r="M50" i="5"/>
  <c r="L50" i="5"/>
  <c r="N50" i="5"/>
  <c r="L9" i="5"/>
  <c r="M9" i="5"/>
  <c r="K9" i="5"/>
  <c r="N9" i="5"/>
  <c r="K86" i="5"/>
  <c r="M86" i="5"/>
  <c r="L86" i="5"/>
  <c r="N86" i="5"/>
  <c r="K300" i="5"/>
  <c r="N300" i="5"/>
  <c r="M300" i="5"/>
  <c r="L300" i="5"/>
  <c r="K82" i="5"/>
  <c r="M82" i="5"/>
  <c r="L82" i="5"/>
  <c r="N82" i="5"/>
  <c r="L31" i="5"/>
  <c r="M31" i="5"/>
  <c r="N31" i="5"/>
  <c r="K31" i="5"/>
  <c r="L27" i="5"/>
  <c r="M27" i="5"/>
  <c r="N27" i="5"/>
  <c r="K27" i="5"/>
  <c r="N284" i="5"/>
  <c r="L284" i="5"/>
  <c r="M284" i="5"/>
  <c r="K284" i="5"/>
  <c r="N283" i="2"/>
  <c r="K13" i="5"/>
  <c r="N13" i="5"/>
  <c r="M13" i="5"/>
  <c r="L13" i="5"/>
  <c r="L10" i="5"/>
  <c r="N10" i="5"/>
  <c r="M10" i="5"/>
  <c r="K10" i="5"/>
  <c r="L8" i="5"/>
  <c r="K8" i="5"/>
  <c r="N8" i="5"/>
  <c r="M8" i="5"/>
  <c r="N268" i="5"/>
  <c r="L268" i="5"/>
  <c r="M268" i="5"/>
  <c r="K268" i="5"/>
  <c r="L84" i="2"/>
  <c r="M35" i="2"/>
  <c r="M18" i="2"/>
  <c r="K53" i="2"/>
  <c r="C52" i="3" s="1"/>
  <c r="M125" i="2"/>
  <c r="N189" i="2"/>
  <c r="K49" i="2"/>
  <c r="C48" i="3" s="1"/>
  <c r="K33" i="2"/>
  <c r="C32" i="3" s="1"/>
  <c r="M289" i="2"/>
  <c r="L253" i="2"/>
  <c r="M227" i="2"/>
  <c r="M20" i="2"/>
  <c r="L227" i="2"/>
  <c r="K55" i="2"/>
  <c r="C54" i="3" s="1"/>
  <c r="M84" i="2"/>
  <c r="K58" i="2"/>
  <c r="C57" i="3" s="1"/>
  <c r="K18" i="2"/>
  <c r="C17" i="3" s="1"/>
  <c r="M53" i="2"/>
  <c r="L125" i="2"/>
  <c r="K189" i="2"/>
  <c r="C188" i="3" s="1"/>
  <c r="L49" i="2"/>
  <c r="M38" i="2"/>
  <c r="K227" i="2"/>
  <c r="C226" i="3" s="1"/>
  <c r="D226" i="3" s="1"/>
  <c r="M11" i="2"/>
  <c r="N11" i="2"/>
  <c r="L112" i="2"/>
  <c r="N195" i="2"/>
  <c r="N289" i="2"/>
  <c r="K206" i="2"/>
  <c r="C205" i="3" s="1"/>
  <c r="M206" i="2"/>
  <c r="L185" i="2"/>
  <c r="N153" i="2"/>
  <c r="K29" i="2"/>
  <c r="C28" i="3" s="1"/>
  <c r="K137" i="2"/>
  <c r="C136" i="3" s="1"/>
  <c r="K15" i="2"/>
  <c r="C14" i="3" s="1"/>
  <c r="M73" i="2"/>
  <c r="L166" i="2"/>
  <c r="K50" i="2"/>
  <c r="C49" i="3" s="1"/>
  <c r="K81" i="2"/>
  <c r="C80" i="3" s="1"/>
  <c r="L206" i="2"/>
  <c r="L236" i="2"/>
  <c r="K262" i="2"/>
  <c r="C261" i="3" s="1"/>
  <c r="D261" i="3" s="1"/>
  <c r="M283" i="2"/>
  <c r="K14" i="2"/>
  <c r="C13" i="3" s="1"/>
  <c r="N14" i="2"/>
  <c r="M14" i="2"/>
  <c r="K3" i="2"/>
  <c r="C2" i="3" s="1"/>
  <c r="M3" i="2"/>
  <c r="L153" i="2"/>
  <c r="L29" i="2"/>
  <c r="M137" i="2"/>
  <c r="M15" i="2"/>
  <c r="M166" i="2"/>
  <c r="N50" i="2"/>
  <c r="L81" i="2"/>
  <c r="M236" i="2"/>
  <c r="K283" i="2"/>
  <c r="C282" i="3" s="1"/>
  <c r="D282" i="3" s="1"/>
  <c r="L103" i="2"/>
  <c r="N236" i="2"/>
  <c r="M112" i="2"/>
  <c r="M195" i="2"/>
  <c r="L58" i="2"/>
  <c r="L23" i="2"/>
  <c r="M87" i="2"/>
  <c r="M33" i="2"/>
  <c r="N38" i="2"/>
  <c r="M253" i="2"/>
  <c r="M246" i="2"/>
  <c r="M58" i="2"/>
  <c r="N23" i="2"/>
  <c r="N87" i="2"/>
  <c r="N33" i="2"/>
  <c r="K38" i="2"/>
  <c r="C37" i="3" s="1"/>
  <c r="M22" i="2"/>
  <c r="N253" i="2"/>
  <c r="L19" i="2"/>
  <c r="K19" i="2"/>
  <c r="C18" i="3" s="1"/>
  <c r="M19" i="2"/>
  <c r="N19" i="2"/>
  <c r="M36" i="2"/>
  <c r="K36" i="2"/>
  <c r="C35" i="3" s="1"/>
  <c r="L36" i="2"/>
  <c r="N36" i="2"/>
  <c r="L22" i="2"/>
  <c r="L28" i="2"/>
  <c r="N28" i="2"/>
  <c r="M103" i="2"/>
  <c r="N13" i="2"/>
  <c r="N73" i="2"/>
  <c r="N103" i="2"/>
  <c r="L13" i="2"/>
  <c r="K73" i="2"/>
  <c r="C72" i="3" s="1"/>
  <c r="N205" i="2"/>
  <c r="M205" i="2"/>
  <c r="K205" i="2"/>
  <c r="C204" i="3" s="1"/>
  <c r="D204" i="3" s="1"/>
  <c r="L205" i="2"/>
  <c r="N259" i="2"/>
  <c r="M259" i="2"/>
  <c r="K259" i="2"/>
  <c r="C258" i="3" s="1"/>
  <c r="D258" i="3" s="1"/>
  <c r="L259" i="2"/>
  <c r="N301" i="2"/>
  <c r="K301" i="2"/>
  <c r="C300" i="3" s="1"/>
  <c r="D300" i="3" s="1"/>
  <c r="L301" i="2"/>
  <c r="M301" i="2"/>
  <c r="K231" i="2"/>
  <c r="C230" i="3" s="1"/>
  <c r="D230" i="3" s="1"/>
  <c r="N231" i="2"/>
  <c r="L231" i="2"/>
  <c r="M231" i="2"/>
  <c r="M281" i="2"/>
  <c r="L281" i="2"/>
  <c r="N281" i="2"/>
  <c r="K281" i="2"/>
  <c r="C280" i="3" s="1"/>
  <c r="D280" i="3" s="1"/>
  <c r="M221" i="2"/>
  <c r="K221" i="2"/>
  <c r="C220" i="3" s="1"/>
  <c r="D220" i="3" s="1"/>
  <c r="L221" i="2"/>
  <c r="N221" i="2"/>
  <c r="N282" i="2"/>
  <c r="L282" i="2"/>
  <c r="M282" i="2"/>
  <c r="K282" i="2"/>
  <c r="C281" i="3" s="1"/>
  <c r="D281" i="3" s="1"/>
  <c r="L252" i="2"/>
  <c r="N252" i="2"/>
  <c r="K252" i="2"/>
  <c r="C251" i="3" s="1"/>
  <c r="D251" i="3" s="1"/>
  <c r="M252" i="2"/>
  <c r="K35" i="2"/>
  <c r="C34" i="3" s="1"/>
  <c r="L34" i="2"/>
  <c r="K287" i="2"/>
  <c r="C286" i="3" s="1"/>
  <c r="D286" i="3" s="1"/>
  <c r="L287" i="2"/>
  <c r="N287" i="2"/>
  <c r="M287" i="2"/>
  <c r="K211" i="2"/>
  <c r="C210" i="3" s="1"/>
  <c r="D210" i="3" s="1"/>
  <c r="L211" i="2"/>
  <c r="M211" i="2"/>
  <c r="N211" i="2"/>
  <c r="M208" i="2"/>
  <c r="N208" i="2"/>
  <c r="K208" i="2"/>
  <c r="C207" i="3" s="1"/>
  <c r="D207" i="3" s="1"/>
  <c r="L208" i="2"/>
  <c r="M217" i="2"/>
  <c r="K217" i="2"/>
  <c r="C216" i="3" s="1"/>
  <c r="D216" i="3" s="1"/>
  <c r="N217" i="2"/>
  <c r="L217" i="2"/>
  <c r="K275" i="2"/>
  <c r="C274" i="3" s="1"/>
  <c r="D274" i="3" s="1"/>
  <c r="L275" i="2"/>
  <c r="M275" i="2"/>
  <c r="N275" i="2"/>
  <c r="L237" i="2"/>
  <c r="M237" i="2"/>
  <c r="K237" i="2"/>
  <c r="C236" i="3" s="1"/>
  <c r="D236" i="3" s="1"/>
  <c r="N237" i="2"/>
  <c r="N294" i="2"/>
  <c r="M294" i="2"/>
  <c r="K294" i="2"/>
  <c r="C293" i="3" s="1"/>
  <c r="D293" i="3" s="1"/>
  <c r="L294" i="2"/>
  <c r="K302" i="2"/>
  <c r="C301" i="3" s="1"/>
  <c r="D301" i="3" s="1"/>
  <c r="N302" i="2"/>
  <c r="M302" i="2"/>
  <c r="L302" i="2"/>
  <c r="N230" i="2"/>
  <c r="M230" i="2"/>
  <c r="K230" i="2"/>
  <c r="C229" i="3" s="1"/>
  <c r="D229" i="3" s="1"/>
  <c r="L230" i="2"/>
  <c r="L264" i="2"/>
  <c r="N264" i="2"/>
  <c r="M264" i="2"/>
  <c r="K264" i="2"/>
  <c r="C263" i="3" s="1"/>
  <c r="D263" i="3" s="1"/>
  <c r="N251" i="2"/>
  <c r="L251" i="2"/>
  <c r="M251" i="2"/>
  <c r="K251" i="2"/>
  <c r="C250" i="3" s="1"/>
  <c r="D250" i="3" s="1"/>
  <c r="L228" i="2"/>
  <c r="M228" i="2"/>
  <c r="N228" i="2"/>
  <c r="K228" i="2"/>
  <c r="C227" i="3" s="1"/>
  <c r="D227" i="3" s="1"/>
  <c r="L260" i="2"/>
  <c r="M260" i="2"/>
  <c r="K260" i="2"/>
  <c r="C259" i="3" s="1"/>
  <c r="D259" i="3" s="1"/>
  <c r="N260" i="2"/>
  <c r="K291" i="2"/>
  <c r="C290" i="3" s="1"/>
  <c r="D290" i="3" s="1"/>
  <c r="L291" i="2"/>
  <c r="M291" i="2"/>
  <c r="N291" i="2"/>
  <c r="N274" i="2"/>
  <c r="L274" i="2"/>
  <c r="K274" i="2"/>
  <c r="C273" i="3" s="1"/>
  <c r="D273" i="3" s="1"/>
  <c r="M274" i="2"/>
  <c r="L220" i="2"/>
  <c r="N220" i="2"/>
  <c r="K220" i="2"/>
  <c r="C219" i="3" s="1"/>
  <c r="D219" i="3" s="1"/>
  <c r="M220" i="2"/>
  <c r="M225" i="2"/>
  <c r="L225" i="2"/>
  <c r="N225" i="2"/>
  <c r="K225" i="2"/>
  <c r="C224" i="3" s="1"/>
  <c r="L280" i="2"/>
  <c r="N280" i="2"/>
  <c r="M280" i="2"/>
  <c r="K280" i="2"/>
  <c r="C279" i="3" s="1"/>
  <c r="D279" i="3" s="1"/>
  <c r="L242" i="2"/>
  <c r="N242" i="2"/>
  <c r="K242" i="2"/>
  <c r="C241" i="3" s="1"/>
  <c r="D241" i="3" s="1"/>
  <c r="M242" i="2"/>
  <c r="N243" i="2"/>
  <c r="K243" i="2"/>
  <c r="C242" i="3" s="1"/>
  <c r="L243" i="2"/>
  <c r="M243" i="2"/>
  <c r="N278" i="2"/>
  <c r="M278" i="2"/>
  <c r="K278" i="2"/>
  <c r="C277" i="3" s="1"/>
  <c r="D277" i="3" s="1"/>
  <c r="L278" i="2"/>
  <c r="N4" i="2"/>
  <c r="L4" i="2"/>
  <c r="K4" i="2"/>
  <c r="C3" i="3" s="1"/>
  <c r="M4" i="2"/>
  <c r="L216" i="2"/>
  <c r="N216" i="2"/>
  <c r="K216" i="2"/>
  <c r="C215" i="3" s="1"/>
  <c r="D215" i="3" s="1"/>
  <c r="M216" i="2"/>
  <c r="L288" i="2"/>
  <c r="M288" i="2"/>
  <c r="K288" i="2"/>
  <c r="C287" i="3" s="1"/>
  <c r="D287" i="3" s="1"/>
  <c r="N288" i="2"/>
  <c r="M303" i="2"/>
  <c r="L303" i="2"/>
  <c r="K303" i="2"/>
  <c r="C302" i="3" s="1"/>
  <c r="D302" i="3" s="1"/>
  <c r="N303" i="2"/>
  <c r="M241" i="2"/>
  <c r="K241" i="2"/>
  <c r="C240" i="3" s="1"/>
  <c r="D240" i="3" s="1"/>
  <c r="N241" i="2"/>
  <c r="L241" i="2"/>
  <c r="K271" i="2"/>
  <c r="C270" i="3" s="1"/>
  <c r="D270" i="3" s="1"/>
  <c r="L271" i="2"/>
  <c r="N271" i="2"/>
  <c r="M271" i="2"/>
  <c r="K207" i="2"/>
  <c r="C206" i="3" s="1"/>
  <c r="D206" i="3" s="1"/>
  <c r="L207" i="2"/>
  <c r="M207" i="2"/>
  <c r="N207" i="2"/>
  <c r="L268" i="2"/>
  <c r="M268" i="2"/>
  <c r="N268" i="2"/>
  <c r="K268" i="2"/>
  <c r="C267" i="3" s="1"/>
  <c r="D267" i="3" s="1"/>
  <c r="N266" i="2"/>
  <c r="L266" i="2"/>
  <c r="M266" i="2"/>
  <c r="K266" i="2"/>
  <c r="C265" i="3" s="1"/>
  <c r="D265" i="3" s="1"/>
  <c r="K248" i="2"/>
  <c r="C247" i="3" s="1"/>
  <c r="D247" i="3" s="1"/>
  <c r="M248" i="2"/>
  <c r="N248" i="2"/>
  <c r="L248" i="2"/>
  <c r="N55" i="2"/>
  <c r="N131" i="2"/>
  <c r="L55" i="2"/>
  <c r="M131" i="2"/>
  <c r="N35" i="2"/>
  <c r="M34" i="2"/>
  <c r="L224" i="2"/>
  <c r="N224" i="2"/>
  <c r="K224" i="2"/>
  <c r="C223" i="3" s="1"/>
  <c r="D223" i="3" s="1"/>
  <c r="M224" i="2"/>
  <c r="N238" i="2"/>
  <c r="L238" i="2"/>
  <c r="M238" i="2"/>
  <c r="K238" i="2"/>
  <c r="C237" i="3" s="1"/>
  <c r="D237" i="3" s="1"/>
  <c r="M229" i="2"/>
  <c r="N229" i="2"/>
  <c r="K229" i="2"/>
  <c r="C228" i="3" s="1"/>
  <c r="D228" i="3" s="1"/>
  <c r="L229" i="2"/>
  <c r="M285" i="2"/>
  <c r="L285" i="2"/>
  <c r="N285" i="2"/>
  <c r="K285" i="2"/>
  <c r="C284" i="3" s="1"/>
  <c r="D284" i="3" s="1"/>
  <c r="M265" i="2"/>
  <c r="L265" i="2"/>
  <c r="N265" i="2"/>
  <c r="K265" i="2"/>
  <c r="C264" i="3" s="1"/>
  <c r="D264" i="3" s="1"/>
  <c r="L276" i="2"/>
  <c r="M276" i="2"/>
  <c r="K276" i="2"/>
  <c r="C275" i="3" s="1"/>
  <c r="D275" i="3" s="1"/>
  <c r="N276" i="2"/>
  <c r="N234" i="2"/>
  <c r="K234" i="2"/>
  <c r="C233" i="3" s="1"/>
  <c r="D233" i="3" s="1"/>
  <c r="M234" i="2"/>
  <c r="L234" i="2"/>
  <c r="L204" i="2"/>
  <c r="M204" i="2"/>
  <c r="N204" i="2"/>
  <c r="K204" i="2"/>
  <c r="C203" i="3" s="1"/>
  <c r="D203" i="3" s="1"/>
  <c r="M296" i="2"/>
  <c r="L296" i="2"/>
  <c r="N296" i="2"/>
  <c r="K296" i="2"/>
  <c r="C295" i="3" s="1"/>
  <c r="D295" i="3" s="1"/>
  <c r="M261" i="2"/>
  <c r="K261" i="2"/>
  <c r="C260" i="3" s="1"/>
  <c r="D260" i="3" s="1"/>
  <c r="L261" i="2"/>
  <c r="N261" i="2"/>
  <c r="M213" i="2"/>
  <c r="N213" i="2"/>
  <c r="K213" i="2"/>
  <c r="C212" i="3" s="1"/>
  <c r="D212" i="3" s="1"/>
  <c r="L213" i="2"/>
  <c r="K263" i="2"/>
  <c r="C262" i="3" s="1"/>
  <c r="D262" i="3" s="1"/>
  <c r="M263" i="2"/>
  <c r="L263" i="2"/>
  <c r="N263" i="2"/>
  <c r="N290" i="2"/>
  <c r="L290" i="2"/>
  <c r="K290" i="2"/>
  <c r="C289" i="3" s="1"/>
  <c r="D289" i="3" s="1"/>
  <c r="M290" i="2"/>
  <c r="K250" i="2"/>
  <c r="C249" i="3" s="1"/>
  <c r="N250" i="2"/>
  <c r="L250" i="2"/>
  <c r="M250" i="2"/>
  <c r="L244" i="2"/>
  <c r="N244" i="2"/>
  <c r="M244" i="2"/>
  <c r="K244" i="2"/>
  <c r="C243" i="3" s="1"/>
  <c r="D243" i="3" s="1"/>
  <c r="M233" i="2"/>
  <c r="K233" i="2"/>
  <c r="C232" i="3" s="1"/>
  <c r="N233" i="2"/>
  <c r="L233" i="2"/>
  <c r="K295" i="2"/>
  <c r="C294" i="3" s="1"/>
  <c r="D294" i="3" s="1"/>
  <c r="L295" i="2"/>
  <c r="M295" i="2"/>
  <c r="N295" i="2"/>
  <c r="L284" i="2"/>
  <c r="M284" i="2"/>
  <c r="N284" i="2"/>
  <c r="K284" i="2"/>
  <c r="C283" i="3" s="1"/>
  <c r="D283" i="3" s="1"/>
  <c r="M293" i="2"/>
  <c r="K293" i="2"/>
  <c r="C292" i="3" s="1"/>
  <c r="D292" i="3" s="1"/>
  <c r="L293" i="2"/>
  <c r="N293" i="2"/>
  <c r="N214" i="2"/>
  <c r="M214" i="2"/>
  <c r="K214" i="2"/>
  <c r="C213" i="3" s="1"/>
  <c r="D213" i="3" s="1"/>
  <c r="L214" i="2"/>
  <c r="K299" i="2"/>
  <c r="C298" i="3" s="1"/>
  <c r="D298" i="3" s="1"/>
  <c r="L299" i="2"/>
  <c r="N299" i="2"/>
  <c r="M299" i="2"/>
  <c r="N5" i="2"/>
  <c r="M5" i="2"/>
  <c r="K5" i="2"/>
  <c r="C4" i="3" s="1"/>
  <c r="L5" i="2"/>
  <c r="N222" i="2"/>
  <c r="M222" i="2"/>
  <c r="K222" i="2"/>
  <c r="C221" i="3" s="1"/>
  <c r="D221" i="3" s="1"/>
  <c r="L222" i="2"/>
  <c r="L258" i="2"/>
  <c r="M258" i="2"/>
  <c r="N258" i="2"/>
  <c r="K258" i="2"/>
  <c r="C257" i="3" s="1"/>
  <c r="D257" i="3" s="1"/>
  <c r="K209" i="2"/>
  <c r="C208" i="3" s="1"/>
  <c r="D208" i="3" s="1"/>
  <c r="M209" i="2"/>
  <c r="N209" i="2"/>
  <c r="L209" i="2"/>
  <c r="M255" i="2"/>
  <c r="K255" i="2"/>
  <c r="C254" i="3" s="1"/>
  <c r="D254" i="3" s="1"/>
  <c r="L255" i="2"/>
  <c r="N255" i="2"/>
  <c r="L292" i="2"/>
  <c r="M292" i="2"/>
  <c r="K292" i="2"/>
  <c r="C291" i="3" s="1"/>
  <c r="D291" i="3" s="1"/>
  <c r="N292" i="2"/>
  <c r="N218" i="2"/>
  <c r="K218" i="2"/>
  <c r="C217" i="3" s="1"/>
  <c r="D217" i="3" s="1"/>
  <c r="M218" i="2"/>
  <c r="L218" i="2"/>
  <c r="K215" i="2"/>
  <c r="C214" i="3" s="1"/>
  <c r="D214" i="3" s="1"/>
  <c r="L215" i="2"/>
  <c r="M215" i="2"/>
  <c r="N215" i="2"/>
  <c r="M247" i="2"/>
  <c r="K247" i="2"/>
  <c r="C246" i="3" s="1"/>
  <c r="D246" i="3" s="1"/>
  <c r="L247" i="2"/>
  <c r="N247" i="2"/>
  <c r="K245" i="2"/>
  <c r="C244" i="3" s="1"/>
  <c r="D244" i="3" s="1"/>
  <c r="L245" i="2"/>
  <c r="M245" i="2"/>
  <c r="N245" i="2"/>
  <c r="M273" i="2"/>
  <c r="L273" i="2"/>
  <c r="N273" i="2"/>
  <c r="K273" i="2"/>
  <c r="C272" i="3" s="1"/>
  <c r="K256" i="2"/>
  <c r="C255" i="3" s="1"/>
  <c r="M256" i="2"/>
  <c r="N256" i="2"/>
  <c r="L256" i="2"/>
  <c r="M249" i="2"/>
  <c r="N249" i="2"/>
  <c r="K249" i="2"/>
  <c r="C248" i="3" s="1"/>
  <c r="D248" i="3" s="1"/>
  <c r="L249" i="2"/>
  <c r="L300" i="2"/>
  <c r="M300" i="2"/>
  <c r="N300" i="2"/>
  <c r="K300" i="2"/>
  <c r="C299" i="3" s="1"/>
  <c r="D299" i="3" s="1"/>
  <c r="K219" i="2"/>
  <c r="C218" i="3" s="1"/>
  <c r="D218" i="3" s="1"/>
  <c r="L219" i="2"/>
  <c r="M219" i="2"/>
  <c r="N219" i="2"/>
  <c r="K279" i="2"/>
  <c r="C278" i="3" s="1"/>
  <c r="D278" i="3" s="1"/>
  <c r="M279" i="2"/>
  <c r="N279" i="2"/>
  <c r="L279" i="2"/>
  <c r="K298" i="2"/>
  <c r="C297" i="3" s="1"/>
  <c r="D297" i="3" s="1"/>
  <c r="L298" i="2"/>
  <c r="N298" i="2"/>
  <c r="M298" i="2"/>
  <c r="L212" i="2"/>
  <c r="M212" i="2"/>
  <c r="N212" i="2"/>
  <c r="K212" i="2"/>
  <c r="C211" i="3" s="1"/>
  <c r="D211" i="3" s="1"/>
  <c r="K223" i="2"/>
  <c r="C222" i="3" s="1"/>
  <c r="D222" i="3" s="1"/>
  <c r="L223" i="2"/>
  <c r="M223" i="2"/>
  <c r="N223" i="2"/>
  <c r="M277" i="2"/>
  <c r="K277" i="2"/>
  <c r="C276" i="3" s="1"/>
  <c r="N277" i="2"/>
  <c r="L277" i="2"/>
  <c r="N240" i="2"/>
  <c r="L240" i="2"/>
  <c r="M240" i="2"/>
  <c r="K240" i="2"/>
  <c r="C239" i="3" s="1"/>
  <c r="D239" i="3" s="1"/>
  <c r="K235" i="2"/>
  <c r="C234" i="3" s="1"/>
  <c r="D234" i="3" s="1"/>
  <c r="M235" i="2"/>
  <c r="N235" i="2"/>
  <c r="L235" i="2"/>
  <c r="N286" i="2"/>
  <c r="L286" i="2"/>
  <c r="K286" i="2"/>
  <c r="C285" i="3" s="1"/>
  <c r="D285" i="3" s="1"/>
  <c r="M286" i="2"/>
  <c r="N226" i="2"/>
  <c r="L226" i="2"/>
  <c r="M226" i="2"/>
  <c r="K226" i="2"/>
  <c r="C225" i="3" s="1"/>
  <c r="D225" i="3" s="1"/>
  <c r="K267" i="2"/>
  <c r="C266" i="3" s="1"/>
  <c r="D266" i="3" s="1"/>
  <c r="M267" i="2"/>
  <c r="L267" i="2"/>
  <c r="N267" i="2"/>
  <c r="M254" i="2"/>
  <c r="N254" i="2"/>
  <c r="L254" i="2"/>
  <c r="K254" i="2"/>
  <c r="C253" i="3" s="1"/>
  <c r="D253" i="3" s="1"/>
  <c r="L232" i="2"/>
  <c r="N232" i="2"/>
  <c r="K232" i="2"/>
  <c r="C231" i="3" s="1"/>
  <c r="D231" i="3" s="1"/>
  <c r="M232" i="2"/>
  <c r="L272" i="2"/>
  <c r="M272" i="2"/>
  <c r="K272" i="2"/>
  <c r="C271" i="3" s="1"/>
  <c r="D271" i="3" s="1"/>
  <c r="N272" i="2"/>
  <c r="M297" i="2"/>
  <c r="N297" i="2"/>
  <c r="L297" i="2"/>
  <c r="K297" i="2"/>
  <c r="C296" i="3" s="1"/>
  <c r="D296" i="3" s="1"/>
  <c r="N270" i="2"/>
  <c r="L270" i="2"/>
  <c r="K270" i="2"/>
  <c r="C269" i="3" s="1"/>
  <c r="D269" i="3" s="1"/>
  <c r="M270" i="2"/>
  <c r="M239" i="2"/>
  <c r="N239" i="2"/>
  <c r="L239" i="2"/>
  <c r="K239" i="2"/>
  <c r="C238" i="3" s="1"/>
  <c r="D238" i="3" s="1"/>
  <c r="K203" i="1"/>
  <c r="B202" i="3" s="1"/>
  <c r="D202" i="3" s="1"/>
  <c r="L203" i="1"/>
  <c r="M203" i="1"/>
  <c r="N195" i="1"/>
  <c r="M195" i="1"/>
  <c r="K195" i="1"/>
  <c r="B194" i="3" s="1"/>
  <c r="D194" i="3" s="1"/>
  <c r="L195" i="1"/>
  <c r="N191" i="1"/>
  <c r="M191" i="1"/>
  <c r="K191" i="1"/>
  <c r="B190" i="3" s="1"/>
  <c r="D190" i="3" s="1"/>
  <c r="L191" i="1"/>
  <c r="N175" i="1"/>
  <c r="M175" i="1"/>
  <c r="K175" i="1"/>
  <c r="B174" i="3" s="1"/>
  <c r="L175" i="1"/>
  <c r="N151" i="1"/>
  <c r="L151" i="1"/>
  <c r="K151" i="1"/>
  <c r="B150" i="3" s="1"/>
  <c r="M151" i="1"/>
  <c r="K100" i="1"/>
  <c r="B99" i="3" s="1"/>
  <c r="N100" i="1"/>
  <c r="M100" i="1"/>
  <c r="L100" i="1"/>
  <c r="K102" i="1"/>
  <c r="B101" i="3" s="1"/>
  <c r="L102" i="1"/>
  <c r="N102" i="1"/>
  <c r="M102" i="1"/>
  <c r="N67" i="1"/>
  <c r="K67" i="1"/>
  <c r="B66" i="3" s="1"/>
  <c r="D66" i="3" s="1"/>
  <c r="L67" i="1"/>
  <c r="M67" i="1"/>
  <c r="L14" i="1"/>
  <c r="M14" i="1"/>
  <c r="K14" i="1"/>
  <c r="B13" i="3" s="1"/>
  <c r="N14" i="1"/>
  <c r="N194" i="1"/>
  <c r="M194" i="1"/>
  <c r="K194" i="1"/>
  <c r="B193" i="3" s="1"/>
  <c r="L194" i="1"/>
  <c r="N178" i="1"/>
  <c r="M178" i="1"/>
  <c r="K178" i="1"/>
  <c r="B177" i="3" s="1"/>
  <c r="L178" i="1"/>
  <c r="N162" i="1"/>
  <c r="M162" i="1"/>
  <c r="L162" i="1"/>
  <c r="K162" i="1"/>
  <c r="B161" i="3" s="1"/>
  <c r="N143" i="1"/>
  <c r="L143" i="1"/>
  <c r="K143" i="1"/>
  <c r="B142" i="3" s="1"/>
  <c r="M143" i="1"/>
  <c r="N134" i="1"/>
  <c r="L134" i="1"/>
  <c r="K134" i="1"/>
  <c r="B133" i="3" s="1"/>
  <c r="D133" i="3" s="1"/>
  <c r="M134" i="1"/>
  <c r="K114" i="1"/>
  <c r="B113" i="3" s="1"/>
  <c r="L114" i="1"/>
  <c r="N114" i="1"/>
  <c r="M114" i="1"/>
  <c r="K99" i="1"/>
  <c r="B98" i="3" s="1"/>
  <c r="M99" i="1"/>
  <c r="L99" i="1"/>
  <c r="N99" i="1"/>
  <c r="N40" i="1"/>
  <c r="M40" i="1"/>
  <c r="L40" i="1"/>
  <c r="K40" i="1"/>
  <c r="B39" i="3" s="1"/>
  <c r="D39" i="3" s="1"/>
  <c r="N189" i="1"/>
  <c r="M189" i="1"/>
  <c r="K189" i="1"/>
  <c r="B188" i="3" s="1"/>
  <c r="L189" i="1"/>
  <c r="N173" i="1"/>
  <c r="M173" i="1"/>
  <c r="L173" i="1"/>
  <c r="K173" i="1"/>
  <c r="B172" i="3" s="1"/>
  <c r="N157" i="1"/>
  <c r="M157" i="1"/>
  <c r="L157" i="1"/>
  <c r="K157" i="1"/>
  <c r="B156" i="3" s="1"/>
  <c r="D156" i="3" s="1"/>
  <c r="N124" i="1"/>
  <c r="K124" i="1"/>
  <c r="B123" i="3" s="1"/>
  <c r="D123" i="3" s="1"/>
  <c r="M124" i="1"/>
  <c r="L124" i="1"/>
  <c r="K113" i="1"/>
  <c r="B112" i="3" s="1"/>
  <c r="N113" i="1"/>
  <c r="M113" i="1"/>
  <c r="L113" i="1"/>
  <c r="N125" i="1"/>
  <c r="L125" i="1"/>
  <c r="K125" i="1"/>
  <c r="B124" i="3" s="1"/>
  <c r="D124" i="3" s="1"/>
  <c r="M125" i="1"/>
  <c r="K111" i="1"/>
  <c r="B110" i="3" s="1"/>
  <c r="D110" i="3" s="1"/>
  <c r="M111" i="1"/>
  <c r="L111" i="1"/>
  <c r="N111" i="1"/>
  <c r="N80" i="1"/>
  <c r="L80" i="1"/>
  <c r="K80" i="1"/>
  <c r="B79" i="3" s="1"/>
  <c r="M80" i="1"/>
  <c r="N90" i="1"/>
  <c r="M90" i="1"/>
  <c r="L90" i="1"/>
  <c r="K90" i="1"/>
  <c r="B89" i="3" s="1"/>
  <c r="N27" i="1"/>
  <c r="M27" i="1"/>
  <c r="L27" i="1"/>
  <c r="K27" i="1"/>
  <c r="B26" i="3" s="1"/>
  <c r="D26" i="3" s="1"/>
  <c r="L19" i="1"/>
  <c r="N19" i="1"/>
  <c r="M19" i="1"/>
  <c r="K19" i="1"/>
  <c r="B18" i="3" s="1"/>
  <c r="N32" i="1"/>
  <c r="M32" i="1"/>
  <c r="L32" i="1"/>
  <c r="K32" i="1"/>
  <c r="B31" i="3" s="1"/>
  <c r="D31" i="3" s="1"/>
  <c r="N163" i="1"/>
  <c r="M163" i="1"/>
  <c r="L163" i="1"/>
  <c r="K163" i="1"/>
  <c r="B162" i="3" s="1"/>
  <c r="D162" i="3" s="1"/>
  <c r="N59" i="1"/>
  <c r="K59" i="1"/>
  <c r="B58" i="3" s="1"/>
  <c r="D58" i="3" s="1"/>
  <c r="M59" i="1"/>
  <c r="L59" i="1"/>
  <c r="K101" i="1"/>
  <c r="B100" i="3" s="1"/>
  <c r="D100" i="3" s="1"/>
  <c r="N101" i="1"/>
  <c r="M101" i="1"/>
  <c r="L101" i="1"/>
  <c r="N39" i="1"/>
  <c r="K39" i="1"/>
  <c r="B38" i="3" s="1"/>
  <c r="D38" i="3" s="1"/>
  <c r="M39" i="1"/>
  <c r="L39" i="1"/>
  <c r="N200" i="1"/>
  <c r="M200" i="1"/>
  <c r="K200" i="1"/>
  <c r="B199" i="3" s="1"/>
  <c r="L200" i="1"/>
  <c r="N184" i="1"/>
  <c r="M184" i="1"/>
  <c r="K184" i="1"/>
  <c r="B183" i="3" s="1"/>
  <c r="D183" i="3" s="1"/>
  <c r="L184" i="1"/>
  <c r="N168" i="1"/>
  <c r="M168" i="1"/>
  <c r="L168" i="1"/>
  <c r="K168" i="1"/>
  <c r="B167" i="3" s="1"/>
  <c r="D167" i="3" s="1"/>
  <c r="N152" i="1"/>
  <c r="L152" i="1"/>
  <c r="K152" i="1"/>
  <c r="B151" i="3" s="1"/>
  <c r="D151" i="3" s="1"/>
  <c r="M152" i="1"/>
  <c r="K104" i="1"/>
  <c r="B103" i="3" s="1"/>
  <c r="N104" i="1"/>
  <c r="M104" i="1"/>
  <c r="L104" i="1"/>
  <c r="N96" i="1"/>
  <c r="M96" i="1"/>
  <c r="L96" i="1"/>
  <c r="K96" i="1"/>
  <c r="B95" i="3" s="1"/>
  <c r="K106" i="1"/>
  <c r="B105" i="3" s="1"/>
  <c r="D105" i="3" s="1"/>
  <c r="L106" i="1"/>
  <c r="N106" i="1"/>
  <c r="M106" i="1"/>
  <c r="N72" i="1"/>
  <c r="K72" i="1"/>
  <c r="B71" i="3" s="1"/>
  <c r="D71" i="3" s="1"/>
  <c r="M72" i="1"/>
  <c r="L72" i="1"/>
  <c r="N75" i="1"/>
  <c r="L75" i="1"/>
  <c r="K75" i="1"/>
  <c r="B74" i="3" s="1"/>
  <c r="M75" i="1"/>
  <c r="N57" i="1"/>
  <c r="K57" i="1"/>
  <c r="B56" i="3" s="1"/>
  <c r="L57" i="1"/>
  <c r="M57" i="1"/>
  <c r="N42" i="1"/>
  <c r="M42" i="1"/>
  <c r="L42" i="1"/>
  <c r="K42" i="1"/>
  <c r="B41" i="3" s="1"/>
  <c r="D41" i="3" s="1"/>
  <c r="N55" i="1"/>
  <c r="K55" i="1"/>
  <c r="B54" i="3" s="1"/>
  <c r="M55" i="1"/>
  <c r="L55" i="1"/>
  <c r="L18" i="1"/>
  <c r="M18" i="1"/>
  <c r="K18" i="1"/>
  <c r="B17" i="3" s="1"/>
  <c r="D17" i="3" s="1"/>
  <c r="N18" i="1"/>
  <c r="N95" i="1"/>
  <c r="M95" i="1"/>
  <c r="L95" i="1"/>
  <c r="K95" i="1"/>
  <c r="B94" i="3" s="1"/>
  <c r="D94" i="3" s="1"/>
  <c r="K103" i="1"/>
  <c r="B102" i="3" s="1"/>
  <c r="D102" i="3" s="1"/>
  <c r="M103" i="1"/>
  <c r="L103" i="1"/>
  <c r="N103" i="1"/>
  <c r="M17" i="1"/>
  <c r="K17" i="1"/>
  <c r="B16" i="3" s="1"/>
  <c r="D16" i="3" s="1"/>
  <c r="N17" i="1"/>
  <c r="L17" i="1"/>
  <c r="L24" i="1"/>
  <c r="N24" i="1"/>
  <c r="M24" i="1"/>
  <c r="K24" i="1"/>
  <c r="B23" i="3" s="1"/>
  <c r="N145" i="1"/>
  <c r="L145" i="1"/>
  <c r="K145" i="1"/>
  <c r="B144" i="3" s="1"/>
  <c r="D144" i="3" s="1"/>
  <c r="M145" i="1"/>
  <c r="N199" i="1"/>
  <c r="M199" i="1"/>
  <c r="K199" i="1"/>
  <c r="B198" i="3" s="1"/>
  <c r="L199" i="1"/>
  <c r="N187" i="1"/>
  <c r="M187" i="1"/>
  <c r="K187" i="1"/>
  <c r="B186" i="3" s="1"/>
  <c r="L187" i="1"/>
  <c r="N171" i="1"/>
  <c r="M171" i="1"/>
  <c r="L171" i="1"/>
  <c r="K171" i="1"/>
  <c r="B170" i="3" s="1"/>
  <c r="N147" i="1"/>
  <c r="L147" i="1"/>
  <c r="K147" i="1"/>
  <c r="B146" i="3" s="1"/>
  <c r="D146" i="3" s="1"/>
  <c r="M147" i="1"/>
  <c r="N138" i="1"/>
  <c r="L138" i="1"/>
  <c r="K138" i="1"/>
  <c r="B137" i="3" s="1"/>
  <c r="D137" i="3" s="1"/>
  <c r="M138" i="1"/>
  <c r="N68" i="1"/>
  <c r="K68" i="1"/>
  <c r="B67" i="3" s="1"/>
  <c r="M68" i="1"/>
  <c r="L68" i="1"/>
  <c r="L6" i="1"/>
  <c r="N6" i="1"/>
  <c r="M6" i="1"/>
  <c r="K6" i="1"/>
  <c r="B5" i="3" s="1"/>
  <c r="D5" i="3" s="1"/>
  <c r="L5" i="1"/>
  <c r="K5" i="1"/>
  <c r="B4" i="3" s="1"/>
  <c r="N5" i="1"/>
  <c r="M5" i="1"/>
  <c r="N190" i="1"/>
  <c r="M190" i="1"/>
  <c r="K190" i="1"/>
  <c r="B189" i="3" s="1"/>
  <c r="L190" i="1"/>
  <c r="N174" i="1"/>
  <c r="M174" i="1"/>
  <c r="L174" i="1"/>
  <c r="K174" i="1"/>
  <c r="B173" i="3" s="1"/>
  <c r="N158" i="1"/>
  <c r="M158" i="1"/>
  <c r="L158" i="1"/>
  <c r="K158" i="1"/>
  <c r="B157" i="3" s="1"/>
  <c r="N127" i="1"/>
  <c r="L127" i="1"/>
  <c r="K127" i="1"/>
  <c r="B126" i="3" s="1"/>
  <c r="D126" i="3" s="1"/>
  <c r="M127" i="1"/>
  <c r="K117" i="1"/>
  <c r="B116" i="3" s="1"/>
  <c r="D116" i="3" s="1"/>
  <c r="N117" i="1"/>
  <c r="M117" i="1"/>
  <c r="L117" i="1"/>
  <c r="K98" i="1"/>
  <c r="B97" i="3" s="1"/>
  <c r="D97" i="3" s="1"/>
  <c r="L98" i="1"/>
  <c r="N98" i="1"/>
  <c r="M98" i="1"/>
  <c r="N81" i="1"/>
  <c r="L81" i="1"/>
  <c r="K81" i="1"/>
  <c r="B80" i="3" s="1"/>
  <c r="M81" i="1"/>
  <c r="N201" i="1"/>
  <c r="M201" i="1"/>
  <c r="K201" i="1"/>
  <c r="B200" i="3" s="1"/>
  <c r="D200" i="3" s="1"/>
  <c r="L201" i="1"/>
  <c r="N185" i="1"/>
  <c r="M185" i="1"/>
  <c r="K185" i="1"/>
  <c r="B184" i="3" s="1"/>
  <c r="D184" i="3" s="1"/>
  <c r="L185" i="1"/>
  <c r="N169" i="1"/>
  <c r="M169" i="1"/>
  <c r="L169" i="1"/>
  <c r="K169" i="1"/>
  <c r="B168" i="3" s="1"/>
  <c r="D168" i="3" s="1"/>
  <c r="N153" i="1"/>
  <c r="L153" i="1"/>
  <c r="K153" i="1"/>
  <c r="B152" i="3" s="1"/>
  <c r="D152" i="3" s="1"/>
  <c r="M153" i="1"/>
  <c r="K108" i="1"/>
  <c r="B107" i="3" s="1"/>
  <c r="D107" i="3" s="1"/>
  <c r="N108" i="1"/>
  <c r="M108" i="1"/>
  <c r="L108" i="1"/>
  <c r="K97" i="1"/>
  <c r="B96" i="3" s="1"/>
  <c r="N97" i="1"/>
  <c r="M97" i="1"/>
  <c r="L97" i="1"/>
  <c r="K110" i="1"/>
  <c r="B109" i="3" s="1"/>
  <c r="L110" i="1"/>
  <c r="N110" i="1"/>
  <c r="M110" i="1"/>
  <c r="N89" i="1"/>
  <c r="L89" i="1"/>
  <c r="K89" i="1"/>
  <c r="B88" i="3" s="1"/>
  <c r="M89" i="1"/>
  <c r="N76" i="1"/>
  <c r="L76" i="1"/>
  <c r="K76" i="1"/>
  <c r="B75" i="3" s="1"/>
  <c r="D75" i="3" s="1"/>
  <c r="M76" i="1"/>
  <c r="N61" i="1"/>
  <c r="K61" i="1"/>
  <c r="B60" i="3" s="1"/>
  <c r="D60" i="3" s="1"/>
  <c r="L61" i="1"/>
  <c r="M61" i="1"/>
  <c r="N51" i="1"/>
  <c r="K51" i="1"/>
  <c r="B50" i="3" s="1"/>
  <c r="D50" i="3" s="1"/>
  <c r="M51" i="1"/>
  <c r="L51" i="1"/>
  <c r="N56" i="1"/>
  <c r="K56" i="1"/>
  <c r="B55" i="3" s="1"/>
  <c r="M56" i="1"/>
  <c r="L56" i="1"/>
  <c r="L20" i="1"/>
  <c r="M20" i="1"/>
  <c r="K20" i="1"/>
  <c r="B19" i="3" s="1"/>
  <c r="D19" i="3" s="1"/>
  <c r="N20" i="1"/>
  <c r="K119" i="1"/>
  <c r="B118" i="3" s="1"/>
  <c r="D118" i="3" s="1"/>
  <c r="M119" i="1"/>
  <c r="L119" i="1"/>
  <c r="N119" i="1"/>
  <c r="L26" i="1"/>
  <c r="N26" i="1"/>
  <c r="M26" i="1"/>
  <c r="K26" i="1"/>
  <c r="B25" i="3" s="1"/>
  <c r="D25" i="3" s="1"/>
  <c r="N64" i="1"/>
  <c r="K64" i="1"/>
  <c r="B63" i="3" s="1"/>
  <c r="D63" i="3" s="1"/>
  <c r="M64" i="1"/>
  <c r="L64" i="1"/>
  <c r="K31" i="1"/>
  <c r="B30" i="3" s="1"/>
  <c r="L31" i="1"/>
  <c r="N31" i="1"/>
  <c r="M31" i="1"/>
  <c r="N196" i="1"/>
  <c r="M196" i="1"/>
  <c r="K196" i="1"/>
  <c r="B195" i="3" s="1"/>
  <c r="D195" i="3" s="1"/>
  <c r="L196" i="1"/>
  <c r="N180" i="1"/>
  <c r="M180" i="1"/>
  <c r="K180" i="1"/>
  <c r="B179" i="3" s="1"/>
  <c r="D179" i="3" s="1"/>
  <c r="L180" i="1"/>
  <c r="N164" i="1"/>
  <c r="M164" i="1"/>
  <c r="L164" i="1"/>
  <c r="K164" i="1"/>
  <c r="B163" i="3" s="1"/>
  <c r="N148" i="1"/>
  <c r="L148" i="1"/>
  <c r="K148" i="1"/>
  <c r="B147" i="3" s="1"/>
  <c r="D147" i="3" s="1"/>
  <c r="M148" i="1"/>
  <c r="N142" i="1"/>
  <c r="L142" i="1"/>
  <c r="K142" i="1"/>
  <c r="B141" i="3" s="1"/>
  <c r="M142" i="1"/>
  <c r="N92" i="1"/>
  <c r="M92" i="1"/>
  <c r="L92" i="1"/>
  <c r="K92" i="1"/>
  <c r="B91" i="3" s="1"/>
  <c r="D91" i="3" s="1"/>
  <c r="N140" i="1"/>
  <c r="L140" i="1"/>
  <c r="K140" i="1"/>
  <c r="B139" i="3" s="1"/>
  <c r="M140" i="1"/>
  <c r="N87" i="1"/>
  <c r="L87" i="1"/>
  <c r="K87" i="1"/>
  <c r="B86" i="3" s="1"/>
  <c r="D86" i="3" s="1"/>
  <c r="M87" i="1"/>
  <c r="N62" i="1"/>
  <c r="K62" i="1"/>
  <c r="B61" i="3" s="1"/>
  <c r="M62" i="1"/>
  <c r="L62" i="1"/>
  <c r="N43" i="1"/>
  <c r="K43" i="1"/>
  <c r="B42" i="3" s="1"/>
  <c r="D42" i="3" s="1"/>
  <c r="L43" i="1"/>
  <c r="M43" i="1"/>
  <c r="N25" i="1"/>
  <c r="M25" i="1"/>
  <c r="L25" i="1"/>
  <c r="K25" i="1"/>
  <c r="B24" i="3" s="1"/>
  <c r="D24" i="3" s="1"/>
  <c r="L30" i="1"/>
  <c r="K30" i="1"/>
  <c r="B29" i="3" s="1"/>
  <c r="M30" i="1"/>
  <c r="N30" i="1"/>
  <c r="N7" i="1"/>
  <c r="M7" i="1"/>
  <c r="L7" i="1"/>
  <c r="K7" i="1"/>
  <c r="B6" i="3" s="1"/>
  <c r="D6" i="3" s="1"/>
  <c r="N133" i="1"/>
  <c r="L133" i="1"/>
  <c r="K133" i="1"/>
  <c r="B132" i="3" s="1"/>
  <c r="M133" i="1"/>
  <c r="N86" i="1"/>
  <c r="L86" i="1"/>
  <c r="K86" i="1"/>
  <c r="B85" i="3" s="1"/>
  <c r="M86" i="1"/>
  <c r="N69" i="1"/>
  <c r="K69" i="1"/>
  <c r="B68" i="3" s="1"/>
  <c r="D68" i="3" s="1"/>
  <c r="L69" i="1"/>
  <c r="M69" i="1"/>
  <c r="N48" i="1"/>
  <c r="K48" i="1"/>
  <c r="B47" i="3" s="1"/>
  <c r="D47" i="3" s="1"/>
  <c r="M48" i="1"/>
  <c r="L48" i="1"/>
  <c r="N85" i="1"/>
  <c r="L85" i="1"/>
  <c r="K85" i="1"/>
  <c r="B84" i="3" s="1"/>
  <c r="M85" i="1"/>
  <c r="L21" i="1"/>
  <c r="N21" i="1"/>
  <c r="M21" i="1"/>
  <c r="K21" i="1"/>
  <c r="B20" i="3" s="1"/>
  <c r="D20" i="3" s="1"/>
  <c r="N183" i="1"/>
  <c r="M183" i="1"/>
  <c r="K183" i="1"/>
  <c r="B182" i="3" s="1"/>
  <c r="L183" i="1"/>
  <c r="N167" i="1"/>
  <c r="M167" i="1"/>
  <c r="L167" i="1"/>
  <c r="K167" i="1"/>
  <c r="B166" i="3" s="1"/>
  <c r="N131" i="1"/>
  <c r="L131" i="1"/>
  <c r="K131" i="1"/>
  <c r="B130" i="3" s="1"/>
  <c r="D130" i="3" s="1"/>
  <c r="M131" i="1"/>
  <c r="K105" i="1"/>
  <c r="B104" i="3" s="1"/>
  <c r="D104" i="3" s="1"/>
  <c r="N105" i="1"/>
  <c r="M105" i="1"/>
  <c r="L105" i="1"/>
  <c r="N58" i="1"/>
  <c r="K58" i="1"/>
  <c r="B57" i="3" s="1"/>
  <c r="L58" i="1"/>
  <c r="M58" i="1"/>
  <c r="N77" i="1"/>
  <c r="L77" i="1"/>
  <c r="K77" i="1"/>
  <c r="B76" i="3" s="1"/>
  <c r="M77" i="1"/>
  <c r="N202" i="1"/>
  <c r="M202" i="1"/>
  <c r="K202" i="1"/>
  <c r="B201" i="3" s="1"/>
  <c r="D201" i="3" s="1"/>
  <c r="L202" i="1"/>
  <c r="N186" i="1"/>
  <c r="M186" i="1"/>
  <c r="K186" i="1"/>
  <c r="B185" i="3" s="1"/>
  <c r="D185" i="3" s="1"/>
  <c r="L186" i="1"/>
  <c r="N170" i="1"/>
  <c r="M170" i="1"/>
  <c r="L170" i="1"/>
  <c r="K170" i="1"/>
  <c r="B169" i="3" s="1"/>
  <c r="N154" i="1"/>
  <c r="L154" i="1"/>
  <c r="K154" i="1"/>
  <c r="B153" i="3" s="1"/>
  <c r="M154" i="1"/>
  <c r="K112" i="1"/>
  <c r="B111" i="3" s="1"/>
  <c r="D111" i="3" s="1"/>
  <c r="N112" i="1"/>
  <c r="M112" i="1"/>
  <c r="L112" i="1"/>
  <c r="N94" i="1"/>
  <c r="M94" i="1"/>
  <c r="L94" i="1"/>
  <c r="K94" i="1"/>
  <c r="B93" i="3" s="1"/>
  <c r="D93" i="3" s="1"/>
  <c r="N132" i="1"/>
  <c r="L132" i="1"/>
  <c r="K132" i="1"/>
  <c r="B131" i="3" s="1"/>
  <c r="M132" i="1"/>
  <c r="M13" i="1"/>
  <c r="K13" i="1"/>
  <c r="B12" i="3" s="1"/>
  <c r="D12" i="3" s="1"/>
  <c r="N13" i="1"/>
  <c r="L13" i="1"/>
  <c r="N197" i="1"/>
  <c r="M197" i="1"/>
  <c r="K197" i="1"/>
  <c r="B196" i="3" s="1"/>
  <c r="L197" i="1"/>
  <c r="N181" i="1"/>
  <c r="M181" i="1"/>
  <c r="K181" i="1"/>
  <c r="B180" i="3" s="1"/>
  <c r="D180" i="3" s="1"/>
  <c r="L181" i="1"/>
  <c r="N165" i="1"/>
  <c r="M165" i="1"/>
  <c r="L165" i="1"/>
  <c r="K165" i="1"/>
  <c r="B164" i="3" s="1"/>
  <c r="D164" i="3" s="1"/>
  <c r="N149" i="1"/>
  <c r="L149" i="1"/>
  <c r="K149" i="1"/>
  <c r="B148" i="3" s="1"/>
  <c r="M149" i="1"/>
  <c r="N146" i="1"/>
  <c r="L146" i="1"/>
  <c r="K146" i="1"/>
  <c r="B145" i="3" s="1"/>
  <c r="M146" i="1"/>
  <c r="N93" i="1"/>
  <c r="M93" i="1"/>
  <c r="L93" i="1"/>
  <c r="K93" i="1"/>
  <c r="B92" i="3" s="1"/>
  <c r="D92" i="3" s="1"/>
  <c r="N144" i="1"/>
  <c r="L144" i="1"/>
  <c r="K144" i="1"/>
  <c r="B143" i="3" s="1"/>
  <c r="D143" i="3" s="1"/>
  <c r="M144" i="1"/>
  <c r="N88" i="1"/>
  <c r="L88" i="1"/>
  <c r="K88" i="1"/>
  <c r="B87" i="3" s="1"/>
  <c r="D87" i="3" s="1"/>
  <c r="M88" i="1"/>
  <c r="N66" i="1"/>
  <c r="K66" i="1"/>
  <c r="B65" i="3" s="1"/>
  <c r="M66" i="1"/>
  <c r="L66" i="1"/>
  <c r="N45" i="1"/>
  <c r="K45" i="1"/>
  <c r="B44" i="3" s="1"/>
  <c r="L45" i="1"/>
  <c r="M45" i="1"/>
  <c r="L28" i="1"/>
  <c r="K28" i="1"/>
  <c r="B27" i="3" s="1"/>
  <c r="D27" i="3" s="1"/>
  <c r="N28" i="1"/>
  <c r="M28" i="1"/>
  <c r="N38" i="1"/>
  <c r="M38" i="1"/>
  <c r="L38" i="1"/>
  <c r="K38" i="1"/>
  <c r="B37" i="3" s="1"/>
  <c r="L8" i="1"/>
  <c r="K8" i="1"/>
  <c r="B7" i="3" s="1"/>
  <c r="D7" i="3" s="1"/>
  <c r="N8" i="1"/>
  <c r="M8" i="1"/>
  <c r="N74" i="1"/>
  <c r="K74" i="1"/>
  <c r="B73" i="3" s="1"/>
  <c r="D73" i="3" s="1"/>
  <c r="M74" i="1"/>
  <c r="L74" i="1"/>
  <c r="K11" i="1"/>
  <c r="B10" i="3" s="1"/>
  <c r="D10" i="3" s="1"/>
  <c r="N11" i="1"/>
  <c r="M11" i="1"/>
  <c r="L11" i="1"/>
  <c r="N70" i="1"/>
  <c r="K70" i="1"/>
  <c r="B69" i="3" s="1"/>
  <c r="D69" i="3" s="1"/>
  <c r="M70" i="1"/>
  <c r="L70" i="1"/>
  <c r="N63" i="1"/>
  <c r="K63" i="1"/>
  <c r="B62" i="3" s="1"/>
  <c r="M63" i="1"/>
  <c r="L63" i="1"/>
  <c r="N192" i="1"/>
  <c r="M192" i="1"/>
  <c r="K192" i="1"/>
  <c r="B191" i="3" s="1"/>
  <c r="L192" i="1"/>
  <c r="N176" i="1"/>
  <c r="M176" i="1"/>
  <c r="K176" i="1"/>
  <c r="B175" i="3" s="1"/>
  <c r="D175" i="3" s="1"/>
  <c r="L176" i="1"/>
  <c r="N160" i="1"/>
  <c r="M160" i="1"/>
  <c r="L160" i="1"/>
  <c r="K160" i="1"/>
  <c r="B159" i="3" s="1"/>
  <c r="D159" i="3" s="1"/>
  <c r="N135" i="1"/>
  <c r="L135" i="1"/>
  <c r="K135" i="1"/>
  <c r="B134" i="3" s="1"/>
  <c r="D134" i="3" s="1"/>
  <c r="M135" i="1"/>
  <c r="N126" i="1"/>
  <c r="L126" i="1"/>
  <c r="K126" i="1"/>
  <c r="B125" i="3" s="1"/>
  <c r="M126" i="1"/>
  <c r="N137" i="1"/>
  <c r="L137" i="1"/>
  <c r="K137" i="1"/>
  <c r="B136" i="3" s="1"/>
  <c r="D136" i="3" s="1"/>
  <c r="M137" i="1"/>
  <c r="K123" i="1"/>
  <c r="B122" i="3" s="1"/>
  <c r="D122" i="3" s="1"/>
  <c r="M123" i="1"/>
  <c r="L123" i="1"/>
  <c r="N123" i="1"/>
  <c r="N83" i="1"/>
  <c r="L83" i="1"/>
  <c r="K83" i="1"/>
  <c r="B82" i="3" s="1"/>
  <c r="D82" i="3" s="1"/>
  <c r="M83" i="1"/>
  <c r="N46" i="1"/>
  <c r="K46" i="1"/>
  <c r="B45" i="3" s="1"/>
  <c r="D45" i="3" s="1"/>
  <c r="M46" i="1"/>
  <c r="L46" i="1"/>
  <c r="N35" i="1"/>
  <c r="K35" i="1"/>
  <c r="B34" i="3" s="1"/>
  <c r="D34" i="3" s="1"/>
  <c r="L35" i="1"/>
  <c r="M35" i="1"/>
  <c r="N36" i="1"/>
  <c r="M36" i="1"/>
  <c r="L36" i="1"/>
  <c r="K36" i="1"/>
  <c r="B35" i="3" s="1"/>
  <c r="N3" i="1"/>
  <c r="M3" i="1"/>
  <c r="L3" i="1"/>
  <c r="K3" i="1"/>
  <c r="B2" i="3" s="1"/>
  <c r="D2" i="3" s="1"/>
  <c r="N155" i="1"/>
  <c r="M155" i="1"/>
  <c r="L155" i="1"/>
  <c r="K155" i="1"/>
  <c r="B154" i="3" s="1"/>
  <c r="D154" i="3" s="1"/>
  <c r="K118" i="1"/>
  <c r="B117" i="3" s="1"/>
  <c r="D117" i="3" s="1"/>
  <c r="L118" i="1"/>
  <c r="N118" i="1"/>
  <c r="M118" i="1"/>
  <c r="N82" i="1"/>
  <c r="L82" i="1"/>
  <c r="K82" i="1"/>
  <c r="B81" i="3" s="1"/>
  <c r="D81" i="3" s="1"/>
  <c r="M82" i="1"/>
  <c r="N33" i="1"/>
  <c r="K33" i="1"/>
  <c r="B32" i="3" s="1"/>
  <c r="M33" i="1"/>
  <c r="L33" i="1"/>
  <c r="N71" i="1"/>
  <c r="K71" i="1"/>
  <c r="B70" i="3" s="1"/>
  <c r="L71" i="1"/>
  <c r="M71" i="1"/>
  <c r="N54" i="1"/>
  <c r="K54" i="1"/>
  <c r="B53" i="3" s="1"/>
  <c r="D53" i="3" s="1"/>
  <c r="M54" i="1"/>
  <c r="L54" i="1"/>
  <c r="N47" i="1"/>
  <c r="K47" i="1"/>
  <c r="B46" i="3" s="1"/>
  <c r="M47" i="1"/>
  <c r="L47" i="1"/>
  <c r="N179" i="1"/>
  <c r="M179" i="1"/>
  <c r="K179" i="1"/>
  <c r="B178" i="3" s="1"/>
  <c r="D178" i="3" s="1"/>
  <c r="L179" i="1"/>
  <c r="N159" i="1"/>
  <c r="M159" i="1"/>
  <c r="L159" i="1"/>
  <c r="K159" i="1"/>
  <c r="B158" i="3" s="1"/>
  <c r="D158" i="3" s="1"/>
  <c r="K116" i="1"/>
  <c r="B115" i="3" s="1"/>
  <c r="D115" i="3" s="1"/>
  <c r="N116" i="1"/>
  <c r="M116" i="1"/>
  <c r="L116" i="1"/>
  <c r="N91" i="1"/>
  <c r="M91" i="1"/>
  <c r="L91" i="1"/>
  <c r="K91" i="1"/>
  <c r="B90" i="3" s="1"/>
  <c r="D90" i="3" s="1"/>
  <c r="N41" i="1"/>
  <c r="K41" i="1"/>
  <c r="B40" i="3" s="1"/>
  <c r="D40" i="3" s="1"/>
  <c r="M41" i="1"/>
  <c r="L41" i="1"/>
  <c r="N16" i="1"/>
  <c r="M16" i="1"/>
  <c r="L16" i="1"/>
  <c r="K16" i="1"/>
  <c r="B15" i="3" s="1"/>
  <c r="D15" i="3" s="1"/>
  <c r="N198" i="1"/>
  <c r="M198" i="1"/>
  <c r="K198" i="1"/>
  <c r="B197" i="3" s="1"/>
  <c r="D197" i="3" s="1"/>
  <c r="L198" i="1"/>
  <c r="N182" i="1"/>
  <c r="M182" i="1"/>
  <c r="K182" i="1"/>
  <c r="B181" i="3" s="1"/>
  <c r="D181" i="3" s="1"/>
  <c r="L182" i="1"/>
  <c r="N166" i="1"/>
  <c r="M166" i="1"/>
  <c r="L166" i="1"/>
  <c r="K166" i="1"/>
  <c r="B165" i="3" s="1"/>
  <c r="D165" i="3" s="1"/>
  <c r="N150" i="1"/>
  <c r="L150" i="1"/>
  <c r="K150" i="1"/>
  <c r="B149" i="3" s="1"/>
  <c r="D149" i="3" s="1"/>
  <c r="M150" i="1"/>
  <c r="N129" i="1"/>
  <c r="L129" i="1"/>
  <c r="K129" i="1"/>
  <c r="B128" i="3" s="1"/>
  <c r="M129" i="1"/>
  <c r="K115" i="1"/>
  <c r="B114" i="3" s="1"/>
  <c r="D114" i="3" s="1"/>
  <c r="M115" i="1"/>
  <c r="L115" i="1"/>
  <c r="N115" i="1"/>
  <c r="N52" i="1"/>
  <c r="K52" i="1"/>
  <c r="B51" i="3" s="1"/>
  <c r="D51" i="3" s="1"/>
  <c r="M52" i="1"/>
  <c r="L52" i="1"/>
  <c r="N193" i="1"/>
  <c r="M193" i="1"/>
  <c r="K193" i="1"/>
  <c r="B192" i="3" s="1"/>
  <c r="L193" i="1"/>
  <c r="N177" i="1"/>
  <c r="M177" i="1"/>
  <c r="K177" i="1"/>
  <c r="B176" i="3" s="1"/>
  <c r="L177" i="1"/>
  <c r="N161" i="1"/>
  <c r="M161" i="1"/>
  <c r="L161" i="1"/>
  <c r="K161" i="1"/>
  <c r="B160" i="3" s="1"/>
  <c r="D160" i="3" s="1"/>
  <c r="N139" i="1"/>
  <c r="L139" i="1"/>
  <c r="K139" i="1"/>
  <c r="B138" i="3" s="1"/>
  <c r="M139" i="1"/>
  <c r="N130" i="1"/>
  <c r="L130" i="1"/>
  <c r="K130" i="1"/>
  <c r="B129" i="3" s="1"/>
  <c r="M130" i="1"/>
  <c r="N141" i="1"/>
  <c r="L141" i="1"/>
  <c r="K141" i="1"/>
  <c r="B140" i="3" s="1"/>
  <c r="D140" i="3" s="1"/>
  <c r="M141" i="1"/>
  <c r="N128" i="1"/>
  <c r="L128" i="1"/>
  <c r="K128" i="1"/>
  <c r="B127" i="3" s="1"/>
  <c r="D127" i="3" s="1"/>
  <c r="M128" i="1"/>
  <c r="N84" i="1"/>
  <c r="L84" i="1"/>
  <c r="K84" i="1"/>
  <c r="B83" i="3" s="1"/>
  <c r="D83" i="3" s="1"/>
  <c r="M84" i="1"/>
  <c r="N50" i="1"/>
  <c r="K50" i="1"/>
  <c r="B49" i="3" s="1"/>
  <c r="L50" i="1"/>
  <c r="M50" i="1"/>
  <c r="N37" i="1"/>
  <c r="K37" i="1"/>
  <c r="B36" i="3" s="1"/>
  <c r="D36" i="3" s="1"/>
  <c r="M37" i="1"/>
  <c r="L37" i="1"/>
  <c r="N44" i="1"/>
  <c r="M44" i="1"/>
  <c r="L44" i="1"/>
  <c r="K44" i="1"/>
  <c r="B43" i="3" s="1"/>
  <c r="D43" i="3" s="1"/>
  <c r="L10" i="1"/>
  <c r="K10" i="1"/>
  <c r="B9" i="3" s="1"/>
  <c r="D9" i="3" s="1"/>
  <c r="N10" i="1"/>
  <c r="M10" i="1"/>
  <c r="L4" i="1"/>
  <c r="K4" i="1"/>
  <c r="B3" i="3" s="1"/>
  <c r="D3" i="3" s="1"/>
  <c r="N4" i="1"/>
  <c r="M4" i="1"/>
  <c r="N53" i="1"/>
  <c r="K53" i="1"/>
  <c r="B52" i="3" s="1"/>
  <c r="L53" i="1"/>
  <c r="M53" i="1"/>
  <c r="N23" i="1"/>
  <c r="M23" i="1"/>
  <c r="L23" i="1"/>
  <c r="K23" i="1"/>
  <c r="B22" i="3" s="1"/>
  <c r="D22" i="3" s="1"/>
  <c r="N65" i="1"/>
  <c r="K65" i="1"/>
  <c r="B64" i="3" s="1"/>
  <c r="D64" i="3" s="1"/>
  <c r="L65" i="1"/>
  <c r="M65" i="1"/>
  <c r="L22" i="1"/>
  <c r="M22" i="1"/>
  <c r="K22" i="1"/>
  <c r="B21" i="3" s="1"/>
  <c r="D21" i="3" s="1"/>
  <c r="N22" i="1"/>
  <c r="N188" i="1"/>
  <c r="M188" i="1"/>
  <c r="K188" i="1"/>
  <c r="B187" i="3" s="1"/>
  <c r="L188" i="1"/>
  <c r="N172" i="1"/>
  <c r="M172" i="1"/>
  <c r="L172" i="1"/>
  <c r="K172" i="1"/>
  <c r="B171" i="3" s="1"/>
  <c r="D171" i="3" s="1"/>
  <c r="N156" i="1"/>
  <c r="M156" i="1"/>
  <c r="L156" i="1"/>
  <c r="K156" i="1"/>
  <c r="B155" i="3" s="1"/>
  <c r="K120" i="1"/>
  <c r="B119" i="3" s="1"/>
  <c r="N120" i="1"/>
  <c r="M120" i="1"/>
  <c r="L120" i="1"/>
  <c r="K109" i="1"/>
  <c r="B108" i="3" s="1"/>
  <c r="D108" i="3" s="1"/>
  <c r="N109" i="1"/>
  <c r="M109" i="1"/>
  <c r="L109" i="1"/>
  <c r="K122" i="1"/>
  <c r="B121" i="3" s="1"/>
  <c r="D121" i="3" s="1"/>
  <c r="L122" i="1"/>
  <c r="N122" i="1"/>
  <c r="M122" i="1"/>
  <c r="K107" i="1"/>
  <c r="B106" i="3" s="1"/>
  <c r="D106" i="3" s="1"/>
  <c r="M107" i="1"/>
  <c r="L107" i="1"/>
  <c r="N107" i="1"/>
  <c r="N79" i="1"/>
  <c r="L79" i="1"/>
  <c r="K79" i="1"/>
  <c r="B78" i="3" s="1"/>
  <c r="D78" i="3" s="1"/>
  <c r="M79" i="1"/>
  <c r="N73" i="1"/>
  <c r="K73" i="1"/>
  <c r="B72" i="3" s="1"/>
  <c r="M73" i="1"/>
  <c r="L73" i="1"/>
  <c r="N60" i="1"/>
  <c r="K60" i="1"/>
  <c r="B59" i="3" s="1"/>
  <c r="M60" i="1"/>
  <c r="L60" i="1"/>
  <c r="N12" i="1"/>
  <c r="M12" i="1"/>
  <c r="L12" i="1"/>
  <c r="K12" i="1"/>
  <c r="B11" i="3" s="1"/>
  <c r="L29" i="1"/>
  <c r="K29" i="1"/>
  <c r="B28" i="3" s="1"/>
  <c r="D28" i="3" s="1"/>
  <c r="N29" i="1"/>
  <c r="M29" i="1"/>
  <c r="K121" i="1"/>
  <c r="B120" i="3" s="1"/>
  <c r="D120" i="3" s="1"/>
  <c r="N121" i="1"/>
  <c r="M121" i="1"/>
  <c r="L121" i="1"/>
  <c r="N136" i="1"/>
  <c r="L136" i="1"/>
  <c r="K136" i="1"/>
  <c r="B135" i="3" s="1"/>
  <c r="M136" i="1"/>
  <c r="N78" i="1"/>
  <c r="L78" i="1"/>
  <c r="K78" i="1"/>
  <c r="B77" i="3" s="1"/>
  <c r="D77" i="3" s="1"/>
  <c r="M78" i="1"/>
  <c r="N34" i="1"/>
  <c r="M34" i="1"/>
  <c r="L34" i="1"/>
  <c r="K34" i="1"/>
  <c r="B33" i="3" s="1"/>
  <c r="D33" i="3" s="1"/>
  <c r="K15" i="1"/>
  <c r="B14" i="3" s="1"/>
  <c r="D14" i="3" s="1"/>
  <c r="M15" i="1"/>
  <c r="L15" i="1"/>
  <c r="N15" i="1"/>
  <c r="N49" i="1"/>
  <c r="K49" i="1"/>
  <c r="B48" i="3" s="1"/>
  <c r="L49" i="1"/>
  <c r="M49" i="1"/>
  <c r="L9" i="1"/>
  <c r="K9" i="1"/>
  <c r="B8" i="3" s="1"/>
  <c r="D8" i="3" s="1"/>
  <c r="N9" i="1"/>
  <c r="M9" i="1"/>
  <c r="D84" i="3" l="1"/>
  <c r="L110" i="2"/>
  <c r="N110" i="2"/>
  <c r="M110" i="2"/>
  <c r="K110" i="2"/>
  <c r="C109" i="3" s="1"/>
  <c r="K132" i="2"/>
  <c r="C131" i="3" s="1"/>
  <c r="L132" i="2"/>
  <c r="M132" i="2"/>
  <c r="N132" i="2"/>
  <c r="L100" i="2"/>
  <c r="K100" i="2"/>
  <c r="C99" i="3" s="1"/>
  <c r="N100" i="2"/>
  <c r="M100" i="2"/>
  <c r="L193" i="2"/>
  <c r="M193" i="2"/>
  <c r="N193" i="2"/>
  <c r="K193" i="2"/>
  <c r="C192" i="3" s="1"/>
  <c r="K187" i="2"/>
  <c r="C186" i="3" s="1"/>
  <c r="N187" i="2"/>
  <c r="M187" i="2"/>
  <c r="L187" i="2"/>
  <c r="N66" i="2"/>
  <c r="M66" i="2"/>
  <c r="L66" i="2"/>
  <c r="K66" i="2"/>
  <c r="C65" i="3" s="1"/>
  <c r="M130" i="2"/>
  <c r="K130" i="2"/>
  <c r="C129" i="3" s="1"/>
  <c r="N130" i="2"/>
  <c r="L130" i="2"/>
  <c r="N45" i="2"/>
  <c r="L45" i="2"/>
  <c r="K45" i="2"/>
  <c r="C44" i="3" s="1"/>
  <c r="M45" i="2"/>
  <c r="N162" i="2"/>
  <c r="K162" i="2"/>
  <c r="C161" i="3" s="1"/>
  <c r="M162" i="2"/>
  <c r="L162" i="2"/>
  <c r="N126" i="2"/>
  <c r="L126" i="2"/>
  <c r="M126" i="2"/>
  <c r="K126" i="2"/>
  <c r="C125" i="3" s="1"/>
  <c r="N56" i="2"/>
  <c r="M56" i="2"/>
  <c r="L56" i="2"/>
  <c r="K56" i="2"/>
  <c r="C55" i="3" s="1"/>
  <c r="D55" i="3" s="1"/>
  <c r="K89" i="2"/>
  <c r="C88" i="3" s="1"/>
  <c r="D88" i="3" s="1"/>
  <c r="N89" i="2"/>
  <c r="L89" i="2"/>
  <c r="M89" i="2"/>
  <c r="L30" i="2"/>
  <c r="M30" i="2"/>
  <c r="K30" i="2"/>
  <c r="C29" i="3" s="1"/>
  <c r="N30" i="2"/>
  <c r="L156" i="2"/>
  <c r="K156" i="2"/>
  <c r="C155" i="3" s="1"/>
  <c r="M156" i="2"/>
  <c r="N156" i="2"/>
  <c r="M183" i="2"/>
  <c r="K183" i="2"/>
  <c r="C182" i="3" s="1"/>
  <c r="N183" i="2"/>
  <c r="L183" i="2"/>
  <c r="N192" i="2"/>
  <c r="M192" i="2"/>
  <c r="L192" i="2"/>
  <c r="K192" i="2"/>
  <c r="C191" i="3" s="1"/>
  <c r="N129" i="2"/>
  <c r="L129" i="2"/>
  <c r="M129" i="2"/>
  <c r="K129" i="2"/>
  <c r="C128" i="3" s="1"/>
  <c r="K75" i="2"/>
  <c r="C74" i="3" s="1"/>
  <c r="N75" i="2"/>
  <c r="M75" i="2"/>
  <c r="L75" i="2"/>
  <c r="L24" i="2"/>
  <c r="M24" i="2"/>
  <c r="K24" i="2"/>
  <c r="C23" i="3" s="1"/>
  <c r="N24" i="2"/>
  <c r="N133" i="2"/>
  <c r="L133" i="2"/>
  <c r="K133" i="2"/>
  <c r="C132" i="3" s="1"/>
  <c r="M133" i="2"/>
  <c r="L143" i="2"/>
  <c r="K143" i="2"/>
  <c r="C142" i="3" s="1"/>
  <c r="N143" i="2"/>
  <c r="M143" i="2"/>
  <c r="M120" i="2"/>
  <c r="L120" i="2"/>
  <c r="K120" i="2"/>
  <c r="C119" i="3" s="1"/>
  <c r="N120" i="2"/>
  <c r="D135" i="3"/>
  <c r="D129" i="3"/>
  <c r="D192" i="3"/>
  <c r="D191" i="3"/>
  <c r="D182" i="3"/>
  <c r="D186" i="3"/>
  <c r="D142" i="3"/>
  <c r="D150" i="3"/>
  <c r="N178" i="2"/>
  <c r="K178" i="2"/>
  <c r="C177" i="3" s="1"/>
  <c r="L178" i="2"/>
  <c r="M178" i="2"/>
  <c r="K158" i="2"/>
  <c r="C157" i="3" s="1"/>
  <c r="M158" i="2"/>
  <c r="L158" i="2"/>
  <c r="N158" i="2"/>
  <c r="N62" i="2"/>
  <c r="L62" i="2"/>
  <c r="K62" i="2"/>
  <c r="C61" i="3" s="1"/>
  <c r="M62" i="2"/>
  <c r="K171" i="2"/>
  <c r="C170" i="3" s="1"/>
  <c r="L171" i="2"/>
  <c r="M171" i="2"/>
  <c r="N171" i="2"/>
  <c r="N197" i="2"/>
  <c r="M197" i="2"/>
  <c r="L197" i="2"/>
  <c r="K197" i="2"/>
  <c r="C196" i="3" s="1"/>
  <c r="D196" i="3" s="1"/>
  <c r="M188" i="2"/>
  <c r="L188" i="2"/>
  <c r="K188" i="2"/>
  <c r="C187" i="3" s="1"/>
  <c r="D187" i="3" s="1"/>
  <c r="N188" i="2"/>
  <c r="D65" i="3"/>
  <c r="D61" i="3"/>
  <c r="D67" i="3"/>
  <c r="D119" i="3"/>
  <c r="D109" i="3"/>
  <c r="D98" i="3"/>
  <c r="D99" i="3"/>
  <c r="N190" i="2"/>
  <c r="M190" i="2"/>
  <c r="L190" i="2"/>
  <c r="K190" i="2"/>
  <c r="C189" i="3" s="1"/>
  <c r="D189" i="3" s="1"/>
  <c r="N170" i="2"/>
  <c r="K170" i="2"/>
  <c r="C169" i="3" s="1"/>
  <c r="M170" i="2"/>
  <c r="L170" i="2"/>
  <c r="N114" i="2"/>
  <c r="L114" i="2"/>
  <c r="K114" i="2"/>
  <c r="C113" i="3" s="1"/>
  <c r="D113" i="3" s="1"/>
  <c r="M114" i="2"/>
  <c r="L71" i="2"/>
  <c r="K71" i="2"/>
  <c r="C70" i="3" s="1"/>
  <c r="M71" i="2"/>
  <c r="N71" i="2"/>
  <c r="M146" i="2"/>
  <c r="K146" i="2"/>
  <c r="C145" i="3" s="1"/>
  <c r="N146" i="2"/>
  <c r="L146" i="2"/>
  <c r="L200" i="2"/>
  <c r="N200" i="2"/>
  <c r="K200" i="2"/>
  <c r="C199" i="3" s="1"/>
  <c r="M200" i="2"/>
  <c r="M99" i="2"/>
  <c r="K99" i="2"/>
  <c r="C98" i="3" s="1"/>
  <c r="N99" i="2"/>
  <c r="L99" i="2"/>
  <c r="L96" i="2"/>
  <c r="N96" i="2"/>
  <c r="K96" i="2"/>
  <c r="C95" i="3" s="1"/>
  <c r="M96" i="2"/>
  <c r="M85" i="2"/>
  <c r="L85" i="2"/>
  <c r="K85" i="2"/>
  <c r="C84" i="3" s="1"/>
  <c r="N85" i="2"/>
  <c r="N90" i="2"/>
  <c r="M90" i="2"/>
  <c r="L90" i="2"/>
  <c r="K90" i="2"/>
  <c r="C89" i="3" s="1"/>
  <c r="L57" i="2"/>
  <c r="M57" i="2"/>
  <c r="N57" i="2"/>
  <c r="K57" i="2"/>
  <c r="C56" i="3" s="1"/>
  <c r="D56" i="3" s="1"/>
  <c r="M31" i="2"/>
  <c r="K31" i="2"/>
  <c r="C30" i="3" s="1"/>
  <c r="D30" i="3" s="1"/>
  <c r="N31" i="2"/>
  <c r="L31" i="2"/>
  <c r="K47" i="2"/>
  <c r="C46" i="3" s="1"/>
  <c r="D46" i="3" s="1"/>
  <c r="L47" i="2"/>
  <c r="M47" i="2"/>
  <c r="N47" i="2"/>
  <c r="K60" i="2"/>
  <c r="C59" i="3" s="1"/>
  <c r="D59" i="3" s="1"/>
  <c r="N60" i="2"/>
  <c r="L60" i="2"/>
  <c r="M60" i="2"/>
  <c r="N139" i="2"/>
  <c r="L139" i="2"/>
  <c r="K139" i="2"/>
  <c r="C138" i="3" s="1"/>
  <c r="M139" i="2"/>
  <c r="L177" i="2"/>
  <c r="N177" i="2"/>
  <c r="K177" i="2"/>
  <c r="C176" i="3" s="1"/>
  <c r="D176" i="3" s="1"/>
  <c r="M177" i="2"/>
  <c r="D138" i="3"/>
  <c r="D128" i="3"/>
  <c r="D125" i="3"/>
  <c r="D145" i="3"/>
  <c r="D131" i="3"/>
  <c r="D132" i="3"/>
  <c r="D74" i="3"/>
  <c r="D199" i="3"/>
  <c r="D177" i="3"/>
  <c r="K97" i="2"/>
  <c r="C96" i="3" s="1"/>
  <c r="D96" i="3" s="1"/>
  <c r="N97" i="2"/>
  <c r="M97" i="2"/>
  <c r="L97" i="2"/>
  <c r="K174" i="2"/>
  <c r="C173" i="3" s="1"/>
  <c r="M174" i="2"/>
  <c r="L174" i="2"/>
  <c r="N174" i="2"/>
  <c r="L77" i="2"/>
  <c r="K77" i="2"/>
  <c r="C76" i="3" s="1"/>
  <c r="D76" i="3" s="1"/>
  <c r="N77" i="2"/>
  <c r="M77" i="2"/>
  <c r="M63" i="2"/>
  <c r="L63" i="2"/>
  <c r="N63" i="2"/>
  <c r="K63" i="2"/>
  <c r="C62" i="3" s="1"/>
  <c r="K12" i="2"/>
  <c r="C11" i="3" s="1"/>
  <c r="M12" i="2"/>
  <c r="N12" i="2"/>
  <c r="L12" i="2"/>
  <c r="D70" i="3"/>
  <c r="D62" i="3"/>
  <c r="D44" i="3"/>
  <c r="D29" i="3"/>
  <c r="D11" i="3"/>
  <c r="D155" i="3"/>
  <c r="D169" i="3"/>
  <c r="D157" i="3"/>
  <c r="D173" i="3"/>
  <c r="D170" i="3"/>
  <c r="D23" i="3"/>
  <c r="D95" i="3"/>
  <c r="D89" i="3"/>
  <c r="D172" i="3"/>
  <c r="D161" i="3"/>
  <c r="L142" i="2"/>
  <c r="M142" i="2"/>
  <c r="K142" i="2"/>
  <c r="C141" i="3" s="1"/>
  <c r="D141" i="3" s="1"/>
  <c r="N142" i="2"/>
  <c r="L104" i="2"/>
  <c r="N104" i="2"/>
  <c r="M104" i="2"/>
  <c r="K104" i="2"/>
  <c r="C103" i="3" s="1"/>
  <c r="D103" i="3" s="1"/>
  <c r="M86" i="2"/>
  <c r="K86" i="2"/>
  <c r="C85" i="3" s="1"/>
  <c r="D85" i="3" s="1"/>
  <c r="N86" i="2"/>
  <c r="L86" i="2"/>
  <c r="L199" i="2"/>
  <c r="K199" i="2"/>
  <c r="C198" i="3" s="1"/>
  <c r="D198" i="3" s="1"/>
  <c r="M199" i="2"/>
  <c r="N199" i="2"/>
  <c r="L102" i="2"/>
  <c r="N102" i="2"/>
  <c r="M102" i="2"/>
  <c r="K102" i="2"/>
  <c r="C101" i="3" s="1"/>
  <c r="D101" i="3" s="1"/>
  <c r="M151" i="2"/>
  <c r="K151" i="2"/>
  <c r="C150" i="3" s="1"/>
  <c r="N151" i="2"/>
  <c r="L151" i="2"/>
  <c r="L80" i="2"/>
  <c r="K80" i="2"/>
  <c r="C79" i="3" s="1"/>
  <c r="D79" i="3" s="1"/>
  <c r="N80" i="2"/>
  <c r="M80" i="2"/>
  <c r="K149" i="2"/>
  <c r="C148" i="3" s="1"/>
  <c r="D148" i="3" s="1"/>
  <c r="L149" i="2"/>
  <c r="M149" i="2"/>
  <c r="N149" i="2"/>
  <c r="M175" i="2"/>
  <c r="N175" i="2"/>
  <c r="L175" i="2"/>
  <c r="K175" i="2"/>
  <c r="C174" i="3" s="1"/>
  <c r="D174" i="3" s="1"/>
  <c r="L136" i="2"/>
  <c r="K136" i="2"/>
  <c r="C135" i="3" s="1"/>
  <c r="M136" i="2"/>
  <c r="N136" i="2"/>
  <c r="N154" i="2"/>
  <c r="K154" i="2"/>
  <c r="C153" i="3" s="1"/>
  <c r="D153" i="3" s="1"/>
  <c r="M154" i="2"/>
  <c r="L154" i="2"/>
  <c r="K194" i="2"/>
  <c r="C193" i="3" s="1"/>
  <c r="D193" i="3" s="1"/>
  <c r="N194" i="2"/>
  <c r="M194" i="2"/>
  <c r="L194" i="2"/>
  <c r="K140" i="2"/>
  <c r="C139" i="3" s="1"/>
  <c r="D139" i="3" s="1"/>
  <c r="L140" i="2"/>
  <c r="N140" i="2"/>
  <c r="M140" i="2"/>
  <c r="L164" i="2"/>
  <c r="K164" i="2"/>
  <c r="C163" i="3" s="1"/>
  <c r="D163" i="3" s="1"/>
  <c r="N164" i="2"/>
  <c r="M164" i="2"/>
  <c r="M167" i="2"/>
  <c r="L167" i="2"/>
  <c r="N167" i="2"/>
  <c r="K167" i="2"/>
  <c r="C166" i="3" s="1"/>
  <c r="D166" i="3" s="1"/>
  <c r="K113" i="2"/>
  <c r="C112" i="3" s="1"/>
  <c r="D112" i="3" s="1"/>
  <c r="N113" i="2"/>
  <c r="M113" i="2"/>
  <c r="L113" i="2"/>
  <c r="D49" i="3"/>
  <c r="D54" i="3"/>
  <c r="D276" i="3"/>
  <c r="D232" i="3"/>
  <c r="D224" i="3"/>
  <c r="D255" i="3"/>
  <c r="D249" i="3"/>
  <c r="D205" i="3"/>
  <c r="D272" i="3"/>
  <c r="D242" i="3"/>
  <c r="D80" i="3"/>
  <c r="D188" i="3"/>
  <c r="D48" i="3"/>
  <c r="D52" i="3"/>
  <c r="D32" i="3"/>
  <c r="D57" i="3"/>
  <c r="D35" i="3"/>
  <c r="D37" i="3"/>
  <c r="D18" i="3"/>
  <c r="D13" i="3"/>
  <c r="D72" i="3"/>
  <c r="D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<sst xmlns="http://schemas.openxmlformats.org/spreadsheetml/2006/main" count="86" uniqueCount="33">
  <si>
    <r>
      <rPr>
        <b/>
        <sz val="11"/>
        <color theme="1"/>
        <rFont val="Calibri"/>
        <family val="2"/>
      </rPr>
      <t>┌</t>
    </r>
    <r>
      <rPr>
        <b/>
        <sz val="11"/>
        <color theme="1"/>
        <rFont val="Calibri"/>
        <family val="2"/>
        <scheme val="minor"/>
      </rPr>
      <t>INPUTS</t>
    </r>
    <r>
      <rPr>
        <b/>
        <sz val="11"/>
        <color theme="1"/>
        <rFont val="Calibri"/>
        <family val="2"/>
      </rPr>
      <t>┐</t>
    </r>
  </si>
  <si>
    <t>Decade</t>
  </si>
  <si>
    <t>s</t>
  </si>
  <si>
    <t>H</t>
  </si>
  <si>
    <t>f</t>
  </si>
  <si>
    <t>Mag(dB)</t>
  </si>
  <si>
    <t>φ</t>
  </si>
  <si>
    <t>Re</t>
  </si>
  <si>
    <t>Im</t>
  </si>
  <si>
    <r>
      <t>Cutoff Frequency - f</t>
    </r>
    <r>
      <rPr>
        <vertAlign val="subscript"/>
        <sz val="11"/>
        <color theme="1"/>
        <rFont val="Calibri"/>
        <family val="2"/>
        <scheme val="minor"/>
      </rPr>
      <t>c</t>
    </r>
  </si>
  <si>
    <t>Hz</t>
  </si>
  <si>
    <t>F</t>
  </si>
  <si>
    <t>Ω</t>
  </si>
  <si>
    <r>
      <rPr>
        <b/>
        <sz val="11"/>
        <color theme="1"/>
        <rFont val="Calibri"/>
        <family val="2"/>
      </rPr>
      <t>┌OUT</t>
    </r>
    <r>
      <rPr>
        <b/>
        <sz val="11"/>
        <color theme="1"/>
        <rFont val="Calibri"/>
        <family val="2"/>
        <scheme val="minor"/>
      </rPr>
      <t>PUTS</t>
    </r>
    <r>
      <rPr>
        <b/>
        <sz val="11"/>
        <color theme="1"/>
        <rFont val="Calibri"/>
        <family val="2"/>
      </rPr>
      <t>┐</t>
    </r>
  </si>
  <si>
    <t>RIN</t>
  </si>
  <si>
    <t>CIN</t>
  </si>
  <si>
    <t>Input Stage AC Coupling</t>
  </si>
  <si>
    <t>RF</t>
  </si>
  <si>
    <t>Gain</t>
  </si>
  <si>
    <t>V/V</t>
  </si>
  <si>
    <t>RG</t>
  </si>
  <si>
    <t>Aᴄʟ</t>
  </si>
  <si>
    <t>Gᴛ</t>
  </si>
  <si>
    <t>Gɪɴ</t>
  </si>
  <si>
    <t>VS</t>
  </si>
  <si>
    <t>V</t>
  </si>
  <si>
    <t>IQ</t>
  </si>
  <si>
    <t>A</t>
  </si>
  <si>
    <t>CB</t>
  </si>
  <si>
    <t>RB</t>
  </si>
  <si>
    <t>Bias</t>
  </si>
  <si>
    <t>Non-Inverting Amplifier AC Coupling</t>
  </si>
  <si>
    <t>Inverting Amplifier Stage AC Coupling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</si>
</sst>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E+00"/>
    <numFmt numFmtId="167" formatCode="##0.00E+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11" fontId="0" fillId="2" borderId="1" xfId="0" applyNumberFormat="1" applyFill="1" applyBorder="1" applyAlignment="1" applyProtection="1">
      <alignment horizontal="center" vertical="center"/>
      <protection locked="0"/>
    </xf>
    <xf numFmtId="164" fontId="0" fillId="0" borderId="0" xfId="0" applyNumberFormat="1"/>
    <xf numFmtId="11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11" fontId="0" fillId="3" borderId="1" xfId="0" applyNumberFormat="1" applyFill="1" applyBorder="1" applyAlignment="1">
      <alignment horizontal="center"/>
    </xf>
    <xf numFmtId="48" fontId="0" fillId="3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 applyProtection="1">
      <alignment horizontal="center" vertical="center"/>
      <protection locked="0"/>
    </xf>
    <xf numFmtId="48" fontId="0" fillId="2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NumberFormat="1" applyFill="1" applyBorder="1" applyAlignment="1">
      <alignment horizontal="center"/>
    </xf>
    <xf numFmtId="167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'Bias Network'!$H$3:$H$303</c:f>
              <c:numCache>
                <c:formatCode>General</c:formatCode>
                <c:ptCount val="301"/>
                <c:pt idx="0">
                  <c:v>1.6000000000000001E-3</c:v>
                </c:pt>
                <c:pt idx="1">
                  <c:v>1.6754056768814381E-3</c:v>
                </c:pt>
                <c:pt idx="2">
                  <c:v>1.754365113829096E-3</c:v>
                </c:pt>
                <c:pt idx="3">
                  <c:v>1.8370457943950121E-3</c:v>
                </c:pt>
                <c:pt idx="4">
                  <c:v>1.9236230953878599E-3</c:v>
                </c:pt>
                <c:pt idx="5">
                  <c:v>2.0142806588706662E-3</c:v>
                </c:pt>
                <c:pt idx="6">
                  <c:v>2.1092107816902514E-3</c:v>
                </c:pt>
                <c:pt idx="7">
                  <c:v>2.208614823364615E-3</c:v>
                </c:pt>
                <c:pt idx="8">
                  <c:v>2.3127036331934835E-3</c:v>
                </c:pt>
                <c:pt idx="9">
                  <c:v>2.4216979974979319E-3</c:v>
                </c:pt>
                <c:pt idx="10">
                  <c:v>2.5358291079377818E-3</c:v>
                </c:pt>
                <c:pt idx="11">
                  <c:v>2.6553390519000971E-3</c:v>
                </c:pt>
                <c:pt idx="12">
                  <c:v>2.7804813259989999E-3</c:v>
                </c:pt>
                <c:pt idx="13">
                  <c:v>2.9115213737759696E-3</c:v>
                </c:pt>
                <c:pt idx="14">
                  <c:v>3.048737148741194E-3</c:v>
                </c:pt>
                <c:pt idx="15">
                  <c:v>3.1924197039502051E-3</c:v>
                </c:pt>
                <c:pt idx="16">
                  <c:v>3.3428738093664598E-3</c:v>
                </c:pt>
                <c:pt idx="17">
                  <c:v>3.5004185983192799E-3</c:v>
                </c:pt>
                <c:pt idx="18">
                  <c:v>3.6653882444284344E-3</c:v>
                </c:pt>
                <c:pt idx="19">
                  <c:v>3.8381326704311821E-3</c:v>
                </c:pt>
                <c:pt idx="20">
                  <c:v>4.0190182904153247E-3</c:v>
                </c:pt>
                <c:pt idx="21">
                  <c:v>4.2084287870326068E-3</c:v>
                </c:pt>
                <c:pt idx="22">
                  <c:v>4.4067659253410642E-3</c:v>
                </c:pt>
                <c:pt idx="23">
                  <c:v>4.614450405002567E-3</c:v>
                </c:pt>
                <c:pt idx="24">
                  <c:v>4.8319227526432218E-3</c:v>
                </c:pt>
                <c:pt idx="25">
                  <c:v>5.0596442562694027E-3</c:v>
                </c:pt>
                <c:pt idx="26">
                  <c:v>5.2980979437214568E-3</c:v>
                </c:pt>
                <c:pt idx="27">
                  <c:v>5.5477896072405044E-3</c:v>
                </c:pt>
                <c:pt idx="28">
                  <c:v>5.8092488763216181E-3</c:v>
                </c:pt>
                <c:pt idx="29">
                  <c:v>6.0830303411289798E-3</c:v>
                </c:pt>
                <c:pt idx="30">
                  <c:v>6.369714728855955E-3</c:v>
                </c:pt>
                <c:pt idx="31">
                  <c:v>6.6699101355253646E-3</c:v>
                </c:pt>
                <c:pt idx="32">
                  <c:v>6.9842533158426508E-3</c:v>
                </c:pt>
                <c:pt idx="33">
                  <c:v>7.3134110338380007E-3</c:v>
                </c:pt>
                <c:pt idx="34">
                  <c:v>7.658081477162214E-3</c:v>
                </c:pt>
                <c:pt idx="35">
                  <c:v>8.0189957380363535E-3</c:v>
                </c:pt>
                <c:pt idx="36">
                  <c:v>8.3969193639963583E-3</c:v>
                </c:pt>
                <c:pt idx="37">
                  <c:v>8.7926539817219963E-3</c:v>
                </c:pt>
                <c:pt idx="38">
                  <c:v>9.2070389973945045E-3</c:v>
                </c:pt>
                <c:pt idx="39">
                  <c:v>9.6409533771897159E-3</c:v>
                </c:pt>
                <c:pt idx="40">
                  <c:v>1.0095317511683081E-2</c:v>
                </c:pt>
                <c:pt idx="41">
                  <c:v>1.0571095168121531E-2</c:v>
                </c:pt>
                <c:pt idx="42">
                  <c:v>1.1069295534702976E-2</c:v>
                </c:pt>
                <c:pt idx="43">
                  <c:v>1.159097536119983E-2</c:v>
                </c:pt>
                <c:pt idx="44">
                  <c:v>1.2137241200466928E-2</c:v>
                </c:pt>
                <c:pt idx="45">
                  <c:v>1.2709251755588499E-2</c:v>
                </c:pt>
                <c:pt idx="46">
                  <c:v>1.3308220337642729E-2</c:v>
                </c:pt>
                <c:pt idx="47">
                  <c:v>1.3935417439297283E-2</c:v>
                </c:pt>
                <c:pt idx="48">
                  <c:v>1.4592173429694542E-2</c:v>
                </c:pt>
                <c:pt idx="49">
                  <c:v>1.5279881376342973E-2</c:v>
                </c:pt>
                <c:pt idx="50">
                  <c:v>1.6E-2</c:v>
                </c:pt>
                <c:pt idx="51">
                  <c:v>1.6754056768814383E-2</c:v>
                </c:pt>
                <c:pt idx="52">
                  <c:v>1.7543651138290962E-2</c:v>
                </c:pt>
                <c:pt idx="53">
                  <c:v>1.8370457943950123E-2</c:v>
                </c:pt>
                <c:pt idx="54">
                  <c:v>1.9236230953878601E-2</c:v>
                </c:pt>
                <c:pt idx="55">
                  <c:v>2.0142806588706666E-2</c:v>
                </c:pt>
                <c:pt idx="56">
                  <c:v>2.109210781690252E-2</c:v>
                </c:pt>
                <c:pt idx="57">
                  <c:v>2.2086148233646141E-2</c:v>
                </c:pt>
                <c:pt idx="58">
                  <c:v>2.3127036331934837E-2</c:v>
                </c:pt>
                <c:pt idx="59">
                  <c:v>2.4216979974979323E-2</c:v>
                </c:pt>
                <c:pt idx="60">
                  <c:v>2.5358291079377801E-2</c:v>
                </c:pt>
                <c:pt idx="61">
                  <c:v>2.6553390519000949E-2</c:v>
                </c:pt>
                <c:pt idx="62">
                  <c:v>2.780481325999001E-2</c:v>
                </c:pt>
                <c:pt idx="63">
                  <c:v>2.9115213737759729E-2</c:v>
                </c:pt>
                <c:pt idx="64">
                  <c:v>3.0487371487411943E-2</c:v>
                </c:pt>
                <c:pt idx="65">
                  <c:v>3.192419703950207E-2</c:v>
                </c:pt>
                <c:pt idx="66">
                  <c:v>3.3428738093664617E-2</c:v>
                </c:pt>
                <c:pt idx="67">
                  <c:v>3.500418598319284E-2</c:v>
                </c:pt>
                <c:pt idx="68">
                  <c:v>3.6653882444284358E-2</c:v>
                </c:pt>
                <c:pt idx="69">
                  <c:v>3.8381326704311831E-2</c:v>
                </c:pt>
                <c:pt idx="70">
                  <c:v>4.019018290415325E-2</c:v>
                </c:pt>
                <c:pt idx="71">
                  <c:v>4.2084287870326087E-2</c:v>
                </c:pt>
                <c:pt idx="72">
                  <c:v>4.4067659253410635E-2</c:v>
                </c:pt>
                <c:pt idx="73">
                  <c:v>4.6144504050025681E-2</c:v>
                </c:pt>
                <c:pt idx="74">
                  <c:v>4.8319227526432237E-2</c:v>
                </c:pt>
                <c:pt idx="75">
                  <c:v>5.0596442562694056E-2</c:v>
                </c:pt>
                <c:pt idx="76">
                  <c:v>5.2980979437214575E-2</c:v>
                </c:pt>
                <c:pt idx="77">
                  <c:v>5.5477896072405053E-2</c:v>
                </c:pt>
                <c:pt idx="78">
                  <c:v>5.809248876321621E-2</c:v>
                </c:pt>
                <c:pt idx="79">
                  <c:v>6.0830303411289782E-2</c:v>
                </c:pt>
                <c:pt idx="80">
                  <c:v>6.3697147288559561E-2</c:v>
                </c:pt>
                <c:pt idx="81">
                  <c:v>6.6699101355253657E-2</c:v>
                </c:pt>
                <c:pt idx="82">
                  <c:v>6.9842533158426534E-2</c:v>
                </c:pt>
                <c:pt idx="83">
                  <c:v>7.3134110338379965E-2</c:v>
                </c:pt>
                <c:pt idx="84">
                  <c:v>7.6580814771622124E-2</c:v>
                </c:pt>
                <c:pt idx="85">
                  <c:v>8.0189957380363538E-2</c:v>
                </c:pt>
                <c:pt idx="86">
                  <c:v>8.3969193639963594E-2</c:v>
                </c:pt>
                <c:pt idx="87">
                  <c:v>8.7926539817219901E-2</c:v>
                </c:pt>
                <c:pt idx="88">
                  <c:v>9.2070389973945108E-2</c:v>
                </c:pt>
                <c:pt idx="89">
                  <c:v>9.6409533771897205E-2</c:v>
                </c:pt>
                <c:pt idx="90">
                  <c:v>0.10095317511683091</c:v>
                </c:pt>
                <c:pt idx="91">
                  <c:v>0.10571095168121535</c:v>
                </c:pt>
                <c:pt idx="92">
                  <c:v>0.11069295534702983</c:v>
                </c:pt>
                <c:pt idx="93">
                  <c:v>0.11590975361199839</c:v>
                </c:pt>
                <c:pt idx="94">
                  <c:v>0.12137241200466937</c:v>
                </c:pt>
                <c:pt idx="95">
                  <c:v>0.12709251755588497</c:v>
                </c:pt>
                <c:pt idx="96">
                  <c:v>0.13308220337642734</c:v>
                </c:pt>
                <c:pt idx="97">
                  <c:v>0.13935417439297282</c:v>
                </c:pt>
                <c:pt idx="98">
                  <c:v>0.14592173429694552</c:v>
                </c:pt>
                <c:pt idx="99">
                  <c:v>0.15279881376342971</c:v>
                </c:pt>
                <c:pt idx="100">
                  <c:v>0.16000000000000003</c:v>
                </c:pt>
                <c:pt idx="101">
                  <c:v>0.16754056768814396</c:v>
                </c:pt>
                <c:pt idx="102">
                  <c:v>0.17543651138290961</c:v>
                </c:pt>
                <c:pt idx="103">
                  <c:v>0.18370457943950128</c:v>
                </c:pt>
                <c:pt idx="104">
                  <c:v>0.19236230953878608</c:v>
                </c:pt>
                <c:pt idx="105">
                  <c:v>0.20142806588706669</c:v>
                </c:pt>
                <c:pt idx="106">
                  <c:v>0.21092107816902514</c:v>
                </c:pt>
                <c:pt idx="107">
                  <c:v>0.22086148233646152</c:v>
                </c:pt>
                <c:pt idx="108">
                  <c:v>0.23127036331934836</c:v>
                </c:pt>
                <c:pt idx="109">
                  <c:v>0.24216979974979327</c:v>
                </c:pt>
                <c:pt idx="110">
                  <c:v>0.25358291079377809</c:v>
                </c:pt>
                <c:pt idx="111">
                  <c:v>0.26553390519000958</c:v>
                </c:pt>
                <c:pt idx="112">
                  <c:v>0.27804813259989997</c:v>
                </c:pt>
                <c:pt idx="113">
                  <c:v>0.29115213737759732</c:v>
                </c:pt>
                <c:pt idx="114">
                  <c:v>0.30487371487411957</c:v>
                </c:pt>
                <c:pt idx="115">
                  <c:v>0.31924197039502072</c:v>
                </c:pt>
                <c:pt idx="116">
                  <c:v>0.33428738093664628</c:v>
                </c:pt>
                <c:pt idx="117">
                  <c:v>0.35004185983192837</c:v>
                </c:pt>
                <c:pt idx="118">
                  <c:v>0.36653882444284369</c:v>
                </c:pt>
                <c:pt idx="119">
                  <c:v>0.38381326704311847</c:v>
                </c:pt>
                <c:pt idx="120">
                  <c:v>0.40190182904153282</c:v>
                </c:pt>
                <c:pt idx="121">
                  <c:v>0.42084287870326115</c:v>
                </c:pt>
                <c:pt idx="122">
                  <c:v>0.44067659253410663</c:v>
                </c:pt>
                <c:pt idx="123">
                  <c:v>0.46144504050025692</c:v>
                </c:pt>
                <c:pt idx="124">
                  <c:v>0.48319227526432251</c:v>
                </c:pt>
                <c:pt idx="125">
                  <c:v>0.50596442562694077</c:v>
                </c:pt>
                <c:pt idx="126">
                  <c:v>0.5298097943721457</c:v>
                </c:pt>
                <c:pt idx="127">
                  <c:v>0.55477896072405064</c:v>
                </c:pt>
                <c:pt idx="128">
                  <c:v>0.58092488763216221</c:v>
                </c:pt>
                <c:pt idx="129">
                  <c:v>0.60830303411289788</c:v>
                </c:pt>
                <c:pt idx="130">
                  <c:v>0.63697147288559552</c:v>
                </c:pt>
                <c:pt idx="131">
                  <c:v>0.66699101355253665</c:v>
                </c:pt>
                <c:pt idx="132">
                  <c:v>0.69842533158426556</c:v>
                </c:pt>
                <c:pt idx="133">
                  <c:v>0.7313411033838001</c:v>
                </c:pt>
                <c:pt idx="134">
                  <c:v>0.7658081477162213</c:v>
                </c:pt>
                <c:pt idx="135">
                  <c:v>0.80189957380363563</c:v>
                </c:pt>
                <c:pt idx="136">
                  <c:v>0.83969193639963613</c:v>
                </c:pt>
                <c:pt idx="137">
                  <c:v>0.87926539817219929</c:v>
                </c:pt>
                <c:pt idx="138">
                  <c:v>0.9207038997394511</c:v>
                </c:pt>
                <c:pt idx="139">
                  <c:v>0.96409533771897249</c:v>
                </c:pt>
                <c:pt idx="140">
                  <c:v>1.0095317511683093</c:v>
                </c:pt>
                <c:pt idx="141">
                  <c:v>1.0571095168121536</c:v>
                </c:pt>
                <c:pt idx="142">
                  <c:v>1.1069295534702985</c:v>
                </c:pt>
                <c:pt idx="143">
                  <c:v>1.159097536119984</c:v>
                </c:pt>
                <c:pt idx="144">
                  <c:v>1.2137241200466939</c:v>
                </c:pt>
                <c:pt idx="145">
                  <c:v>1.2709251755588504</c:v>
                </c:pt>
                <c:pt idx="146">
                  <c:v>1.3308220337642735</c:v>
                </c:pt>
                <c:pt idx="147">
                  <c:v>1.3935417439297286</c:v>
                </c:pt>
                <c:pt idx="148">
                  <c:v>1.4592173429694555</c:v>
                </c:pt>
                <c:pt idx="149">
                  <c:v>1.5279881376342974</c:v>
                </c:pt>
                <c:pt idx="150">
                  <c:v>1.6</c:v>
                </c:pt>
                <c:pt idx="151">
                  <c:v>1.6754056768814394</c:v>
                </c:pt>
                <c:pt idx="152">
                  <c:v>1.7543651138290963</c:v>
                </c:pt>
                <c:pt idx="153">
                  <c:v>1.8370457943950129</c:v>
                </c:pt>
                <c:pt idx="154">
                  <c:v>1.9236230953878612</c:v>
                </c:pt>
                <c:pt idx="155">
                  <c:v>2.0142806588706677</c:v>
                </c:pt>
                <c:pt idx="156">
                  <c:v>2.1092107816902517</c:v>
                </c:pt>
                <c:pt idx="157">
                  <c:v>2.2086148233646159</c:v>
                </c:pt>
                <c:pt idx="158">
                  <c:v>2.3127036331934838</c:v>
                </c:pt>
                <c:pt idx="159">
                  <c:v>2.4216979974979331</c:v>
                </c:pt>
                <c:pt idx="160">
                  <c:v>2.5358291079377819</c:v>
                </c:pt>
                <c:pt idx="161">
                  <c:v>2.6553390519000972</c:v>
                </c:pt>
                <c:pt idx="162">
                  <c:v>2.7804813259990011</c:v>
                </c:pt>
                <c:pt idx="163">
                  <c:v>2.9115213737759742</c:v>
                </c:pt>
                <c:pt idx="164">
                  <c:v>3.0487371487411963</c:v>
                </c:pt>
                <c:pt idx="165">
                  <c:v>3.1924197039502076</c:v>
                </c:pt>
                <c:pt idx="166">
                  <c:v>3.3428738093664636</c:v>
                </c:pt>
                <c:pt idx="167">
                  <c:v>3.5004185983192841</c:v>
                </c:pt>
                <c:pt idx="168">
                  <c:v>3.6653882444284371</c:v>
                </c:pt>
                <c:pt idx="169">
                  <c:v>3.8381326704311856</c:v>
                </c:pt>
                <c:pt idx="170">
                  <c:v>4.0190182904153291</c:v>
                </c:pt>
                <c:pt idx="171">
                  <c:v>4.208428787032612</c:v>
                </c:pt>
                <c:pt idx="172">
                  <c:v>4.406765925341066</c:v>
                </c:pt>
                <c:pt idx="173">
                  <c:v>4.6144504050025699</c:v>
                </c:pt>
                <c:pt idx="174">
                  <c:v>4.8319227526432265</c:v>
                </c:pt>
                <c:pt idx="175">
                  <c:v>5.0596442562694079</c:v>
                </c:pt>
                <c:pt idx="176">
                  <c:v>5.2980979437214586</c:v>
                </c:pt>
                <c:pt idx="177">
                  <c:v>5.5477896072405075</c:v>
                </c:pt>
                <c:pt idx="178">
                  <c:v>5.8092488763216226</c:v>
                </c:pt>
                <c:pt idx="179">
                  <c:v>6.0830303411289792</c:v>
                </c:pt>
                <c:pt idx="180">
                  <c:v>6.369714728855957</c:v>
                </c:pt>
                <c:pt idx="181">
                  <c:v>6.6699101355253676</c:v>
                </c:pt>
                <c:pt idx="182">
                  <c:v>6.9842533158426567</c:v>
                </c:pt>
                <c:pt idx="183">
                  <c:v>7.3134110338380012</c:v>
                </c:pt>
                <c:pt idx="184">
                  <c:v>7.6580814771622148</c:v>
                </c:pt>
                <c:pt idx="185">
                  <c:v>8.0189957380363577</c:v>
                </c:pt>
                <c:pt idx="186">
                  <c:v>8.3969193639963624</c:v>
                </c:pt>
                <c:pt idx="187">
                  <c:v>8.792653981721994</c:v>
                </c:pt>
                <c:pt idx="188">
                  <c:v>9.2070389973945144</c:v>
                </c:pt>
                <c:pt idx="189">
                  <c:v>9.640953377189728</c:v>
                </c:pt>
                <c:pt idx="190">
                  <c:v>10.095317511683096</c:v>
                </c:pt>
                <c:pt idx="191">
                  <c:v>10.571095168121538</c:v>
                </c:pt>
                <c:pt idx="192">
                  <c:v>11.069295534702988</c:v>
                </c:pt>
                <c:pt idx="193">
                  <c:v>11.590975361199845</c:v>
                </c:pt>
                <c:pt idx="194">
                  <c:v>12.13724120046694</c:v>
                </c:pt>
                <c:pt idx="195">
                  <c:v>12.709251755588509</c:v>
                </c:pt>
                <c:pt idx="196">
                  <c:v>13.308220337642737</c:v>
                </c:pt>
                <c:pt idx="197">
                  <c:v>13.935417439297289</c:v>
                </c:pt>
                <c:pt idx="198">
                  <c:v>14.592173429694558</c:v>
                </c:pt>
                <c:pt idx="199">
                  <c:v>15.279881376342974</c:v>
                </c:pt>
                <c:pt idx="200">
                  <c:v>16</c:v>
                </c:pt>
                <c:pt idx="201">
                  <c:v>16.754056768814401</c:v>
                </c:pt>
                <c:pt idx="202">
                  <c:v>17.543651138290965</c:v>
                </c:pt>
                <c:pt idx="203">
                  <c:v>18.370457943950136</c:v>
                </c:pt>
                <c:pt idx="204">
                  <c:v>19.236230953878614</c:v>
                </c:pt>
                <c:pt idx="205">
                  <c:v>20.142806588706691</c:v>
                </c:pt>
                <c:pt idx="206">
                  <c:v>21.092107816902523</c:v>
                </c:pt>
                <c:pt idx="207">
                  <c:v>22.086148233646163</c:v>
                </c:pt>
                <c:pt idx="208">
                  <c:v>23.127036331934843</c:v>
                </c:pt>
                <c:pt idx="209">
                  <c:v>24.216979974979338</c:v>
                </c:pt>
                <c:pt idx="210">
                  <c:v>25.358291079377821</c:v>
                </c:pt>
                <c:pt idx="211">
                  <c:v>26.553390519000985</c:v>
                </c:pt>
                <c:pt idx="212">
                  <c:v>27.804813259990013</c:v>
                </c:pt>
                <c:pt idx="213">
                  <c:v>29.115213737759746</c:v>
                </c:pt>
                <c:pt idx="214">
                  <c:v>30.487371487411963</c:v>
                </c:pt>
                <c:pt idx="215">
                  <c:v>31.92419703950209</c:v>
                </c:pt>
                <c:pt idx="216">
                  <c:v>33.428738093664641</c:v>
                </c:pt>
                <c:pt idx="217">
                  <c:v>35.004185983192862</c:v>
                </c:pt>
                <c:pt idx="218">
                  <c:v>36.653882444284385</c:v>
                </c:pt>
                <c:pt idx="219">
                  <c:v>38.381326704311853</c:v>
                </c:pt>
                <c:pt idx="220">
                  <c:v>40.190182904153282</c:v>
                </c:pt>
                <c:pt idx="221">
                  <c:v>42.084287870326122</c:v>
                </c:pt>
                <c:pt idx="222">
                  <c:v>44.067659253410667</c:v>
                </c:pt>
                <c:pt idx="223">
                  <c:v>46.144504050025709</c:v>
                </c:pt>
                <c:pt idx="224">
                  <c:v>48.319227526432265</c:v>
                </c:pt>
                <c:pt idx="225">
                  <c:v>50.596442562694087</c:v>
                </c:pt>
                <c:pt idx="226">
                  <c:v>52.980979437214607</c:v>
                </c:pt>
                <c:pt idx="227">
                  <c:v>55.477896072405088</c:v>
                </c:pt>
                <c:pt idx="228">
                  <c:v>58.092488763216252</c:v>
                </c:pt>
                <c:pt idx="229">
                  <c:v>60.830303411289826</c:v>
                </c:pt>
                <c:pt idx="230">
                  <c:v>63.697147288559613</c:v>
                </c:pt>
                <c:pt idx="231">
                  <c:v>66.699101355253703</c:v>
                </c:pt>
                <c:pt idx="232">
                  <c:v>69.842533158426576</c:v>
                </c:pt>
                <c:pt idx="233">
                  <c:v>73.134110338380012</c:v>
                </c:pt>
                <c:pt idx="234">
                  <c:v>76.580814771622173</c:v>
                </c:pt>
                <c:pt idx="235">
                  <c:v>80.18995738036358</c:v>
                </c:pt>
                <c:pt idx="236">
                  <c:v>83.969193639963663</c:v>
                </c:pt>
                <c:pt idx="237">
                  <c:v>87.926539817219961</c:v>
                </c:pt>
                <c:pt idx="238">
                  <c:v>92.070389973945112</c:v>
                </c:pt>
                <c:pt idx="239">
                  <c:v>96.409533771897316</c:v>
                </c:pt>
                <c:pt idx="240">
                  <c:v>100.95317511683099</c:v>
                </c:pt>
                <c:pt idx="241">
                  <c:v>105.71095168121541</c:v>
                </c:pt>
                <c:pt idx="242">
                  <c:v>110.69295534702985</c:v>
                </c:pt>
                <c:pt idx="243">
                  <c:v>115.90975361199851</c:v>
                </c:pt>
                <c:pt idx="244">
                  <c:v>121.37241200466939</c:v>
                </c:pt>
                <c:pt idx="245">
                  <c:v>127.09251755588512</c:v>
                </c:pt>
                <c:pt idx="246">
                  <c:v>133.0822033764274</c:v>
                </c:pt>
                <c:pt idx="247">
                  <c:v>139.35417439297291</c:v>
                </c:pt>
                <c:pt idx="248">
                  <c:v>145.92173429694557</c:v>
                </c:pt>
                <c:pt idx="249">
                  <c:v>152.79881376342985</c:v>
                </c:pt>
                <c:pt idx="250">
                  <c:v>160</c:v>
                </c:pt>
                <c:pt idx="251">
                  <c:v>167.54056768814397</c:v>
                </c:pt>
                <c:pt idx="252">
                  <c:v>175.43651138290977</c:v>
                </c:pt>
                <c:pt idx="253">
                  <c:v>183.70457943950137</c:v>
                </c:pt>
                <c:pt idx="254">
                  <c:v>192.36230953878618</c:v>
                </c:pt>
                <c:pt idx="255">
                  <c:v>201.42806588706685</c:v>
                </c:pt>
                <c:pt idx="256">
                  <c:v>210.92107816902535</c:v>
                </c:pt>
                <c:pt idx="257">
                  <c:v>220.86148233646179</c:v>
                </c:pt>
                <c:pt idx="258">
                  <c:v>231.27036331934858</c:v>
                </c:pt>
                <c:pt idx="259">
                  <c:v>242.16979974979347</c:v>
                </c:pt>
                <c:pt idx="260">
                  <c:v>253.58291079377847</c:v>
                </c:pt>
                <c:pt idx="261">
                  <c:v>265.53390519000999</c:v>
                </c:pt>
                <c:pt idx="262">
                  <c:v>278.04813259990027</c:v>
                </c:pt>
                <c:pt idx="263">
                  <c:v>291.15213737759728</c:v>
                </c:pt>
                <c:pt idx="264">
                  <c:v>304.87371487411968</c:v>
                </c:pt>
                <c:pt idx="265">
                  <c:v>319.24197039502087</c:v>
                </c:pt>
                <c:pt idx="266">
                  <c:v>334.28738093664634</c:v>
                </c:pt>
                <c:pt idx="267">
                  <c:v>350.04185983192838</c:v>
                </c:pt>
                <c:pt idx="268">
                  <c:v>366.53882444284392</c:v>
                </c:pt>
                <c:pt idx="269">
                  <c:v>383.81326704311863</c:v>
                </c:pt>
                <c:pt idx="270">
                  <c:v>401.90182904153289</c:v>
                </c:pt>
                <c:pt idx="271">
                  <c:v>420.84287870326108</c:v>
                </c:pt>
                <c:pt idx="272">
                  <c:v>440.67659253410693</c:v>
                </c:pt>
                <c:pt idx="273">
                  <c:v>461.44504050025716</c:v>
                </c:pt>
                <c:pt idx="274">
                  <c:v>483.19227526432269</c:v>
                </c:pt>
                <c:pt idx="275">
                  <c:v>505.96442562694119</c:v>
                </c:pt>
                <c:pt idx="276">
                  <c:v>529.80979437214626</c:v>
                </c:pt>
                <c:pt idx="277">
                  <c:v>554.77896072405099</c:v>
                </c:pt>
                <c:pt idx="278">
                  <c:v>580.92488763216249</c:v>
                </c:pt>
                <c:pt idx="279">
                  <c:v>608.30303411289867</c:v>
                </c:pt>
                <c:pt idx="280">
                  <c:v>636.9714728855962</c:v>
                </c:pt>
                <c:pt idx="281">
                  <c:v>666.9910135525372</c:v>
                </c:pt>
                <c:pt idx="282">
                  <c:v>698.42533158426602</c:v>
                </c:pt>
                <c:pt idx="283">
                  <c:v>731.34110338380106</c:v>
                </c:pt>
                <c:pt idx="284">
                  <c:v>765.80814771622227</c:v>
                </c:pt>
                <c:pt idx="285">
                  <c:v>801.89957380363637</c:v>
                </c:pt>
                <c:pt idx="286">
                  <c:v>839.69193639963669</c:v>
                </c:pt>
                <c:pt idx="287">
                  <c:v>879.26539817220055</c:v>
                </c:pt>
                <c:pt idx="288">
                  <c:v>920.70389973945134</c:v>
                </c:pt>
                <c:pt idx="289">
                  <c:v>964.09533771897247</c:v>
                </c:pt>
                <c:pt idx="290">
                  <c:v>1009.5317511683093</c:v>
                </c:pt>
                <c:pt idx="291">
                  <c:v>1057.1095168121544</c:v>
                </c:pt>
                <c:pt idx="292">
                  <c:v>1106.9295534702987</c:v>
                </c:pt>
                <c:pt idx="293">
                  <c:v>1159.0975361199844</c:v>
                </c:pt>
                <c:pt idx="294">
                  <c:v>1213.724120046694</c:v>
                </c:pt>
                <c:pt idx="295">
                  <c:v>1270.9251755588514</c:v>
                </c:pt>
                <c:pt idx="296">
                  <c:v>1330.8220337642742</c:v>
                </c:pt>
                <c:pt idx="297">
                  <c:v>1393.5417439297296</c:v>
                </c:pt>
                <c:pt idx="298">
                  <c:v>1459.2173429694558</c:v>
                </c:pt>
                <c:pt idx="299">
                  <c:v>1527.9881376342989</c:v>
                </c:pt>
                <c:pt idx="300">
                  <c:v>1600</c:v>
                </c:pt>
              </c:numCache>
            </c:numRef>
          </c:xVal>
          <c:yVal>
            <c:numRef>
              <c:f>'Bias Network'!$K$3:$K$303</c:f>
              <c:numCache>
                <c:formatCode>General</c:formatCode>
                <c:ptCount val="301"/>
                <c:pt idx="0">
                  <c:v>-6.020604069074647</c:v>
                </c:pt>
                <c:pt idx="1">
                  <c:v>-6.0206044700180561</c:v>
                </c:pt>
                <c:pt idx="2">
                  <c:v>-6.0206049096437102</c:v>
                </c:pt>
                <c:pt idx="3">
                  <c:v>-6.0206053916835955</c:v>
                </c:pt>
                <c:pt idx="4">
                  <c:v>-6.0206059202297659</c:v>
                </c:pt>
                <c:pt idx="5">
                  <c:v>-6.0206064997690412</c:v>
                </c:pt>
                <c:pt idx="6">
                  <c:v>-6.0206071352211303</c:v>
                </c:pt>
                <c:pt idx="7">
                  <c:v>-6.02060783198037</c:v>
                </c:pt>
                <c:pt idx="8">
                  <c:v>-6.0206085959615869</c:v>
                </c:pt>
                <c:pt idx="9">
                  <c:v>-6.0206094336501597</c:v>
                </c:pt>
                <c:pt idx="10">
                  <c:v>-6.0206103521572221</c:v>
                </c:pt>
                <c:pt idx="11">
                  <c:v>-6.0206113592799779</c:v>
                </c:pt>
                <c:pt idx="12">
                  <c:v>-6.0206124635678435</c:v>
                </c:pt>
                <c:pt idx="13">
                  <c:v>-6.0206136743951033</c:v>
                </c:pt>
                <c:pt idx="14">
                  <c:v>-6.0206150020403895</c:v>
                </c:pt>
                <c:pt idx="15">
                  <c:v>-6.0206164577740475</c:v>
                </c:pt>
                <c:pt idx="16">
                  <c:v>-6.020618053953676</c:v>
                </c:pt>
                <c:pt idx="17">
                  <c:v>-6.020619804129181</c:v>
                </c:pt>
                <c:pt idx="18">
                  <c:v>-6.0206217231576611</c:v>
                </c:pt>
                <c:pt idx="19">
                  <c:v>-6.0206238273295432</c:v>
                </c:pt>
                <c:pt idx="20">
                  <c:v>-6.0206261345069887</c:v>
                </c:pt>
                <c:pt idx="21">
                  <c:v>-6.0206286642753257</c:v>
                </c:pt>
                <c:pt idx="22">
                  <c:v>-6.0206314381094552</c:v>
                </c:pt>
                <c:pt idx="23">
                  <c:v>-6.0206344795560796</c:v>
                </c:pt>
                <c:pt idx="24">
                  <c:v>-6.0206378144335169</c:v>
                </c:pt>
                <c:pt idx="25">
                  <c:v>-6.020641471050979</c:v>
                </c:pt>
                <c:pt idx="26">
                  <c:v>-6.0206454804487759</c:v>
                </c:pt>
                <c:pt idx="27">
                  <c:v>-6.0206498766617589</c:v>
                </c:pt>
                <c:pt idx="28">
                  <c:v>-6.0206546970083483</c:v>
                </c:pt>
                <c:pt idx="29">
                  <c:v>-6.0206599824071194</c:v>
                </c:pt>
                <c:pt idx="30">
                  <c:v>-6.0206657777242425</c:v>
                </c:pt>
                <c:pt idx="31">
                  <c:v>-6.0206721321542114</c:v>
                </c:pt>
                <c:pt idx="32">
                  <c:v>-6.0206790996374329</c:v>
                </c:pt>
                <c:pt idx="33">
                  <c:v>-6.0206867393180294</c:v>
                </c:pt>
                <c:pt idx="34">
                  <c:v>-6.020695116045772</c:v>
                </c:pt>
                <c:pt idx="35">
                  <c:v>-6.0207043009265417</c:v>
                </c:pt>
                <c:pt idx="36">
                  <c:v>-6.0207143719257026</c:v>
                </c:pt>
                <c:pt idx="37">
                  <c:v>-6.0207254145298421</c:v>
                </c:pt>
                <c:pt idx="38">
                  <c:v>-6.020737522472257</c:v>
                </c:pt>
                <c:pt idx="39">
                  <c:v>-6.0207507985283204</c:v>
                </c:pt>
                <c:pt idx="40">
                  <c:v>-6.0207653553876614</c:v>
                </c:pt>
                <c:pt idx="41">
                  <c:v>-6.0207813166104707</c:v>
                </c:pt>
                <c:pt idx="42">
                  <c:v>-6.0207988176758196</c:v>
                </c:pt>
                <c:pt idx="43">
                  <c:v>-6.0208180071313491</c:v>
                </c:pt>
                <c:pt idx="44">
                  <c:v>-6.0208390478534692</c:v>
                </c:pt>
                <c:pt idx="45">
                  <c:v>-6.0208621184293252</c:v>
                </c:pt>
                <c:pt idx="46">
                  <c:v>-6.0208874146718916</c:v>
                </c:pt>
                <c:pt idx="47">
                  <c:v>-6.0209151512809385</c:v>
                </c:pt>
                <c:pt idx="48">
                  <c:v>-6.0209455636643936</c:v>
                </c:pt>
                <c:pt idx="49">
                  <c:v>-6.0209789099349695</c:v>
                </c:pt>
                <c:pt idx="50">
                  <c:v>-6.0210154730992969</c:v>
                </c:pt>
                <c:pt idx="51">
                  <c:v>-6.0210555634579634</c:v>
                </c:pt>
                <c:pt idx="52">
                  <c:v>-6.0210995212367555</c:v>
                </c:pt>
                <c:pt idx="53">
                  <c:v>-6.0211477194713829</c:v>
                </c:pt>
                <c:pt idx="54">
                  <c:v>-6.0212005671699478</c:v>
                </c:pt>
                <c:pt idx="55">
                  <c:v>-6.0212585127799869</c:v>
                </c:pt>
                <c:pt idx="56">
                  <c:v>-6.0213220479893614</c:v>
                </c:pt>
                <c:pt idx="57">
                  <c:v>-6.0213917118928162</c:v>
                </c:pt>
                <c:pt idx="58">
                  <c:v>-6.0214680955596656</c:v>
                </c:pt>
                <c:pt idx="59">
                  <c:v>-6.0215518470408194</c:v>
                </c:pt>
                <c:pt idx="60">
                  <c:v>-6.021643676857483</c:v>
                </c:pt>
                <c:pt idx="61">
                  <c:v>-6.0217443640175308</c:v>
                </c:pt>
                <c:pt idx="62">
                  <c:v>-6.0218547626102037</c:v>
                </c:pt>
                <c:pt idx="63">
                  <c:v>-6.0219758090344699</c:v>
                </c:pt>
                <c:pt idx="64">
                  <c:v>-6.0221085299217894</c:v>
                </c:pt>
                <c:pt idx="65">
                  <c:v>-6.0222540508192353</c:v>
                </c:pt>
                <c:pt idx="66">
                  <c:v>-6.0224136057061983</c:v>
                </c:pt>
                <c:pt idx="67">
                  <c:v>-6.0225885474236467</c:v>
                </c:pt>
                <c:pt idx="68">
                  <c:v>-6.0227803591031792</c:v>
                </c:pt>
                <c:pt idx="69">
                  <c:v>-6.0229906666910065</c:v>
                </c:pt>
                <c:pt idx="70">
                  <c:v>-6.0232212526707478</c:v>
                </c:pt>
                <c:pt idx="71">
                  <c:v>-6.0234740710991144</c:v>
                </c:pt>
                <c:pt idx="72">
                  <c:v>-6.0237512640786086</c:v>
                </c:pt>
                <c:pt idx="73">
                  <c:v>-6.0240551798032982</c:v>
                </c:pt>
                <c:pt idx="74">
                  <c:v>-6.0243883923261512</c:v>
                </c:pt>
                <c:pt idx="75">
                  <c:v>-6.0247537232100079</c:v>
                </c:pt>
                <c:pt idx="76">
                  <c:v>-6.0251542652394026</c:v>
                </c:pt>
                <c:pt idx="77">
                  <c:v>-6.0255934083862126</c:v>
                </c:pt>
                <c:pt idx="78">
                  <c:v>-6.0260748682397853</c:v>
                </c:pt>
                <c:pt idx="79">
                  <c:v>-6.0266027171313983</c:v>
                </c:pt>
                <c:pt idx="80">
                  <c:v>-6.0271814182027681</c:v>
                </c:pt>
                <c:pt idx="81">
                  <c:v>-6.0278158626913907</c:v>
                </c:pt>
                <c:pt idx="82">
                  <c:v>-6.0285114107285001</c:v>
                </c:pt>
                <c:pt idx="83">
                  <c:v>-6.0292739359719105</c:v>
                </c:pt>
                <c:pt idx="84">
                  <c:v>-6.0301098744232595</c:v>
                </c:pt>
                <c:pt idx="85">
                  <c:v>-6.0310262778090014</c:v>
                </c:pt>
                <c:pt idx="86">
                  <c:v>-6.0320308719363105</c:v>
                </c:pt>
                <c:pt idx="87">
                  <c:v>-6.0331321204688333</c:v>
                </c:pt>
                <c:pt idx="88">
                  <c:v>-6.0343392946029626</c:v>
                </c:pt>
                <c:pt idx="89">
                  <c:v>-6.0356625491640106</c:v>
                </c:pt>
                <c:pt idx="90">
                  <c:v>-6.0371130056810909</c:v>
                </c:pt>
                <c:pt idx="91">
                  <c:v>-6.0387028430420209</c:v>
                </c:pt>
                <c:pt idx="92">
                  <c:v>-6.0404453963730118</c:v>
                </c:pt>
                <c:pt idx="93">
                  <c:v>-6.042355264833791</c:v>
                </c:pt>
                <c:pt idx="94">
                  <c:v>-6.0444484290642277</c:v>
                </c:pt>
                <c:pt idx="95">
                  <c:v>-6.0467423790665382</c:v>
                </c:pt>
                <c:pt idx="96">
                  <c:v>-6.0492562533532999</c:v>
                </c:pt>
                <c:pt idx="97">
                  <c:v>-6.0520109902376884</c:v>
                </c:pt>
                <c:pt idx="98">
                  <c:v>-6.0550294921867582</c:v>
                </c:pt>
                <c:pt idx="99">
                  <c:v>-6.0583368041983965</c:v>
                </c:pt>
                <c:pt idx="100">
                  <c:v>-6.0619603071991683</c:v>
                </c:pt>
                <c:pt idx="101">
                  <c:v>-6.0659299274880123</c:v>
                </c:pt>
                <c:pt idx="102">
                  <c:v>-6.0702783632703294</c:v>
                </c:pt>
                <c:pt idx="103">
                  <c:v>-6.0750413293332084</c:v>
                </c:pt>
                <c:pt idx="104">
                  <c:v>-6.0802578209028804</c:v>
                </c:pt>
                <c:pt idx="105">
                  <c:v>-6.0859703976957533</c:v>
                </c:pt>
                <c:pt idx="106">
                  <c:v>-6.0922254891183867</c:v>
                </c:pt>
                <c:pt idx="107">
                  <c:v>-6.0990737214855715</c:v>
                </c:pt>
                <c:pt idx="108">
                  <c:v>-6.1065702680008354</c:v>
                </c:pt>
                <c:pt idx="109">
                  <c:v>-6.1147752220727263</c:v>
                </c:pt>
                <c:pt idx="110">
                  <c:v>-6.1237539943156776</c:v>
                </c:pt>
                <c:pt idx="111">
                  <c:v>-6.1335777332935848</c:v>
                </c:pt>
                <c:pt idx="112">
                  <c:v>-6.1443237696990263</c:v>
                </c:pt>
                <c:pt idx="113">
                  <c:v>-6.1560760832076875</c:v>
                </c:pt>
                <c:pt idx="114">
                  <c:v>-6.1689257906931108</c:v>
                </c:pt>
                <c:pt idx="115">
                  <c:v>-6.1829716538185417</c:v>
                </c:pt>
                <c:pt idx="116">
                  <c:v>-6.1983206032262554</c:v>
                </c:pt>
                <c:pt idx="117">
                  <c:v>-6.2150882756060906</c:v>
                </c:pt>
                <c:pt idx="118">
                  <c:v>-6.2333995588328994</c:v>
                </c:pt>
                <c:pt idx="119">
                  <c:v>-6.2533891391063783</c:v>
                </c:pt>
                <c:pt idx="120">
                  <c:v>-6.2752020425987673</c:v>
                </c:pt>
                <c:pt idx="121">
                  <c:v>-6.2989941625168875</c:v>
                </c:pt>
                <c:pt idx="122">
                  <c:v>-6.3249327607177968</c:v>
                </c:pt>
                <c:pt idx="123">
                  <c:v>-6.353196931099971</c:v>
                </c:pt>
                <c:pt idx="124">
                  <c:v>-6.383978009950221</c:v>
                </c:pt>
                <c:pt idx="125">
                  <c:v>-6.4174799163050809</c:v>
                </c:pt>
                <c:pt idx="126">
                  <c:v>-6.4539194032441554</c:v>
                </c:pt>
                <c:pt idx="127">
                  <c:v>-6.4935261989579089</c:v>
                </c:pt>
                <c:pt idx="128">
                  <c:v>-6.5365430145267851</c:v>
                </c:pt>
                <c:pt idx="129">
                  <c:v>-6.5832253937502374</c:v>
                </c:pt>
                <c:pt idx="130">
                  <c:v>-6.6338413792275652</c:v>
                </c:pt>
                <c:pt idx="131">
                  <c:v>-6.6886709684037884</c:v>
                </c:pt>
                <c:pt idx="132">
                  <c:v>-6.748005333654139</c:v>
                </c:pt>
                <c:pt idx="133">
                  <c:v>-6.8121457819034852</c:v>
                </c:pt>
                <c:pt idx="134">
                  <c:v>-6.8814024319753422</c:v>
                </c:pt>
                <c:pt idx="135">
                  <c:v>-6.9560925920315793</c:v>
                </c:pt>
                <c:pt idx="136">
                  <c:v>-7.0365388252557493</c:v>
                </c:pt>
                <c:pt idx="137">
                  <c:v>-7.1230666994373939</c:v>
                </c:pt>
                <c:pt idx="138">
                  <c:v>-7.2160022253333462</c:v>
                </c:pt>
                <c:pt idx="139">
                  <c:v>-7.3156689994943829</c:v>
                </c:pt>
                <c:pt idx="140">
                  <c:v>-7.4223850793913826</c:v>
                </c:pt>
                <c:pt idx="141">
                  <c:v>-7.536459631738083</c:v>
                </c:pt>
                <c:pt idx="142">
                  <c:v>-7.6581894083092514</c:v>
                </c:pt>
                <c:pt idx="143">
                  <c:v>-7.7878551165721666</c:v>
                </c:pt>
                <c:pt idx="144">
                  <c:v>-7.9257177642454764</c:v>
                </c:pt>
                <c:pt idx="145">
                  <c:v>-8.0720150665757977</c:v>
                </c:pt>
                <c:pt idx="146">
                  <c:v>-8.2269580117868877</c:v>
                </c:pt>
                <c:pt idx="147">
                  <c:v>-8.3907276830154522</c:v>
                </c:pt>
                <c:pt idx="148">
                  <c:v>-8.5634724334882062</c:v>
                </c:pt>
                <c:pt idx="149">
                  <c:v>-8.7453055053732385</c:v>
                </c:pt>
                <c:pt idx="150">
                  <c:v>-8.936303171642404</c:v>
                </c:pt>
                <c:pt idx="151">
                  <c:v>-9.1365034647661361</c:v>
                </c:pt>
                <c:pt idx="152">
                  <c:v>-9.3459055368465513</c:v>
                </c:pt>
                <c:pt idx="153">
                  <c:v>-9.564469673926153</c:v>
                </c:pt>
                <c:pt idx="154">
                  <c:v>-9.7921179639603384</c:v>
                </c:pt>
                <c:pt idx="155">
                  <c:v>-10.028735594728857</c:v>
                </c:pt>
                <c:pt idx="156">
                  <c:v>-10.274172736178848</c:v>
                </c:pt>
                <c:pt idx="157">
                  <c:v>-10.52824694262126</c:v>
                </c:pt>
                <c:pt idx="158">
                  <c:v>-10.790745994864146</c:v>
                </c:pt>
                <c:pt idx="159">
                  <c:v>-11.061431091475018</c:v>
                </c:pt>
                <c:pt idx="160">
                  <c:v>-11.340040292252041</c:v>
                </c:pt>
                <c:pt idx="161">
                  <c:v>-11.62629211562551</c:v>
                </c:pt>
                <c:pt idx="162">
                  <c:v>-11.919889194751557</c:v>
                </c:pt>
                <c:pt idx="163">
                  <c:v>-12.220521903871902</c:v>
                </c:pt>
                <c:pt idx="164">
                  <c:v>-12.527871876300464</c:v>
                </c:pt>
                <c:pt idx="165">
                  <c:v>-12.841615347267721</c:v>
                </c:pt>
                <c:pt idx="166">
                  <c:v>-13.161426267903398</c:v>
                </c:pt>
                <c:pt idx="167">
                  <c:v>-13.486979150041201</c:v>
                </c:pt>
                <c:pt idx="168">
                  <c:v>-13.817951614561593</c:v>
                </c:pt>
                <c:pt idx="169">
                  <c:v>-14.154026628086211</c:v>
                </c:pt>
                <c:pt idx="170">
                  <c:v>-14.494894423581812</c:v>
                </c:pt>
                <c:pt idx="171">
                  <c:v>-14.840254109580037</c:v>
                </c:pt>
                <c:pt idx="172">
                  <c:v>-15.189814980146599</c:v>
                </c:pt>
                <c:pt idx="173">
                  <c:v>-15.543297543453395</c:v>
                </c:pt>
                <c:pt idx="174">
                  <c:v>-15.900434290905372</c:v>
                </c:pt>
                <c:pt idx="175">
                  <c:v>-16.260970231412117</c:v>
                </c:pt>
                <c:pt idx="176">
                  <c:v>-16.624663216768191</c:v>
                </c:pt>
                <c:pt idx="177">
                  <c:v>-16.991284084422503</c:v>
                </c:pt>
                <c:pt idx="178">
                  <c:v>-17.360616643397954</c:v>
                </c:pt>
                <c:pt idx="179">
                  <c:v>-17.732457527962325</c:v>
                </c:pt>
                <c:pt idx="180">
                  <c:v>-18.106615942034235</c:v>
                </c:pt>
                <c:pt idx="181">
                  <c:v>-18.482913315396182</c:v>
                </c:pt>
                <c:pt idx="182">
                  <c:v>-18.861182890703066</c:v>
                </c:pt>
                <c:pt idx="183">
                  <c:v>-19.241269258134942</c:v>
                </c:pt>
                <c:pt idx="184">
                  <c:v>-19.623027852423135</c:v>
                </c:pt>
                <c:pt idx="185">
                  <c:v>-20.006324424940907</c:v>
                </c:pt>
                <c:pt idx="186">
                  <c:v>-20.391034501640082</c:v>
                </c:pt>
                <c:pt idx="187">
                  <c:v>-20.777042835853162</c:v>
                </c:pt>
                <c:pt idx="188">
                  <c:v>-21.164242863390452</c:v>
                </c:pt>
                <c:pt idx="189">
                  <c:v>-21.552536165940083</c:v>
                </c:pt>
                <c:pt idx="190">
                  <c:v>-21.941831947530794</c:v>
                </c:pt>
                <c:pt idx="191">
                  <c:v>-22.332046527731318</c:v>
                </c:pt>
                <c:pt idx="192">
                  <c:v>-22.723102854328815</c:v>
                </c:pt>
                <c:pt idx="193">
                  <c:v>-23.114930037438018</c:v>
                </c:pt>
                <c:pt idx="194">
                  <c:v>-23.507462906329145</c:v>
                </c:pt>
                <c:pt idx="195">
                  <c:v>-23.900641589713693</c:v>
                </c:pt>
                <c:pt idx="196">
                  <c:v>-24.294411119777539</c:v>
                </c:pt>
                <c:pt idx="197">
                  <c:v>-24.688721059888831</c:v>
                </c:pt>
                <c:pt idx="198">
                  <c:v>-25.083525155620947</c:v>
                </c:pt>
                <c:pt idx="199">
                  <c:v>-25.478781008508847</c:v>
                </c:pt>
                <c:pt idx="200">
                  <c:v>-25.874449771787852</c:v>
                </c:pt>
                <c:pt idx="201">
                  <c:v>-26.270495867241571</c:v>
                </c:pt>
                <c:pt idx="202">
                  <c:v>-26.66688672219998</c:v>
                </c:pt>
                <c:pt idx="203">
                  <c:v>-27.063592525675354</c:v>
                </c:pt>
                <c:pt idx="204">
                  <c:v>-27.460586002593445</c:v>
                </c:pt>
                <c:pt idx="205">
                  <c:v>-27.857842205069346</c:v>
                </c:pt>
                <c:pt idx="206">
                  <c:v>-28.255338319684359</c:v>
                </c:pt>
                <c:pt idx="207">
                  <c:v>-28.653053489739353</c:v>
                </c:pt>
                <c:pt idx="208">
                  <c:v>-29.050968651489754</c:v>
                </c:pt>
                <c:pt idx="209">
                  <c:v>-29.449066383402112</c:v>
                </c:pt>
                <c:pt idx="210">
                  <c:v>-29.847330767514183</c:v>
                </c:pt>
                <c:pt idx="211">
                  <c:v>-30.245747262023496</c:v>
                </c:pt>
                <c:pt idx="212">
                  <c:v>-30.644302584276616</c:v>
                </c:pt>
                <c:pt idx="213">
                  <c:v>-31.042984603377057</c:v>
                </c:pt>
                <c:pt idx="214">
                  <c:v>-31.441782241676947</c:v>
                </c:pt>
                <c:pt idx="215">
                  <c:v>-31.84068538446525</c:v>
                </c:pt>
                <c:pt idx="216">
                  <c:v>-32.239684797208646</c:v>
                </c:pt>
                <c:pt idx="217">
                  <c:v>-32.638772049745995</c:v>
                </c:pt>
                <c:pt idx="218">
                  <c:v>-33.037939446879058</c:v>
                </c:pt>
                <c:pt idx="219">
                  <c:v>-33.437179964842436</c:v>
                </c:pt>
                <c:pt idx="220">
                  <c:v>-33.836487193172928</c:v>
                </c:pt>
                <c:pt idx="221">
                  <c:v>-34.235855281535727</c:v>
                </c:pt>
                <c:pt idx="222">
                  <c:v>-34.635278891096377</c:v>
                </c:pt>
                <c:pt idx="223">
                  <c:v>-35.034753150062102</c:v>
                </c:pt>
                <c:pt idx="224">
                  <c:v>-35.434273613043217</c:v>
                </c:pt>
                <c:pt idx="225">
                  <c:v>-35.833836223913494</c:v>
                </c:pt>
                <c:pt idx="226">
                  <c:v>-36.233437281875453</c:v>
                </c:pt>
                <c:pt idx="227">
                  <c:v>-36.633073410457854</c:v>
                </c:pt>
                <c:pt idx="228">
                  <c:v>-37.032741529197722</c:v>
                </c:pt>
                <c:pt idx="229">
                  <c:v>-37.432438827776863</c:v>
                </c:pt>
                <c:pt idx="230">
                  <c:v>-37.832162742403519</c:v>
                </c:pt>
                <c:pt idx="231">
                  <c:v>-38.231910934246955</c:v>
                </c:pt>
                <c:pt idx="232">
                  <c:v>-38.631681269748491</c:v>
                </c:pt>
                <c:pt idx="233">
                  <c:v>-39.031471802646635</c:v>
                </c:pt>
                <c:pt idx="234">
                  <c:v>-39.431280757570299</c:v>
                </c:pt>
                <c:pt idx="235">
                  <c:v>-39.831106515062217</c:v>
                </c:pt>
                <c:pt idx="236">
                  <c:v>-40.230947597910784</c:v>
                </c:pt>
                <c:pt idx="237">
                  <c:v>-40.630802658675819</c:v>
                </c:pt>
                <c:pt idx="238">
                  <c:v>-41.030670468304926</c:v>
                </c:pt>
                <c:pt idx="239">
                  <c:v>-41.430549905745586</c:v>
                </c:pt>
                <c:pt idx="240">
                  <c:v>-41.830439948466456</c:v>
                </c:pt>
                <c:pt idx="241">
                  <c:v>-42.230339663808664</c:v>
                </c:pt>
                <c:pt idx="242">
                  <c:v>-42.630248201094645</c:v>
                </c:pt>
                <c:pt idx="243">
                  <c:v>-43.030164784428607</c:v>
                </c:pt>
                <c:pt idx="244">
                  <c:v>-43.430088706128025</c:v>
                </c:pt>
                <c:pt idx="245">
                  <c:v>-43.830019320731246</c:v>
                </c:pt>
                <c:pt idx="246">
                  <c:v>-44.229956039530734</c:v>
                </c:pt>
                <c:pt idx="247">
                  <c:v>-44.629898325586012</c:v>
                </c:pt>
                <c:pt idx="248">
                  <c:v>-45.029845689174117</c:v>
                </c:pt>
                <c:pt idx="249">
                  <c:v>-45.429797683639698</c:v>
                </c:pt>
                <c:pt idx="250">
                  <c:v>-45.829753901609259</c:v>
                </c:pt>
                <c:pt idx="251">
                  <c:v>-46.229713971538175</c:v>
                </c:pt>
                <c:pt idx="252">
                  <c:v>-46.629677554560381</c:v>
                </c:pt>
                <c:pt idx="253">
                  <c:v>-47.029644341615651</c:v>
                </c:pt>
                <c:pt idx="254">
                  <c:v>-47.429614050828597</c:v>
                </c:pt>
                <c:pt idx="255">
                  <c:v>-47.829586425118286</c:v>
                </c:pt>
                <c:pt idx="256">
                  <c:v>-48.229561230017815</c:v>
                </c:pt>
                <c:pt idx="257">
                  <c:v>-48.629538251685617</c:v>
                </c:pt>
                <c:pt idx="258">
                  <c:v>-49.029517295091658</c:v>
                </c:pt>
                <c:pt idx="259">
                  <c:v>-49.429498182362565</c:v>
                </c:pt>
                <c:pt idx="260">
                  <c:v>-49.829480751273124</c:v>
                </c:pt>
                <c:pt idx="261">
                  <c:v>-50.229464853869644</c:v>
                </c:pt>
                <c:pt idx="262">
                  <c:v>-50.629450355214544</c:v>
                </c:pt>
                <c:pt idx="263">
                  <c:v>-51.029437132241824</c:v>
                </c:pt>
                <c:pt idx="264">
                  <c:v>-51.429425072712235</c:v>
                </c:pt>
                <c:pt idx="265">
                  <c:v>-51.829414074261358</c:v>
                </c:pt>
                <c:pt idx="266">
                  <c:v>-52.2294040435306</c:v>
                </c:pt>
                <c:pt idx="267">
                  <c:v>-52.629394895375299</c:v>
                </c:pt>
                <c:pt idx="268">
                  <c:v>-53.029386552141624</c:v>
                </c:pt>
                <c:pt idx="269">
                  <c:v>-53.429378943008189</c:v>
                </c:pt>
                <c:pt idx="270">
                  <c:v>-53.829372003384314</c:v>
                </c:pt>
                <c:pt idx="271">
                  <c:v>-54.229365674362484</c:v>
                </c:pt>
                <c:pt idx="272">
                  <c:v>-54.629359902217978</c:v>
                </c:pt>
                <c:pt idx="273">
                  <c:v>-55.029354637952899</c:v>
                </c:pt>
                <c:pt idx="274">
                  <c:v>-55.429349836880476</c:v>
                </c:pt>
                <c:pt idx="275">
                  <c:v>-55.829345458245825</c:v>
                </c:pt>
                <c:pt idx="276">
                  <c:v>-56.229341464879681</c:v>
                </c:pt>
                <c:pt idx="277">
                  <c:v>-56.629337822883265</c:v>
                </c:pt>
                <c:pt idx="278">
                  <c:v>-57.029334501340415</c:v>
                </c:pt>
                <c:pt idx="279">
                  <c:v>-57.429331472055068</c:v>
                </c:pt>
                <c:pt idx="280">
                  <c:v>-57.829328709312186</c:v>
                </c:pt>
                <c:pt idx="281">
                  <c:v>-58.229326189659247</c:v>
                </c:pt>
                <c:pt idx="282">
                  <c:v>-58.629323891707081</c:v>
                </c:pt>
                <c:pt idx="283">
                  <c:v>-59.029321795948832</c:v>
                </c:pt>
                <c:pt idx="284">
                  <c:v>-59.429319884593681</c:v>
                </c:pt>
                <c:pt idx="285">
                  <c:v>-59.829318141416266</c:v>
                </c:pt>
                <c:pt idx="286">
                  <c:v>-60.229316551619043</c:v>
                </c:pt>
                <c:pt idx="287">
                  <c:v>-60.629315101706212</c:v>
                </c:pt>
                <c:pt idx="288">
                  <c:v>-61.029313779369552</c:v>
                </c:pt>
                <c:pt idx="289">
                  <c:v>-61.429312573383854</c:v>
                </c:pt>
                <c:pt idx="290">
                  <c:v>-61.829311473511517</c:v>
                </c:pt>
                <c:pt idx="291">
                  <c:v>-62.229310470415797</c:v>
                </c:pt>
                <c:pt idx="292">
                  <c:v>-62.629309555581408</c:v>
                </c:pt>
                <c:pt idx="293">
                  <c:v>-63.029308721242373</c:v>
                </c:pt>
                <c:pt idx="294">
                  <c:v>-63.429307960315988</c:v>
                </c:pt>
                <c:pt idx="295">
                  <c:v>-63.829307266342774</c:v>
                </c:pt>
                <c:pt idx="296">
                  <c:v>-64.229306633431548</c:v>
                </c:pt>
                <c:pt idx="297">
                  <c:v>-64.6293060562096</c:v>
                </c:pt>
                <c:pt idx="298">
                  <c:v>-65.029305529776863</c:v>
                </c:pt>
                <c:pt idx="299">
                  <c:v>-65.429305049664436</c:v>
                </c:pt>
                <c:pt idx="300">
                  <c:v>-65.829304611796616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E-4A67-A772-904DF0188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101904"/>
        <c:axId val="674100592"/>
      </c:scatterChart>
      <c:valAx>
        <c:axId val="674101904"/>
        <c:scaling>
          <c:logBase val="10"/>
          <c:orientation val="minMax"/>
          <c:max val="10000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layout>
            <c:manualLayout>
              <c:xMode val="edge"/>
              <c:yMode val="edge"/>
              <c:x val="0.40796782114987912"/>
              <c:y val="0.876000913588057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]0.00\ &quot;m&quot;;[&gt;=1000]0,\ &quot;k&quot;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0592"/>
        <c:crossesAt val="-300"/>
        <c:crossBetween val="midCat"/>
      </c:valAx>
      <c:valAx>
        <c:axId val="674100592"/>
        <c:scaling>
          <c:orientation val="minMax"/>
          <c:max val="1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1904"/>
        <c:crossesAt val="1.0000000000000004E-5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sz="1200"/>
              <a:t>φ</a:t>
            </a:r>
            <a:r>
              <a:rPr lang="en-US" sz="1200"/>
              <a:t> (Degrees)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'Bias Network'!$H$3:$H$303</c:f>
              <c:numCache>
                <c:formatCode>General</c:formatCode>
                <c:ptCount val="301"/>
                <c:pt idx="0">
                  <c:v>1.6000000000000001E-3</c:v>
                </c:pt>
                <c:pt idx="1">
                  <c:v>1.6754056768814381E-3</c:v>
                </c:pt>
                <c:pt idx="2">
                  <c:v>1.754365113829096E-3</c:v>
                </c:pt>
                <c:pt idx="3">
                  <c:v>1.8370457943950121E-3</c:v>
                </c:pt>
                <c:pt idx="4">
                  <c:v>1.9236230953878599E-3</c:v>
                </c:pt>
                <c:pt idx="5">
                  <c:v>2.0142806588706662E-3</c:v>
                </c:pt>
                <c:pt idx="6">
                  <c:v>2.1092107816902514E-3</c:v>
                </c:pt>
                <c:pt idx="7">
                  <c:v>2.208614823364615E-3</c:v>
                </c:pt>
                <c:pt idx="8">
                  <c:v>2.3127036331934835E-3</c:v>
                </c:pt>
                <c:pt idx="9">
                  <c:v>2.4216979974979319E-3</c:v>
                </c:pt>
                <c:pt idx="10">
                  <c:v>2.5358291079377818E-3</c:v>
                </c:pt>
                <c:pt idx="11">
                  <c:v>2.6553390519000971E-3</c:v>
                </c:pt>
                <c:pt idx="12">
                  <c:v>2.7804813259989999E-3</c:v>
                </c:pt>
                <c:pt idx="13">
                  <c:v>2.9115213737759696E-3</c:v>
                </c:pt>
                <c:pt idx="14">
                  <c:v>3.048737148741194E-3</c:v>
                </c:pt>
                <c:pt idx="15">
                  <c:v>3.1924197039502051E-3</c:v>
                </c:pt>
                <c:pt idx="16">
                  <c:v>3.3428738093664598E-3</c:v>
                </c:pt>
                <c:pt idx="17">
                  <c:v>3.5004185983192799E-3</c:v>
                </c:pt>
                <c:pt idx="18">
                  <c:v>3.6653882444284344E-3</c:v>
                </c:pt>
                <c:pt idx="19">
                  <c:v>3.8381326704311821E-3</c:v>
                </c:pt>
                <c:pt idx="20">
                  <c:v>4.0190182904153247E-3</c:v>
                </c:pt>
                <c:pt idx="21">
                  <c:v>4.2084287870326068E-3</c:v>
                </c:pt>
                <c:pt idx="22">
                  <c:v>4.4067659253410642E-3</c:v>
                </c:pt>
                <c:pt idx="23">
                  <c:v>4.614450405002567E-3</c:v>
                </c:pt>
                <c:pt idx="24">
                  <c:v>4.8319227526432218E-3</c:v>
                </c:pt>
                <c:pt idx="25">
                  <c:v>5.0596442562694027E-3</c:v>
                </c:pt>
                <c:pt idx="26">
                  <c:v>5.2980979437214568E-3</c:v>
                </c:pt>
                <c:pt idx="27">
                  <c:v>5.5477896072405044E-3</c:v>
                </c:pt>
                <c:pt idx="28">
                  <c:v>5.8092488763216181E-3</c:v>
                </c:pt>
                <c:pt idx="29">
                  <c:v>6.0830303411289798E-3</c:v>
                </c:pt>
                <c:pt idx="30">
                  <c:v>6.369714728855955E-3</c:v>
                </c:pt>
                <c:pt idx="31">
                  <c:v>6.6699101355253646E-3</c:v>
                </c:pt>
                <c:pt idx="32">
                  <c:v>6.9842533158426508E-3</c:v>
                </c:pt>
                <c:pt idx="33">
                  <c:v>7.3134110338380007E-3</c:v>
                </c:pt>
                <c:pt idx="34">
                  <c:v>7.658081477162214E-3</c:v>
                </c:pt>
                <c:pt idx="35">
                  <c:v>8.0189957380363535E-3</c:v>
                </c:pt>
                <c:pt idx="36">
                  <c:v>8.3969193639963583E-3</c:v>
                </c:pt>
                <c:pt idx="37">
                  <c:v>8.7926539817219963E-3</c:v>
                </c:pt>
                <c:pt idx="38">
                  <c:v>9.2070389973945045E-3</c:v>
                </c:pt>
                <c:pt idx="39">
                  <c:v>9.6409533771897159E-3</c:v>
                </c:pt>
                <c:pt idx="40">
                  <c:v>1.0095317511683081E-2</c:v>
                </c:pt>
                <c:pt idx="41">
                  <c:v>1.0571095168121531E-2</c:v>
                </c:pt>
                <c:pt idx="42">
                  <c:v>1.1069295534702976E-2</c:v>
                </c:pt>
                <c:pt idx="43">
                  <c:v>1.159097536119983E-2</c:v>
                </c:pt>
                <c:pt idx="44">
                  <c:v>1.2137241200466928E-2</c:v>
                </c:pt>
                <c:pt idx="45">
                  <c:v>1.2709251755588499E-2</c:v>
                </c:pt>
                <c:pt idx="46">
                  <c:v>1.3308220337642729E-2</c:v>
                </c:pt>
                <c:pt idx="47">
                  <c:v>1.3935417439297283E-2</c:v>
                </c:pt>
                <c:pt idx="48">
                  <c:v>1.4592173429694542E-2</c:v>
                </c:pt>
                <c:pt idx="49">
                  <c:v>1.5279881376342973E-2</c:v>
                </c:pt>
                <c:pt idx="50">
                  <c:v>1.6E-2</c:v>
                </c:pt>
                <c:pt idx="51">
                  <c:v>1.6754056768814383E-2</c:v>
                </c:pt>
                <c:pt idx="52">
                  <c:v>1.7543651138290962E-2</c:v>
                </c:pt>
                <c:pt idx="53">
                  <c:v>1.8370457943950123E-2</c:v>
                </c:pt>
                <c:pt idx="54">
                  <c:v>1.9236230953878601E-2</c:v>
                </c:pt>
                <c:pt idx="55">
                  <c:v>2.0142806588706666E-2</c:v>
                </c:pt>
                <c:pt idx="56">
                  <c:v>2.109210781690252E-2</c:v>
                </c:pt>
                <c:pt idx="57">
                  <c:v>2.2086148233646141E-2</c:v>
                </c:pt>
                <c:pt idx="58">
                  <c:v>2.3127036331934837E-2</c:v>
                </c:pt>
                <c:pt idx="59">
                  <c:v>2.4216979974979323E-2</c:v>
                </c:pt>
                <c:pt idx="60">
                  <c:v>2.5358291079377801E-2</c:v>
                </c:pt>
                <c:pt idx="61">
                  <c:v>2.6553390519000949E-2</c:v>
                </c:pt>
                <c:pt idx="62">
                  <c:v>2.780481325999001E-2</c:v>
                </c:pt>
                <c:pt idx="63">
                  <c:v>2.9115213737759729E-2</c:v>
                </c:pt>
                <c:pt idx="64">
                  <c:v>3.0487371487411943E-2</c:v>
                </c:pt>
                <c:pt idx="65">
                  <c:v>3.192419703950207E-2</c:v>
                </c:pt>
                <c:pt idx="66">
                  <c:v>3.3428738093664617E-2</c:v>
                </c:pt>
                <c:pt idx="67">
                  <c:v>3.500418598319284E-2</c:v>
                </c:pt>
                <c:pt idx="68">
                  <c:v>3.6653882444284358E-2</c:v>
                </c:pt>
                <c:pt idx="69">
                  <c:v>3.8381326704311831E-2</c:v>
                </c:pt>
                <c:pt idx="70">
                  <c:v>4.019018290415325E-2</c:v>
                </c:pt>
                <c:pt idx="71">
                  <c:v>4.2084287870326087E-2</c:v>
                </c:pt>
                <c:pt idx="72">
                  <c:v>4.4067659253410635E-2</c:v>
                </c:pt>
                <c:pt idx="73">
                  <c:v>4.6144504050025681E-2</c:v>
                </c:pt>
                <c:pt idx="74">
                  <c:v>4.8319227526432237E-2</c:v>
                </c:pt>
                <c:pt idx="75">
                  <c:v>5.0596442562694056E-2</c:v>
                </c:pt>
                <c:pt idx="76">
                  <c:v>5.2980979437214575E-2</c:v>
                </c:pt>
                <c:pt idx="77">
                  <c:v>5.5477896072405053E-2</c:v>
                </c:pt>
                <c:pt idx="78">
                  <c:v>5.809248876321621E-2</c:v>
                </c:pt>
                <c:pt idx="79">
                  <c:v>6.0830303411289782E-2</c:v>
                </c:pt>
                <c:pt idx="80">
                  <c:v>6.3697147288559561E-2</c:v>
                </c:pt>
                <c:pt idx="81">
                  <c:v>6.6699101355253657E-2</c:v>
                </c:pt>
                <c:pt idx="82">
                  <c:v>6.9842533158426534E-2</c:v>
                </c:pt>
                <c:pt idx="83">
                  <c:v>7.3134110338379965E-2</c:v>
                </c:pt>
                <c:pt idx="84">
                  <c:v>7.6580814771622124E-2</c:v>
                </c:pt>
                <c:pt idx="85">
                  <c:v>8.0189957380363538E-2</c:v>
                </c:pt>
                <c:pt idx="86">
                  <c:v>8.3969193639963594E-2</c:v>
                </c:pt>
                <c:pt idx="87">
                  <c:v>8.7926539817219901E-2</c:v>
                </c:pt>
                <c:pt idx="88">
                  <c:v>9.2070389973945108E-2</c:v>
                </c:pt>
                <c:pt idx="89">
                  <c:v>9.6409533771897205E-2</c:v>
                </c:pt>
                <c:pt idx="90">
                  <c:v>0.10095317511683091</c:v>
                </c:pt>
                <c:pt idx="91">
                  <c:v>0.10571095168121535</c:v>
                </c:pt>
                <c:pt idx="92">
                  <c:v>0.11069295534702983</c:v>
                </c:pt>
                <c:pt idx="93">
                  <c:v>0.11590975361199839</c:v>
                </c:pt>
                <c:pt idx="94">
                  <c:v>0.12137241200466937</c:v>
                </c:pt>
                <c:pt idx="95">
                  <c:v>0.12709251755588497</c:v>
                </c:pt>
                <c:pt idx="96">
                  <c:v>0.13308220337642734</c:v>
                </c:pt>
                <c:pt idx="97">
                  <c:v>0.13935417439297282</c:v>
                </c:pt>
                <c:pt idx="98">
                  <c:v>0.14592173429694552</c:v>
                </c:pt>
                <c:pt idx="99">
                  <c:v>0.15279881376342971</c:v>
                </c:pt>
                <c:pt idx="100">
                  <c:v>0.16000000000000003</c:v>
                </c:pt>
                <c:pt idx="101">
                  <c:v>0.16754056768814396</c:v>
                </c:pt>
                <c:pt idx="102">
                  <c:v>0.17543651138290961</c:v>
                </c:pt>
                <c:pt idx="103">
                  <c:v>0.18370457943950128</c:v>
                </c:pt>
                <c:pt idx="104">
                  <c:v>0.19236230953878608</c:v>
                </c:pt>
                <c:pt idx="105">
                  <c:v>0.20142806588706669</c:v>
                </c:pt>
                <c:pt idx="106">
                  <c:v>0.21092107816902514</c:v>
                </c:pt>
                <c:pt idx="107">
                  <c:v>0.22086148233646152</c:v>
                </c:pt>
                <c:pt idx="108">
                  <c:v>0.23127036331934836</c:v>
                </c:pt>
                <c:pt idx="109">
                  <c:v>0.24216979974979327</c:v>
                </c:pt>
                <c:pt idx="110">
                  <c:v>0.25358291079377809</c:v>
                </c:pt>
                <c:pt idx="111">
                  <c:v>0.26553390519000958</c:v>
                </c:pt>
                <c:pt idx="112">
                  <c:v>0.27804813259989997</c:v>
                </c:pt>
                <c:pt idx="113">
                  <c:v>0.29115213737759732</c:v>
                </c:pt>
                <c:pt idx="114">
                  <c:v>0.30487371487411957</c:v>
                </c:pt>
                <c:pt idx="115">
                  <c:v>0.31924197039502072</c:v>
                </c:pt>
                <c:pt idx="116">
                  <c:v>0.33428738093664628</c:v>
                </c:pt>
                <c:pt idx="117">
                  <c:v>0.35004185983192837</c:v>
                </c:pt>
                <c:pt idx="118">
                  <c:v>0.36653882444284369</c:v>
                </c:pt>
                <c:pt idx="119">
                  <c:v>0.38381326704311847</c:v>
                </c:pt>
                <c:pt idx="120">
                  <c:v>0.40190182904153282</c:v>
                </c:pt>
                <c:pt idx="121">
                  <c:v>0.42084287870326115</c:v>
                </c:pt>
                <c:pt idx="122">
                  <c:v>0.44067659253410663</c:v>
                </c:pt>
                <c:pt idx="123">
                  <c:v>0.46144504050025692</c:v>
                </c:pt>
                <c:pt idx="124">
                  <c:v>0.48319227526432251</c:v>
                </c:pt>
                <c:pt idx="125">
                  <c:v>0.50596442562694077</c:v>
                </c:pt>
                <c:pt idx="126">
                  <c:v>0.5298097943721457</c:v>
                </c:pt>
                <c:pt idx="127">
                  <c:v>0.55477896072405064</c:v>
                </c:pt>
                <c:pt idx="128">
                  <c:v>0.58092488763216221</c:v>
                </c:pt>
                <c:pt idx="129">
                  <c:v>0.60830303411289788</c:v>
                </c:pt>
                <c:pt idx="130">
                  <c:v>0.63697147288559552</c:v>
                </c:pt>
                <c:pt idx="131">
                  <c:v>0.66699101355253665</c:v>
                </c:pt>
                <c:pt idx="132">
                  <c:v>0.69842533158426556</c:v>
                </c:pt>
                <c:pt idx="133">
                  <c:v>0.7313411033838001</c:v>
                </c:pt>
                <c:pt idx="134">
                  <c:v>0.7658081477162213</c:v>
                </c:pt>
                <c:pt idx="135">
                  <c:v>0.80189957380363563</c:v>
                </c:pt>
                <c:pt idx="136">
                  <c:v>0.83969193639963613</c:v>
                </c:pt>
                <c:pt idx="137">
                  <c:v>0.87926539817219929</c:v>
                </c:pt>
                <c:pt idx="138">
                  <c:v>0.9207038997394511</c:v>
                </c:pt>
                <c:pt idx="139">
                  <c:v>0.96409533771897249</c:v>
                </c:pt>
                <c:pt idx="140">
                  <c:v>1.0095317511683093</c:v>
                </c:pt>
                <c:pt idx="141">
                  <c:v>1.0571095168121536</c:v>
                </c:pt>
                <c:pt idx="142">
                  <c:v>1.1069295534702985</c:v>
                </c:pt>
                <c:pt idx="143">
                  <c:v>1.159097536119984</c:v>
                </c:pt>
                <c:pt idx="144">
                  <c:v>1.2137241200466939</c:v>
                </c:pt>
                <c:pt idx="145">
                  <c:v>1.2709251755588504</c:v>
                </c:pt>
                <c:pt idx="146">
                  <c:v>1.3308220337642735</c:v>
                </c:pt>
                <c:pt idx="147">
                  <c:v>1.3935417439297286</c:v>
                </c:pt>
                <c:pt idx="148">
                  <c:v>1.4592173429694555</c:v>
                </c:pt>
                <c:pt idx="149">
                  <c:v>1.5279881376342974</c:v>
                </c:pt>
                <c:pt idx="150">
                  <c:v>1.6</c:v>
                </c:pt>
                <c:pt idx="151">
                  <c:v>1.6754056768814394</c:v>
                </c:pt>
                <c:pt idx="152">
                  <c:v>1.7543651138290963</c:v>
                </c:pt>
                <c:pt idx="153">
                  <c:v>1.8370457943950129</c:v>
                </c:pt>
                <c:pt idx="154">
                  <c:v>1.9236230953878612</c:v>
                </c:pt>
                <c:pt idx="155">
                  <c:v>2.0142806588706677</c:v>
                </c:pt>
                <c:pt idx="156">
                  <c:v>2.1092107816902517</c:v>
                </c:pt>
                <c:pt idx="157">
                  <c:v>2.2086148233646159</c:v>
                </c:pt>
                <c:pt idx="158">
                  <c:v>2.3127036331934838</c:v>
                </c:pt>
                <c:pt idx="159">
                  <c:v>2.4216979974979331</c:v>
                </c:pt>
                <c:pt idx="160">
                  <c:v>2.5358291079377819</c:v>
                </c:pt>
                <c:pt idx="161">
                  <c:v>2.6553390519000972</c:v>
                </c:pt>
                <c:pt idx="162">
                  <c:v>2.7804813259990011</c:v>
                </c:pt>
                <c:pt idx="163">
                  <c:v>2.9115213737759742</c:v>
                </c:pt>
                <c:pt idx="164">
                  <c:v>3.0487371487411963</c:v>
                </c:pt>
                <c:pt idx="165">
                  <c:v>3.1924197039502076</c:v>
                </c:pt>
                <c:pt idx="166">
                  <c:v>3.3428738093664636</c:v>
                </c:pt>
                <c:pt idx="167">
                  <c:v>3.5004185983192841</c:v>
                </c:pt>
                <c:pt idx="168">
                  <c:v>3.6653882444284371</c:v>
                </c:pt>
                <c:pt idx="169">
                  <c:v>3.8381326704311856</c:v>
                </c:pt>
                <c:pt idx="170">
                  <c:v>4.0190182904153291</c:v>
                </c:pt>
                <c:pt idx="171">
                  <c:v>4.208428787032612</c:v>
                </c:pt>
                <c:pt idx="172">
                  <c:v>4.406765925341066</c:v>
                </c:pt>
                <c:pt idx="173">
                  <c:v>4.6144504050025699</c:v>
                </c:pt>
                <c:pt idx="174">
                  <c:v>4.8319227526432265</c:v>
                </c:pt>
                <c:pt idx="175">
                  <c:v>5.0596442562694079</c:v>
                </c:pt>
                <c:pt idx="176">
                  <c:v>5.2980979437214586</c:v>
                </c:pt>
                <c:pt idx="177">
                  <c:v>5.5477896072405075</c:v>
                </c:pt>
                <c:pt idx="178">
                  <c:v>5.8092488763216226</c:v>
                </c:pt>
                <c:pt idx="179">
                  <c:v>6.0830303411289792</c:v>
                </c:pt>
                <c:pt idx="180">
                  <c:v>6.369714728855957</c:v>
                </c:pt>
                <c:pt idx="181">
                  <c:v>6.6699101355253676</c:v>
                </c:pt>
                <c:pt idx="182">
                  <c:v>6.9842533158426567</c:v>
                </c:pt>
                <c:pt idx="183">
                  <c:v>7.3134110338380012</c:v>
                </c:pt>
                <c:pt idx="184">
                  <c:v>7.6580814771622148</c:v>
                </c:pt>
                <c:pt idx="185">
                  <c:v>8.0189957380363577</c:v>
                </c:pt>
                <c:pt idx="186">
                  <c:v>8.3969193639963624</c:v>
                </c:pt>
                <c:pt idx="187">
                  <c:v>8.792653981721994</c:v>
                </c:pt>
                <c:pt idx="188">
                  <c:v>9.2070389973945144</c:v>
                </c:pt>
                <c:pt idx="189">
                  <c:v>9.640953377189728</c:v>
                </c:pt>
                <c:pt idx="190">
                  <c:v>10.095317511683096</c:v>
                </c:pt>
                <c:pt idx="191">
                  <c:v>10.571095168121538</c:v>
                </c:pt>
                <c:pt idx="192">
                  <c:v>11.069295534702988</c:v>
                </c:pt>
                <c:pt idx="193">
                  <c:v>11.590975361199845</c:v>
                </c:pt>
                <c:pt idx="194">
                  <c:v>12.13724120046694</c:v>
                </c:pt>
                <c:pt idx="195">
                  <c:v>12.709251755588509</c:v>
                </c:pt>
                <c:pt idx="196">
                  <c:v>13.308220337642737</c:v>
                </c:pt>
                <c:pt idx="197">
                  <c:v>13.935417439297289</c:v>
                </c:pt>
                <c:pt idx="198">
                  <c:v>14.592173429694558</c:v>
                </c:pt>
                <c:pt idx="199">
                  <c:v>15.279881376342974</c:v>
                </c:pt>
                <c:pt idx="200">
                  <c:v>16</c:v>
                </c:pt>
                <c:pt idx="201">
                  <c:v>16.754056768814401</c:v>
                </c:pt>
                <c:pt idx="202">
                  <c:v>17.543651138290965</c:v>
                </c:pt>
                <c:pt idx="203">
                  <c:v>18.370457943950136</c:v>
                </c:pt>
                <c:pt idx="204">
                  <c:v>19.236230953878614</c:v>
                </c:pt>
                <c:pt idx="205">
                  <c:v>20.142806588706691</c:v>
                </c:pt>
                <c:pt idx="206">
                  <c:v>21.092107816902523</c:v>
                </c:pt>
                <c:pt idx="207">
                  <c:v>22.086148233646163</c:v>
                </c:pt>
                <c:pt idx="208">
                  <c:v>23.127036331934843</c:v>
                </c:pt>
                <c:pt idx="209">
                  <c:v>24.216979974979338</c:v>
                </c:pt>
                <c:pt idx="210">
                  <c:v>25.358291079377821</c:v>
                </c:pt>
                <c:pt idx="211">
                  <c:v>26.553390519000985</c:v>
                </c:pt>
                <c:pt idx="212">
                  <c:v>27.804813259990013</c:v>
                </c:pt>
                <c:pt idx="213">
                  <c:v>29.115213737759746</c:v>
                </c:pt>
                <c:pt idx="214">
                  <c:v>30.487371487411963</c:v>
                </c:pt>
                <c:pt idx="215">
                  <c:v>31.92419703950209</c:v>
                </c:pt>
                <c:pt idx="216">
                  <c:v>33.428738093664641</c:v>
                </c:pt>
                <c:pt idx="217">
                  <c:v>35.004185983192862</c:v>
                </c:pt>
                <c:pt idx="218">
                  <c:v>36.653882444284385</c:v>
                </c:pt>
                <c:pt idx="219">
                  <c:v>38.381326704311853</c:v>
                </c:pt>
                <c:pt idx="220">
                  <c:v>40.190182904153282</c:v>
                </c:pt>
                <c:pt idx="221">
                  <c:v>42.084287870326122</c:v>
                </c:pt>
                <c:pt idx="222">
                  <c:v>44.067659253410667</c:v>
                </c:pt>
                <c:pt idx="223">
                  <c:v>46.144504050025709</c:v>
                </c:pt>
                <c:pt idx="224">
                  <c:v>48.319227526432265</c:v>
                </c:pt>
                <c:pt idx="225">
                  <c:v>50.596442562694087</c:v>
                </c:pt>
                <c:pt idx="226">
                  <c:v>52.980979437214607</c:v>
                </c:pt>
                <c:pt idx="227">
                  <c:v>55.477896072405088</c:v>
                </c:pt>
                <c:pt idx="228">
                  <c:v>58.092488763216252</c:v>
                </c:pt>
                <c:pt idx="229">
                  <c:v>60.830303411289826</c:v>
                </c:pt>
                <c:pt idx="230">
                  <c:v>63.697147288559613</c:v>
                </c:pt>
                <c:pt idx="231">
                  <c:v>66.699101355253703</c:v>
                </c:pt>
                <c:pt idx="232">
                  <c:v>69.842533158426576</c:v>
                </c:pt>
                <c:pt idx="233">
                  <c:v>73.134110338380012</c:v>
                </c:pt>
                <c:pt idx="234">
                  <c:v>76.580814771622173</c:v>
                </c:pt>
                <c:pt idx="235">
                  <c:v>80.18995738036358</c:v>
                </c:pt>
                <c:pt idx="236">
                  <c:v>83.969193639963663</c:v>
                </c:pt>
                <c:pt idx="237">
                  <c:v>87.926539817219961</c:v>
                </c:pt>
                <c:pt idx="238">
                  <c:v>92.070389973945112</c:v>
                </c:pt>
                <c:pt idx="239">
                  <c:v>96.409533771897316</c:v>
                </c:pt>
                <c:pt idx="240">
                  <c:v>100.95317511683099</c:v>
                </c:pt>
                <c:pt idx="241">
                  <c:v>105.71095168121541</c:v>
                </c:pt>
                <c:pt idx="242">
                  <c:v>110.69295534702985</c:v>
                </c:pt>
                <c:pt idx="243">
                  <c:v>115.90975361199851</c:v>
                </c:pt>
                <c:pt idx="244">
                  <c:v>121.37241200466939</c:v>
                </c:pt>
                <c:pt idx="245">
                  <c:v>127.09251755588512</c:v>
                </c:pt>
                <c:pt idx="246">
                  <c:v>133.0822033764274</c:v>
                </c:pt>
                <c:pt idx="247">
                  <c:v>139.35417439297291</c:v>
                </c:pt>
                <c:pt idx="248">
                  <c:v>145.92173429694557</c:v>
                </c:pt>
                <c:pt idx="249">
                  <c:v>152.79881376342985</c:v>
                </c:pt>
                <c:pt idx="250">
                  <c:v>160</c:v>
                </c:pt>
                <c:pt idx="251">
                  <c:v>167.54056768814397</c:v>
                </c:pt>
                <c:pt idx="252">
                  <c:v>175.43651138290977</c:v>
                </c:pt>
                <c:pt idx="253">
                  <c:v>183.70457943950137</c:v>
                </c:pt>
                <c:pt idx="254">
                  <c:v>192.36230953878618</c:v>
                </c:pt>
                <c:pt idx="255">
                  <c:v>201.42806588706685</c:v>
                </c:pt>
                <c:pt idx="256">
                  <c:v>210.92107816902535</c:v>
                </c:pt>
                <c:pt idx="257">
                  <c:v>220.86148233646179</c:v>
                </c:pt>
                <c:pt idx="258">
                  <c:v>231.27036331934858</c:v>
                </c:pt>
                <c:pt idx="259">
                  <c:v>242.16979974979347</c:v>
                </c:pt>
                <c:pt idx="260">
                  <c:v>253.58291079377847</c:v>
                </c:pt>
                <c:pt idx="261">
                  <c:v>265.53390519000999</c:v>
                </c:pt>
                <c:pt idx="262">
                  <c:v>278.04813259990027</c:v>
                </c:pt>
                <c:pt idx="263">
                  <c:v>291.15213737759728</c:v>
                </c:pt>
                <c:pt idx="264">
                  <c:v>304.87371487411968</c:v>
                </c:pt>
                <c:pt idx="265">
                  <c:v>319.24197039502087</c:v>
                </c:pt>
                <c:pt idx="266">
                  <c:v>334.28738093664634</c:v>
                </c:pt>
                <c:pt idx="267">
                  <c:v>350.04185983192838</c:v>
                </c:pt>
                <c:pt idx="268">
                  <c:v>366.53882444284392</c:v>
                </c:pt>
                <c:pt idx="269">
                  <c:v>383.81326704311863</c:v>
                </c:pt>
                <c:pt idx="270">
                  <c:v>401.90182904153289</c:v>
                </c:pt>
                <c:pt idx="271">
                  <c:v>420.84287870326108</c:v>
                </c:pt>
                <c:pt idx="272">
                  <c:v>440.67659253410693</c:v>
                </c:pt>
                <c:pt idx="273">
                  <c:v>461.44504050025716</c:v>
                </c:pt>
                <c:pt idx="274">
                  <c:v>483.19227526432269</c:v>
                </c:pt>
                <c:pt idx="275">
                  <c:v>505.96442562694119</c:v>
                </c:pt>
                <c:pt idx="276">
                  <c:v>529.80979437214626</c:v>
                </c:pt>
                <c:pt idx="277">
                  <c:v>554.77896072405099</c:v>
                </c:pt>
                <c:pt idx="278">
                  <c:v>580.92488763216249</c:v>
                </c:pt>
                <c:pt idx="279">
                  <c:v>608.30303411289867</c:v>
                </c:pt>
                <c:pt idx="280">
                  <c:v>636.9714728855962</c:v>
                </c:pt>
                <c:pt idx="281">
                  <c:v>666.9910135525372</c:v>
                </c:pt>
                <c:pt idx="282">
                  <c:v>698.42533158426602</c:v>
                </c:pt>
                <c:pt idx="283">
                  <c:v>731.34110338380106</c:v>
                </c:pt>
                <c:pt idx="284">
                  <c:v>765.80814771622227</c:v>
                </c:pt>
                <c:pt idx="285">
                  <c:v>801.89957380363637</c:v>
                </c:pt>
                <c:pt idx="286">
                  <c:v>839.69193639963669</c:v>
                </c:pt>
                <c:pt idx="287">
                  <c:v>879.26539817220055</c:v>
                </c:pt>
                <c:pt idx="288">
                  <c:v>920.70389973945134</c:v>
                </c:pt>
                <c:pt idx="289">
                  <c:v>964.09533771897247</c:v>
                </c:pt>
                <c:pt idx="290">
                  <c:v>1009.5317511683093</c:v>
                </c:pt>
                <c:pt idx="291">
                  <c:v>1057.1095168121544</c:v>
                </c:pt>
                <c:pt idx="292">
                  <c:v>1106.9295534702987</c:v>
                </c:pt>
                <c:pt idx="293">
                  <c:v>1159.0975361199844</c:v>
                </c:pt>
                <c:pt idx="294">
                  <c:v>1213.724120046694</c:v>
                </c:pt>
                <c:pt idx="295">
                  <c:v>1270.9251755588514</c:v>
                </c:pt>
                <c:pt idx="296">
                  <c:v>1330.8220337642742</c:v>
                </c:pt>
                <c:pt idx="297">
                  <c:v>1393.5417439297296</c:v>
                </c:pt>
                <c:pt idx="298">
                  <c:v>1459.2173429694558</c:v>
                </c:pt>
                <c:pt idx="299">
                  <c:v>1527.9881376342989</c:v>
                </c:pt>
                <c:pt idx="300">
                  <c:v>1600</c:v>
                </c:pt>
              </c:numCache>
            </c:numRef>
          </c:xVal>
          <c:yVal>
            <c:numRef>
              <c:f>'Bias Network'!$L$3:$L$303</c:f>
              <c:numCache>
                <c:formatCode>General</c:formatCode>
                <c:ptCount val="301"/>
                <c:pt idx="0">
                  <c:v>-5.6047662122525828E-2</c:v>
                </c:pt>
                <c:pt idx="1">
                  <c:v>-5.8689105253936204E-2</c:v>
                </c:pt>
                <c:pt idx="2">
                  <c:v>-6.1455035497312863E-2</c:v>
                </c:pt>
                <c:pt idx="3">
                  <c:v>-6.435131970985164E-2</c:v>
                </c:pt>
                <c:pt idx="4">
                  <c:v>-6.7384101239336747E-2</c:v>
                </c:pt>
                <c:pt idx="5">
                  <c:v>-7.055981295386983E-2</c:v>
                </c:pt>
                <c:pt idx="6">
                  <c:v>-7.388519088554403E-2</c:v>
                </c:pt>
                <c:pt idx="7">
                  <c:v>-7.7367288516974816E-2</c:v>
                </c:pt>
                <c:pt idx="8">
                  <c:v>-8.1013491740966947E-2</c:v>
                </c:pt>
                <c:pt idx="9">
                  <c:v>-8.483153452500912E-2</c:v>
                </c:pt>
                <c:pt idx="10">
                  <c:v>-8.8829515313795404E-2</c:v>
                </c:pt>
                <c:pt idx="11">
                  <c:v>-9.3015914204510775E-2</c:v>
                </c:pt>
                <c:pt idx="12">
                  <c:v>-9.7399610931271585E-2</c:v>
                </c:pt>
                <c:pt idx="13">
                  <c:v>-0.10198990369680809</c:v>
                </c:pt>
                <c:pt idx="14">
                  <c:v>-0.10679652889126019</c:v>
                </c:pt>
                <c:pt idx="15">
                  <c:v>-0.11182968173985489</c:v>
                </c:pt>
                <c:pt idx="16">
                  <c:v>-0.11710003792316034</c:v>
                </c:pt>
                <c:pt idx="17">
                  <c:v>-0.12261877621567892</c:v>
                </c:pt>
                <c:pt idx="18">
                  <c:v>-0.12839760219069318</c:v>
                </c:pt>
                <c:pt idx="19">
                  <c:v>-0.13444877304150754</c:v>
                </c:pt>
                <c:pt idx="20">
                  <c:v>-0.14078512357158776</c:v>
                </c:pt>
                <c:pt idx="21">
                  <c:v>-0.14742009340855411</c:v>
                </c:pt>
                <c:pt idx="22">
                  <c:v>-0.15436775549955475</c:v>
                </c:pt>
                <c:pt idx="23">
                  <c:v>-0.16164284594823239</c:v>
                </c:pt>
                <c:pt idx="24">
                  <c:v>-0.16926079525631904</c:v>
                </c:pt>
                <c:pt idx="25">
                  <c:v>-0.17723776103582425</c:v>
                </c:pt>
                <c:pt idx="26">
                  <c:v>-0.18559066226084334</c:v>
                </c:pt>
                <c:pt idx="27">
                  <c:v>-0.19433721513127766</c:v>
                </c:pt>
                <c:pt idx="28">
                  <c:v>-0.20349597062405805</c:v>
                </c:pt>
                <c:pt idx="29">
                  <c:v>-0.21308635381100696</c:v>
                </c:pt>
                <c:pt idx="30">
                  <c:v>-0.22312870502614979</c:v>
                </c:pt>
                <c:pt idx="31">
                  <c:v>-0.23364432296910864</c:v>
                </c:pt>
                <c:pt idx="32">
                  <c:v>-0.2446555098352084</c:v>
                </c:pt>
                <c:pt idx="33">
                  <c:v>-0.25618561856713595</c:v>
                </c:pt>
                <c:pt idx="34">
                  <c:v>-0.2682591023273222</c:v>
                </c:pt>
                <c:pt idx="35">
                  <c:v>-0.28090156629481366</c:v>
                </c:pt>
                <c:pt idx="36">
                  <c:v>-0.29413982189512272</c:v>
                </c:pt>
                <c:pt idx="37">
                  <c:v>-0.30800194357650329</c:v>
                </c:pt>
                <c:pt idx="38">
                  <c:v>-0.32251732825131307</c:v>
                </c:pt>
                <c:pt idx="39">
                  <c:v>-0.33771675752643437</c:v>
                </c:pt>
                <c:pt idx="40">
                  <c:v>-0.35363246285240935</c:v>
                </c:pt>
                <c:pt idx="41">
                  <c:v>-0.37029819372673073</c:v>
                </c:pt>
                <c:pt idx="42">
                  <c:v>-0.38774928909283374</c:v>
                </c:pt>
                <c:pt idx="43">
                  <c:v>-0.40602275208264277</c:v>
                </c:pt>
                <c:pt idx="44">
                  <c:v>-0.42515732825706054</c:v>
                </c:pt>
                <c:pt idx="45">
                  <c:v>-0.44519358750565857</c:v>
                </c:pt>
                <c:pt idx="46">
                  <c:v>-0.46617400977380657</c:v>
                </c:pt>
                <c:pt idx="47">
                  <c:v>-0.4881430747928559</c:v>
                </c:pt>
                <c:pt idx="48">
                  <c:v>-0.51114735599653394</c:v>
                </c:pt>
                <c:pt idx="49">
                  <c:v>-0.53523561881451232</c:v>
                </c:pt>
                <c:pt idx="50">
                  <c:v>-0.5604589235422035</c:v>
                </c:pt>
                <c:pt idx="51">
                  <c:v>-0.58687073299414028</c:v>
                </c:pt>
                <c:pt idx="52">
                  <c:v>-0.61452702515679691</c:v>
                </c:pt>
                <c:pt idx="53">
                  <c:v>-0.64348641106555871</c:v>
                </c:pt>
                <c:pt idx="54">
                  <c:v>-0.67381025813941486</c:v>
                </c:pt>
                <c:pt idx="55">
                  <c:v>-0.70556281921615727</c:v>
                </c:pt>
                <c:pt idx="56">
                  <c:v>-0.73881136754016918</c:v>
                </c:pt>
                <c:pt idx="57">
                  <c:v>-0.77362633796428648</c:v>
                </c:pt>
                <c:pt idx="58">
                  <c:v>-0.8100814746367796</c:v>
                </c:pt>
                <c:pt idx="59">
                  <c:v>-0.84825398545396091</c:v>
                </c:pt>
                <c:pt idx="60">
                  <c:v>-0.88822470356857075</c:v>
                </c:pt>
                <c:pt idx="61">
                  <c:v>-0.93007825625334983</c:v>
                </c:pt>
                <c:pt idx="62">
                  <c:v>-0.97390324142866802</c:v>
                </c:pt>
                <c:pt idx="63">
                  <c:v>-1.0197924121717357</c:v>
                </c:pt>
                <c:pt idx="64">
                  <c:v>-1.0678428695338309</c:v>
                </c:pt>
                <c:pt idx="65">
                  <c:v>-1.1181562639996911</c:v>
                </c:pt>
                <c:pt idx="66">
                  <c:v>-1.1708390059307627</c:v>
                </c:pt>
                <c:pt idx="67">
                  <c:v>-1.2260024853401754</c:v>
                </c:pt>
                <c:pt idx="68">
                  <c:v>-1.2837633013529242</c:v>
                </c:pt>
                <c:pt idx="69">
                  <c:v>-1.3442435017084451</c:v>
                </c:pt>
                <c:pt idx="70">
                  <c:v>-1.4075708326649836</c:v>
                </c:pt>
                <c:pt idx="71">
                  <c:v>-1.4738789996656709</c:v>
                </c:pt>
                <c:pt idx="72">
                  <c:v>-1.5433079391237376</c:v>
                </c:pt>
                <c:pt idx="73">
                  <c:v>-1.6160041016792501</c:v>
                </c:pt>
                <c:pt idx="74">
                  <c:v>-1.6921207472714579</c:v>
                </c:pt>
                <c:pt idx="75">
                  <c:v>-1.771818252357888</c:v>
                </c:pt>
                <c:pt idx="76">
                  <c:v>-1.8552644295943523</c:v>
                </c:pt>
                <c:pt idx="77">
                  <c:v>-1.9426348602668257</c:v>
                </c:pt>
                <c:pt idx="78">
                  <c:v>-2.0341132397368402</c:v>
                </c:pt>
                <c:pt idx="79">
                  <c:v>-2.1298917361250953</c:v>
                </c:pt>
                <c:pt idx="80">
                  <c:v>-2.2301713624116695</c:v>
                </c:pt>
                <c:pt idx="81">
                  <c:v>-2.3351623620757938</c:v>
                </c:pt>
                <c:pt idx="82">
                  <c:v>-2.4450846083295188</c:v>
                </c:pt>
                <c:pt idx="83">
                  <c:v>-2.5601680169184622</c:v>
                </c:pt>
                <c:pt idx="84">
                  <c:v>-2.6806529723651056</c:v>
                </c:pt>
                <c:pt idx="85">
                  <c:v>-2.8067907674148582</c:v>
                </c:pt>
                <c:pt idx="86">
                  <c:v>-2.9388440553088868</c:v>
                </c:pt>
                <c:pt idx="87">
                  <c:v>-3.0770873143473105</c:v>
                </c:pt>
                <c:pt idx="88">
                  <c:v>-3.2218073240195806</c:v>
                </c:pt>
                <c:pt idx="89">
                  <c:v>-3.3733036517600952</c:v>
                </c:pt>
                <c:pt idx="90">
                  <c:v>-3.5318891491339257</c:v>
                </c:pt>
                <c:pt idx="91">
                  <c:v>-3.6978904559631656</c:v>
                </c:pt>
                <c:pt idx="92">
                  <c:v>-3.8716485105654703</c:v>
                </c:pt>
                <c:pt idx="93">
                  <c:v>-4.053519063885469</c:v>
                </c:pt>
                <c:pt idx="94">
                  <c:v>-4.243873194850547</c:v>
                </c:pt>
                <c:pt idx="95">
                  <c:v>-4.4430978237682188</c:v>
                </c:pt>
                <c:pt idx="96">
                  <c:v>-4.651596219995187</c:v>
                </c:pt>
                <c:pt idx="97">
                  <c:v>-4.8697884994376395</c:v>
                </c:pt>
                <c:pt idx="98">
                  <c:v>-5.0981121066828337</c:v>
                </c:pt>
                <c:pt idx="99">
                  <c:v>-5.3370222756990078</c:v>
                </c:pt>
                <c:pt idx="100">
                  <c:v>-5.5869924620679958</c:v>
                </c:pt>
                <c:pt idx="101">
                  <c:v>-5.8485147386184062</c:v>
                </c:pt>
                <c:pt idx="102">
                  <c:v>-6.1221001450981483</c:v>
                </c:pt>
                <c:pt idx="103">
                  <c:v>-6.408278981151259</c:v>
                </c:pt>
                <c:pt idx="104">
                  <c:v>-6.7076010303345166</c:v>
                </c:pt>
                <c:pt idx="105">
                  <c:v>-7.0206357012164471</c:v>
                </c:pt>
                <c:pt idx="106">
                  <c:v>-7.3479720697350821</c:v>
                </c:pt>
                <c:pt idx="107">
                  <c:v>-7.6902188049471976</c:v>
                </c:pt>
                <c:pt idx="108">
                  <c:v>-8.0480039580790912</c:v>
                </c:pt>
                <c:pt idx="109">
                  <c:v>-8.4219745923879845</c:v>
                </c:pt>
                <c:pt idx="110">
                  <c:v>-8.8127962287790602</c:v>
                </c:pt>
                <c:pt idx="111">
                  <c:v>-9.2211520794069433</c:v>
                </c:pt>
                <c:pt idx="112">
                  <c:v>-9.6477420386593113</c:v>
                </c:pt>
                <c:pt idx="113">
                  <c:v>-10.093281398011145</c:v>
                </c:pt>
                <c:pt idx="114">
                  <c:v>-10.558499248314789</c:v>
                </c:pt>
                <c:pt idx="115">
                  <c:v>-11.04413653023564</c:v>
                </c:pt>
                <c:pt idx="116">
                  <c:v>-11.550943690855668</c:v>
                </c:pt>
                <c:pt idx="117">
                  <c:v>-12.079677902088571</c:v>
                </c:pt>
                <c:pt idx="118">
                  <c:v>-12.631099794645865</c:v>
                </c:pt>
                <c:pt idx="119">
                  <c:v>-13.205969660066781</c:v>
                </c:pt>
                <c:pt idx="120">
                  <c:v>-13.805043073019911</c:v>
                </c:pt>
                <c:pt idx="121">
                  <c:v>-14.429065887002633</c:v>
                </c:pt>
                <c:pt idx="122">
                  <c:v>-15.078768559012451</c:v>
                </c:pt>
                <c:pt idx="123">
                  <c:v>-15.754859763146904</c:v>
                </c:pt>
                <c:pt idx="124">
                  <c:v>-16.458019259784397</c:v>
                </c:pt>
                <c:pt idx="125">
                  <c:v>-17.188889996460379</c:v>
                </c:pt>
                <c:pt idx="126">
                  <c:v>-17.948069429206605</c:v>
                </c:pt>
                <c:pt idx="127">
                  <c:v>-18.736100069387049</c:v>
                </c:pt>
                <c:pt idx="128">
                  <c:v>-19.553459281311817</c:v>
                </c:pt>
                <c:pt idx="129">
                  <c:v>-20.40054838039439</c:v>
                </c:pt>
                <c:pt idx="130">
                  <c:v>-21.277681110462211</c:v>
                </c:pt>
                <c:pt idx="131">
                  <c:v>-22.185071611931072</c:v>
                </c:pt>
                <c:pt idx="132">
                  <c:v>-23.122822029523117</c:v>
                </c:pt>
                <c:pt idx="133">
                  <c:v>-24.090909948320881</c:v>
                </c:pt>
                <c:pt idx="134">
                  <c:v>-25.089175889033484</c:v>
                </c:pt>
                <c:pt idx="135">
                  <c:v>-26.117311135814671</c:v>
                </c:pt>
                <c:pt idx="136">
                  <c:v>-27.174846210673433</c:v>
                </c:pt>
                <c:pt idx="137">
                  <c:v>-28.261140344908636</c:v>
                </c:pt>
                <c:pt idx="138">
                  <c:v>-29.375372327065769</c:v>
                </c:pt>
                <c:pt idx="139">
                  <c:v>-30.516533125421894</c:v>
                </c:pt>
                <c:pt idx="140">
                  <c:v>-31.683420687614856</c:v>
                </c:pt>
                <c:pt idx="141">
                  <c:v>-32.87463730762871</c:v>
                </c:pt>
                <c:pt idx="142">
                  <c:v>-34.088589918327614</c:v>
                </c:pt>
                <c:pt idx="143">
                  <c:v>-35.323493614397641</c:v>
                </c:pt>
                <c:pt idx="144">
                  <c:v>-36.577378635439537</c:v>
                </c:pt>
                <c:pt idx="145">
                  <c:v>-37.848100943146569</c:v>
                </c:pt>
                <c:pt idx="146">
                  <c:v>-39.133356412834416</c:v>
                </c:pt>
                <c:pt idx="147">
                  <c:v>-40.430698532688865</c:v>
                </c:pt>
                <c:pt idx="148">
                  <c:v>-41.737559370228517</c:v>
                </c:pt>
                <c:pt idx="149">
                  <c:v>-43.05127343219791</c:v>
                </c:pt>
                <c:pt idx="150">
                  <c:v>-44.369103919698702</c:v>
                </c:pt>
                <c:pt idx="151">
                  <c:v>-45.688270773116841</c:v>
                </c:pt>
                <c:pt idx="152">
                  <c:v>-47.005979818877243</c:v>
                </c:pt>
                <c:pt idx="153">
                  <c:v>-48.319452278271086</c:v>
                </c:pt>
                <c:pt idx="154">
                  <c:v>-49.625953881415278</c:v>
                </c:pt>
                <c:pt idx="155">
                  <c:v>-50.922822848137663</c:v>
                </c:pt>
                <c:pt idx="156">
                  <c:v>-52.20749605081074</c:v>
                </c:pt>
                <c:pt idx="157">
                  <c:v>-53.477532757892021</c:v>
                </c:pt>
                <c:pt idx="158">
                  <c:v>-54.730635465091176</c:v>
                </c:pt>
                <c:pt idx="159">
                  <c:v>-55.964667446054037</c:v>
                </c:pt>
                <c:pt idx="160">
                  <c:v>-57.177666787931152</c:v>
                </c:pt>
                <c:pt idx="161">
                  <c:v>-58.367856810910105</c:v>
                </c:pt>
                <c:pt idx="162">
                  <c:v>-59.533652897242035</c:v>
                </c:pt>
                <c:pt idx="163">
                  <c:v>-60.673665868257494</c:v>
                </c:pt>
                <c:pt idx="164">
                  <c:v>-61.786702142831963</c:v>
                </c:pt>
                <c:pt idx="165">
                  <c:v>-62.871760984931434</c:v>
                </c:pt>
                <c:pt idx="166">
                  <c:v>-63.928029200259644</c:v>
                </c:pt>
                <c:pt idx="167">
                  <c:v>-64.954873673151923</c:v>
                </c:pt>
                <c:pt idx="168">
                  <c:v>-65.951832146460362</c:v>
                </c:pt>
                <c:pt idx="169">
                  <c:v>-66.918602641900506</c:v>
                </c:pt>
                <c:pt idx="170">
                  <c:v>-67.855031899285578</c:v>
                </c:pt>
                <c:pt idx="171">
                  <c:v>-68.761103183628649</c:v>
                </c:pt>
                <c:pt idx="172">
                  <c:v>-69.636923772450757</c:v>
                </c:pt>
                <c:pt idx="173">
                  <c:v>-70.482712394807862</c:v>
                </c:pt>
                <c:pt idx="174">
                  <c:v>-71.298786851060257</c:v>
                </c:pt>
                <c:pt idx="175">
                  <c:v>-72.085552000381824</c:v>
                </c:pt>
                <c:pt idx="176">
                  <c:v>-72.843488263008283</c:v>
                </c:pt>
                <c:pt idx="177">
                  <c:v>-73.573140747409482</c:v>
                </c:pt>
                <c:pt idx="178">
                  <c:v>-74.275109079652125</c:v>
                </c:pt>
                <c:pt idx="179">
                  <c:v>-74.95003798356349</c:v>
                </c:pt>
                <c:pt idx="180">
                  <c:v>-75.598608636006858</c:v>
                </c:pt>
                <c:pt idx="181">
                  <c:v>-76.22153080151736</c:v>
                </c:pt>
                <c:pt idx="182">
                  <c:v>-76.81953573444143</c:v>
                </c:pt>
                <c:pt idx="183">
                  <c:v>-77.393369824220699</c:v>
                </c:pt>
                <c:pt idx="184">
                  <c:v>-77.943788950125793</c:v>
                </c:pt>
                <c:pt idx="185">
                  <c:v>-78.471553505161467</c:v>
                </c:pt>
                <c:pt idx="186">
                  <c:v>-78.977424044573837</c:v>
                </c:pt>
                <c:pt idx="187">
                  <c:v>-79.46215751201585</c:v>
                </c:pt>
                <c:pt idx="188">
                  <c:v>-79.926503995569192</c:v>
                </c:pt>
                <c:pt idx="189">
                  <c:v>-80.371203966171592</c:v>
                </c:pt>
                <c:pt idx="190">
                  <c:v>-80.796985952259874</c:v>
                </c:pt>
                <c:pt idx="191">
                  <c:v>-81.204564606365523</c:v>
                </c:pt>
                <c:pt idx="192">
                  <c:v>-81.594639121799233</c:v>
                </c:pt>
                <c:pt idx="193">
                  <c:v>-81.967891960253979</c:v>
                </c:pt>
                <c:pt idx="194">
                  <c:v>-82.324987854018417</c:v>
                </c:pt>
                <c:pt idx="195">
                  <c:v>-82.666573049417224</c:v>
                </c:pt>
                <c:pt idx="196">
                  <c:v>-82.99327476100035</c:v>
                </c:pt>
                <c:pt idx="197">
                  <c:v>-83.305700808831745</c:v>
                </c:pt>
                <c:pt idx="198">
                  <c:v>-83.604439413936277</c:v>
                </c:pt>
                <c:pt idx="199">
                  <c:v>-83.890059129522797</c:v>
                </c:pt>
                <c:pt idx="200">
                  <c:v>-84.163108887993616</c:v>
                </c:pt>
                <c:pt idx="201">
                  <c:v>-84.424118145965608</c:v>
                </c:pt>
                <c:pt idx="202">
                  <c:v>-84.673597111563936</c:v>
                </c:pt>
                <c:pt idx="203">
                  <c:v>-84.912037040108913</c:v>
                </c:pt>
                <c:pt idx="204">
                  <c:v>-85.13991058600071</c:v>
                </c:pt>
                <c:pt idx="205">
                  <c:v>-85.357672200129812</c:v>
                </c:pt>
                <c:pt idx="206">
                  <c:v>-85.565758563509021</c:v>
                </c:pt>
                <c:pt idx="207">
                  <c:v>-85.764589049044403</c:v>
                </c:pt>
                <c:pt idx="208">
                  <c:v>-85.954566204454977</c:v>
                </c:pt>
                <c:pt idx="209">
                  <c:v>-86.136076250317814</c:v>
                </c:pt>
                <c:pt idx="210">
                  <c:v>-86.309489588073262</c:v>
                </c:pt>
                <c:pt idx="211">
                  <c:v>-86.475161313581651</c:v>
                </c:pt>
                <c:pt idx="212">
                  <c:v>-86.633431732487949</c:v>
                </c:pt>
                <c:pt idx="213">
                  <c:v>-86.784626874235911</c:v>
                </c:pt>
                <c:pt idx="214">
                  <c:v>-86.929059002083818</c:v>
                </c:pt>
                <c:pt idx="215">
                  <c:v>-87.067027116920897</c:v>
                </c:pt>
                <c:pt idx="216">
                  <c:v>-87.198817453071484</c:v>
                </c:pt>
                <c:pt idx="217">
                  <c:v>-87.324703964611416</c:v>
                </c:pt>
                <c:pt idx="218">
                  <c:v>-87.444948801012899</c:v>
                </c:pt>
                <c:pt idx="219">
                  <c:v>-87.55980277118698</c:v>
                </c:pt>
                <c:pt idx="220">
                  <c:v>-87.669505795207996</c:v>
                </c:pt>
                <c:pt idx="221">
                  <c:v>-87.77428734319227</c:v>
                </c:pt>
                <c:pt idx="222">
                  <c:v>-87.874366860960663</c:v>
                </c:pt>
                <c:pt idx="223">
                  <c:v>-87.969954182250987</c:v>
                </c:pt>
                <c:pt idx="224">
                  <c:v>-88.061249927360166</c:v>
                </c:pt>
                <c:pt idx="225">
                  <c:v>-88.148445888193422</c:v>
                </c:pt>
                <c:pt idx="226">
                  <c:v>-88.231725399777929</c:v>
                </c:pt>
                <c:pt idx="227">
                  <c:v>-88.311263698366304</c:v>
                </c:pt>
                <c:pt idx="228">
                  <c:v>-88.387228266311055</c:v>
                </c:pt>
                <c:pt idx="229">
                  <c:v>-88.459779163935977</c:v>
                </c:pt>
                <c:pt idx="230">
                  <c:v>-88.529069348667974</c:v>
                </c:pt>
                <c:pt idx="231">
                  <c:v>-88.595244981720967</c:v>
                </c:pt>
                <c:pt idx="232">
                  <c:v>-88.658445722647286</c:v>
                </c:pt>
                <c:pt idx="233">
                  <c:v>-88.718805012088211</c:v>
                </c:pt>
                <c:pt idx="234">
                  <c:v>-88.776450343068035</c:v>
                </c:pt>
                <c:pt idx="235">
                  <c:v>-88.831503521184587</c:v>
                </c:pt>
                <c:pt idx="236">
                  <c:v>-88.884080914053598</c:v>
                </c:pt>
                <c:pt idx="237">
                  <c:v>-88.934293690366971</c:v>
                </c:pt>
                <c:pt idx="238">
                  <c:v>-88.982248048924234</c:v>
                </c:pt>
                <c:pt idx="239">
                  <c:v>-89.028045437994223</c:v>
                </c:pt>
                <c:pt idx="240">
                  <c:v>-89.071782765360425</c:v>
                </c:pt>
                <c:pt idx="241">
                  <c:v>-89.113552599397295</c:v>
                </c:pt>
                <c:pt idx="242">
                  <c:v>-89.153443361519123</c:v>
                </c:pt>
                <c:pt idx="243">
                  <c:v>-89.191539510335488</c:v>
                </c:pt>
                <c:pt idx="244">
                  <c:v>-89.227921717838782</c:v>
                </c:pt>
                <c:pt idx="245">
                  <c:v>-89.262667037941569</c:v>
                </c:pt>
                <c:pt idx="246">
                  <c:v>-89.29584906767181</c:v>
                </c:pt>
                <c:pt idx="247">
                  <c:v>-89.327538101325246</c:v>
                </c:pt>
                <c:pt idx="248">
                  <c:v>-89.357801277864468</c:v>
                </c:pt>
                <c:pt idx="249">
                  <c:v>-89.386702721844927</c:v>
                </c:pt>
                <c:pt idx="250">
                  <c:v>-89.414303678138324</c:v>
                </c:pt>
                <c:pt idx="251">
                  <c:v>-89.44066264071482</c:v>
                </c:pt>
                <c:pt idx="252">
                  <c:v>-89.465835475735147</c:v>
                </c:pt>
                <c:pt idx="253">
                  <c:v>-89.489875539195637</c:v>
                </c:pt>
                <c:pt idx="254">
                  <c:v>-89.512833789358936</c:v>
                </c:pt>
                <c:pt idx="255">
                  <c:v>-89.534758894194852</c:v>
                </c:pt>
                <c:pt idx="256">
                  <c:v>-89.555697334046812</c:v>
                </c:pt>
                <c:pt idx="257">
                  <c:v>-89.575693499730988</c:v>
                </c:pt>
                <c:pt idx="258">
                  <c:v>-89.594789786266631</c:v>
                </c:pt>
                <c:pt idx="259">
                  <c:v>-89.613026682428384</c:v>
                </c:pt>
                <c:pt idx="260">
                  <c:v>-89.630442856303276</c:v>
                </c:pt>
                <c:pt idx="261">
                  <c:v>-89.647075237027849</c:v>
                </c:pt>
                <c:pt idx="262">
                  <c:v>-89.662959092873152</c:v>
                </c:pt>
                <c:pt idx="263">
                  <c:v>-89.678128105838653</c:v>
                </c:pt>
                <c:pt idx="264">
                  <c:v>-89.692614442909203</c:v>
                </c:pt>
                <c:pt idx="265">
                  <c:v>-89.706448824122575</c:v>
                </c:pt>
                <c:pt idx="266">
                  <c:v>-89.719660587588862</c:v>
                </c:pt>
                <c:pt idx="267">
                  <c:v>-89.732277751596911</c:v>
                </c:pt>
                <c:pt idx="268">
                  <c:v>-89.7443270739372</c:v>
                </c:pt>
                <c:pt idx="269">
                  <c:v>-89.755834108564898</c:v>
                </c:pt>
                <c:pt idx="270">
                  <c:v>-89.766823259721619</c:v>
                </c:pt>
                <c:pt idx="271">
                  <c:v>-89.777317833628899</c:v>
                </c:pt>
                <c:pt idx="272">
                  <c:v>-89.787340087861864</c:v>
                </c:pt>
                <c:pt idx="273">
                  <c:v>-89.796911278506528</c:v>
                </c:pt>
                <c:pt idx="274">
                  <c:v>-89.806051705199906</c:v>
                </c:pt>
                <c:pt idx="275">
                  <c:v>-89.814780754147222</c:v>
                </c:pt>
                <c:pt idx="276">
                  <c:v>-89.823116939206997</c:v>
                </c:pt>
                <c:pt idx="277">
                  <c:v>-89.831077941130474</c:v>
                </c:pt>
                <c:pt idx="278">
                  <c:v>-89.838680645037684</c:v>
                </c:pt>
                <c:pt idx="279">
                  <c:v>-89.84594117620955</c:v>
                </c:pt>
                <c:pt idx="280">
                  <c:v>-89.852874934271284</c:v>
                </c:pt>
                <c:pt idx="281">
                  <c:v>-89.859496625839114</c:v>
                </c:pt>
                <c:pt idx="282">
                  <c:v>-89.865820295699493</c:v>
                </c:pt>
                <c:pt idx="283">
                  <c:v>-89.871859356586342</c:v>
                </c:pt>
                <c:pt idx="284">
                  <c:v>-89.877626617619512</c:v>
                </c:pt>
                <c:pt idx="285">
                  <c:v>-89.88313431146436</c:v>
                </c:pt>
                <c:pt idx="286">
                  <c:v>-89.888394120269851</c:v>
                </c:pt>
                <c:pt idx="287">
                  <c:v>-89.89341720044024</c:v>
                </c:pt>
                <c:pt idx="288">
                  <c:v>-89.898214206292479</c:v>
                </c:pt>
                <c:pt idx="289">
                  <c:v>-89.902795312649459</c:v>
                </c:pt>
                <c:pt idx="290">
                  <c:v>-89.907170236417173</c:v>
                </c:pt>
                <c:pt idx="291">
                  <c:v>-89.911348257190923</c:v>
                </c:pt>
                <c:pt idx="292">
                  <c:v>-89.915338236934844</c:v>
                </c:pt>
                <c:pt idx="293">
                  <c:v>-89.91914863877571</c:v>
                </c:pt>
                <c:pt idx="294">
                  <c:v>-89.922787544951603</c:v>
                </c:pt>
                <c:pt idx="295">
                  <c:v>-89.926262673952706</c:v>
                </c:pt>
                <c:pt idx="296">
                  <c:v>-89.929581396890995</c:v>
                </c:pt>
                <c:pt idx="297">
                  <c:v>-89.932750753133547</c:v>
                </c:pt>
                <c:pt idx="298">
                  <c:v>-89.935777465232078</c:v>
                </c:pt>
                <c:pt idx="299">
                  <c:v>-89.938667953181053</c:v>
                </c:pt>
                <c:pt idx="300">
                  <c:v>-89.941428348033938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7-4BE6-B91D-CA0F5B948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103920"/>
        <c:axId val="420102936"/>
      </c:scatterChart>
      <c:valAx>
        <c:axId val="420103920"/>
        <c:scaling>
          <c:logBase val="10"/>
          <c:orientation val="minMax"/>
          <c:max val="10000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&lt;1]0.00\ &quot;m&quot;;[&gt;=1000]0,\ &quot;k&quot;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02936"/>
        <c:crossesAt val="-300"/>
        <c:crossBetween val="midCat"/>
      </c:valAx>
      <c:valAx>
        <c:axId val="420102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03920"/>
        <c:crossesAt val="1.000000000000000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Nyquist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'Bias Network'!$M$3:$M$303</c:f>
              <c:numCache>
                <c:formatCode>General</c:formatCode>
                <c:ptCount val="301"/>
                <c:pt idx="0">
                  <c:v>0.49999952154664501</c:v>
                </c:pt>
                <c:pt idx="1">
                  <c:v>0.49999947538637601</c:v>
                </c:pt>
                <c:pt idx="2">
                  <c:v>0.49999942477265802</c:v>
                </c:pt>
                <c:pt idx="3">
                  <c:v>0.499999369275832</c:v>
                </c:pt>
                <c:pt idx="4">
                  <c:v>0.49999930842478602</c:v>
                </c:pt>
                <c:pt idx="5">
                  <c:v>0.49999924170295801</c:v>
                </c:pt>
                <c:pt idx="6">
                  <c:v>0.49999916854394899</c:v>
                </c:pt>
                <c:pt idx="7">
                  <c:v>0.49999908832671602</c:v>
                </c:pt>
                <c:pt idx="8">
                  <c:v>0.49999900037029699</c:v>
                </c:pt>
                <c:pt idx="9">
                  <c:v>0.49999890392803797</c:v>
                </c:pt>
                <c:pt idx="10">
                  <c:v>0.49999879818124698</c:v>
                </c:pt>
                <c:pt idx="11">
                  <c:v>0.49999868223224703</c:v>
                </c:pt>
                <c:pt idx="12">
                  <c:v>0.499998555096759</c:v>
                </c:pt>
                <c:pt idx="13">
                  <c:v>0.49999841569554199</c:v>
                </c:pt>
                <c:pt idx="14">
                  <c:v>0.49999826284523702</c:v>
                </c:pt>
                <c:pt idx="15">
                  <c:v>0.49999809524831701</c:v>
                </c:pt>
                <c:pt idx="16">
                  <c:v>0.499997911482079</c:v>
                </c:pt>
                <c:pt idx="17">
                  <c:v>0.49999770998656001</c:v>
                </c:pt>
                <c:pt idx="18">
                  <c:v>0.49999748905130298</c:v>
                </c:pt>
                <c:pt idx="19">
                  <c:v>0.49999724680083701</c:v>
                </c:pt>
                <c:pt idx="20">
                  <c:v>0.49999698117875102</c:v>
                </c:pt>
                <c:pt idx="21">
                  <c:v>0.49999668993025098</c:v>
                </c:pt>
                <c:pt idx="22">
                  <c:v>0.499996370583011</c:v>
                </c:pt>
                <c:pt idx="23">
                  <c:v>0.49999602042619301</c:v>
                </c:pt>
                <c:pt idx="24">
                  <c:v>0.499995636487442</c:v>
                </c:pt>
                <c:pt idx="25">
                  <c:v>0.49999521550765003</c:v>
                </c:pt>
                <c:pt idx="26">
                  <c:v>0.499994753913301</c:v>
                </c:pt>
                <c:pt idx="27">
                  <c:v>0.49999424778614299</c:v>
                </c:pt>
                <c:pt idx="28">
                  <c:v>0.49999369282992601</c:v>
                </c:pt>
                <c:pt idx="29">
                  <c:v>0.49999308433395101</c:v>
                </c:pt>
                <c:pt idx="30">
                  <c:v>0.49999241713308401</c:v>
                </c:pt>
                <c:pt idx="31">
                  <c:v>0.49999168556392798</c:v>
                </c:pt>
                <c:pt idx="32">
                  <c:v>0.49999088341676001</c:v>
                </c:pt>
                <c:pt idx="33">
                  <c:v>0.49999000388283799</c:v>
                </c:pt>
                <c:pt idx="34">
                  <c:v>0.49998903949662699</c:v>
                </c:pt>
                <c:pt idx="35">
                  <c:v>0.49998798207244899</c:v>
                </c:pt>
                <c:pt idx="36">
                  <c:v>0.49998682263503502</c:v>
                </c:pt>
                <c:pt idx="37">
                  <c:v>0.49998555134337203</c:v>
                </c:pt>
                <c:pt idx="38">
                  <c:v>0.49998415740721203</c:v>
                </c:pt>
                <c:pt idx="39">
                  <c:v>0.49998262899553902</c:v>
                </c:pt>
                <c:pt idx="40">
                  <c:v>0.499980953136206</c:v>
                </c:pt>
                <c:pt idx="41">
                  <c:v>0.49997911560589903</c:v>
                </c:pt>
                <c:pt idx="42">
                  <c:v>0.49997710080950802</c:v>
                </c:pt>
                <c:pt idx="43">
                  <c:v>0.49997489164785802</c:v>
                </c:pt>
                <c:pt idx="44">
                  <c:v>0.499972469372716</c:v>
                </c:pt>
                <c:pt idx="45">
                  <c:v>0.49996981342781499</c:v>
                </c:pt>
                <c:pt idx="46">
                  <c:v>0.499966901274572</c:v>
                </c:pt>
                <c:pt idx="47">
                  <c:v>0.49996370820102998</c:v>
                </c:pt>
                <c:pt idx="48">
                  <c:v>0.49996020711238998</c:v>
                </c:pt>
                <c:pt idx="49">
                  <c:v>0.49995636830139101</c:v>
                </c:pt>
                <c:pt idx="50">
                  <c:v>0.49995215919658698</c:v>
                </c:pt>
                <c:pt idx="51">
                  <c:v>0.49994754408640202</c:v>
                </c:pt>
                <c:pt idx="52">
                  <c:v>0.49994248381664302</c:v>
                </c:pt>
                <c:pt idx="53">
                  <c:v>0.49993693545892098</c:v>
                </c:pt>
                <c:pt idx="54">
                  <c:v>0.499930851947199</c:v>
                </c:pt>
                <c:pt idx="55">
                  <c:v>0.499924181679409</c:v>
                </c:pt>
                <c:pt idx="56">
                  <c:v>0.499916868080793</c:v>
                </c:pt>
                <c:pt idx="57">
                  <c:v>0.49990884912532202</c:v>
                </c:pt>
                <c:pt idx="58">
                  <c:v>0.499900056811171</c:v>
                </c:pt>
                <c:pt idx="59">
                  <c:v>0.49989041658587702</c:v>
                </c:pt>
                <c:pt idx="60">
                  <c:v>0.49987984671637498</c:v>
                </c:pt>
                <c:pt idx="61">
                  <c:v>0.49986825759867098</c:v>
                </c:pt>
                <c:pt idx="62">
                  <c:v>0.499855551001406</c:v>
                </c:pt>
                <c:pt idx="63">
                  <c:v>0.49984161923703302</c:v>
                </c:pt>
                <c:pt idx="64">
                  <c:v>0.49982634425373801</c:v>
                </c:pt>
                <c:pt idx="65">
                  <c:v>0.49980959664062202</c:v>
                </c:pt>
                <c:pt idx="66">
                  <c:v>0.49979123453791802</c:v>
                </c:pt>
                <c:pt idx="67">
                  <c:v>0.49977110244331502</c:v>
                </c:pt>
                <c:pt idx="68">
                  <c:v>0.49974902990460301</c:v>
                </c:pt>
                <c:pt idx="69">
                  <c:v>0.49972483008796897</c:v>
                </c:pt>
                <c:pt idx="70">
                  <c:v>0.49969829821031903</c:v>
                </c:pt>
                <c:pt idx="71">
                  <c:v>0.49966920982292301</c:v>
                </c:pt>
                <c:pt idx="72">
                  <c:v>0.49963731893257302</c:v>
                </c:pt>
                <c:pt idx="73">
                  <c:v>0.49960235594519198</c:v>
                </c:pt>
                <c:pt idx="74">
                  <c:v>0.49956402541551798</c:v>
                </c:pt>
                <c:pt idx="75">
                  <c:v>0.499522003585053</c:v>
                </c:pt>
                <c:pt idx="76">
                  <c:v>0.49947593568891901</c:v>
                </c:pt>
                <c:pt idx="77">
                  <c:v>0.49942543301063202</c:v>
                </c:pt>
                <c:pt idx="78">
                  <c:v>0.49937006966202702</c:v>
                </c:pt>
                <c:pt idx="79">
                  <c:v>0.49930937906366601</c:v>
                </c:pt>
                <c:pt idx="80">
                  <c:v>0.49924285009909702</c:v>
                </c:pt>
                <c:pt idx="81">
                  <c:v>0.49916992291414802</c:v>
                </c:pt>
                <c:pt idx="82">
                  <c:v>0.49908998433025398</c:v>
                </c:pt>
                <c:pt idx="83">
                  <c:v>0.49900236283841698</c:v>
                </c:pt>
                <c:pt idx="84">
                  <c:v>0.49890632313796901</c:v>
                </c:pt>
                <c:pt idx="85">
                  <c:v>0.49880106018175402</c:v>
                </c:pt>
                <c:pt idx="86">
                  <c:v>0.49868569268673701</c:v>
                </c:pt>
                <c:pt idx="87">
                  <c:v>0.49855925606639601</c:v>
                </c:pt>
                <c:pt idx="88">
                  <c:v>0.49842069473862699</c:v>
                </c:pt>
                <c:pt idx="89">
                  <c:v>0.49826885376024099</c:v>
                </c:pt>
                <c:pt idx="90">
                  <c:v>0.49810246973668199</c:v>
                </c:pt>
                <c:pt idx="91">
                  <c:v>0.49792016095325298</c:v>
                </c:pt>
                <c:pt idx="92">
                  <c:v>0.49772041667212202</c:v>
                </c:pt>
                <c:pt idx="93">
                  <c:v>0.49750158553771201</c:v>
                </c:pt>
                <c:pt idx="94">
                  <c:v>0.497261863032045</c:v>
                </c:pt>
                <c:pt idx="95">
                  <c:v>0.49699927792118098</c:v>
                </c:pt>
                <c:pt idx="96">
                  <c:v>0.49671167763451102</c:v>
                </c:pt>
                <c:pt idx="97">
                  <c:v>0.49639671252042</c:v>
                </c:pt>
                <c:pt idx="98">
                  <c:v>0.49605181892508898</c:v>
                </c:pt>
                <c:pt idx="99">
                  <c:v>0.49567420104640703</c:v>
                </c:pt>
                <c:pt idx="100">
                  <c:v>0.49526081152237</c:v>
                </c:pt>
                <c:pt idx="101">
                  <c:v>0.49480833072367703</c:v>
                </c:pt>
                <c:pt idx="102">
                  <c:v>0.49431314473388999</c:v>
                </c:pt>
                <c:pt idx="103">
                  <c:v>0.49377132201833801</c:v>
                </c:pt>
                <c:pt idx="104">
                  <c:v>0.49317858880561599</c:v>
                </c:pt>
                <c:pt idx="105">
                  <c:v>0.49253030323396502</c:v>
                </c:pt>
                <c:pt idx="106">
                  <c:v>0.49182142835007198</c:v>
                </c:pt>
                <c:pt idx="107">
                  <c:v>0.49104650409091299</c:v>
                </c:pt>
                <c:pt idx="108">
                  <c:v>0.49019961843147503</c:v>
                </c:pt>
                <c:pt idx="109">
                  <c:v>0.48927437794381701</c:v>
                </c:pt>
                <c:pt idx="110">
                  <c:v>0.48826387808725802</c:v>
                </c:pt>
                <c:pt idx="111">
                  <c:v>0.48716067363701798</c:v>
                </c:pt>
                <c:pt idx="112">
                  <c:v>0.48595674976059</c:v>
                </c:pt>
                <c:pt idx="113">
                  <c:v>0.48464349436878901</c:v>
                </c:pt>
                <c:pt idx="114">
                  <c:v>0.48321167250274999</c:v>
                </c:pt>
                <c:pt idx="115">
                  <c:v>0.48165140366968801</c:v>
                </c:pt>
                <c:pt idx="116">
                  <c:v>0.47995214320897001</c:v>
                </c:pt>
                <c:pt idx="117">
                  <c:v>0.47810266895516501</c:v>
                </c:pt>
                <c:pt idx="118">
                  <c:v>0.47609107466418499</c:v>
                </c:pt>
                <c:pt idx="119">
                  <c:v>0.47390477187895202</c:v>
                </c:pt>
                <c:pt idx="120">
                  <c:v>0.47153050212693898</c:v>
                </c:pt>
                <c:pt idx="121">
                  <c:v>0.46895436155557202</c:v>
                </c:pt>
                <c:pt idx="122">
                  <c:v>0.46616184031260499</c:v>
                </c:pt>
                <c:pt idx="123">
                  <c:v>0.463137879153242</c:v>
                </c:pt>
                <c:pt idx="124">
                  <c:v>0.45986694588684102</c:v>
                </c:pt>
                <c:pt idx="125">
                  <c:v>0.45633313434213901</c:v>
                </c:pt>
                <c:pt idx="126">
                  <c:v>0.45252028850616999</c:v>
                </c:pt>
                <c:pt idx="127">
                  <c:v>0.44841215434957499</c:v>
                </c:pt>
                <c:pt idx="128">
                  <c:v>0.44399256155869699</c:v>
                </c:pt>
                <c:pt idx="129">
                  <c:v>0.43924563691977597</c:v>
                </c:pt>
                <c:pt idx="130">
                  <c:v>0.434156050411168</c:v>
                </c:pt>
                <c:pt idx="131">
                  <c:v>0.428709294127813</c:v>
                </c:pt>
                <c:pt idx="132">
                  <c:v>0.42289199296840202</c:v>
                </c:pt>
                <c:pt idx="133">
                  <c:v>0.41669224455275899</c:v>
                </c:pt>
                <c:pt idx="134">
                  <c:v>0.41009998411606002</c:v>
                </c:pt>
                <c:pt idx="135">
                  <c:v>0.40310736818274601</c:v>
                </c:pt>
                <c:pt idx="136">
                  <c:v>0.39570916872052903</c:v>
                </c:pt>
                <c:pt idx="137">
                  <c:v>0.38790316731087598</c:v>
                </c:pt>
                <c:pt idx="138">
                  <c:v>0.37969053677808401</c:v>
                </c:pt>
                <c:pt idx="139">
                  <c:v>0.37107619585783802</c:v>
                </c:pt>
                <c:pt idx="140">
                  <c:v>0.36206912104622202</c:v>
                </c:pt>
                <c:pt idx="141">
                  <c:v>0.352682598952266</c:v>
                </c:pt>
                <c:pt idx="142">
                  <c:v>0.34293440247666901</c:v>
                </c:pt>
                <c:pt idx="143">
                  <c:v>0.33284687512358102</c:v>
                </c:pt>
                <c:pt idx="144">
                  <c:v>0.32244690983545699</c:v>
                </c:pt>
                <c:pt idx="145">
                  <c:v>0.31176581195877601</c:v>
                </c:pt>
                <c:pt idx="146">
                  <c:v>0.300839040238008</c:v>
                </c:pt>
                <c:pt idx="147">
                  <c:v>0.289705824922732</c:v>
                </c:pt>
                <c:pt idx="148">
                  <c:v>0.27840866787401802</c:v>
                </c:pt>
                <c:pt idx="149">
                  <c:v>0.26699273559131798</c:v>
                </c:pt>
                <c:pt idx="150">
                  <c:v>0.25550516190545902</c:v>
                </c:pt>
                <c:pt idx="151">
                  <c:v>0.24399428223028299</c:v>
                </c:pt>
                <c:pt idx="152">
                  <c:v>0.23250882529724701</c:v>
                </c:pt>
                <c:pt idx="153">
                  <c:v>0.221097090856331</c:v>
                </c:pt>
                <c:pt idx="154">
                  <c:v>0.20980614268029599</c:v>
                </c:pt>
                <c:pt idx="155">
                  <c:v>0.19868104527865199</c:v>
                </c:pt>
                <c:pt idx="156">
                  <c:v>0.18776417009868299</c:v>
                </c:pt>
                <c:pt idx="157">
                  <c:v>0.177094592902413</c:v>
                </c:pt>
                <c:pt idx="158">
                  <c:v>0.16670759882251199</c:v>
                </c:pt>
                <c:pt idx="159">
                  <c:v>0.156634305756857</c:v>
                </c:pt>
                <c:pt idx="160">
                  <c:v>0.146901410727594</c:v>
                </c:pt>
                <c:pt idx="161">
                  <c:v>0.13753105804878199</c:v>
                </c:pt>
                <c:pt idx="162">
                  <c:v>0.128540822993014</c:v>
                </c:pt>
                <c:pt idx="163">
                  <c:v>0.119943800401741</c:v>
                </c:pt>
                <c:pt idx="164">
                  <c:v>0.111748784514994</c:v>
                </c:pt>
                <c:pt idx="165">
                  <c:v>0.103960524262305</c:v>
                </c:pt>
                <c:pt idx="166">
                  <c:v>9.6580037318057907E-2</c:v>
                </c:pt>
                <c:pt idx="167">
                  <c:v>8.9604966264269906E-2</c:v>
                </c:pt>
                <c:pt idx="168">
                  <c:v>8.30299610529521E-2</c:v>
                </c:pt>
                <c:pt idx="169">
                  <c:v>7.6847073422538104E-2</c:v>
                </c:pt>
                <c:pt idx="170">
                  <c:v>7.1046150798066393E-2</c:v>
                </c:pt>
                <c:pt idx="171">
                  <c:v>6.5615219305221503E-2</c:v>
                </c:pt>
                <c:pt idx="172">
                  <c:v>6.0540847692232801E-2</c:v>
                </c:pt>
                <c:pt idx="173">
                  <c:v>5.5808486050892198E-2</c:v>
                </c:pt>
                <c:pt idx="174">
                  <c:v>5.1402775163174298E-2</c:v>
                </c:pt>
                <c:pt idx="175">
                  <c:v>4.7307824010132997E-2</c:v>
                </c:pt>
                <c:pt idx="176">
                  <c:v>4.3507454431060397E-2</c:v>
                </c:pt>
                <c:pt idx="177">
                  <c:v>3.9985413103019299E-2</c:v>
                </c:pt>
                <c:pt idx="178">
                  <c:v>3.6725551931498401E-2</c:v>
                </c:pt>
                <c:pt idx="179">
                  <c:v>3.3711978622440103E-2</c:v>
                </c:pt>
                <c:pt idx="180">
                  <c:v>3.0929179672287799E-2</c:v>
                </c:pt>
                <c:pt idx="181">
                  <c:v>2.8362118297855999E-2</c:v>
                </c:pt>
                <c:pt idx="182">
                  <c:v>2.5996309964458699E-2</c:v>
                </c:pt>
                <c:pt idx="183">
                  <c:v>2.3817878190049699E-2</c:v>
                </c:pt>
                <c:pt idx="184">
                  <c:v>2.1813593233682101E-2</c:v>
                </c:pt>
                <c:pt idx="185">
                  <c:v>1.9970896143246299E-2</c:v>
                </c:pt>
                <c:pt idx="186">
                  <c:v>1.82779104612634E-2</c:v>
                </c:pt>
                <c:pt idx="187">
                  <c:v>1.6723443685632802E-2</c:v>
                </c:pt>
                <c:pt idx="188">
                  <c:v>1.52969803682421E-2</c:v>
                </c:pt>
                <c:pt idx="189">
                  <c:v>1.3988668518581901E-2</c:v>
                </c:pt>
                <c:pt idx="190">
                  <c:v>1.2789300769539999E-2</c:v>
                </c:pt>
                <c:pt idx="191">
                  <c:v>1.16902915636658E-2</c:v>
                </c:pt>
                <c:pt idx="192">
                  <c:v>1.06836514337711E-2</c:v>
                </c:pt>
                <c:pt idx="193">
                  <c:v>9.7619592837261005E-3</c:v>
                </c:pt>
                <c:pt idx="194">
                  <c:v>8.9183334245190801E-3</c:v>
                </c:pt>
                <c:pt idx="195">
                  <c:v>8.1464019870696198E-3</c:v>
                </c:pt>
                <c:pt idx="196">
                  <c:v>7.4402732163261704E-3</c:v>
                </c:pt>
                <c:pt idx="197">
                  <c:v>6.7945060498584503E-3</c:v>
                </c:pt>
                <c:pt idx="198">
                  <c:v>6.2040812972547999E-3</c:v>
                </c:pt>
                <c:pt idx="199">
                  <c:v>5.6643736628108404E-3</c:v>
                </c:pt>
                <c:pt idx="200">
                  <c:v>5.1711247918723099E-3</c:v>
                </c:pt>
                <c:pt idx="201">
                  <c:v>4.7204174694085999E-3</c:v>
                </c:pt>
                <c:pt idx="202">
                  <c:v>4.3086510566525604E-3</c:v>
                </c:pt>
                <c:pt idx="203">
                  <c:v>3.9325182167321204E-3</c:v>
                </c:pt>
                <c:pt idx="204">
                  <c:v>3.5889829520441099E-3</c:v>
                </c:pt>
                <c:pt idx="205">
                  <c:v>3.2752599536738998E-3</c:v>
                </c:pt>
                <c:pt idx="206">
                  <c:v>2.9887952455666901E-3</c:v>
                </c:pt>
                <c:pt idx="207">
                  <c:v>2.7272480926243902E-3</c:v>
                </c:pt>
                <c:pt idx="208">
                  <c:v>2.48847413175353E-3</c:v>
                </c:pt>
                <c:pt idx="209">
                  <c:v>2.2705096775383401E-3</c:v>
                </c:pt>
                <c:pt idx="210">
                  <c:v>2.0715571491494601E-3</c:v>
                </c:pt>
                <c:pt idx="211">
                  <c:v>1.8899715618951099E-3</c:v>
                </c:pt>
                <c:pt idx="212">
                  <c:v>1.7242480251096601E-3</c:v>
                </c:pt>
                <c:pt idx="213">
                  <c:v>1.5730101875485699E-3</c:v>
                </c:pt>
                <c:pt idx="214">
                  <c:v>1.43499957186132E-3</c:v>
                </c:pt>
                <c:pt idx="215">
                  <c:v>1.3090657408298301E-3</c:v>
                </c:pt>
                <c:pt idx="216">
                  <c:v>1.19415723971584E-3</c:v>
                </c:pt>
                <c:pt idx="217">
                  <c:v>1.08931326110806E-3</c:v>
                </c:pt>
                <c:pt idx="218">
                  <c:v>9.9365598098372109E-4</c:v>
                </c:pt>
                <c:pt idx="219">
                  <c:v>9.0638351720232304E-4</c:v>
                </c:pt>
                <c:pt idx="220">
                  <c:v>8.2676346425748196E-4</c:v>
                </c:pt>
                <c:pt idx="221">
                  <c:v>7.5412696076278805E-4</c:v>
                </c:pt>
                <c:pt idx="222">
                  <c:v>6.8786324879559701E-4</c:v>
                </c:pt>
                <c:pt idx="223">
                  <c:v>6.2741468682900401E-4</c:v>
                </c:pt>
                <c:pt idx="224">
                  <c:v>5.7227218052224003E-4</c:v>
                </c:pt>
                <c:pt idx="225">
                  <c:v>5.2197099809119104E-4</c:v>
                </c:pt>
                <c:pt idx="226">
                  <c:v>4.7608693933053102E-4</c:v>
                </c:pt>
                <c:pt idx="227">
                  <c:v>4.3423282959739599E-4</c:v>
                </c:pt>
                <c:pt idx="228">
                  <c:v>3.9605531218722797E-4</c:v>
                </c:pt>
                <c:pt idx="229">
                  <c:v>3.6123191453380399E-4</c:v>
                </c:pt>
                <c:pt idx="230">
                  <c:v>3.29468365546005E-4</c:v>
                </c:pt>
                <c:pt idx="231">
                  <c:v>3.0049614315582598E-4</c:v>
                </c:pt>
                <c:pt idx="232">
                  <c:v>2.7407023279779499E-4</c:v>
                </c:pt>
                <c:pt idx="233">
                  <c:v>2.4996707907346802E-4</c:v>
                </c:pt>
                <c:pt idx="234">
                  <c:v>2.27982714280186E-4</c:v>
                </c:pt>
                <c:pt idx="235">
                  <c:v>2.07931048806179E-4</c:v>
                </c:pt>
                <c:pt idx="236">
                  <c:v>1.8964230961931501E-4</c:v>
                </c:pt>
                <c:pt idx="237">
                  <c:v>1.7296161421006401E-4</c:v>
                </c:pt>
                <c:pt idx="238">
                  <c:v>1.5774766839586499E-4</c:v>
                </c:pt>
                <c:pt idx="239">
                  <c:v>1.4387157735957801E-4</c:v>
                </c:pt>
                <c:pt idx="240">
                  <c:v>1.3121576018434899E-4</c:v>
                </c:pt>
                <c:pt idx="241">
                  <c:v>1.19672958966209E-4</c:v>
                </c:pt>
                <c:pt idx="242">
                  <c:v>1.09145334338957E-4</c:v>
                </c:pt>
                <c:pt idx="243">
                  <c:v>9.9543639938119997E-5</c:v>
                </c:pt>
                <c:pt idx="244">
                  <c:v>9.07864689665338E-5</c:v>
                </c:pt>
                <c:pt idx="245">
                  <c:v>8.2799566607497105E-5</c:v>
                </c:pt>
                <c:pt idx="246">
                  <c:v>7.5515202566644093E-5</c:v>
                </c:pt>
                <c:pt idx="247">
                  <c:v>6.8871598514266399E-5</c:v>
                </c:pt>
                <c:pt idx="248">
                  <c:v>6.2812405649375196E-5</c:v>
                </c:pt>
                <c:pt idx="249">
                  <c:v>5.7286228018543798E-5</c:v>
                </c:pt>
                <c:pt idx="250">
                  <c:v>5.2246187599557302E-5</c:v>
                </c:pt>
                <c:pt idx="251">
                  <c:v>4.7649527504931897E-5</c:v>
                </c:pt>
                <c:pt idx="252">
                  <c:v>4.3457249976062203E-5</c:v>
                </c:pt>
                <c:pt idx="253">
                  <c:v>3.9633786127491098E-5</c:v>
                </c:pt>
                <c:pt idx="254">
                  <c:v>3.6146694664872597E-5</c:v>
                </c:pt>
                <c:pt idx="255">
                  <c:v>3.29663870415824E-5</c:v>
                </c:pt>
                <c:pt idx="256">
                  <c:v>3.0065876739584E-5</c:v>
                </c:pt>
                <c:pt idx="257">
                  <c:v>2.7420550561796299E-5</c:v>
                </c:pt>
                <c:pt idx="258">
                  <c:v>2.5007960007436399E-5</c:v>
                </c:pt>
                <c:pt idx="259">
                  <c:v>2.28076309701251E-5</c:v>
                </c:pt>
                <c:pt idx="260">
                  <c:v>2.0800890152247601E-5</c:v>
                </c:pt>
                <c:pt idx="261">
                  <c:v>1.8970706729482099E-5</c:v>
                </c:pt>
                <c:pt idx="262">
                  <c:v>1.7301547927590699E-5</c:v>
                </c:pt>
                <c:pt idx="263">
                  <c:v>1.57792472906309E-5</c:v>
                </c:pt>
                <c:pt idx="264">
                  <c:v>1.43908845266193E-5</c:v>
                </c:pt>
                <c:pt idx="265">
                  <c:v>1.31246759142239E-5</c:v>
                </c:pt>
                <c:pt idx="266">
                  <c:v>1.1969874343127E-5</c:v>
                </c:pt>
                <c:pt idx="267">
                  <c:v>1.09166781419699E-5</c:v>
                </c:pt>
                <c:pt idx="268">
                  <c:v>9.9561479219790692E-6</c:v>
                </c:pt>
                <c:pt idx="269">
                  <c:v>9.0801307320658193E-6</c:v>
                </c:pt>
                <c:pt idx="270">
                  <c:v>8.2811908829787493E-6</c:v>
                </c:pt>
                <c:pt idx="271">
                  <c:v>7.5525468544545103E-6</c:v>
                </c:pt>
                <c:pt idx="272">
                  <c:v>6.8880137507582801E-6</c:v>
                </c:pt>
                <c:pt idx="273">
                  <c:v>6.2819508169348699E-6</c:v>
                </c:pt>
                <c:pt idx="274">
                  <c:v>5.7292135709173604E-6</c:v>
                </c:pt>
                <c:pt idx="275">
                  <c:v>5.22511014570851E-6</c:v>
                </c:pt>
                <c:pt idx="276">
                  <c:v>4.7653614714936803E-6</c:v>
                </c:pt>
                <c:pt idx="277">
                  <c:v>4.3460649600626996E-6</c:v>
                </c:pt>
                <c:pt idx="278">
                  <c:v>3.9636613835827096E-6</c:v>
                </c:pt>
                <c:pt idx="279">
                  <c:v>3.6149046668266602E-6</c:v>
                </c:pt>
                <c:pt idx="280">
                  <c:v>3.29683433664838E-6</c:v>
                </c:pt>
                <c:pt idx="281">
                  <c:v>3.0067503950145799E-6</c:v>
                </c:pt>
                <c:pt idx="282">
                  <c:v>2.7421904024466598E-6</c:v>
                </c:pt>
                <c:pt idx="283">
                  <c:v>2.5009085774626999E-6</c:v>
                </c:pt>
                <c:pt idx="284">
                  <c:v>2.2808567347021899E-6</c:v>
                </c:pt>
                <c:pt idx="285">
                  <c:v>2.0801669000065101E-6</c:v>
                </c:pt>
                <c:pt idx="286">
                  <c:v>1.8971354549488301E-6</c:v>
                </c:pt>
                <c:pt idx="287">
                  <c:v>1.7302086762780601E-6</c:v>
                </c:pt>
                <c:pt idx="288">
                  <c:v>1.5779695475721701E-6</c:v>
                </c:pt>
                <c:pt idx="289">
                  <c:v>1.4391257311879299E-6</c:v>
                </c:pt>
                <c:pt idx="290">
                  <c:v>1.31249859843613E-6</c:v>
                </c:pt>
                <c:pt idx="291">
                  <c:v>1.19701322488889E-6</c:v>
                </c:pt>
                <c:pt idx="292">
                  <c:v>1.0916892659136201E-6</c:v>
                </c:pt>
                <c:pt idx="293">
                  <c:v>9.9563263499632701E-7</c:v>
                </c:pt>
                <c:pt idx="294">
                  <c:v>9.0802791422848901E-7</c:v>
                </c:pt>
                <c:pt idx="295">
                  <c:v>8.28131432543914E-7</c:v>
                </c:pt>
                <c:pt idx="296">
                  <c:v>7.5526495295855099E-7</c:v>
                </c:pt>
                <c:pt idx="297">
                  <c:v>6.8880991523373402E-7</c:v>
                </c:pt>
                <c:pt idx="298">
                  <c:v>6.2820218509690296E-7</c:v>
                </c:pt>
                <c:pt idx="299">
                  <c:v>5.7292726545253102E-7</c:v>
                </c:pt>
                <c:pt idx="300">
                  <c:v>5.2251592893676195E-7</c:v>
                </c:pt>
              </c:numCache>
            </c:numRef>
          </c:xVal>
          <c:yVal>
            <c:numRef>
              <c:f>'Bias Network'!$N$3:$N$303</c:f>
              <c:numCache>
                <c:formatCode>General</c:formatCode>
                <c:ptCount val="301"/>
                <c:pt idx="0">
                  <c:v>-4.8910780902109297E-4</c:v>
                </c:pt>
                <c:pt idx="1">
                  <c:v>-5.1215870261779996E-4</c:v>
                </c:pt>
                <c:pt idx="2">
                  <c:v>-5.3629594435588397E-4</c:v>
                </c:pt>
                <c:pt idx="3">
                  <c:v>-5.6157073120809695E-4</c:v>
                </c:pt>
                <c:pt idx="4">
                  <c:v>-5.8803667283242498E-4</c:v>
                </c:pt>
                <c:pt idx="5">
                  <c:v>-6.1574990525565599E-4</c:v>
                </c:pt>
                <c:pt idx="6">
                  <c:v>-6.4476920991132498E-4</c:v>
                </c:pt>
                <c:pt idx="7">
                  <c:v>-6.7515613828385702E-4</c:v>
                </c:pt>
                <c:pt idx="8">
                  <c:v>-7.0697514242257697E-4</c:v>
                </c:pt>
                <c:pt idx="9">
                  <c:v>-7.4029371160152103E-4</c:v>
                </c:pt>
                <c:pt idx="10">
                  <c:v>-7.7518251541399297E-4</c:v>
                </c:pt>
                <c:pt idx="11">
                  <c:v>-8.1171555360418904E-4</c:v>
                </c:pt>
                <c:pt idx="12">
                  <c:v>-8.4997031295247602E-4</c:v>
                </c:pt>
                <c:pt idx="13">
                  <c:v>-8.9002793154556003E-4</c:v>
                </c:pt>
                <c:pt idx="14">
                  <c:v>-9.3197337077822995E-4</c:v>
                </c:pt>
                <c:pt idx="15">
                  <c:v>-9.7589559544966696E-4</c:v>
                </c:pt>
                <c:pt idx="16">
                  <c:v>-1.02188776233397E-3</c:v>
                </c:pt>
                <c:pt idx="17">
                  <c:v>-1.0700474176222601E-3</c:v>
                </c:pt>
                <c:pt idx="18">
                  <c:v>-1.1204767036523101E-3</c:v>
                </c:pt>
                <c:pt idx="19">
                  <c:v>-1.17328257536067E-3</c:v>
                </c:pt>
                <c:pt idx="20">
                  <c:v>-1.22857702691251E-3</c:v>
                </c:pt>
                <c:pt idx="21">
                  <c:v>-1.2864773289854401E-3</c:v>
                </c:pt>
                <c:pt idx="22">
                  <c:v>-1.3471062772053401E-3</c:v>
                </c:pt>
                <c:pt idx="23">
                  <c:v>-1.4105924522552901E-3</c:v>
                </c:pt>
                <c:pt idx="24">
                  <c:v>-1.4770704922025301E-3</c:v>
                </c:pt>
                <c:pt idx="25">
                  <c:v>-1.5466813776132001E-3</c:v>
                </c:pt>
                <c:pt idx="26">
                  <c:v>-1.6195727300505501E-3</c:v>
                </c:pt>
                <c:pt idx="27">
                  <c:v>-1.6958991245796999E-3</c:v>
                </c:pt>
                <c:pt idx="28">
                  <c:v>-1.77582241692969E-3</c:v>
                </c:pt>
                <c:pt idx="29">
                  <c:v>-1.85951208599329E-3</c:v>
                </c:pt>
                <c:pt idx="30">
                  <c:v>-1.94714559237539E-3</c:v>
                </c:pt>
                <c:pt idx="31">
                  <c:v>-2.03890875373263E-3</c:v>
                </c:pt>
                <c:pt idx="32">
                  <c:v>-2.1349961376796499E-3</c:v>
                </c:pt>
                <c:pt idx="33">
                  <c:v>-2.2356114730719E-3</c:v>
                </c:pt>
                <c:pt idx="34">
                  <c:v>-2.3409680805100601E-3</c:v>
                </c:pt>
                <c:pt idx="35">
                  <c:v>-2.4512893229481901E-3</c:v>
                </c:pt>
                <c:pt idx="36">
                  <c:v>-2.5668090773255901E-3</c:v>
                </c:pt>
                <c:pt idx="37">
                  <c:v>-2.68777222818147E-3</c:v>
                </c:pt>
                <c:pt idx="38">
                  <c:v>-2.8144351842526302E-3</c:v>
                </c:pt>
                <c:pt idx="39">
                  <c:v>-2.9470664190953998E-3</c:v>
                </c:pt>
                <c:pt idx="40">
                  <c:v>-3.08594703681662E-3</c:v>
                </c:pt>
                <c:pt idx="41">
                  <c:v>-3.2313713640420901E-3</c:v>
                </c:pt>
                <c:pt idx="42">
                  <c:v>-3.3836475692963401E-3</c:v>
                </c:pt>
                <c:pt idx="43">
                  <c:v>-3.54309831101326E-3</c:v>
                </c:pt>
                <c:pt idx="44">
                  <c:v>-3.7100614154441198E-3</c:v>
                </c:pt>
                <c:pt idx="45">
                  <c:v>-3.8848905857770399E-3</c:v>
                </c:pt>
                <c:pt idx="46">
                  <c:v>-4.0679561438294503E-3</c:v>
                </c:pt>
                <c:pt idx="47">
                  <c:v>-4.2596458057236096E-3</c:v>
                </c:pt>
                <c:pt idx="48">
                  <c:v>-4.4603654930027098E-3</c:v>
                </c:pt>
                <c:pt idx="49">
                  <c:v>-4.6705401806928096E-3</c:v>
                </c:pt>
                <c:pt idx="50">
                  <c:v>-4.8906147838622604E-3</c:v>
                </c:pt>
                <c:pt idx="51">
                  <c:v>-5.1210550842754696E-3</c:v>
                </c:pt>
                <c:pt idx="52">
                  <c:v>-5.36234869878063E-3</c:v>
                </c:pt>
                <c:pt idx="53">
                  <c:v>-5.6150060911121201E-3</c:v>
                </c:pt>
                <c:pt idx="54">
                  <c:v>-5.8795616288243903E-3</c:v>
                </c:pt>
                <c:pt idx="55">
                  <c:v>-6.1565746871068902E-3</c:v>
                </c:pt>
                <c:pt idx="56">
                  <c:v>-6.4466308012563096E-3</c:v>
                </c:pt>
                <c:pt idx="57">
                  <c:v>-6.7503428696020999E-3</c:v>
                </c:pt>
                <c:pt idx="58">
                  <c:v>-7.06835240869267E-3</c:v>
                </c:pt>
                <c:pt idx="59">
                  <c:v>-7.4013308625502598E-3</c:v>
                </c:pt>
                <c:pt idx="60">
                  <c:v>-7.7499809677921399E-3</c:v>
                </c:pt>
                <c:pt idx="61">
                  <c:v>-8.1150381763885303E-3</c:v>
                </c:pt>
                <c:pt idx="62">
                  <c:v>-8.4972721377860692E-3</c:v>
                </c:pt>
                <c:pt idx="63">
                  <c:v>-8.89748824205896E-3</c:v>
                </c:pt>
                <c:pt idx="64">
                  <c:v>-9.3165292256645708E-3</c:v>
                </c:pt>
                <c:pt idx="65">
                  <c:v>-9.75527684126112E-3</c:v>
                </c:pt>
                <c:pt idx="66">
                  <c:v>-1.02146535928959E-2</c:v>
                </c:pt>
                <c:pt idx="67">
                  <c:v>-1.06956245376819E-2</c:v>
                </c:pt>
                <c:pt idx="68">
                  <c:v>-1.1199199154848001E-2</c:v>
                </c:pt>
                <c:pt idx="69">
                  <c:v>-1.1726433282758301E-2</c:v>
                </c:pt>
                <c:pt idx="70">
                  <c:v>-1.22784311241471E-2</c:v>
                </c:pt>
                <c:pt idx="71">
                  <c:v>-1.2856347319397899E-2</c:v>
                </c:pt>
                <c:pt idx="72">
                  <c:v>-1.34613890871908E-2</c:v>
                </c:pt>
                <c:pt idx="73">
                  <c:v>-1.4094818431245401E-2</c:v>
                </c:pt>
                <c:pt idx="74">
                  <c:v>-1.4757954411182401E-2</c:v>
                </c:pt>
                <c:pt idx="75">
                  <c:v>-1.5452175474691399E-2</c:v>
                </c:pt>
                <c:pt idx="76">
                  <c:v>-1.6178921847218499E-2</c:v>
                </c:pt>
                <c:pt idx="77">
                  <c:v>-1.6939697974242302E-2</c:v>
                </c:pt>
                <c:pt idx="78">
                  <c:v>-1.77360750098744E-2</c:v>
                </c:pt>
                <c:pt idx="79">
                  <c:v>-1.85696933439694E-2</c:v>
                </c:pt>
                <c:pt idx="80">
                  <c:v>-1.94422651581262E-2</c:v>
                </c:pt>
                <c:pt idx="81">
                  <c:v>-2.0355576998881401E-2</c:v>
                </c:pt>
                <c:pt idx="82">
                  <c:v>-2.1311492353981901E-2</c:v>
                </c:pt>
                <c:pt idx="83">
                  <c:v>-2.2311954214847898E-2</c:v>
                </c:pt>
                <c:pt idx="84">
                  <c:v>-2.3358987605137299E-2</c:v>
                </c:pt>
                <c:pt idx="85">
                  <c:v>-2.4454702051650502E-2</c:v>
                </c:pt>
                <c:pt idx="86">
                  <c:v>-2.5601293969602701E-2</c:v>
                </c:pt>
                <c:pt idx="87">
                  <c:v>-2.6801048929468E-2</c:v>
                </c:pt>
                <c:pt idx="88">
                  <c:v>-2.80563437670996E-2</c:v>
                </c:pt>
                <c:pt idx="89">
                  <c:v>-2.9369648492549302E-2</c:v>
                </c:pt>
                <c:pt idx="90">
                  <c:v>-3.0743527945877699E-2</c:v>
                </c:pt>
                <c:pt idx="91">
                  <c:v>-3.2180643140138902E-2</c:v>
                </c:pt>
                <c:pt idx="92">
                  <c:v>-3.3683752222553098E-2</c:v>
                </c:pt>
                <c:pt idx="93">
                  <c:v>-3.5255710974514E-2</c:v>
                </c:pt>
                <c:pt idx="94">
                  <c:v>-3.6899472759404098E-2</c:v>
                </c:pt>
                <c:pt idx="95">
                  <c:v>-3.8618087814070501E-2</c:v>
                </c:pt>
                <c:pt idx="96">
                  <c:v>-4.0414701765136798E-2</c:v>
                </c:pt>
                <c:pt idx="97">
                  <c:v>-4.22925532349318E-2</c:v>
                </c:pt>
                <c:pt idx="98">
                  <c:v>-4.4254970383619301E-2</c:v>
                </c:pt>
                <c:pt idx="99">
                  <c:v>-4.63053662139662E-2</c:v>
                </c:pt>
                <c:pt idx="100">
                  <c:v>-4.8447232443024901E-2</c:v>
                </c:pt>
                <c:pt idx="101">
                  <c:v>-5.0684131720755601E-2</c:v>
                </c:pt>
                <c:pt idx="102">
                  <c:v>-5.3019687949266002E-2</c:v>
                </c:pt>
                <c:pt idx="103">
                  <c:v>-5.54575744279504E-2</c:v>
                </c:pt>
                <c:pt idx="104">
                  <c:v>-5.8001499519487798E-2</c:v>
                </c:pt>
                <c:pt idx="105">
                  <c:v>-6.0655189499672101E-2</c:v>
                </c:pt>
                <c:pt idx="106">
                  <c:v>-6.34223682207707E-2</c:v>
                </c:pt>
                <c:pt idx="107">
                  <c:v>-6.6306733184116201E-2</c:v>
                </c:pt>
                <c:pt idx="108">
                  <c:v>-6.9311927583740093E-2</c:v>
                </c:pt>
                <c:pt idx="109">
                  <c:v>-7.2441507850122003E-2</c:v>
                </c:pt>
                <c:pt idx="110">
                  <c:v>-7.5698906193024496E-2</c:v>
                </c:pt>
                <c:pt idx="111">
                  <c:v>-7.9087387616710497E-2</c:v>
                </c:pt>
                <c:pt idx="112">
                  <c:v>-8.2610000861991398E-2</c:v>
                </c:pt>
                <c:pt idx="113">
                  <c:v>-8.62695227203919E-2</c:v>
                </c:pt>
                <c:pt idx="114">
                  <c:v>-9.0068395169838097E-2</c:v>
                </c:pt>
                <c:pt idx="115">
                  <c:v>-9.4008654802966496E-2</c:v>
                </c:pt>
                <c:pt idx="116">
                  <c:v>-9.8091854063431697E-2</c:v>
                </c:pt>
                <c:pt idx="117">
                  <c:v>-0.10231897387840801</c:v>
                </c:pt>
                <c:pt idx="118">
                  <c:v>-0.106690327383479</c:v>
                </c:pt>
                <c:pt idx="119">
                  <c:v>-0.111205454586699</c:v>
                </c:pt>
                <c:pt idx="120">
                  <c:v>-0.11586300801975701</c:v>
                </c:pt>
                <c:pt idx="121">
                  <c:v>-0.12066062968421799</c:v>
                </c:pt>
                <c:pt idx="122">
                  <c:v>-0.12559481992768701</c:v>
                </c:pt>
                <c:pt idx="123">
                  <c:v>-0.13066079928600599</c:v>
                </c:pt>
                <c:pt idx="124">
                  <c:v>-0.13585236480875101</c:v>
                </c:pt>
                <c:pt idx="125">
                  <c:v>-0.14116174294952799</c:v>
                </c:pt>
                <c:pt idx="126">
                  <c:v>-0.146579441748759</c:v>
                </c:pt>
                <c:pt idx="127">
                  <c:v>-0.152094105758114</c:v>
                </c:pt>
                <c:pt idx="128">
                  <c:v>-0.157692377938488</c:v>
                </c:pt>
                <c:pt idx="129">
                  <c:v>-0.16335877358387699</c:v>
                </c:pt>
                <c:pt idx="130">
                  <c:v>-0.16907557214736699</c:v>
                </c:pt>
                <c:pt idx="131">
                  <c:v>-0.174822733625633</c:v>
                </c:pt>
                <c:pt idx="132">
                  <c:v>-0.180577846834582</c:v>
                </c:pt>
                <c:pt idx="133">
                  <c:v>-0.186316117407924</c:v>
                </c:pt>
                <c:pt idx="134">
                  <c:v>-0.19201040358802801</c:v>
                </c:pt>
                <c:pt idx="135">
                  <c:v>-0.19763130776310001</c:v>
                </c:pt>
                <c:pt idx="136">
                  <c:v>-0.203147331143612</c:v>
                </c:pt>
                <c:pt idx="137">
                  <c:v>-0.20852509787943599</c:v>
                </c:pt>
                <c:pt idx="138">
                  <c:v>-0.21372965323092699</c:v>
                </c:pt>
                <c:pt idx="139">
                  <c:v>-0.218724838087937</c:v>
                </c:pt>
                <c:pt idx="140">
                  <c:v>-0.223473739190821</c:v>
                </c:pt>
                <c:pt idx="141">
                  <c:v>-0.227939210914682</c:v>
                </c:pt>
                <c:pt idx="142">
                  <c:v>-0.232084460566201</c:v>
                </c:pt>
                <c:pt idx="143">
                  <c:v>-0.23587368501436901</c:v>
                </c:pt>
                <c:pt idx="144">
                  <c:v>-0.239272742399324</c:v>
                </c:pt>
                <c:pt idx="145">
                  <c:v>-0.24224983895365801</c:v>
                </c:pt>
                <c:pt idx="146">
                  <c:v>-0.24477620796899</c:v>
                </c:pt>
                <c:pt idx="147">
                  <c:v>-0.246826755979179</c:v>
                </c:pt>
                <c:pt idx="148">
                  <c:v>-0.24838065059425199</c:v>
                </c:pt>
                <c:pt idx="149">
                  <c:v>-0.24942182530228499</c:v>
                </c:pt>
                <c:pt idx="150">
                  <c:v>-0.249939379034987</c:v>
                </c:pt>
                <c:pt idx="151">
                  <c:v>-0.24992785229755901</c:v>
                </c:pt>
                <c:pt idx="152">
                  <c:v>-0.249387366976593</c:v>
                </c:pt>
                <c:pt idx="153">
                  <c:v>-0.24832362320776599</c:v>
                </c:pt>
                <c:pt idx="154">
                  <c:v>-0.24674775345231301</c:v>
                </c:pt>
                <c:pt idx="155">
                  <c:v>-0.24467604068708501</c:v>
                </c:pt>
                <c:pt idx="156">
                  <c:v>-0.24212951384846601</c:v>
                </c:pt>
                <c:pt idx="157">
                  <c:v>-0.23913343893302599</c:v>
                </c:pt>
                <c:pt idx="158">
                  <c:v>-0.23571672809982799</c:v>
                </c:pt>
                <c:pt idx="159">
                  <c:v>-0.23191129152866999</c:v>
                </c:pt>
                <c:pt idx="160">
                  <c:v>-0.227751357603066</c:v>
                </c:pt>
                <c:pt idx="161">
                  <c:v>-0.22327278628702901</c:v>
                </c:pt>
                <c:pt idx="162">
                  <c:v>-0.21851239855162899</c:v>
                </c:pt>
                <c:pt idx="163">
                  <c:v>-0.21350734166781701</c:v>
                </c:pt>
                <c:pt idx="164">
                  <c:v>-0.208294506449206</c:v>
                </c:pt>
                <c:pt idx="165">
                  <c:v>-0.20291000844280499</c:v>
                </c:pt>
                <c:pt idx="166">
                  <c:v>-0.19738874094200901</c:v>
                </c:pt>
                <c:pt idx="167">
                  <c:v>-0.191764003798716</c:v>
                </c:pt>
                <c:pt idx="168">
                  <c:v>-0.186067208540412</c:v>
                </c:pt>
                <c:pt idx="169">
                  <c:v>-0.18032765738416301</c:v>
                </c:pt>
                <c:pt idx="170">
                  <c:v>-0.174572391447822</c:v>
                </c:pt>
                <c:pt idx="171">
                  <c:v>-0.16882610179749599</c:v>
                </c:pt>
                <c:pt idx="172">
                  <c:v>-0.163111095903443</c:v>
                </c:pt>
                <c:pt idx="173">
                  <c:v>-0.15744731153676</c:v>
                </c:pt>
                <c:pt idx="174">
                  <c:v>-0.15185237004113999</c:v>
                </c:pt>
                <c:pt idx="175">
                  <c:v>-0.14634166116486699</c:v>
                </c:pt>
                <c:pt idx="176">
                  <c:v>-0.14092845214668101</c:v>
                </c:pt>
                <c:pt idx="177">
                  <c:v>-0.13562401443140701</c:v>
                </c:pt>
                <c:pt idx="178">
                  <c:v>-0.130437762174441</c:v>
                </c:pt>
                <c:pt idx="179">
                  <c:v>-0.125377397518772</c:v>
                </c:pt>
                <c:pt idx="180">
                  <c:v>-0.12044905844772399</c:v>
                </c:pt>
                <c:pt idx="181">
                  <c:v>-0.11565746579701</c:v>
                </c:pt>
                <c:pt idx="182">
                  <c:v>-0.11100606672818</c:v>
                </c:pt>
                <c:pt idx="183">
                  <c:v>-0.106497172608238</c:v>
                </c:pt>
                <c:pt idx="184">
                  <c:v>-0.102132089800789</c:v>
                </c:pt>
                <c:pt idx="185">
                  <c:v>-9.7911242351728101E-2</c:v>
                </c:pt>
                <c:pt idx="186">
                  <c:v>-9.3834285950295193E-2</c:v>
                </c:pt>
                <c:pt idx="187">
                  <c:v>-8.9900212870214394E-2</c:v>
                </c:pt>
                <c:pt idx="188">
                  <c:v>-8.6107447852869806E-2</c:v>
                </c:pt>
                <c:pt idx="189">
                  <c:v>-8.2453935093288203E-2</c:v>
                </c:pt>
                <c:pt idx="190">
                  <c:v>-7.8937216638264099E-2</c:v>
                </c:pt>
                <c:pt idx="191">
                  <c:v>-7.5554502612282401E-2</c:v>
                </c:pt>
                <c:pt idx="192">
                  <c:v>-7.2302733758325105E-2</c:v>
                </c:pt>
                <c:pt idx="193">
                  <c:v>-6.9178636823848505E-2</c:v>
                </c:pt>
                <c:pt idx="194">
                  <c:v>-6.6178773343033806E-2</c:v>
                </c:pt>
                <c:pt idx="195">
                  <c:v>-6.3299582369869406E-2</c:v>
                </c:pt>
                <c:pt idx="196">
                  <c:v>-6.0537417706981102E-2</c:v>
                </c:pt>
                <c:pt idx="197">
                  <c:v>-5.7888580155913798E-2</c:v>
                </c:pt>
                <c:pt idx="198">
                  <c:v>-5.5349345288670297E-2</c:v>
                </c:pt>
                <c:pt idx="199">
                  <c:v>-5.2915987210043397E-2</c:v>
                </c:pt>
                <c:pt idx="200">
                  <c:v>-5.0584798747479801E-2</c:v>
                </c:pt>
                <c:pt idx="201">
                  <c:v>-4.8352108471283899E-2</c:v>
                </c:pt>
                <c:pt idx="202">
                  <c:v>-4.6214294914001301E-2</c:v>
                </c:pt>
                <c:pt idx="203">
                  <c:v>-4.4167798324584E-2</c:v>
                </c:pt>
                <c:pt idx="204">
                  <c:v>-4.2209130261022798E-2</c:v>
                </c:pt>
                <c:pt idx="205">
                  <c:v>-4.0334881294889303E-2</c:v>
                </c:pt>
                <c:pt idx="206">
                  <c:v>-3.8541727072919599E-2</c:v>
                </c:pt>
                <c:pt idx="207">
                  <c:v>-3.6826432954516097E-2</c:v>
                </c:pt>
                <c:pt idx="208">
                  <c:v>-3.5185857419883303E-2</c:v>
                </c:pt>
                <c:pt idx="209">
                  <c:v>-3.3616954421443003E-2</c:v>
                </c:pt>
                <c:pt idx="210">
                  <c:v>-3.21167748311149E-2</c:v>
                </c:pt>
                <c:pt idx="211">
                  <c:v>-3.06824671179288E-2</c:v>
                </c:pt>
                <c:pt idx="212">
                  <c:v>-2.9311277374122299E-2</c:v>
                </c:pt>
                <c:pt idx="213">
                  <c:v>-2.80005487932675E-2</c:v>
                </c:pt>
                <c:pt idx="214">
                  <c:v>-2.6747720690919002E-2</c:v>
                </c:pt>
                <c:pt idx="215">
                  <c:v>-2.5550327146655099E-2</c:v>
                </c:pt>
                <c:pt idx="216">
                  <c:v>-2.44059953360799E-2</c:v>
                </c:pt>
                <c:pt idx="217">
                  <c:v>-2.33124436122258E-2</c:v>
                </c:pt>
                <c:pt idx="218">
                  <c:v>-2.2267479387737502E-2</c:v>
                </c:pt>
                <c:pt idx="219">
                  <c:v>-2.12689968621208E-2</c:v>
                </c:pt>
                <c:pt idx="220">
                  <c:v>-2.03149746321011E-2</c:v>
                </c:pt>
                <c:pt idx="221">
                  <c:v>-1.9403473217659901E-2</c:v>
                </c:pt>
                <c:pt idx="222">
                  <c:v>-1.8532632531530799E-2</c:v>
                </c:pt>
                <c:pt idx="223">
                  <c:v>-1.7700669315742101E-2</c:v>
                </c:pt>
                <c:pt idx="224">
                  <c:v>-1.69058745651481E-2</c:v>
                </c:pt>
                <c:pt idx="225">
                  <c:v>-1.6146610954709598E-2</c:v>
                </c:pt>
                <c:pt idx="226">
                  <c:v>-1.5421310284520699E-2</c:v>
                </c:pt>
                <c:pt idx="227">
                  <c:v>-1.4728470954189299E-2</c:v>
                </c:pt>
                <c:pt idx="228">
                  <c:v>-1.4066655476100301E-2</c:v>
                </c:pt>
                <c:pt idx="229">
                  <c:v>-1.34344880353076E-2</c:v>
                </c:pt>
                <c:pt idx="230">
                  <c:v>-1.2830652102255201E-2</c:v>
                </c:pt>
                <c:pt idx="231">
                  <c:v>-1.2253888103204699E-2</c:v>
                </c:pt>
                <c:pt idx="232">
                  <c:v>-1.1702991152111099E-2</c:v>
                </c:pt>
                <c:pt idx="233">
                  <c:v>-1.11768088467198E-2</c:v>
                </c:pt>
                <c:pt idx="234">
                  <c:v>-1.06742391308272E-2</c:v>
                </c:pt>
                <c:pt idx="235">
                  <c:v>-1.0194228223952599E-2</c:v>
                </c:pt>
                <c:pt idx="236">
                  <c:v>-9.7357686190695601E-3</c:v>
                </c:pt>
                <c:pt idx="237">
                  <c:v>-9.2978971485514796E-3</c:v>
                </c:pt>
                <c:pt idx="238">
                  <c:v>-8.8796931180670901E-3</c:v>
                </c:pt>
                <c:pt idx="239">
                  <c:v>-8.4802765078160498E-3</c:v>
                </c:pt>
                <c:pt idx="240">
                  <c:v>-8.0988062402093299E-3</c:v>
                </c:pt>
                <c:pt idx="241">
                  <c:v>-7.7344785128667199E-3</c:v>
                </c:pt>
                <c:pt idx="242">
                  <c:v>-7.3865251956160404E-3</c:v>
                </c:pt>
                <c:pt idx="243">
                  <c:v>-7.0542122900298298E-3</c:v>
                </c:pt>
                <c:pt idx="244">
                  <c:v>-6.7368384499199201E-3</c:v>
                </c:pt>
                <c:pt idx="245">
                  <c:v>-6.4337335611228197E-3</c:v>
                </c:pt>
                <c:pt idx="246">
                  <c:v>-6.1442573788459904E-3</c:v>
                </c:pt>
                <c:pt idx="247">
                  <c:v>-5.86779822080235E-3</c:v>
                </c:pt>
                <c:pt idx="248">
                  <c:v>-5.6037717143352797E-3</c:v>
                </c:pt>
                <c:pt idx="249">
                  <c:v>-5.3516195957253303E-3</c:v>
                </c:pt>
                <c:pt idx="250">
                  <c:v>-5.1108085598719098E-3</c:v>
                </c:pt>
                <c:pt idx="251">
                  <c:v>-4.8808291585543603E-3</c:v>
                </c:pt>
                <c:pt idx="252">
                  <c:v>-4.66119474549773E-3</c:v>
                </c:pt>
                <c:pt idx="253">
                  <c:v>-4.4514404664942799E-3</c:v>
                </c:pt>
                <c:pt idx="254">
                  <c:v>-4.2511222928658596E-3</c:v>
                </c:pt>
                <c:pt idx="255">
                  <c:v>-4.0598160965881896E-3</c:v>
                </c:pt>
                <c:pt idx="256">
                  <c:v>-3.8771167654389599E-3</c:v>
                </c:pt>
                <c:pt idx="257">
                  <c:v>-3.7026373565750398E-3</c:v>
                </c:pt>
                <c:pt idx="258">
                  <c:v>-3.5360082869889402E-3</c:v>
                </c:pt>
                <c:pt idx="259">
                  <c:v>-3.3768765593417999E-3</c:v>
                </c:pt>
                <c:pt idx="260">
                  <c:v>-3.2249050217165601E-3</c:v>
                </c:pt>
                <c:pt idx="261">
                  <c:v>-3.0797716598844199E-3</c:v>
                </c:pt>
                <c:pt idx="262">
                  <c:v>-2.9411689207243198E-3</c:v>
                </c:pt>
                <c:pt idx="263">
                  <c:v>-2.8088030654836601E-3</c:v>
                </c:pt>
                <c:pt idx="264">
                  <c:v>-2.6823935516162101E-3</c:v>
                </c:pt>
                <c:pt idx="265">
                  <c:v>-2.5616724419788902E-3</c:v>
                </c:pt>
                <c:pt idx="266">
                  <c:v>-2.4463838402163499E-3</c:v>
                </c:pt>
                <c:pt idx="267">
                  <c:v>-2.3362833512062002E-3</c:v>
                </c:pt>
                <c:pt idx="268">
                  <c:v>-2.2311375654827099E-3</c:v>
                </c:pt>
                <c:pt idx="269">
                  <c:v>-2.1307235665986302E-3</c:v>
                </c:pt>
                <c:pt idx="270">
                  <c:v>-2.0348284604277899E-3</c:v>
                </c:pt>
                <c:pt idx="271">
                  <c:v>-1.9432489254501801E-3</c:v>
                </c:pt>
                <c:pt idx="272">
                  <c:v>-1.8557907831018301E-3</c:v>
                </c:pt>
                <c:pt idx="273">
                  <c:v>-1.77226858730875E-3</c:v>
                </c:pt>
                <c:pt idx="274">
                  <c:v>-1.69250523236135E-3</c:v>
                </c:pt>
                <c:pt idx="275">
                  <c:v>-1.61633157832117E-3</c:v>
                </c:pt>
                <c:pt idx="276">
                  <c:v>-1.54358609318589E-3</c:v>
                </c:pt>
                <c:pt idx="277">
                  <c:v>-1.47411451107121E-3</c:v>
                </c:pt>
                <c:pt idx="278">
                  <c:v>-1.40776950570034E-3</c:v>
                </c:pt>
                <c:pt idx="279">
                  <c:v>-1.3444103785219699E-3</c:v>
                </c:pt>
                <c:pt idx="280">
                  <c:v>-1.2839027608068901E-3</c:v>
                </c:pt>
                <c:pt idx="281">
                  <c:v>-1.2261183291017799E-3</c:v>
                </c:pt>
                <c:pt idx="282">
                  <c:v>-1.1709345334454601E-3</c:v>
                </c:pt>
                <c:pt idx="283">
                  <c:v>-1.11823433777882E-3</c:v>
                </c:pt>
                <c:pt idx="284">
                  <c:v>-1.0679059720048599E-3</c:v>
                </c:pt>
                <c:pt idx="285">
                  <c:v>-1.01984269517849E-3</c:v>
                </c:pt>
                <c:pt idx="286">
                  <c:v>-9.7394256932915901E-4</c:v>
                </c:pt>
                <c:pt idx="287">
                  <c:v>-9.3010824344103395E-4</c:v>
                </c:pt>
                <c:pt idx="288">
                  <c:v>-8.88246747136285E-4</c:v>
                </c:pt>
                <c:pt idx="289">
                  <c:v>-8.4826929362737905E-4</c:v>
                </c:pt>
                <c:pt idx="290">
                  <c:v>-8.1009109152335105E-4</c:v>
                </c:pt>
                <c:pt idx="291">
                  <c:v>-7.7363116509340899E-4</c:v>
                </c:pt>
                <c:pt idx="292">
                  <c:v>-7.3881218260891902E-4</c:v>
                </c:pt>
                <c:pt idx="293">
                  <c:v>-7.0556029240159202E-4</c:v>
                </c:pt>
                <c:pt idx="294">
                  <c:v>-6.7380496629184305E-4</c:v>
                </c:pt>
                <c:pt idx="295">
                  <c:v>-6.4347885005669599E-4</c:v>
                </c:pt>
                <c:pt idx="296">
                  <c:v>-6.1451762062135105E-4</c:v>
                </c:pt>
                <c:pt idx="297">
                  <c:v>-5.8685984967261798E-4</c:v>
                </c:pt>
                <c:pt idx="298">
                  <c:v>-5.6044687340591501E-4</c:v>
                </c:pt>
                <c:pt idx="299">
                  <c:v>-5.3522266813039098E-4</c:v>
                </c:pt>
                <c:pt idx="300">
                  <c:v>-5.1113373146906001E-4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F0-4795-9666-F6CB40F69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157864"/>
        <c:axId val="642160488"/>
      </c:scatterChart>
      <c:valAx>
        <c:axId val="642157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60488"/>
        <c:crosses val="autoZero"/>
        <c:crossBetween val="midCat"/>
      </c:valAx>
      <c:valAx>
        <c:axId val="64216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57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'Input Stage'!$H$3:$H$303</c:f>
              <c:numCache>
                <c:formatCode>General</c:formatCode>
                <c:ptCount val="301"/>
                <c:pt idx="0">
                  <c:v>1.03E-2</c:v>
                </c:pt>
                <c:pt idx="1">
                  <c:v>1.0785424044924257E-2</c:v>
                </c:pt>
                <c:pt idx="2">
                  <c:v>1.1293725420274806E-2</c:v>
                </c:pt>
                <c:pt idx="3">
                  <c:v>1.1825982301417889E-2</c:v>
                </c:pt>
                <c:pt idx="4">
                  <c:v>1.2383323676559348E-2</c:v>
                </c:pt>
                <c:pt idx="5">
                  <c:v>1.2966931741479913E-2</c:v>
                </c:pt>
                <c:pt idx="6">
                  <c:v>1.3578044407130993E-2</c:v>
                </c:pt>
                <c:pt idx="7">
                  <c:v>1.421795792540971E-2</c:v>
                </c:pt>
                <c:pt idx="8">
                  <c:v>1.488802963868305E-2</c:v>
                </c:pt>
                <c:pt idx="9">
                  <c:v>1.5589680858892936E-2</c:v>
                </c:pt>
                <c:pt idx="10">
                  <c:v>1.6324399882349471E-2</c:v>
                </c:pt>
                <c:pt idx="11">
                  <c:v>1.7093745146606876E-2</c:v>
                </c:pt>
                <c:pt idx="12">
                  <c:v>1.7899348536118562E-2</c:v>
                </c:pt>
                <c:pt idx="13">
                  <c:v>1.8742918843682805E-2</c:v>
                </c:pt>
                <c:pt idx="14">
                  <c:v>1.9626245395021436E-2</c:v>
                </c:pt>
                <c:pt idx="15">
                  <c:v>2.0551201844179447E-2</c:v>
                </c:pt>
                <c:pt idx="16">
                  <c:v>2.1519750147796585E-2</c:v>
                </c:pt>
                <c:pt idx="17">
                  <c:v>2.2533944726680365E-2</c:v>
                </c:pt>
                <c:pt idx="18">
                  <c:v>2.3595936823508048E-2</c:v>
                </c:pt>
                <c:pt idx="19">
                  <c:v>2.4707979065900734E-2</c:v>
                </c:pt>
                <c:pt idx="20">
                  <c:v>2.5872430244548651E-2</c:v>
                </c:pt>
                <c:pt idx="21">
                  <c:v>2.7091760316522408E-2</c:v>
                </c:pt>
                <c:pt idx="22">
                  <c:v>2.8368555644383103E-2</c:v>
                </c:pt>
                <c:pt idx="23">
                  <c:v>2.9705524482204024E-2</c:v>
                </c:pt>
                <c:pt idx="24">
                  <c:v>3.1105502720140742E-2</c:v>
                </c:pt>
                <c:pt idx="25">
                  <c:v>3.2571459899734277E-2</c:v>
                </c:pt>
                <c:pt idx="26">
                  <c:v>3.4106505512706879E-2</c:v>
                </c:pt>
                <c:pt idx="27">
                  <c:v>3.5713895596610749E-2</c:v>
                </c:pt>
                <c:pt idx="28">
                  <c:v>3.7397039641320413E-2</c:v>
                </c:pt>
                <c:pt idx="29">
                  <c:v>3.9159507821017812E-2</c:v>
                </c:pt>
                <c:pt idx="30">
                  <c:v>4.100503856701021E-2</c:v>
                </c:pt>
                <c:pt idx="31">
                  <c:v>4.2937546497444537E-2</c:v>
                </c:pt>
                <c:pt idx="32">
                  <c:v>4.4961130720737069E-2</c:v>
                </c:pt>
                <c:pt idx="33">
                  <c:v>4.7080083530332134E-2</c:v>
                </c:pt>
                <c:pt idx="34">
                  <c:v>4.9298899509231754E-2</c:v>
                </c:pt>
                <c:pt idx="35">
                  <c:v>5.1622285063609032E-2</c:v>
                </c:pt>
                <c:pt idx="36">
                  <c:v>5.4055168405726557E-2</c:v>
                </c:pt>
                <c:pt idx="37">
                  <c:v>5.6602710007335348E-2</c:v>
                </c:pt>
                <c:pt idx="38">
                  <c:v>5.9270313545727121E-2</c:v>
                </c:pt>
                <c:pt idx="39">
                  <c:v>6.2063637365658793E-2</c:v>
                </c:pt>
                <c:pt idx="40">
                  <c:v>6.4988606481459835E-2</c:v>
                </c:pt>
                <c:pt idx="41">
                  <c:v>6.8051425144782351E-2</c:v>
                </c:pt>
                <c:pt idx="42">
                  <c:v>7.1258590004650416E-2</c:v>
                </c:pt>
                <c:pt idx="43">
                  <c:v>7.4616903887723907E-2</c:v>
                </c:pt>
                <c:pt idx="44">
                  <c:v>7.813349022800585E-2</c:v>
                </c:pt>
                <c:pt idx="45">
                  <c:v>8.1815808176600974E-2</c:v>
                </c:pt>
                <c:pt idx="46">
                  <c:v>8.567166842357507E-2</c:v>
                </c:pt>
                <c:pt idx="47">
                  <c:v>8.9709249765476257E-2</c:v>
                </c:pt>
                <c:pt idx="48">
                  <c:v>9.3937116453658612E-2</c:v>
                </c:pt>
                <c:pt idx="49">
                  <c:v>9.8364236360207885E-2</c:v>
                </c:pt>
                <c:pt idx="50">
                  <c:v>0.10300000000000001</c:v>
                </c:pt>
                <c:pt idx="51">
                  <c:v>0.10785424044924259</c:v>
                </c:pt>
                <c:pt idx="52">
                  <c:v>0.11293725420274807</c:v>
                </c:pt>
                <c:pt idx="53">
                  <c:v>0.11825982301417892</c:v>
                </c:pt>
                <c:pt idx="54">
                  <c:v>0.12383323676559349</c:v>
                </c:pt>
                <c:pt idx="55">
                  <c:v>0.12966931741479915</c:v>
                </c:pt>
                <c:pt idx="56">
                  <c:v>0.13578044407130999</c:v>
                </c:pt>
                <c:pt idx="57">
                  <c:v>0.14217957925409702</c:v>
                </c:pt>
                <c:pt idx="58">
                  <c:v>0.14888029638683051</c:v>
                </c:pt>
                <c:pt idx="59">
                  <c:v>0.1558968085889294</c:v>
                </c:pt>
                <c:pt idx="60">
                  <c:v>0.16324399882349458</c:v>
                </c:pt>
                <c:pt idx="61">
                  <c:v>0.17093745146606862</c:v>
                </c:pt>
                <c:pt idx="62">
                  <c:v>0.1789934853611857</c:v>
                </c:pt>
                <c:pt idx="63">
                  <c:v>0.18742918843682826</c:v>
                </c:pt>
                <c:pt idx="64">
                  <c:v>0.19626245395021438</c:v>
                </c:pt>
                <c:pt idx="65">
                  <c:v>0.20551201844179456</c:v>
                </c:pt>
                <c:pt idx="66">
                  <c:v>0.21519750147796599</c:v>
                </c:pt>
                <c:pt idx="67">
                  <c:v>0.22533944726680391</c:v>
                </c:pt>
                <c:pt idx="68">
                  <c:v>0.23595936823508057</c:v>
                </c:pt>
                <c:pt idx="69">
                  <c:v>0.24707979065900743</c:v>
                </c:pt>
                <c:pt idx="70">
                  <c:v>0.25872430244548655</c:v>
                </c:pt>
                <c:pt idx="71">
                  <c:v>0.27091760316522423</c:v>
                </c:pt>
                <c:pt idx="72">
                  <c:v>0.28368555644383098</c:v>
                </c:pt>
                <c:pt idx="73">
                  <c:v>0.29705524482204032</c:v>
                </c:pt>
                <c:pt idx="74">
                  <c:v>0.31105502720140754</c:v>
                </c:pt>
                <c:pt idx="75">
                  <c:v>0.32571459899734301</c:v>
                </c:pt>
                <c:pt idx="76">
                  <c:v>0.34106505512706881</c:v>
                </c:pt>
                <c:pt idx="77">
                  <c:v>0.35713895596610756</c:v>
                </c:pt>
                <c:pt idx="78">
                  <c:v>0.3739703964132044</c:v>
                </c:pt>
                <c:pt idx="79">
                  <c:v>0.39159507821017797</c:v>
                </c:pt>
                <c:pt idx="80">
                  <c:v>0.41005038567010221</c:v>
                </c:pt>
                <c:pt idx="81">
                  <c:v>0.42937546497444545</c:v>
                </c:pt>
                <c:pt idx="82">
                  <c:v>0.44961130720737086</c:v>
                </c:pt>
                <c:pt idx="83">
                  <c:v>0.47080083530332106</c:v>
                </c:pt>
                <c:pt idx="84">
                  <c:v>0.49298899509231742</c:v>
                </c:pt>
                <c:pt idx="85">
                  <c:v>0.5162228506360903</c:v>
                </c:pt>
                <c:pt idx="86">
                  <c:v>0.54055168405726561</c:v>
                </c:pt>
                <c:pt idx="87">
                  <c:v>0.56602710007335311</c:v>
                </c:pt>
                <c:pt idx="88">
                  <c:v>0.5927031354572716</c:v>
                </c:pt>
                <c:pt idx="89">
                  <c:v>0.62063637365658819</c:v>
                </c:pt>
                <c:pt idx="90">
                  <c:v>0.64988606481459898</c:v>
                </c:pt>
                <c:pt idx="91">
                  <c:v>0.68051425144782374</c:v>
                </c:pt>
                <c:pt idx="92">
                  <c:v>0.71258590004650457</c:v>
                </c:pt>
                <c:pt idx="93">
                  <c:v>0.74616903887723962</c:v>
                </c:pt>
                <c:pt idx="94">
                  <c:v>0.78133490228005908</c:v>
                </c:pt>
                <c:pt idx="95">
                  <c:v>0.81815808176600946</c:v>
                </c:pt>
                <c:pt idx="96">
                  <c:v>0.85671668423575098</c:v>
                </c:pt>
                <c:pt idx="97">
                  <c:v>0.89709249765476262</c:v>
                </c:pt>
                <c:pt idx="98">
                  <c:v>0.93937116453658676</c:v>
                </c:pt>
                <c:pt idx="99">
                  <c:v>0.9836423636020788</c:v>
                </c:pt>
                <c:pt idx="100">
                  <c:v>1.03</c:v>
                </c:pt>
                <c:pt idx="101">
                  <c:v>1.0785424044924268</c:v>
                </c:pt>
                <c:pt idx="102">
                  <c:v>1.1293725420274805</c:v>
                </c:pt>
                <c:pt idx="103">
                  <c:v>1.1825982301417894</c:v>
                </c:pt>
                <c:pt idx="104">
                  <c:v>1.2383323676559352</c:v>
                </c:pt>
                <c:pt idx="105">
                  <c:v>1.2966931741479919</c:v>
                </c:pt>
                <c:pt idx="106">
                  <c:v>1.3578044407130994</c:v>
                </c:pt>
                <c:pt idx="107">
                  <c:v>1.421795792540971</c:v>
                </c:pt>
                <c:pt idx="108">
                  <c:v>1.4888029638683051</c:v>
                </c:pt>
                <c:pt idx="109">
                  <c:v>1.5589680858892943</c:v>
                </c:pt>
                <c:pt idx="110">
                  <c:v>1.6324399882349467</c:v>
                </c:pt>
                <c:pt idx="111">
                  <c:v>1.7093745146606869</c:v>
                </c:pt>
                <c:pt idx="112">
                  <c:v>1.7899348536118562</c:v>
                </c:pt>
                <c:pt idx="113">
                  <c:v>1.874291884368283</c:v>
                </c:pt>
                <c:pt idx="114">
                  <c:v>1.9626245395021447</c:v>
                </c:pt>
                <c:pt idx="115">
                  <c:v>2.0551201844179459</c:v>
                </c:pt>
                <c:pt idx="116">
                  <c:v>2.1519750147796604</c:v>
                </c:pt>
                <c:pt idx="117">
                  <c:v>2.2533944726680391</c:v>
                </c:pt>
                <c:pt idx="118">
                  <c:v>2.3595936823508064</c:v>
                </c:pt>
                <c:pt idx="119">
                  <c:v>2.4707979065900751</c:v>
                </c:pt>
                <c:pt idx="120">
                  <c:v>2.5872430244548679</c:v>
                </c:pt>
                <c:pt idx="121">
                  <c:v>2.7091760316522437</c:v>
                </c:pt>
                <c:pt idx="122">
                  <c:v>2.8368555644383115</c:v>
                </c:pt>
                <c:pt idx="123">
                  <c:v>2.970552448220404</c:v>
                </c:pt>
                <c:pt idx="124">
                  <c:v>3.1105502720140761</c:v>
                </c:pt>
                <c:pt idx="125">
                  <c:v>3.2571459899734312</c:v>
                </c:pt>
                <c:pt idx="126">
                  <c:v>3.4106505512706882</c:v>
                </c:pt>
                <c:pt idx="127">
                  <c:v>3.5713895596610765</c:v>
                </c:pt>
                <c:pt idx="128">
                  <c:v>3.7397039641320444</c:v>
                </c:pt>
                <c:pt idx="129">
                  <c:v>3.9159507821017803</c:v>
                </c:pt>
                <c:pt idx="130">
                  <c:v>4.1005038567010219</c:v>
                </c:pt>
                <c:pt idx="131">
                  <c:v>4.2937546497444545</c:v>
                </c:pt>
                <c:pt idx="132">
                  <c:v>4.496113072073709</c:v>
                </c:pt>
                <c:pt idx="133">
                  <c:v>4.7080083530332129</c:v>
                </c:pt>
                <c:pt idx="134">
                  <c:v>4.9298899509231751</c:v>
                </c:pt>
                <c:pt idx="135">
                  <c:v>5.1622285063609041</c:v>
                </c:pt>
                <c:pt idx="136">
                  <c:v>5.4055168405726572</c:v>
                </c:pt>
                <c:pt idx="137">
                  <c:v>5.6602710007335331</c:v>
                </c:pt>
                <c:pt idx="138">
                  <c:v>5.9270313545727165</c:v>
                </c:pt>
                <c:pt idx="139">
                  <c:v>6.2063637365658852</c:v>
                </c:pt>
                <c:pt idx="140">
                  <c:v>6.4988606481459907</c:v>
                </c:pt>
                <c:pt idx="141">
                  <c:v>6.8051425144782396</c:v>
                </c:pt>
                <c:pt idx="142">
                  <c:v>7.1258590004650468</c:v>
                </c:pt>
                <c:pt idx="143">
                  <c:v>7.4616903887723973</c:v>
                </c:pt>
                <c:pt idx="144">
                  <c:v>7.8133490228005922</c:v>
                </c:pt>
                <c:pt idx="145">
                  <c:v>8.1815808176600999</c:v>
                </c:pt>
                <c:pt idx="146">
                  <c:v>8.5671668423575102</c:v>
                </c:pt>
                <c:pt idx="147">
                  <c:v>8.9709249765476287</c:v>
                </c:pt>
                <c:pt idx="148">
                  <c:v>9.3937116453658707</c:v>
                </c:pt>
                <c:pt idx="149">
                  <c:v>9.8364236360207897</c:v>
                </c:pt>
                <c:pt idx="150">
                  <c:v>10.3</c:v>
                </c:pt>
                <c:pt idx="151">
                  <c:v>10.785424044924266</c:v>
                </c:pt>
                <c:pt idx="152">
                  <c:v>11.293725420274807</c:v>
                </c:pt>
                <c:pt idx="153">
                  <c:v>11.825982301417897</c:v>
                </c:pt>
                <c:pt idx="154">
                  <c:v>12.383323676559357</c:v>
                </c:pt>
                <c:pt idx="155">
                  <c:v>12.966931741479923</c:v>
                </c:pt>
                <c:pt idx="156">
                  <c:v>13.578044407130996</c:v>
                </c:pt>
                <c:pt idx="157">
                  <c:v>14.217957925409717</c:v>
                </c:pt>
                <c:pt idx="158">
                  <c:v>14.888029638683054</c:v>
                </c:pt>
                <c:pt idx="159">
                  <c:v>15.589680858892946</c:v>
                </c:pt>
                <c:pt idx="160">
                  <c:v>16.324399882349471</c:v>
                </c:pt>
                <c:pt idx="161">
                  <c:v>17.093745146606874</c:v>
                </c:pt>
                <c:pt idx="162">
                  <c:v>17.89934853611857</c:v>
                </c:pt>
                <c:pt idx="163">
                  <c:v>18.742918843682833</c:v>
                </c:pt>
                <c:pt idx="164">
                  <c:v>19.626245395021449</c:v>
                </c:pt>
                <c:pt idx="165">
                  <c:v>20.551201844179463</c:v>
                </c:pt>
                <c:pt idx="166">
                  <c:v>21.519750147796611</c:v>
                </c:pt>
                <c:pt idx="167">
                  <c:v>22.533944726680392</c:v>
                </c:pt>
                <c:pt idx="168">
                  <c:v>23.595936823508065</c:v>
                </c:pt>
                <c:pt idx="169">
                  <c:v>24.707979065900759</c:v>
                </c:pt>
                <c:pt idx="170">
                  <c:v>25.872430244548681</c:v>
                </c:pt>
                <c:pt idx="171">
                  <c:v>27.091760316522439</c:v>
                </c:pt>
                <c:pt idx="172">
                  <c:v>28.368555644383115</c:v>
                </c:pt>
                <c:pt idx="173">
                  <c:v>29.705524482204044</c:v>
                </c:pt>
                <c:pt idx="174">
                  <c:v>31.105502720140773</c:v>
                </c:pt>
                <c:pt idx="175">
                  <c:v>32.571459899734315</c:v>
                </c:pt>
                <c:pt idx="176">
                  <c:v>34.106505512706889</c:v>
                </c:pt>
                <c:pt idx="177">
                  <c:v>35.713895596610769</c:v>
                </c:pt>
                <c:pt idx="178">
                  <c:v>37.397039641320447</c:v>
                </c:pt>
                <c:pt idx="179">
                  <c:v>39.159507821017804</c:v>
                </c:pt>
                <c:pt idx="180">
                  <c:v>41.005038567010224</c:v>
                </c:pt>
                <c:pt idx="181">
                  <c:v>42.937546497444558</c:v>
                </c:pt>
                <c:pt idx="182">
                  <c:v>44.961130720737103</c:v>
                </c:pt>
                <c:pt idx="183">
                  <c:v>47.080083530332139</c:v>
                </c:pt>
                <c:pt idx="184">
                  <c:v>49.298899509231759</c:v>
                </c:pt>
                <c:pt idx="185">
                  <c:v>51.622285063609048</c:v>
                </c:pt>
                <c:pt idx="186">
                  <c:v>54.055168405726583</c:v>
                </c:pt>
                <c:pt idx="187">
                  <c:v>56.602710007335332</c:v>
                </c:pt>
                <c:pt idx="188">
                  <c:v>59.270313545727191</c:v>
                </c:pt>
                <c:pt idx="189">
                  <c:v>62.06363736565887</c:v>
                </c:pt>
                <c:pt idx="190">
                  <c:v>64.988606481459925</c:v>
                </c:pt>
                <c:pt idx="191">
                  <c:v>68.051425144782399</c:v>
                </c:pt>
                <c:pt idx="192">
                  <c:v>71.258590004650486</c:v>
                </c:pt>
                <c:pt idx="193">
                  <c:v>74.616903887724007</c:v>
                </c:pt>
                <c:pt idx="194">
                  <c:v>78.133490228005925</c:v>
                </c:pt>
                <c:pt idx="195">
                  <c:v>81.815808176601024</c:v>
                </c:pt>
                <c:pt idx="196">
                  <c:v>85.671668423575127</c:v>
                </c:pt>
                <c:pt idx="197">
                  <c:v>89.709249765476301</c:v>
                </c:pt>
                <c:pt idx="198">
                  <c:v>93.937116453658717</c:v>
                </c:pt>
                <c:pt idx="199">
                  <c:v>98.364236360207897</c:v>
                </c:pt>
                <c:pt idx="200">
                  <c:v>103</c:v>
                </c:pt>
                <c:pt idx="201">
                  <c:v>107.85424044924271</c:v>
                </c:pt>
                <c:pt idx="202">
                  <c:v>112.93725420274809</c:v>
                </c:pt>
                <c:pt idx="203">
                  <c:v>118.25982301417901</c:v>
                </c:pt>
                <c:pt idx="204">
                  <c:v>123.83323676559357</c:v>
                </c:pt>
                <c:pt idx="205">
                  <c:v>129.66931741479931</c:v>
                </c:pt>
                <c:pt idx="206">
                  <c:v>135.78044407131</c:v>
                </c:pt>
                <c:pt idx="207">
                  <c:v>142.17957925409718</c:v>
                </c:pt>
                <c:pt idx="208">
                  <c:v>148.88029638683054</c:v>
                </c:pt>
                <c:pt idx="209">
                  <c:v>155.8968085889295</c:v>
                </c:pt>
                <c:pt idx="210">
                  <c:v>163.24399882349471</c:v>
                </c:pt>
                <c:pt idx="211">
                  <c:v>170.93745146606884</c:v>
                </c:pt>
                <c:pt idx="212">
                  <c:v>178.99348536118569</c:v>
                </c:pt>
                <c:pt idx="213">
                  <c:v>187.42918843682838</c:v>
                </c:pt>
                <c:pt idx="214">
                  <c:v>196.26245395021454</c:v>
                </c:pt>
                <c:pt idx="215">
                  <c:v>205.51201844179471</c:v>
                </c:pt>
                <c:pt idx="216">
                  <c:v>215.19750147796614</c:v>
                </c:pt>
                <c:pt idx="217">
                  <c:v>225.33944726680406</c:v>
                </c:pt>
                <c:pt idx="218">
                  <c:v>235.95936823508072</c:v>
                </c:pt>
                <c:pt idx="219">
                  <c:v>247.07979065900756</c:v>
                </c:pt>
                <c:pt idx="220">
                  <c:v>258.72430244548673</c:v>
                </c:pt>
                <c:pt idx="221">
                  <c:v>270.91760316522442</c:v>
                </c:pt>
                <c:pt idx="222">
                  <c:v>283.68555644383116</c:v>
                </c:pt>
                <c:pt idx="223">
                  <c:v>297.05524482204049</c:v>
                </c:pt>
                <c:pt idx="224">
                  <c:v>311.05502720140771</c:v>
                </c:pt>
                <c:pt idx="225">
                  <c:v>325.71459899734322</c:v>
                </c:pt>
                <c:pt idx="226">
                  <c:v>341.06505512706906</c:v>
                </c:pt>
                <c:pt idx="227">
                  <c:v>357.1389559661078</c:v>
                </c:pt>
                <c:pt idx="228">
                  <c:v>373.97039641320464</c:v>
                </c:pt>
                <c:pt idx="229">
                  <c:v>391.59507821017826</c:v>
                </c:pt>
                <c:pt idx="230">
                  <c:v>410.05038567010251</c:v>
                </c:pt>
                <c:pt idx="231">
                  <c:v>429.37546497444572</c:v>
                </c:pt>
                <c:pt idx="232">
                  <c:v>449.61130720737111</c:v>
                </c:pt>
                <c:pt idx="233">
                  <c:v>470.80083530332138</c:v>
                </c:pt>
                <c:pt idx="234">
                  <c:v>492.98899509231774</c:v>
                </c:pt>
                <c:pt idx="235">
                  <c:v>516.22285063609058</c:v>
                </c:pt>
                <c:pt idx="236">
                  <c:v>540.55168405726613</c:v>
                </c:pt>
                <c:pt idx="237">
                  <c:v>566.02710007335349</c:v>
                </c:pt>
                <c:pt idx="238">
                  <c:v>592.70313545727174</c:v>
                </c:pt>
                <c:pt idx="239">
                  <c:v>620.63637365658906</c:v>
                </c:pt>
                <c:pt idx="240">
                  <c:v>649.88606481459954</c:v>
                </c:pt>
                <c:pt idx="241">
                  <c:v>680.51425144782422</c:v>
                </c:pt>
                <c:pt idx="242">
                  <c:v>712.58590004650466</c:v>
                </c:pt>
                <c:pt idx="243">
                  <c:v>746.1690388772405</c:v>
                </c:pt>
                <c:pt idx="244">
                  <c:v>781.33490228005917</c:v>
                </c:pt>
                <c:pt idx="245">
                  <c:v>818.15808176601047</c:v>
                </c:pt>
                <c:pt idx="246">
                  <c:v>856.71668423575147</c:v>
                </c:pt>
                <c:pt idx="247">
                  <c:v>897.09249765476318</c:v>
                </c:pt>
                <c:pt idx="248">
                  <c:v>939.37116453658712</c:v>
                </c:pt>
                <c:pt idx="249">
                  <c:v>983.64236360207974</c:v>
                </c:pt>
                <c:pt idx="250">
                  <c:v>1030</c:v>
                </c:pt>
                <c:pt idx="251">
                  <c:v>1078.5424044924268</c:v>
                </c:pt>
                <c:pt idx="252">
                  <c:v>1129.3725420274818</c:v>
                </c:pt>
                <c:pt idx="253">
                  <c:v>1182.5982301417901</c:v>
                </c:pt>
                <c:pt idx="254">
                  <c:v>1238.332367655936</c:v>
                </c:pt>
                <c:pt idx="255">
                  <c:v>1296.6931741479927</c:v>
                </c:pt>
                <c:pt idx="256">
                  <c:v>1357.8044407131008</c:v>
                </c:pt>
                <c:pt idx="257">
                  <c:v>1421.7957925409728</c:v>
                </c:pt>
                <c:pt idx="258">
                  <c:v>1488.8029638683065</c:v>
                </c:pt>
                <c:pt idx="259">
                  <c:v>1558.9680858892955</c:v>
                </c:pt>
                <c:pt idx="260">
                  <c:v>1632.4399882349489</c:v>
                </c:pt>
                <c:pt idx="261">
                  <c:v>1709.3745146606891</c:v>
                </c:pt>
                <c:pt idx="262">
                  <c:v>1789.9348536118582</c:v>
                </c:pt>
                <c:pt idx="263">
                  <c:v>1874.2918843682826</c:v>
                </c:pt>
                <c:pt idx="264">
                  <c:v>1962.6245395021456</c:v>
                </c:pt>
                <c:pt idx="265">
                  <c:v>2055.1201844179468</c:v>
                </c:pt>
                <c:pt idx="266">
                  <c:v>2151.9750147796608</c:v>
                </c:pt>
                <c:pt idx="267">
                  <c:v>2253.3944726680393</c:v>
                </c:pt>
                <c:pt idx="268">
                  <c:v>2359.5936823508077</c:v>
                </c:pt>
                <c:pt idx="269">
                  <c:v>2470.7979065900763</c:v>
                </c:pt>
                <c:pt idx="270">
                  <c:v>2587.2430244548682</c:v>
                </c:pt>
                <c:pt idx="271">
                  <c:v>2709.1760316522432</c:v>
                </c:pt>
                <c:pt idx="272">
                  <c:v>2836.8555644383136</c:v>
                </c:pt>
                <c:pt idx="273">
                  <c:v>2970.5524482204055</c:v>
                </c:pt>
                <c:pt idx="274">
                  <c:v>3110.5502720140776</c:v>
                </c:pt>
                <c:pt idx="275">
                  <c:v>3257.1459899734341</c:v>
                </c:pt>
                <c:pt idx="276">
                  <c:v>3410.6505512706913</c:v>
                </c:pt>
                <c:pt idx="277">
                  <c:v>3571.3895596610782</c:v>
                </c:pt>
                <c:pt idx="278">
                  <c:v>3739.7039641320457</c:v>
                </c:pt>
                <c:pt idx="279">
                  <c:v>3915.9507821017851</c:v>
                </c:pt>
                <c:pt idx="280">
                  <c:v>4100.5038567010261</c:v>
                </c:pt>
                <c:pt idx="281">
                  <c:v>4293.7546497444582</c:v>
                </c:pt>
                <c:pt idx="282">
                  <c:v>4496.1130720737119</c:v>
                </c:pt>
                <c:pt idx="283">
                  <c:v>4708.0083530332195</c:v>
                </c:pt>
                <c:pt idx="284">
                  <c:v>4929.8899509231805</c:v>
                </c:pt>
                <c:pt idx="285">
                  <c:v>5162.2285063609088</c:v>
                </c:pt>
                <c:pt idx="286">
                  <c:v>5405.5168405726617</c:v>
                </c:pt>
                <c:pt idx="287">
                  <c:v>5660.2710007335418</c:v>
                </c:pt>
                <c:pt idx="288">
                  <c:v>5927.0313545727186</c:v>
                </c:pt>
                <c:pt idx="289">
                  <c:v>6206.3637365658851</c:v>
                </c:pt>
                <c:pt idx="290">
                  <c:v>6498.860648145991</c:v>
                </c:pt>
                <c:pt idx="291">
                  <c:v>6805.1425144782434</c:v>
                </c:pt>
                <c:pt idx="292">
                  <c:v>7125.8590004650487</c:v>
                </c:pt>
                <c:pt idx="293">
                  <c:v>7461.6903887724002</c:v>
                </c:pt>
                <c:pt idx="294">
                  <c:v>7813.349022800593</c:v>
                </c:pt>
                <c:pt idx="295">
                  <c:v>8181.5808176601058</c:v>
                </c:pt>
                <c:pt idx="296">
                  <c:v>8567.1668423575156</c:v>
                </c:pt>
                <c:pt idx="297">
                  <c:v>8970.9249765476343</c:v>
                </c:pt>
                <c:pt idx="298">
                  <c:v>9393.7116453658728</c:v>
                </c:pt>
                <c:pt idx="299">
                  <c:v>9836.4236360207997</c:v>
                </c:pt>
                <c:pt idx="300">
                  <c:v>10300</c:v>
                </c:pt>
              </c:numCache>
            </c:numRef>
          </c:xVal>
          <c:yVal>
            <c:numRef>
              <c:f>'Input Stage'!$K$3:$K$303</c:f>
              <c:numCache>
                <c:formatCode>General</c:formatCode>
                <c:ptCount val="301"/>
                <c:pt idx="0">
                  <c:v>-59.697263142100923</c:v>
                </c:pt>
                <c:pt idx="1">
                  <c:v>-59.297263591350088</c:v>
                </c:pt>
                <c:pt idx="2">
                  <c:v>-58.897264083941749</c:v>
                </c:pt>
                <c:pt idx="3">
                  <c:v>-58.497264624057706</c:v>
                </c:pt>
                <c:pt idx="4">
                  <c:v>-58.09726521628307</c:v>
                </c:pt>
                <c:pt idx="5">
                  <c:v>-57.697265865645129</c:v>
                </c:pt>
                <c:pt idx="6">
                  <c:v>-57.297266577656465</c:v>
                </c:pt>
                <c:pt idx="7">
                  <c:v>-56.897267358361169</c:v>
                </c:pt>
                <c:pt idx="8">
                  <c:v>-56.497268214386651</c:v>
                </c:pt>
                <c:pt idx="9">
                  <c:v>-56.097269152999743</c:v>
                </c:pt>
                <c:pt idx="10">
                  <c:v>-55.69727018216841</c:v>
                </c:pt>
                <c:pt idx="11">
                  <c:v>-55.297271310628929</c:v>
                </c:pt>
                <c:pt idx="12">
                  <c:v>-54.897272547961087</c:v>
                </c:pt>
                <c:pt idx="13">
                  <c:v>-54.49727390466844</c:v>
                </c:pt>
                <c:pt idx="14">
                  <c:v>-54.097275392267903</c:v>
                </c:pt>
                <c:pt idx="15">
                  <c:v>-53.697277023387755</c:v>
                </c:pt>
                <c:pt idx="16">
                  <c:v>-53.297278811874371</c:v>
                </c:pt>
                <c:pt idx="17">
                  <c:v>-52.897280772910108</c:v>
                </c:pt>
                <c:pt idx="18">
                  <c:v>-52.497282923141995</c:v>
                </c:pt>
                <c:pt idx="19">
                  <c:v>-52.097285280823165</c:v>
                </c:pt>
                <c:pt idx="20">
                  <c:v>-51.697287865967702</c:v>
                </c:pt>
                <c:pt idx="21">
                  <c:v>-51.297290700520534</c:v>
                </c:pt>
                <c:pt idx="22">
                  <c:v>-50.897293808543857</c:v>
                </c:pt>
                <c:pt idx="23">
                  <c:v>-50.497297216420975</c:v>
                </c:pt>
                <c:pt idx="24">
                  <c:v>-50.097300953080939</c:v>
                </c:pt>
                <c:pt idx="25">
                  <c:v>-49.697305050243436</c:v>
                </c:pt>
                <c:pt idx="26">
                  <c:v>-49.297309542688303</c:v>
                </c:pt>
                <c:pt idx="27">
                  <c:v>-48.89731446855081</c:v>
                </c:pt>
                <c:pt idx="28">
                  <c:v>-48.49731986964521</c:v>
                </c:pt>
                <c:pt idx="29">
                  <c:v>-48.097325791819756</c:v>
                </c:pt>
                <c:pt idx="30">
                  <c:v>-47.697332285345709</c:v>
                </c:pt>
                <c:pt idx="31">
                  <c:v>-47.297339405344232</c:v>
                </c:pt>
                <c:pt idx="32">
                  <c:v>-46.897347212253891</c:v>
                </c:pt>
                <c:pt idx="33">
                  <c:v>-46.497355772343994</c:v>
                </c:pt>
                <c:pt idx="34">
                  <c:v>-46.097365158276801</c:v>
                </c:pt>
                <c:pt idx="35">
                  <c:v>-45.697375449724156</c:v>
                </c:pt>
                <c:pt idx="36">
                  <c:v>-45.297386734043727</c:v>
                </c:pt>
                <c:pt idx="37">
                  <c:v>-44.897399107020377</c:v>
                </c:pt>
                <c:pt idx="38">
                  <c:v>-44.497412673679015</c:v>
                </c:pt>
                <c:pt idx="39">
                  <c:v>-44.097427549175691</c:v>
                </c:pt>
                <c:pt idx="40">
                  <c:v>-43.6974438597749</c:v>
                </c:pt>
                <c:pt idx="41">
                  <c:v>-43.297461743920842</c:v>
                </c:pt>
                <c:pt idx="42">
                  <c:v>-42.89748135341231</c:v>
                </c:pt>
                <c:pt idx="43">
                  <c:v>-42.497502854690381</c:v>
                </c:pt>
                <c:pt idx="44">
                  <c:v>-42.097526430250618</c:v>
                </c:pt>
                <c:pt idx="45">
                  <c:v>-41.697552280191275</c:v>
                </c:pt>
                <c:pt idx="46">
                  <c:v>-41.297580623910761</c:v>
                </c:pt>
                <c:pt idx="47">
                  <c:v>-40.897611701968543</c:v>
                </c:pt>
                <c:pt idx="48">
                  <c:v>-40.497645778125673</c:v>
                </c:pt>
                <c:pt idx="49">
                  <c:v>-40.097683141581655</c:v>
                </c:pt>
                <c:pt idx="50">
                  <c:v>-39.697724109427021</c:v>
                </c:pt>
                <c:pt idx="51">
                  <c:v>-39.29776902933208</c:v>
                </c:pt>
                <c:pt idx="52">
                  <c:v>-38.897818282494477</c:v>
                </c:pt>
                <c:pt idx="53">
                  <c:v>-38.497872286871043</c:v>
                </c:pt>
                <c:pt idx="54">
                  <c:v>-38.09793150072079</c:v>
                </c:pt>
                <c:pt idx="55">
                  <c:v>-37.697996426487855</c:v>
                </c:pt>
                <c:pt idx="56">
                  <c:v>-37.29806761506034</c:v>
                </c:pt>
                <c:pt idx="57">
                  <c:v>-36.898145670436655</c:v>
                </c:pt>
                <c:pt idx="58">
                  <c:v>-36.498231254842523</c:v>
                </c:pt>
                <c:pt idx="59">
                  <c:v>-36.098325094338946</c:v>
                </c:pt>
                <c:pt idx="60">
                  <c:v>-35.698427984970344</c:v>
                </c:pt>
                <c:pt idx="61">
                  <c:v>-35.298540799502476</c:v>
                </c:pt>
                <c:pt idx="62">
                  <c:v>-34.898664494809132</c:v>
                </c:pt>
                <c:pt idx="63">
                  <c:v>-34.49880011996661</c:v>
                </c:pt>
                <c:pt idx="64">
                  <c:v>-34.098948825126676</c:v>
                </c:pt>
                <c:pt idx="65">
                  <c:v>-33.699111871240298</c:v>
                </c:pt>
                <c:pt idx="66">
                  <c:v>-33.299290640713551</c:v>
                </c:pt>
                <c:pt idx="67">
                  <c:v>-32.899486649085581</c:v>
                </c:pt>
                <c:pt idx="68">
                  <c:v>-32.499701557824487</c:v>
                </c:pt>
                <c:pt idx="69">
                  <c:v>-32.099937188348392</c:v>
                </c:pt>
                <c:pt idx="70">
                  <c:v>-31.700195537386996</c:v>
                </c:pt>
                <c:pt idx="71">
                  <c:v>-31.30047879381193</c:v>
                </c:pt>
                <c:pt idx="72">
                  <c:v>-30.900789357073144</c:v>
                </c:pt>
                <c:pt idx="73">
                  <c:v>-30.501129857393838</c:v>
                </c:pt>
                <c:pt idx="74">
                  <c:v>-30.101503177889917</c:v>
                </c:pt>
                <c:pt idx="75">
                  <c:v>-29.701912478793268</c:v>
                </c:pt>
                <c:pt idx="76">
                  <c:v>-29.302361223977424</c:v>
                </c:pt>
                <c:pt idx="77">
                  <c:v>-28.902853209999613</c:v>
                </c:pt>
                <c:pt idx="78">
                  <c:v>-28.503392597894276</c:v>
                </c:pt>
                <c:pt idx="79">
                  <c:v>-28.103983947972392</c:v>
                </c:pt>
                <c:pt idx="80">
                  <c:v>-27.704632257905089</c:v>
                </c:pt>
                <c:pt idx="81">
                  <c:v>-27.305343004393372</c:v>
                </c:pt>
                <c:pt idx="82">
                  <c:v>-26.906122188751958</c:v>
                </c:pt>
                <c:pt idx="83">
                  <c:v>-26.506976386764642</c:v>
                </c:pt>
                <c:pt idx="84">
                  <c:v>-26.107912803196246</c:v>
                </c:pt>
                <c:pt idx="85">
                  <c:v>-25.708939331381934</c:v>
                </c:pt>
                <c:pt idx="86">
                  <c:v>-25.310064618345102</c:v>
                </c:pt>
                <c:pt idx="87">
                  <c:v>-24.911298135935233</c:v>
                </c:pt>
                <c:pt idx="88">
                  <c:v>-24.512650258512888</c:v>
                </c:pt>
                <c:pt idx="89">
                  <c:v>-24.114132347750971</c:v>
                </c:pt>
                <c:pt idx="90">
                  <c:v>-23.715756845163583</c:v>
                </c:pt>
                <c:pt idx="91">
                  <c:v>-23.317537373018304</c:v>
                </c:pt>
                <c:pt idx="92">
                  <c:v>-22.919488844332086</c:v>
                </c:pt>
                <c:pt idx="93">
                  <c:v>-22.521627582699413</c:v>
                </c:pt>
                <c:pt idx="94">
                  <c:v>-22.123971452746506</c:v>
                </c:pt>
                <c:pt idx="95">
                  <c:v>-21.726540002053728</c:v>
                </c:pt>
                <c:pt idx="96">
                  <c:v>-21.329354615432475</c:v>
                </c:pt>
                <c:pt idx="97">
                  <c:v>-20.932438682487803</c:v>
                </c:pt>
                <c:pt idx="98">
                  <c:v>-20.535817779435924</c:v>
                </c:pt>
                <c:pt idx="99">
                  <c:v>-20.139519866181494</c:v>
                </c:pt>
                <c:pt idx="100">
                  <c:v>-19.743575499684816</c:v>
                </c:pt>
                <c:pt idx="101">
                  <c:v>-19.348018064666711</c:v>
                </c:pt>
                <c:pt idx="102">
                  <c:v>-18.952884022700577</c:v>
                </c:pt>
                <c:pt idx="103">
                  <c:v>-18.558213180728139</c:v>
                </c:pt>
                <c:pt idx="104">
                  <c:v>-18.164048979999365</c:v>
                </c:pt>
                <c:pt idx="105">
                  <c:v>-17.770438806374845</c:v>
                </c:pt>
                <c:pt idx="106">
                  <c:v>-17.37743432283397</c:v>
                </c:pt>
                <c:pt idx="107">
                  <c:v>-16.98509182489741</c:v>
                </c:pt>
                <c:pt idx="108">
                  <c:v>-16.59347261949025</c:v>
                </c:pt>
                <c:pt idx="109">
                  <c:v>-16.202643427531534</c:v>
                </c:pt>
                <c:pt idx="110">
                  <c:v>-15.812676810230844</c:v>
                </c:pt>
                <c:pt idx="111">
                  <c:v>-15.42365161868512</c:v>
                </c:pt>
                <c:pt idx="112">
                  <c:v>-15.035653465896846</c:v>
                </c:pt>
                <c:pt idx="113">
                  <c:v>-14.648775219749208</c:v>
                </c:pt>
                <c:pt idx="114">
                  <c:v>-14.263117514782628</c:v>
                </c:pt>
                <c:pt idx="115">
                  <c:v>-13.878789279784471</c:v>
                </c:pt>
                <c:pt idx="116">
                  <c:v>-13.495908277230281</c:v>
                </c:pt>
                <c:pt idx="117">
                  <c:v>-13.114601649488179</c:v>
                </c:pt>
                <c:pt idx="118">
                  <c:v>-12.735006465397207</c:v>
                </c:pt>
                <c:pt idx="119">
                  <c:v>-12.357270259366636</c:v>
                </c:pt>
                <c:pt idx="120">
                  <c:v>-11.981551553500406</c:v>
                </c:pt>
                <c:pt idx="121">
                  <c:v>-11.608020351449033</c:v>
                </c:pt>
                <c:pt idx="122">
                  <c:v>-11.236858590740045</c:v>
                </c:pt>
                <c:pt idx="123">
                  <c:v>-10.868260538273688</c:v>
                </c:pt>
                <c:pt idx="124">
                  <c:v>-10.502433111538533</c:v>
                </c:pt>
                <c:pt idx="125">
                  <c:v>-10.139596105967021</c:v>
                </c:pt>
                <c:pt idx="126">
                  <c:v>-9.7799823068056906</c:v>
                </c:pt>
                <c:pt idx="127">
                  <c:v>-9.4238374620277927</c:v>
                </c:pt>
                <c:pt idx="128">
                  <c:v>-9.0714200913125183</c:v>
                </c:pt>
                <c:pt idx="129">
                  <c:v>-8.7230011051112371</c:v>
                </c:pt>
                <c:pt idx="130">
                  <c:v>-8.3788632075156961</c:v>
                </c:pt>
                <c:pt idx="131">
                  <c:v>-8.0393000572319657</c:v>
                </c:pt>
                <c:pt idx="132">
                  <c:v>-7.7046151626687021</c:v>
                </c:pt>
                <c:pt idx="133">
                  <c:v>-7.3751204901756342</c:v>
                </c:pt>
                <c:pt idx="134">
                  <c:v>-7.0511347690039115</c:v>
                </c:pt>
                <c:pt idx="135">
                  <c:v>-6.7329814827504748</c:v>
                </c:pt>
                <c:pt idx="136">
                  <c:v>-6.4209865449585131</c:v>
                </c:pt>
                <c:pt idx="137">
                  <c:v>-6.1154756661566765</c:v>
                </c:pt>
                <c:pt idx="138">
                  <c:v>-5.8167714307735885</c:v>
                </c:pt>
                <c:pt idx="139">
                  <c:v>-5.5251901147689297</c:v>
                </c:pt>
                <c:pt idx="140">
                  <c:v>-5.2410382880236295</c:v>
                </c:pt>
                <c:pt idx="141">
                  <c:v>-4.9646092589122901</c:v>
                </c:pt>
                <c:pt idx="142">
                  <c:v>-4.6961794312918208</c:v>
                </c:pt>
                <c:pt idx="143">
                  <c:v>-4.4360046555198229</c:v>
                </c:pt>
                <c:pt idx="144">
                  <c:v>-4.184316664161984</c:v>
                </c:pt>
                <c:pt idx="145">
                  <c:v>-3.9413196888843052</c:v>
                </c:pt>
                <c:pt idx="146">
                  <c:v>-3.707187356892387</c:v>
                </c:pt>
                <c:pt idx="147">
                  <c:v>-3.4820599626205433</c:v>
                </c:pt>
                <c:pt idx="148">
                  <c:v>-3.2660422029176575</c:v>
                </c:pt>
                <c:pt idx="149">
                  <c:v>-3.0592014517948845</c:v>
                </c:pt>
                <c:pt idx="150">
                  <c:v>-2.8615666343376827</c:v>
                </c:pt>
                <c:pt idx="151">
                  <c:v>-2.6731277394420028</c:v>
                </c:pt>
                <c:pt idx="152">
                  <c:v>-2.4938359887172981</c:v>
                </c:pt>
                <c:pt idx="153">
                  <c:v>-2.3236046555332392</c:v>
                </c:pt>
                <c:pt idx="154">
                  <c:v>-2.1623105051832345</c:v>
                </c:pt>
                <c:pt idx="155">
                  <c:v>-2.009795805888531</c:v>
                </c:pt>
                <c:pt idx="156">
                  <c:v>-1.8658708420904047</c:v>
                </c:pt>
                <c:pt idx="157">
                  <c:v>-1.7303168471352417</c:v>
                </c:pt>
                <c:pt idx="158">
                  <c:v>-1.6028892626730302</c:v>
                </c:pt>
                <c:pt idx="159">
                  <c:v>-1.4833212271100882</c:v>
                </c:pt>
                <c:pt idx="160">
                  <c:v>-1.3713271951770334</c:v>
                </c:pt>
                <c:pt idx="161">
                  <c:v>-1.2666065946622986</c:v>
                </c:pt>
                <c:pt idx="162">
                  <c:v>-1.1688474339520041</c:v>
                </c:pt>
                <c:pt idx="163">
                  <c:v>-1.0777297843734388</c:v>
                </c:pt>
                <c:pt idx="164">
                  <c:v>-0.99292907356719484</c:v>
                </c:pt>
                <c:pt idx="165">
                  <c:v>-0.9141191393171415</c:v>
                </c:pt>
                <c:pt idx="166">
                  <c:v>-0.84097500664241331</c:v>
                </c:pt>
                <c:pt idx="167">
                  <c:v>-0.77317536381424867</c:v>
                </c:pt>
                <c:pt idx="168">
                  <c:v>-0.71040472476946515</c:v>
                </c:pt>
                <c:pt idx="169">
                  <c:v>-0.65235527578069286</c:v>
                </c:pt>
                <c:pt idx="170">
                  <c:v>-0.59872841299083257</c:v>
                </c:pt>
                <c:pt idx="171">
                  <c:v>-0.54923598444266319</c:v>
                </c:pt>
                <c:pt idx="172">
                  <c:v>-0.50360125556026414</c:v>
                </c:pt>
                <c:pt idx="173">
                  <c:v>-0.46155962077962015</c:v>
                </c:pt>
                <c:pt idx="174">
                  <c:v>-0.4228590863474655</c:v>
                </c:pt>
                <c:pt idx="175">
                  <c:v>-0.38726055041291868</c:v>
                </c:pt>
                <c:pt idx="176">
                  <c:v>-0.35453790663881224</c:v>
                </c:pt>
                <c:pt idx="177">
                  <c:v>-0.32447799687070517</c:v>
                </c:pt>
                <c:pt idx="178">
                  <c:v>-0.2968804371195769</c:v>
                </c:pt>
                <c:pt idx="179">
                  <c:v>-0.27155733941407878</c:v>
                </c:pt>
                <c:pt idx="180">
                  <c:v>-0.24833295011468448</c:v>
                </c:pt>
                <c:pt idx="181">
                  <c:v>-0.2270432231777248</c:v>
                </c:pt>
                <c:pt idx="182">
                  <c:v>-0.20753534471478971</c:v>
                </c:pt>
                <c:pt idx="183">
                  <c:v>-0.18966722308816775</c:v>
                </c:pt>
                <c:pt idx="184">
                  <c:v>-0.17330695677249666</c:v>
                </c:pt>
                <c:pt idx="185">
                  <c:v>-0.1583322903346164</c:v>
                </c:pt>
                <c:pt idx="186">
                  <c:v>-0.14463006716297108</c:v>
                </c:pt>
                <c:pt idx="187">
                  <c:v>-0.13209568602536736</c:v>
                </c:pt>
                <c:pt idx="188">
                  <c:v>-0.12063256715497217</c:v>
                </c:pt>
                <c:pt idx="189">
                  <c:v>-0.1101516323544752</c:v>
                </c:pt>
                <c:pt idx="190">
                  <c:v>-0.10057080255995983</c:v>
                </c:pt>
                <c:pt idx="191">
                  <c:v>-9.1814515408889796E-2</c:v>
                </c:pt>
                <c:pt idx="192">
                  <c:v>-8.3813264596659123E-2</c:v>
                </c:pt>
                <c:pt idx="193">
                  <c:v>-7.6503162171367073E-2</c:v>
                </c:pt>
                <c:pt idx="194">
                  <c:v>-6.9825524391372823E-2</c:v>
                </c:pt>
                <c:pt idx="195">
                  <c:v>-6.3726481342665883E-2</c:v>
                </c:pt>
                <c:pt idx="196">
                  <c:v>-5.8156610169759024E-2</c:v>
                </c:pt>
                <c:pt idx="197">
                  <c:v>-5.307059150281189E-2</c:v>
                </c:pt>
                <c:pt idx="198">
                  <c:v>-4.8426888454758198E-2</c:v>
                </c:pt>
                <c:pt idx="199">
                  <c:v>-4.4187447405178853E-2</c:v>
                </c:pt>
                <c:pt idx="200">
                  <c:v>-4.0317419674298006E-2</c:v>
                </c:pt>
                <c:pt idx="201">
                  <c:v>-3.6784903113024563E-2</c:v>
                </c:pt>
                <c:pt idx="202">
                  <c:v>-3.3560702587328288E-2</c:v>
                </c:pt>
                <c:pt idx="203">
                  <c:v>-3.0618108311169324E-2</c:v>
                </c:pt>
                <c:pt idx="204">
                  <c:v>-2.7932690977614021E-2</c:v>
                </c:pt>
                <c:pt idx="205">
                  <c:v>-2.5482112647837098E-2</c:v>
                </c:pt>
                <c:pt idx="206">
                  <c:v>-2.3245952379924287E-2</c:v>
                </c:pt>
                <c:pt idx="207">
                  <c:v>-2.120554561000234E-2</c:v>
                </c:pt>
                <c:pt idx="208">
                  <c:v>-1.9343836335486832E-2</c:v>
                </c:pt>
                <c:pt idx="209">
                  <c:v>-1.764524119190301E-2</c:v>
                </c:pt>
                <c:pt idx="210">
                  <c:v>-1.6095524559602736E-2</c:v>
                </c:pt>
                <c:pt idx="211">
                  <c:v>-1.4681683882705028E-2</c:v>
                </c:pt>
                <c:pt idx="212">
                  <c:v>-1.3391844429997003E-2</c:v>
                </c:pt>
                <c:pt idx="213">
                  <c:v>-1.221516277400915E-2</c:v>
                </c:pt>
                <c:pt idx="214">
                  <c:v>-1.1141738310869001E-2</c:v>
                </c:pt>
                <c:pt idx="215">
                  <c:v>-1.0162532188307774E-2</c:v>
                </c:pt>
                <c:pt idx="216">
                  <c:v>-9.2692930525730115E-3</c:v>
                </c:pt>
                <c:pt idx="217">
                  <c:v>-8.4544890664241673E-3</c:v>
                </c:pt>
                <c:pt idx="218">
                  <c:v>-7.7112456902368124E-3</c:v>
                </c:pt>
                <c:pt idx="219">
                  <c:v>-7.0332887553245611E-3</c:v>
                </c:pt>
                <c:pt idx="220">
                  <c:v>-6.4148923943085634E-3</c:v>
                </c:pt>
                <c:pt idx="221">
                  <c:v>-5.8508314265158902E-3</c:v>
                </c:pt>
                <c:pt idx="222">
                  <c:v>-5.3363378274176986E-3</c:v>
                </c:pt>
                <c:pt idx="223">
                  <c:v>-4.8670609405802919E-3</c:v>
                </c:pt>
                <c:pt idx="224">
                  <c:v>-4.4390311172046275E-3</c:v>
                </c:pt>
                <c:pt idx="225">
                  <c:v>-4.0486264942637849E-3</c:v>
                </c:pt>
                <c:pt idx="226">
                  <c:v>-3.6925426449091279E-3</c:v>
                </c:pt>
                <c:pt idx="227">
                  <c:v>-3.3677648571715573E-3</c:v>
                </c:pt>
                <c:pt idx="228">
                  <c:v>-3.0715428166449795E-3</c:v>
                </c:pt>
                <c:pt idx="229">
                  <c:v>-2.8013674875668128E-3</c:v>
                </c:pt>
                <c:pt idx="230">
                  <c:v>-2.5549500036750111E-3</c:v>
                </c:pt>
                <c:pt idx="231">
                  <c:v>-2.3302023962813523E-3</c:v>
                </c:pt>
                <c:pt idx="232">
                  <c:v>-2.125220001062916E-3</c:v>
                </c:pt>
                <c:pt idx="233">
                  <c:v>-1.9382653989093264E-3</c:v>
                </c:pt>
                <c:pt idx="234">
                  <c:v>-1.7677537580403386E-3</c:v>
                </c:pt>
                <c:pt idx="235">
                  <c:v>-1.6122394561897957E-3</c:v>
                </c:pt>
                <c:pt idx="236">
                  <c:v>-1.4704038717555006E-3</c:v>
                </c:pt>
                <c:pt idx="237">
                  <c:v>-1.3410442424778733E-3</c:v>
                </c:pt>
                <c:pt idx="238">
                  <c:v>-1.2230634988131615E-3</c:v>
                </c:pt>
                <c:pt idx="239">
                  <c:v>-1.1154609872179185E-3</c:v>
                </c:pt>
                <c:pt idx="240">
                  <c:v>-1.0173240058029334E-3</c:v>
                </c:pt>
                <c:pt idx="241">
                  <c:v>-9.2782008147407661E-4</c:v>
                </c:pt>
                <c:pt idx="242">
                  <c:v>-8.4618992402450471E-4</c:v>
                </c:pt>
                <c:pt idx="243">
                  <c:v>-7.7174099781994465E-4</c:v>
                </c:pt>
                <c:pt idx="244">
                  <c:v>-7.0384165739607624E-4</c:v>
                </c:pt>
                <c:pt idx="245">
                  <c:v>-6.4191579736557597E-4</c:v>
                </c:pt>
                <c:pt idx="246">
                  <c:v>-5.8543797188876593E-4</c:v>
                </c:pt>
                <c:pt idx="247">
                  <c:v>-5.3392894249837679E-4</c:v>
                </c:pt>
                <c:pt idx="248">
                  <c:v>-4.8695161670200262E-4</c:v>
                </c:pt>
                <c:pt idx="249">
                  <c:v>-4.4410734333055887E-4</c:v>
                </c:pt>
                <c:pt idx="250">
                  <c:v>-4.0503253307868449E-4</c:v>
                </c:pt>
                <c:pt idx="251">
                  <c:v>-3.6939557605507182E-4</c:v>
                </c:pt>
                <c:pt idx="252">
                  <c:v>-3.3689403000920017E-4</c:v>
                </c:pt>
                <c:pt idx="253">
                  <c:v>-3.0725205563941657E-4</c:v>
                </c:pt>
                <c:pt idx="254">
                  <c:v>-2.8021807731121965E-4</c:v>
                </c:pt>
                <c:pt idx="255">
                  <c:v>-2.5556264933514829E-4</c:v>
                </c:pt>
                <c:pt idx="256">
                  <c:v>-2.3307650972328312E-4</c:v>
                </c:pt>
                <c:pt idx="257">
                  <c:v>-2.1256880515489984E-4</c:v>
                </c:pt>
                <c:pt idx="258">
                  <c:v>-1.9386547185989365E-4</c:v>
                </c:pt>
                <c:pt idx="259">
                  <c:v>-1.768077589378948E-4</c:v>
                </c:pt>
                <c:pt idx="260">
                  <c:v>-1.6125088144038657E-4</c:v>
                </c:pt>
                <c:pt idx="261">
                  <c:v>-1.4706279196129317E-4</c:v>
                </c:pt>
                <c:pt idx="262">
                  <c:v>-1.341230601372466E-4</c:v>
                </c:pt>
                <c:pt idx="263">
                  <c:v>-1.2232185084689793E-4</c:v>
                </c:pt>
                <c:pt idx="264">
                  <c:v>-1.1155899209735424E-4</c:v>
                </c:pt>
                <c:pt idx="265">
                  <c:v>-1.0174312499927786E-4</c:v>
                </c:pt>
                <c:pt idx="266">
                  <c:v>-9.2790928465001372E-5</c:v>
                </c:pt>
                <c:pt idx="267">
                  <c:v>-8.4626412107992235E-5</c:v>
                </c:pt>
                <c:pt idx="268">
                  <c:v>-7.7180271299336705E-5</c:v>
                </c:pt>
                <c:pt idx="269">
                  <c:v>-7.0389299046493711E-5</c:v>
                </c:pt>
                <c:pt idx="270">
                  <c:v>-6.4195849479806679E-5</c:v>
                </c:pt>
                <c:pt idx="271">
                  <c:v>-5.8547348637357428E-5</c:v>
                </c:pt>
                <c:pt idx="272">
                  <c:v>-5.3395848244987732E-5</c:v>
                </c:pt>
                <c:pt idx="273">
                  <c:v>-4.8697618708470699E-5</c:v>
                </c:pt>
                <c:pt idx="274">
                  <c:v>-4.4412778028868593E-5</c:v>
                </c:pt>
                <c:pt idx="275">
                  <c:v>-4.050495318940391E-5</c:v>
                </c:pt>
                <c:pt idx="276">
                  <c:v>-3.6940971510328187E-5</c:v>
                </c:pt>
                <c:pt idx="277">
                  <c:v>-3.369057904800577E-5</c:v>
                </c:pt>
                <c:pt idx="278">
                  <c:v>-3.0726183764540785E-5</c:v>
                </c:pt>
                <c:pt idx="279">
                  <c:v>-2.8022621364123329E-5</c:v>
                </c:pt>
                <c:pt idx="280">
                  <c:v>-2.5556941684661066E-5</c:v>
                </c:pt>
                <c:pt idx="281">
                  <c:v>-2.3308213873757972E-5</c:v>
                </c:pt>
                <c:pt idx="282">
                  <c:v>-2.1257348715109479E-5</c:v>
                </c:pt>
                <c:pt idx="283">
                  <c:v>-1.9386936617057089E-5</c:v>
                </c:pt>
                <c:pt idx="284">
                  <c:v>-1.7681099811740218E-5</c:v>
                </c:pt>
                <c:pt idx="285">
                  <c:v>-1.6125357564050473E-5</c:v>
                </c:pt>
                <c:pt idx="286">
                  <c:v>-1.4706503294740004E-5</c:v>
                </c:pt>
                <c:pt idx="287">
                  <c:v>-1.3412492415023846E-5</c:v>
                </c:pt>
                <c:pt idx="288">
                  <c:v>-1.2232340120381975E-5</c:v>
                </c:pt>
                <c:pt idx="289">
                  <c:v>-1.115602816659786E-5</c:v>
                </c:pt>
                <c:pt idx="290">
                  <c:v>-1.0174419762949202E-5</c:v>
                </c:pt>
                <c:pt idx="291">
                  <c:v>-9.2791820646386563E-6</c:v>
                </c:pt>
                <c:pt idx="292">
                  <c:v>-8.4627154167633125E-6</c:v>
                </c:pt>
                <c:pt idx="293">
                  <c:v>-7.718088856039947E-6</c:v>
                </c:pt>
                <c:pt idx="294">
                  <c:v>-7.038981239576279E-6</c:v>
                </c:pt>
                <c:pt idx="295">
                  <c:v>-6.4196276477116715E-6</c:v>
                </c:pt>
                <c:pt idx="296">
                  <c:v>-5.8547703849061859E-6</c:v>
                </c:pt>
                <c:pt idx="297">
                  <c:v>-5.3396143616817713E-6</c:v>
                </c:pt>
                <c:pt idx="298">
                  <c:v>-4.8697864390784954E-6</c:v>
                </c:pt>
                <c:pt idx="299">
                  <c:v>-4.4412982370527164E-6</c:v>
                </c:pt>
                <c:pt idx="300">
                  <c:v>-4.0505123229077491E-6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2B-4B0A-838B-44874521E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101904"/>
        <c:axId val="674100592"/>
      </c:scatterChart>
      <c:valAx>
        <c:axId val="674101904"/>
        <c:scaling>
          <c:logBase val="10"/>
          <c:orientation val="minMax"/>
          <c:max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]0.00\ &quot;m&quot;;[&gt;=1000]0,\ &quot;k&quot;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0592"/>
        <c:crossesAt val="-300"/>
        <c:crossBetween val="midCat"/>
      </c:valAx>
      <c:valAx>
        <c:axId val="674100592"/>
        <c:scaling>
          <c:orientation val="minMax"/>
          <c:max val="1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1904"/>
        <c:crossesAt val="1.0000000000000004E-5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sz="1200"/>
              <a:t>φ</a:t>
            </a:r>
            <a:r>
              <a:rPr lang="en-US" sz="1200"/>
              <a:t> (Degrees)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'Input Stage'!$H$3:$H$303</c:f>
              <c:numCache>
                <c:formatCode>General</c:formatCode>
                <c:ptCount val="301"/>
                <c:pt idx="0">
                  <c:v>1.03E-2</c:v>
                </c:pt>
                <c:pt idx="1">
                  <c:v>1.0785424044924257E-2</c:v>
                </c:pt>
                <c:pt idx="2">
                  <c:v>1.1293725420274806E-2</c:v>
                </c:pt>
                <c:pt idx="3">
                  <c:v>1.1825982301417889E-2</c:v>
                </c:pt>
                <c:pt idx="4">
                  <c:v>1.2383323676559348E-2</c:v>
                </c:pt>
                <c:pt idx="5">
                  <c:v>1.2966931741479913E-2</c:v>
                </c:pt>
                <c:pt idx="6">
                  <c:v>1.3578044407130993E-2</c:v>
                </c:pt>
                <c:pt idx="7">
                  <c:v>1.421795792540971E-2</c:v>
                </c:pt>
                <c:pt idx="8">
                  <c:v>1.488802963868305E-2</c:v>
                </c:pt>
                <c:pt idx="9">
                  <c:v>1.5589680858892936E-2</c:v>
                </c:pt>
                <c:pt idx="10">
                  <c:v>1.6324399882349471E-2</c:v>
                </c:pt>
                <c:pt idx="11">
                  <c:v>1.7093745146606876E-2</c:v>
                </c:pt>
                <c:pt idx="12">
                  <c:v>1.7899348536118562E-2</c:v>
                </c:pt>
                <c:pt idx="13">
                  <c:v>1.8742918843682805E-2</c:v>
                </c:pt>
                <c:pt idx="14">
                  <c:v>1.9626245395021436E-2</c:v>
                </c:pt>
                <c:pt idx="15">
                  <c:v>2.0551201844179447E-2</c:v>
                </c:pt>
                <c:pt idx="16">
                  <c:v>2.1519750147796585E-2</c:v>
                </c:pt>
                <c:pt idx="17">
                  <c:v>2.2533944726680365E-2</c:v>
                </c:pt>
                <c:pt idx="18">
                  <c:v>2.3595936823508048E-2</c:v>
                </c:pt>
                <c:pt idx="19">
                  <c:v>2.4707979065900734E-2</c:v>
                </c:pt>
                <c:pt idx="20">
                  <c:v>2.5872430244548651E-2</c:v>
                </c:pt>
                <c:pt idx="21">
                  <c:v>2.7091760316522408E-2</c:v>
                </c:pt>
                <c:pt idx="22">
                  <c:v>2.8368555644383103E-2</c:v>
                </c:pt>
                <c:pt idx="23">
                  <c:v>2.9705524482204024E-2</c:v>
                </c:pt>
                <c:pt idx="24">
                  <c:v>3.1105502720140742E-2</c:v>
                </c:pt>
                <c:pt idx="25">
                  <c:v>3.2571459899734277E-2</c:v>
                </c:pt>
                <c:pt idx="26">
                  <c:v>3.4106505512706879E-2</c:v>
                </c:pt>
                <c:pt idx="27">
                  <c:v>3.5713895596610749E-2</c:v>
                </c:pt>
                <c:pt idx="28">
                  <c:v>3.7397039641320413E-2</c:v>
                </c:pt>
                <c:pt idx="29">
                  <c:v>3.9159507821017812E-2</c:v>
                </c:pt>
                <c:pt idx="30">
                  <c:v>4.100503856701021E-2</c:v>
                </c:pt>
                <c:pt idx="31">
                  <c:v>4.2937546497444537E-2</c:v>
                </c:pt>
                <c:pt idx="32">
                  <c:v>4.4961130720737069E-2</c:v>
                </c:pt>
                <c:pt idx="33">
                  <c:v>4.7080083530332134E-2</c:v>
                </c:pt>
                <c:pt idx="34">
                  <c:v>4.9298899509231754E-2</c:v>
                </c:pt>
                <c:pt idx="35">
                  <c:v>5.1622285063609032E-2</c:v>
                </c:pt>
                <c:pt idx="36">
                  <c:v>5.4055168405726557E-2</c:v>
                </c:pt>
                <c:pt idx="37">
                  <c:v>5.6602710007335348E-2</c:v>
                </c:pt>
                <c:pt idx="38">
                  <c:v>5.9270313545727121E-2</c:v>
                </c:pt>
                <c:pt idx="39">
                  <c:v>6.2063637365658793E-2</c:v>
                </c:pt>
                <c:pt idx="40">
                  <c:v>6.4988606481459835E-2</c:v>
                </c:pt>
                <c:pt idx="41">
                  <c:v>6.8051425144782351E-2</c:v>
                </c:pt>
                <c:pt idx="42">
                  <c:v>7.1258590004650416E-2</c:v>
                </c:pt>
                <c:pt idx="43">
                  <c:v>7.4616903887723907E-2</c:v>
                </c:pt>
                <c:pt idx="44">
                  <c:v>7.813349022800585E-2</c:v>
                </c:pt>
                <c:pt idx="45">
                  <c:v>8.1815808176600974E-2</c:v>
                </c:pt>
                <c:pt idx="46">
                  <c:v>8.567166842357507E-2</c:v>
                </c:pt>
                <c:pt idx="47">
                  <c:v>8.9709249765476257E-2</c:v>
                </c:pt>
                <c:pt idx="48">
                  <c:v>9.3937116453658612E-2</c:v>
                </c:pt>
                <c:pt idx="49">
                  <c:v>9.8364236360207885E-2</c:v>
                </c:pt>
                <c:pt idx="50">
                  <c:v>0.10300000000000001</c:v>
                </c:pt>
                <c:pt idx="51">
                  <c:v>0.10785424044924259</c:v>
                </c:pt>
                <c:pt idx="52">
                  <c:v>0.11293725420274807</c:v>
                </c:pt>
                <c:pt idx="53">
                  <c:v>0.11825982301417892</c:v>
                </c:pt>
                <c:pt idx="54">
                  <c:v>0.12383323676559349</c:v>
                </c:pt>
                <c:pt idx="55">
                  <c:v>0.12966931741479915</c:v>
                </c:pt>
                <c:pt idx="56">
                  <c:v>0.13578044407130999</c:v>
                </c:pt>
                <c:pt idx="57">
                  <c:v>0.14217957925409702</c:v>
                </c:pt>
                <c:pt idx="58">
                  <c:v>0.14888029638683051</c:v>
                </c:pt>
                <c:pt idx="59">
                  <c:v>0.1558968085889294</c:v>
                </c:pt>
                <c:pt idx="60">
                  <c:v>0.16324399882349458</c:v>
                </c:pt>
                <c:pt idx="61">
                  <c:v>0.17093745146606862</c:v>
                </c:pt>
                <c:pt idx="62">
                  <c:v>0.1789934853611857</c:v>
                </c:pt>
                <c:pt idx="63">
                  <c:v>0.18742918843682826</c:v>
                </c:pt>
                <c:pt idx="64">
                  <c:v>0.19626245395021438</c:v>
                </c:pt>
                <c:pt idx="65">
                  <c:v>0.20551201844179456</c:v>
                </c:pt>
                <c:pt idx="66">
                  <c:v>0.21519750147796599</c:v>
                </c:pt>
                <c:pt idx="67">
                  <c:v>0.22533944726680391</c:v>
                </c:pt>
                <c:pt idx="68">
                  <c:v>0.23595936823508057</c:v>
                </c:pt>
                <c:pt idx="69">
                  <c:v>0.24707979065900743</c:v>
                </c:pt>
                <c:pt idx="70">
                  <c:v>0.25872430244548655</c:v>
                </c:pt>
                <c:pt idx="71">
                  <c:v>0.27091760316522423</c:v>
                </c:pt>
                <c:pt idx="72">
                  <c:v>0.28368555644383098</c:v>
                </c:pt>
                <c:pt idx="73">
                  <c:v>0.29705524482204032</c:v>
                </c:pt>
                <c:pt idx="74">
                  <c:v>0.31105502720140754</c:v>
                </c:pt>
                <c:pt idx="75">
                  <c:v>0.32571459899734301</c:v>
                </c:pt>
                <c:pt idx="76">
                  <c:v>0.34106505512706881</c:v>
                </c:pt>
                <c:pt idx="77">
                  <c:v>0.35713895596610756</c:v>
                </c:pt>
                <c:pt idx="78">
                  <c:v>0.3739703964132044</c:v>
                </c:pt>
                <c:pt idx="79">
                  <c:v>0.39159507821017797</c:v>
                </c:pt>
                <c:pt idx="80">
                  <c:v>0.41005038567010221</c:v>
                </c:pt>
                <c:pt idx="81">
                  <c:v>0.42937546497444545</c:v>
                </c:pt>
                <c:pt idx="82">
                  <c:v>0.44961130720737086</c:v>
                </c:pt>
                <c:pt idx="83">
                  <c:v>0.47080083530332106</c:v>
                </c:pt>
                <c:pt idx="84">
                  <c:v>0.49298899509231742</c:v>
                </c:pt>
                <c:pt idx="85">
                  <c:v>0.5162228506360903</c:v>
                </c:pt>
                <c:pt idx="86">
                  <c:v>0.54055168405726561</c:v>
                </c:pt>
                <c:pt idx="87">
                  <c:v>0.56602710007335311</c:v>
                </c:pt>
                <c:pt idx="88">
                  <c:v>0.5927031354572716</c:v>
                </c:pt>
                <c:pt idx="89">
                  <c:v>0.62063637365658819</c:v>
                </c:pt>
                <c:pt idx="90">
                  <c:v>0.64988606481459898</c:v>
                </c:pt>
                <c:pt idx="91">
                  <c:v>0.68051425144782374</c:v>
                </c:pt>
                <c:pt idx="92">
                  <c:v>0.71258590004650457</c:v>
                </c:pt>
                <c:pt idx="93">
                  <c:v>0.74616903887723962</c:v>
                </c:pt>
                <c:pt idx="94">
                  <c:v>0.78133490228005908</c:v>
                </c:pt>
                <c:pt idx="95">
                  <c:v>0.81815808176600946</c:v>
                </c:pt>
                <c:pt idx="96">
                  <c:v>0.85671668423575098</c:v>
                </c:pt>
                <c:pt idx="97">
                  <c:v>0.89709249765476262</c:v>
                </c:pt>
                <c:pt idx="98">
                  <c:v>0.93937116453658676</c:v>
                </c:pt>
                <c:pt idx="99">
                  <c:v>0.9836423636020788</c:v>
                </c:pt>
                <c:pt idx="100">
                  <c:v>1.03</c:v>
                </c:pt>
                <c:pt idx="101">
                  <c:v>1.0785424044924268</c:v>
                </c:pt>
                <c:pt idx="102">
                  <c:v>1.1293725420274805</c:v>
                </c:pt>
                <c:pt idx="103">
                  <c:v>1.1825982301417894</c:v>
                </c:pt>
                <c:pt idx="104">
                  <c:v>1.2383323676559352</c:v>
                </c:pt>
                <c:pt idx="105">
                  <c:v>1.2966931741479919</c:v>
                </c:pt>
                <c:pt idx="106">
                  <c:v>1.3578044407130994</c:v>
                </c:pt>
                <c:pt idx="107">
                  <c:v>1.421795792540971</c:v>
                </c:pt>
                <c:pt idx="108">
                  <c:v>1.4888029638683051</c:v>
                </c:pt>
                <c:pt idx="109">
                  <c:v>1.5589680858892943</c:v>
                </c:pt>
                <c:pt idx="110">
                  <c:v>1.6324399882349467</c:v>
                </c:pt>
                <c:pt idx="111">
                  <c:v>1.7093745146606869</c:v>
                </c:pt>
                <c:pt idx="112">
                  <c:v>1.7899348536118562</c:v>
                </c:pt>
                <c:pt idx="113">
                  <c:v>1.874291884368283</c:v>
                </c:pt>
                <c:pt idx="114">
                  <c:v>1.9626245395021447</c:v>
                </c:pt>
                <c:pt idx="115">
                  <c:v>2.0551201844179459</c:v>
                </c:pt>
                <c:pt idx="116">
                  <c:v>2.1519750147796604</c:v>
                </c:pt>
                <c:pt idx="117">
                  <c:v>2.2533944726680391</c:v>
                </c:pt>
                <c:pt idx="118">
                  <c:v>2.3595936823508064</c:v>
                </c:pt>
                <c:pt idx="119">
                  <c:v>2.4707979065900751</c:v>
                </c:pt>
                <c:pt idx="120">
                  <c:v>2.5872430244548679</c:v>
                </c:pt>
                <c:pt idx="121">
                  <c:v>2.7091760316522437</c:v>
                </c:pt>
                <c:pt idx="122">
                  <c:v>2.8368555644383115</c:v>
                </c:pt>
                <c:pt idx="123">
                  <c:v>2.970552448220404</c:v>
                </c:pt>
                <c:pt idx="124">
                  <c:v>3.1105502720140761</c:v>
                </c:pt>
                <c:pt idx="125">
                  <c:v>3.2571459899734312</c:v>
                </c:pt>
                <c:pt idx="126">
                  <c:v>3.4106505512706882</c:v>
                </c:pt>
                <c:pt idx="127">
                  <c:v>3.5713895596610765</c:v>
                </c:pt>
                <c:pt idx="128">
                  <c:v>3.7397039641320444</c:v>
                </c:pt>
                <c:pt idx="129">
                  <c:v>3.9159507821017803</c:v>
                </c:pt>
                <c:pt idx="130">
                  <c:v>4.1005038567010219</c:v>
                </c:pt>
                <c:pt idx="131">
                  <c:v>4.2937546497444545</c:v>
                </c:pt>
                <c:pt idx="132">
                  <c:v>4.496113072073709</c:v>
                </c:pt>
                <c:pt idx="133">
                  <c:v>4.7080083530332129</c:v>
                </c:pt>
                <c:pt idx="134">
                  <c:v>4.9298899509231751</c:v>
                </c:pt>
                <c:pt idx="135">
                  <c:v>5.1622285063609041</c:v>
                </c:pt>
                <c:pt idx="136">
                  <c:v>5.4055168405726572</c:v>
                </c:pt>
                <c:pt idx="137">
                  <c:v>5.6602710007335331</c:v>
                </c:pt>
                <c:pt idx="138">
                  <c:v>5.9270313545727165</c:v>
                </c:pt>
                <c:pt idx="139">
                  <c:v>6.2063637365658852</c:v>
                </c:pt>
                <c:pt idx="140">
                  <c:v>6.4988606481459907</c:v>
                </c:pt>
                <c:pt idx="141">
                  <c:v>6.8051425144782396</c:v>
                </c:pt>
                <c:pt idx="142">
                  <c:v>7.1258590004650468</c:v>
                </c:pt>
                <c:pt idx="143">
                  <c:v>7.4616903887723973</c:v>
                </c:pt>
                <c:pt idx="144">
                  <c:v>7.8133490228005922</c:v>
                </c:pt>
                <c:pt idx="145">
                  <c:v>8.1815808176600999</c:v>
                </c:pt>
                <c:pt idx="146">
                  <c:v>8.5671668423575102</c:v>
                </c:pt>
                <c:pt idx="147">
                  <c:v>8.9709249765476287</c:v>
                </c:pt>
                <c:pt idx="148">
                  <c:v>9.3937116453658707</c:v>
                </c:pt>
                <c:pt idx="149">
                  <c:v>9.8364236360207897</c:v>
                </c:pt>
                <c:pt idx="150">
                  <c:v>10.3</c:v>
                </c:pt>
                <c:pt idx="151">
                  <c:v>10.785424044924266</c:v>
                </c:pt>
                <c:pt idx="152">
                  <c:v>11.293725420274807</c:v>
                </c:pt>
                <c:pt idx="153">
                  <c:v>11.825982301417897</c:v>
                </c:pt>
                <c:pt idx="154">
                  <c:v>12.383323676559357</c:v>
                </c:pt>
                <c:pt idx="155">
                  <c:v>12.966931741479923</c:v>
                </c:pt>
                <c:pt idx="156">
                  <c:v>13.578044407130996</c:v>
                </c:pt>
                <c:pt idx="157">
                  <c:v>14.217957925409717</c:v>
                </c:pt>
                <c:pt idx="158">
                  <c:v>14.888029638683054</c:v>
                </c:pt>
                <c:pt idx="159">
                  <c:v>15.589680858892946</c:v>
                </c:pt>
                <c:pt idx="160">
                  <c:v>16.324399882349471</c:v>
                </c:pt>
                <c:pt idx="161">
                  <c:v>17.093745146606874</c:v>
                </c:pt>
                <c:pt idx="162">
                  <c:v>17.89934853611857</c:v>
                </c:pt>
                <c:pt idx="163">
                  <c:v>18.742918843682833</c:v>
                </c:pt>
                <c:pt idx="164">
                  <c:v>19.626245395021449</c:v>
                </c:pt>
                <c:pt idx="165">
                  <c:v>20.551201844179463</c:v>
                </c:pt>
                <c:pt idx="166">
                  <c:v>21.519750147796611</c:v>
                </c:pt>
                <c:pt idx="167">
                  <c:v>22.533944726680392</c:v>
                </c:pt>
                <c:pt idx="168">
                  <c:v>23.595936823508065</c:v>
                </c:pt>
                <c:pt idx="169">
                  <c:v>24.707979065900759</c:v>
                </c:pt>
                <c:pt idx="170">
                  <c:v>25.872430244548681</c:v>
                </c:pt>
                <c:pt idx="171">
                  <c:v>27.091760316522439</c:v>
                </c:pt>
                <c:pt idx="172">
                  <c:v>28.368555644383115</c:v>
                </c:pt>
                <c:pt idx="173">
                  <c:v>29.705524482204044</c:v>
                </c:pt>
                <c:pt idx="174">
                  <c:v>31.105502720140773</c:v>
                </c:pt>
                <c:pt idx="175">
                  <c:v>32.571459899734315</c:v>
                </c:pt>
                <c:pt idx="176">
                  <c:v>34.106505512706889</c:v>
                </c:pt>
                <c:pt idx="177">
                  <c:v>35.713895596610769</c:v>
                </c:pt>
                <c:pt idx="178">
                  <c:v>37.397039641320447</c:v>
                </c:pt>
                <c:pt idx="179">
                  <c:v>39.159507821017804</c:v>
                </c:pt>
                <c:pt idx="180">
                  <c:v>41.005038567010224</c:v>
                </c:pt>
                <c:pt idx="181">
                  <c:v>42.937546497444558</c:v>
                </c:pt>
                <c:pt idx="182">
                  <c:v>44.961130720737103</c:v>
                </c:pt>
                <c:pt idx="183">
                  <c:v>47.080083530332139</c:v>
                </c:pt>
                <c:pt idx="184">
                  <c:v>49.298899509231759</c:v>
                </c:pt>
                <c:pt idx="185">
                  <c:v>51.622285063609048</c:v>
                </c:pt>
                <c:pt idx="186">
                  <c:v>54.055168405726583</c:v>
                </c:pt>
                <c:pt idx="187">
                  <c:v>56.602710007335332</c:v>
                </c:pt>
                <c:pt idx="188">
                  <c:v>59.270313545727191</c:v>
                </c:pt>
                <c:pt idx="189">
                  <c:v>62.06363736565887</c:v>
                </c:pt>
                <c:pt idx="190">
                  <c:v>64.988606481459925</c:v>
                </c:pt>
                <c:pt idx="191">
                  <c:v>68.051425144782399</c:v>
                </c:pt>
                <c:pt idx="192">
                  <c:v>71.258590004650486</c:v>
                </c:pt>
                <c:pt idx="193">
                  <c:v>74.616903887724007</c:v>
                </c:pt>
                <c:pt idx="194">
                  <c:v>78.133490228005925</c:v>
                </c:pt>
                <c:pt idx="195">
                  <c:v>81.815808176601024</c:v>
                </c:pt>
                <c:pt idx="196">
                  <c:v>85.671668423575127</c:v>
                </c:pt>
                <c:pt idx="197">
                  <c:v>89.709249765476301</c:v>
                </c:pt>
                <c:pt idx="198">
                  <c:v>93.937116453658717</c:v>
                </c:pt>
                <c:pt idx="199">
                  <c:v>98.364236360207897</c:v>
                </c:pt>
                <c:pt idx="200">
                  <c:v>103</c:v>
                </c:pt>
                <c:pt idx="201">
                  <c:v>107.85424044924271</c:v>
                </c:pt>
                <c:pt idx="202">
                  <c:v>112.93725420274809</c:v>
                </c:pt>
                <c:pt idx="203">
                  <c:v>118.25982301417901</c:v>
                </c:pt>
                <c:pt idx="204">
                  <c:v>123.83323676559357</c:v>
                </c:pt>
                <c:pt idx="205">
                  <c:v>129.66931741479931</c:v>
                </c:pt>
                <c:pt idx="206">
                  <c:v>135.78044407131</c:v>
                </c:pt>
                <c:pt idx="207">
                  <c:v>142.17957925409718</c:v>
                </c:pt>
                <c:pt idx="208">
                  <c:v>148.88029638683054</c:v>
                </c:pt>
                <c:pt idx="209">
                  <c:v>155.8968085889295</c:v>
                </c:pt>
                <c:pt idx="210">
                  <c:v>163.24399882349471</c:v>
                </c:pt>
                <c:pt idx="211">
                  <c:v>170.93745146606884</c:v>
                </c:pt>
                <c:pt idx="212">
                  <c:v>178.99348536118569</c:v>
                </c:pt>
                <c:pt idx="213">
                  <c:v>187.42918843682838</c:v>
                </c:pt>
                <c:pt idx="214">
                  <c:v>196.26245395021454</c:v>
                </c:pt>
                <c:pt idx="215">
                  <c:v>205.51201844179471</c:v>
                </c:pt>
                <c:pt idx="216">
                  <c:v>215.19750147796614</c:v>
                </c:pt>
                <c:pt idx="217">
                  <c:v>225.33944726680406</c:v>
                </c:pt>
                <c:pt idx="218">
                  <c:v>235.95936823508072</c:v>
                </c:pt>
                <c:pt idx="219">
                  <c:v>247.07979065900756</c:v>
                </c:pt>
                <c:pt idx="220">
                  <c:v>258.72430244548673</c:v>
                </c:pt>
                <c:pt idx="221">
                  <c:v>270.91760316522442</c:v>
                </c:pt>
                <c:pt idx="222">
                  <c:v>283.68555644383116</c:v>
                </c:pt>
                <c:pt idx="223">
                  <c:v>297.05524482204049</c:v>
                </c:pt>
                <c:pt idx="224">
                  <c:v>311.05502720140771</c:v>
                </c:pt>
                <c:pt idx="225">
                  <c:v>325.71459899734322</c:v>
                </c:pt>
                <c:pt idx="226">
                  <c:v>341.06505512706906</c:v>
                </c:pt>
                <c:pt idx="227">
                  <c:v>357.1389559661078</c:v>
                </c:pt>
                <c:pt idx="228">
                  <c:v>373.97039641320464</c:v>
                </c:pt>
                <c:pt idx="229">
                  <c:v>391.59507821017826</c:v>
                </c:pt>
                <c:pt idx="230">
                  <c:v>410.05038567010251</c:v>
                </c:pt>
                <c:pt idx="231">
                  <c:v>429.37546497444572</c:v>
                </c:pt>
                <c:pt idx="232">
                  <c:v>449.61130720737111</c:v>
                </c:pt>
                <c:pt idx="233">
                  <c:v>470.80083530332138</c:v>
                </c:pt>
                <c:pt idx="234">
                  <c:v>492.98899509231774</c:v>
                </c:pt>
                <c:pt idx="235">
                  <c:v>516.22285063609058</c:v>
                </c:pt>
                <c:pt idx="236">
                  <c:v>540.55168405726613</c:v>
                </c:pt>
                <c:pt idx="237">
                  <c:v>566.02710007335349</c:v>
                </c:pt>
                <c:pt idx="238">
                  <c:v>592.70313545727174</c:v>
                </c:pt>
                <c:pt idx="239">
                  <c:v>620.63637365658906</c:v>
                </c:pt>
                <c:pt idx="240">
                  <c:v>649.88606481459954</c:v>
                </c:pt>
                <c:pt idx="241">
                  <c:v>680.51425144782422</c:v>
                </c:pt>
                <c:pt idx="242">
                  <c:v>712.58590004650466</c:v>
                </c:pt>
                <c:pt idx="243">
                  <c:v>746.1690388772405</c:v>
                </c:pt>
                <c:pt idx="244">
                  <c:v>781.33490228005917</c:v>
                </c:pt>
                <c:pt idx="245">
                  <c:v>818.15808176601047</c:v>
                </c:pt>
                <c:pt idx="246">
                  <c:v>856.71668423575147</c:v>
                </c:pt>
                <c:pt idx="247">
                  <c:v>897.09249765476318</c:v>
                </c:pt>
                <c:pt idx="248">
                  <c:v>939.37116453658712</c:v>
                </c:pt>
                <c:pt idx="249">
                  <c:v>983.64236360207974</c:v>
                </c:pt>
                <c:pt idx="250">
                  <c:v>1030</c:v>
                </c:pt>
                <c:pt idx="251">
                  <c:v>1078.5424044924268</c:v>
                </c:pt>
                <c:pt idx="252">
                  <c:v>1129.3725420274818</c:v>
                </c:pt>
                <c:pt idx="253">
                  <c:v>1182.5982301417901</c:v>
                </c:pt>
                <c:pt idx="254">
                  <c:v>1238.332367655936</c:v>
                </c:pt>
                <c:pt idx="255">
                  <c:v>1296.6931741479927</c:v>
                </c:pt>
                <c:pt idx="256">
                  <c:v>1357.8044407131008</c:v>
                </c:pt>
                <c:pt idx="257">
                  <c:v>1421.7957925409728</c:v>
                </c:pt>
                <c:pt idx="258">
                  <c:v>1488.8029638683065</c:v>
                </c:pt>
                <c:pt idx="259">
                  <c:v>1558.9680858892955</c:v>
                </c:pt>
                <c:pt idx="260">
                  <c:v>1632.4399882349489</c:v>
                </c:pt>
                <c:pt idx="261">
                  <c:v>1709.3745146606891</c:v>
                </c:pt>
                <c:pt idx="262">
                  <c:v>1789.9348536118582</c:v>
                </c:pt>
                <c:pt idx="263">
                  <c:v>1874.2918843682826</c:v>
                </c:pt>
                <c:pt idx="264">
                  <c:v>1962.6245395021456</c:v>
                </c:pt>
                <c:pt idx="265">
                  <c:v>2055.1201844179468</c:v>
                </c:pt>
                <c:pt idx="266">
                  <c:v>2151.9750147796608</c:v>
                </c:pt>
                <c:pt idx="267">
                  <c:v>2253.3944726680393</c:v>
                </c:pt>
                <c:pt idx="268">
                  <c:v>2359.5936823508077</c:v>
                </c:pt>
                <c:pt idx="269">
                  <c:v>2470.7979065900763</c:v>
                </c:pt>
                <c:pt idx="270">
                  <c:v>2587.2430244548682</c:v>
                </c:pt>
                <c:pt idx="271">
                  <c:v>2709.1760316522432</c:v>
                </c:pt>
                <c:pt idx="272">
                  <c:v>2836.8555644383136</c:v>
                </c:pt>
                <c:pt idx="273">
                  <c:v>2970.5524482204055</c:v>
                </c:pt>
                <c:pt idx="274">
                  <c:v>3110.5502720140776</c:v>
                </c:pt>
                <c:pt idx="275">
                  <c:v>3257.1459899734341</c:v>
                </c:pt>
                <c:pt idx="276">
                  <c:v>3410.6505512706913</c:v>
                </c:pt>
                <c:pt idx="277">
                  <c:v>3571.3895596610782</c:v>
                </c:pt>
                <c:pt idx="278">
                  <c:v>3739.7039641320457</c:v>
                </c:pt>
                <c:pt idx="279">
                  <c:v>3915.9507821017851</c:v>
                </c:pt>
                <c:pt idx="280">
                  <c:v>4100.5038567010261</c:v>
                </c:pt>
                <c:pt idx="281">
                  <c:v>4293.7546497444582</c:v>
                </c:pt>
                <c:pt idx="282">
                  <c:v>4496.1130720737119</c:v>
                </c:pt>
                <c:pt idx="283">
                  <c:v>4708.0083530332195</c:v>
                </c:pt>
                <c:pt idx="284">
                  <c:v>4929.8899509231805</c:v>
                </c:pt>
                <c:pt idx="285">
                  <c:v>5162.2285063609088</c:v>
                </c:pt>
                <c:pt idx="286">
                  <c:v>5405.5168405726617</c:v>
                </c:pt>
                <c:pt idx="287">
                  <c:v>5660.2710007335418</c:v>
                </c:pt>
                <c:pt idx="288">
                  <c:v>5927.0313545727186</c:v>
                </c:pt>
                <c:pt idx="289">
                  <c:v>6206.3637365658851</c:v>
                </c:pt>
                <c:pt idx="290">
                  <c:v>6498.860648145991</c:v>
                </c:pt>
                <c:pt idx="291">
                  <c:v>6805.1425144782434</c:v>
                </c:pt>
                <c:pt idx="292">
                  <c:v>7125.8590004650487</c:v>
                </c:pt>
                <c:pt idx="293">
                  <c:v>7461.6903887724002</c:v>
                </c:pt>
                <c:pt idx="294">
                  <c:v>7813.349022800593</c:v>
                </c:pt>
                <c:pt idx="295">
                  <c:v>8181.5808176601058</c:v>
                </c:pt>
                <c:pt idx="296">
                  <c:v>8567.1668423575156</c:v>
                </c:pt>
                <c:pt idx="297">
                  <c:v>8970.9249765476343</c:v>
                </c:pt>
                <c:pt idx="298">
                  <c:v>9393.7116453658728</c:v>
                </c:pt>
                <c:pt idx="299">
                  <c:v>9836.4236360207997</c:v>
                </c:pt>
                <c:pt idx="300">
                  <c:v>10300</c:v>
                </c:pt>
              </c:numCache>
            </c:numRef>
          </c:xVal>
          <c:yVal>
            <c:numRef>
              <c:f>'Input Stage'!$L$3:$L$303</c:f>
              <c:numCache>
                <c:formatCode>General</c:formatCode>
                <c:ptCount val="301"/>
                <c:pt idx="0">
                  <c:v>89.940672021203738</c:v>
                </c:pt>
                <c:pt idx="1">
                  <c:v>89.937875981846375</c:v>
                </c:pt>
                <c:pt idx="2">
                  <c:v>89.934948169531182</c:v>
                </c:pt>
                <c:pt idx="3">
                  <c:v>89.931882374036974</c:v>
                </c:pt>
                <c:pt idx="4">
                  <c:v>89.928672092470876</c:v>
                </c:pt>
                <c:pt idx="5">
                  <c:v>89.92531051547607</c:v>
                </c:pt>
                <c:pt idx="6">
                  <c:v>89.921790512789855</c:v>
                </c:pt>
                <c:pt idx="7">
                  <c:v>89.918104618121106</c:v>
                </c:pt>
                <c:pt idx="8">
                  <c:v>89.914245013315394</c:v>
                </c:pt>
                <c:pt idx="9">
                  <c:v>89.910203511773872</c:v>
                </c:pt>
                <c:pt idx="10">
                  <c:v>89.905971541091162</c:v>
                </c:pt>
                <c:pt idx="11">
                  <c:v>89.901540124875197</c:v>
                </c:pt>
                <c:pt idx="12">
                  <c:v>89.896899863710587</c:v>
                </c:pt>
                <c:pt idx="13">
                  <c:v>89.892040915225323</c:v>
                </c:pt>
                <c:pt idx="14">
                  <c:v>89.886952973218428</c:v>
                </c:pt>
                <c:pt idx="15">
                  <c:v>89.881625245804443</c:v>
                </c:pt>
                <c:pt idx="16">
                  <c:v>89.876046432528611</c:v>
                </c:pt>
                <c:pt idx="17">
                  <c:v>89.870204700404116</c:v>
                </c:pt>
                <c:pt idx="18">
                  <c:v>89.86408765882085</c:v>
                </c:pt>
                <c:pt idx="19">
                  <c:v>89.857682333272521</c:v>
                </c:pt>
                <c:pt idx="20">
                  <c:v>89.850975137846774</c:v>
                </c:pt>
                <c:pt idx="21">
                  <c:v>89.84395184641987</c:v>
                </c:pt>
                <c:pt idx="22">
                  <c:v>89.836597562495257</c:v>
                </c:pt>
                <c:pt idx="23">
                  <c:v>89.828896687622247</c:v>
                </c:pt>
                <c:pt idx="24">
                  <c:v>89.820832888328241</c:v>
                </c:pt>
                <c:pt idx="25">
                  <c:v>89.812389061494571</c:v>
                </c:pt>
                <c:pt idx="26">
                  <c:v>89.803547298102885</c:v>
                </c:pt>
                <c:pt idx="27">
                  <c:v>89.794288845275958</c:v>
                </c:pt>
                <c:pt idx="28">
                  <c:v>89.784594066532506</c:v>
                </c:pt>
                <c:pt idx="29">
                  <c:v>89.774442400172646</c:v>
                </c:pt>
                <c:pt idx="30">
                  <c:v>89.763812315706346</c:v>
                </c:pt>
                <c:pt idx="31">
                  <c:v>89.752681268233204</c:v>
                </c:pt>
                <c:pt idx="32">
                  <c:v>89.741025650677756</c:v>
                </c:pt>
                <c:pt idx="33">
                  <c:v>89.728820743780147</c:v>
                </c:pt>
                <c:pt idx="34">
                  <c:v>89.716040663737147</c:v>
                </c:pt>
                <c:pt idx="35">
                  <c:v>89.702658307384013</c:v>
                </c:pt>
                <c:pt idx="36">
                  <c:v>89.688645294802583</c:v>
                </c:pt>
                <c:pt idx="37">
                  <c:v>89.673971909235405</c:v>
                </c:pt>
                <c:pt idx="38">
                  <c:v>89.658607034181159</c:v>
                </c:pt>
                <c:pt idx="39">
                  <c:v>89.642518087539756</c:v>
                </c:pt>
                <c:pt idx="40">
                  <c:v>89.625670952670717</c:v>
                </c:pt>
                <c:pt idx="41">
                  <c:v>89.608029906221645</c:v>
                </c:pt>
                <c:pt idx="42">
                  <c:v>89.589557542577424</c:v>
                </c:pt>
                <c:pt idx="43">
                  <c:v>89.570214694774165</c:v>
                </c:pt>
                <c:pt idx="44">
                  <c:v>89.549960351715143</c:v>
                </c:pt>
                <c:pt idx="45">
                  <c:v>89.528751571518526</c:v>
                </c:pt>
                <c:pt idx="46">
                  <c:v>89.506543390819786</c:v>
                </c:pt>
                <c:pt idx="47">
                  <c:v>89.483288729843679</c:v>
                </c:pt>
                <c:pt idx="48">
                  <c:v>89.458938293052967</c:v>
                </c:pt>
                <c:pt idx="49">
                  <c:v>89.433440465172993</c:v>
                </c:pt>
                <c:pt idx="50">
                  <c:v>89.406741202382605</c:v>
                </c:pt>
                <c:pt idx="51">
                  <c:v>89.378783918453664</c:v>
                </c:pt>
                <c:pt idx="52">
                  <c:v>89.349509365612263</c:v>
                </c:pt>
                <c:pt idx="53">
                  <c:v>89.318855509886049</c:v>
                </c:pt>
                <c:pt idx="54">
                  <c:v>89.286757400692522</c:v>
                </c:pt>
                <c:pt idx="55">
                  <c:v>89.25314703441417</c:v>
                </c:pt>
                <c:pt idx="56">
                  <c:v>89.217953211696639</c:v>
                </c:pt>
                <c:pt idx="57">
                  <c:v>89.181101388196751</c:v>
                </c:pt>
                <c:pt idx="58">
                  <c:v>89.142513518497452</c:v>
                </c:pt>
                <c:pt idx="59">
                  <c:v>89.102107892897479</c:v>
                </c:pt>
                <c:pt idx="60">
                  <c:v>89.059798966774082</c:v>
                </c:pt>
                <c:pt idx="61">
                  <c:v>89.015497182207724</c:v>
                </c:pt>
                <c:pt idx="62">
                  <c:v>88.969108781549309</c:v>
                </c:pt>
                <c:pt idx="63">
                  <c:v>88.920535612601483</c:v>
                </c:pt>
                <c:pt idx="64">
                  <c:v>88.869674925078058</c:v>
                </c:pt>
                <c:pt idx="65">
                  <c:v>88.816419157998425</c:v>
                </c:pt>
                <c:pt idx="66">
                  <c:v>88.760655717667362</c:v>
                </c:pt>
                <c:pt idx="67">
                  <c:v>88.702266745886192</c:v>
                </c:pt>
                <c:pt idx="68">
                  <c:v>88.641128878037065</c:v>
                </c:pt>
                <c:pt idx="69">
                  <c:v>88.577112990680746</c:v>
                </c:pt>
                <c:pt idx="70">
                  <c:v>88.510083938308398</c:v>
                </c:pt>
                <c:pt idx="71">
                  <c:v>88.439900278890875</c:v>
                </c:pt>
                <c:pt idx="72">
                  <c:v>88.366413987874566</c:v>
                </c:pt>
                <c:pt idx="73">
                  <c:v>88.289470160282505</c:v>
                </c:pt>
                <c:pt idx="74">
                  <c:v>88.208906700593303</c:v>
                </c:pt>
                <c:pt idx="75">
                  <c:v>88.124554000088139</c:v>
                </c:pt>
                <c:pt idx="76">
                  <c:v>88.036234601381821</c:v>
                </c:pt>
                <c:pt idx="77">
                  <c:v>87.943762849883484</c:v>
                </c:pt>
                <c:pt idx="78">
                  <c:v>87.846944531973108</c:v>
                </c:pt>
                <c:pt idx="79">
                  <c:v>87.745576499726639</c:v>
                </c:pt>
                <c:pt idx="80">
                  <c:v>87.639446282082389</c:v>
                </c:pt>
                <c:pt idx="81">
                  <c:v>87.528331682412073</c:v>
                </c:pt>
                <c:pt idx="82">
                  <c:v>87.412000362544347</c:v>
                </c:pt>
                <c:pt idx="83">
                  <c:v>87.290209413391395</c:v>
                </c:pt>
                <c:pt idx="84">
                  <c:v>87.162704912447836</c:v>
                </c:pt>
                <c:pt idx="85">
                  <c:v>87.029221468573766</c:v>
                </c:pt>
                <c:pt idx="86">
                  <c:v>86.889481754639434</c:v>
                </c:pt>
                <c:pt idx="87">
                  <c:v>86.743196028803411</c:v>
                </c:pt>
                <c:pt idx="88">
                  <c:v>86.590061645422281</c:v>
                </c:pt>
                <c:pt idx="89">
                  <c:v>86.429762556852339</c:v>
                </c:pt>
                <c:pt idx="90">
                  <c:v>86.261968807708215</c:v>
                </c:pt>
                <c:pt idx="91">
                  <c:v>86.086336023494013</c:v>
                </c:pt>
                <c:pt idx="92">
                  <c:v>85.902504895926128</c:v>
                </c:pt>
                <c:pt idx="93">
                  <c:v>85.710100667731282</c:v>
                </c:pt>
                <c:pt idx="94">
                  <c:v>85.508732620233459</c:v>
                </c:pt>
                <c:pt idx="95">
                  <c:v>85.297993567649783</c:v>
                </c:pt>
                <c:pt idx="96">
                  <c:v>85.077459362705639</c:v>
                </c:pt>
                <c:pt idx="97">
                  <c:v>84.846688418962572</c:v>
                </c:pt>
                <c:pt idx="98">
                  <c:v>84.605221256139856</c:v>
                </c:pt>
                <c:pt idx="99">
                  <c:v>84.352580075712353</c:v>
                </c:pt>
                <c:pt idx="100">
                  <c:v>84.088268375192428</c:v>
                </c:pt>
                <c:pt idx="101">
                  <c:v>83.811770610767809</c:v>
                </c:pt>
                <c:pt idx="102">
                  <c:v>83.522551919374393</c:v>
                </c:pt>
                <c:pt idx="103">
                  <c:v>83.220057912853179</c:v>
                </c:pt>
                <c:pt idx="104">
                  <c:v>82.903714558570158</c:v>
                </c:pt>
                <c:pt idx="105">
                  <c:v>82.572928162787008</c:v>
                </c:pt>
                <c:pt idx="106">
                  <c:v>82.227085475158489</c:v>
                </c:pt>
                <c:pt idx="107">
                  <c:v>81.865553934992775</c:v>
                </c:pt>
                <c:pt idx="108">
                  <c:v>81.48768208235532</c:v>
                </c:pt>
                <c:pt idx="109">
                  <c:v>81.092800159697333</c:v>
                </c:pt>
                <c:pt idx="110">
                  <c:v>80.680220932436001</c:v>
                </c:pt>
                <c:pt idx="111">
                  <c:v>80.249240759768313</c:v>
                </c:pt>
                <c:pt idx="112">
                  <c:v>79.799140949918495</c:v>
                </c:pt>
                <c:pt idx="113">
                  <c:v>79.329189436933291</c:v>
                </c:pt>
                <c:pt idx="114">
                  <c:v>78.838642818969561</c:v>
                </c:pt>
                <c:pt idx="115">
                  <c:v>78.326748800642932</c:v>
                </c:pt>
                <c:pt idx="116">
                  <c:v>77.792749084289397</c:v>
                </c:pt>
                <c:pt idx="117">
                  <c:v>77.23588275676201</c:v>
                </c:pt>
                <c:pt idx="118">
                  <c:v>76.655390219411501</c:v>
                </c:pt>
                <c:pt idx="119">
                  <c:v>76.050517708948789</c:v>
                </c:pt>
                <c:pt idx="120">
                  <c:v>75.420522455640409</c:v>
                </c:pt>
                <c:pt idx="121">
                  <c:v>74.764678522418492</c:v>
                </c:pt>
                <c:pt idx="122">
                  <c:v>74.082283363600013</c:v>
                </c:pt>
                <c:pt idx="123">
                  <c:v>73.372665134602244</c:v>
                </c:pt>
                <c:pt idx="124">
                  <c:v>72.635190773868501</c:v>
                </c:pt>
                <c:pt idx="125">
                  <c:v>71.869274864752626</c:v>
                </c:pt>
                <c:pt idx="126">
                  <c:v>71.074389267935828</c:v>
                </c:pt>
                <c:pt idx="127">
                  <c:v>70.250073493728706</c:v>
                </c:pt>
                <c:pt idx="128">
                  <c:v>69.39594575810321</c:v>
                </c:pt>
                <c:pt idx="129">
                  <c:v>68.511714636435585</c:v>
                </c:pt>
                <c:pt idx="130">
                  <c:v>67.597191194884886</c:v>
                </c:pt>
                <c:pt idx="131">
                  <c:v>66.652301441545475</c:v>
                </c:pt>
                <c:pt idx="132">
                  <c:v>65.677098898810243</c:v>
                </c:pt>
                <c:pt idx="133">
                  <c:v>64.671777056051127</c:v>
                </c:pt>
                <c:pt idx="134">
                  <c:v>63.636681419459023</c:v>
                </c:pt>
                <c:pt idx="135">
                  <c:v>62.57232083595801</c:v>
                </c:pt>
                <c:pt idx="136">
                  <c:v>61.479377733149938</c:v>
                </c:pt>
                <c:pt idx="137">
                  <c:v>60.358716890368179</c:v>
                </c:pt>
                <c:pt idx="138">
                  <c:v>59.211392340380371</c:v>
                </c:pt>
                <c:pt idx="139">
                  <c:v>58.038652000401363</c:v>
                </c:pt>
                <c:pt idx="140">
                  <c:v>56.841939647890868</c:v>
                </c:pt>
                <c:pt idx="141">
                  <c:v>55.622893893523646</c:v>
                </c:pt>
                <c:pt idx="142">
                  <c:v>54.383343862187999</c:v>
                </c:pt>
                <c:pt idx="143">
                  <c:v>53.125301373011361</c:v>
                </c:pt>
                <c:pt idx="144">
                  <c:v>51.850949509735145</c:v>
                </c:pt>
                <c:pt idx="145">
                  <c:v>50.562627590027887</c:v>
                </c:pt>
                <c:pt idx="146">
                  <c:v>49.262812671476574</c:v>
                </c:pt>
                <c:pt idx="147">
                  <c:v>47.954097866448478</c:v>
                </c:pt>
                <c:pt idx="148">
                  <c:v>46.639167869963984</c:v>
                </c:pt>
                <c:pt idx="149">
                  <c:v>45.320772225832691</c:v>
                </c:pt>
                <c:pt idx="150">
                  <c:v>44.001696958367759</c:v>
                </c:pt>
                <c:pt idx="151">
                  <c:v>42.684735272772073</c:v>
                </c:pt>
                <c:pt idx="152">
                  <c:v>41.372658071193023</c:v>
                </c:pt>
                <c:pt idx="153">
                  <c:v>40.068185040206245</c:v>
                </c:pt>
                <c:pt idx="154">
                  <c:v>38.773957038409158</c:v>
                </c:pt>
                <c:pt idx="155">
                  <c:v>37.492510451967384</c:v>
                </c:pt>
                <c:pt idx="156">
                  <c:v>36.226254095860064</c:v>
                </c:pt>
                <c:pt idx="157">
                  <c:v>34.97744912572972</c:v>
                </c:pt>
                <c:pt idx="158">
                  <c:v>33.748192297521626</c:v>
                </c:pt>
                <c:pt idx="159">
                  <c:v>32.540402777833187</c:v>
                </c:pt>
                <c:pt idx="160">
                  <c:v>31.355812575257957</c:v>
                </c:pt>
                <c:pt idx="161">
                  <c:v>30.195960539227492</c:v>
                </c:pt>
                <c:pt idx="162">
                  <c:v>29.0621897637775</c:v>
                </c:pt>
                <c:pt idx="163">
                  <c:v>27.955648143405629</c:v>
                </c:pt>
                <c:pt idx="164">
                  <c:v>26.877291759112246</c:v>
                </c:pt>
                <c:pt idx="165">
                  <c:v>25.82789072542079</c:v>
                </c:pt>
                <c:pt idx="166">
                  <c:v>24.808037102832589</c:v>
                </c:pt>
                <c:pt idx="167">
                  <c:v>23.818154472809137</c:v>
                </c:pt>
                <c:pt idx="168">
                  <c:v>22.858508781169569</c:v>
                </c:pt>
                <c:pt idx="169">
                  <c:v>21.929220077589335</c:v>
                </c:pt>
                <c:pt idx="170">
                  <c:v>21.030274810303883</c:v>
                </c:pt>
                <c:pt idx="171">
                  <c:v>20.161538373001509</c:v>
                </c:pt>
                <c:pt idx="172">
                  <c:v>19.322767642319974</c:v>
                </c:pt>
                <c:pt idx="173">
                  <c:v>18.513623286909837</c:v>
                </c:pt>
                <c:pt idx="174">
                  <c:v>17.73368167070451</c:v>
                </c:pt>
                <c:pt idx="175">
                  <c:v>16.982446212372047</c:v>
                </c:pt>
                <c:pt idx="176">
                  <c:v>16.259358098870607</c:v>
                </c:pt>
                <c:pt idx="177">
                  <c:v>15.563806282969731</c:v>
                </c:pt>
                <c:pt idx="178">
                  <c:v>14.895136722232367</c:v>
                </c:pt>
                <c:pt idx="179">
                  <c:v>14.252660840231044</c:v>
                </c:pt>
                <c:pt idx="180">
                  <c:v>13.635663209885797</c:v>
                </c:pt>
                <c:pt idx="181">
                  <c:v>13.043408474023757</c:v>
                </c:pt>
                <c:pt idx="182">
                  <c:v>12.475147529986698</c:v>
                </c:pt>
                <c:pt idx="183">
                  <c:v>11.930123013757326</c:v>
                </c:pt>
                <c:pt idx="184">
                  <c:v>11.407574125085032</c:v>
                </c:pt>
                <c:pt idx="185">
                  <c:v>10.906740838893285</c:v>
                </c:pt>
                <c:pt idx="186">
                  <c:v>10.426867550241592</c:v>
                </c:pt>
                <c:pt idx="187">
                  <c:v>9.9672062006549211</c:v>
                </c:pt>
                <c:pt idx="188">
                  <c:v>9.5270189330497868</c:v>
                </c:pt>
                <c:pt idx="189">
                  <c:v>9.1055803210443216</c:v>
                </c:pt>
                <c:pt idx="190">
                  <c:v>8.7021792163874956</c:v>
                </c:pt>
                <c:pt idx="191">
                  <c:v>8.3161202557583618</c:v>
                </c:pt>
                <c:pt idx="192">
                  <c:v>7.9467250654447632</c:v>
                </c:pt>
                <c:pt idx="193">
                  <c:v>7.5933331995230429</c:v>
                </c:pt>
                <c:pt idx="194">
                  <c:v>7.2553028442360921</c:v>
                </c:pt>
                <c:pt idx="195">
                  <c:v>6.932011318372969</c:v>
                </c:pt>
                <c:pt idx="196">
                  <c:v>6.6228553966515191</c:v>
                </c:pt>
                <c:pt idx="197">
                  <c:v>6.3272514804289441</c:v>
                </c:pt>
                <c:pt idx="198">
                  <c:v>6.0446356375442178</c:v>
                </c:pt>
                <c:pt idx="199">
                  <c:v>5.774463530746238</c:v>
                </c:pt>
                <c:pt idx="200">
                  <c:v>5.5162102519863598</c:v>
                </c:pt>
                <c:pt idx="201">
                  <c:v>5.2693700778625878</c:v>
                </c:pt>
                <c:pt idx="202">
                  <c:v>5.0334561596826086</c:v>
                </c:pt>
                <c:pt idx="203">
                  <c:v>4.8080001599696418</c:v>
                </c:pt>
                <c:pt idx="204">
                  <c:v>4.5925518457468204</c:v>
                </c:pt>
                <c:pt idx="205">
                  <c:v>4.3866786476055157</c:v>
                </c:pt>
                <c:pt idx="206">
                  <c:v>4.1899651923714574</c:v>
                </c:pt>
                <c:pt idx="207">
                  <c:v>4.0020128161208861</c:v>
                </c:pt>
                <c:pt idx="208">
                  <c:v>3.8224390633589502</c:v>
                </c:pt>
                <c:pt idx="209">
                  <c:v>3.6508771773388786</c:v>
                </c:pt>
                <c:pt idx="210">
                  <c:v>3.4869755857666891</c:v>
                </c:pt>
                <c:pt idx="211">
                  <c:v>3.3303973854898667</c:v>
                </c:pt>
                <c:pt idx="212">
                  <c:v>3.1808198292030538</c:v>
                </c:pt>
                <c:pt idx="213">
                  <c:v>3.0379338167067749</c:v>
                </c:pt>
                <c:pt idx="214">
                  <c:v>2.9014433928251449</c:v>
                </c:pt>
                <c:pt idx="215">
                  <c:v>2.7710652537113378</c:v>
                </c:pt>
                <c:pt idx="216">
                  <c:v>2.6465282629433462</c:v>
                </c:pt>
                <c:pt idx="217">
                  <c:v>2.5275729785318317</c:v>
                </c:pt>
                <c:pt idx="218">
                  <c:v>2.4139511917167682</c:v>
                </c:pt>
                <c:pt idx="219">
                  <c:v>2.3054254782217956</c:v>
                </c:pt>
                <c:pt idx="220">
                  <c:v>2.2017687624548099</c:v>
                </c:pt>
                <c:pt idx="221">
                  <c:v>2.102763894991126</c:v>
                </c:pt>
                <c:pt idx="222">
                  <c:v>2.0082032435445099</c:v>
                </c:pt>
                <c:pt idx="223">
                  <c:v>1.9178882975219069</c:v>
                </c:pt>
                <c:pt idx="224">
                  <c:v>1.8316292861644654</c:v>
                </c:pt>
                <c:pt idx="225">
                  <c:v>1.7492448102001574</c:v>
                </c:pt>
                <c:pt idx="226">
                  <c:v>1.6705614868685341</c:v>
                </c:pt>
                <c:pt idx="227">
                  <c:v>1.5954136081252246</c:v>
                </c:pt>
                <c:pt idx="228">
                  <c:v>1.5236428117904752</c:v>
                </c:pt>
                <c:pt idx="229">
                  <c:v>1.4550977653711299</c:v>
                </c:pt>
                <c:pt idx="230">
                  <c:v>1.3896338622580895</c:v>
                </c:pt>
                <c:pt idx="231">
                  <c:v>1.3271129299797746</c:v>
                </c:pt>
                <c:pt idx="232">
                  <c:v>1.2674029501763227</c:v>
                </c:pt>
                <c:pt idx="233">
                  <c:v>1.2103777899479875</c:v>
                </c:pt>
                <c:pt idx="234">
                  <c:v>1.1559169442233745</c:v>
                </c:pt>
                <c:pt idx="235">
                  <c:v>1.1039052887891989</c:v>
                </c:pt>
                <c:pt idx="236">
                  <c:v>1.0542328436216515</c:v>
                </c:pt>
                <c:pt idx="237">
                  <c:v>1.0067945461603562</c:v>
                </c:pt>
                <c:pt idx="238">
                  <c:v>0.96149003416847012</c:v>
                </c:pt>
                <c:pt idx="239">
                  <c:v>0.91822343782715976</c:v>
                </c:pt>
                <c:pt idx="240">
                  <c:v>0.87690318071795481</c:v>
                </c:pt>
                <c:pt idx="241">
                  <c:v>0.83744178935344615</c:v>
                </c:pt>
                <c:pt idx="242">
                  <c:v>0.79975571092416309</c:v>
                </c:pt>
                <c:pt idx="243">
                  <c:v>0.76376513893778397</c:v>
                </c:pt>
                <c:pt idx="244">
                  <c:v>0.72939384643534655</c:v>
                </c:pt>
                <c:pt idx="245">
                  <c:v>0.69656902647835894</c:v>
                </c:pt>
                <c:pt idx="246">
                  <c:v>0.66522113960982865</c:v>
                </c:pt>
                <c:pt idx="247">
                  <c:v>0.6352837680018858</c:v>
                </c:pt>
                <c:pt idx="248">
                  <c:v>0.60669347601198154</c:v>
                </c:pt>
                <c:pt idx="249">
                  <c:v>0.57938967687943477</c:v>
                </c:pt>
                <c:pt idx="250">
                  <c:v>0.55331450530328008</c:v>
                </c:pt>
                <c:pt idx="251">
                  <c:v>0.52841269565219828</c:v>
                </c:pt>
                <c:pt idx="252">
                  <c:v>0.5046314655660401</c:v>
                </c:pt>
                <c:pt idx="253">
                  <c:v>0.48192040471810837</c:v>
                </c:pt>
                <c:pt idx="254">
                  <c:v>0.46023136851581764</c:v>
                </c:pt>
                <c:pt idx="255">
                  <c:v>0.43951837652632014</c:v>
                </c:pt>
                <c:pt idx="256">
                  <c:v>0.41973751542210552</c:v>
                </c:pt>
                <c:pt idx="257">
                  <c:v>0.40084684624974348</c:v>
                </c:pt>
                <c:pt idx="258">
                  <c:v>0.38280631583304986</c:v>
                </c:pt>
                <c:pt idx="259">
                  <c:v>0.36557767212962217</c:v>
                </c:pt>
                <c:pt idx="260">
                  <c:v>0.34912438336723006</c:v>
                </c:pt>
                <c:pt idx="261">
                  <c:v>0.33341156079375323</c:v>
                </c:pt>
                <c:pt idx="262">
                  <c:v>0.31840588488142296</c:v>
                </c:pt>
                <c:pt idx="263">
                  <c:v>0.30407553483272376</c:v>
                </c:pt>
                <c:pt idx="264">
                  <c:v>0.29039012124196772</c:v>
                </c:pt>
                <c:pt idx="265">
                  <c:v>0.27732062177269984</c:v>
                </c:pt>
                <c:pt idx="266">
                  <c:v>0.26483931971707481</c:v>
                </c:pt>
                <c:pt idx="267">
                  <c:v>0.25291974530925437</c:v>
                </c:pt>
                <c:pt idx="268">
                  <c:v>0.24153661967025045</c:v>
                </c:pt>
                <c:pt idx="269">
                  <c:v>0.23066580126711142</c:v>
                </c:pt>
                <c:pt idx="270">
                  <c:v>0.22028423477435288</c:v>
                </c:pt>
                <c:pt idx="271">
                  <c:v>0.21036990223050739</c:v>
                </c:pt>
                <c:pt idx="272">
                  <c:v>0.20090177638731829</c:v>
                </c:pt>
                <c:pt idx="273">
                  <c:v>0.19185977615362559</c:v>
                </c:pt>
                <c:pt idx="274">
                  <c:v>0.1832247240403099</c:v>
                </c:pt>
                <c:pt idx="275">
                  <c:v>0.17497830551678492</c:v>
                </c:pt>
                <c:pt idx="276">
                  <c:v>0.1671030301934871</c:v>
                </c:pt>
                <c:pt idx="277">
                  <c:v>0.15958219474859628</c:v>
                </c:pt>
                <c:pt idx="278">
                  <c:v>0.15239984752085833</c:v>
                </c:pt>
                <c:pt idx="279">
                  <c:v>0.14554075469383271</c:v>
                </c:pt>
                <c:pt idx="280">
                  <c:v>0.13899036800023021</c:v>
                </c:pt>
                <c:pt idx="281">
                  <c:v>0.13273479387815273</c:v>
                </c:pt>
                <c:pt idx="282">
                  <c:v>0.12676076401410732</c:v>
                </c:pt>
                <c:pt idx="283">
                  <c:v>0.12105560721056867</c:v>
                </c:pt>
                <c:pt idx="284">
                  <c:v>0.1156072225186253</c:v>
                </c:pt>
                <c:pt idx="285">
                  <c:v>0.11040405357890963</c:v>
                </c:pt>
                <c:pt idx="286">
                  <c:v>0.10543506411657036</c:v>
                </c:pt>
                <c:pt idx="287">
                  <c:v>0.10068971453842537</c:v>
                </c:pt>
                <c:pt idx="288">
                  <c:v>9.6157939582804303E-2</c:v>
                </c:pt>
                <c:pt idx="289">
                  <c:v>9.1830126974763934E-2</c:v>
                </c:pt>
                <c:pt idx="290">
                  <c:v>8.7697097041515265E-2</c:v>
                </c:pt>
                <c:pt idx="291">
                  <c:v>8.3750083244889501E-2</c:v>
                </c:pt>
                <c:pt idx="292">
                  <c:v>7.998071358963102E-2</c:v>
                </c:pt>
                <c:pt idx="293">
                  <c:v>7.6380992868143899E-2</c:v>
                </c:pt>
                <c:pt idx="294">
                  <c:v>7.2943285704089325E-2</c:v>
                </c:pt>
                <c:pt idx="295">
                  <c:v>6.9660300358900931E-2</c:v>
                </c:pt>
                <c:pt idx="296">
                  <c:v>6.6525073266931856E-2</c:v>
                </c:pt>
                <c:pt idx="297">
                  <c:v>6.3530954266446754E-2</c:v>
                </c:pt>
                <c:pt idx="298">
                  <c:v>6.0671592495179678E-2</c:v>
                </c:pt>
                <c:pt idx="299">
                  <c:v>5.7940922920553632E-2</c:v>
                </c:pt>
                <c:pt idx="300">
                  <c:v>5.5333153476026672E-2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3C-43F2-869F-79AF8C945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103920"/>
        <c:axId val="420102936"/>
      </c:scatterChart>
      <c:valAx>
        <c:axId val="420103920"/>
        <c:scaling>
          <c:logBase val="10"/>
          <c:orientation val="minMax"/>
          <c:max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&lt;1]0.00\ &quot;m&quot;;[&gt;=1000]0,\ &quot;k&quot;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02936"/>
        <c:crossesAt val="-300"/>
        <c:crossBetween val="midCat"/>
      </c:valAx>
      <c:valAx>
        <c:axId val="420102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03920"/>
        <c:crossesAt val="1.000000000000000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Nyquist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'Input Stage'!$M$3:$M$303</c:f>
              <c:numCache>
                <c:formatCode>General</c:formatCode>
                <c:ptCount val="301"/>
                <c:pt idx="0">
                  <c:v>1.0721947732505899E-6</c:v>
                </c:pt>
                <c:pt idx="1">
                  <c:v>1.1756380692759201E-6</c:v>
                </c:pt>
                <c:pt idx="2">
                  <c:v>1.28906136330715E-6</c:v>
                </c:pt>
                <c:pt idx="3">
                  <c:v>1.41342750257414E-6</c:v>
                </c:pt>
                <c:pt idx="4">
                  <c:v>1.54979222706434E-6</c:v>
                </c:pt>
                <c:pt idx="5">
                  <c:v>1.6993131314449799E-6</c:v>
                </c:pt>
                <c:pt idx="6">
                  <c:v>1.8632594915740299E-6</c:v>
                </c:pt>
                <c:pt idx="7">
                  <c:v>2.0430230390059301E-6</c:v>
                </c:pt>
                <c:pt idx="8">
                  <c:v>2.2401297749425302E-6</c:v>
                </c:pt>
                <c:pt idx="9">
                  <c:v>2.4562529239012101E-6</c:v>
                </c:pt>
                <c:pt idx="10">
                  <c:v>2.6932271370435002E-6</c:v>
                </c:pt>
                <c:pt idx="11">
                  <c:v>2.9530640657120198E-6</c:v>
                </c:pt>
                <c:pt idx="12">
                  <c:v>3.2379694373492899E-6</c:v>
                </c:pt>
                <c:pt idx="13">
                  <c:v>3.5503617787217E-6</c:v>
                </c:pt>
                <c:pt idx="14">
                  <c:v>3.8928929453461703E-6</c:v>
                </c:pt>
                <c:pt idx="15">
                  <c:v>4.2684706313424899E-6</c:v>
                </c:pt>
                <c:pt idx="16">
                  <c:v>4.6802830507368899E-6</c:v>
                </c:pt>
                <c:pt idx="17">
                  <c:v>5.1318259996597698E-6</c:v>
                </c:pt>
                <c:pt idx="18">
                  <c:v>5.6269325290809501E-6</c:v>
                </c:pt>
                <c:pt idx="19">
                  <c:v>6.16980547986489E-6</c:v>
                </c:pt>
                <c:pt idx="20">
                  <c:v>6.7650531562071899E-6</c:v>
                </c:pt>
                <c:pt idx="21">
                  <c:v>7.4177284401269202E-6</c:v>
                </c:pt>
                <c:pt idx="22">
                  <c:v>8.1333716788704796E-6</c:v>
                </c:pt>
                <c:pt idx="23">
                  <c:v>8.9180577090723603E-6</c:v>
                </c:pt>
                <c:pt idx="24">
                  <c:v>9.7784474165866901E-6</c:v>
                </c:pt>
                <c:pt idx="25">
                  <c:v>1.07218442693573E-5</c:v>
                </c:pt>
                <c:pt idx="26">
                  <c:v>1.17562563028371E-5</c:v>
                </c:pt>
                <c:pt idx="27">
                  <c:v>1.2890464083678699E-5</c:v>
                </c:pt>
                <c:pt idx="28">
                  <c:v>1.4134095228071001E-5</c:v>
                </c:pt>
                <c:pt idx="29">
                  <c:v>1.5497706106623198E-5</c:v>
                </c:pt>
                <c:pt idx="30">
                  <c:v>1.6992871428563701E-5</c:v>
                </c:pt>
                <c:pt idx="31">
                  <c:v>1.8632282464745801E-5</c:v>
                </c:pt>
                <c:pt idx="32">
                  <c:v>2.0429854742084101E-5</c:v>
                </c:pt>
                <c:pt idx="33">
                  <c:v>2.2400846122204001E-5</c:v>
                </c:pt>
                <c:pt idx="34">
                  <c:v>2.4561986264956901E-5</c:v>
                </c:pt>
                <c:pt idx="35">
                  <c:v>2.69316185737412E-5</c:v>
                </c:pt>
                <c:pt idx="36">
                  <c:v>2.9529855825114899E-5</c:v>
                </c:pt>
                <c:pt idx="37">
                  <c:v>3.2378750800843101E-5</c:v>
                </c:pt>
                <c:pt idx="38">
                  <c:v>3.5502483367277302E-5</c:v>
                </c:pt>
                <c:pt idx="39">
                  <c:v>3.8927565585852297E-5</c:v>
                </c:pt>
                <c:pt idx="40">
                  <c:v>4.2683066590679102E-5</c:v>
                </c:pt>
                <c:pt idx="41">
                  <c:v>4.6800859135959002E-5</c:v>
                </c:pt>
                <c:pt idx="42">
                  <c:v>5.1315889898636001E-5</c:v>
                </c:pt>
                <c:pt idx="43">
                  <c:v>5.62664758218414E-5</c:v>
                </c:pt>
                <c:pt idx="44">
                  <c:v>6.1694629003907996E-5</c:v>
                </c:pt>
                <c:pt idx="45">
                  <c:v>6.7646412877861494E-5</c:v>
                </c:pt>
                <c:pt idx="46">
                  <c:v>7.4172332689274005E-5</c:v>
                </c:pt>
                <c:pt idx="47">
                  <c:v>8.1327763568345097E-5</c:v>
                </c:pt>
                <c:pt idx="48">
                  <c:v>8.9173419807387497E-5</c:v>
                </c:pt>
                <c:pt idx="49">
                  <c:v>9.7775869300097704E-5</c:v>
                </c:pt>
                <c:pt idx="50">
                  <c:v>1.07208097476844E-4</c:v>
                </c:pt>
                <c:pt idx="51">
                  <c:v>1.17550125483738E-4</c:v>
                </c:pt>
                <c:pt idx="52">
                  <c:v>1.2888968780576401E-4</c:v>
                </c:pt>
                <c:pt idx="53">
                  <c:v>1.41322975029229E-4</c:v>
                </c:pt>
                <c:pt idx="54">
                  <c:v>1.5495544798030099E-4</c:v>
                </c:pt>
                <c:pt idx="55">
                  <c:v>1.6990273006841001E-4</c:v>
                </c:pt>
                <c:pt idx="56">
                  <c:v>1.86291585310514E-4</c:v>
                </c:pt>
                <c:pt idx="57">
                  <c:v>2.0426099021960301E-4</c:v>
                </c:pt>
                <c:pt idx="58">
                  <c:v>2.23963308513539E-4</c:v>
                </c:pt>
                <c:pt idx="59">
                  <c:v>2.4556557844428498E-4</c:v>
                </c:pt>
                <c:pt idx="60">
                  <c:v>2.6925092346886698E-4</c:v>
                </c:pt>
                <c:pt idx="61">
                  <c:v>2.9522009798878002E-4</c:v>
                </c:pt>
                <c:pt idx="62">
                  <c:v>3.2369318098084598E-4</c:v>
                </c:pt>
                <c:pt idx="63">
                  <c:v>3.5491143153801498E-4</c:v>
                </c:pt>
                <c:pt idx="64">
                  <c:v>3.8913932164034E-4</c:v>
                </c:pt>
                <c:pt idx="65">
                  <c:v>4.2666676289411802E-4</c:v>
                </c:pt>
                <c:pt idx="66">
                  <c:v>4.67811545519393E-4</c:v>
                </c:pt>
                <c:pt idx="67">
                  <c:v>5.1292200954204496E-4</c:v>
                </c:pt>
                <c:pt idx="68">
                  <c:v>5.6237996996757003E-4</c:v>
                </c:pt>
                <c:pt idx="69">
                  <c:v>6.1660391968847096E-4</c:v>
                </c:pt>
                <c:pt idx="70">
                  <c:v>6.7605253601780697E-4</c:v>
                </c:pt>
                <c:pt idx="71">
                  <c:v>7.4122851905791397E-4</c:v>
                </c:pt>
                <c:pt idx="72">
                  <c:v>8.1268279261731999E-4</c:v>
                </c:pt>
                <c:pt idx="73">
                  <c:v>8.9101910109065804E-4</c:v>
                </c:pt>
                <c:pt idx="74">
                  <c:v>9.7689903862649701E-4</c:v>
                </c:pt>
                <c:pt idx="75">
                  <c:v>1.0710475500371199E-3</c:v>
                </c:pt>
                <c:pt idx="76">
                  <c:v>1.17425894625903E-3</c:v>
                </c:pt>
                <c:pt idx="77">
                  <c:v>1.2874034807632E-3</c:v>
                </c:pt>
                <c:pt idx="78">
                  <c:v>1.41143453714165E-3</c:v>
                </c:pt>
                <c:pt idx="79">
                  <c:v>1.5473964821671299E-3</c:v>
                </c:pt>
                <c:pt idx="80">
                  <c:v>1.6964332429299301E-3</c:v>
                </c:pt>
                <c:pt idx="81">
                  <c:v>1.8597976711964199E-3</c:v>
                </c:pt>
                <c:pt idx="82">
                  <c:v>2.0388617628925498E-3</c:v>
                </c:pt>
                <c:pt idx="83">
                  <c:v>2.2351278055708101E-3</c:v>
                </c:pt>
                <c:pt idx="84">
                  <c:v>2.4502405318410901E-3</c:v>
                </c:pt>
                <c:pt idx="85">
                  <c:v>2.6860003619875602E-3</c:v>
                </c:pt>
                <c:pt idx="86">
                  <c:v>2.9443778242995099E-3</c:v>
                </c:pt>
                <c:pt idx="87">
                  <c:v>3.2275292469306199E-3</c:v>
                </c:pt>
                <c:pt idx="88">
                  <c:v>3.5378138202729601E-3</c:v>
                </c:pt>
                <c:pt idx="89">
                  <c:v>3.8778121337547699E-3</c:v>
                </c:pt>
                <c:pt idx="90">
                  <c:v>4.25034629548554E-3</c:v>
                </c:pt>
                <c:pt idx="91">
                  <c:v>4.6585017470749997E-3</c:v>
                </c:pt>
                <c:pt idx="92">
                  <c:v>5.1056508889944403E-3</c:v>
                </c:pt>
                <c:pt idx="93">
                  <c:v>5.5954786337218199E-3</c:v>
                </c:pt>
                <c:pt idx="94">
                  <c:v>6.13201000424705E-3</c:v>
                </c:pt>
                <c:pt idx="95">
                  <c:v>6.7196398938557398E-3</c:v>
                </c:pt>
                <c:pt idx="96">
                  <c:v>7.3631650989224298E-3</c:v>
                </c:pt>
                <c:pt idx="97">
                  <c:v>8.0678187290775492E-3</c:v>
                </c:pt>
                <c:pt idx="98">
                  <c:v>8.8393070878058002E-3</c:v>
                </c:pt>
                <c:pt idx="99">
                  <c:v>9.6838491003777005E-3</c:v>
                </c:pt>
                <c:pt idx="100">
                  <c:v>1.0608218343963201E-2</c:v>
                </c:pt>
                <c:pt idx="101">
                  <c:v>1.16197877055881E-2</c:v>
                </c:pt>
                <c:pt idx="102">
                  <c:v>1.27265766558673E-2</c:v>
                </c:pt>
                <c:pt idx="103">
                  <c:v>1.39373010785454E-2</c:v>
                </c:pt>
                <c:pt idx="104">
                  <c:v>1.52614255359861E-2</c:v>
                </c:pt>
                <c:pt idx="105">
                  <c:v>1.6709217776800001E-2</c:v>
                </c:pt>
                <c:pt idx="106">
                  <c:v>1.82918052015223E-2</c:v>
                </c:pt>
                <c:pt idx="107">
                  <c:v>2.00212328931983E-2</c:v>
                </c:pt>
                <c:pt idx="108">
                  <c:v>2.1910522689232499E-2</c:v>
                </c:pt>
                <c:pt idx="109">
                  <c:v>2.3973732616209002E-2</c:v>
                </c:pt>
                <c:pt idx="110">
                  <c:v>2.6226015827812501E-2</c:v>
                </c:pt>
                <c:pt idx="111">
                  <c:v>2.8683677974858799E-2</c:v>
                </c:pt>
                <c:pt idx="112">
                  <c:v>3.1364231693423998E-2</c:v>
                </c:pt>
                <c:pt idx="113">
                  <c:v>3.4286446620413601E-2</c:v>
                </c:pt>
                <c:pt idx="114">
                  <c:v>3.7470393034651002E-2</c:v>
                </c:pt>
                <c:pt idx="115">
                  <c:v>4.0937476876170699E-2</c:v>
                </c:pt>
                <c:pt idx="116">
                  <c:v>4.4710463519007503E-2</c:v>
                </c:pt>
                <c:pt idx="117">
                  <c:v>4.88134872679628E-2</c:v>
                </c:pt>
                <c:pt idx="118">
                  <c:v>5.32720431254688E-2</c:v>
                </c:pt>
                <c:pt idx="119">
                  <c:v>5.8112956942348498E-2</c:v>
                </c:pt>
                <c:pt idx="120">
                  <c:v>6.3364329642725398E-2</c:v>
                </c:pt>
                <c:pt idx="121">
                  <c:v>6.9055450820854403E-2</c:v>
                </c:pt>
                <c:pt idx="122">
                  <c:v>7.5216676675390004E-2</c:v>
                </c:pt>
                <c:pt idx="123">
                  <c:v>8.1879267010949996E-2</c:v>
                </c:pt>
                <c:pt idx="124">
                  <c:v>8.90751759420641E-2</c:v>
                </c:pt>
                <c:pt idx="125">
                  <c:v>9.68367910326077E-2</c:v>
                </c:pt>
                <c:pt idx="126">
                  <c:v>0.10519661595336199</c:v>
                </c:pt>
                <c:pt idx="127">
                  <c:v>0.114186892405077</c:v>
                </c:pt>
                <c:pt idx="128">
                  <c:v>0.12383915809970999</c:v>
                </c:pt>
                <c:pt idx="129">
                  <c:v>0.134183739080769</c:v>
                </c:pt>
                <c:pt idx="130">
                  <c:v>0.145249176647469</c:v>
                </c:pt>
                <c:pt idx="131">
                  <c:v>0.157061591661417</c:v>
                </c:pt>
                <c:pt idx="132">
                  <c:v>0.16964399206533601</c:v>
                </c:pt>
                <c:pt idx="133">
                  <c:v>0.18301553299817799</c:v>
                </c:pt>
                <c:pt idx="134">
                  <c:v>0.197190742867103</c:v>
                </c:pt>
                <c:pt idx="135">
                  <c:v>0.21217873299051701</c:v>
                </c:pt>
                <c:pt idx="136">
                  <c:v>0.22798241274786499</c:v>
                </c:pt>
                <c:pt idx="137">
                  <c:v>0.24459773628224801</c:v>
                </c:pt>
                <c:pt idx="138">
                  <c:v>0.26201301036158903</c:v>
                </c:pt>
                <c:pt idx="139">
                  <c:v>0.28020829562781402</c:v>
                </c:pt>
                <c:pt idx="140">
                  <c:v>0.29915493474870303</c:v>
                </c:pt>
                <c:pt idx="141">
                  <c:v>0.31881524055202898</c:v>
                </c:pt>
                <c:pt idx="142">
                  <c:v>0.339142374751846</c:v>
                </c:pt>
                <c:pt idx="143">
                  <c:v>0.36008044317674298</c:v>
                </c:pt>
                <c:pt idx="144">
                  <c:v>0.38156482645108702</c:v>
                </c:pt>
                <c:pt idx="145">
                  <c:v>0.40352275603918403</c:v>
                </c:pt>
                <c:pt idx="146">
                  <c:v>0.42587413483980502</c:v>
                </c:pt>
                <c:pt idx="147">
                  <c:v>0.44853258973180399</c:v>
                </c:pt>
                <c:pt idx="148">
                  <c:v>0.47140673141724998</c:v>
                </c:pt>
                <c:pt idx="149">
                  <c:v>0.49440158549478802</c:v>
                </c:pt>
                <c:pt idx="150">
                  <c:v>0.51742014885205501</c:v>
                </c:pt>
                <c:pt idx="151">
                  <c:v>0.54036501803853598</c:v>
                </c:pt>
                <c:pt idx="152">
                  <c:v>0.56314003193292295</c:v>
                </c:pt>
                <c:pt idx="153">
                  <c:v>0.58565187014859699</c:v>
                </c:pt>
                <c:pt idx="154">
                  <c:v>0.60781155130835296</c:v>
                </c:pt>
                <c:pt idx="155">
                  <c:v>0.62953578131697996</c:v>
                </c:pt>
                <c:pt idx="156">
                  <c:v>0.65074811052571602</c:v>
                </c:pt>
                <c:pt idx="157">
                  <c:v>0.67137986944649297</c:v>
                </c:pt>
                <c:pt idx="158">
                  <c:v>0.69137086453357299</c:v>
                </c:pt>
                <c:pt idx="159">
                  <c:v>0.71066982757546004</c:v>
                </c:pt>
                <c:pt idx="160">
                  <c:v>0.72923462356933699</c:v>
                </c:pt>
                <c:pt idx="161">
                  <c:v>0.747032231873064</c:v>
                </c:pt>
                <c:pt idx="162">
                  <c:v>0.764038523436809</c:v>
                </c:pt>
                <c:pt idx="163">
                  <c:v>0.78023786272346995</c:v>
                </c:pt>
                <c:pt idx="164">
                  <c:v>0.79562256646598795</c:v>
                </c:pt>
                <c:pt idx="165">
                  <c:v>0.810192252801199</c:v>
                </c:pt>
                <c:pt idx="166">
                  <c:v>0.82395311382652303</c:v>
                </c:pt>
                <c:pt idx="167">
                  <c:v>0.83691714260281802</c:v>
                </c:pt>
                <c:pt idx="168">
                  <c:v>0.84910134247243996</c:v>
                </c:pt>
                <c:pt idx="169">
                  <c:v>0.86052694267306695</c:v>
                </c:pt>
                <c:pt idx="170">
                  <c:v>0.87121863997025994</c:v>
                </c:pt>
                <c:pt idx="171">
                  <c:v>0.88120388171445596</c:v>
                </c:pt>
                <c:pt idx="172">
                  <c:v>0.89051220159509203</c:v>
                </c:pt>
                <c:pt idx="173">
                  <c:v>0.89917461559089695</c:v>
                </c:pt>
                <c:pt idx="174">
                  <c:v>0.90722308231258497</c:v>
                </c:pt>
                <c:pt idx="175">
                  <c:v>0.91469002915777797</c:v>
                </c:pt>
                <c:pt idx="176">
                  <c:v>0.92160794345921004</c:v>
                </c:pt>
                <c:pt idx="177">
                  <c:v>0.92800902608373204</c:v>
                </c:pt>
                <c:pt idx="178">
                  <c:v>0.93392490368623604</c:v>
                </c:pt>
                <c:pt idx="179">
                  <c:v>0.93938639498104104</c:v>
                </c:pt>
                <c:pt idx="180">
                  <c:v>0.94442332589847899</c:v>
                </c:pt>
                <c:pt idx="181">
                  <c:v>0.94906438828190598</c:v>
                </c:pt>
                <c:pt idx="182">
                  <c:v>0.95333703678825898</c:v>
                </c:pt>
                <c:pt idx="183">
                  <c:v>0.95726741882845801</c:v>
                </c:pt>
                <c:pt idx="184">
                  <c:v>0.96088033267425099</c:v>
                </c:pt>
                <c:pt idx="185">
                  <c:v>0.96419920922539204</c:v>
                </c:pt>
                <c:pt idx="186">
                  <c:v>0.967246113342628</c:v>
                </c:pt>
                <c:pt idx="187">
                  <c:v>0.97004176108249396</c:v>
                </c:pt>
                <c:pt idx="188">
                  <c:v>0.97260554959983703</c:v>
                </c:pt>
                <c:pt idx="189">
                  <c:v>0.97495559689954203</c:v>
                </c:pt>
                <c:pt idx="190">
                  <c:v>0.977108789010389</c:v>
                </c:pt>
                <c:pt idx="191">
                  <c:v>0.97908083251533795</c:v>
                </c:pt>
                <c:pt idx="192">
                  <c:v>0.98088631070056298</c:v>
                </c:pt>
                <c:pt idx="193">
                  <c:v>0.98253874187895696</c:v>
                </c:pt>
                <c:pt idx="194">
                  <c:v>0.98405063870305998</c:v>
                </c:pt>
                <c:pt idx="195">
                  <c:v>0.98543356750871802</c:v>
                </c:pt>
                <c:pt idx="196">
                  <c:v>0.98669820692640298</c:v>
                </c:pt>
                <c:pt idx="197">
                  <c:v>0.98785440516454204</c:v>
                </c:pt>
                <c:pt idx="198">
                  <c:v>0.98891123551109505</c:v>
                </c:pt>
                <c:pt idx="199">
                  <c:v>0.989877049718762</c:v>
                </c:pt>
                <c:pt idx="200">
                  <c:v>0.990759529038298</c:v>
                </c:pt>
                <c:pt idx="201">
                  <c:v>0.99156573274601201</c:v>
                </c:pt>
                <c:pt idx="202">
                  <c:v>0.99230214407796802</c:v>
                </c:pt>
                <c:pt idx="203">
                  <c:v>0.99297471353691102</c:v>
                </c:pt>
                <c:pt idx="204">
                  <c:v>0.99358889958038998</c:v>
                </c:pt>
                <c:pt idx="205">
                  <c:v>0.99414970673171499</c:v>
                </c:pt>
                <c:pt idx="206">
                  <c:v>0.99466172118072704</c:v>
                </c:pt>
                <c:pt idx="207">
                  <c:v>0.99512914396025298</c:v>
                </c:pt>
                <c:pt idx="208">
                  <c:v>0.99555582179765001</c:v>
                </c:pt>
                <c:pt idx="209">
                  <c:v>0.99594527575004499</c:v>
                </c:pt>
                <c:pt idx="210">
                  <c:v>0.99630072773747902</c:v>
                </c:pt>
                <c:pt idx="211">
                  <c:v>0.99662512509103696</c:v>
                </c:pt>
                <c:pt idx="212">
                  <c:v>0.99692116323355595</c:v>
                </c:pt>
                <c:pt idx="213">
                  <c:v>0.99719130660938304</c:v>
                </c:pt>
                <c:pt idx="214">
                  <c:v>0.99743780797709602</c:v>
                </c:pt>
                <c:pt idx="215">
                  <c:v>0.99766272617561003</c:v>
                </c:pt>
                <c:pt idx="216">
                  <c:v>0.99786794246982902</c:v>
                </c:pt>
                <c:pt idx="217">
                  <c:v>0.99805517557727397</c:v>
                </c:pt>
                <c:pt idx="218">
                  <c:v>0.99822599547202195</c:v>
                </c:pt>
                <c:pt idx="219">
                  <c:v>0.99838183605707898</c:v>
                </c:pt>
                <c:pt idx="220">
                  <c:v>0.99852400679097897</c:v>
                </c:pt>
                <c:pt idx="221">
                  <c:v>0.99865370334912096</c:v>
                </c:pt>
                <c:pt idx="222">
                  <c:v>0.99877201739518995</c:v>
                </c:pt>
                <c:pt idx="223">
                  <c:v>0.99887994553292903</c:v>
                </c:pt>
                <c:pt idx="224">
                  <c:v>0.99897839750372697</c:v>
                </c:pt>
                <c:pt idx="225">
                  <c:v>0.99906820369076599</c:v>
                </c:pt>
                <c:pt idx="226">
                  <c:v>0.99915012198612896</c:v>
                </c:pt>
                <c:pt idx="227">
                  <c:v>0.99922484407301804</c:v>
                </c:pt>
                <c:pt idx="228">
                  <c:v>0.99929300117132103</c:v>
                </c:pt>
                <c:pt idx="229">
                  <c:v>0.99935516929105295</c:v>
                </c:pt>
                <c:pt idx="230">
                  <c:v>0.99941187403473397</c:v>
                </c:pt>
                <c:pt idx="231">
                  <c:v>0.99946359498650295</c:v>
                </c:pt>
                <c:pt idx="232">
                  <c:v>0.99951076972279995</c:v>
                </c:pt>
                <c:pt idx="233">
                  <c:v>0.99955379747658901</c:v>
                </c:pt>
                <c:pt idx="234">
                  <c:v>0.99959304248454806</c:v>
                </c:pt>
                <c:pt idx="235">
                  <c:v>0.99962883704420302</c:v>
                </c:pt>
                <c:pt idx="236">
                  <c:v>0.99966148430579305</c:v>
                </c:pt>
                <c:pt idx="237">
                  <c:v>0.999691260821575</c:v>
                </c:pt>
                <c:pt idx="238">
                  <c:v>0.99971841887339397</c:v>
                </c:pt>
                <c:pt idx="239">
                  <c:v>0.99974318859759603</c:v>
                </c:pt>
                <c:pt idx="240">
                  <c:v>0.99976577992475502</c:v>
                </c:pt>
                <c:pt idx="241">
                  <c:v>0.99978638435021405</c:v>
                </c:pt>
                <c:pt idx="242">
                  <c:v>0.99980517655006396</c:v>
                </c:pt>
                <c:pt idx="243">
                  <c:v>0.99982231585597403</c:v>
                </c:pt>
                <c:pt idx="244">
                  <c:v>0.99983794760109401</c:v>
                </c:pt>
                <c:pt idx="245">
                  <c:v>0.99985220434825695</c:v>
                </c:pt>
                <c:pt idx="246">
                  <c:v>0.99986520701069703</c:v>
                </c:pt>
                <c:pt idx="247">
                  <c:v>0.99987706587464797</c:v>
                </c:pt>
                <c:pt idx="248">
                  <c:v>0.99988788153238195</c:v>
                </c:pt>
                <c:pt idx="249">
                  <c:v>0.99989774573348</c:v>
                </c:pt>
                <c:pt idx="250">
                  <c:v>0.999906742161498</c:v>
                </c:pt>
                <c:pt idx="251">
                  <c:v>0.99991494714251505</c:v>
                </c:pt>
                <c:pt idx="252">
                  <c:v>0.99992243029154404</c:v>
                </c:pt>
                <c:pt idx="253">
                  <c:v>0.99992925510222797</c:v>
                </c:pt>
                <c:pt idx="254">
                  <c:v>0.99993547948477701</c:v>
                </c:pt>
                <c:pt idx="255">
                  <c:v>0.999941156256693</c:v>
                </c:pt>
                <c:pt idx="256">
                  <c:v>0.99994633359041196</c:v>
                </c:pt>
                <c:pt idx="257">
                  <c:v>0.99995105542162699</c:v>
                </c:pt>
                <c:pt idx="258">
                  <c:v>0.99995536182175804</c:v>
                </c:pt>
                <c:pt idx="259">
                  <c:v>0.99995928933769596</c:v>
                </c:pt>
                <c:pt idx="260">
                  <c:v>0.99996287130170303</c:v>
                </c:pt>
                <c:pt idx="261">
                  <c:v>0.99996613811407697</c:v>
                </c:pt>
                <c:pt idx="262">
                  <c:v>0.99996911750098405</c:v>
                </c:pt>
                <c:pt idx="263">
                  <c:v>0.99997183474961704</c:v>
                </c:pt>
                <c:pt idx="264">
                  <c:v>0.999974312922699</c:v>
                </c:pt>
                <c:pt idx="265">
                  <c:v>0.99997657305412102</c:v>
                </c:pt>
                <c:pt idx="266">
                  <c:v>0.99997863432738399</c:v>
                </c:pt>
                <c:pt idx="267">
                  <c:v>0.99998051423835099</c:v>
                </c:pt>
                <c:pt idx="268">
                  <c:v>0.99998222874369402</c:v>
                </c:pt>
                <c:pt idx="269">
                  <c:v>0.99998379239627599</c:v>
                </c:pt>
                <c:pt idx="270">
                  <c:v>0.99998521846864397</c:v>
                </c:pt>
                <c:pt idx="271">
                  <c:v>0.99998651906564795</c:v>
                </c:pt>
                <c:pt idx="272">
                  <c:v>0.99998770522716196</c:v>
                </c:pt>
                <c:pt idx="273">
                  <c:v>0.99998878702177496</c:v>
                </c:pt>
                <c:pt idx="274">
                  <c:v>0.99998977363222696</c:v>
                </c:pt>
                <c:pt idx="275">
                  <c:v>0.99999067343335202</c:v>
                </c:pt>
                <c:pt idx="276">
                  <c:v>0.99999149406314303</c:v>
                </c:pt>
                <c:pt idx="277">
                  <c:v>0.99999224248758101</c:v>
                </c:pt>
                <c:pt idx="278">
                  <c:v>0.99999292505975801</c:v>
                </c:pt>
                <c:pt idx="279">
                  <c:v>0.99999354757379499</c:v>
                </c:pt>
                <c:pt idx="280">
                  <c:v>0.99999411531402005</c:v>
                </c:pt>
                <c:pt idx="281">
                  <c:v>0.99999463309982095</c:v>
                </c:pt>
                <c:pt idx="282">
                  <c:v>0.999995105326552</c:v>
                </c:pt>
                <c:pt idx="283">
                  <c:v>0.99999553600283797</c:v>
                </c:pt>
                <c:pt idx="284">
                  <c:v>0.99999592878460197</c:v>
                </c:pt>
                <c:pt idx="285">
                  <c:v>0.99999628700609799</c:v>
                </c:pt>
                <c:pt idx="286">
                  <c:v>0.99999661370820803</c:v>
                </c:pt>
                <c:pt idx="287">
                  <c:v>0.99999691166425997</c:v>
                </c:pt>
                <c:pt idx="288">
                  <c:v>0.99999718340356503</c:v>
                </c:pt>
                <c:pt idx="289">
                  <c:v>0.99999743123288398</c:v>
                </c:pt>
                <c:pt idx="290">
                  <c:v>0.99999765725601697</c:v>
                </c:pt>
                <c:pt idx="291">
                  <c:v>0.99999786339165297</c:v>
                </c:pt>
                <c:pt idx="292">
                  <c:v>0.99999805138966202</c:v>
                </c:pt>
                <c:pt idx="293">
                  <c:v>0.99999822284594497</c:v>
                </c:pt>
                <c:pt idx="294">
                  <c:v>0.999998379215986</c:v>
                </c:pt>
                <c:pt idx="295">
                  <c:v>0.99999852182719995</c:v>
                </c:pt>
                <c:pt idx="296">
                  <c:v>0.99999865189020798</c:v>
                </c:pt>
                <c:pt idx="297">
                  <c:v>0.99999877050911201</c:v>
                </c:pt>
                <c:pt idx="298">
                  <c:v>0.99999887869086201</c:v>
                </c:pt>
                <c:pt idx="299">
                  <c:v>0.99999897735381105</c:v>
                </c:pt>
                <c:pt idx="300">
                  <c:v>0.99999906733550603</c:v>
                </c:pt>
              </c:numCache>
            </c:numRef>
          </c:xVal>
          <c:yVal>
            <c:numRef>
              <c:f>'Input Stage'!$N$3:$N$303</c:f>
              <c:numCache>
                <c:formatCode>General</c:formatCode>
                <c:ptCount val="301"/>
                <c:pt idx="0">
                  <c:v>1.03546782839882E-3</c:v>
                </c:pt>
                <c:pt idx="1">
                  <c:v>1.08426781154429E-3</c:v>
                </c:pt>
                <c:pt idx="2">
                  <c:v>1.1353676504234E-3</c:v>
                </c:pt>
                <c:pt idx="3">
                  <c:v>1.18887573143573E-3</c:v>
                </c:pt>
                <c:pt idx="4">
                  <c:v>1.24490554870978E-3</c:v>
                </c:pt>
                <c:pt idx="5">
                  <c:v>1.3035759447688E-3</c:v>
                </c:pt>
                <c:pt idx="6">
                  <c:v>1.3650113625307599E-3</c:v>
                </c:pt>
                <c:pt idx="7">
                  <c:v>1.4293421091756799E-3</c:v>
                </c:pt>
                <c:pt idx="8">
                  <c:v>1.4967046324379199E-3</c:v>
                </c:pt>
                <c:pt idx="9">
                  <c:v>1.5672418099077099E-3</c:v>
                </c:pt>
                <c:pt idx="10">
                  <c:v>1.6411032519531099E-3</c:v>
                </c:pt>
                <c:pt idx="11">
                  <c:v>1.7184456189023401E-3</c:v>
                </c:pt>
                <c:pt idx="12">
                  <c:v>1.7994329531558599E-3</c:v>
                </c:pt>
                <c:pt idx="13">
                  <c:v>1.8842370269297199E-3</c:v>
                </c:pt>
                <c:pt idx="14">
                  <c:v>1.9730377063631298E-3</c:v>
                </c:pt>
                <c:pt idx="15">
                  <c:v>2.0660233327581198E-3</c:v>
                </c:pt>
                <c:pt idx="16">
                  <c:v>2.16339112175479E-3</c:v>
                </c:pt>
                <c:pt idx="17">
                  <c:v>2.26534758128232E-3</c:v>
                </c:pt>
                <c:pt idx="18">
                  <c:v>2.3721089491655399E-3</c:v>
                </c:pt>
                <c:pt idx="19">
                  <c:v>2.48390165130692E-3</c:v>
                </c:pt>
                <c:pt idx="20">
                  <c:v>2.6009627814067202E-3</c:v>
                </c:pt>
                <c:pt idx="21">
                  <c:v>2.72354060322803E-3</c:v>
                </c:pt>
                <c:pt idx="22">
                  <c:v>2.85189507645979E-3</c:v>
                </c:pt>
                <c:pt idx="23">
                  <c:v>2.9862984072793301E-3</c:v>
                </c:pt>
                <c:pt idx="24">
                  <c:v>3.1270356247655399E-3</c:v>
                </c:pt>
                <c:pt idx="25">
                  <c:v>3.2744051843675002E-3</c:v>
                </c:pt>
                <c:pt idx="26">
                  <c:v>3.4287195996865701E-3</c:v>
                </c:pt>
                <c:pt idx="27">
                  <c:v>3.5903061038878499E-3</c:v>
                </c:pt>
                <c:pt idx="28">
                  <c:v>3.75950734211587E-3</c:v>
                </c:pt>
                <c:pt idx="29">
                  <c:v>3.9366820963507602E-3</c:v>
                </c:pt>
                <c:pt idx="30">
                  <c:v>4.1222060442054897E-3</c:v>
                </c:pt>
                <c:pt idx="31">
                  <c:v>4.3164725532309298E-3</c:v>
                </c:pt>
                <c:pt idx="32">
                  <c:v>4.5198935123650103E-3</c:v>
                </c:pt>
                <c:pt idx="33">
                  <c:v>4.7329002022329899E-3</c:v>
                </c:pt>
                <c:pt idx="34">
                  <c:v>4.9559442060809799E-3</c:v>
                </c:pt>
                <c:pt idx="35">
                  <c:v>5.18949836320065E-3</c:v>
                </c:pt>
                <c:pt idx="36">
                  <c:v>5.4340577667825601E-3</c:v>
                </c:pt>
                <c:pt idx="37">
                  <c:v>5.6901408082172898E-3</c:v>
                </c:pt>
                <c:pt idx="38">
                  <c:v>5.9582902699475797E-3</c:v>
                </c:pt>
                <c:pt idx="39">
                  <c:v>6.2390744690610902E-3</c:v>
                </c:pt>
                <c:pt idx="40">
                  <c:v>6.53308845390184E-3</c:v>
                </c:pt>
                <c:pt idx="41">
                  <c:v>6.8409552560693698E-3</c:v>
                </c:pt>
                <c:pt idx="42">
                  <c:v>7.1633272002666398E-3</c:v>
                </c:pt>
                <c:pt idx="43">
                  <c:v>7.5008872745522598E-3</c:v>
                </c:pt>
                <c:pt idx="44">
                  <c:v>7.8543505636468804E-3</c:v>
                </c:pt>
                <c:pt idx="45">
                  <c:v>8.2244657480401908E-3</c:v>
                </c:pt>
                <c:pt idx="46">
                  <c:v>8.6120166717405609E-3</c:v>
                </c:pt>
                <c:pt idx="47">
                  <c:v>9.0178239816054405E-3</c:v>
                </c:pt>
                <c:pt idx="48">
                  <c:v>9.4427468412844502E-3</c:v>
                </c:pt>
                <c:pt idx="49">
                  <c:v>9.8876847229005197E-3</c:v>
                </c:pt>
                <c:pt idx="50">
                  <c:v>1.03535792796829E-2</c:v>
                </c:pt>
                <c:pt idx="51">
                  <c:v>1.0841416302851599E-2</c:v>
                </c:pt>
                <c:pt idx="52">
                  <c:v>1.13522277661321E-2</c:v>
                </c:pt>
                <c:pt idx="53">
                  <c:v>1.18870939613498E-2</c:v>
                </c:pt>
                <c:pt idx="54">
                  <c:v>1.2447145728617499E-2</c:v>
                </c:pt>
                <c:pt idx="55">
                  <c:v>1.3033566784680499E-2</c:v>
                </c:pt>
                <c:pt idx="56">
                  <c:v>1.3647596153013799E-2</c:v>
                </c:pt>
                <c:pt idx="57">
                  <c:v>1.42905306992945E-2</c:v>
                </c:pt>
                <c:pt idx="58">
                  <c:v>1.4963727775857799E-2</c:v>
                </c:pt>
                <c:pt idx="59">
                  <c:v>1.5668607978725099E-2</c:v>
                </c:pt>
                <c:pt idx="60">
                  <c:v>1.64066580207268E-2</c:v>
                </c:pt>
                <c:pt idx="61">
                  <c:v>1.7179433724151798E-2</c:v>
                </c:pt>
                <c:pt idx="62">
                  <c:v>1.79885631362105E-2</c:v>
                </c:pt>
                <c:pt idx="63">
                  <c:v>1.8835749770417399E-2</c:v>
                </c:pt>
                <c:pt idx="64">
                  <c:v>1.9722775976740499E-2</c:v>
                </c:pt>
                <c:pt idx="65">
                  <c:v>2.0651506443055401E-2</c:v>
                </c:pt>
                <c:pt idx="66">
                  <c:v>2.1623891830040001E-2</c:v>
                </c:pt>
                <c:pt idx="67">
                  <c:v>2.2641972541149601E-2</c:v>
                </c:pt>
                <c:pt idx="68">
                  <c:v>2.3707882628715499E-2</c:v>
                </c:pt>
                <c:pt idx="69">
                  <c:v>2.4823853836475399E-2</c:v>
                </c:pt>
                <c:pt idx="70">
                  <c:v>2.5992219777971101E-2</c:v>
                </c:pt>
                <c:pt idx="71">
                  <c:v>2.7215420249197899E-2</c:v>
                </c:pt>
                <c:pt idx="72">
                  <c:v>2.8496005672653601E-2</c:v>
                </c:pt>
                <c:pt idx="73">
                  <c:v>2.98366416684611E-2</c:v>
                </c:pt>
                <c:pt idx="74">
                  <c:v>3.1240113746509101E-2</c:v>
                </c:pt>
                <c:pt idx="75">
                  <c:v>3.2709332111534699E-2</c:v>
                </c:pt>
                <c:pt idx="76">
                  <c:v>3.4247336570690602E-2</c:v>
                </c:pt>
                <c:pt idx="77">
                  <c:v>3.5857301530384501E-2</c:v>
                </c:pt>
                <c:pt idx="78">
                  <c:v>3.7542541065956198E-2</c:v>
                </c:pt>
                <c:pt idx="79">
                  <c:v>3.9306514044037302E-2</c:v>
                </c:pt>
                <c:pt idx="80">
                  <c:v>4.1152829273115699E-2</c:v>
                </c:pt>
                <c:pt idx="81">
                  <c:v>4.3085250652846699E-2</c:v>
                </c:pt>
                <c:pt idx="82">
                  <c:v>4.5107702286908503E-2</c:v>
                </c:pt>
                <c:pt idx="83">
                  <c:v>4.7224273517583903E-2</c:v>
                </c:pt>
                <c:pt idx="84">
                  <c:v>4.9439223832673698E-2</c:v>
                </c:pt>
                <c:pt idx="85">
                  <c:v>5.1756987586633801E-2</c:v>
                </c:pt>
                <c:pt idx="86">
                  <c:v>5.4182178467899203E-2</c:v>
                </c:pt>
                <c:pt idx="87">
                  <c:v>5.67195936329839E-2</c:v>
                </c:pt>
                <c:pt idx="88">
                  <c:v>5.93742174150199E-2</c:v>
                </c:pt>
                <c:pt idx="89">
                  <c:v>6.2151224499683598E-2</c:v>
                </c:pt>
                <c:pt idx="90">
                  <c:v>6.5055982444768207E-2</c:v>
                </c:pt>
                <c:pt idx="91">
                  <c:v>6.8094053400774304E-2</c:v>
                </c:pt>
                <c:pt idx="92">
                  <c:v>7.1271194868573307E-2</c:v>
                </c:pt>
                <c:pt idx="93">
                  <c:v>7.4593359306183396E-2</c:v>
                </c:pt>
                <c:pt idx="94">
                  <c:v>7.8066692369760798E-2</c:v>
                </c:pt>
                <c:pt idx="95">
                  <c:v>8.1697529543754505E-2</c:v>
                </c:pt>
                <c:pt idx="96">
                  <c:v>8.5492390881577507E-2</c:v>
                </c:pt>
                <c:pt idx="97">
                  <c:v>8.9457973540832597E-2</c:v>
                </c:pt>
                <c:pt idx="98">
                  <c:v>9.3601141755927694E-2</c:v>
                </c:pt>
                <c:pt idx="99">
                  <c:v>9.7928913845599305E-2</c:v>
                </c:pt>
                <c:pt idx="100">
                  <c:v>0.10244844580338899</c:v>
                </c:pt>
                <c:pt idx="101">
                  <c:v>0.107167010965433</c:v>
                </c:pt>
                <c:pt idx="102">
                  <c:v>0.112091975192204</c:v>
                </c:pt>
                <c:pt idx="103">
                  <c:v>0.117230766939363</c:v>
                </c:pt>
                <c:pt idx="104">
                  <c:v>0.12259084152821401</c:v>
                </c:pt>
                <c:pt idx="105">
                  <c:v>0.12817963885924899</c:v>
                </c:pt>
                <c:pt idx="106">
                  <c:v>0.13400453374416799</c:v>
                </c:pt>
                <c:pt idx="107">
                  <c:v>0.14007277796429499</c:v>
                </c:pt>
                <c:pt idx="108">
                  <c:v>0.14639143309878899</c:v>
                </c:pt>
                <c:pt idx="109">
                  <c:v>0.15296729310756499</c:v>
                </c:pt>
                <c:pt idx="110">
                  <c:v>0.15980679560523001</c:v>
                </c:pt>
                <c:pt idx="111">
                  <c:v>0.166915920728651</c:v>
                </c:pt>
                <c:pt idx="112">
                  <c:v>0.17430007648795001</c:v>
                </c:pt>
                <c:pt idx="113">
                  <c:v>0.18196396950649099</c:v>
                </c:pt>
                <c:pt idx="114">
                  <c:v>0.18991146010833501</c:v>
                </c:pt>
                <c:pt idx="115">
                  <c:v>0.19814540081259399</c:v>
                </c:pt>
                <c:pt idx="116">
                  <c:v>0.20666745745502099</c:v>
                </c:pt>
                <c:pt idx="117">
                  <c:v>0.21547791239174199</c:v>
                </c:pt>
                <c:pt idx="118">
                  <c:v>0.22457544956363101</c:v>
                </c:pt>
                <c:pt idx="119">
                  <c:v>0.233956921628246</c:v>
                </c:pt>
                <c:pt idx="120">
                  <c:v>0.243617099916351</c:v>
                </c:pt>
                <c:pt idx="121">
                  <c:v>0.25354840865756401</c:v>
                </c:pt>
                <c:pt idx="122">
                  <c:v>0.26374064575885903</c:v>
                </c:pt>
                <c:pt idx="123">
                  <c:v>0.27418069342078</c:v>
                </c:pt>
                <c:pt idx="124">
                  <c:v>0.28485222304372898</c:v>
                </c:pt>
                <c:pt idx="125">
                  <c:v>0.29573540020618899</c:v>
                </c:pt>
                <c:pt idx="126">
                  <c:v>0.30680659697164703</c:v>
                </c:pt>
                <c:pt idx="127">
                  <c:v>0.31803812036916002</c:v>
                </c:pt>
                <c:pt idx="128">
                  <c:v>0.32939796754209699</c:v>
                </c:pt>
                <c:pt idx="129">
                  <c:v>0.340849619696242</c:v>
                </c:pt>
                <c:pt idx="130">
                  <c:v>0.35235188850168098</c:v>
                </c:pt>
                <c:pt idx="131">
                  <c:v>0.363858829886262</c:v>
                </c:pt>
                <c:pt idx="132">
                  <c:v>0.37531974104951099</c:v>
                </c:pt>
                <c:pt idx="133">
                  <c:v>0.38667925685194299</c:v>
                </c:pt>
                <c:pt idx="134">
                  <c:v>0.39787756131079199</c:v>
                </c:pt>
                <c:pt idx="135">
                  <c:v>0.40885072857591398</c:v>
                </c:pt>
                <c:pt idx="136">
                  <c:v>0.419531205306026</c:v>
                </c:pt>
                <c:pt idx="137">
                  <c:v>0.429848442695618</c:v>
                </c:pt>
                <c:pt idx="138">
                  <c:v>0.43972968146674701</c:v>
                </c:pt>
                <c:pt idx="139">
                  <c:v>0.44910088698328099</c:v>
                </c:pt>
                <c:pt idx="140">
                  <c:v>0.457887824433236</c:v>
                </c:pt>
                <c:pt idx="141">
                  <c:v>0.46601725605795002</c:v>
                </c:pt>
                <c:pt idx="142">
                  <c:v>0.47341823412235001</c:v>
                </c:pt>
                <c:pt idx="143">
                  <c:v>0.48002345527940998</c:v>
                </c:pt>
                <c:pt idx="144">
                  <c:v>0.485770634833394</c:v>
                </c:pt>
                <c:pt idx="145">
                  <c:v>0.49060385383497102</c:v>
                </c:pt>
                <c:pt idx="146">
                  <c:v>0.49447482859519998</c:v>
                </c:pt>
                <c:pt idx="147">
                  <c:v>0.49734405161848</c:v>
                </c:pt>
                <c:pt idx="148">
                  <c:v>0.49918175546763999</c:v>
                </c:pt>
                <c:pt idx="149">
                  <c:v>0.49996865677263003</c:v>
                </c:pt>
                <c:pt idx="150">
                  <c:v>0.49969644626910498</c:v>
                </c:pt>
                <c:pt idx="151">
                  <c:v>0.49836800190095298</c:v>
                </c:pt>
                <c:pt idx="152">
                  <c:v>0.49599731487933402</c:v>
                </c:pt>
                <c:pt idx="153">
                  <c:v>0.49260913221340902</c:v>
                </c:pt>
                <c:pt idx="154">
                  <c:v>0.488238332584084</c:v>
                </c:pt>
                <c:pt idx="155">
                  <c:v>0.48292906452045298</c:v>
                </c:pt>
                <c:pt idx="156">
                  <c:v>0.47673368579630099</c:v>
                </c:pt>
                <c:pt idx="157">
                  <c:v>0.46971155015445698</c:v>
                </c:pt>
                <c:pt idx="158">
                  <c:v>0.46192769153588598</c:v>
                </c:pt>
                <c:pt idx="159">
                  <c:v>0.45345145688301203</c:v>
                </c:pt>
                <c:pt idx="160">
                  <c:v>0.44435513652598202</c:v>
                </c:pt>
                <c:pt idx="161">
                  <c:v>0.43471263659550202</c:v>
                </c:pt>
                <c:pt idx="162">
                  <c:v>0.42459823143921499</c:v>
                </c:pt>
                <c:pt idx="163">
                  <c:v>0.41408542632672002</c:v>
                </c:pt>
                <c:pt idx="164">
                  <c:v>0.40324595248565398</c:v>
                </c:pt>
                <c:pt idx="165">
                  <c:v>0.392148908327076</c:v>
                </c:pt>
                <c:pt idx="166">
                  <c:v>0.38086005309312698</c:v>
                </c:pt>
                <c:pt idx="167">
                  <c:v>0.36944125246154202</c:v>
                </c:pt>
                <c:pt idx="168">
                  <c:v>0.35795007009908603</c:v>
                </c:pt>
                <c:pt idx="169">
                  <c:v>0.34643949487148701</c:v>
                </c:pt>
                <c:pt idx="170">
                  <c:v>0.334957790383551</c:v>
                </c:pt>
                <c:pt idx="171">
                  <c:v>0.32354845165111101</c:v>
                </c:pt>
                <c:pt idx="172">
                  <c:v>0.31225025285074498</c:v>
                </c:pt>
                <c:pt idx="173">
                  <c:v>0.30109737007795301</c:v>
                </c:pt>
                <c:pt idx="174">
                  <c:v>0.29011956368338498</c:v>
                </c:pt>
                <c:pt idx="175">
                  <c:v>0.27934240586978798</c:v>
                </c:pt>
                <c:pt idx="176">
                  <c:v>0.26878754065636101</c:v>
                </c:pt>
                <c:pt idx="177">
                  <c:v>0.25847296491288102</c:v>
                </c:pt>
                <c:pt idx="178">
                  <c:v>0.248413320820143</c:v>
                </c:pt>
                <c:pt idx="179">
                  <c:v>0.238620191739016</c:v>
                </c:pt>
                <c:pt idx="180">
                  <c:v>0.22910239500567001</c:v>
                </c:pt>
                <c:pt idx="181">
                  <c:v>0.21986626657356401</c:v>
                </c:pt>
                <c:pt idx="182">
                  <c:v>0.21091593367036199</c:v>
                </c:pt>
                <c:pt idx="183">
                  <c:v>0.20225357271989</c:v>
                </c:pt>
                <c:pt idx="184">
                  <c:v>0.19387965069617599</c:v>
                </c:pt>
                <c:pt idx="185">
                  <c:v>0.18579314883633499</c:v>
                </c:pt>
                <c:pt idx="186">
                  <c:v>0.17799176825406299</c:v>
                </c:pt>
                <c:pt idx="187">
                  <c:v>0.170472117481034</c:v>
                </c:pt>
                <c:pt idx="188">
                  <c:v>0.163229882336036</c:v>
                </c:pt>
                <c:pt idx="189">
                  <c:v>0.15625997879751399</c:v>
                </c:pt>
                <c:pt idx="190">
                  <c:v>0.14955668975021</c:v>
                </c:pt>
                <c:pt idx="191">
                  <c:v>0.14311378660496299</c:v>
                </c:pt>
                <c:pt idx="192">
                  <c:v>0.13692463686569201</c:v>
                </c:pt>
                <c:pt idx="193">
                  <c:v>0.130982298750149</c:v>
                </c:pt>
                <c:pt idx="194">
                  <c:v>0.12527960397111501</c:v>
                </c:pt>
                <c:pt idx="195">
                  <c:v>0.11980922976031</c:v>
                </c:pt>
                <c:pt idx="196">
                  <c:v>0.11456376117527001</c:v>
                </c:pt>
                <c:pt idx="197">
                  <c:v>0.109535744675201</c:v>
                </c:pt>
                <c:pt idx="198">
                  <c:v>0.10471773388979599</c:v>
                </c:pt>
                <c:pt idx="199">
                  <c:v>0.100102328438662</c:v>
                </c:pt>
                <c:pt idx="200">
                  <c:v>9.5682206590923899E-2</c:v>
                </c:pt>
                <c:pt idx="201">
                  <c:v>9.1450152486896003E-2</c:v>
                </c:pt>
                <c:pt idx="202">
                  <c:v>8.7399078577724498E-2</c:v>
                </c:pt>
                <c:pt idx="203">
                  <c:v>8.3522043875855004E-2</c:v>
                </c:pt>
                <c:pt idx="204">
                  <c:v>7.9812268549513093E-2</c:v>
                </c:pt>
                <c:pt idx="205">
                  <c:v>7.6263145338754196E-2</c:v>
                </c:pt>
                <c:pt idx="206">
                  <c:v>7.2868248219099901E-2</c:v>
                </c:pt>
                <c:pt idx="207">
                  <c:v>6.9621338691433707E-2</c:v>
                </c:pt>
                <c:pt idx="208">
                  <c:v>6.6516370033665007E-2</c:v>
                </c:pt>
                <c:pt idx="209">
                  <c:v>6.3547489810471494E-2</c:v>
                </c:pt>
                <c:pt idx="210">
                  <c:v>6.0709040902064297E-2</c:v>
                </c:pt>
                <c:pt idx="211">
                  <c:v>5.7995561281117998E-2</c:v>
                </c:pt>
                <c:pt idx="212">
                  <c:v>5.5401782738550898E-2</c:v>
                </c:pt>
                <c:pt idx="213">
                  <c:v>5.29226287334114E-2</c:v>
                </c:pt>
                <c:pt idx="214">
                  <c:v>5.0553211519563102E-2</c:v>
                </c:pt>
                <c:pt idx="215">
                  <c:v>4.8288828681799102E-2</c:v>
                </c:pt>
                <c:pt idx="216">
                  <c:v>4.6124959196283198E-2</c:v>
                </c:pt>
                <c:pt idx="217">
                  <c:v>4.4057259114595501E-2</c:v>
                </c:pt>
                <c:pt idx="218">
                  <c:v>4.2081556956852603E-2</c:v>
                </c:pt>
                <c:pt idx="219">
                  <c:v>4.0193848887296199E-2</c:v>
                </c:pt>
                <c:pt idx="220">
                  <c:v>3.8390293735112602E-2</c:v>
                </c:pt>
                <c:pt idx="221">
                  <c:v>3.6667207913974702E-2</c:v>
                </c:pt>
                <c:pt idx="222">
                  <c:v>3.5021060285673603E-2</c:v>
                </c:pt>
                <c:pt idx="223">
                  <c:v>3.3448467006147398E-2</c:v>
                </c:pt>
                <c:pt idx="224">
                  <c:v>3.1946186386056903E-2</c:v>
                </c:pt>
                <c:pt idx="225">
                  <c:v>3.0511113792719299E-2</c:v>
                </c:pt>
                <c:pt idx="226">
                  <c:v>2.9140276615578001E-2</c:v>
                </c:pt>
                <c:pt idx="227">
                  <c:v>2.78308293133844E-2</c:v>
                </c:pt>
                <c:pt idx="228">
                  <c:v>2.65800485578114E-2</c:v>
                </c:pt>
                <c:pt idx="229">
                  <c:v>2.53853284852418E-2</c:v>
                </c:pt>
                <c:pt idx="230">
                  <c:v>2.4244176065921899E-2</c:v>
                </c:pt>
                <c:pt idx="231">
                  <c:v>2.31542065974772E-2</c:v>
                </c:pt>
                <c:pt idx="232">
                  <c:v>2.21131393279216E-2</c:v>
                </c:pt>
                <c:pt idx="233">
                  <c:v>2.11187932117014E-2</c:v>
                </c:pt>
                <c:pt idx="234">
                  <c:v>2.0169082800962301E-2</c:v>
                </c:pt>
                <c:pt idx="235">
                  <c:v>1.9262014273093198E-2</c:v>
                </c:pt>
                <c:pt idx="236">
                  <c:v>1.8395681594642901E-2</c:v>
                </c:pt>
                <c:pt idx="237">
                  <c:v>1.75682628209082E-2</c:v>
                </c:pt>
                <c:pt idx="238">
                  <c:v>1.6778016529826599E-2</c:v>
                </c:pt>
                <c:pt idx="239">
                  <c:v>1.60232783882686E-2</c:v>
                </c:pt>
                <c:pt idx="240">
                  <c:v>1.53024578483751E-2</c:v>
                </c:pt>
                <c:pt idx="241">
                  <c:v>1.46140349712344E-2</c:v>
                </c:pt>
                <c:pt idx="242">
                  <c:v>1.39565573749094E-2</c:v>
                </c:pt>
                <c:pt idx="243">
                  <c:v>1.3328637303611401E-2</c:v>
                </c:pt>
                <c:pt idx="244">
                  <c:v>1.27289488146508E-2</c:v>
                </c:pt>
                <c:pt idx="245">
                  <c:v>1.21562250796833E-2</c:v>
                </c:pt>
                <c:pt idx="246">
                  <c:v>1.16092557966896E-2</c:v>
                </c:pt>
                <c:pt idx="247">
                  <c:v>1.10868847090875E-2</c:v>
                </c:pt>
                <c:pt idx="248">
                  <c:v>1.0588007228356001E-2</c:v>
                </c:pt>
                <c:pt idx="249">
                  <c:v>1.01115681565633E-2</c:v>
                </c:pt>
                <c:pt idx="250">
                  <c:v>9.6565595052132899E-3</c:v>
                </c:pt>
                <c:pt idx="251">
                  <c:v>9.2220184068757503E-3</c:v>
                </c:pt>
                <c:pt idx="252">
                  <c:v>8.8070251161135506E-3</c:v>
                </c:pt>
                <c:pt idx="253">
                  <c:v>8.4107010962968295E-3</c:v>
                </c:pt>
                <c:pt idx="254">
                  <c:v>8.0322071889620608E-3</c:v>
                </c:pt>
                <c:pt idx="255">
                  <c:v>7.6707418624613203E-3</c:v>
                </c:pt>
                <c:pt idx="256">
                  <c:v>7.3255395367331898E-3</c:v>
                </c:pt>
                <c:pt idx="257">
                  <c:v>6.9958689811165202E-3</c:v>
                </c:pt>
                <c:pt idx="258">
                  <c:v>6.6810317822241097E-3</c:v>
                </c:pt>
                <c:pt idx="259">
                  <c:v>6.3803608789868502E-3</c:v>
                </c:pt>
                <c:pt idx="260">
                  <c:v>6.0932191620758002E-3</c:v>
                </c:pt>
                <c:pt idx="261">
                  <c:v>5.8189981350049201E-3</c:v>
                </c:pt>
                <c:pt idx="262">
                  <c:v>5.5571166343141402E-3</c:v>
                </c:pt>
                <c:pt idx="263">
                  <c:v>5.3070196063243697E-3</c:v>
                </c:pt>
                <c:pt idx="264">
                  <c:v>5.0681769380524402E-3</c:v>
                </c:pt>
                <c:pt idx="265">
                  <c:v>4.8400823399633898E-3</c:v>
                </c:pt>
                <c:pt idx="266">
                  <c:v>4.6222522783269096E-3</c:v>
                </c:pt>
                <c:pt idx="267">
                  <c:v>4.4142249550344998E-3</c:v>
                </c:pt>
                <c:pt idx="268">
                  <c:v>4.2155593328161902E-3</c:v>
                </c:pt>
                <c:pt idx="269">
                  <c:v>4.0258342038810204E-3</c:v>
                </c:pt>
                <c:pt idx="270">
                  <c:v>3.8446473000842102E-3</c:v>
                </c:pt>
                <c:pt idx="271">
                  <c:v>3.67161444280286E-3</c:v>
                </c:pt>
                <c:pt idx="272">
                  <c:v>3.5063687307767301E-3</c:v>
                </c:pt>
                <c:pt idx="273">
                  <c:v>3.3485597642437101E-3</c:v>
                </c:pt>
                <c:pt idx="274">
                  <c:v>3.1978529037698E-3</c:v>
                </c:pt>
                <c:pt idx="275">
                  <c:v>3.0539285622412601E-3</c:v>
                </c:pt>
                <c:pt idx="276">
                  <c:v>2.9164815285514902E-3</c:v>
                </c:pt>
                <c:pt idx="277">
                  <c:v>2.7852203215782598E-3</c:v>
                </c:pt>
                <c:pt idx="278">
                  <c:v>2.6598665731072499E-3</c:v>
                </c:pt>
                <c:pt idx="279">
                  <c:v>2.5401544384156599E-3</c:v>
                </c:pt>
                <c:pt idx="280">
                  <c:v>2.4258300332857898E-3</c:v>
                </c:pt>
                <c:pt idx="281">
                  <c:v>2.3166508962714498E-3</c:v>
                </c:pt>
                <c:pt idx="282">
                  <c:v>2.2123854750918199E-3</c:v>
                </c:pt>
                <c:pt idx="283">
                  <c:v>2.1128126360765499E-3</c:v>
                </c:pt>
                <c:pt idx="284">
                  <c:v>2.0177211956328399E-3</c:v>
                </c:pt>
                <c:pt idx="285">
                  <c:v>1.92690947275062E-3</c:v>
                </c:pt>
                <c:pt idx="286">
                  <c:v>1.8401848616056301E-3</c:v>
                </c:pt>
                <c:pt idx="287">
                  <c:v>1.7573634233609399E-3</c:v>
                </c:pt>
                <c:pt idx="288">
                  <c:v>1.6782694963080301E-3</c:v>
                </c:pt>
                <c:pt idx="289">
                  <c:v>1.6027353235259199E-3</c:v>
                </c:pt>
                <c:pt idx="290">
                  <c:v>1.5306006972738899E-3</c:v>
                </c:pt>
                <c:pt idx="291">
                  <c:v>1.46171261936751E-3</c:v>
                </c:pt>
                <c:pt idx="292">
                  <c:v>1.39592497682158E-3</c:v>
                </c:pt>
                <c:pt idx="293">
                  <c:v>1.3330982320752199E-3</c:v>
                </c:pt>
                <c:pt idx="294">
                  <c:v>1.27309912714501E-3</c:v>
                </c:pt>
                <c:pt idx="295">
                  <c:v>1.2158004010808701E-3</c:v>
                </c:pt>
                <c:pt idx="296">
                  <c:v>1.1610805201279499E-3</c:v>
                </c:pt>
                <c:pt idx="297">
                  <c:v>1.10882342002368E-3</c:v>
                </c:pt>
                <c:pt idx="298">
                  <c:v>1.0589182598853099E-3</c:v>
                </c:pt>
                <c:pt idx="299">
                  <c:v>1.01125918716711E-3</c:v>
                </c:pt>
                <c:pt idx="300">
                  <c:v>9.6574511319011099E-4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46-44B5-8AC2-691410BE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157864"/>
        <c:axId val="642160488"/>
      </c:scatterChart>
      <c:valAx>
        <c:axId val="642157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60488"/>
        <c:crosses val="autoZero"/>
        <c:crossBetween val="midCat"/>
      </c:valAx>
      <c:valAx>
        <c:axId val="64216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57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'NI AC Coupled Amp'!$H$3:$H$303</c:f>
              <c:numCache>
                <c:formatCode>General</c:formatCode>
                <c:ptCount val="301"/>
                <c:pt idx="0">
                  <c:v>1.03E-2</c:v>
                </c:pt>
                <c:pt idx="1">
                  <c:v>1.0785424044924257E-2</c:v>
                </c:pt>
                <c:pt idx="2">
                  <c:v>1.1293725420274806E-2</c:v>
                </c:pt>
                <c:pt idx="3">
                  <c:v>1.1825982301417889E-2</c:v>
                </c:pt>
                <c:pt idx="4">
                  <c:v>1.2383323676559348E-2</c:v>
                </c:pt>
                <c:pt idx="5">
                  <c:v>1.2966931741479913E-2</c:v>
                </c:pt>
                <c:pt idx="6">
                  <c:v>1.3578044407130993E-2</c:v>
                </c:pt>
                <c:pt idx="7">
                  <c:v>1.421795792540971E-2</c:v>
                </c:pt>
                <c:pt idx="8">
                  <c:v>1.488802963868305E-2</c:v>
                </c:pt>
                <c:pt idx="9">
                  <c:v>1.5589680858892936E-2</c:v>
                </c:pt>
                <c:pt idx="10">
                  <c:v>1.6324399882349471E-2</c:v>
                </c:pt>
                <c:pt idx="11">
                  <c:v>1.7093745146606876E-2</c:v>
                </c:pt>
                <c:pt idx="12">
                  <c:v>1.7899348536118562E-2</c:v>
                </c:pt>
                <c:pt idx="13">
                  <c:v>1.8742918843682805E-2</c:v>
                </c:pt>
                <c:pt idx="14">
                  <c:v>1.9626245395021436E-2</c:v>
                </c:pt>
                <c:pt idx="15">
                  <c:v>2.0551201844179447E-2</c:v>
                </c:pt>
                <c:pt idx="16">
                  <c:v>2.1519750147796585E-2</c:v>
                </c:pt>
                <c:pt idx="17">
                  <c:v>2.2533944726680365E-2</c:v>
                </c:pt>
                <c:pt idx="18">
                  <c:v>2.3595936823508048E-2</c:v>
                </c:pt>
                <c:pt idx="19">
                  <c:v>2.4707979065900734E-2</c:v>
                </c:pt>
                <c:pt idx="20">
                  <c:v>2.5872430244548651E-2</c:v>
                </c:pt>
                <c:pt idx="21">
                  <c:v>2.7091760316522408E-2</c:v>
                </c:pt>
                <c:pt idx="22">
                  <c:v>2.8368555644383103E-2</c:v>
                </c:pt>
                <c:pt idx="23">
                  <c:v>2.9705524482204024E-2</c:v>
                </c:pt>
                <c:pt idx="24">
                  <c:v>3.1105502720140742E-2</c:v>
                </c:pt>
                <c:pt idx="25">
                  <c:v>3.2571459899734277E-2</c:v>
                </c:pt>
                <c:pt idx="26">
                  <c:v>3.4106505512706879E-2</c:v>
                </c:pt>
                <c:pt idx="27">
                  <c:v>3.5713895596610749E-2</c:v>
                </c:pt>
                <c:pt idx="28">
                  <c:v>3.7397039641320413E-2</c:v>
                </c:pt>
                <c:pt idx="29">
                  <c:v>3.9159507821017812E-2</c:v>
                </c:pt>
                <c:pt idx="30">
                  <c:v>4.100503856701021E-2</c:v>
                </c:pt>
                <c:pt idx="31">
                  <c:v>4.2937546497444537E-2</c:v>
                </c:pt>
                <c:pt idx="32">
                  <c:v>4.4961130720737069E-2</c:v>
                </c:pt>
                <c:pt idx="33">
                  <c:v>4.7080083530332134E-2</c:v>
                </c:pt>
                <c:pt idx="34">
                  <c:v>4.9298899509231754E-2</c:v>
                </c:pt>
                <c:pt idx="35">
                  <c:v>5.1622285063609032E-2</c:v>
                </c:pt>
                <c:pt idx="36">
                  <c:v>5.4055168405726557E-2</c:v>
                </c:pt>
                <c:pt idx="37">
                  <c:v>5.6602710007335348E-2</c:v>
                </c:pt>
                <c:pt idx="38">
                  <c:v>5.9270313545727121E-2</c:v>
                </c:pt>
                <c:pt idx="39">
                  <c:v>6.2063637365658793E-2</c:v>
                </c:pt>
                <c:pt idx="40">
                  <c:v>6.4988606481459835E-2</c:v>
                </c:pt>
                <c:pt idx="41">
                  <c:v>6.8051425144782351E-2</c:v>
                </c:pt>
                <c:pt idx="42">
                  <c:v>7.1258590004650416E-2</c:v>
                </c:pt>
                <c:pt idx="43">
                  <c:v>7.4616903887723907E-2</c:v>
                </c:pt>
                <c:pt idx="44">
                  <c:v>7.813349022800585E-2</c:v>
                </c:pt>
                <c:pt idx="45">
                  <c:v>8.1815808176600974E-2</c:v>
                </c:pt>
                <c:pt idx="46">
                  <c:v>8.567166842357507E-2</c:v>
                </c:pt>
                <c:pt idx="47">
                  <c:v>8.9709249765476257E-2</c:v>
                </c:pt>
                <c:pt idx="48">
                  <c:v>9.3937116453658612E-2</c:v>
                </c:pt>
                <c:pt idx="49">
                  <c:v>9.8364236360207885E-2</c:v>
                </c:pt>
                <c:pt idx="50">
                  <c:v>0.10300000000000001</c:v>
                </c:pt>
                <c:pt idx="51">
                  <c:v>0.10785424044924259</c:v>
                </c:pt>
                <c:pt idx="52">
                  <c:v>0.11293725420274807</c:v>
                </c:pt>
                <c:pt idx="53">
                  <c:v>0.11825982301417892</c:v>
                </c:pt>
                <c:pt idx="54">
                  <c:v>0.12383323676559349</c:v>
                </c:pt>
                <c:pt idx="55">
                  <c:v>0.12966931741479915</c:v>
                </c:pt>
                <c:pt idx="56">
                  <c:v>0.13578044407130999</c:v>
                </c:pt>
                <c:pt idx="57">
                  <c:v>0.14217957925409702</c:v>
                </c:pt>
                <c:pt idx="58">
                  <c:v>0.14888029638683051</c:v>
                </c:pt>
                <c:pt idx="59">
                  <c:v>0.1558968085889294</c:v>
                </c:pt>
                <c:pt idx="60">
                  <c:v>0.16324399882349458</c:v>
                </c:pt>
                <c:pt idx="61">
                  <c:v>0.17093745146606862</c:v>
                </c:pt>
                <c:pt idx="62">
                  <c:v>0.1789934853611857</c:v>
                </c:pt>
                <c:pt idx="63">
                  <c:v>0.18742918843682826</c:v>
                </c:pt>
                <c:pt idx="64">
                  <c:v>0.19626245395021438</c:v>
                </c:pt>
                <c:pt idx="65">
                  <c:v>0.20551201844179456</c:v>
                </c:pt>
                <c:pt idx="66">
                  <c:v>0.21519750147796599</c:v>
                </c:pt>
                <c:pt idx="67">
                  <c:v>0.22533944726680391</c:v>
                </c:pt>
                <c:pt idx="68">
                  <c:v>0.23595936823508057</c:v>
                </c:pt>
                <c:pt idx="69">
                  <c:v>0.24707979065900743</c:v>
                </c:pt>
                <c:pt idx="70">
                  <c:v>0.25872430244548655</c:v>
                </c:pt>
                <c:pt idx="71">
                  <c:v>0.27091760316522423</c:v>
                </c:pt>
                <c:pt idx="72">
                  <c:v>0.28368555644383098</c:v>
                </c:pt>
                <c:pt idx="73">
                  <c:v>0.29705524482204032</c:v>
                </c:pt>
                <c:pt idx="74">
                  <c:v>0.31105502720140754</c:v>
                </c:pt>
                <c:pt idx="75">
                  <c:v>0.32571459899734301</c:v>
                </c:pt>
                <c:pt idx="76">
                  <c:v>0.34106505512706881</c:v>
                </c:pt>
                <c:pt idx="77">
                  <c:v>0.35713895596610756</c:v>
                </c:pt>
                <c:pt idx="78">
                  <c:v>0.3739703964132044</c:v>
                </c:pt>
                <c:pt idx="79">
                  <c:v>0.39159507821017797</c:v>
                </c:pt>
                <c:pt idx="80">
                  <c:v>0.41005038567010221</c:v>
                </c:pt>
                <c:pt idx="81">
                  <c:v>0.42937546497444545</c:v>
                </c:pt>
                <c:pt idx="82">
                  <c:v>0.44961130720737086</c:v>
                </c:pt>
                <c:pt idx="83">
                  <c:v>0.47080083530332106</c:v>
                </c:pt>
                <c:pt idx="84">
                  <c:v>0.49298899509231742</c:v>
                </c:pt>
                <c:pt idx="85">
                  <c:v>0.5162228506360903</c:v>
                </c:pt>
                <c:pt idx="86">
                  <c:v>0.54055168405726561</c:v>
                </c:pt>
                <c:pt idx="87">
                  <c:v>0.56602710007335311</c:v>
                </c:pt>
                <c:pt idx="88">
                  <c:v>0.5927031354572716</c:v>
                </c:pt>
                <c:pt idx="89">
                  <c:v>0.62063637365658819</c:v>
                </c:pt>
                <c:pt idx="90">
                  <c:v>0.64988606481459898</c:v>
                </c:pt>
                <c:pt idx="91">
                  <c:v>0.68051425144782374</c:v>
                </c:pt>
                <c:pt idx="92">
                  <c:v>0.71258590004650457</c:v>
                </c:pt>
                <c:pt idx="93">
                  <c:v>0.74616903887723962</c:v>
                </c:pt>
                <c:pt idx="94">
                  <c:v>0.78133490228005908</c:v>
                </c:pt>
                <c:pt idx="95">
                  <c:v>0.81815808176600946</c:v>
                </c:pt>
                <c:pt idx="96">
                  <c:v>0.85671668423575098</c:v>
                </c:pt>
                <c:pt idx="97">
                  <c:v>0.89709249765476262</c:v>
                </c:pt>
                <c:pt idx="98">
                  <c:v>0.93937116453658676</c:v>
                </c:pt>
                <c:pt idx="99">
                  <c:v>0.9836423636020788</c:v>
                </c:pt>
                <c:pt idx="100">
                  <c:v>1.03</c:v>
                </c:pt>
                <c:pt idx="101">
                  <c:v>1.0785424044924268</c:v>
                </c:pt>
                <c:pt idx="102">
                  <c:v>1.1293725420274805</c:v>
                </c:pt>
                <c:pt idx="103">
                  <c:v>1.1825982301417894</c:v>
                </c:pt>
                <c:pt idx="104">
                  <c:v>1.2383323676559352</c:v>
                </c:pt>
                <c:pt idx="105">
                  <c:v>1.2966931741479919</c:v>
                </c:pt>
                <c:pt idx="106">
                  <c:v>1.3578044407130994</c:v>
                </c:pt>
                <c:pt idx="107">
                  <c:v>1.421795792540971</c:v>
                </c:pt>
                <c:pt idx="108">
                  <c:v>1.4888029638683051</c:v>
                </c:pt>
                <c:pt idx="109">
                  <c:v>1.5589680858892943</c:v>
                </c:pt>
                <c:pt idx="110">
                  <c:v>1.6324399882349467</c:v>
                </c:pt>
                <c:pt idx="111">
                  <c:v>1.7093745146606869</c:v>
                </c:pt>
                <c:pt idx="112">
                  <c:v>1.7899348536118562</c:v>
                </c:pt>
                <c:pt idx="113">
                  <c:v>1.874291884368283</c:v>
                </c:pt>
                <c:pt idx="114">
                  <c:v>1.9626245395021447</c:v>
                </c:pt>
                <c:pt idx="115">
                  <c:v>2.0551201844179459</c:v>
                </c:pt>
                <c:pt idx="116">
                  <c:v>2.1519750147796604</c:v>
                </c:pt>
                <c:pt idx="117">
                  <c:v>2.2533944726680391</c:v>
                </c:pt>
                <c:pt idx="118">
                  <c:v>2.3595936823508064</c:v>
                </c:pt>
                <c:pt idx="119">
                  <c:v>2.4707979065900751</c:v>
                </c:pt>
                <c:pt idx="120">
                  <c:v>2.5872430244548679</c:v>
                </c:pt>
                <c:pt idx="121">
                  <c:v>2.7091760316522437</c:v>
                </c:pt>
                <c:pt idx="122">
                  <c:v>2.8368555644383115</c:v>
                </c:pt>
                <c:pt idx="123">
                  <c:v>2.970552448220404</c:v>
                </c:pt>
                <c:pt idx="124">
                  <c:v>3.1105502720140761</c:v>
                </c:pt>
                <c:pt idx="125">
                  <c:v>3.2571459899734312</c:v>
                </c:pt>
                <c:pt idx="126">
                  <c:v>3.4106505512706882</c:v>
                </c:pt>
                <c:pt idx="127">
                  <c:v>3.5713895596610765</c:v>
                </c:pt>
                <c:pt idx="128">
                  <c:v>3.7397039641320444</c:v>
                </c:pt>
                <c:pt idx="129">
                  <c:v>3.9159507821017803</c:v>
                </c:pt>
                <c:pt idx="130">
                  <c:v>4.1005038567010219</c:v>
                </c:pt>
                <c:pt idx="131">
                  <c:v>4.2937546497444545</c:v>
                </c:pt>
                <c:pt idx="132">
                  <c:v>4.496113072073709</c:v>
                </c:pt>
                <c:pt idx="133">
                  <c:v>4.7080083530332129</c:v>
                </c:pt>
                <c:pt idx="134">
                  <c:v>4.9298899509231751</c:v>
                </c:pt>
                <c:pt idx="135">
                  <c:v>5.1622285063609041</c:v>
                </c:pt>
                <c:pt idx="136">
                  <c:v>5.4055168405726572</c:v>
                </c:pt>
                <c:pt idx="137">
                  <c:v>5.6602710007335331</c:v>
                </c:pt>
                <c:pt idx="138">
                  <c:v>5.9270313545727165</c:v>
                </c:pt>
                <c:pt idx="139">
                  <c:v>6.2063637365658852</c:v>
                </c:pt>
                <c:pt idx="140">
                  <c:v>6.4988606481459907</c:v>
                </c:pt>
                <c:pt idx="141">
                  <c:v>6.8051425144782396</c:v>
                </c:pt>
                <c:pt idx="142">
                  <c:v>7.1258590004650468</c:v>
                </c:pt>
                <c:pt idx="143">
                  <c:v>7.4616903887723973</c:v>
                </c:pt>
                <c:pt idx="144">
                  <c:v>7.8133490228005922</c:v>
                </c:pt>
                <c:pt idx="145">
                  <c:v>8.1815808176600999</c:v>
                </c:pt>
                <c:pt idx="146">
                  <c:v>8.5671668423575102</c:v>
                </c:pt>
                <c:pt idx="147">
                  <c:v>8.9709249765476287</c:v>
                </c:pt>
                <c:pt idx="148">
                  <c:v>9.3937116453658707</c:v>
                </c:pt>
                <c:pt idx="149">
                  <c:v>9.8364236360207897</c:v>
                </c:pt>
                <c:pt idx="150">
                  <c:v>10.3</c:v>
                </c:pt>
                <c:pt idx="151">
                  <c:v>10.785424044924266</c:v>
                </c:pt>
                <c:pt idx="152">
                  <c:v>11.293725420274807</c:v>
                </c:pt>
                <c:pt idx="153">
                  <c:v>11.825982301417897</c:v>
                </c:pt>
                <c:pt idx="154">
                  <c:v>12.383323676559357</c:v>
                </c:pt>
                <c:pt idx="155">
                  <c:v>12.966931741479923</c:v>
                </c:pt>
                <c:pt idx="156">
                  <c:v>13.578044407130996</c:v>
                </c:pt>
                <c:pt idx="157">
                  <c:v>14.217957925409717</c:v>
                </c:pt>
                <c:pt idx="158">
                  <c:v>14.888029638683054</c:v>
                </c:pt>
                <c:pt idx="159">
                  <c:v>15.589680858892946</c:v>
                </c:pt>
                <c:pt idx="160">
                  <c:v>16.324399882349471</c:v>
                </c:pt>
                <c:pt idx="161">
                  <c:v>17.093745146606874</c:v>
                </c:pt>
                <c:pt idx="162">
                  <c:v>17.89934853611857</c:v>
                </c:pt>
                <c:pt idx="163">
                  <c:v>18.742918843682833</c:v>
                </c:pt>
                <c:pt idx="164">
                  <c:v>19.626245395021449</c:v>
                </c:pt>
                <c:pt idx="165">
                  <c:v>20.551201844179463</c:v>
                </c:pt>
                <c:pt idx="166">
                  <c:v>21.519750147796611</c:v>
                </c:pt>
                <c:pt idx="167">
                  <c:v>22.533944726680392</c:v>
                </c:pt>
                <c:pt idx="168">
                  <c:v>23.595936823508065</c:v>
                </c:pt>
                <c:pt idx="169">
                  <c:v>24.707979065900759</c:v>
                </c:pt>
                <c:pt idx="170">
                  <c:v>25.872430244548681</c:v>
                </c:pt>
                <c:pt idx="171">
                  <c:v>27.091760316522439</c:v>
                </c:pt>
                <c:pt idx="172">
                  <c:v>28.368555644383115</c:v>
                </c:pt>
                <c:pt idx="173">
                  <c:v>29.705524482204044</c:v>
                </c:pt>
                <c:pt idx="174">
                  <c:v>31.105502720140773</c:v>
                </c:pt>
                <c:pt idx="175">
                  <c:v>32.571459899734315</c:v>
                </c:pt>
                <c:pt idx="176">
                  <c:v>34.106505512706889</c:v>
                </c:pt>
                <c:pt idx="177">
                  <c:v>35.713895596610769</c:v>
                </c:pt>
                <c:pt idx="178">
                  <c:v>37.397039641320447</c:v>
                </c:pt>
                <c:pt idx="179">
                  <c:v>39.159507821017804</c:v>
                </c:pt>
                <c:pt idx="180">
                  <c:v>41.005038567010224</c:v>
                </c:pt>
                <c:pt idx="181">
                  <c:v>42.937546497444558</c:v>
                </c:pt>
                <c:pt idx="182">
                  <c:v>44.961130720737103</c:v>
                </c:pt>
                <c:pt idx="183">
                  <c:v>47.080083530332139</c:v>
                </c:pt>
                <c:pt idx="184">
                  <c:v>49.298899509231759</c:v>
                </c:pt>
                <c:pt idx="185">
                  <c:v>51.622285063609048</c:v>
                </c:pt>
                <c:pt idx="186">
                  <c:v>54.055168405726583</c:v>
                </c:pt>
                <c:pt idx="187">
                  <c:v>56.602710007335332</c:v>
                </c:pt>
                <c:pt idx="188">
                  <c:v>59.270313545727191</c:v>
                </c:pt>
                <c:pt idx="189">
                  <c:v>62.06363736565887</c:v>
                </c:pt>
                <c:pt idx="190">
                  <c:v>64.988606481459925</c:v>
                </c:pt>
                <c:pt idx="191">
                  <c:v>68.051425144782399</c:v>
                </c:pt>
                <c:pt idx="192">
                  <c:v>71.258590004650486</c:v>
                </c:pt>
                <c:pt idx="193">
                  <c:v>74.616903887724007</c:v>
                </c:pt>
                <c:pt idx="194">
                  <c:v>78.133490228005925</c:v>
                </c:pt>
                <c:pt idx="195">
                  <c:v>81.815808176601024</c:v>
                </c:pt>
                <c:pt idx="196">
                  <c:v>85.671668423575127</c:v>
                </c:pt>
                <c:pt idx="197">
                  <c:v>89.709249765476301</c:v>
                </c:pt>
                <c:pt idx="198">
                  <c:v>93.937116453658717</c:v>
                </c:pt>
                <c:pt idx="199">
                  <c:v>98.364236360207897</c:v>
                </c:pt>
                <c:pt idx="200">
                  <c:v>103</c:v>
                </c:pt>
                <c:pt idx="201">
                  <c:v>107.85424044924271</c:v>
                </c:pt>
                <c:pt idx="202">
                  <c:v>112.93725420274809</c:v>
                </c:pt>
                <c:pt idx="203">
                  <c:v>118.25982301417901</c:v>
                </c:pt>
                <c:pt idx="204">
                  <c:v>123.83323676559357</c:v>
                </c:pt>
                <c:pt idx="205">
                  <c:v>129.66931741479931</c:v>
                </c:pt>
                <c:pt idx="206">
                  <c:v>135.78044407131</c:v>
                </c:pt>
                <c:pt idx="207">
                  <c:v>142.17957925409718</c:v>
                </c:pt>
                <c:pt idx="208">
                  <c:v>148.88029638683054</c:v>
                </c:pt>
                <c:pt idx="209">
                  <c:v>155.8968085889295</c:v>
                </c:pt>
                <c:pt idx="210">
                  <c:v>163.24399882349471</c:v>
                </c:pt>
                <c:pt idx="211">
                  <c:v>170.93745146606884</c:v>
                </c:pt>
                <c:pt idx="212">
                  <c:v>178.99348536118569</c:v>
                </c:pt>
                <c:pt idx="213">
                  <c:v>187.42918843682838</c:v>
                </c:pt>
                <c:pt idx="214">
                  <c:v>196.26245395021454</c:v>
                </c:pt>
                <c:pt idx="215">
                  <c:v>205.51201844179471</c:v>
                </c:pt>
                <c:pt idx="216">
                  <c:v>215.19750147796614</c:v>
                </c:pt>
                <c:pt idx="217">
                  <c:v>225.33944726680406</c:v>
                </c:pt>
                <c:pt idx="218">
                  <c:v>235.95936823508072</c:v>
                </c:pt>
                <c:pt idx="219">
                  <c:v>247.07979065900756</c:v>
                </c:pt>
                <c:pt idx="220">
                  <c:v>258.72430244548673</c:v>
                </c:pt>
                <c:pt idx="221">
                  <c:v>270.91760316522442</c:v>
                </c:pt>
                <c:pt idx="222">
                  <c:v>283.68555644383116</c:v>
                </c:pt>
                <c:pt idx="223">
                  <c:v>297.05524482204049</c:v>
                </c:pt>
                <c:pt idx="224">
                  <c:v>311.05502720140771</c:v>
                </c:pt>
                <c:pt idx="225">
                  <c:v>325.71459899734322</c:v>
                </c:pt>
                <c:pt idx="226">
                  <c:v>341.06505512706906</c:v>
                </c:pt>
                <c:pt idx="227">
                  <c:v>357.1389559661078</c:v>
                </c:pt>
                <c:pt idx="228">
                  <c:v>373.97039641320464</c:v>
                </c:pt>
                <c:pt idx="229">
                  <c:v>391.59507821017826</c:v>
                </c:pt>
                <c:pt idx="230">
                  <c:v>410.05038567010251</c:v>
                </c:pt>
                <c:pt idx="231">
                  <c:v>429.37546497444572</c:v>
                </c:pt>
                <c:pt idx="232">
                  <c:v>449.61130720737111</c:v>
                </c:pt>
                <c:pt idx="233">
                  <c:v>470.80083530332138</c:v>
                </c:pt>
                <c:pt idx="234">
                  <c:v>492.98899509231774</c:v>
                </c:pt>
                <c:pt idx="235">
                  <c:v>516.22285063609058</c:v>
                </c:pt>
                <c:pt idx="236">
                  <c:v>540.55168405726613</c:v>
                </c:pt>
                <c:pt idx="237">
                  <c:v>566.02710007335349</c:v>
                </c:pt>
                <c:pt idx="238">
                  <c:v>592.70313545727174</c:v>
                </c:pt>
                <c:pt idx="239">
                  <c:v>620.63637365658906</c:v>
                </c:pt>
                <c:pt idx="240">
                  <c:v>649.88606481459954</c:v>
                </c:pt>
                <c:pt idx="241">
                  <c:v>680.51425144782422</c:v>
                </c:pt>
                <c:pt idx="242">
                  <c:v>712.58590004650466</c:v>
                </c:pt>
                <c:pt idx="243">
                  <c:v>746.1690388772405</c:v>
                </c:pt>
                <c:pt idx="244">
                  <c:v>781.33490228005917</c:v>
                </c:pt>
                <c:pt idx="245">
                  <c:v>818.15808176601047</c:v>
                </c:pt>
                <c:pt idx="246">
                  <c:v>856.71668423575147</c:v>
                </c:pt>
                <c:pt idx="247">
                  <c:v>897.09249765476318</c:v>
                </c:pt>
                <c:pt idx="248">
                  <c:v>939.37116453658712</c:v>
                </c:pt>
                <c:pt idx="249">
                  <c:v>983.64236360207974</c:v>
                </c:pt>
                <c:pt idx="250">
                  <c:v>1030</c:v>
                </c:pt>
                <c:pt idx="251">
                  <c:v>1078.5424044924268</c:v>
                </c:pt>
                <c:pt idx="252">
                  <c:v>1129.3725420274818</c:v>
                </c:pt>
                <c:pt idx="253">
                  <c:v>1182.5982301417901</c:v>
                </c:pt>
                <c:pt idx="254">
                  <c:v>1238.332367655936</c:v>
                </c:pt>
                <c:pt idx="255">
                  <c:v>1296.6931741479927</c:v>
                </c:pt>
                <c:pt idx="256">
                  <c:v>1357.8044407131008</c:v>
                </c:pt>
                <c:pt idx="257">
                  <c:v>1421.7957925409728</c:v>
                </c:pt>
                <c:pt idx="258">
                  <c:v>1488.8029638683065</c:v>
                </c:pt>
                <c:pt idx="259">
                  <c:v>1558.9680858892955</c:v>
                </c:pt>
                <c:pt idx="260">
                  <c:v>1632.4399882349489</c:v>
                </c:pt>
                <c:pt idx="261">
                  <c:v>1709.3745146606891</c:v>
                </c:pt>
                <c:pt idx="262">
                  <c:v>1789.9348536118582</c:v>
                </c:pt>
                <c:pt idx="263">
                  <c:v>1874.2918843682826</c:v>
                </c:pt>
                <c:pt idx="264">
                  <c:v>1962.6245395021456</c:v>
                </c:pt>
                <c:pt idx="265">
                  <c:v>2055.1201844179468</c:v>
                </c:pt>
                <c:pt idx="266">
                  <c:v>2151.9750147796608</c:v>
                </c:pt>
                <c:pt idx="267">
                  <c:v>2253.3944726680393</c:v>
                </c:pt>
                <c:pt idx="268">
                  <c:v>2359.5936823508077</c:v>
                </c:pt>
                <c:pt idx="269">
                  <c:v>2470.7979065900763</c:v>
                </c:pt>
                <c:pt idx="270">
                  <c:v>2587.2430244548682</c:v>
                </c:pt>
                <c:pt idx="271">
                  <c:v>2709.1760316522432</c:v>
                </c:pt>
                <c:pt idx="272">
                  <c:v>2836.8555644383136</c:v>
                </c:pt>
                <c:pt idx="273">
                  <c:v>2970.5524482204055</c:v>
                </c:pt>
                <c:pt idx="274">
                  <c:v>3110.5502720140776</c:v>
                </c:pt>
                <c:pt idx="275">
                  <c:v>3257.1459899734341</c:v>
                </c:pt>
                <c:pt idx="276">
                  <c:v>3410.6505512706913</c:v>
                </c:pt>
                <c:pt idx="277">
                  <c:v>3571.3895596610782</c:v>
                </c:pt>
                <c:pt idx="278">
                  <c:v>3739.7039641320457</c:v>
                </c:pt>
                <c:pt idx="279">
                  <c:v>3915.9507821017851</c:v>
                </c:pt>
                <c:pt idx="280">
                  <c:v>4100.5038567010261</c:v>
                </c:pt>
                <c:pt idx="281">
                  <c:v>4293.7546497444582</c:v>
                </c:pt>
                <c:pt idx="282">
                  <c:v>4496.1130720737119</c:v>
                </c:pt>
                <c:pt idx="283">
                  <c:v>4708.0083530332195</c:v>
                </c:pt>
                <c:pt idx="284">
                  <c:v>4929.8899509231805</c:v>
                </c:pt>
                <c:pt idx="285">
                  <c:v>5162.2285063609088</c:v>
                </c:pt>
                <c:pt idx="286">
                  <c:v>5405.5168405726617</c:v>
                </c:pt>
                <c:pt idx="287">
                  <c:v>5660.2710007335418</c:v>
                </c:pt>
                <c:pt idx="288">
                  <c:v>5927.0313545727186</c:v>
                </c:pt>
                <c:pt idx="289">
                  <c:v>6206.3637365658851</c:v>
                </c:pt>
                <c:pt idx="290">
                  <c:v>6498.860648145991</c:v>
                </c:pt>
                <c:pt idx="291">
                  <c:v>6805.1425144782434</c:v>
                </c:pt>
                <c:pt idx="292">
                  <c:v>7125.8590004650487</c:v>
                </c:pt>
                <c:pt idx="293">
                  <c:v>7461.6903887724002</c:v>
                </c:pt>
                <c:pt idx="294">
                  <c:v>7813.349022800593</c:v>
                </c:pt>
                <c:pt idx="295">
                  <c:v>8181.5808176601058</c:v>
                </c:pt>
                <c:pt idx="296">
                  <c:v>8567.1668423575156</c:v>
                </c:pt>
                <c:pt idx="297">
                  <c:v>8970.9249765476343</c:v>
                </c:pt>
                <c:pt idx="298">
                  <c:v>9393.7116453658728</c:v>
                </c:pt>
                <c:pt idx="299">
                  <c:v>9836.4236360207997</c:v>
                </c:pt>
                <c:pt idx="300">
                  <c:v>10300</c:v>
                </c:pt>
              </c:numCache>
            </c:numRef>
          </c:xVal>
          <c:yVal>
            <c:numRef>
              <c:f>'NI AC Coupled Amp'!$K$3:$K$303</c:f>
              <c:numCache>
                <c:formatCode>General</c:formatCode>
                <c:ptCount val="301"/>
                <c:pt idx="0">
                  <c:v>4.7238284100565645E-2</c:v>
                </c:pt>
                <c:pt idx="1">
                  <c:v>5.1768683229007767E-2</c:v>
                </c:pt>
                <c:pt idx="2">
                  <c:v>5.6730740176107158E-2</c:v>
                </c:pt>
                <c:pt idx="3">
                  <c:v>6.2165017771963753E-2</c:v>
                </c:pt>
                <c:pt idx="4">
                  <c:v>6.811577795811255E-2</c:v>
                </c:pt>
                <c:pt idx="5">
                  <c:v>7.4631296781612039E-2</c:v>
                </c:pt>
                <c:pt idx="6">
                  <c:v>8.1764201757368232E-2</c:v>
                </c:pt>
                <c:pt idx="7">
                  <c:v>8.9571832270714719E-2</c:v>
                </c:pt>
                <c:pt idx="8">
                  <c:v>9.8116623501536257E-2</c:v>
                </c:pt>
                <c:pt idx="9">
                  <c:v>0.10746651409335888</c:v>
                </c:pt>
                <c:pt idx="10">
                  <c:v>0.11769537747158632</c:v>
                </c:pt>
                <c:pt idx="11">
                  <c:v>0.12888347631085198</c:v>
                </c:pt>
                <c:pt idx="12">
                  <c:v>0.14111793915197585</c:v>
                </c:pt>
                <c:pt idx="13">
                  <c:v>0.15449325756803239</c:v>
                </c:pt>
                <c:pt idx="14">
                  <c:v>0.16911180155266339</c:v>
                </c:pt>
                <c:pt idx="15">
                  <c:v>0.18508434994390549</c:v>
                </c:pt>
                <c:pt idx="16">
                  <c:v>0.20253063169314173</c:v>
                </c:pt>
                <c:pt idx="17">
                  <c:v>0.22157987262104925</c:v>
                </c:pt>
                <c:pt idx="18">
                  <c:v>0.24237134097004706</c:v>
                </c:pt>
                <c:pt idx="19">
                  <c:v>0.26505488355847218</c:v>
                </c:pt>
                <c:pt idx="20">
                  <c:v>0.28979144266271445</c:v>
                </c:pt>
                <c:pt idx="21">
                  <c:v>0.3167535419193524</c:v>
                </c:pt>
                <c:pt idx="22">
                  <c:v>0.34612572755843296</c:v>
                </c:pt>
                <c:pt idx="23">
                  <c:v>0.37810494919657467</c:v>
                </c:pt>
                <c:pt idx="24">
                  <c:v>0.4129008622790985</c:v>
                </c:pt>
                <c:pt idx="25">
                  <c:v>0.45073603213598989</c:v>
                </c:pt>
                <c:pt idx="26">
                  <c:v>0.49184601760398344</c:v>
                </c:pt>
                <c:pt idx="27">
                  <c:v>0.5364793103824137</c:v>
                </c:pt>
                <c:pt idx="28">
                  <c:v>0.58489710487628321</c:v>
                </c:pt>
                <c:pt idx="29">
                  <c:v>0.63737287241579355</c:v>
                </c:pt>
                <c:pt idx="30">
                  <c:v>0.69419171360571064</c:v>
                </c:pt>
                <c:pt idx="31">
                  <c:v>0.7556494633722044</c:v>
                </c:pt>
                <c:pt idx="32">
                  <c:v>0.82205152524883973</c:v>
                </c:pt>
                <c:pt idx="33">
                  <c:v>0.8937114147771561</c:v>
                </c:pt>
                <c:pt idx="34">
                  <c:v>0.97094899678643654</c:v>
                </c:pt>
                <c:pt idx="35">
                  <c:v>1.0540884078693604</c:v>
                </c:pt>
                <c:pt idx="36">
                  <c:v>1.143455663659064</c:v>
                </c:pt>
                <c:pt idx="37">
                  <c:v>1.2393759604687486</c:v>
                </c:pt>
                <c:pt idx="38">
                  <c:v>1.3421706923140533</c:v>
                </c:pt>
                <c:pt idx="39">
                  <c:v>1.4521542169545187</c:v>
                </c:pt>
                <c:pt idx="40">
                  <c:v>1.5696304178899219</c:v>
                </c:pt>
                <c:pt idx="41">
                  <c:v>1.6948891225703728</c:v>
                </c:pt>
                <c:pt idx="42">
                  <c:v>1.8282024496556648</c:v>
                </c:pt>
                <c:pt idx="43">
                  <c:v>1.9698211691114449</c:v>
                </c:pt>
                <c:pt idx="44">
                  <c:v>2.1199711673508563</c:v>
                </c:pt>
                <c:pt idx="45">
                  <c:v>2.2788501146687237</c:v>
                </c:pt>
                <c:pt idx="46">
                  <c:v>2.4466244331397737</c:v>
                </c:pt>
                <c:pt idx="47">
                  <c:v>2.6234266594679267</c:v>
                </c:pt>
                <c:pt idx="48">
                  <c:v>2.8093532887760109</c:v>
                </c:pt>
                <c:pt idx="49">
                  <c:v>3.0044631721671622</c:v>
                </c:pt>
                <c:pt idx="50">
                  <c:v>3.2087765235939099</c:v>
                </c:pt>
                <c:pt idx="51">
                  <c:v>3.4222745710093965</c:v>
                </c:pt>
                <c:pt idx="52">
                  <c:v>3.6448998641135439</c:v>
                </c:pt>
                <c:pt idx="53">
                  <c:v>3.8765572275953666</c:v>
                </c:pt>
                <c:pt idx="54">
                  <c:v>4.117115326033451</c:v>
                </c:pt>
                <c:pt idx="55">
                  <c:v>4.3664087859081295</c:v>
                </c:pt>
                <c:pt idx="56">
                  <c:v>4.6242408026833006</c:v>
                </c:pt>
                <c:pt idx="57">
                  <c:v>4.8903861475103181</c:v>
                </c:pt>
                <c:pt idx="58">
                  <c:v>5.1645944793524201</c:v>
                </c:pt>
                <c:pt idx="59">
                  <c:v>5.4465938643777667</c:v>
                </c:pt>
                <c:pt idx="60">
                  <c:v>5.7360944051560967</c:v>
                </c:pt>
                <c:pt idx="61">
                  <c:v>6.0327918870195409</c:v>
                </c:pt>
                <c:pt idx="62">
                  <c:v>6.3363713572045182</c:v>
                </c:pt>
                <c:pt idx="63">
                  <c:v>6.6465105632264656</c:v>
                </c:pt>
                <c:pt idx="64">
                  <c:v>6.962883189443402</c:v>
                </c:pt>
                <c:pt idx="65">
                  <c:v>7.2851618440638068</c:v>
                </c:pt>
                <c:pt idx="66">
                  <c:v>7.6130207621669719</c:v>
                </c:pt>
                <c:pt idx="67">
                  <c:v>7.9461382029623397</c:v>
                </c:pt>
                <c:pt idx="68">
                  <c:v>8.2841985310398698</c:v>
                </c:pt>
                <c:pt idx="69">
                  <c:v>8.6268939813973784</c:v>
                </c:pt>
                <c:pt idx="70">
                  <c:v>8.9739261164013424</c:v>
                </c:pt>
                <c:pt idx="71">
                  <c:v>9.3250069894757601</c:v>
                </c:pt>
                <c:pt idx="72">
                  <c:v>9.6798600352752455</c:v>
                </c:pt>
                <c:pt idx="73">
                  <c:v>10.038220709503562</c:v>
                </c:pt>
                <c:pt idx="74">
                  <c:v>10.399836903564294</c:v>
                </c:pt>
                <c:pt idx="75">
                  <c:v>10.764469160089078</c:v>
                </c:pt>
                <c:pt idx="76">
                  <c:v>11.131890715282697</c:v>
                </c:pt>
                <c:pt idx="77">
                  <c:v>11.501887393175904</c:v>
                </c:pt>
                <c:pt idx="78">
                  <c:v>11.874257375469334</c:v>
                </c:pt>
                <c:pt idx="79">
                  <c:v>12.248810868863245</c:v>
                </c:pt>
                <c:pt idx="80">
                  <c:v>12.625369689740593</c:v>
                </c:pt>
                <c:pt idx="81">
                  <c:v>13.003766783926752</c:v>
                </c:pt>
                <c:pt idx="82">
                  <c:v>13.383845697083077</c:v>
                </c:pt>
                <c:pt idx="83">
                  <c:v>13.765460009174227</c:v>
                </c:pt>
                <c:pt idx="84">
                  <c:v>14.148472744434951</c:v>
                </c:pt>
                <c:pt idx="85">
                  <c:v>14.532755766383659</c:v>
                </c:pt>
                <c:pt idx="86">
                  <c:v>14.918189165711356</c:v>
                </c:pt>
                <c:pt idx="87">
                  <c:v>15.304660647321711</c:v>
                </c:pt>
                <c:pt idx="88">
                  <c:v>15.692064921419167</c:v>
                </c:pt>
                <c:pt idx="89">
                  <c:v>16.080303102325825</c:v>
                </c:pt>
                <c:pt idx="90">
                  <c:v>16.469282117651268</c:v>
                </c:pt>
                <c:pt idx="91">
                  <c:v>16.858914129528728</c:v>
                </c:pt>
                <c:pt idx="92">
                  <c:v>17.249115968854102</c:v>
                </c:pt>
                <c:pt idx="93">
                  <c:v>17.639808582807067</c:v>
                </c:pt>
                <c:pt idx="94">
                  <c:v>18.030916495384236</c:v>
                </c:pt>
                <c:pt idx="95">
                  <c:v>18.422367280219316</c:v>
                </c:pt>
                <c:pt idx="96">
                  <c:v>18.814091044592239</c:v>
                </c:pt>
                <c:pt idx="97">
                  <c:v>19.206019923229579</c:v>
                </c:pt>
                <c:pt idx="98">
                  <c:v>19.598087580262455</c:v>
                </c:pt>
                <c:pt idx="99">
                  <c:v>19.990228717525962</c:v>
                </c:pt>
                <c:pt idx="100">
                  <c:v>20.382378587253612</c:v>
                </c:pt>
                <c:pt idx="101">
                  <c:v>20.774472507132785</c:v>
                </c:pt>
                <c:pt idx="102">
                  <c:v>21.166445375642521</c:v>
                </c:pt>
                <c:pt idx="103">
                  <c:v>21.558231185589069</c:v>
                </c:pt>
                <c:pt idx="104">
                  <c:v>21.949762533789347</c:v>
                </c:pt>
                <c:pt idx="105">
                  <c:v>22.340970124927718</c:v>
                </c:pt>
                <c:pt idx="106">
                  <c:v>22.731782267730445</c:v>
                </c:pt>
                <c:pt idx="107">
                  <c:v>23.122124361769565</c:v>
                </c:pt>
                <c:pt idx="108">
                  <c:v>23.511918373428529</c:v>
                </c:pt>
                <c:pt idx="109">
                  <c:v>23.901082299843658</c:v>
                </c:pt>
                <c:pt idx="110">
                  <c:v>24.289529619989306</c:v>
                </c:pt>
                <c:pt idx="111">
                  <c:v>24.677168732502892</c:v>
                </c:pt>
                <c:pt idx="112">
                  <c:v>25.063902380371612</c:v>
                </c:pt>
                <c:pt idx="113">
                  <c:v>25.449627063229276</c:v>
                </c:pt>
                <c:pt idx="114">
                  <c:v>25.834232438752416</c:v>
                </c:pt>
                <c:pt idx="115">
                  <c:v>26.217600715520412</c:v>
                </c:pt>
                <c:pt idx="116">
                  <c:v>26.599606040720953</c:v>
                </c:pt>
                <c:pt idx="117">
                  <c:v>26.980113887251029</c:v>
                </c:pt>
                <c:pt idx="118">
                  <c:v>27.358980446101313</c:v>
                </c:pt>
                <c:pt idx="119">
                  <c:v>27.736052031415561</c:v>
                </c:pt>
                <c:pt idx="120">
                  <c:v>28.111164507292052</c:v>
                </c:pt>
                <c:pt idx="121">
                  <c:v>28.484142747229871</c:v>
                </c:pt>
                <c:pt idx="122">
                  <c:v>28.854800139104544</c:v>
                </c:pt>
                <c:pt idx="123">
                  <c:v>29.22293815065057</c:v>
                </c:pt>
                <c:pt idx="124">
                  <c:v>29.588345972587401</c:v>
                </c:pt>
                <c:pt idx="125">
                  <c:v>29.950800258683998</c:v>
                </c:pt>
                <c:pt idx="126">
                  <c:v>30.310064984127241</c:v>
                </c:pt>
                <c:pt idx="127">
                  <c:v>30.665891445425601</c:v>
                </c:pt>
                <c:pt idx="128">
                  <c:v>31.018018426604538</c:v>
                </c:pt>
                <c:pt idx="129">
                  <c:v>31.366172557470655</c:v>
                </c:pt>
                <c:pt idx="130">
                  <c:v>31.710068890045932</c:v>
                </c:pt>
                <c:pt idx="131">
                  <c:v>32.049411718697115</c:v>
                </c:pt>
                <c:pt idx="132">
                  <c:v>32.383895667797667</c:v>
                </c:pt>
                <c:pt idx="133">
                  <c:v>32.713207067743816</c:v>
                </c:pt>
                <c:pt idx="134">
                  <c:v>33.037025635622626</c:v>
                </c:pt>
                <c:pt idx="135">
                  <c:v>33.355026470651651</c:v>
                </c:pt>
                <c:pt idx="136">
                  <c:v>33.666882366608384</c:v>
                </c:pt>
                <c:pt idx="137">
                  <c:v>33.972266433868043</c:v>
                </c:pt>
                <c:pt idx="138">
                  <c:v>34.270855012521572</c:v>
                </c:pt>
                <c:pt idx="139">
                  <c:v>34.562330845649718</c:v>
                </c:pt>
                <c:pt idx="140">
                  <c:v>34.846386468634421</c:v>
                </c:pt>
                <c:pt idx="141">
                  <c:v>35.122727757015227</c:v>
                </c:pt>
                <c:pt idx="142">
                  <c:v>35.391077562592827</c:v>
                </c:pt>
                <c:pt idx="143">
                  <c:v>35.651179356108756</c:v>
                </c:pt>
                <c:pt idx="144">
                  <c:v>35.902800785788635</c:v>
                </c:pt>
                <c:pt idx="145">
                  <c:v>36.145737055205046</c:v>
                </c:pt>
                <c:pt idx="146">
                  <c:v>36.37981402205363</c:v>
                </c:pt>
                <c:pt idx="147">
                  <c:v>36.604890922099244</c:v>
                </c:pt>
                <c:pt idx="148">
                  <c:v>36.820862630008598</c:v>
                </c:pt>
                <c:pt idx="149">
                  <c:v>37.027661380970734</c:v>
                </c:pt>
                <c:pt idx="150">
                  <c:v>37.225257893472019</c:v>
                </c:pt>
                <c:pt idx="151">
                  <c:v>37.413661853538223</c:v>
                </c:pt>
                <c:pt idx="152">
                  <c:v>37.592921743074641</c:v>
                </c:pt>
                <c:pt idx="153">
                  <c:v>37.763124018305795</c:v>
                </c:pt>
                <c:pt idx="154">
                  <c:v>37.924391667318417</c:v>
                </c:pt>
                <c:pt idx="155">
                  <c:v>38.076882196965052</c:v>
                </c:pt>
                <c:pt idx="156">
                  <c:v>38.220785117664946</c:v>
                </c:pt>
                <c:pt idx="157">
                  <c:v>38.356319008978033</c:v>
                </c:pt>
                <c:pt idx="158">
                  <c:v>38.483728258619578</c:v>
                </c:pt>
                <c:pt idx="159">
                  <c:v>38.603279572559849</c:v>
                </c:pt>
                <c:pt idx="160">
                  <c:v>38.715258354135699</c:v>
                </c:pt>
                <c:pt idx="161">
                  <c:v>38.8199650461126</c:v>
                </c:pt>
                <c:pt idx="162">
                  <c:v>38.917711522046858</c:v>
                </c:pt>
                <c:pt idx="163">
                  <c:v>39.008817602939843</c:v>
                </c:pt>
                <c:pt idx="164">
                  <c:v>39.093607762952587</c:v>
                </c:pt>
                <c:pt idx="165">
                  <c:v>39.172408074742229</c:v>
                </c:pt>
                <c:pt idx="166">
                  <c:v>39.245543431610187</c:v>
                </c:pt>
                <c:pt idx="167">
                  <c:v>39.313335070792</c:v>
                </c:pt>
                <c:pt idx="168">
                  <c:v>39.376098410411686</c:v>
                </c:pt>
                <c:pt idx="169">
                  <c:v>39.434141202234933</c:v>
                </c:pt>
                <c:pt idx="170">
                  <c:v>39.487761993608835</c:v>
                </c:pt>
                <c:pt idx="171">
                  <c:v>39.537248884952369</c:v>
                </c:pt>
                <c:pt idx="172">
                  <c:v>39.582878563838015</c:v>
                </c:pt>
                <c:pt idx="173">
                  <c:v>39.624915592961734</c:v>
                </c:pt>
                <c:pt idx="174">
                  <c:v>39.663611926980614</c:v>
                </c:pt>
                <c:pt idx="175">
                  <c:v>39.699206632089158</c:v>
                </c:pt>
                <c:pt idx="176">
                  <c:v>39.73192578210552</c:v>
                </c:pt>
                <c:pt idx="177">
                  <c:v>39.761982505526198</c:v>
                </c:pt>
                <c:pt idx="178">
                  <c:v>39.789577159291923</c:v>
                </c:pt>
                <c:pt idx="179">
                  <c:v>39.814897606705529</c:v>
                </c:pt>
                <c:pt idx="180">
                  <c:v>39.838119578908589</c:v>
                </c:pt>
                <c:pt idx="181">
                  <c:v>39.859407101426306</c:v>
                </c:pt>
                <c:pt idx="182">
                  <c:v>39.878912969434026</c:v>
                </c:pt>
                <c:pt idx="183">
                  <c:v>39.896779257502899</c:v>
                </c:pt>
                <c:pt idx="184">
                  <c:v>39.913137851593348</c:v>
                </c:pt>
                <c:pt idx="185">
                  <c:v>39.928110992943132</c:v>
                </c:pt>
                <c:pt idx="186">
                  <c:v>39.941811825217435</c:v>
                </c:pt>
                <c:pt idx="187">
                  <c:v>39.954344937841206</c:v>
                </c:pt>
                <c:pt idx="188">
                  <c:v>39.965806899812911</c:v>
                </c:pt>
                <c:pt idx="189">
                  <c:v>39.976286779509003</c:v>
                </c:pt>
                <c:pt idx="190">
                  <c:v>39.985866647036609</c:v>
                </c:pt>
                <c:pt idx="191">
                  <c:v>39.994622056589662</c:v>
                </c:pt>
                <c:pt idx="192">
                  <c:v>40.002622507022842</c:v>
                </c:pt>
                <c:pt idx="193">
                  <c:v>40.009931879493628</c:v>
                </c:pt>
                <c:pt idx="194">
                  <c:v>40.016608851547097</c:v>
                </c:pt>
                <c:pt idx="195">
                  <c:v>40.022707287445904</c:v>
                </c:pt>
                <c:pt idx="196">
                  <c:v>40.028276604891445</c:v>
                </c:pt>
                <c:pt idx="197">
                  <c:v>40.033362118552972</c:v>
                </c:pt>
                <c:pt idx="198">
                  <c:v>40.038005361030564</c:v>
                </c:pt>
                <c:pt idx="199">
                  <c:v>40.042244382034831</c:v>
                </c:pt>
                <c:pt idx="200">
                  <c:v>40.046114026679831</c:v>
                </c:pt>
                <c:pt idx="201">
                  <c:v>40.049646193862635</c:v>
                </c:pt>
                <c:pt idx="202">
                  <c:v>40.052870075751244</c:v>
                </c:pt>
                <c:pt idx="203">
                  <c:v>40.055812379426854</c:v>
                </c:pt>
                <c:pt idx="204">
                  <c:v>40.058497531729735</c:v>
                </c:pt>
                <c:pt idx="205">
                  <c:v>40.060947868348514</c:v>
                </c:pt>
                <c:pt idx="206">
                  <c:v>40.063183808173477</c:v>
                </c:pt>
                <c:pt idx="207">
                  <c:v>40.065224013897009</c:v>
                </c:pt>
                <c:pt idx="208">
                  <c:v>40.067085539814926</c:v>
                </c:pt>
                <c:pt idx="209">
                  <c:v>40.068783967735314</c:v>
                </c:pt>
                <c:pt idx="210">
                  <c:v>40.070333531858331</c:v>
                </c:pt>
                <c:pt idx="211">
                  <c:v>40.071747233444995</c:v>
                </c:pt>
                <c:pt idx="212">
                  <c:v>40.073036946046052</c:v>
                </c:pt>
                <c:pt idx="213">
                  <c:v>40.074213512011895</c:v>
                </c:pt>
                <c:pt idx="214">
                  <c:v>40.075286830964316</c:v>
                </c:pt>
                <c:pt idx="215">
                  <c:v>40.076265940859948</c:v>
                </c:pt>
                <c:pt idx="216">
                  <c:v>40.077159092235711</c:v>
                </c:pt>
                <c:pt idx="217">
                  <c:v>40.077973816183857</c:v>
                </c:pt>
                <c:pt idx="218">
                  <c:v>40.078716986564409</c:v>
                </c:pt>
                <c:pt idx="219">
                  <c:v>40.079394876926592</c:v>
                </c:pt>
                <c:pt idx="220">
                  <c:v>40.080013212572531</c:v>
                </c:pt>
                <c:pt idx="221">
                  <c:v>40.080577218167505</c:v>
                </c:pt>
                <c:pt idx="222">
                  <c:v>40.081091661266008</c:v>
                </c:pt>
                <c:pt idx="223">
                  <c:v>40.081560892095766</c:v>
                </c:pt>
                <c:pt idx="224">
                  <c:v>40.081988879914583</c:v>
                </c:pt>
                <c:pt idx="225">
                  <c:v>40.082379246228825</c:v>
                </c:pt>
                <c:pt idx="226">
                  <c:v>40.08273529514036</c:v>
                </c:pt>
                <c:pt idx="227">
                  <c:v>40.083060041064378</c:v>
                </c:pt>
                <c:pt idx="228">
                  <c:v>40.083356234044814</c:v>
                </c:pt>
                <c:pt idx="229">
                  <c:v>40.08362638287079</c:v>
                </c:pt>
                <c:pt idx="230">
                  <c:v>40.083872776183568</c:v>
                </c:pt>
                <c:pt idx="231">
                  <c:v>40.084097501746648</c:v>
                </c:pt>
                <c:pt idx="232">
                  <c:v>40.084302464037251</c:v>
                </c:pt>
                <c:pt idx="233">
                  <c:v>40.084489400303738</c:v>
                </c:pt>
                <c:pt idx="234">
                  <c:v>40.084659895222295</c:v>
                </c:pt>
                <c:pt idx="235">
                  <c:v>40.084815394273164</c:v>
                </c:pt>
                <c:pt idx="236">
                  <c:v>40.084957215948585</c:v>
                </c:pt>
                <c:pt idx="237">
                  <c:v>40.085086562892663</c:v>
                </c:pt>
                <c:pt idx="238">
                  <c:v>40.085204532067316</c:v>
                </c:pt>
                <c:pt idx="239">
                  <c:v>40.085312124027908</c:v>
                </c:pt>
                <c:pt idx="240">
                  <c:v>40.085410251386648</c:v>
                </c:pt>
                <c:pt idx="241">
                  <c:v>40.085499746534893</c:v>
                </c:pt>
                <c:pt idx="242">
                  <c:v>40.085581368688537</c:v>
                </c:pt>
                <c:pt idx="243">
                  <c:v>40.085655810315181</c:v>
                </c:pt>
                <c:pt idx="244">
                  <c:v>40.085723702998415</c:v>
                </c:pt>
                <c:pt idx="245">
                  <c:v>40.085785622786915</c:v>
                </c:pt>
                <c:pt idx="246">
                  <c:v>40.085842095075108</c:v>
                </c:pt>
                <c:pt idx="247">
                  <c:v>40.08589359905443</c:v>
                </c:pt>
                <c:pt idx="248">
                  <c:v>40.085940571774479</c:v>
                </c:pt>
                <c:pt idx="249">
                  <c:v>40.085983411847408</c:v>
                </c:pt>
                <c:pt idx="250">
                  <c:v>40.08602248282682</c:v>
                </c:pt>
                <c:pt idx="251">
                  <c:v>40.08605811629009</c:v>
                </c:pt>
                <c:pt idx="252">
                  <c:v>40.086090614649763</c:v>
                </c:pt>
                <c:pt idx="253">
                  <c:v>40.086120253718001</c:v>
                </c:pt>
                <c:pt idx="254">
                  <c:v>40.086147285046117</c:v>
                </c:pt>
                <c:pt idx="255">
                  <c:v>40.086171938056935</c:v>
                </c:pt>
                <c:pt idx="256">
                  <c:v>40.086194421992118</c:v>
                </c:pt>
                <c:pt idx="257">
                  <c:v>40.086214927686264</c:v>
                </c:pt>
                <c:pt idx="258">
                  <c:v>40.08623362918599</c:v>
                </c:pt>
                <c:pt idx="259">
                  <c:v>40.086250685226609</c:v>
                </c:pt>
                <c:pt idx="260">
                  <c:v>40.086266240579036</c:v>
                </c:pt>
                <c:pt idx="261">
                  <c:v>40.086280427277671</c:v>
                </c:pt>
                <c:pt idx="262">
                  <c:v>40.086293365741</c:v>
                </c:pt>
                <c:pt idx="263">
                  <c:v>40.086305165793362</c:v>
                </c:pt>
                <c:pt idx="264">
                  <c:v>40.086315927596985</c:v>
                </c:pt>
                <c:pt idx="265">
                  <c:v>40.086325742501799</c:v>
                </c:pt>
                <c:pt idx="266">
                  <c:v>40.086334693820703</c:v>
                </c:pt>
                <c:pt idx="267">
                  <c:v>40.086342857536714</c:v>
                </c:pt>
                <c:pt idx="268">
                  <c:v>40.086350302947622</c:v>
                </c:pt>
                <c:pt idx="269">
                  <c:v>40.086357093254044</c:v>
                </c:pt>
                <c:pt idx="270">
                  <c:v>40.086363286096478</c:v>
                </c:pt>
                <c:pt idx="271">
                  <c:v>40.086368934043648</c:v>
                </c:pt>
                <c:pt idx="272">
                  <c:v>40.086374085038997</c:v>
                </c:pt>
                <c:pt idx="273">
                  <c:v>40.086378782807934</c:v>
                </c:pt>
                <c:pt idx="274">
                  <c:v>40.086383067228638</c:v>
                </c:pt>
                <c:pt idx="275">
                  <c:v>40.086386974670347</c:v>
                </c:pt>
                <c:pt idx="276">
                  <c:v>40.086390538302638</c:v>
                </c:pt>
                <c:pt idx="277">
                  <c:v>40.086393788376483</c:v>
                </c:pt>
                <c:pt idx="278">
                  <c:v>40.086396752481193</c:v>
                </c:pt>
                <c:pt idx="279">
                  <c:v>40.086399455778505</c:v>
                </c:pt>
                <c:pt idx="280">
                  <c:v>40.086401921216506</c:v>
                </c:pt>
                <c:pt idx="281">
                  <c:v>40.08640416972387</c:v>
                </c:pt>
                <c:pt idx="282">
                  <c:v>40.086406220387971</c:v>
                </c:pt>
                <c:pt idx="283">
                  <c:v>40.08640809061675</c:v>
                </c:pt>
                <c:pt idx="284">
                  <c:v>40.086409796286297</c:v>
                </c:pt>
                <c:pt idx="285">
                  <c:v>40.086411351876066</c:v>
                </c:pt>
                <c:pt idx="286">
                  <c:v>40.086412770591252</c:v>
                </c:pt>
                <c:pt idx="287">
                  <c:v>40.086414064475264</c:v>
                </c:pt>
                <c:pt idx="288">
                  <c:v>40.086415244511819</c:v>
                </c:pt>
                <c:pt idx="289">
                  <c:v>40.086416320718278</c:v>
                </c:pt>
                <c:pt idx="290">
                  <c:v>40.086417302230508</c:v>
                </c:pt>
                <c:pt idx="291">
                  <c:v>40.086418197380389</c:v>
                </c:pt>
                <c:pt idx="292">
                  <c:v>40.086419013767014</c:v>
                </c:pt>
                <c:pt idx="293">
                  <c:v>40.086419758320638</c:v>
                </c:pt>
                <c:pt idx="294">
                  <c:v>40.086420437361674</c:v>
                </c:pt>
                <c:pt idx="295">
                  <c:v>40.086421056654515</c:v>
                </c:pt>
                <c:pt idx="296">
                  <c:v>40.086421621456424</c:v>
                </c:pt>
                <c:pt idx="297">
                  <c:v>40.086422136561914</c:v>
                </c:pt>
                <c:pt idx="298">
                  <c:v>40.086422606343781</c:v>
                </c:pt>
                <c:pt idx="299">
                  <c:v>40.086423034789988</c:v>
                </c:pt>
                <c:pt idx="300">
                  <c:v>40.086423425537554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29-42B4-AA7D-5C13ED2E6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101904"/>
        <c:axId val="674100592"/>
      </c:scatterChart>
      <c:valAx>
        <c:axId val="6741019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]0.00\ &quot;m&quot;;[&gt;=1000]0,\ &quot;k&quot;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0592"/>
        <c:crossesAt val="-300"/>
        <c:crossBetween val="midCat"/>
      </c:valAx>
      <c:valAx>
        <c:axId val="67410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1904"/>
        <c:crossesAt val="1.0000000000000004E-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sz="1200"/>
              <a:t>φ</a:t>
            </a:r>
            <a:r>
              <a:rPr lang="en-US" sz="1200"/>
              <a:t> (Degrees)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'NI AC Coupled Amp'!$H$3:$H$303</c:f>
              <c:numCache>
                <c:formatCode>General</c:formatCode>
                <c:ptCount val="301"/>
                <c:pt idx="0">
                  <c:v>1.03E-2</c:v>
                </c:pt>
                <c:pt idx="1">
                  <c:v>1.0785424044924257E-2</c:v>
                </c:pt>
                <c:pt idx="2">
                  <c:v>1.1293725420274806E-2</c:v>
                </c:pt>
                <c:pt idx="3">
                  <c:v>1.1825982301417889E-2</c:v>
                </c:pt>
                <c:pt idx="4">
                  <c:v>1.2383323676559348E-2</c:v>
                </c:pt>
                <c:pt idx="5">
                  <c:v>1.2966931741479913E-2</c:v>
                </c:pt>
                <c:pt idx="6">
                  <c:v>1.3578044407130993E-2</c:v>
                </c:pt>
                <c:pt idx="7">
                  <c:v>1.421795792540971E-2</c:v>
                </c:pt>
                <c:pt idx="8">
                  <c:v>1.488802963868305E-2</c:v>
                </c:pt>
                <c:pt idx="9">
                  <c:v>1.5589680858892936E-2</c:v>
                </c:pt>
                <c:pt idx="10">
                  <c:v>1.6324399882349471E-2</c:v>
                </c:pt>
                <c:pt idx="11">
                  <c:v>1.7093745146606876E-2</c:v>
                </c:pt>
                <c:pt idx="12">
                  <c:v>1.7899348536118562E-2</c:v>
                </c:pt>
                <c:pt idx="13">
                  <c:v>1.8742918843682805E-2</c:v>
                </c:pt>
                <c:pt idx="14">
                  <c:v>1.9626245395021436E-2</c:v>
                </c:pt>
                <c:pt idx="15">
                  <c:v>2.0551201844179447E-2</c:v>
                </c:pt>
                <c:pt idx="16">
                  <c:v>2.1519750147796585E-2</c:v>
                </c:pt>
                <c:pt idx="17">
                  <c:v>2.2533944726680365E-2</c:v>
                </c:pt>
                <c:pt idx="18">
                  <c:v>2.3595936823508048E-2</c:v>
                </c:pt>
                <c:pt idx="19">
                  <c:v>2.4707979065900734E-2</c:v>
                </c:pt>
                <c:pt idx="20">
                  <c:v>2.5872430244548651E-2</c:v>
                </c:pt>
                <c:pt idx="21">
                  <c:v>2.7091760316522408E-2</c:v>
                </c:pt>
                <c:pt idx="22">
                  <c:v>2.8368555644383103E-2</c:v>
                </c:pt>
                <c:pt idx="23">
                  <c:v>2.9705524482204024E-2</c:v>
                </c:pt>
                <c:pt idx="24">
                  <c:v>3.1105502720140742E-2</c:v>
                </c:pt>
                <c:pt idx="25">
                  <c:v>3.2571459899734277E-2</c:v>
                </c:pt>
                <c:pt idx="26">
                  <c:v>3.4106505512706879E-2</c:v>
                </c:pt>
                <c:pt idx="27">
                  <c:v>3.5713895596610749E-2</c:v>
                </c:pt>
                <c:pt idx="28">
                  <c:v>3.7397039641320413E-2</c:v>
                </c:pt>
                <c:pt idx="29">
                  <c:v>3.9159507821017812E-2</c:v>
                </c:pt>
                <c:pt idx="30">
                  <c:v>4.100503856701021E-2</c:v>
                </c:pt>
                <c:pt idx="31">
                  <c:v>4.2937546497444537E-2</c:v>
                </c:pt>
                <c:pt idx="32">
                  <c:v>4.4961130720737069E-2</c:v>
                </c:pt>
                <c:pt idx="33">
                  <c:v>4.7080083530332134E-2</c:v>
                </c:pt>
                <c:pt idx="34">
                  <c:v>4.9298899509231754E-2</c:v>
                </c:pt>
                <c:pt idx="35">
                  <c:v>5.1622285063609032E-2</c:v>
                </c:pt>
                <c:pt idx="36">
                  <c:v>5.4055168405726557E-2</c:v>
                </c:pt>
                <c:pt idx="37">
                  <c:v>5.6602710007335348E-2</c:v>
                </c:pt>
                <c:pt idx="38">
                  <c:v>5.9270313545727121E-2</c:v>
                </c:pt>
                <c:pt idx="39">
                  <c:v>6.2063637365658793E-2</c:v>
                </c:pt>
                <c:pt idx="40">
                  <c:v>6.4988606481459835E-2</c:v>
                </c:pt>
                <c:pt idx="41">
                  <c:v>6.8051425144782351E-2</c:v>
                </c:pt>
                <c:pt idx="42">
                  <c:v>7.1258590004650416E-2</c:v>
                </c:pt>
                <c:pt idx="43">
                  <c:v>7.4616903887723907E-2</c:v>
                </c:pt>
                <c:pt idx="44">
                  <c:v>7.813349022800585E-2</c:v>
                </c:pt>
                <c:pt idx="45">
                  <c:v>8.1815808176600974E-2</c:v>
                </c:pt>
                <c:pt idx="46">
                  <c:v>8.567166842357507E-2</c:v>
                </c:pt>
                <c:pt idx="47">
                  <c:v>8.9709249765476257E-2</c:v>
                </c:pt>
                <c:pt idx="48">
                  <c:v>9.3937116453658612E-2</c:v>
                </c:pt>
                <c:pt idx="49">
                  <c:v>9.8364236360207885E-2</c:v>
                </c:pt>
                <c:pt idx="50">
                  <c:v>0.10300000000000001</c:v>
                </c:pt>
                <c:pt idx="51">
                  <c:v>0.10785424044924259</c:v>
                </c:pt>
                <c:pt idx="52">
                  <c:v>0.11293725420274807</c:v>
                </c:pt>
                <c:pt idx="53">
                  <c:v>0.11825982301417892</c:v>
                </c:pt>
                <c:pt idx="54">
                  <c:v>0.12383323676559349</c:v>
                </c:pt>
                <c:pt idx="55">
                  <c:v>0.12966931741479915</c:v>
                </c:pt>
                <c:pt idx="56">
                  <c:v>0.13578044407130999</c:v>
                </c:pt>
                <c:pt idx="57">
                  <c:v>0.14217957925409702</c:v>
                </c:pt>
                <c:pt idx="58">
                  <c:v>0.14888029638683051</c:v>
                </c:pt>
                <c:pt idx="59">
                  <c:v>0.1558968085889294</c:v>
                </c:pt>
                <c:pt idx="60">
                  <c:v>0.16324399882349458</c:v>
                </c:pt>
                <c:pt idx="61">
                  <c:v>0.17093745146606862</c:v>
                </c:pt>
                <c:pt idx="62">
                  <c:v>0.1789934853611857</c:v>
                </c:pt>
                <c:pt idx="63">
                  <c:v>0.18742918843682826</c:v>
                </c:pt>
                <c:pt idx="64">
                  <c:v>0.19626245395021438</c:v>
                </c:pt>
                <c:pt idx="65">
                  <c:v>0.20551201844179456</c:v>
                </c:pt>
                <c:pt idx="66">
                  <c:v>0.21519750147796599</c:v>
                </c:pt>
                <c:pt idx="67">
                  <c:v>0.22533944726680391</c:v>
                </c:pt>
                <c:pt idx="68">
                  <c:v>0.23595936823508057</c:v>
                </c:pt>
                <c:pt idx="69">
                  <c:v>0.24707979065900743</c:v>
                </c:pt>
                <c:pt idx="70">
                  <c:v>0.25872430244548655</c:v>
                </c:pt>
                <c:pt idx="71">
                  <c:v>0.27091760316522423</c:v>
                </c:pt>
                <c:pt idx="72">
                  <c:v>0.28368555644383098</c:v>
                </c:pt>
                <c:pt idx="73">
                  <c:v>0.29705524482204032</c:v>
                </c:pt>
                <c:pt idx="74">
                  <c:v>0.31105502720140754</c:v>
                </c:pt>
                <c:pt idx="75">
                  <c:v>0.32571459899734301</c:v>
                </c:pt>
                <c:pt idx="76">
                  <c:v>0.34106505512706881</c:v>
                </c:pt>
                <c:pt idx="77">
                  <c:v>0.35713895596610756</c:v>
                </c:pt>
                <c:pt idx="78">
                  <c:v>0.3739703964132044</c:v>
                </c:pt>
                <c:pt idx="79">
                  <c:v>0.39159507821017797</c:v>
                </c:pt>
                <c:pt idx="80">
                  <c:v>0.41005038567010221</c:v>
                </c:pt>
                <c:pt idx="81">
                  <c:v>0.42937546497444545</c:v>
                </c:pt>
                <c:pt idx="82">
                  <c:v>0.44961130720737086</c:v>
                </c:pt>
                <c:pt idx="83">
                  <c:v>0.47080083530332106</c:v>
                </c:pt>
                <c:pt idx="84">
                  <c:v>0.49298899509231742</c:v>
                </c:pt>
                <c:pt idx="85">
                  <c:v>0.5162228506360903</c:v>
                </c:pt>
                <c:pt idx="86">
                  <c:v>0.54055168405726561</c:v>
                </c:pt>
                <c:pt idx="87">
                  <c:v>0.56602710007335311</c:v>
                </c:pt>
                <c:pt idx="88">
                  <c:v>0.5927031354572716</c:v>
                </c:pt>
                <c:pt idx="89">
                  <c:v>0.62063637365658819</c:v>
                </c:pt>
                <c:pt idx="90">
                  <c:v>0.64988606481459898</c:v>
                </c:pt>
                <c:pt idx="91">
                  <c:v>0.68051425144782374</c:v>
                </c:pt>
                <c:pt idx="92">
                  <c:v>0.71258590004650457</c:v>
                </c:pt>
                <c:pt idx="93">
                  <c:v>0.74616903887723962</c:v>
                </c:pt>
                <c:pt idx="94">
                  <c:v>0.78133490228005908</c:v>
                </c:pt>
                <c:pt idx="95">
                  <c:v>0.81815808176600946</c:v>
                </c:pt>
                <c:pt idx="96">
                  <c:v>0.85671668423575098</c:v>
                </c:pt>
                <c:pt idx="97">
                  <c:v>0.89709249765476262</c:v>
                </c:pt>
                <c:pt idx="98">
                  <c:v>0.93937116453658676</c:v>
                </c:pt>
                <c:pt idx="99">
                  <c:v>0.9836423636020788</c:v>
                </c:pt>
                <c:pt idx="100">
                  <c:v>1.03</c:v>
                </c:pt>
                <c:pt idx="101">
                  <c:v>1.0785424044924268</c:v>
                </c:pt>
                <c:pt idx="102">
                  <c:v>1.1293725420274805</c:v>
                </c:pt>
                <c:pt idx="103">
                  <c:v>1.1825982301417894</c:v>
                </c:pt>
                <c:pt idx="104">
                  <c:v>1.2383323676559352</c:v>
                </c:pt>
                <c:pt idx="105">
                  <c:v>1.2966931741479919</c:v>
                </c:pt>
                <c:pt idx="106">
                  <c:v>1.3578044407130994</c:v>
                </c:pt>
                <c:pt idx="107">
                  <c:v>1.421795792540971</c:v>
                </c:pt>
                <c:pt idx="108">
                  <c:v>1.4888029638683051</c:v>
                </c:pt>
                <c:pt idx="109">
                  <c:v>1.5589680858892943</c:v>
                </c:pt>
                <c:pt idx="110">
                  <c:v>1.6324399882349467</c:v>
                </c:pt>
                <c:pt idx="111">
                  <c:v>1.7093745146606869</c:v>
                </c:pt>
                <c:pt idx="112">
                  <c:v>1.7899348536118562</c:v>
                </c:pt>
                <c:pt idx="113">
                  <c:v>1.874291884368283</c:v>
                </c:pt>
                <c:pt idx="114">
                  <c:v>1.9626245395021447</c:v>
                </c:pt>
                <c:pt idx="115">
                  <c:v>2.0551201844179459</c:v>
                </c:pt>
                <c:pt idx="116">
                  <c:v>2.1519750147796604</c:v>
                </c:pt>
                <c:pt idx="117">
                  <c:v>2.2533944726680391</c:v>
                </c:pt>
                <c:pt idx="118">
                  <c:v>2.3595936823508064</c:v>
                </c:pt>
                <c:pt idx="119">
                  <c:v>2.4707979065900751</c:v>
                </c:pt>
                <c:pt idx="120">
                  <c:v>2.5872430244548679</c:v>
                </c:pt>
                <c:pt idx="121">
                  <c:v>2.7091760316522437</c:v>
                </c:pt>
                <c:pt idx="122">
                  <c:v>2.8368555644383115</c:v>
                </c:pt>
                <c:pt idx="123">
                  <c:v>2.970552448220404</c:v>
                </c:pt>
                <c:pt idx="124">
                  <c:v>3.1105502720140761</c:v>
                </c:pt>
                <c:pt idx="125">
                  <c:v>3.2571459899734312</c:v>
                </c:pt>
                <c:pt idx="126">
                  <c:v>3.4106505512706882</c:v>
                </c:pt>
                <c:pt idx="127">
                  <c:v>3.5713895596610765</c:v>
                </c:pt>
                <c:pt idx="128">
                  <c:v>3.7397039641320444</c:v>
                </c:pt>
                <c:pt idx="129">
                  <c:v>3.9159507821017803</c:v>
                </c:pt>
                <c:pt idx="130">
                  <c:v>4.1005038567010219</c:v>
                </c:pt>
                <c:pt idx="131">
                  <c:v>4.2937546497444545</c:v>
                </c:pt>
                <c:pt idx="132">
                  <c:v>4.496113072073709</c:v>
                </c:pt>
                <c:pt idx="133">
                  <c:v>4.7080083530332129</c:v>
                </c:pt>
                <c:pt idx="134">
                  <c:v>4.9298899509231751</c:v>
                </c:pt>
                <c:pt idx="135">
                  <c:v>5.1622285063609041</c:v>
                </c:pt>
                <c:pt idx="136">
                  <c:v>5.4055168405726572</c:v>
                </c:pt>
                <c:pt idx="137">
                  <c:v>5.6602710007335331</c:v>
                </c:pt>
                <c:pt idx="138">
                  <c:v>5.9270313545727165</c:v>
                </c:pt>
                <c:pt idx="139">
                  <c:v>6.2063637365658852</c:v>
                </c:pt>
                <c:pt idx="140">
                  <c:v>6.4988606481459907</c:v>
                </c:pt>
                <c:pt idx="141">
                  <c:v>6.8051425144782396</c:v>
                </c:pt>
                <c:pt idx="142">
                  <c:v>7.1258590004650468</c:v>
                </c:pt>
                <c:pt idx="143">
                  <c:v>7.4616903887723973</c:v>
                </c:pt>
                <c:pt idx="144">
                  <c:v>7.8133490228005922</c:v>
                </c:pt>
                <c:pt idx="145">
                  <c:v>8.1815808176600999</c:v>
                </c:pt>
                <c:pt idx="146">
                  <c:v>8.5671668423575102</c:v>
                </c:pt>
                <c:pt idx="147">
                  <c:v>8.9709249765476287</c:v>
                </c:pt>
                <c:pt idx="148">
                  <c:v>9.3937116453658707</c:v>
                </c:pt>
                <c:pt idx="149">
                  <c:v>9.8364236360207897</c:v>
                </c:pt>
                <c:pt idx="150">
                  <c:v>10.3</c:v>
                </c:pt>
                <c:pt idx="151">
                  <c:v>10.785424044924266</c:v>
                </c:pt>
                <c:pt idx="152">
                  <c:v>11.293725420274807</c:v>
                </c:pt>
                <c:pt idx="153">
                  <c:v>11.825982301417897</c:v>
                </c:pt>
                <c:pt idx="154">
                  <c:v>12.383323676559357</c:v>
                </c:pt>
                <c:pt idx="155">
                  <c:v>12.966931741479923</c:v>
                </c:pt>
                <c:pt idx="156">
                  <c:v>13.578044407130996</c:v>
                </c:pt>
                <c:pt idx="157">
                  <c:v>14.217957925409717</c:v>
                </c:pt>
                <c:pt idx="158">
                  <c:v>14.888029638683054</c:v>
                </c:pt>
                <c:pt idx="159">
                  <c:v>15.589680858892946</c:v>
                </c:pt>
                <c:pt idx="160">
                  <c:v>16.324399882349471</c:v>
                </c:pt>
                <c:pt idx="161">
                  <c:v>17.093745146606874</c:v>
                </c:pt>
                <c:pt idx="162">
                  <c:v>17.89934853611857</c:v>
                </c:pt>
                <c:pt idx="163">
                  <c:v>18.742918843682833</c:v>
                </c:pt>
                <c:pt idx="164">
                  <c:v>19.626245395021449</c:v>
                </c:pt>
                <c:pt idx="165">
                  <c:v>20.551201844179463</c:v>
                </c:pt>
                <c:pt idx="166">
                  <c:v>21.519750147796611</c:v>
                </c:pt>
                <c:pt idx="167">
                  <c:v>22.533944726680392</c:v>
                </c:pt>
                <c:pt idx="168">
                  <c:v>23.595936823508065</c:v>
                </c:pt>
                <c:pt idx="169">
                  <c:v>24.707979065900759</c:v>
                </c:pt>
                <c:pt idx="170">
                  <c:v>25.872430244548681</c:v>
                </c:pt>
                <c:pt idx="171">
                  <c:v>27.091760316522439</c:v>
                </c:pt>
                <c:pt idx="172">
                  <c:v>28.368555644383115</c:v>
                </c:pt>
                <c:pt idx="173">
                  <c:v>29.705524482204044</c:v>
                </c:pt>
                <c:pt idx="174">
                  <c:v>31.105502720140773</c:v>
                </c:pt>
                <c:pt idx="175">
                  <c:v>32.571459899734315</c:v>
                </c:pt>
                <c:pt idx="176">
                  <c:v>34.106505512706889</c:v>
                </c:pt>
                <c:pt idx="177">
                  <c:v>35.713895596610769</c:v>
                </c:pt>
                <c:pt idx="178">
                  <c:v>37.397039641320447</c:v>
                </c:pt>
                <c:pt idx="179">
                  <c:v>39.159507821017804</c:v>
                </c:pt>
                <c:pt idx="180">
                  <c:v>41.005038567010224</c:v>
                </c:pt>
                <c:pt idx="181">
                  <c:v>42.937546497444558</c:v>
                </c:pt>
                <c:pt idx="182">
                  <c:v>44.961130720737103</c:v>
                </c:pt>
                <c:pt idx="183">
                  <c:v>47.080083530332139</c:v>
                </c:pt>
                <c:pt idx="184">
                  <c:v>49.298899509231759</c:v>
                </c:pt>
                <c:pt idx="185">
                  <c:v>51.622285063609048</c:v>
                </c:pt>
                <c:pt idx="186">
                  <c:v>54.055168405726583</c:v>
                </c:pt>
                <c:pt idx="187">
                  <c:v>56.602710007335332</c:v>
                </c:pt>
                <c:pt idx="188">
                  <c:v>59.270313545727191</c:v>
                </c:pt>
                <c:pt idx="189">
                  <c:v>62.06363736565887</c:v>
                </c:pt>
                <c:pt idx="190">
                  <c:v>64.988606481459925</c:v>
                </c:pt>
                <c:pt idx="191">
                  <c:v>68.051425144782399</c:v>
                </c:pt>
                <c:pt idx="192">
                  <c:v>71.258590004650486</c:v>
                </c:pt>
                <c:pt idx="193">
                  <c:v>74.616903887724007</c:v>
                </c:pt>
                <c:pt idx="194">
                  <c:v>78.133490228005925</c:v>
                </c:pt>
                <c:pt idx="195">
                  <c:v>81.815808176601024</c:v>
                </c:pt>
                <c:pt idx="196">
                  <c:v>85.671668423575127</c:v>
                </c:pt>
                <c:pt idx="197">
                  <c:v>89.709249765476301</c:v>
                </c:pt>
                <c:pt idx="198">
                  <c:v>93.937116453658717</c:v>
                </c:pt>
                <c:pt idx="199">
                  <c:v>98.364236360207897</c:v>
                </c:pt>
                <c:pt idx="200">
                  <c:v>103</c:v>
                </c:pt>
                <c:pt idx="201">
                  <c:v>107.85424044924271</c:v>
                </c:pt>
                <c:pt idx="202">
                  <c:v>112.93725420274809</c:v>
                </c:pt>
                <c:pt idx="203">
                  <c:v>118.25982301417901</c:v>
                </c:pt>
                <c:pt idx="204">
                  <c:v>123.83323676559357</c:v>
                </c:pt>
                <c:pt idx="205">
                  <c:v>129.66931741479931</c:v>
                </c:pt>
                <c:pt idx="206">
                  <c:v>135.78044407131</c:v>
                </c:pt>
                <c:pt idx="207">
                  <c:v>142.17957925409718</c:v>
                </c:pt>
                <c:pt idx="208">
                  <c:v>148.88029638683054</c:v>
                </c:pt>
                <c:pt idx="209">
                  <c:v>155.8968085889295</c:v>
                </c:pt>
                <c:pt idx="210">
                  <c:v>163.24399882349471</c:v>
                </c:pt>
                <c:pt idx="211">
                  <c:v>170.93745146606884</c:v>
                </c:pt>
                <c:pt idx="212">
                  <c:v>178.99348536118569</c:v>
                </c:pt>
                <c:pt idx="213">
                  <c:v>187.42918843682838</c:v>
                </c:pt>
                <c:pt idx="214">
                  <c:v>196.26245395021454</c:v>
                </c:pt>
                <c:pt idx="215">
                  <c:v>205.51201844179471</c:v>
                </c:pt>
                <c:pt idx="216">
                  <c:v>215.19750147796614</c:v>
                </c:pt>
                <c:pt idx="217">
                  <c:v>225.33944726680406</c:v>
                </c:pt>
                <c:pt idx="218">
                  <c:v>235.95936823508072</c:v>
                </c:pt>
                <c:pt idx="219">
                  <c:v>247.07979065900756</c:v>
                </c:pt>
                <c:pt idx="220">
                  <c:v>258.72430244548673</c:v>
                </c:pt>
                <c:pt idx="221">
                  <c:v>270.91760316522442</c:v>
                </c:pt>
                <c:pt idx="222">
                  <c:v>283.68555644383116</c:v>
                </c:pt>
                <c:pt idx="223">
                  <c:v>297.05524482204049</c:v>
                </c:pt>
                <c:pt idx="224">
                  <c:v>311.05502720140771</c:v>
                </c:pt>
                <c:pt idx="225">
                  <c:v>325.71459899734322</c:v>
                </c:pt>
                <c:pt idx="226">
                  <c:v>341.06505512706906</c:v>
                </c:pt>
                <c:pt idx="227">
                  <c:v>357.1389559661078</c:v>
                </c:pt>
                <c:pt idx="228">
                  <c:v>373.97039641320464</c:v>
                </c:pt>
                <c:pt idx="229">
                  <c:v>391.59507821017826</c:v>
                </c:pt>
                <c:pt idx="230">
                  <c:v>410.05038567010251</c:v>
                </c:pt>
                <c:pt idx="231">
                  <c:v>429.37546497444572</c:v>
                </c:pt>
                <c:pt idx="232">
                  <c:v>449.61130720737111</c:v>
                </c:pt>
                <c:pt idx="233">
                  <c:v>470.80083530332138</c:v>
                </c:pt>
                <c:pt idx="234">
                  <c:v>492.98899509231774</c:v>
                </c:pt>
                <c:pt idx="235">
                  <c:v>516.22285063609058</c:v>
                </c:pt>
                <c:pt idx="236">
                  <c:v>540.55168405726613</c:v>
                </c:pt>
                <c:pt idx="237">
                  <c:v>566.02710007335349</c:v>
                </c:pt>
                <c:pt idx="238">
                  <c:v>592.70313545727174</c:v>
                </c:pt>
                <c:pt idx="239">
                  <c:v>620.63637365658906</c:v>
                </c:pt>
                <c:pt idx="240">
                  <c:v>649.88606481459954</c:v>
                </c:pt>
                <c:pt idx="241">
                  <c:v>680.51425144782422</c:v>
                </c:pt>
                <c:pt idx="242">
                  <c:v>712.58590004650466</c:v>
                </c:pt>
                <c:pt idx="243">
                  <c:v>746.1690388772405</c:v>
                </c:pt>
                <c:pt idx="244">
                  <c:v>781.33490228005917</c:v>
                </c:pt>
                <c:pt idx="245">
                  <c:v>818.15808176601047</c:v>
                </c:pt>
                <c:pt idx="246">
                  <c:v>856.71668423575147</c:v>
                </c:pt>
                <c:pt idx="247">
                  <c:v>897.09249765476318</c:v>
                </c:pt>
                <c:pt idx="248">
                  <c:v>939.37116453658712</c:v>
                </c:pt>
                <c:pt idx="249">
                  <c:v>983.64236360207974</c:v>
                </c:pt>
                <c:pt idx="250">
                  <c:v>1030</c:v>
                </c:pt>
                <c:pt idx="251">
                  <c:v>1078.5424044924268</c:v>
                </c:pt>
                <c:pt idx="252">
                  <c:v>1129.3725420274818</c:v>
                </c:pt>
                <c:pt idx="253">
                  <c:v>1182.5982301417901</c:v>
                </c:pt>
                <c:pt idx="254">
                  <c:v>1238.332367655936</c:v>
                </c:pt>
                <c:pt idx="255">
                  <c:v>1296.6931741479927</c:v>
                </c:pt>
                <c:pt idx="256">
                  <c:v>1357.8044407131008</c:v>
                </c:pt>
                <c:pt idx="257">
                  <c:v>1421.7957925409728</c:v>
                </c:pt>
                <c:pt idx="258">
                  <c:v>1488.8029638683065</c:v>
                </c:pt>
                <c:pt idx="259">
                  <c:v>1558.9680858892955</c:v>
                </c:pt>
                <c:pt idx="260">
                  <c:v>1632.4399882349489</c:v>
                </c:pt>
                <c:pt idx="261">
                  <c:v>1709.3745146606891</c:v>
                </c:pt>
                <c:pt idx="262">
                  <c:v>1789.9348536118582</c:v>
                </c:pt>
                <c:pt idx="263">
                  <c:v>1874.2918843682826</c:v>
                </c:pt>
                <c:pt idx="264">
                  <c:v>1962.6245395021456</c:v>
                </c:pt>
                <c:pt idx="265">
                  <c:v>2055.1201844179468</c:v>
                </c:pt>
                <c:pt idx="266">
                  <c:v>2151.9750147796608</c:v>
                </c:pt>
                <c:pt idx="267">
                  <c:v>2253.3944726680393</c:v>
                </c:pt>
                <c:pt idx="268">
                  <c:v>2359.5936823508077</c:v>
                </c:pt>
                <c:pt idx="269">
                  <c:v>2470.7979065900763</c:v>
                </c:pt>
                <c:pt idx="270">
                  <c:v>2587.2430244548682</c:v>
                </c:pt>
                <c:pt idx="271">
                  <c:v>2709.1760316522432</c:v>
                </c:pt>
                <c:pt idx="272">
                  <c:v>2836.8555644383136</c:v>
                </c:pt>
                <c:pt idx="273">
                  <c:v>2970.5524482204055</c:v>
                </c:pt>
                <c:pt idx="274">
                  <c:v>3110.5502720140776</c:v>
                </c:pt>
                <c:pt idx="275">
                  <c:v>3257.1459899734341</c:v>
                </c:pt>
                <c:pt idx="276">
                  <c:v>3410.6505512706913</c:v>
                </c:pt>
                <c:pt idx="277">
                  <c:v>3571.3895596610782</c:v>
                </c:pt>
                <c:pt idx="278">
                  <c:v>3739.7039641320457</c:v>
                </c:pt>
                <c:pt idx="279">
                  <c:v>3915.9507821017851</c:v>
                </c:pt>
                <c:pt idx="280">
                  <c:v>4100.5038567010261</c:v>
                </c:pt>
                <c:pt idx="281">
                  <c:v>4293.7546497444582</c:v>
                </c:pt>
                <c:pt idx="282">
                  <c:v>4496.1130720737119</c:v>
                </c:pt>
                <c:pt idx="283">
                  <c:v>4708.0083530332195</c:v>
                </c:pt>
                <c:pt idx="284">
                  <c:v>4929.8899509231805</c:v>
                </c:pt>
                <c:pt idx="285">
                  <c:v>5162.2285063609088</c:v>
                </c:pt>
                <c:pt idx="286">
                  <c:v>5405.5168405726617</c:v>
                </c:pt>
                <c:pt idx="287">
                  <c:v>5660.2710007335418</c:v>
                </c:pt>
                <c:pt idx="288">
                  <c:v>5927.0313545727186</c:v>
                </c:pt>
                <c:pt idx="289">
                  <c:v>6206.3637365658851</c:v>
                </c:pt>
                <c:pt idx="290">
                  <c:v>6498.860648145991</c:v>
                </c:pt>
                <c:pt idx="291">
                  <c:v>6805.1425144782434</c:v>
                </c:pt>
                <c:pt idx="292">
                  <c:v>7125.8590004650487</c:v>
                </c:pt>
                <c:pt idx="293">
                  <c:v>7461.6903887724002</c:v>
                </c:pt>
                <c:pt idx="294">
                  <c:v>7813.349022800593</c:v>
                </c:pt>
                <c:pt idx="295">
                  <c:v>8181.5808176601058</c:v>
                </c:pt>
                <c:pt idx="296">
                  <c:v>8567.1668423575156</c:v>
                </c:pt>
                <c:pt idx="297">
                  <c:v>8970.9249765476343</c:v>
                </c:pt>
                <c:pt idx="298">
                  <c:v>9393.7116453658728</c:v>
                </c:pt>
                <c:pt idx="299">
                  <c:v>9836.4236360207997</c:v>
                </c:pt>
                <c:pt idx="300">
                  <c:v>10300</c:v>
                </c:pt>
              </c:numCache>
            </c:numRef>
          </c:xVal>
          <c:yVal>
            <c:numRef>
              <c:f>'NI AC Coupled Amp'!$L$3:$L$303</c:f>
              <c:numCache>
                <c:formatCode>General</c:formatCode>
                <c:ptCount val="301"/>
                <c:pt idx="0">
                  <c:v>5.9110960348848476</c:v>
                </c:pt>
                <c:pt idx="1">
                  <c:v>6.1875003879206529</c:v>
                </c:pt>
                <c:pt idx="2">
                  <c:v>6.4766120217539376</c:v>
                </c:pt>
                <c:pt idx="3">
                  <c:v>6.7789833520326299</c:v>
                </c:pt>
                <c:pt idx="4">
                  <c:v>7.0951861591009324</c:v>
                </c:pt>
                <c:pt idx="5">
                  <c:v>7.4258115662952902</c:v>
                </c:pt>
                <c:pt idx="6">
                  <c:v>7.7714698922042524</c:v>
                </c:pt>
                <c:pt idx="7">
                  <c:v>8.1327903557096359</c:v>
                </c:pt>
                <c:pt idx="8">
                  <c:v>8.5104206101481967</c:v>
                </c:pt>
                <c:pt idx="9">
                  <c:v>8.9050260802976524</c:v>
                </c:pt>
                <c:pt idx="10">
                  <c:v>9.3172890731160862</c:v>
                </c:pt>
                <c:pt idx="11">
                  <c:v>9.7479076302872123</c:v>
                </c:pt>
                <c:pt idx="12">
                  <c:v>10.197594087702786</c:v>
                </c:pt>
                <c:pt idx="13">
                  <c:v>10.667073304103399</c:v>
                </c:pt>
                <c:pt idx="14">
                  <c:v>11.157080518303843</c:v>
                </c:pt>
                <c:pt idx="15">
                  <c:v>11.66835879186133</c:v>
                </c:pt>
                <c:pt idx="16">
                  <c:v>12.201655991856359</c:v>
                </c:pt>
                <c:pt idx="17">
                  <c:v>12.757721266821946</c:v>
                </c:pt>
                <c:pt idx="18">
                  <c:v>13.337300968019774</c:v>
                </c:pt>
                <c:pt idx="19">
                  <c:v>13.941133968459573</c:v>
                </c:pt>
                <c:pt idx="20">
                  <c:v>14.569946333627028</c:v>
                </c:pt>
                <c:pt idx="21">
                  <c:v>15.224445301148668</c:v>
                </c:pt>
                <c:pt idx="22">
                  <c:v>15.905312532000883</c:v>
                </c:pt>
                <c:pt idx="23">
                  <c:v>16.61319660375084</c:v>
                </c:pt>
                <c:pt idx="24">
                  <c:v>17.34870472716295</c:v>
                </c:pt>
                <c:pt idx="25">
                  <c:v>18.112393681740585</c:v>
                </c:pt>
                <c:pt idx="26">
                  <c:v>18.904759983785112</c:v>
                </c:pt>
                <c:pt idx="27">
                  <c:v>19.726229322685867</c:v>
                </c:pt>
                <c:pt idx="28">
                  <c:v>20.577145327606377</c:v>
                </c:pt>
                <c:pt idx="29">
                  <c:v>21.457757757509704</c:v>
                </c:pt>
                <c:pt idx="30">
                  <c:v>22.368210242385477</c:v>
                </c:pt>
                <c:pt idx="31">
                  <c:v>23.308527742033998</c:v>
                </c:pt>
                <c:pt idx="32">
                  <c:v>24.278603929928185</c:v>
                </c:pt>
                <c:pt idx="33">
                  <c:v>25.27818875216407</c:v>
                </c:pt>
                <c:pt idx="34">
                  <c:v>26.306876453449341</c:v>
                </c:pt>
                <c:pt idx="35">
                  <c:v>27.364094401194976</c:v>
                </c:pt>
                <c:pt idx="36">
                  <c:v>28.449093072227289</c:v>
                </c:pt>
                <c:pt idx="37">
                  <c:v>29.560937591366979</c:v>
                </c:pt>
                <c:pt idx="38">
                  <c:v>30.698501223742841</c:v>
                </c:pt>
                <c:pt idx="39">
                  <c:v>31.860461220013732</c:v>
                </c:pt>
                <c:pt idx="40">
                  <c:v>33.045297392677853</c:v>
                </c:pt>
                <c:pt idx="41">
                  <c:v>34.251293760158823</c:v>
                </c:pt>
                <c:pt idx="42">
                  <c:v>35.476543532158409</c:v>
                </c:pt>
                <c:pt idx="43">
                  <c:v>36.718957625067887</c:v>
                </c:pt>
                <c:pt idx="44">
                  <c:v>37.976276791905988</c:v>
                </c:pt>
                <c:pt idx="45">
                  <c:v>39.24608733091867</c:v>
                </c:pt>
                <c:pt idx="46">
                  <c:v>40.525840206069304</c:v>
                </c:pt>
                <c:pt idx="47">
                  <c:v>41.812873278038566</c:v>
                </c:pt>
                <c:pt idx="48">
                  <c:v>43.104436214022968</c:v>
                </c:pt>
                <c:pt idx="49">
                  <c:v>44.397717526949371</c:v>
                </c:pt>
                <c:pt idx="50">
                  <c:v>45.689873097751153</c:v>
                </c:pt>
                <c:pt idx="51">
                  <c:v>46.978055465067861</c:v>
                </c:pt>
                <c:pt idx="52">
                  <c:v>48.259443130202364</c:v>
                </c:pt>
                <c:pt idx="53">
                  <c:v>49.531269124191752</c:v>
                </c:pt>
                <c:pt idx="54">
                  <c:v>50.790848118463714</c:v>
                </c:pt>
                <c:pt idx="55">
                  <c:v>52.035601428173585</c:v>
                </c:pt>
                <c:pt idx="56">
                  <c:v>53.263079352923022</c:v>
                </c:pt>
                <c:pt idx="57">
                  <c:v>54.470980416292527</c:v>
                </c:pt>
                <c:pt idx="58">
                  <c:v>55.65716719547757</c:v>
                </c:pt>
                <c:pt idx="59">
                  <c:v>56.819678566865342</c:v>
                </c:pt>
                <c:pt idx="60">
                  <c:v>57.956738324696893</c:v>
                </c:pt>
                <c:pt idx="61">
                  <c:v>59.066760250974468</c:v>
                </c:pt>
                <c:pt idx="62">
                  <c:v>60.148349820077129</c:v>
                </c:pt>
                <c:pt idx="63">
                  <c:v>61.200302807349971</c:v>
                </c:pt>
                <c:pt idx="64">
                  <c:v>62.221601135302187</c:v>
                </c:pt>
                <c:pt idx="65">
                  <c:v>63.211406333676472</c:v>
                </c:pt>
                <c:pt idx="66">
                  <c:v>64.169051011708774</c:v>
                </c:pt>
                <c:pt idx="67">
                  <c:v>65.094028744485541</c:v>
                </c:pt>
                <c:pt idx="68">
                  <c:v>65.985982763432034</c:v>
                </c:pt>
                <c:pt idx="69">
                  <c:v>66.844693816802234</c:v>
                </c:pt>
                <c:pt idx="70">
                  <c:v>67.67006753295847</c:v>
                </c:pt>
                <c:pt idx="71">
                  <c:v>68.462121580363004</c:v>
                </c:pt>
                <c:pt idx="72">
                  <c:v>69.220972876339388</c:v>
                </c:pt>
                <c:pt idx="73">
                  <c:v>69.946825054164151</c:v>
                </c:pt>
                <c:pt idx="74">
                  <c:v>70.639956356778399</c:v>
                </c:pt>
                <c:pt idx="75">
                  <c:v>71.300708086757325</c:v>
                </c:pt>
                <c:pt idx="76">
                  <c:v>71.929473707073853</c:v>
                </c:pt>
                <c:pt idx="77">
                  <c:v>72.526688656199511</c:v>
                </c:pt>
                <c:pt idx="78">
                  <c:v>73.092820914441049</c:v>
                </c:pt>
                <c:pt idx="79">
                  <c:v>73.628362336092565</c:v>
                </c:pt>
                <c:pt idx="80">
                  <c:v>74.133820743810489</c:v>
                </c:pt>
                <c:pt idx="81">
                  <c:v>74.609712767252745</c:v>
                </c:pt>
                <c:pt idx="82">
                  <c:v>75.056557397095361</c:v>
                </c:pt>
                <c:pt idx="83">
                  <c:v>75.474870217596219</c:v>
                </c:pt>
                <c:pt idx="84">
                  <c:v>75.865158275502594</c:v>
                </c:pt>
                <c:pt idx="85">
                  <c:v>76.227915539859296</c:v>
                </c:pt>
                <c:pt idx="86">
                  <c:v>76.563618905796901</c:v>
                </c:pt>
                <c:pt idx="87">
                  <c:v>76.872724695296938</c:v>
                </c:pt>
                <c:pt idx="88">
                  <c:v>77.155665608953811</c:v>
                </c:pt>
                <c:pt idx="89">
                  <c:v>77.412848084602757</c:v>
                </c:pt>
                <c:pt idx="90">
                  <c:v>77.644650021151392</c:v>
                </c:pt>
                <c:pt idx="91">
                  <c:v>77.851418828853539</c:v>
                </c:pt>
                <c:pt idx="92">
                  <c:v>78.033469770452783</c:v>
                </c:pt>
                <c:pt idx="93">
                  <c:v>78.191084560986127</c:v>
                </c:pt>
                <c:pt idx="94">
                  <c:v>78.324510197497261</c:v>
                </c:pt>
                <c:pt idx="95">
                  <c:v>78.433957993389058</c:v>
                </c:pt>
                <c:pt idx="96">
                  <c:v>78.519602795614361</c:v>
                </c:pt>
                <c:pt idx="97">
                  <c:v>78.581582366333507</c:v>
                </c:pt>
                <c:pt idx="98">
                  <c:v>78.619996914036676</c:v>
                </c:pt>
                <c:pt idx="99">
                  <c:v>78.634908762445392</c:v>
                </c:pt>
                <c:pt idx="100">
                  <c:v>78.626342148768316</c:v>
                </c:pt>
                <c:pt idx="101">
                  <c:v>78.594283146103365</c:v>
                </c:pt>
                <c:pt idx="102">
                  <c:v>78.538679707967233</c:v>
                </c:pt>
                <c:pt idx="103">
                  <c:v>78.459441836112859</c:v>
                </c:pt>
                <c:pt idx="104">
                  <c:v>78.356441875977211</c:v>
                </c:pt>
                <c:pt idx="105">
                  <c:v>78.229514947312623</c:v>
                </c:pt>
                <c:pt idx="106">
                  <c:v>78.078459520800649</c:v>
                </c:pt>
                <c:pt idx="107">
                  <c:v>77.903038154748856</c:v>
                </c:pt>
                <c:pt idx="108">
                  <c:v>77.702978409325283</c:v>
                </c:pt>
                <c:pt idx="109">
                  <c:v>77.477973959200611</c:v>
                </c:pt>
                <c:pt idx="110">
                  <c:v>77.227685928927997</c:v>
                </c:pt>
                <c:pt idx="111">
                  <c:v>76.951744478870339</c:v>
                </c:pt>
                <c:pt idx="112">
                  <c:v>76.649750672957907</c:v>
                </c:pt>
                <c:pt idx="113">
                  <c:v>76.321278662950803</c:v>
                </c:pt>
                <c:pt idx="114">
                  <c:v>75.96587822713056</c:v>
                </c:pt>
                <c:pt idx="115">
                  <c:v>75.583077704336787</c:v>
                </c:pt>
                <c:pt idx="116">
                  <c:v>75.172387366860988</c:v>
                </c:pt>
                <c:pt idx="117">
                  <c:v>74.733303277755255</c:v>
                </c:pt>
                <c:pt idx="118">
                  <c:v>74.265311679374264</c:v>
                </c:pt>
                <c:pt idx="119">
                  <c:v>73.767893960221954</c:v>
                </c:pt>
                <c:pt idx="120">
                  <c:v>73.24053224609996</c:v>
                </c:pt>
                <c:pt idx="121">
                  <c:v>72.682715658833871</c:v>
                </c:pt>
                <c:pt idx="122">
                  <c:v>72.093947281090664</c:v>
                </c:pt>
                <c:pt idx="123">
                  <c:v>71.473751858601361</c:v>
                </c:pt>
                <c:pt idx="124">
                  <c:v>70.821684261017779</c:v>
                </c:pt>
                <c:pt idx="125">
                  <c:v>70.137338709240822</c:v>
                </c:pt>
                <c:pt idx="126">
                  <c:v>69.420358759947504</c:v>
                </c:pt>
                <c:pt idx="127">
                  <c:v>68.670448016869841</c:v>
                </c:pt>
                <c:pt idx="128">
                  <c:v>67.887381512916619</c:v>
                </c:pt>
                <c:pt idx="129">
                  <c:v>67.071017677393272</c:v>
                </c:pt>
                <c:pt idx="130">
                  <c:v>66.22131076855176</c:v>
                </c:pt>
                <c:pt idx="131">
                  <c:v>65.338323613926988</c:v>
                </c:pt>
                <c:pt idx="132">
                  <c:v>64.42224046023982</c:v>
                </c:pt>
                <c:pt idx="133">
                  <c:v>63.473379692316016</c:v>
                </c:pt>
                <c:pt idx="134">
                  <c:v>62.49220613822623</c:v>
                </c:pt>
                <c:pt idx="135">
                  <c:v>61.47934263791258</c:v>
                </c:pt>
                <c:pt idx="136">
                  <c:v>60.435580517623414</c:v>
                </c:pt>
                <c:pt idx="137">
                  <c:v>59.361888585592297</c:v>
                </c:pt>
                <c:pt idx="138">
                  <c:v>58.259420248855363</c:v>
                </c:pt>
                <c:pt idx="139">
                  <c:v>57.129518350220359</c:v>
                </c:pt>
                <c:pt idx="140">
                  <c:v>55.973717341206729</c:v>
                </c:pt>
                <c:pt idx="141">
                  <c:v>54.793742443681197</c:v>
                </c:pt>
                <c:pt idx="142">
                  <c:v>53.591505511377818</c:v>
                </c:pt>
                <c:pt idx="143">
                  <c:v>52.36909738262024</c:v>
                </c:pt>
                <c:pt idx="144">
                  <c:v>51.128776615884298</c:v>
                </c:pt>
                <c:pt idx="145">
                  <c:v>49.872954617091317</c:v>
                </c:pt>
                <c:pt idx="146">
                  <c:v>48.604177296670947</c:v>
                </c:pt>
                <c:pt idx="147">
                  <c:v>47.325103528866464</c:v>
                </c:pt>
                <c:pt idx="148">
                  <c:v>46.038480817702961</c:v>
                </c:pt>
                <c:pt idx="149">
                  <c:v>44.74711869513385</c:v>
                </c:pt>
                <c:pt idx="150">
                  <c:v>43.453860478940207</c:v>
                </c:pt>
                <c:pt idx="151">
                  <c:v>42.161554093721755</c:v>
                </c:pt>
                <c:pt idx="152">
                  <c:v>40.873022702215955</c:v>
                </c:pt>
                <c:pt idx="153">
                  <c:v>39.591035902933626</c:v>
                </c:pt>
                <c:pt idx="154">
                  <c:v>38.318282223013334</c:v>
                </c:pt>
                <c:pt idx="155">
                  <c:v>37.057343574348678</c:v>
                </c:pt>
                <c:pt idx="156">
                  <c:v>35.810672250936975</c:v>
                </c:pt>
                <c:pt idx="157">
                  <c:v>34.580570932551773</c:v>
                </c:pt>
                <c:pt idx="158">
                  <c:v>33.369176032109735</c:v>
                </c:pt>
                <c:pt idx="159">
                  <c:v>32.17844458983231</c:v>
                </c:pt>
                <c:pt idx="160">
                  <c:v>31.010144784658578</c:v>
                </c:pt>
                <c:pt idx="161">
                  <c:v>29.865850009577677</c:v>
                </c:pt>
                <c:pt idx="162">
                  <c:v>28.746936348464818</c:v>
                </c:pt>
                <c:pt idx="163">
                  <c:v>27.654583201738774</c:v>
                </c:pt>
                <c:pt idx="164">
                  <c:v>26.589776739078051</c:v>
                </c:pt>
                <c:pt idx="165">
                  <c:v>25.553315810130112</c:v>
                </c:pt>
                <c:pt idx="166">
                  <c:v>24.545819917800973</c:v>
                </c:pt>
                <c:pt idx="167">
                  <c:v>23.567738851345194</c:v>
                </c:pt>
                <c:pt idx="168">
                  <c:v>22.619363585265788</c:v>
                </c:pt>
                <c:pt idx="169">
                  <c:v>21.700838071825125</c:v>
                </c:pt>
                <c:pt idx="170">
                  <c:v>20.812171586382451</c:v>
                </c:pt>
                <c:pt idx="171">
                  <c:v>19.953251322647777</c:v>
                </c:pt>
                <c:pt idx="172">
                  <c:v>19.123854976368946</c:v>
                </c:pt>
                <c:pt idx="173">
                  <c:v>18.323663098510313</c:v>
                </c:pt>
                <c:pt idx="174">
                  <c:v>17.552271040658063</c:v>
                </c:pt>
                <c:pt idx="175">
                  <c:v>16.809200354713273</c:v>
                </c:pt>
                <c:pt idx="176">
                  <c:v>16.093909544881459</c:v>
                </c:pt>
                <c:pt idx="177">
                  <c:v>15.405804101900921</c:v>
                </c:pt>
                <c:pt idx="178">
                  <c:v>14.74424577708128</c:v>
                </c:pt>
                <c:pt idx="179">
                  <c:v>14.108561077001582</c:v>
                </c:pt>
                <c:pt idx="180">
                  <c:v>13.498048978824128</c:v>
                </c:pt>
                <c:pt idx="181">
                  <c:v>12.911987881393056</c:v>
                </c:pt>
                <c:pt idx="182">
                  <c:v>12.349641819007275</c:v>
                </c:pt>
                <c:pt idx="183">
                  <c:v>11.810265973401034</c:v>
                </c:pt>
                <c:pt idx="184">
                  <c:v>11.293111525471243</c:v>
                </c:pt>
                <c:pt idx="185">
                  <c:v>10.797429892089998</c:v>
                </c:pt>
                <c:pt idx="186">
                  <c:v>10.322476395329163</c:v>
                </c:pt>
                <c:pt idx="187">
                  <c:v>9.8675134119610313</c:v>
                </c:pt>
                <c:pt idx="188">
                  <c:v>9.431813050513485</c:v>
                </c:pt>
                <c:pt idx="189">
                  <c:v>9.0146594017135335</c:v>
                </c:pt>
                <c:pt idx="190">
                  <c:v>8.6153504060994663</c:v>
                </c:pt>
                <c:pt idx="191">
                  <c:v>8.2331993800948347</c:v>
                </c:pt>
                <c:pt idx="192">
                  <c:v>7.867536239095001</c:v>
                </c:pt>
                <c:pt idx="193">
                  <c:v>7.517708453226267</c:v>
                </c:pt>
                <c:pt idx="194">
                  <c:v>7.1830817685127251</c:v>
                </c:pt>
                <c:pt idx="195">
                  <c:v>6.8630407232886075</c:v>
                </c:pt>
                <c:pt idx="196">
                  <c:v>6.556988986893133</c:v>
                </c:pt>
                <c:pt idx="197">
                  <c:v>6.2643495450037259</c:v>
                </c:pt>
                <c:pt idx="198">
                  <c:v>5.9845647534432169</c:v>
                </c:pt>
                <c:pt idx="199">
                  <c:v>5.7170962799445331</c:v>
                </c:pt>
                <c:pt idx="200">
                  <c:v>5.4614249511794313</c:v>
                </c:pt>
                <c:pt idx="201">
                  <c:v>5.2170505203660342</c:v>
                </c:pt>
                <c:pt idx="202">
                  <c:v>4.9834913689475258</c:v>
                </c:pt>
                <c:pt idx="203">
                  <c:v>4.7602841541912753</c:v>
                </c:pt>
                <c:pt idx="204">
                  <c:v>4.5469834130669664</c:v>
                </c:pt>
                <c:pt idx="205">
                  <c:v>4.3431611314323</c:v>
                </c:pt>
                <c:pt idx="206">
                  <c:v>4.1484062863607924</c:v>
                </c:pt>
                <c:pt idx="207">
                  <c:v>3.9623243683850995</c:v>
                </c:pt>
                <c:pt idx="208">
                  <c:v>3.7845368894871889</c:v>
                </c:pt>
                <c:pt idx="209">
                  <c:v>3.6146808818326841</c:v>
                </c:pt>
                <c:pt idx="210">
                  <c:v>3.4524083915121957</c:v>
                </c:pt>
                <c:pt idx="211">
                  <c:v>3.2973859709048678</c:v>
                </c:pt>
                <c:pt idx="212">
                  <c:v>3.149294172713335</c:v>
                </c:pt>
                <c:pt idx="213">
                  <c:v>3.0078270482222913</c:v>
                </c:pt>
                <c:pt idx="214">
                  <c:v>2.8726916519005696</c:v>
                </c:pt>
                <c:pt idx="215">
                  <c:v>2.7436075540903708</c:v>
                </c:pt>
                <c:pt idx="216">
                  <c:v>2.6203063631994907</c:v>
                </c:pt>
                <c:pt idx="217">
                  <c:v>2.5025312585312101</c:v>
                </c:pt>
                <c:pt idx="218">
                  <c:v>2.3900365346409842</c:v>
                </c:pt>
                <c:pt idx="219">
                  <c:v>2.2825871579004637</c:v>
                </c:pt>
                <c:pt idx="220">
                  <c:v>2.1799583357691232</c:v>
                </c:pt>
                <c:pt idx="221">
                  <c:v>2.0819350991198173</c:v>
                </c:pt>
                <c:pt idx="222">
                  <c:v>1.9883118978345484</c:v>
                </c:pt>
                <c:pt idx="223">
                  <c:v>1.8988922097757466</c:v>
                </c:pt>
                <c:pt idx="224">
                  <c:v>1.8134881631449837</c:v>
                </c:pt>
                <c:pt idx="225">
                  <c:v>1.7319201721635207</c:v>
                </c:pt>
                <c:pt idx="226">
                  <c:v>1.6540165859436686</c:v>
                </c:pt>
                <c:pt idx="227">
                  <c:v>1.5796133503668701</c:v>
                </c:pt>
                <c:pt idx="228">
                  <c:v>1.5085536827403734</c:v>
                </c:pt>
                <c:pt idx="229">
                  <c:v>1.4406877589694465</c:v>
                </c:pt>
                <c:pt idx="230">
                  <c:v>1.3758724129544366</c:v>
                </c:pt>
                <c:pt idx="231">
                  <c:v>1.313970847899639</c:v>
                </c:pt>
                <c:pt idx="232">
                  <c:v>1.2548523592055318</c:v>
                </c:pt>
                <c:pt idx="233">
                  <c:v>1.1983920686038316</c:v>
                </c:pt>
                <c:pt idx="234">
                  <c:v>1.1444706691868947</c:v>
                </c:pt>
                <c:pt idx="235">
                  <c:v>1.0929741809790083</c:v>
                </c:pt>
                <c:pt idx="236">
                  <c:v>1.0437937166947797</c:v>
                </c:pt>
                <c:pt idx="237">
                  <c:v>0.99682525733094685</c:v>
                </c:pt>
                <c:pt idx="238">
                  <c:v>0.95196943724002336</c:v>
                </c:pt>
                <c:pt idx="239">
                  <c:v>0.90913133833862436</c:v>
                </c:pt>
                <c:pt idx="240">
                  <c:v>0.86822029310862037</c:v>
                </c:pt>
                <c:pt idx="241">
                  <c:v>0.82914969605569644</c:v>
                </c:pt>
                <c:pt idx="242">
                  <c:v>0.79183682329734917</c:v>
                </c:pt>
                <c:pt idx="243">
                  <c:v>0.75620265996040281</c:v>
                </c:pt>
                <c:pt idx="244">
                  <c:v>0.72217173507631294</c:v>
                </c:pt>
                <c:pt idx="245">
                  <c:v>0.68967196367184314</c:v>
                </c:pt>
                <c:pt idx="246">
                  <c:v>0.65863449576148259</c:v>
                </c:pt>
                <c:pt idx="247">
                  <c:v>0.62899357195751415</c:v>
                </c:pt>
                <c:pt idx="248">
                  <c:v>0.60068638542286401</c:v>
                </c:pt>
                <c:pt idx="249">
                  <c:v>0.57365294990141769</c:v>
                </c:pt>
                <c:pt idx="250">
                  <c:v>0.54783597356963176</c:v>
                </c:pt>
                <c:pt idx="251">
                  <c:v>0.52318073846288038</c:v>
                </c:pt>
                <c:pt idx="252">
                  <c:v>0.4996349852386352</c:v>
                </c:pt>
                <c:pt idx="253">
                  <c:v>0.47714880304817381</c:v>
                </c:pt>
                <c:pt idx="254">
                  <c:v>0.45567452429665461</c:v>
                </c:pt>
                <c:pt idx="255">
                  <c:v>0.43516662408055778</c:v>
                </c:pt>
                <c:pt idx="256">
                  <c:v>0.41558162409949984</c:v>
                </c:pt>
                <c:pt idx="257">
                  <c:v>0.39687800084773101</c:v>
                </c:pt>
                <c:pt idx="258">
                  <c:v>0.37901609789852814</c:v>
                </c:pt>
                <c:pt idx="259">
                  <c:v>0.36195804210228555</c:v>
                </c:pt>
                <c:pt idx="260">
                  <c:v>0.34566766352657841</c:v>
                </c:pt>
                <c:pt idx="261">
                  <c:v>0.33011041897362275</c:v>
                </c:pt>
                <c:pt idx="262">
                  <c:v>0.31525331891748631</c:v>
                </c:pt>
                <c:pt idx="263">
                  <c:v>0.30106485770995434</c:v>
                </c:pt>
                <c:pt idx="264">
                  <c:v>0.28751494691058632</c:v>
                </c:pt>
                <c:pt idx="265">
                  <c:v>0.27457485160250866</c:v>
                </c:pt>
                <c:pt idx="266">
                  <c:v>0.26221712956144755</c:v>
                </c:pt>
                <c:pt idx="267">
                  <c:v>0.25041557315133794</c:v>
                </c:pt>
                <c:pt idx="268">
                  <c:v>0.23914515382518334</c:v>
                </c:pt>
                <c:pt idx="269">
                  <c:v>0.22838196911523431</c:v>
                </c:pt>
                <c:pt idx="270">
                  <c:v>0.21810319200149023</c:v>
                </c:pt>
                <c:pt idx="271">
                  <c:v>0.20828702255253928</c:v>
                </c:pt>
                <c:pt idx="272">
                  <c:v>0.19891264173720716</c:v>
                </c:pt>
                <c:pt idx="273">
                  <c:v>0.18996016731010396</c:v>
                </c:pt>
                <c:pt idx="274">
                  <c:v>0.18141061167834657</c:v>
                </c:pt>
                <c:pt idx="275">
                  <c:v>0.17324584166084947</c:v>
                </c:pt>
                <c:pt idx="276">
                  <c:v>0.16544854005547499</c:v>
                </c:pt>
                <c:pt idx="277">
                  <c:v>0.15800216893311023</c:v>
                </c:pt>
                <c:pt idx="278">
                  <c:v>0.15089093458131256</c:v>
                </c:pt>
                <c:pt idx="279">
                  <c:v>0.14409975402358635</c:v>
                </c:pt>
                <c:pt idx="280">
                  <c:v>0.13761422304366683</c:v>
                </c:pt>
                <c:pt idx="281">
                  <c:v>0.13142058564732179</c:v>
                </c:pt>
                <c:pt idx="282">
                  <c:v>0.1255057048971556</c:v>
                </c:pt>
                <c:pt idx="283">
                  <c:v>0.1198570350588444</c:v>
                </c:pt>
                <c:pt idx="284">
                  <c:v>0.11446259499990204</c:v>
                </c:pt>
                <c:pt idx="285">
                  <c:v>0.10931094278476011</c:v>
                </c:pt>
                <c:pt idx="286">
                  <c:v>0.10439115141244641</c:v>
                </c:pt>
                <c:pt idx="287">
                  <c:v>9.9692785645524487E-2</c:v>
                </c:pt>
                <c:pt idx="288">
                  <c:v>9.5205879881284858E-2</c:v>
                </c:pt>
                <c:pt idx="289">
                  <c:v>9.092091701835564E-2</c:v>
                </c:pt>
                <c:pt idx="290">
                  <c:v>8.6828808274001454E-2</c:v>
                </c:pt>
                <c:pt idx="291">
                  <c:v>8.2920873909383033E-2</c:v>
                </c:pt>
                <c:pt idx="292">
                  <c:v>7.9188824821957077E-2</c:v>
                </c:pt>
                <c:pt idx="293">
                  <c:v>7.5624744966057977E-2</c:v>
                </c:pt>
                <c:pt idx="294">
                  <c:v>7.2221074564398857E-2</c:v>
                </c:pt>
                <c:pt idx="295">
                  <c:v>6.8970594074951472E-2</c:v>
                </c:pt>
                <c:pt idx="296">
                  <c:v>6.5866408879224805E-2</c:v>
                </c:pt>
                <c:pt idx="297">
                  <c:v>6.2901934659507996E-2</c:v>
                </c:pt>
                <c:pt idx="298">
                  <c:v>6.0070883434088937E-2</c:v>
                </c:pt>
                <c:pt idx="299">
                  <c:v>5.7367250220853594E-2</c:v>
                </c:pt>
                <c:pt idx="300">
                  <c:v>5.478530030100931E-2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BE-43FD-9F87-2E6976AD4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103920"/>
        <c:axId val="420102936"/>
      </c:scatterChart>
      <c:valAx>
        <c:axId val="42010392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&lt;1]0.00\ &quot;m&quot;;[&gt;=1000]0,\ &quot;k&quot;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02936"/>
        <c:crossesAt val="-300"/>
        <c:crossBetween val="midCat"/>
      </c:valAx>
      <c:valAx>
        <c:axId val="420102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03920"/>
        <c:crossesAt val="1.000000000000000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Nyquist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'NI AC Coupled Amp'!$M$3:$M$303</c:f>
              <c:numCache>
                <c:formatCode>General</c:formatCode>
                <c:ptCount val="301"/>
                <c:pt idx="0">
                  <c:v>1.0001072194773299</c:v>
                </c:pt>
                <c:pt idx="1">
                  <c:v>1.00011756380693</c:v>
                </c:pt>
                <c:pt idx="2">
                  <c:v>1.0001289061363301</c:v>
                </c:pt>
                <c:pt idx="3">
                  <c:v>1.0001413427502599</c:v>
                </c:pt>
                <c:pt idx="4">
                  <c:v>1.00015497922271</c:v>
                </c:pt>
                <c:pt idx="5">
                  <c:v>1.00016993131314</c:v>
                </c:pt>
                <c:pt idx="6">
                  <c:v>1.0001863259491599</c:v>
                </c:pt>
                <c:pt idx="7">
                  <c:v>1.0002043023039</c:v>
                </c:pt>
                <c:pt idx="8">
                  <c:v>1.00022401297749</c:v>
                </c:pt>
                <c:pt idx="9">
                  <c:v>1.0002456252923899</c:v>
                </c:pt>
                <c:pt idx="10">
                  <c:v>1.0002693227137001</c:v>
                </c:pt>
                <c:pt idx="11">
                  <c:v>1.0002953064065701</c:v>
                </c:pt>
                <c:pt idx="12">
                  <c:v>1.00032379694374</c:v>
                </c:pt>
                <c:pt idx="13">
                  <c:v>1.0003550361778699</c:v>
                </c:pt>
                <c:pt idx="14">
                  <c:v>1.0003892892945301</c:v>
                </c:pt>
                <c:pt idx="15">
                  <c:v>1.0004268470631299</c:v>
                </c:pt>
                <c:pt idx="16">
                  <c:v>1.00046802830507</c:v>
                </c:pt>
                <c:pt idx="17">
                  <c:v>1.00051318259997</c:v>
                </c:pt>
                <c:pt idx="18">
                  <c:v>1.0005626932529099</c:v>
                </c:pt>
                <c:pt idx="19">
                  <c:v>1.0006169805479901</c:v>
                </c:pt>
                <c:pt idx="20">
                  <c:v>1.0006765053156199</c:v>
                </c:pt>
                <c:pt idx="21">
                  <c:v>1.00074177284401</c:v>
                </c:pt>
                <c:pt idx="22">
                  <c:v>1.00081333716789</c:v>
                </c:pt>
                <c:pt idx="23">
                  <c:v>1.00089180577091</c:v>
                </c:pt>
                <c:pt idx="24">
                  <c:v>1.00097784474166</c:v>
                </c:pt>
                <c:pt idx="25">
                  <c:v>1.0010721844269399</c:v>
                </c:pt>
                <c:pt idx="26">
                  <c:v>1.00117562563028</c:v>
                </c:pt>
                <c:pt idx="27">
                  <c:v>1.0012890464083699</c:v>
                </c:pt>
                <c:pt idx="28">
                  <c:v>1.00141340952281</c:v>
                </c:pt>
                <c:pt idx="29">
                  <c:v>1.00154977061066</c:v>
                </c:pt>
                <c:pt idx="30">
                  <c:v>1.0016992871428601</c:v>
                </c:pt>
                <c:pt idx="31">
                  <c:v>1.0018632282464699</c:v>
                </c:pt>
                <c:pt idx="32">
                  <c:v>1.0020429854742099</c:v>
                </c:pt>
                <c:pt idx="33">
                  <c:v>1.0022400846122199</c:v>
                </c:pt>
                <c:pt idx="34">
                  <c:v>1.0024561986264999</c:v>
                </c:pt>
                <c:pt idx="35">
                  <c:v>1.00269316185737</c:v>
                </c:pt>
                <c:pt idx="36">
                  <c:v>1.0029529855825099</c:v>
                </c:pt>
                <c:pt idx="37">
                  <c:v>1.0032378750800801</c:v>
                </c:pt>
                <c:pt idx="38">
                  <c:v>1.00355024833673</c:v>
                </c:pt>
                <c:pt idx="39">
                  <c:v>1.00389275655859</c:v>
                </c:pt>
                <c:pt idx="40">
                  <c:v>1.0042683066590701</c:v>
                </c:pt>
                <c:pt idx="41">
                  <c:v>1.0046800859136</c:v>
                </c:pt>
                <c:pt idx="42">
                  <c:v>1.00513158898986</c:v>
                </c:pt>
                <c:pt idx="43">
                  <c:v>1.00562664758218</c:v>
                </c:pt>
                <c:pt idx="44">
                  <c:v>1.0061694629003901</c:v>
                </c:pt>
                <c:pt idx="45">
                  <c:v>1.00676464128779</c:v>
                </c:pt>
                <c:pt idx="46">
                  <c:v>1.00741723326893</c:v>
                </c:pt>
                <c:pt idx="47">
                  <c:v>1.00813277635683</c:v>
                </c:pt>
                <c:pt idx="48">
                  <c:v>1.00891734198074</c:v>
                </c:pt>
                <c:pt idx="49">
                  <c:v>1.0097775869300101</c:v>
                </c:pt>
                <c:pt idx="50">
                  <c:v>1.0107208097476801</c:v>
                </c:pt>
                <c:pt idx="51">
                  <c:v>1.0117550125483701</c:v>
                </c:pt>
                <c:pt idx="52">
                  <c:v>1.01288896878058</c:v>
                </c:pt>
                <c:pt idx="53">
                  <c:v>1.0141322975029201</c:v>
                </c:pt>
                <c:pt idx="54">
                  <c:v>1.0154955447980301</c:v>
                </c:pt>
                <c:pt idx="55">
                  <c:v>1.0169902730068401</c:v>
                </c:pt>
                <c:pt idx="56">
                  <c:v>1.0186291585310501</c:v>
                </c:pt>
                <c:pt idx="57">
                  <c:v>1.02042609902196</c:v>
                </c:pt>
                <c:pt idx="58">
                  <c:v>1.02239633085135</c:v>
                </c:pt>
                <c:pt idx="59">
                  <c:v>1.02455655784443</c:v>
                </c:pt>
                <c:pt idx="60">
                  <c:v>1.02692509234689</c:v>
                </c:pt>
                <c:pt idx="61">
                  <c:v>1.02952200979888</c:v>
                </c:pt>
                <c:pt idx="62">
                  <c:v>1.03236931809808</c:v>
                </c:pt>
                <c:pt idx="63">
                  <c:v>1.0354911431538001</c:v>
                </c:pt>
                <c:pt idx="64">
                  <c:v>1.0389139321640299</c:v>
                </c:pt>
                <c:pt idx="65">
                  <c:v>1.0426666762894099</c:v>
                </c:pt>
                <c:pt idx="66">
                  <c:v>1.0467811545519401</c:v>
                </c:pt>
                <c:pt idx="67">
                  <c:v>1.0512922009542001</c:v>
                </c:pt>
                <c:pt idx="68">
                  <c:v>1.0562379969967599</c:v>
                </c:pt>
                <c:pt idx="69">
                  <c:v>1.0616603919688501</c:v>
                </c:pt>
                <c:pt idx="70">
                  <c:v>1.0676052536017799</c:v>
                </c:pt>
                <c:pt idx="71">
                  <c:v>1.0741228519057899</c:v>
                </c:pt>
                <c:pt idx="72">
                  <c:v>1.0812682792617301</c:v>
                </c:pt>
                <c:pt idx="73">
                  <c:v>1.08910191010907</c:v>
                </c:pt>
                <c:pt idx="74">
                  <c:v>1.09768990386265</c:v>
                </c:pt>
                <c:pt idx="75">
                  <c:v>1.1071047550037101</c:v>
                </c:pt>
                <c:pt idx="76">
                  <c:v>1.1174258946258999</c:v>
                </c:pt>
                <c:pt idx="77">
                  <c:v>1.1287403480763201</c:v>
                </c:pt>
                <c:pt idx="78">
                  <c:v>1.14114345371416</c:v>
                </c:pt>
                <c:pt idx="79">
                  <c:v>1.15473964821671</c:v>
                </c:pt>
                <c:pt idx="80">
                  <c:v>1.16964332429299</c:v>
                </c:pt>
                <c:pt idx="81">
                  <c:v>1.1859797671196399</c:v>
                </c:pt>
                <c:pt idx="82">
                  <c:v>1.2038861762892501</c:v>
                </c:pt>
                <c:pt idx="83">
                  <c:v>1.22351278055708</c:v>
                </c:pt>
                <c:pt idx="84">
                  <c:v>1.2450240531841099</c:v>
                </c:pt>
                <c:pt idx="85">
                  <c:v>1.2686000361987599</c:v>
                </c:pt>
                <c:pt idx="86">
                  <c:v>1.29443778242995</c:v>
                </c:pt>
                <c:pt idx="87">
                  <c:v>1.3227529246930601</c:v>
                </c:pt>
                <c:pt idx="88">
                  <c:v>1.3537813820272999</c:v>
                </c:pt>
                <c:pt idx="89">
                  <c:v>1.3877812133754801</c:v>
                </c:pt>
                <c:pt idx="90">
                  <c:v>1.4250346295485501</c:v>
                </c:pt>
                <c:pt idx="91">
                  <c:v>1.4658501747074999</c:v>
                </c:pt>
                <c:pt idx="92">
                  <c:v>1.51056508889944</c:v>
                </c:pt>
                <c:pt idx="93">
                  <c:v>1.55954786337218</c:v>
                </c:pt>
                <c:pt idx="94">
                  <c:v>1.6132010004247099</c:v>
                </c:pt>
                <c:pt idx="95">
                  <c:v>1.67196398938557</c:v>
                </c:pt>
                <c:pt idx="96">
                  <c:v>1.73631650989224</c:v>
                </c:pt>
                <c:pt idx="97">
                  <c:v>1.80678187290776</c:v>
                </c:pt>
                <c:pt idx="98">
                  <c:v>1.8839307087805801</c:v>
                </c:pt>
                <c:pt idx="99">
                  <c:v>1.9683849100377699</c:v>
                </c:pt>
                <c:pt idx="100">
                  <c:v>2.0608218343963198</c:v>
                </c:pt>
                <c:pt idx="101">
                  <c:v>2.1619787705588198</c:v>
                </c:pt>
                <c:pt idx="102">
                  <c:v>2.2726576655867401</c:v>
                </c:pt>
                <c:pt idx="103">
                  <c:v>2.3937301078545299</c:v>
                </c:pt>
                <c:pt idx="104">
                  <c:v>2.5261425535986199</c:v>
                </c:pt>
                <c:pt idx="105">
                  <c:v>2.6709217776799998</c:v>
                </c:pt>
                <c:pt idx="106">
                  <c:v>2.8291805201522302</c:v>
                </c:pt>
                <c:pt idx="107">
                  <c:v>3.0021232893198202</c:v>
                </c:pt>
                <c:pt idx="108">
                  <c:v>3.1910522689232499</c:v>
                </c:pt>
                <c:pt idx="109">
                  <c:v>3.3973732616209</c:v>
                </c:pt>
                <c:pt idx="110">
                  <c:v>3.6226015827812499</c:v>
                </c:pt>
                <c:pt idx="111">
                  <c:v>3.8683677974858699</c:v>
                </c:pt>
                <c:pt idx="112">
                  <c:v>4.1364231693424101</c:v>
                </c:pt>
                <c:pt idx="113">
                  <c:v>4.4286446620413704</c:v>
                </c:pt>
                <c:pt idx="114">
                  <c:v>4.7470393034651099</c:v>
                </c:pt>
                <c:pt idx="115">
                  <c:v>5.0937476876170802</c:v>
                </c:pt>
                <c:pt idx="116">
                  <c:v>5.4710463519007497</c:v>
                </c:pt>
                <c:pt idx="117">
                  <c:v>5.8813487267962898</c:v>
                </c:pt>
                <c:pt idx="118">
                  <c:v>6.3272043125468898</c:v>
                </c:pt>
                <c:pt idx="119">
                  <c:v>6.8112956942348397</c:v>
                </c:pt>
                <c:pt idx="120">
                  <c:v>7.3364329642725403</c:v>
                </c:pt>
                <c:pt idx="121">
                  <c:v>7.9055450820854496</c:v>
                </c:pt>
                <c:pt idx="122">
                  <c:v>8.5216676675390008</c:v>
                </c:pt>
                <c:pt idx="123">
                  <c:v>9.1879267010949892</c:v>
                </c:pt>
                <c:pt idx="124">
                  <c:v>9.9075175942064106</c:v>
                </c:pt>
                <c:pt idx="125">
                  <c:v>10.683679103260801</c:v>
                </c:pt>
                <c:pt idx="126">
                  <c:v>11.519661595336199</c:v>
                </c:pt>
                <c:pt idx="127">
                  <c:v>12.4186892405077</c:v>
                </c:pt>
                <c:pt idx="128">
                  <c:v>13.383915809971</c:v>
                </c:pt>
                <c:pt idx="129">
                  <c:v>14.4183739080769</c:v>
                </c:pt>
                <c:pt idx="130">
                  <c:v>15.5249176647469</c:v>
                </c:pt>
                <c:pt idx="131">
                  <c:v>16.706159166141799</c:v>
                </c:pt>
                <c:pt idx="132">
                  <c:v>17.9643992065335</c:v>
                </c:pt>
                <c:pt idx="133">
                  <c:v>19.301553299817801</c:v>
                </c:pt>
                <c:pt idx="134">
                  <c:v>20.719074286710299</c:v>
                </c:pt>
                <c:pt idx="135">
                  <c:v>22.2178732990517</c:v>
                </c:pt>
                <c:pt idx="136">
                  <c:v>23.798241274786498</c:v>
                </c:pt>
                <c:pt idx="137">
                  <c:v>25.459773628224799</c:v>
                </c:pt>
                <c:pt idx="138">
                  <c:v>27.201301036158899</c:v>
                </c:pt>
                <c:pt idx="139">
                  <c:v>29.0208295627815</c:v>
                </c:pt>
                <c:pt idx="140">
                  <c:v>30.915493474870299</c:v>
                </c:pt>
                <c:pt idx="141">
                  <c:v>32.881524055202902</c:v>
                </c:pt>
                <c:pt idx="142">
                  <c:v>34.914237475184599</c:v>
                </c:pt>
                <c:pt idx="143">
                  <c:v>37.008044317674397</c:v>
                </c:pt>
                <c:pt idx="144">
                  <c:v>39.156482645108703</c:v>
                </c:pt>
                <c:pt idx="145">
                  <c:v>41.3522756039184</c:v>
                </c:pt>
                <c:pt idx="146">
                  <c:v>43.587413483980498</c:v>
                </c:pt>
                <c:pt idx="147">
                  <c:v>45.853258973180502</c:v>
                </c:pt>
                <c:pt idx="148">
                  <c:v>48.140673141725003</c:v>
                </c:pt>
                <c:pt idx="149">
                  <c:v>50.440158549478802</c:v>
                </c:pt>
                <c:pt idx="150">
                  <c:v>52.7420148852054</c:v>
                </c:pt>
                <c:pt idx="151">
                  <c:v>55.036501803854001</c:v>
                </c:pt>
                <c:pt idx="152">
                  <c:v>57.3140031932924</c:v>
                </c:pt>
                <c:pt idx="153">
                  <c:v>59.565187014859298</c:v>
                </c:pt>
                <c:pt idx="154">
                  <c:v>61.781155130835501</c:v>
                </c:pt>
                <c:pt idx="155">
                  <c:v>63.953578131697803</c:v>
                </c:pt>
                <c:pt idx="156">
                  <c:v>66.074811052571604</c:v>
                </c:pt>
                <c:pt idx="157">
                  <c:v>68.137986944649498</c:v>
                </c:pt>
                <c:pt idx="158">
                  <c:v>70.137086453357298</c:v>
                </c:pt>
                <c:pt idx="159">
                  <c:v>72.066982757545802</c:v>
                </c:pt>
                <c:pt idx="160">
                  <c:v>73.923462356933797</c:v>
                </c:pt>
                <c:pt idx="161">
                  <c:v>75.703223187306307</c:v>
                </c:pt>
                <c:pt idx="162">
                  <c:v>77.403852343681095</c:v>
                </c:pt>
                <c:pt idx="163">
                  <c:v>79.023786272347095</c:v>
                </c:pt>
                <c:pt idx="164">
                  <c:v>80.562256646598996</c:v>
                </c:pt>
                <c:pt idx="165">
                  <c:v>82.019225280119997</c:v>
                </c:pt>
                <c:pt idx="166">
                  <c:v>83.395311382652295</c:v>
                </c:pt>
                <c:pt idx="167">
                  <c:v>84.691714260281898</c:v>
                </c:pt>
                <c:pt idx="168">
                  <c:v>85.910134247244102</c:v>
                </c:pt>
                <c:pt idx="169">
                  <c:v>87.052694267306507</c:v>
                </c:pt>
                <c:pt idx="170">
                  <c:v>88.121863997026196</c:v>
                </c:pt>
                <c:pt idx="171">
                  <c:v>89.120388171445498</c:v>
                </c:pt>
                <c:pt idx="172">
                  <c:v>90.051220159509199</c:v>
                </c:pt>
                <c:pt idx="173">
                  <c:v>90.917461559089602</c:v>
                </c:pt>
                <c:pt idx="174">
                  <c:v>91.722308231258495</c:v>
                </c:pt>
                <c:pt idx="175">
                  <c:v>92.469002915777594</c:v>
                </c:pt>
                <c:pt idx="176">
                  <c:v>93.160794345921104</c:v>
                </c:pt>
                <c:pt idx="177">
                  <c:v>93.800902608373093</c:v>
                </c:pt>
                <c:pt idx="178">
                  <c:v>94.392490368623598</c:v>
                </c:pt>
                <c:pt idx="179">
                  <c:v>94.938639498103996</c:v>
                </c:pt>
                <c:pt idx="180">
                  <c:v>95.442332589847894</c:v>
                </c:pt>
                <c:pt idx="181">
                  <c:v>95.906438828190502</c:v>
                </c:pt>
                <c:pt idx="182">
                  <c:v>96.333703678825799</c:v>
                </c:pt>
                <c:pt idx="183">
                  <c:v>96.726741882845801</c:v>
                </c:pt>
                <c:pt idx="184">
                  <c:v>97.088033267425104</c:v>
                </c:pt>
                <c:pt idx="185">
                  <c:v>97.419920922539205</c:v>
                </c:pt>
                <c:pt idx="186">
                  <c:v>97.724611334262704</c:v>
                </c:pt>
                <c:pt idx="187">
                  <c:v>98.004176108249396</c:v>
                </c:pt>
                <c:pt idx="188">
                  <c:v>98.260554959983693</c:v>
                </c:pt>
                <c:pt idx="189">
                  <c:v>98.495559689954305</c:v>
                </c:pt>
                <c:pt idx="190">
                  <c:v>98.710878901038797</c:v>
                </c:pt>
                <c:pt idx="191">
                  <c:v>98.908083251533697</c:v>
                </c:pt>
                <c:pt idx="192">
                  <c:v>99.088631070056294</c:v>
                </c:pt>
                <c:pt idx="193">
                  <c:v>99.253874187895704</c:v>
                </c:pt>
                <c:pt idx="194">
                  <c:v>99.405063870306094</c:v>
                </c:pt>
                <c:pt idx="195">
                  <c:v>99.543356750871794</c:v>
                </c:pt>
                <c:pt idx="196">
                  <c:v>99.6698206926403</c:v>
                </c:pt>
                <c:pt idx="197">
                  <c:v>99.785440516454102</c:v>
                </c:pt>
                <c:pt idx="198">
                  <c:v>99.891123551109501</c:v>
                </c:pt>
                <c:pt idx="199">
                  <c:v>99.987704971876099</c:v>
                </c:pt>
                <c:pt idx="200">
                  <c:v>100.07595290383</c:v>
                </c:pt>
                <c:pt idx="201">
                  <c:v>100.156573274602</c:v>
                </c:pt>
                <c:pt idx="202">
                  <c:v>100.23021440779701</c:v>
                </c:pt>
                <c:pt idx="203">
                  <c:v>100.29747135369</c:v>
                </c:pt>
                <c:pt idx="204">
                  <c:v>100.358889958039</c:v>
                </c:pt>
                <c:pt idx="205">
                  <c:v>100.414970673171</c:v>
                </c:pt>
                <c:pt idx="206">
                  <c:v>100.466172118073</c:v>
                </c:pt>
                <c:pt idx="207">
                  <c:v>100.51291439602601</c:v>
                </c:pt>
                <c:pt idx="208">
                  <c:v>100.555582179765</c:v>
                </c:pt>
                <c:pt idx="209">
                  <c:v>100.59452757500399</c:v>
                </c:pt>
                <c:pt idx="210">
                  <c:v>100.630072773748</c:v>
                </c:pt>
                <c:pt idx="211">
                  <c:v>100.662512509103</c:v>
                </c:pt>
                <c:pt idx="212">
                  <c:v>100.692116323356</c:v>
                </c:pt>
                <c:pt idx="213">
                  <c:v>100.719130660939</c:v>
                </c:pt>
                <c:pt idx="214">
                  <c:v>100.74378079771</c:v>
                </c:pt>
                <c:pt idx="215">
                  <c:v>100.766272617561</c:v>
                </c:pt>
                <c:pt idx="216">
                  <c:v>100.78679424698301</c:v>
                </c:pt>
                <c:pt idx="217">
                  <c:v>100.805517557728</c:v>
                </c:pt>
                <c:pt idx="218">
                  <c:v>100.822599547202</c:v>
                </c:pt>
                <c:pt idx="219">
                  <c:v>100.838183605708</c:v>
                </c:pt>
                <c:pt idx="220">
                  <c:v>100.852400679098</c:v>
                </c:pt>
                <c:pt idx="221">
                  <c:v>100.865370334912</c:v>
                </c:pt>
                <c:pt idx="222">
                  <c:v>100.87720173951899</c:v>
                </c:pt>
                <c:pt idx="223">
                  <c:v>100.887994553293</c:v>
                </c:pt>
                <c:pt idx="224">
                  <c:v>100.897839750373</c:v>
                </c:pt>
                <c:pt idx="225">
                  <c:v>100.906820369076</c:v>
                </c:pt>
                <c:pt idx="226">
                  <c:v>100.915012198613</c:v>
                </c:pt>
                <c:pt idx="227">
                  <c:v>100.92248440730199</c:v>
                </c:pt>
                <c:pt idx="228">
                  <c:v>100.929300117132</c:v>
                </c:pt>
                <c:pt idx="229">
                  <c:v>100.93551692910501</c:v>
                </c:pt>
                <c:pt idx="230">
                  <c:v>100.94118740347299</c:v>
                </c:pt>
                <c:pt idx="231">
                  <c:v>100.94635949865</c:v>
                </c:pt>
                <c:pt idx="232">
                  <c:v>100.95107697228001</c:v>
                </c:pt>
                <c:pt idx="233">
                  <c:v>100.95537974765899</c:v>
                </c:pt>
                <c:pt idx="234">
                  <c:v>100.959304248455</c:v>
                </c:pt>
                <c:pt idx="235">
                  <c:v>100.96288370441999</c:v>
                </c:pt>
                <c:pt idx="236">
                  <c:v>100.966148430579</c:v>
                </c:pt>
                <c:pt idx="237">
                  <c:v>100.969126082157</c:v>
                </c:pt>
                <c:pt idx="238">
                  <c:v>100.971841887339</c:v>
                </c:pt>
                <c:pt idx="239">
                  <c:v>100.97431885976</c:v>
                </c:pt>
                <c:pt idx="240">
                  <c:v>100.976577992476</c:v>
                </c:pt>
                <c:pt idx="241">
                  <c:v>100.978638435021</c:v>
                </c:pt>
                <c:pt idx="242">
                  <c:v>100.980517655006</c:v>
                </c:pt>
                <c:pt idx="243">
                  <c:v>100.98223158559701</c:v>
                </c:pt>
                <c:pt idx="244">
                  <c:v>100.98379476011</c:v>
                </c:pt>
                <c:pt idx="245">
                  <c:v>100.985220434826</c:v>
                </c:pt>
                <c:pt idx="246">
                  <c:v>100.98652070107001</c:v>
                </c:pt>
                <c:pt idx="247">
                  <c:v>100.987706587465</c:v>
                </c:pt>
                <c:pt idx="248">
                  <c:v>100.988788153238</c:v>
                </c:pt>
                <c:pt idx="249">
                  <c:v>100.989774573348</c:v>
                </c:pt>
                <c:pt idx="250">
                  <c:v>100.99067421615</c:v>
                </c:pt>
                <c:pt idx="251">
                  <c:v>100.991494714252</c:v>
                </c:pt>
                <c:pt idx="252">
                  <c:v>100.99224302915501</c:v>
                </c:pt>
                <c:pt idx="253">
                  <c:v>100.99292551022199</c:v>
                </c:pt>
                <c:pt idx="254">
                  <c:v>100.993547948478</c:v>
                </c:pt>
                <c:pt idx="255">
                  <c:v>100.994115625669</c:v>
                </c:pt>
                <c:pt idx="256">
                  <c:v>100.994633359041</c:v>
                </c:pt>
                <c:pt idx="257">
                  <c:v>100.995105542163</c:v>
                </c:pt>
                <c:pt idx="258">
                  <c:v>100.995536182176</c:v>
                </c:pt>
                <c:pt idx="259">
                  <c:v>100.99592893376899</c:v>
                </c:pt>
                <c:pt idx="260">
                  <c:v>100.99628713017</c:v>
                </c:pt>
                <c:pt idx="261">
                  <c:v>100.996613811408</c:v>
                </c:pt>
                <c:pt idx="262">
                  <c:v>100.996911750099</c:v>
                </c:pt>
                <c:pt idx="263">
                  <c:v>100.997183474962</c:v>
                </c:pt>
                <c:pt idx="264">
                  <c:v>100.99743129226999</c:v>
                </c:pt>
                <c:pt idx="265">
                  <c:v>100.99765730541201</c:v>
                </c:pt>
                <c:pt idx="266">
                  <c:v>100.997863432738</c:v>
                </c:pt>
                <c:pt idx="267">
                  <c:v>100.99805142383499</c:v>
                </c:pt>
                <c:pt idx="268">
                  <c:v>100.99822287437</c:v>
                </c:pt>
                <c:pt idx="269">
                  <c:v>100.998379239627</c:v>
                </c:pt>
                <c:pt idx="270">
                  <c:v>100.99852184686399</c:v>
                </c:pt>
                <c:pt idx="271">
                  <c:v>100.998651906565</c:v>
                </c:pt>
                <c:pt idx="272">
                  <c:v>100.998770522716</c:v>
                </c:pt>
                <c:pt idx="273">
                  <c:v>100.998878702177</c:v>
                </c:pt>
                <c:pt idx="274">
                  <c:v>100.99897736322301</c:v>
                </c:pt>
                <c:pt idx="275">
                  <c:v>100.999067343335</c:v>
                </c:pt>
                <c:pt idx="276">
                  <c:v>100.999149406314</c:v>
                </c:pt>
                <c:pt idx="277">
                  <c:v>100.999224248758</c:v>
                </c:pt>
                <c:pt idx="278">
                  <c:v>100.999292505976</c:v>
                </c:pt>
                <c:pt idx="279">
                  <c:v>100.999354757379</c:v>
                </c:pt>
                <c:pt idx="280">
                  <c:v>100.999411531402</c:v>
                </c:pt>
                <c:pt idx="281">
                  <c:v>100.999463309982</c:v>
                </c:pt>
                <c:pt idx="282">
                  <c:v>100.99951053265499</c:v>
                </c:pt>
                <c:pt idx="283">
                  <c:v>100.999553600284</c:v>
                </c:pt>
                <c:pt idx="284">
                  <c:v>100.99959287846001</c:v>
                </c:pt>
                <c:pt idx="285">
                  <c:v>100.99962870061</c:v>
                </c:pt>
                <c:pt idx="286">
                  <c:v>100.999661370821</c:v>
                </c:pt>
                <c:pt idx="287">
                  <c:v>100.999691166426</c:v>
                </c:pt>
                <c:pt idx="288">
                  <c:v>100.999718340356</c:v>
                </c:pt>
                <c:pt idx="289">
                  <c:v>100.999743123288</c:v>
                </c:pt>
                <c:pt idx="290">
                  <c:v>100.999765725602</c:v>
                </c:pt>
                <c:pt idx="291">
                  <c:v>100.999786339165</c:v>
                </c:pt>
                <c:pt idx="292">
                  <c:v>100.999805138966</c:v>
                </c:pt>
                <c:pt idx="293">
                  <c:v>100.999822284595</c:v>
                </c:pt>
                <c:pt idx="294">
                  <c:v>100.999837921599</c:v>
                </c:pt>
                <c:pt idx="295">
                  <c:v>100.99985218272001</c:v>
                </c:pt>
                <c:pt idx="296">
                  <c:v>100.99986518902099</c:v>
                </c:pt>
                <c:pt idx="297">
                  <c:v>100.999877050911</c:v>
                </c:pt>
                <c:pt idx="298">
                  <c:v>100.999887869086</c:v>
                </c:pt>
                <c:pt idx="299">
                  <c:v>100.999897735381</c:v>
                </c:pt>
                <c:pt idx="300">
                  <c:v>100.99990673355001</c:v>
                </c:pt>
              </c:numCache>
            </c:numRef>
          </c:xVal>
          <c:yVal>
            <c:numRef>
              <c:f>'NI AC Coupled Amp'!$N$3:$N$303</c:f>
              <c:numCache>
                <c:formatCode>General</c:formatCode>
                <c:ptCount val="301"/>
                <c:pt idx="0">
                  <c:v>0.103546782839881</c:v>
                </c:pt>
                <c:pt idx="1">
                  <c:v>0.10842678115443</c:v>
                </c:pt>
                <c:pt idx="2">
                  <c:v>0.11353676504234</c:v>
                </c:pt>
                <c:pt idx="3">
                  <c:v>0.118887573143572</c:v>
                </c:pt>
                <c:pt idx="4">
                  <c:v>0.124490554870978</c:v>
                </c:pt>
                <c:pt idx="5">
                  <c:v>0.130357594476879</c:v>
                </c:pt>
                <c:pt idx="6">
                  <c:v>0.136501136253076</c:v>
                </c:pt>
                <c:pt idx="7">
                  <c:v>0.142934210917568</c:v>
                </c:pt>
                <c:pt idx="8">
                  <c:v>0.14967046324379199</c:v>
                </c:pt>
                <c:pt idx="9">
                  <c:v>0.15672418099077001</c:v>
                </c:pt>
                <c:pt idx="10">
                  <c:v>0.16411032519531099</c:v>
                </c:pt>
                <c:pt idx="11">
                  <c:v>0.17184456189023301</c:v>
                </c:pt>
                <c:pt idx="12">
                  <c:v>0.179943295315586</c:v>
                </c:pt>
                <c:pt idx="13">
                  <c:v>0.18842370269297201</c:v>
                </c:pt>
                <c:pt idx="14">
                  <c:v>0.19730377063631399</c:v>
                </c:pt>
                <c:pt idx="15">
                  <c:v>0.20660233327581201</c:v>
                </c:pt>
                <c:pt idx="16">
                  <c:v>0.21633911217547899</c:v>
                </c:pt>
                <c:pt idx="17">
                  <c:v>0.22653475812823301</c:v>
                </c:pt>
                <c:pt idx="18">
                  <c:v>0.237210894916555</c:v>
                </c:pt>
                <c:pt idx="19">
                  <c:v>0.24839016513069101</c:v>
                </c:pt>
                <c:pt idx="20">
                  <c:v>0.26009627814067199</c:v>
                </c:pt>
                <c:pt idx="21">
                  <c:v>0.27235406032280302</c:v>
                </c:pt>
                <c:pt idx="22">
                  <c:v>0.28518950764598</c:v>
                </c:pt>
                <c:pt idx="23">
                  <c:v>0.29862984072793303</c:v>
                </c:pt>
                <c:pt idx="24">
                  <c:v>0.31270356247655401</c:v>
                </c:pt>
                <c:pt idx="25">
                  <c:v>0.32744051843674998</c:v>
                </c:pt>
                <c:pt idx="26">
                  <c:v>0.34287195996865699</c:v>
                </c:pt>
                <c:pt idx="27">
                  <c:v>0.35903061038878498</c:v>
                </c:pt>
                <c:pt idx="28">
                  <c:v>0.37595073421158698</c:v>
                </c:pt>
                <c:pt idx="29">
                  <c:v>0.39366820963507598</c:v>
                </c:pt>
                <c:pt idx="30">
                  <c:v>0.41222060442054897</c:v>
                </c:pt>
                <c:pt idx="31">
                  <c:v>0.431647255323094</c:v>
                </c:pt>
                <c:pt idx="32">
                  <c:v>0.45198935123650003</c:v>
                </c:pt>
                <c:pt idx="33">
                  <c:v>0.47329002022329802</c:v>
                </c:pt>
                <c:pt idx="34">
                  <c:v>0.495594420608097</c:v>
                </c:pt>
                <c:pt idx="35">
                  <c:v>0.51894983632006497</c:v>
                </c:pt>
                <c:pt idx="36">
                  <c:v>0.54340577667825596</c:v>
                </c:pt>
                <c:pt idx="37">
                  <c:v>0.569014080821728</c:v>
                </c:pt>
                <c:pt idx="38">
                  <c:v>0.59582902699475804</c:v>
                </c:pt>
                <c:pt idx="39">
                  <c:v>0.623907446906109</c:v>
                </c:pt>
                <c:pt idx="40">
                  <c:v>0.65330884539018497</c:v>
                </c:pt>
                <c:pt idx="41">
                  <c:v>0.68409552560693698</c:v>
                </c:pt>
                <c:pt idx="42">
                  <c:v>0.71633272002666404</c:v>
                </c:pt>
                <c:pt idx="43">
                  <c:v>0.75008872745522504</c:v>
                </c:pt>
                <c:pt idx="44">
                  <c:v>0.78543505636468802</c:v>
                </c:pt>
                <c:pt idx="45">
                  <c:v>0.82244657480401895</c:v>
                </c:pt>
                <c:pt idx="46">
                  <c:v>0.861201667174056</c:v>
                </c:pt>
                <c:pt idx="47">
                  <c:v>0.90178239816054395</c:v>
                </c:pt>
                <c:pt idx="48">
                  <c:v>0.94427468412844395</c:v>
                </c:pt>
                <c:pt idx="49">
                  <c:v>0.98876847229005205</c:v>
                </c:pt>
                <c:pt idx="50">
                  <c:v>1.0353579279682901</c:v>
                </c:pt>
                <c:pt idx="51">
                  <c:v>1.0841416302851701</c:v>
                </c:pt>
                <c:pt idx="52">
                  <c:v>1.1352227766132199</c:v>
                </c:pt>
                <c:pt idx="53">
                  <c:v>1.18870939613497</c:v>
                </c:pt>
                <c:pt idx="54">
                  <c:v>1.2447145728617599</c:v>
                </c:pt>
                <c:pt idx="55">
                  <c:v>1.3033566784680399</c:v>
                </c:pt>
                <c:pt idx="56">
                  <c:v>1.3647596153013799</c:v>
                </c:pt>
                <c:pt idx="57">
                  <c:v>1.4290530699294399</c:v>
                </c:pt>
                <c:pt idx="58">
                  <c:v>1.49637277758578</c:v>
                </c:pt>
                <c:pt idx="59">
                  <c:v>1.56686079787251</c:v>
                </c:pt>
                <c:pt idx="60">
                  <c:v>1.6406658020726801</c:v>
                </c:pt>
                <c:pt idx="61">
                  <c:v>1.71794337241517</c:v>
                </c:pt>
                <c:pt idx="62">
                  <c:v>1.79885631362106</c:v>
                </c:pt>
                <c:pt idx="63">
                  <c:v>1.88357497704174</c:v>
                </c:pt>
                <c:pt idx="64">
                  <c:v>1.9722775976740601</c:v>
                </c:pt>
                <c:pt idx="65">
                  <c:v>2.0651506443055401</c:v>
                </c:pt>
                <c:pt idx="66">
                  <c:v>2.1623891830040001</c:v>
                </c:pt>
                <c:pt idx="67">
                  <c:v>2.26419725411496</c:v>
                </c:pt>
                <c:pt idx="68">
                  <c:v>2.37078826287155</c:v>
                </c:pt>
                <c:pt idx="69">
                  <c:v>2.4823853836475398</c:v>
                </c:pt>
                <c:pt idx="70">
                  <c:v>2.5992219777971002</c:v>
                </c:pt>
                <c:pt idx="71">
                  <c:v>2.7215420249197901</c:v>
                </c:pt>
                <c:pt idx="72">
                  <c:v>2.8496005672653602</c:v>
                </c:pt>
                <c:pt idx="73">
                  <c:v>2.9836641668461099</c:v>
                </c:pt>
                <c:pt idx="74">
                  <c:v>3.1240113746509102</c:v>
                </c:pt>
                <c:pt idx="75">
                  <c:v>3.2709332111534701</c:v>
                </c:pt>
                <c:pt idx="76">
                  <c:v>3.4247336570690701</c:v>
                </c:pt>
                <c:pt idx="77">
                  <c:v>3.5857301530384502</c:v>
                </c:pt>
                <c:pt idx="78">
                  <c:v>3.7542541065956199</c:v>
                </c:pt>
                <c:pt idx="79">
                  <c:v>3.9306514044037302</c:v>
                </c:pt>
                <c:pt idx="80">
                  <c:v>4.1152829273115703</c:v>
                </c:pt>
                <c:pt idx="81">
                  <c:v>4.3085250652846803</c:v>
                </c:pt>
                <c:pt idx="82">
                  <c:v>4.5107702286908404</c:v>
                </c:pt>
                <c:pt idx="83">
                  <c:v>4.7224273517583901</c:v>
                </c:pt>
                <c:pt idx="84">
                  <c:v>4.9439223832673704</c:v>
                </c:pt>
                <c:pt idx="85">
                  <c:v>5.1756987586633798</c:v>
                </c:pt>
                <c:pt idx="86">
                  <c:v>5.41821784678993</c:v>
                </c:pt>
                <c:pt idx="87">
                  <c:v>5.6719593632983898</c:v>
                </c:pt>
                <c:pt idx="88">
                  <c:v>5.9374217415019803</c:v>
                </c:pt>
                <c:pt idx="89">
                  <c:v>6.2151224499683604</c:v>
                </c:pt>
                <c:pt idx="90">
                  <c:v>6.5055982444768201</c:v>
                </c:pt>
                <c:pt idx="91">
                  <c:v>6.8094053400774301</c:v>
                </c:pt>
                <c:pt idx="92">
                  <c:v>7.1271194868573202</c:v>
                </c:pt>
                <c:pt idx="93">
                  <c:v>7.4593359306183498</c:v>
                </c:pt>
                <c:pt idx="94">
                  <c:v>7.80666923697608</c:v>
                </c:pt>
                <c:pt idx="95">
                  <c:v>8.1697529543754506</c:v>
                </c:pt>
                <c:pt idx="96">
                  <c:v>8.5492390881577496</c:v>
                </c:pt>
                <c:pt idx="97">
                  <c:v>8.9457973540832594</c:v>
                </c:pt>
                <c:pt idx="98">
                  <c:v>9.3601141755927593</c:v>
                </c:pt>
                <c:pt idx="99">
                  <c:v>9.7928913845599297</c:v>
                </c:pt>
                <c:pt idx="100">
                  <c:v>10.244844580338899</c:v>
                </c:pt>
                <c:pt idx="101">
                  <c:v>10.7167010965433</c:v>
                </c:pt>
                <c:pt idx="102">
                  <c:v>11.2091975192204</c:v>
                </c:pt>
                <c:pt idx="103">
                  <c:v>11.723076693936299</c:v>
                </c:pt>
                <c:pt idx="104">
                  <c:v>12.2590841528214</c:v>
                </c:pt>
                <c:pt idx="105">
                  <c:v>12.8179638859249</c:v>
                </c:pt>
                <c:pt idx="106">
                  <c:v>13.4004533744168</c:v>
                </c:pt>
                <c:pt idx="107">
                  <c:v>14.007277796429401</c:v>
                </c:pt>
                <c:pt idx="108">
                  <c:v>14.6391433098789</c:v>
                </c:pt>
                <c:pt idx="109">
                  <c:v>15.296729310756399</c:v>
                </c:pt>
                <c:pt idx="110">
                  <c:v>15.980679560523001</c:v>
                </c:pt>
                <c:pt idx="111">
                  <c:v>16.691592072865099</c:v>
                </c:pt>
                <c:pt idx="112">
                  <c:v>17.430007648795002</c:v>
                </c:pt>
                <c:pt idx="113">
                  <c:v>18.196396950649099</c:v>
                </c:pt>
                <c:pt idx="114">
                  <c:v>18.9911460108335</c:v>
                </c:pt>
                <c:pt idx="115">
                  <c:v>19.814540081259501</c:v>
                </c:pt>
                <c:pt idx="116">
                  <c:v>20.666745745502102</c:v>
                </c:pt>
                <c:pt idx="117">
                  <c:v>21.547791239174199</c:v>
                </c:pt>
                <c:pt idx="118">
                  <c:v>22.457544956363101</c:v>
                </c:pt>
                <c:pt idx="119">
                  <c:v>23.395692162824599</c:v>
                </c:pt>
                <c:pt idx="120">
                  <c:v>24.361709991635099</c:v>
                </c:pt>
                <c:pt idx="121">
                  <c:v>25.354840865756401</c:v>
                </c:pt>
                <c:pt idx="122">
                  <c:v>26.3740645758859</c:v>
                </c:pt>
                <c:pt idx="123">
                  <c:v>27.418069342077899</c:v>
                </c:pt>
                <c:pt idx="124">
                  <c:v>28.4852223043729</c:v>
                </c:pt>
                <c:pt idx="125">
                  <c:v>29.5735400206189</c:v>
                </c:pt>
                <c:pt idx="126">
                  <c:v>30.6806596971647</c:v>
                </c:pt>
                <c:pt idx="127">
                  <c:v>31.8038120369159</c:v>
                </c:pt>
                <c:pt idx="128">
                  <c:v>32.939796754209802</c:v>
                </c:pt>
                <c:pt idx="129">
                  <c:v>34.084961969624203</c:v>
                </c:pt>
                <c:pt idx="130">
                  <c:v>35.2351888501681</c:v>
                </c:pt>
                <c:pt idx="131">
                  <c:v>36.3858829886262</c:v>
                </c:pt>
                <c:pt idx="132">
                  <c:v>37.531974104951097</c:v>
                </c:pt>
                <c:pt idx="133">
                  <c:v>38.667925685194298</c:v>
                </c:pt>
                <c:pt idx="134">
                  <c:v>39.787756131079099</c:v>
                </c:pt>
                <c:pt idx="135">
                  <c:v>40.885072857591403</c:v>
                </c:pt>
                <c:pt idx="136">
                  <c:v>41.953120530602597</c:v>
                </c:pt>
                <c:pt idx="137">
                  <c:v>42.984844269561798</c:v>
                </c:pt>
                <c:pt idx="138">
                  <c:v>43.972968146674702</c:v>
                </c:pt>
                <c:pt idx="139">
                  <c:v>44.910088698328103</c:v>
                </c:pt>
                <c:pt idx="140">
                  <c:v>45.788782443323598</c:v>
                </c:pt>
                <c:pt idx="141">
                  <c:v>46.601725605794996</c:v>
                </c:pt>
                <c:pt idx="142">
                  <c:v>47.341823412235001</c:v>
                </c:pt>
                <c:pt idx="143">
                  <c:v>48.002345527941003</c:v>
                </c:pt>
                <c:pt idx="144">
                  <c:v>48.577063483339501</c:v>
                </c:pt>
                <c:pt idx="145">
                  <c:v>49.060385383497099</c:v>
                </c:pt>
                <c:pt idx="146">
                  <c:v>49.447482859520001</c:v>
                </c:pt>
                <c:pt idx="147">
                  <c:v>49.734405161848002</c:v>
                </c:pt>
                <c:pt idx="148">
                  <c:v>49.918175546763997</c:v>
                </c:pt>
                <c:pt idx="149">
                  <c:v>49.996865677263003</c:v>
                </c:pt>
                <c:pt idx="150">
                  <c:v>49.969644626910402</c:v>
                </c:pt>
                <c:pt idx="151">
                  <c:v>49.836800190095602</c:v>
                </c:pt>
                <c:pt idx="152">
                  <c:v>49.599731487933497</c:v>
                </c:pt>
                <c:pt idx="153">
                  <c:v>49.260913221340601</c:v>
                </c:pt>
                <c:pt idx="154">
                  <c:v>48.823833258408499</c:v>
                </c:pt>
                <c:pt idx="155">
                  <c:v>48.292906452045202</c:v>
                </c:pt>
                <c:pt idx="156">
                  <c:v>47.6733685796302</c:v>
                </c:pt>
                <c:pt idx="157">
                  <c:v>46.971155015445902</c:v>
                </c:pt>
                <c:pt idx="158">
                  <c:v>46.1927691535886</c:v>
                </c:pt>
                <c:pt idx="159">
                  <c:v>45.345145688301102</c:v>
                </c:pt>
                <c:pt idx="160">
                  <c:v>44.435513652598303</c:v>
                </c:pt>
                <c:pt idx="161">
                  <c:v>43.471263659550097</c:v>
                </c:pt>
                <c:pt idx="162">
                  <c:v>42.459823143921597</c:v>
                </c:pt>
                <c:pt idx="163">
                  <c:v>41.408542632672102</c:v>
                </c:pt>
                <c:pt idx="164">
                  <c:v>40.324595248565501</c:v>
                </c:pt>
                <c:pt idx="165">
                  <c:v>39.214890832707603</c:v>
                </c:pt>
                <c:pt idx="166">
                  <c:v>38.086005309312696</c:v>
                </c:pt>
                <c:pt idx="167">
                  <c:v>36.944125246154201</c:v>
                </c:pt>
                <c:pt idx="168">
                  <c:v>35.795007009908602</c:v>
                </c:pt>
                <c:pt idx="169">
                  <c:v>34.643949487148603</c:v>
                </c:pt>
                <c:pt idx="170">
                  <c:v>33.495779038355202</c:v>
                </c:pt>
                <c:pt idx="171">
                  <c:v>32.354845165111001</c:v>
                </c:pt>
                <c:pt idx="172">
                  <c:v>31.225025285074501</c:v>
                </c:pt>
                <c:pt idx="173">
                  <c:v>30.1097370077952</c:v>
                </c:pt>
                <c:pt idx="174">
                  <c:v>29.011956368338499</c:v>
                </c:pt>
                <c:pt idx="175">
                  <c:v>27.934240586978799</c:v>
                </c:pt>
                <c:pt idx="176">
                  <c:v>26.878754065636102</c:v>
                </c:pt>
                <c:pt idx="177">
                  <c:v>25.847296491288098</c:v>
                </c:pt>
                <c:pt idx="178">
                  <c:v>24.841332082014301</c:v>
                </c:pt>
                <c:pt idx="179">
                  <c:v>23.862019173901601</c:v>
                </c:pt>
                <c:pt idx="180">
                  <c:v>22.910239500566998</c:v>
                </c:pt>
                <c:pt idx="181">
                  <c:v>21.9866266573564</c:v>
                </c:pt>
                <c:pt idx="182">
                  <c:v>21.0915933670362</c:v>
                </c:pt>
                <c:pt idx="183">
                  <c:v>20.225357271989001</c:v>
                </c:pt>
                <c:pt idx="184">
                  <c:v>19.3879650696176</c:v>
                </c:pt>
                <c:pt idx="185">
                  <c:v>18.579314883633501</c:v>
                </c:pt>
                <c:pt idx="186">
                  <c:v>17.799176825406299</c:v>
                </c:pt>
                <c:pt idx="187">
                  <c:v>17.0472117481034</c:v>
                </c:pt>
                <c:pt idx="188">
                  <c:v>16.322988233603599</c:v>
                </c:pt>
                <c:pt idx="189">
                  <c:v>15.625997879751401</c:v>
                </c:pt>
                <c:pt idx="190">
                  <c:v>14.955668975021</c:v>
                </c:pt>
                <c:pt idx="191">
                  <c:v>14.311378660496301</c:v>
                </c:pt>
                <c:pt idx="192">
                  <c:v>13.6924636865692</c:v>
                </c:pt>
                <c:pt idx="193">
                  <c:v>13.0982298750148</c:v>
                </c:pt>
                <c:pt idx="194">
                  <c:v>12.527960397111499</c:v>
                </c:pt>
                <c:pt idx="195">
                  <c:v>11.980922976031</c:v>
                </c:pt>
                <c:pt idx="196">
                  <c:v>11.456376117527</c:v>
                </c:pt>
                <c:pt idx="197">
                  <c:v>10.953574467520101</c:v>
                </c:pt>
                <c:pt idx="198">
                  <c:v>10.471773388979599</c:v>
                </c:pt>
                <c:pt idx="199">
                  <c:v>10.0102328438662</c:v>
                </c:pt>
                <c:pt idx="200">
                  <c:v>9.5682206590923808</c:v>
                </c:pt>
                <c:pt idx="201">
                  <c:v>9.1450152486896599</c:v>
                </c:pt>
                <c:pt idx="202">
                  <c:v>8.7399078577724598</c:v>
                </c:pt>
                <c:pt idx="203">
                  <c:v>8.3522043875854504</c:v>
                </c:pt>
                <c:pt idx="204">
                  <c:v>7.9812268549513297</c:v>
                </c:pt>
                <c:pt idx="205">
                  <c:v>7.6263145338753997</c:v>
                </c:pt>
                <c:pt idx="206">
                  <c:v>7.2868248219099998</c:v>
                </c:pt>
                <c:pt idx="207">
                  <c:v>6.9621338691433898</c:v>
                </c:pt>
                <c:pt idx="208">
                  <c:v>6.6516370033665</c:v>
                </c:pt>
                <c:pt idx="209">
                  <c:v>6.3547489810471296</c:v>
                </c:pt>
                <c:pt idx="210">
                  <c:v>6.0709040902064304</c:v>
                </c:pt>
                <c:pt idx="211">
                  <c:v>5.7995561281117904</c:v>
                </c:pt>
                <c:pt idx="212">
                  <c:v>5.5401782738551004</c:v>
                </c:pt>
                <c:pt idx="213">
                  <c:v>5.2922628733411496</c:v>
                </c:pt>
                <c:pt idx="214">
                  <c:v>5.0553211519563197</c:v>
                </c:pt>
                <c:pt idx="215">
                  <c:v>4.8288828681799103</c:v>
                </c:pt>
                <c:pt idx="216">
                  <c:v>4.6124959196283202</c:v>
                </c:pt>
                <c:pt idx="217">
                  <c:v>4.4057259114595597</c:v>
                </c:pt>
                <c:pt idx="218">
                  <c:v>4.2081556956852699</c:v>
                </c:pt>
                <c:pt idx="219">
                  <c:v>4.0193848887296104</c:v>
                </c:pt>
                <c:pt idx="220">
                  <c:v>3.8390293735112602</c:v>
                </c:pt>
                <c:pt idx="221">
                  <c:v>3.6667207913974802</c:v>
                </c:pt>
                <c:pt idx="222">
                  <c:v>3.50210602856736</c:v>
                </c:pt>
                <c:pt idx="223">
                  <c:v>3.3448467006147302</c:v>
                </c:pt>
                <c:pt idx="224">
                  <c:v>3.1946186386056898</c:v>
                </c:pt>
                <c:pt idx="225">
                  <c:v>3.0511113792719202</c:v>
                </c:pt>
                <c:pt idx="226">
                  <c:v>2.9140276615578</c:v>
                </c:pt>
                <c:pt idx="227">
                  <c:v>2.7830829313384302</c:v>
                </c:pt>
                <c:pt idx="228">
                  <c:v>2.6580048557811402</c:v>
                </c:pt>
                <c:pt idx="229">
                  <c:v>2.53853284852417</c:v>
                </c:pt>
                <c:pt idx="230">
                  <c:v>2.4244176065921899</c:v>
                </c:pt>
                <c:pt idx="231">
                  <c:v>2.31542065974772</c:v>
                </c:pt>
                <c:pt idx="232">
                  <c:v>2.2113139327921498</c:v>
                </c:pt>
                <c:pt idx="233">
                  <c:v>2.1118793211701399</c:v>
                </c:pt>
                <c:pt idx="234">
                  <c:v>2.0169082800962301</c:v>
                </c:pt>
                <c:pt idx="235">
                  <c:v>1.92620142730932</c:v>
                </c:pt>
                <c:pt idx="236">
                  <c:v>1.8395681594643001</c:v>
                </c:pt>
                <c:pt idx="237">
                  <c:v>1.75682628209082</c:v>
                </c:pt>
                <c:pt idx="238">
                  <c:v>1.67780165298266</c:v>
                </c:pt>
                <c:pt idx="239">
                  <c:v>1.60232783882686</c:v>
                </c:pt>
                <c:pt idx="240">
                  <c:v>1.5302457848375099</c:v>
                </c:pt>
                <c:pt idx="241">
                  <c:v>1.46140349712344</c:v>
                </c:pt>
                <c:pt idx="242">
                  <c:v>1.39565573749094</c:v>
                </c:pt>
                <c:pt idx="243">
                  <c:v>1.3328637303611399</c:v>
                </c:pt>
                <c:pt idx="244">
                  <c:v>1.27289488146509</c:v>
                </c:pt>
                <c:pt idx="245">
                  <c:v>1.21562250796833</c:v>
                </c:pt>
                <c:pt idx="246">
                  <c:v>1.1609255796689599</c:v>
                </c:pt>
                <c:pt idx="247">
                  <c:v>1.1086884709087499</c:v>
                </c:pt>
                <c:pt idx="248">
                  <c:v>1.0588007228356</c:v>
                </c:pt>
                <c:pt idx="249">
                  <c:v>1.01115681565633</c:v>
                </c:pt>
                <c:pt idx="250">
                  <c:v>0.96565595052132702</c:v>
                </c:pt>
                <c:pt idx="251">
                  <c:v>0.92220184068758004</c:v>
                </c:pt>
                <c:pt idx="252">
                  <c:v>0.88070251161135604</c:v>
                </c:pt>
                <c:pt idx="253">
                  <c:v>0.84107010962967799</c:v>
                </c:pt>
                <c:pt idx="254">
                  <c:v>0.80322071889620805</c:v>
                </c:pt>
                <c:pt idx="255">
                  <c:v>0.76707418624613</c:v>
                </c:pt>
                <c:pt idx="256">
                  <c:v>0.73255395367331999</c:v>
                </c:pt>
                <c:pt idx="257">
                  <c:v>0.69958689811165498</c:v>
                </c:pt>
                <c:pt idx="258">
                  <c:v>0.66810317822241105</c:v>
                </c:pt>
                <c:pt idx="259">
                  <c:v>0.63803608789868305</c:v>
                </c:pt>
                <c:pt idx="260">
                  <c:v>0.60932191620758003</c:v>
                </c:pt>
                <c:pt idx="261">
                  <c:v>0.58189981350049103</c:v>
                </c:pt>
                <c:pt idx="262">
                  <c:v>0.55571166343141498</c:v>
                </c:pt>
                <c:pt idx="263">
                  <c:v>0.53070196063243802</c:v>
                </c:pt>
                <c:pt idx="264">
                  <c:v>0.506817693805245</c:v>
                </c:pt>
                <c:pt idx="265">
                  <c:v>0.48400823399633902</c:v>
                </c:pt>
                <c:pt idx="266">
                  <c:v>0.46222522783269099</c:v>
                </c:pt>
                <c:pt idx="267">
                  <c:v>0.44142249550345097</c:v>
                </c:pt>
                <c:pt idx="268">
                  <c:v>0.42155593328162</c:v>
                </c:pt>
                <c:pt idx="269">
                  <c:v>0.40258342038810202</c:v>
                </c:pt>
                <c:pt idx="270">
                  <c:v>0.38446473000842002</c:v>
                </c:pt>
                <c:pt idx="271">
                  <c:v>0.36716144428028702</c:v>
                </c:pt>
                <c:pt idx="272">
                  <c:v>0.35063687307767299</c:v>
                </c:pt>
                <c:pt idx="273">
                  <c:v>0.33485597642436998</c:v>
                </c:pt>
                <c:pt idx="274">
                  <c:v>0.31978529037698</c:v>
                </c:pt>
                <c:pt idx="275">
                  <c:v>0.30539285622412499</c:v>
                </c:pt>
                <c:pt idx="276">
                  <c:v>0.291648152855149</c:v>
                </c:pt>
                <c:pt idx="277">
                  <c:v>0.278522032157826</c:v>
                </c:pt>
                <c:pt idx="278">
                  <c:v>0.26598665731072502</c:v>
                </c:pt>
                <c:pt idx="279">
                  <c:v>0.25401544384156599</c:v>
                </c:pt>
                <c:pt idx="280">
                  <c:v>0.24258300332857899</c:v>
                </c:pt>
                <c:pt idx="281">
                  <c:v>0.23166508962714499</c:v>
                </c:pt>
                <c:pt idx="282">
                  <c:v>0.22123854750918101</c:v>
                </c:pt>
                <c:pt idx="283">
                  <c:v>0.21128126360765501</c:v>
                </c:pt>
                <c:pt idx="284">
                  <c:v>0.201772119563283</c:v>
                </c:pt>
                <c:pt idx="285">
                  <c:v>0.192690947275062</c:v>
                </c:pt>
                <c:pt idx="286">
                  <c:v>0.18401848616056299</c:v>
                </c:pt>
                <c:pt idx="287">
                  <c:v>0.175736342336095</c:v>
                </c:pt>
                <c:pt idx="288">
                  <c:v>0.167826949630803</c:v>
                </c:pt>
                <c:pt idx="289">
                  <c:v>0.16027353235259201</c:v>
                </c:pt>
                <c:pt idx="290">
                  <c:v>0.153060069727389</c:v>
                </c:pt>
                <c:pt idx="291">
                  <c:v>0.14617126193675101</c:v>
                </c:pt>
                <c:pt idx="292">
                  <c:v>0.13959249768215701</c:v>
                </c:pt>
                <c:pt idx="293">
                  <c:v>0.13330982320752299</c:v>
                </c:pt>
                <c:pt idx="294">
                  <c:v>0.12730991271450101</c:v>
                </c:pt>
                <c:pt idx="295">
                  <c:v>0.121580040108087</c:v>
                </c:pt>
                <c:pt idx="296">
                  <c:v>0.116108052012795</c:v>
                </c:pt>
                <c:pt idx="297">
                  <c:v>0.110882342002368</c:v>
                </c:pt>
                <c:pt idx="298">
                  <c:v>0.105891825988531</c:v>
                </c:pt>
                <c:pt idx="299">
                  <c:v>0.10112591871671001</c:v>
                </c:pt>
                <c:pt idx="300">
                  <c:v>9.6574511319010903E-2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BD-43D8-A4CD-E21F9B4BB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157864"/>
        <c:axId val="642160488"/>
      </c:scatterChart>
      <c:valAx>
        <c:axId val="642157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60488"/>
        <c:crosses val="autoZero"/>
        <c:crossBetween val="midCat"/>
      </c:valAx>
      <c:valAx>
        <c:axId val="64216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57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Response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Sum!$B$1</c:f>
              <c:strCache>
                <c:ptCount val="1"/>
                <c:pt idx="0">
                  <c:v>Gɪɴ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Sum!$A$2:$A$302</c:f>
              <c:numCache>
                <c:formatCode>General</c:formatCode>
                <c:ptCount val="301"/>
                <c:pt idx="0">
                  <c:v>1.03E-2</c:v>
                </c:pt>
                <c:pt idx="1">
                  <c:v>1.0785424044924257E-2</c:v>
                </c:pt>
                <c:pt idx="2">
                  <c:v>1.1293725420274806E-2</c:v>
                </c:pt>
                <c:pt idx="3">
                  <c:v>1.1825982301417889E-2</c:v>
                </c:pt>
                <c:pt idx="4">
                  <c:v>1.2383323676559348E-2</c:v>
                </c:pt>
                <c:pt idx="5">
                  <c:v>1.2966931741479913E-2</c:v>
                </c:pt>
                <c:pt idx="6">
                  <c:v>1.3578044407130993E-2</c:v>
                </c:pt>
                <c:pt idx="7">
                  <c:v>1.421795792540971E-2</c:v>
                </c:pt>
                <c:pt idx="8">
                  <c:v>1.488802963868305E-2</c:v>
                </c:pt>
                <c:pt idx="9">
                  <c:v>1.5589680858892936E-2</c:v>
                </c:pt>
                <c:pt idx="10">
                  <c:v>1.6324399882349471E-2</c:v>
                </c:pt>
                <c:pt idx="11">
                  <c:v>1.7093745146606876E-2</c:v>
                </c:pt>
                <c:pt idx="12">
                  <c:v>1.7899348536118562E-2</c:v>
                </c:pt>
                <c:pt idx="13">
                  <c:v>1.8742918843682805E-2</c:v>
                </c:pt>
                <c:pt idx="14">
                  <c:v>1.9626245395021436E-2</c:v>
                </c:pt>
                <c:pt idx="15">
                  <c:v>2.0551201844179447E-2</c:v>
                </c:pt>
                <c:pt idx="16">
                  <c:v>2.1519750147796585E-2</c:v>
                </c:pt>
                <c:pt idx="17">
                  <c:v>2.2533944726680365E-2</c:v>
                </c:pt>
                <c:pt idx="18">
                  <c:v>2.3595936823508048E-2</c:v>
                </c:pt>
                <c:pt idx="19">
                  <c:v>2.4707979065900734E-2</c:v>
                </c:pt>
                <c:pt idx="20">
                  <c:v>2.5872430244548651E-2</c:v>
                </c:pt>
                <c:pt idx="21">
                  <c:v>2.7091760316522408E-2</c:v>
                </c:pt>
                <c:pt idx="22">
                  <c:v>2.8368555644383103E-2</c:v>
                </c:pt>
                <c:pt idx="23">
                  <c:v>2.9705524482204024E-2</c:v>
                </c:pt>
                <c:pt idx="24">
                  <c:v>3.1105502720140742E-2</c:v>
                </c:pt>
                <c:pt idx="25">
                  <c:v>3.2571459899734277E-2</c:v>
                </c:pt>
                <c:pt idx="26">
                  <c:v>3.4106505512706879E-2</c:v>
                </c:pt>
                <c:pt idx="27">
                  <c:v>3.5713895596610749E-2</c:v>
                </c:pt>
                <c:pt idx="28">
                  <c:v>3.7397039641320413E-2</c:v>
                </c:pt>
                <c:pt idx="29">
                  <c:v>3.9159507821017812E-2</c:v>
                </c:pt>
                <c:pt idx="30">
                  <c:v>4.100503856701021E-2</c:v>
                </c:pt>
                <c:pt idx="31">
                  <c:v>4.2937546497444537E-2</c:v>
                </c:pt>
                <c:pt idx="32">
                  <c:v>4.4961130720737069E-2</c:v>
                </c:pt>
                <c:pt idx="33">
                  <c:v>4.7080083530332134E-2</c:v>
                </c:pt>
                <c:pt idx="34">
                  <c:v>4.9298899509231754E-2</c:v>
                </c:pt>
                <c:pt idx="35">
                  <c:v>5.1622285063609032E-2</c:v>
                </c:pt>
                <c:pt idx="36">
                  <c:v>5.4055168405726557E-2</c:v>
                </c:pt>
                <c:pt idx="37">
                  <c:v>5.6602710007335348E-2</c:v>
                </c:pt>
                <c:pt idx="38">
                  <c:v>5.9270313545727121E-2</c:v>
                </c:pt>
                <c:pt idx="39">
                  <c:v>6.2063637365658793E-2</c:v>
                </c:pt>
                <c:pt idx="40">
                  <c:v>6.4988606481459835E-2</c:v>
                </c:pt>
                <c:pt idx="41">
                  <c:v>6.8051425144782351E-2</c:v>
                </c:pt>
                <c:pt idx="42">
                  <c:v>7.1258590004650416E-2</c:v>
                </c:pt>
                <c:pt idx="43">
                  <c:v>7.4616903887723907E-2</c:v>
                </c:pt>
                <c:pt idx="44">
                  <c:v>7.813349022800585E-2</c:v>
                </c:pt>
                <c:pt idx="45">
                  <c:v>8.1815808176600974E-2</c:v>
                </c:pt>
                <c:pt idx="46">
                  <c:v>8.567166842357507E-2</c:v>
                </c:pt>
                <c:pt idx="47">
                  <c:v>8.9709249765476257E-2</c:v>
                </c:pt>
                <c:pt idx="48">
                  <c:v>9.3937116453658612E-2</c:v>
                </c:pt>
                <c:pt idx="49">
                  <c:v>9.8364236360207885E-2</c:v>
                </c:pt>
                <c:pt idx="50">
                  <c:v>0.10300000000000001</c:v>
                </c:pt>
                <c:pt idx="51">
                  <c:v>0.10785424044924259</c:v>
                </c:pt>
                <c:pt idx="52">
                  <c:v>0.11293725420274807</c:v>
                </c:pt>
                <c:pt idx="53">
                  <c:v>0.11825982301417892</c:v>
                </c:pt>
                <c:pt idx="54">
                  <c:v>0.12383323676559349</c:v>
                </c:pt>
                <c:pt idx="55">
                  <c:v>0.12966931741479915</c:v>
                </c:pt>
                <c:pt idx="56">
                  <c:v>0.13578044407130999</c:v>
                </c:pt>
                <c:pt idx="57">
                  <c:v>0.14217957925409702</c:v>
                </c:pt>
                <c:pt idx="58">
                  <c:v>0.14888029638683051</c:v>
                </c:pt>
                <c:pt idx="59">
                  <c:v>0.1558968085889294</c:v>
                </c:pt>
                <c:pt idx="60">
                  <c:v>0.16324399882349458</c:v>
                </c:pt>
                <c:pt idx="61">
                  <c:v>0.17093745146606862</c:v>
                </c:pt>
                <c:pt idx="62">
                  <c:v>0.1789934853611857</c:v>
                </c:pt>
                <c:pt idx="63">
                  <c:v>0.18742918843682826</c:v>
                </c:pt>
                <c:pt idx="64">
                  <c:v>0.19626245395021438</c:v>
                </c:pt>
                <c:pt idx="65">
                  <c:v>0.20551201844179456</c:v>
                </c:pt>
                <c:pt idx="66">
                  <c:v>0.21519750147796599</c:v>
                </c:pt>
                <c:pt idx="67">
                  <c:v>0.22533944726680391</c:v>
                </c:pt>
                <c:pt idx="68">
                  <c:v>0.23595936823508057</c:v>
                </c:pt>
                <c:pt idx="69">
                  <c:v>0.24707979065900743</c:v>
                </c:pt>
                <c:pt idx="70">
                  <c:v>0.25872430244548655</c:v>
                </c:pt>
                <c:pt idx="71">
                  <c:v>0.27091760316522423</c:v>
                </c:pt>
                <c:pt idx="72">
                  <c:v>0.28368555644383098</c:v>
                </c:pt>
                <c:pt idx="73">
                  <c:v>0.29705524482204032</c:v>
                </c:pt>
                <c:pt idx="74">
                  <c:v>0.31105502720140754</c:v>
                </c:pt>
                <c:pt idx="75">
                  <c:v>0.32571459899734301</c:v>
                </c:pt>
                <c:pt idx="76">
                  <c:v>0.34106505512706881</c:v>
                </c:pt>
                <c:pt idx="77">
                  <c:v>0.35713895596610756</c:v>
                </c:pt>
                <c:pt idx="78">
                  <c:v>0.3739703964132044</c:v>
                </c:pt>
                <c:pt idx="79">
                  <c:v>0.39159507821017797</c:v>
                </c:pt>
                <c:pt idx="80">
                  <c:v>0.41005038567010221</c:v>
                </c:pt>
                <c:pt idx="81">
                  <c:v>0.42937546497444545</c:v>
                </c:pt>
                <c:pt idx="82">
                  <c:v>0.44961130720737086</c:v>
                </c:pt>
                <c:pt idx="83">
                  <c:v>0.47080083530332106</c:v>
                </c:pt>
                <c:pt idx="84">
                  <c:v>0.49298899509231742</c:v>
                </c:pt>
                <c:pt idx="85">
                  <c:v>0.5162228506360903</c:v>
                </c:pt>
                <c:pt idx="86">
                  <c:v>0.54055168405726561</c:v>
                </c:pt>
                <c:pt idx="87">
                  <c:v>0.56602710007335311</c:v>
                </c:pt>
                <c:pt idx="88">
                  <c:v>0.5927031354572716</c:v>
                </c:pt>
                <c:pt idx="89">
                  <c:v>0.62063637365658819</c:v>
                </c:pt>
                <c:pt idx="90">
                  <c:v>0.64988606481459898</c:v>
                </c:pt>
                <c:pt idx="91">
                  <c:v>0.68051425144782374</c:v>
                </c:pt>
                <c:pt idx="92">
                  <c:v>0.71258590004650457</c:v>
                </c:pt>
                <c:pt idx="93">
                  <c:v>0.74616903887723962</c:v>
                </c:pt>
                <c:pt idx="94">
                  <c:v>0.78133490228005908</c:v>
                </c:pt>
                <c:pt idx="95">
                  <c:v>0.81815808176600946</c:v>
                </c:pt>
                <c:pt idx="96">
                  <c:v>0.85671668423575098</c:v>
                </c:pt>
                <c:pt idx="97">
                  <c:v>0.89709249765476262</c:v>
                </c:pt>
                <c:pt idx="98">
                  <c:v>0.93937116453658676</c:v>
                </c:pt>
                <c:pt idx="99">
                  <c:v>0.9836423636020788</c:v>
                </c:pt>
                <c:pt idx="100">
                  <c:v>1.03</c:v>
                </c:pt>
                <c:pt idx="101">
                  <c:v>1.0785424044924268</c:v>
                </c:pt>
                <c:pt idx="102">
                  <c:v>1.1293725420274805</c:v>
                </c:pt>
                <c:pt idx="103">
                  <c:v>1.1825982301417894</c:v>
                </c:pt>
                <c:pt idx="104">
                  <c:v>1.2383323676559352</c:v>
                </c:pt>
                <c:pt idx="105">
                  <c:v>1.2966931741479919</c:v>
                </c:pt>
                <c:pt idx="106">
                  <c:v>1.3578044407130994</c:v>
                </c:pt>
                <c:pt idx="107">
                  <c:v>1.421795792540971</c:v>
                </c:pt>
                <c:pt idx="108">
                  <c:v>1.4888029638683051</c:v>
                </c:pt>
                <c:pt idx="109">
                  <c:v>1.5589680858892943</c:v>
                </c:pt>
                <c:pt idx="110">
                  <c:v>1.6324399882349467</c:v>
                </c:pt>
                <c:pt idx="111">
                  <c:v>1.7093745146606869</c:v>
                </c:pt>
                <c:pt idx="112">
                  <c:v>1.7899348536118562</c:v>
                </c:pt>
                <c:pt idx="113">
                  <c:v>1.874291884368283</c:v>
                </c:pt>
                <c:pt idx="114">
                  <c:v>1.9626245395021447</c:v>
                </c:pt>
                <c:pt idx="115">
                  <c:v>2.0551201844179459</c:v>
                </c:pt>
                <c:pt idx="116">
                  <c:v>2.1519750147796604</c:v>
                </c:pt>
                <c:pt idx="117">
                  <c:v>2.2533944726680391</c:v>
                </c:pt>
                <c:pt idx="118">
                  <c:v>2.3595936823508064</c:v>
                </c:pt>
                <c:pt idx="119">
                  <c:v>2.4707979065900751</c:v>
                </c:pt>
                <c:pt idx="120">
                  <c:v>2.5872430244548679</c:v>
                </c:pt>
                <c:pt idx="121">
                  <c:v>2.7091760316522437</c:v>
                </c:pt>
                <c:pt idx="122">
                  <c:v>2.8368555644383115</c:v>
                </c:pt>
                <c:pt idx="123">
                  <c:v>2.970552448220404</c:v>
                </c:pt>
                <c:pt idx="124">
                  <c:v>3.1105502720140761</c:v>
                </c:pt>
                <c:pt idx="125">
                  <c:v>3.2571459899734312</c:v>
                </c:pt>
                <c:pt idx="126">
                  <c:v>3.4106505512706882</c:v>
                </c:pt>
                <c:pt idx="127">
                  <c:v>3.5713895596610765</c:v>
                </c:pt>
                <c:pt idx="128">
                  <c:v>3.7397039641320444</c:v>
                </c:pt>
                <c:pt idx="129">
                  <c:v>3.9159507821017803</c:v>
                </c:pt>
                <c:pt idx="130">
                  <c:v>4.1005038567010219</c:v>
                </c:pt>
                <c:pt idx="131">
                  <c:v>4.2937546497444545</c:v>
                </c:pt>
                <c:pt idx="132">
                  <c:v>4.496113072073709</c:v>
                </c:pt>
                <c:pt idx="133">
                  <c:v>4.7080083530332129</c:v>
                </c:pt>
                <c:pt idx="134">
                  <c:v>4.9298899509231751</c:v>
                </c:pt>
                <c:pt idx="135">
                  <c:v>5.1622285063609041</c:v>
                </c:pt>
                <c:pt idx="136">
                  <c:v>5.4055168405726572</c:v>
                </c:pt>
                <c:pt idx="137">
                  <c:v>5.6602710007335331</c:v>
                </c:pt>
                <c:pt idx="138">
                  <c:v>5.9270313545727165</c:v>
                </c:pt>
                <c:pt idx="139">
                  <c:v>6.2063637365658852</c:v>
                </c:pt>
                <c:pt idx="140">
                  <c:v>6.4988606481459907</c:v>
                </c:pt>
                <c:pt idx="141">
                  <c:v>6.8051425144782396</c:v>
                </c:pt>
                <c:pt idx="142">
                  <c:v>7.1258590004650468</c:v>
                </c:pt>
                <c:pt idx="143">
                  <c:v>7.4616903887723973</c:v>
                </c:pt>
                <c:pt idx="144">
                  <c:v>7.8133490228005922</c:v>
                </c:pt>
                <c:pt idx="145">
                  <c:v>8.1815808176600999</c:v>
                </c:pt>
                <c:pt idx="146">
                  <c:v>8.5671668423575102</c:v>
                </c:pt>
                <c:pt idx="147">
                  <c:v>8.9709249765476287</c:v>
                </c:pt>
                <c:pt idx="148">
                  <c:v>9.3937116453658707</c:v>
                </c:pt>
                <c:pt idx="149">
                  <c:v>9.8364236360207897</c:v>
                </c:pt>
                <c:pt idx="150">
                  <c:v>10.3</c:v>
                </c:pt>
                <c:pt idx="151">
                  <c:v>10.785424044924266</c:v>
                </c:pt>
                <c:pt idx="152">
                  <c:v>11.293725420274807</c:v>
                </c:pt>
                <c:pt idx="153">
                  <c:v>11.825982301417897</c:v>
                </c:pt>
                <c:pt idx="154">
                  <c:v>12.383323676559357</c:v>
                </c:pt>
                <c:pt idx="155">
                  <c:v>12.966931741479923</c:v>
                </c:pt>
                <c:pt idx="156">
                  <c:v>13.578044407130996</c:v>
                </c:pt>
                <c:pt idx="157">
                  <c:v>14.217957925409717</c:v>
                </c:pt>
                <c:pt idx="158">
                  <c:v>14.888029638683054</c:v>
                </c:pt>
                <c:pt idx="159">
                  <c:v>15.589680858892946</c:v>
                </c:pt>
                <c:pt idx="160">
                  <c:v>16.324399882349471</c:v>
                </c:pt>
                <c:pt idx="161">
                  <c:v>17.093745146606874</c:v>
                </c:pt>
                <c:pt idx="162">
                  <c:v>17.89934853611857</c:v>
                </c:pt>
                <c:pt idx="163">
                  <c:v>18.742918843682833</c:v>
                </c:pt>
                <c:pt idx="164">
                  <c:v>19.626245395021449</c:v>
                </c:pt>
                <c:pt idx="165">
                  <c:v>20.551201844179463</c:v>
                </c:pt>
                <c:pt idx="166">
                  <c:v>21.519750147796611</c:v>
                </c:pt>
                <c:pt idx="167">
                  <c:v>22.533944726680392</c:v>
                </c:pt>
                <c:pt idx="168">
                  <c:v>23.595936823508065</c:v>
                </c:pt>
                <c:pt idx="169">
                  <c:v>24.707979065900759</c:v>
                </c:pt>
                <c:pt idx="170">
                  <c:v>25.872430244548681</c:v>
                </c:pt>
                <c:pt idx="171">
                  <c:v>27.091760316522439</c:v>
                </c:pt>
                <c:pt idx="172">
                  <c:v>28.368555644383115</c:v>
                </c:pt>
                <c:pt idx="173">
                  <c:v>29.705524482204044</c:v>
                </c:pt>
                <c:pt idx="174">
                  <c:v>31.105502720140773</c:v>
                </c:pt>
                <c:pt idx="175">
                  <c:v>32.571459899734315</c:v>
                </c:pt>
                <c:pt idx="176">
                  <c:v>34.106505512706889</c:v>
                </c:pt>
                <c:pt idx="177">
                  <c:v>35.713895596610769</c:v>
                </c:pt>
                <c:pt idx="178">
                  <c:v>37.397039641320447</c:v>
                </c:pt>
                <c:pt idx="179">
                  <c:v>39.159507821017804</c:v>
                </c:pt>
                <c:pt idx="180">
                  <c:v>41.005038567010224</c:v>
                </c:pt>
                <c:pt idx="181">
                  <c:v>42.937546497444558</c:v>
                </c:pt>
                <c:pt idx="182">
                  <c:v>44.961130720737103</c:v>
                </c:pt>
                <c:pt idx="183">
                  <c:v>47.080083530332139</c:v>
                </c:pt>
                <c:pt idx="184">
                  <c:v>49.298899509231759</c:v>
                </c:pt>
                <c:pt idx="185">
                  <c:v>51.622285063609048</c:v>
                </c:pt>
                <c:pt idx="186">
                  <c:v>54.055168405726583</c:v>
                </c:pt>
                <c:pt idx="187">
                  <c:v>56.602710007335332</c:v>
                </c:pt>
                <c:pt idx="188">
                  <c:v>59.270313545727191</c:v>
                </c:pt>
                <c:pt idx="189">
                  <c:v>62.06363736565887</c:v>
                </c:pt>
                <c:pt idx="190">
                  <c:v>64.988606481459925</c:v>
                </c:pt>
                <c:pt idx="191">
                  <c:v>68.051425144782399</c:v>
                </c:pt>
                <c:pt idx="192">
                  <c:v>71.258590004650486</c:v>
                </c:pt>
                <c:pt idx="193">
                  <c:v>74.616903887724007</c:v>
                </c:pt>
                <c:pt idx="194">
                  <c:v>78.133490228005925</c:v>
                </c:pt>
                <c:pt idx="195">
                  <c:v>81.815808176601024</c:v>
                </c:pt>
                <c:pt idx="196">
                  <c:v>85.671668423575127</c:v>
                </c:pt>
                <c:pt idx="197">
                  <c:v>89.709249765476301</c:v>
                </c:pt>
                <c:pt idx="198">
                  <c:v>93.937116453658717</c:v>
                </c:pt>
                <c:pt idx="199">
                  <c:v>98.364236360207897</c:v>
                </c:pt>
                <c:pt idx="200">
                  <c:v>103</c:v>
                </c:pt>
                <c:pt idx="201">
                  <c:v>107.85424044924271</c:v>
                </c:pt>
                <c:pt idx="202">
                  <c:v>112.93725420274809</c:v>
                </c:pt>
                <c:pt idx="203">
                  <c:v>118.25982301417901</c:v>
                </c:pt>
                <c:pt idx="204">
                  <c:v>123.83323676559357</c:v>
                </c:pt>
                <c:pt idx="205">
                  <c:v>129.66931741479931</c:v>
                </c:pt>
                <c:pt idx="206">
                  <c:v>135.78044407131</c:v>
                </c:pt>
                <c:pt idx="207">
                  <c:v>142.17957925409718</c:v>
                </c:pt>
                <c:pt idx="208">
                  <c:v>148.88029638683054</c:v>
                </c:pt>
                <c:pt idx="209">
                  <c:v>155.8968085889295</c:v>
                </c:pt>
                <c:pt idx="210">
                  <c:v>163.24399882349471</c:v>
                </c:pt>
                <c:pt idx="211">
                  <c:v>170.93745146606884</c:v>
                </c:pt>
                <c:pt idx="212">
                  <c:v>178.99348536118569</c:v>
                </c:pt>
                <c:pt idx="213">
                  <c:v>187.42918843682838</c:v>
                </c:pt>
                <c:pt idx="214">
                  <c:v>196.26245395021454</c:v>
                </c:pt>
                <c:pt idx="215">
                  <c:v>205.51201844179471</c:v>
                </c:pt>
                <c:pt idx="216">
                  <c:v>215.19750147796614</c:v>
                </c:pt>
                <c:pt idx="217">
                  <c:v>225.33944726680406</c:v>
                </c:pt>
                <c:pt idx="218">
                  <c:v>235.95936823508072</c:v>
                </c:pt>
                <c:pt idx="219">
                  <c:v>247.07979065900756</c:v>
                </c:pt>
                <c:pt idx="220">
                  <c:v>258.72430244548673</c:v>
                </c:pt>
                <c:pt idx="221">
                  <c:v>270.91760316522442</c:v>
                </c:pt>
                <c:pt idx="222">
                  <c:v>283.68555644383116</c:v>
                </c:pt>
                <c:pt idx="223">
                  <c:v>297.05524482204049</c:v>
                </c:pt>
                <c:pt idx="224">
                  <c:v>311.05502720140771</c:v>
                </c:pt>
                <c:pt idx="225">
                  <c:v>325.71459899734322</c:v>
                </c:pt>
                <c:pt idx="226">
                  <c:v>341.06505512706906</c:v>
                </c:pt>
                <c:pt idx="227">
                  <c:v>357.1389559661078</c:v>
                </c:pt>
                <c:pt idx="228">
                  <c:v>373.97039641320464</c:v>
                </c:pt>
                <c:pt idx="229">
                  <c:v>391.59507821017826</c:v>
                </c:pt>
                <c:pt idx="230">
                  <c:v>410.05038567010251</c:v>
                </c:pt>
                <c:pt idx="231">
                  <c:v>429.37546497444572</c:v>
                </c:pt>
                <c:pt idx="232">
                  <c:v>449.61130720737111</c:v>
                </c:pt>
                <c:pt idx="233">
                  <c:v>470.80083530332138</c:v>
                </c:pt>
                <c:pt idx="234">
                  <c:v>492.98899509231774</c:v>
                </c:pt>
                <c:pt idx="235">
                  <c:v>516.22285063609058</c:v>
                </c:pt>
                <c:pt idx="236">
                  <c:v>540.55168405726613</c:v>
                </c:pt>
                <c:pt idx="237">
                  <c:v>566.02710007335349</c:v>
                </c:pt>
                <c:pt idx="238">
                  <c:v>592.70313545727174</c:v>
                </c:pt>
                <c:pt idx="239">
                  <c:v>620.63637365658906</c:v>
                </c:pt>
                <c:pt idx="240">
                  <c:v>649.88606481459954</c:v>
                </c:pt>
                <c:pt idx="241">
                  <c:v>680.51425144782422</c:v>
                </c:pt>
                <c:pt idx="242">
                  <c:v>712.58590004650466</c:v>
                </c:pt>
                <c:pt idx="243">
                  <c:v>746.1690388772405</c:v>
                </c:pt>
                <c:pt idx="244">
                  <c:v>781.33490228005917</c:v>
                </c:pt>
                <c:pt idx="245">
                  <c:v>818.15808176601047</c:v>
                </c:pt>
                <c:pt idx="246">
                  <c:v>856.71668423575147</c:v>
                </c:pt>
                <c:pt idx="247">
                  <c:v>897.09249765476318</c:v>
                </c:pt>
                <c:pt idx="248">
                  <c:v>939.37116453658712</c:v>
                </c:pt>
                <c:pt idx="249">
                  <c:v>983.64236360207974</c:v>
                </c:pt>
                <c:pt idx="250">
                  <c:v>1030</c:v>
                </c:pt>
                <c:pt idx="251">
                  <c:v>1078.5424044924268</c:v>
                </c:pt>
                <c:pt idx="252">
                  <c:v>1129.3725420274818</c:v>
                </c:pt>
                <c:pt idx="253">
                  <c:v>1182.5982301417901</c:v>
                </c:pt>
                <c:pt idx="254">
                  <c:v>1238.332367655936</c:v>
                </c:pt>
                <c:pt idx="255">
                  <c:v>1296.6931741479927</c:v>
                </c:pt>
                <c:pt idx="256">
                  <c:v>1357.8044407131008</c:v>
                </c:pt>
                <c:pt idx="257">
                  <c:v>1421.7957925409728</c:v>
                </c:pt>
                <c:pt idx="258">
                  <c:v>1488.8029638683065</c:v>
                </c:pt>
                <c:pt idx="259">
                  <c:v>1558.9680858892955</c:v>
                </c:pt>
                <c:pt idx="260">
                  <c:v>1632.4399882349489</c:v>
                </c:pt>
                <c:pt idx="261">
                  <c:v>1709.3745146606891</c:v>
                </c:pt>
                <c:pt idx="262">
                  <c:v>1789.9348536118582</c:v>
                </c:pt>
                <c:pt idx="263">
                  <c:v>1874.2918843682826</c:v>
                </c:pt>
                <c:pt idx="264">
                  <c:v>1962.6245395021456</c:v>
                </c:pt>
                <c:pt idx="265">
                  <c:v>2055.1201844179468</c:v>
                </c:pt>
                <c:pt idx="266">
                  <c:v>2151.9750147796608</c:v>
                </c:pt>
                <c:pt idx="267">
                  <c:v>2253.3944726680393</c:v>
                </c:pt>
                <c:pt idx="268">
                  <c:v>2359.5936823508077</c:v>
                </c:pt>
                <c:pt idx="269">
                  <c:v>2470.7979065900763</c:v>
                </c:pt>
                <c:pt idx="270">
                  <c:v>2587.2430244548682</c:v>
                </c:pt>
                <c:pt idx="271">
                  <c:v>2709.1760316522432</c:v>
                </c:pt>
                <c:pt idx="272">
                  <c:v>2836.8555644383136</c:v>
                </c:pt>
                <c:pt idx="273">
                  <c:v>2970.5524482204055</c:v>
                </c:pt>
                <c:pt idx="274">
                  <c:v>3110.5502720140776</c:v>
                </c:pt>
                <c:pt idx="275">
                  <c:v>3257.1459899734341</c:v>
                </c:pt>
                <c:pt idx="276">
                  <c:v>3410.6505512706913</c:v>
                </c:pt>
                <c:pt idx="277">
                  <c:v>3571.3895596610782</c:v>
                </c:pt>
                <c:pt idx="278">
                  <c:v>3739.7039641320457</c:v>
                </c:pt>
                <c:pt idx="279">
                  <c:v>3915.9507821017851</c:v>
                </c:pt>
                <c:pt idx="280">
                  <c:v>4100.5038567010261</c:v>
                </c:pt>
                <c:pt idx="281">
                  <c:v>4293.7546497444582</c:v>
                </c:pt>
                <c:pt idx="282">
                  <c:v>4496.1130720737119</c:v>
                </c:pt>
                <c:pt idx="283">
                  <c:v>4708.0083530332195</c:v>
                </c:pt>
                <c:pt idx="284">
                  <c:v>4929.8899509231805</c:v>
                </c:pt>
                <c:pt idx="285">
                  <c:v>5162.2285063609088</c:v>
                </c:pt>
                <c:pt idx="286">
                  <c:v>5405.5168405726617</c:v>
                </c:pt>
                <c:pt idx="287">
                  <c:v>5660.2710007335418</c:v>
                </c:pt>
                <c:pt idx="288">
                  <c:v>5927.0313545727186</c:v>
                </c:pt>
                <c:pt idx="289">
                  <c:v>6206.3637365658851</c:v>
                </c:pt>
                <c:pt idx="290">
                  <c:v>6498.860648145991</c:v>
                </c:pt>
                <c:pt idx="291">
                  <c:v>6805.1425144782434</c:v>
                </c:pt>
                <c:pt idx="292">
                  <c:v>7125.8590004650487</c:v>
                </c:pt>
                <c:pt idx="293">
                  <c:v>7461.6903887724002</c:v>
                </c:pt>
                <c:pt idx="294">
                  <c:v>7813.349022800593</c:v>
                </c:pt>
                <c:pt idx="295">
                  <c:v>8181.5808176601058</c:v>
                </c:pt>
                <c:pt idx="296">
                  <c:v>8567.1668423575156</c:v>
                </c:pt>
                <c:pt idx="297">
                  <c:v>8970.9249765476343</c:v>
                </c:pt>
                <c:pt idx="298">
                  <c:v>9393.7116453658728</c:v>
                </c:pt>
                <c:pt idx="299">
                  <c:v>9836.4236360207997</c:v>
                </c:pt>
                <c:pt idx="300">
                  <c:v>10300</c:v>
                </c:pt>
              </c:numCache>
            </c:numRef>
          </c:xVal>
          <c:yVal>
            <c:numRef>
              <c:f>Sum!$B$2:$B$302</c:f>
              <c:numCache>
                <c:formatCode>General</c:formatCode>
                <c:ptCount val="301"/>
                <c:pt idx="0">
                  <c:v>-59.697263142100923</c:v>
                </c:pt>
                <c:pt idx="1">
                  <c:v>-59.297263591350088</c:v>
                </c:pt>
                <c:pt idx="2">
                  <c:v>-58.897264083941749</c:v>
                </c:pt>
                <c:pt idx="3">
                  <c:v>-58.497264624057706</c:v>
                </c:pt>
                <c:pt idx="4">
                  <c:v>-58.09726521628307</c:v>
                </c:pt>
                <c:pt idx="5">
                  <c:v>-57.697265865645129</c:v>
                </c:pt>
                <c:pt idx="6">
                  <c:v>-57.297266577656465</c:v>
                </c:pt>
                <c:pt idx="7">
                  <c:v>-56.897267358361169</c:v>
                </c:pt>
                <c:pt idx="8">
                  <c:v>-56.497268214386651</c:v>
                </c:pt>
                <c:pt idx="9">
                  <c:v>-56.097269152999743</c:v>
                </c:pt>
                <c:pt idx="10">
                  <c:v>-55.69727018216841</c:v>
                </c:pt>
                <c:pt idx="11">
                  <c:v>-55.297271310628929</c:v>
                </c:pt>
                <c:pt idx="12">
                  <c:v>-54.897272547961087</c:v>
                </c:pt>
                <c:pt idx="13">
                  <c:v>-54.49727390466844</c:v>
                </c:pt>
                <c:pt idx="14">
                  <c:v>-54.097275392267903</c:v>
                </c:pt>
                <c:pt idx="15">
                  <c:v>-53.697277023387755</c:v>
                </c:pt>
                <c:pt idx="16">
                  <c:v>-53.297278811874371</c:v>
                </c:pt>
                <c:pt idx="17">
                  <c:v>-52.897280772910108</c:v>
                </c:pt>
                <c:pt idx="18">
                  <c:v>-52.497282923141995</c:v>
                </c:pt>
                <c:pt idx="19">
                  <c:v>-52.097285280823165</c:v>
                </c:pt>
                <c:pt idx="20">
                  <c:v>-51.697287865967702</c:v>
                </c:pt>
                <c:pt idx="21">
                  <c:v>-51.297290700520534</c:v>
                </c:pt>
                <c:pt idx="22">
                  <c:v>-50.897293808543857</c:v>
                </c:pt>
                <c:pt idx="23">
                  <c:v>-50.497297216420975</c:v>
                </c:pt>
                <c:pt idx="24">
                  <c:v>-50.097300953080939</c:v>
                </c:pt>
                <c:pt idx="25">
                  <c:v>-49.697305050243436</c:v>
                </c:pt>
                <c:pt idx="26">
                  <c:v>-49.297309542688303</c:v>
                </c:pt>
                <c:pt idx="27">
                  <c:v>-48.89731446855081</c:v>
                </c:pt>
                <c:pt idx="28">
                  <c:v>-48.49731986964521</c:v>
                </c:pt>
                <c:pt idx="29">
                  <c:v>-48.097325791819756</c:v>
                </c:pt>
                <c:pt idx="30">
                  <c:v>-47.697332285345709</c:v>
                </c:pt>
                <c:pt idx="31">
                  <c:v>-47.297339405344232</c:v>
                </c:pt>
                <c:pt idx="32">
                  <c:v>-46.897347212253891</c:v>
                </c:pt>
                <c:pt idx="33">
                  <c:v>-46.497355772343994</c:v>
                </c:pt>
                <c:pt idx="34">
                  <c:v>-46.097365158276801</c:v>
                </c:pt>
                <c:pt idx="35">
                  <c:v>-45.697375449724156</c:v>
                </c:pt>
                <c:pt idx="36">
                  <c:v>-45.297386734043727</c:v>
                </c:pt>
                <c:pt idx="37">
                  <c:v>-44.897399107020377</c:v>
                </c:pt>
                <c:pt idx="38">
                  <c:v>-44.497412673679015</c:v>
                </c:pt>
                <c:pt idx="39">
                  <c:v>-44.097427549175691</c:v>
                </c:pt>
                <c:pt idx="40">
                  <c:v>-43.6974438597749</c:v>
                </c:pt>
                <c:pt idx="41">
                  <c:v>-43.297461743920842</c:v>
                </c:pt>
                <c:pt idx="42">
                  <c:v>-42.89748135341231</c:v>
                </c:pt>
                <c:pt idx="43">
                  <c:v>-42.497502854690381</c:v>
                </c:pt>
                <c:pt idx="44">
                  <c:v>-42.097526430250618</c:v>
                </c:pt>
                <c:pt idx="45">
                  <c:v>-41.697552280191275</c:v>
                </c:pt>
                <c:pt idx="46">
                  <c:v>-41.297580623910761</c:v>
                </c:pt>
                <c:pt idx="47">
                  <c:v>-40.897611701968543</c:v>
                </c:pt>
                <c:pt idx="48">
                  <c:v>-40.497645778125673</c:v>
                </c:pt>
                <c:pt idx="49">
                  <c:v>-40.097683141581655</c:v>
                </c:pt>
                <c:pt idx="50">
                  <c:v>-39.697724109427021</c:v>
                </c:pt>
                <c:pt idx="51">
                  <c:v>-39.29776902933208</c:v>
                </c:pt>
                <c:pt idx="52">
                  <c:v>-38.897818282494477</c:v>
                </c:pt>
                <c:pt idx="53">
                  <c:v>-38.497872286871043</c:v>
                </c:pt>
                <c:pt idx="54">
                  <c:v>-38.09793150072079</c:v>
                </c:pt>
                <c:pt idx="55">
                  <c:v>-37.697996426487855</c:v>
                </c:pt>
                <c:pt idx="56">
                  <c:v>-37.29806761506034</c:v>
                </c:pt>
                <c:pt idx="57">
                  <c:v>-36.898145670436655</c:v>
                </c:pt>
                <c:pt idx="58">
                  <c:v>-36.498231254842523</c:v>
                </c:pt>
                <c:pt idx="59">
                  <c:v>-36.098325094338946</c:v>
                </c:pt>
                <c:pt idx="60">
                  <c:v>-35.698427984970344</c:v>
                </c:pt>
                <c:pt idx="61">
                  <c:v>-35.298540799502476</c:v>
                </c:pt>
                <c:pt idx="62">
                  <c:v>-34.898664494809132</c:v>
                </c:pt>
                <c:pt idx="63">
                  <c:v>-34.49880011996661</c:v>
                </c:pt>
                <c:pt idx="64">
                  <c:v>-34.098948825126676</c:v>
                </c:pt>
                <c:pt idx="65">
                  <c:v>-33.699111871240298</c:v>
                </c:pt>
                <c:pt idx="66">
                  <c:v>-33.299290640713551</c:v>
                </c:pt>
                <c:pt idx="67">
                  <c:v>-32.899486649085581</c:v>
                </c:pt>
                <c:pt idx="68">
                  <c:v>-32.499701557824487</c:v>
                </c:pt>
                <c:pt idx="69">
                  <c:v>-32.099937188348392</c:v>
                </c:pt>
                <c:pt idx="70">
                  <c:v>-31.700195537386996</c:v>
                </c:pt>
                <c:pt idx="71">
                  <c:v>-31.30047879381193</c:v>
                </c:pt>
                <c:pt idx="72">
                  <c:v>-30.900789357073144</c:v>
                </c:pt>
                <c:pt idx="73">
                  <c:v>-30.501129857393838</c:v>
                </c:pt>
                <c:pt idx="74">
                  <c:v>-30.101503177889917</c:v>
                </c:pt>
                <c:pt idx="75">
                  <c:v>-29.701912478793268</c:v>
                </c:pt>
                <c:pt idx="76">
                  <c:v>-29.302361223977424</c:v>
                </c:pt>
                <c:pt idx="77">
                  <c:v>-28.902853209999613</c:v>
                </c:pt>
                <c:pt idx="78">
                  <c:v>-28.503392597894276</c:v>
                </c:pt>
                <c:pt idx="79">
                  <c:v>-28.103983947972392</c:v>
                </c:pt>
                <c:pt idx="80">
                  <c:v>-27.704632257905089</c:v>
                </c:pt>
                <c:pt idx="81">
                  <c:v>-27.305343004393372</c:v>
                </c:pt>
                <c:pt idx="82">
                  <c:v>-26.906122188751958</c:v>
                </c:pt>
                <c:pt idx="83">
                  <c:v>-26.506976386764642</c:v>
                </c:pt>
                <c:pt idx="84">
                  <c:v>-26.107912803196246</c:v>
                </c:pt>
                <c:pt idx="85">
                  <c:v>-25.708939331381934</c:v>
                </c:pt>
                <c:pt idx="86">
                  <c:v>-25.310064618345102</c:v>
                </c:pt>
                <c:pt idx="87">
                  <c:v>-24.911298135935233</c:v>
                </c:pt>
                <c:pt idx="88">
                  <c:v>-24.512650258512888</c:v>
                </c:pt>
                <c:pt idx="89">
                  <c:v>-24.114132347750971</c:v>
                </c:pt>
                <c:pt idx="90">
                  <c:v>-23.715756845163583</c:v>
                </c:pt>
                <c:pt idx="91">
                  <c:v>-23.317537373018304</c:v>
                </c:pt>
                <c:pt idx="92">
                  <c:v>-22.919488844332086</c:v>
                </c:pt>
                <c:pt idx="93">
                  <c:v>-22.521627582699413</c:v>
                </c:pt>
                <c:pt idx="94">
                  <c:v>-22.123971452746506</c:v>
                </c:pt>
                <c:pt idx="95">
                  <c:v>-21.726540002053728</c:v>
                </c:pt>
                <c:pt idx="96">
                  <c:v>-21.329354615432475</c:v>
                </c:pt>
                <c:pt idx="97">
                  <c:v>-20.932438682487803</c:v>
                </c:pt>
                <c:pt idx="98">
                  <c:v>-20.535817779435924</c:v>
                </c:pt>
                <c:pt idx="99">
                  <c:v>-20.139519866181494</c:v>
                </c:pt>
                <c:pt idx="100">
                  <c:v>-19.743575499684816</c:v>
                </c:pt>
                <c:pt idx="101">
                  <c:v>-19.348018064666711</c:v>
                </c:pt>
                <c:pt idx="102">
                  <c:v>-18.952884022700577</c:v>
                </c:pt>
                <c:pt idx="103">
                  <c:v>-18.558213180728139</c:v>
                </c:pt>
                <c:pt idx="104">
                  <c:v>-18.164048979999365</c:v>
                </c:pt>
                <c:pt idx="105">
                  <c:v>-17.770438806374845</c:v>
                </c:pt>
                <c:pt idx="106">
                  <c:v>-17.37743432283397</c:v>
                </c:pt>
                <c:pt idx="107">
                  <c:v>-16.98509182489741</c:v>
                </c:pt>
                <c:pt idx="108">
                  <c:v>-16.59347261949025</c:v>
                </c:pt>
                <c:pt idx="109">
                  <c:v>-16.202643427531534</c:v>
                </c:pt>
                <c:pt idx="110">
                  <c:v>-15.812676810230844</c:v>
                </c:pt>
                <c:pt idx="111">
                  <c:v>-15.42365161868512</c:v>
                </c:pt>
                <c:pt idx="112">
                  <c:v>-15.035653465896846</c:v>
                </c:pt>
                <c:pt idx="113">
                  <c:v>-14.648775219749208</c:v>
                </c:pt>
                <c:pt idx="114">
                  <c:v>-14.263117514782628</c:v>
                </c:pt>
                <c:pt idx="115">
                  <c:v>-13.878789279784471</c:v>
                </c:pt>
                <c:pt idx="116">
                  <c:v>-13.495908277230281</c:v>
                </c:pt>
                <c:pt idx="117">
                  <c:v>-13.114601649488179</c:v>
                </c:pt>
                <c:pt idx="118">
                  <c:v>-12.735006465397207</c:v>
                </c:pt>
                <c:pt idx="119">
                  <c:v>-12.357270259366636</c:v>
                </c:pt>
                <c:pt idx="120">
                  <c:v>-11.981551553500406</c:v>
                </c:pt>
                <c:pt idx="121">
                  <c:v>-11.608020351449033</c:v>
                </c:pt>
                <c:pt idx="122">
                  <c:v>-11.236858590740045</c:v>
                </c:pt>
                <c:pt idx="123">
                  <c:v>-10.868260538273688</c:v>
                </c:pt>
                <c:pt idx="124">
                  <c:v>-10.502433111538533</c:v>
                </c:pt>
                <c:pt idx="125">
                  <c:v>-10.139596105967021</c:v>
                </c:pt>
                <c:pt idx="126">
                  <c:v>-9.7799823068056906</c:v>
                </c:pt>
                <c:pt idx="127">
                  <c:v>-9.4238374620277927</c:v>
                </c:pt>
                <c:pt idx="128">
                  <c:v>-9.0714200913125183</c:v>
                </c:pt>
                <c:pt idx="129">
                  <c:v>-8.7230011051112371</c:v>
                </c:pt>
                <c:pt idx="130">
                  <c:v>-8.3788632075156961</c:v>
                </c:pt>
                <c:pt idx="131">
                  <c:v>-8.0393000572319657</c:v>
                </c:pt>
                <c:pt idx="132">
                  <c:v>-7.7046151626687021</c:v>
                </c:pt>
                <c:pt idx="133">
                  <c:v>-7.3751204901756342</c:v>
                </c:pt>
                <c:pt idx="134">
                  <c:v>-7.0511347690039115</c:v>
                </c:pt>
                <c:pt idx="135">
                  <c:v>-6.7329814827504748</c:v>
                </c:pt>
                <c:pt idx="136">
                  <c:v>-6.4209865449585131</c:v>
                </c:pt>
                <c:pt idx="137">
                  <c:v>-6.1154756661566765</c:v>
                </c:pt>
                <c:pt idx="138">
                  <c:v>-5.8167714307735885</c:v>
                </c:pt>
                <c:pt idx="139">
                  <c:v>-5.5251901147689297</c:v>
                </c:pt>
                <c:pt idx="140">
                  <c:v>-5.2410382880236295</c:v>
                </c:pt>
                <c:pt idx="141">
                  <c:v>-4.9646092589122901</c:v>
                </c:pt>
                <c:pt idx="142">
                  <c:v>-4.6961794312918208</c:v>
                </c:pt>
                <c:pt idx="143">
                  <c:v>-4.4360046555198229</c:v>
                </c:pt>
                <c:pt idx="144">
                  <c:v>-4.184316664161984</c:v>
                </c:pt>
                <c:pt idx="145">
                  <c:v>-3.9413196888843052</c:v>
                </c:pt>
                <c:pt idx="146">
                  <c:v>-3.707187356892387</c:v>
                </c:pt>
                <c:pt idx="147">
                  <c:v>-3.4820599626205433</c:v>
                </c:pt>
                <c:pt idx="148">
                  <c:v>-3.2660422029176575</c:v>
                </c:pt>
                <c:pt idx="149">
                  <c:v>-3.0592014517948845</c:v>
                </c:pt>
                <c:pt idx="150">
                  <c:v>-2.8615666343376827</c:v>
                </c:pt>
                <c:pt idx="151">
                  <c:v>-2.6731277394420028</c:v>
                </c:pt>
                <c:pt idx="152">
                  <c:v>-2.4938359887172981</c:v>
                </c:pt>
                <c:pt idx="153">
                  <c:v>-2.3236046555332392</c:v>
                </c:pt>
                <c:pt idx="154">
                  <c:v>-2.1623105051832345</c:v>
                </c:pt>
                <c:pt idx="155">
                  <c:v>-2.009795805888531</c:v>
                </c:pt>
                <c:pt idx="156">
                  <c:v>-1.8658708420904047</c:v>
                </c:pt>
                <c:pt idx="157">
                  <c:v>-1.7303168471352417</c:v>
                </c:pt>
                <c:pt idx="158">
                  <c:v>-1.6028892626730302</c:v>
                </c:pt>
                <c:pt idx="159">
                  <c:v>-1.4833212271100882</c:v>
                </c:pt>
                <c:pt idx="160">
                  <c:v>-1.3713271951770334</c:v>
                </c:pt>
                <c:pt idx="161">
                  <c:v>-1.2666065946622986</c:v>
                </c:pt>
                <c:pt idx="162">
                  <c:v>-1.1688474339520041</c:v>
                </c:pt>
                <c:pt idx="163">
                  <c:v>-1.0777297843734388</c:v>
                </c:pt>
                <c:pt idx="164">
                  <c:v>-0.99292907356719484</c:v>
                </c:pt>
                <c:pt idx="165">
                  <c:v>-0.9141191393171415</c:v>
                </c:pt>
                <c:pt idx="166">
                  <c:v>-0.84097500664241331</c:v>
                </c:pt>
                <c:pt idx="167">
                  <c:v>-0.77317536381424867</c:v>
                </c:pt>
                <c:pt idx="168">
                  <c:v>-0.71040472476946515</c:v>
                </c:pt>
                <c:pt idx="169">
                  <c:v>-0.65235527578069286</c:v>
                </c:pt>
                <c:pt idx="170">
                  <c:v>-0.59872841299083257</c:v>
                </c:pt>
                <c:pt idx="171">
                  <c:v>-0.54923598444266319</c:v>
                </c:pt>
                <c:pt idx="172">
                  <c:v>-0.50360125556026414</c:v>
                </c:pt>
                <c:pt idx="173">
                  <c:v>-0.46155962077962015</c:v>
                </c:pt>
                <c:pt idx="174">
                  <c:v>-0.4228590863474655</c:v>
                </c:pt>
                <c:pt idx="175">
                  <c:v>-0.38726055041291868</c:v>
                </c:pt>
                <c:pt idx="176">
                  <c:v>-0.35453790663881224</c:v>
                </c:pt>
                <c:pt idx="177">
                  <c:v>-0.32447799687070517</c:v>
                </c:pt>
                <c:pt idx="178">
                  <c:v>-0.2968804371195769</c:v>
                </c:pt>
                <c:pt idx="179">
                  <c:v>-0.27155733941407878</c:v>
                </c:pt>
                <c:pt idx="180">
                  <c:v>-0.24833295011468448</c:v>
                </c:pt>
                <c:pt idx="181">
                  <c:v>-0.2270432231777248</c:v>
                </c:pt>
                <c:pt idx="182">
                  <c:v>-0.20753534471478971</c:v>
                </c:pt>
                <c:pt idx="183">
                  <c:v>-0.18966722308816775</c:v>
                </c:pt>
                <c:pt idx="184">
                  <c:v>-0.17330695677249666</c:v>
                </c:pt>
                <c:pt idx="185">
                  <c:v>-0.1583322903346164</c:v>
                </c:pt>
                <c:pt idx="186">
                  <c:v>-0.14463006716297108</c:v>
                </c:pt>
                <c:pt idx="187">
                  <c:v>-0.13209568602536736</c:v>
                </c:pt>
                <c:pt idx="188">
                  <c:v>-0.12063256715497217</c:v>
                </c:pt>
                <c:pt idx="189">
                  <c:v>-0.1101516323544752</c:v>
                </c:pt>
                <c:pt idx="190">
                  <c:v>-0.10057080255995983</c:v>
                </c:pt>
                <c:pt idx="191">
                  <c:v>-9.1814515408889796E-2</c:v>
                </c:pt>
                <c:pt idx="192">
                  <c:v>-8.3813264596659123E-2</c:v>
                </c:pt>
                <c:pt idx="193">
                  <c:v>-7.6503162171367073E-2</c:v>
                </c:pt>
                <c:pt idx="194">
                  <c:v>-6.9825524391372823E-2</c:v>
                </c:pt>
                <c:pt idx="195">
                  <c:v>-6.3726481342665883E-2</c:v>
                </c:pt>
                <c:pt idx="196">
                  <c:v>-5.8156610169759024E-2</c:v>
                </c:pt>
                <c:pt idx="197">
                  <c:v>-5.307059150281189E-2</c:v>
                </c:pt>
                <c:pt idx="198">
                  <c:v>-4.8426888454758198E-2</c:v>
                </c:pt>
                <c:pt idx="199">
                  <c:v>-4.4187447405178853E-2</c:v>
                </c:pt>
                <c:pt idx="200">
                  <c:v>-4.0317419674298006E-2</c:v>
                </c:pt>
                <c:pt idx="201">
                  <c:v>-3.6784903113024563E-2</c:v>
                </c:pt>
                <c:pt idx="202">
                  <c:v>-3.3560702587328288E-2</c:v>
                </c:pt>
                <c:pt idx="203">
                  <c:v>-3.0618108311169324E-2</c:v>
                </c:pt>
                <c:pt idx="204">
                  <c:v>-2.7932690977614021E-2</c:v>
                </c:pt>
                <c:pt idx="205">
                  <c:v>-2.5482112647837098E-2</c:v>
                </c:pt>
                <c:pt idx="206">
                  <c:v>-2.3245952379924287E-2</c:v>
                </c:pt>
                <c:pt idx="207">
                  <c:v>-2.120554561000234E-2</c:v>
                </c:pt>
                <c:pt idx="208">
                  <c:v>-1.9343836335486832E-2</c:v>
                </c:pt>
                <c:pt idx="209">
                  <c:v>-1.764524119190301E-2</c:v>
                </c:pt>
                <c:pt idx="210">
                  <c:v>-1.6095524559602736E-2</c:v>
                </c:pt>
                <c:pt idx="211">
                  <c:v>-1.4681683882705028E-2</c:v>
                </c:pt>
                <c:pt idx="212">
                  <c:v>-1.3391844429997003E-2</c:v>
                </c:pt>
                <c:pt idx="213">
                  <c:v>-1.221516277400915E-2</c:v>
                </c:pt>
                <c:pt idx="214">
                  <c:v>-1.1141738310869001E-2</c:v>
                </c:pt>
                <c:pt idx="215">
                  <c:v>-1.0162532188307774E-2</c:v>
                </c:pt>
                <c:pt idx="216">
                  <c:v>-9.2692930525730115E-3</c:v>
                </c:pt>
                <c:pt idx="217">
                  <c:v>-8.4544890664241673E-3</c:v>
                </c:pt>
                <c:pt idx="218">
                  <c:v>-7.7112456902368124E-3</c:v>
                </c:pt>
                <c:pt idx="219">
                  <c:v>-7.0332887553245611E-3</c:v>
                </c:pt>
                <c:pt idx="220">
                  <c:v>-6.4148923943085634E-3</c:v>
                </c:pt>
                <c:pt idx="221">
                  <c:v>-5.8508314265158902E-3</c:v>
                </c:pt>
                <c:pt idx="222">
                  <c:v>-5.3363378274176986E-3</c:v>
                </c:pt>
                <c:pt idx="223">
                  <c:v>-4.8670609405802919E-3</c:v>
                </c:pt>
                <c:pt idx="224">
                  <c:v>-4.4390311172046275E-3</c:v>
                </c:pt>
                <c:pt idx="225">
                  <c:v>-4.0486264942637849E-3</c:v>
                </c:pt>
                <c:pt idx="226">
                  <c:v>-3.6925426449091279E-3</c:v>
                </c:pt>
                <c:pt idx="227">
                  <c:v>-3.3677648571715573E-3</c:v>
                </c:pt>
                <c:pt idx="228">
                  <c:v>-3.0715428166449795E-3</c:v>
                </c:pt>
                <c:pt idx="229">
                  <c:v>-2.8013674875668128E-3</c:v>
                </c:pt>
                <c:pt idx="230">
                  <c:v>-2.5549500036750111E-3</c:v>
                </c:pt>
                <c:pt idx="231">
                  <c:v>-2.3302023962813523E-3</c:v>
                </c:pt>
                <c:pt idx="232">
                  <c:v>-2.125220001062916E-3</c:v>
                </c:pt>
                <c:pt idx="233">
                  <c:v>-1.9382653989093264E-3</c:v>
                </c:pt>
                <c:pt idx="234">
                  <c:v>-1.7677537580403386E-3</c:v>
                </c:pt>
                <c:pt idx="235">
                  <c:v>-1.6122394561897957E-3</c:v>
                </c:pt>
                <c:pt idx="236">
                  <c:v>-1.4704038717555006E-3</c:v>
                </c:pt>
                <c:pt idx="237">
                  <c:v>-1.3410442424778733E-3</c:v>
                </c:pt>
                <c:pt idx="238">
                  <c:v>-1.2230634988131615E-3</c:v>
                </c:pt>
                <c:pt idx="239">
                  <c:v>-1.1154609872179185E-3</c:v>
                </c:pt>
                <c:pt idx="240">
                  <c:v>-1.0173240058029334E-3</c:v>
                </c:pt>
                <c:pt idx="241">
                  <c:v>-9.2782008147407661E-4</c:v>
                </c:pt>
                <c:pt idx="242">
                  <c:v>-8.4618992402450471E-4</c:v>
                </c:pt>
                <c:pt idx="243">
                  <c:v>-7.7174099781994465E-4</c:v>
                </c:pt>
                <c:pt idx="244">
                  <c:v>-7.0384165739607624E-4</c:v>
                </c:pt>
                <c:pt idx="245">
                  <c:v>-6.4191579736557597E-4</c:v>
                </c:pt>
                <c:pt idx="246">
                  <c:v>-5.8543797188876593E-4</c:v>
                </c:pt>
                <c:pt idx="247">
                  <c:v>-5.3392894249837679E-4</c:v>
                </c:pt>
                <c:pt idx="248">
                  <c:v>-4.8695161670200262E-4</c:v>
                </c:pt>
                <c:pt idx="249">
                  <c:v>-4.4410734333055887E-4</c:v>
                </c:pt>
                <c:pt idx="250">
                  <c:v>-4.0503253307868449E-4</c:v>
                </c:pt>
                <c:pt idx="251">
                  <c:v>-3.6939557605507182E-4</c:v>
                </c:pt>
                <c:pt idx="252">
                  <c:v>-3.3689403000920017E-4</c:v>
                </c:pt>
                <c:pt idx="253">
                  <c:v>-3.0725205563941657E-4</c:v>
                </c:pt>
                <c:pt idx="254">
                  <c:v>-2.8021807731121965E-4</c:v>
                </c:pt>
                <c:pt idx="255">
                  <c:v>-2.5556264933514829E-4</c:v>
                </c:pt>
                <c:pt idx="256">
                  <c:v>-2.3307650972328312E-4</c:v>
                </c:pt>
                <c:pt idx="257">
                  <c:v>-2.1256880515489984E-4</c:v>
                </c:pt>
                <c:pt idx="258">
                  <c:v>-1.9386547185989365E-4</c:v>
                </c:pt>
                <c:pt idx="259">
                  <c:v>-1.768077589378948E-4</c:v>
                </c:pt>
                <c:pt idx="260">
                  <c:v>-1.6125088144038657E-4</c:v>
                </c:pt>
                <c:pt idx="261">
                  <c:v>-1.4706279196129317E-4</c:v>
                </c:pt>
                <c:pt idx="262">
                  <c:v>-1.341230601372466E-4</c:v>
                </c:pt>
                <c:pt idx="263">
                  <c:v>-1.2232185084689793E-4</c:v>
                </c:pt>
                <c:pt idx="264">
                  <c:v>-1.1155899209735424E-4</c:v>
                </c:pt>
                <c:pt idx="265">
                  <c:v>-1.0174312499927786E-4</c:v>
                </c:pt>
                <c:pt idx="266">
                  <c:v>-9.2790928465001372E-5</c:v>
                </c:pt>
                <c:pt idx="267">
                  <c:v>-8.4626412107992235E-5</c:v>
                </c:pt>
                <c:pt idx="268">
                  <c:v>-7.7180271299336705E-5</c:v>
                </c:pt>
                <c:pt idx="269">
                  <c:v>-7.0389299046493711E-5</c:v>
                </c:pt>
                <c:pt idx="270">
                  <c:v>-6.4195849479806679E-5</c:v>
                </c:pt>
                <c:pt idx="271">
                  <c:v>-5.8547348637357428E-5</c:v>
                </c:pt>
                <c:pt idx="272">
                  <c:v>-5.3395848244987732E-5</c:v>
                </c:pt>
                <c:pt idx="273">
                  <c:v>-4.8697618708470699E-5</c:v>
                </c:pt>
                <c:pt idx="274">
                  <c:v>-4.4412778028868593E-5</c:v>
                </c:pt>
                <c:pt idx="275">
                  <c:v>-4.050495318940391E-5</c:v>
                </c:pt>
                <c:pt idx="276">
                  <c:v>-3.6940971510328187E-5</c:v>
                </c:pt>
                <c:pt idx="277">
                  <c:v>-3.369057904800577E-5</c:v>
                </c:pt>
                <c:pt idx="278">
                  <c:v>-3.0726183764540785E-5</c:v>
                </c:pt>
                <c:pt idx="279">
                  <c:v>-2.8022621364123329E-5</c:v>
                </c:pt>
                <c:pt idx="280">
                  <c:v>-2.5556941684661066E-5</c:v>
                </c:pt>
                <c:pt idx="281">
                  <c:v>-2.3308213873757972E-5</c:v>
                </c:pt>
                <c:pt idx="282">
                  <c:v>-2.1257348715109479E-5</c:v>
                </c:pt>
                <c:pt idx="283">
                  <c:v>-1.9386936617057089E-5</c:v>
                </c:pt>
                <c:pt idx="284">
                  <c:v>-1.7681099811740218E-5</c:v>
                </c:pt>
                <c:pt idx="285">
                  <c:v>-1.6125357564050473E-5</c:v>
                </c:pt>
                <c:pt idx="286">
                  <c:v>-1.4706503294740004E-5</c:v>
                </c:pt>
                <c:pt idx="287">
                  <c:v>-1.3412492415023846E-5</c:v>
                </c:pt>
                <c:pt idx="288">
                  <c:v>-1.2232340120381975E-5</c:v>
                </c:pt>
                <c:pt idx="289">
                  <c:v>-1.115602816659786E-5</c:v>
                </c:pt>
                <c:pt idx="290">
                  <c:v>-1.0174419762949202E-5</c:v>
                </c:pt>
                <c:pt idx="291">
                  <c:v>-9.2791820646386563E-6</c:v>
                </c:pt>
                <c:pt idx="292">
                  <c:v>-8.4627154167633125E-6</c:v>
                </c:pt>
                <c:pt idx="293">
                  <c:v>-7.718088856039947E-6</c:v>
                </c:pt>
                <c:pt idx="294">
                  <c:v>-7.038981239576279E-6</c:v>
                </c:pt>
                <c:pt idx="295">
                  <c:v>-6.4196276477116715E-6</c:v>
                </c:pt>
                <c:pt idx="296">
                  <c:v>-5.8547703849061859E-6</c:v>
                </c:pt>
                <c:pt idx="297">
                  <c:v>-5.3396143616817713E-6</c:v>
                </c:pt>
                <c:pt idx="298">
                  <c:v>-4.8697864390784954E-6</c:v>
                </c:pt>
                <c:pt idx="299">
                  <c:v>-4.4412982370527164E-6</c:v>
                </c:pt>
                <c:pt idx="300">
                  <c:v>-4.0505123229077491E-6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D1-4879-B8F2-B3D6A3E16F35}"/>
            </c:ext>
          </c:extLst>
        </c:ser>
        <c:ser>
          <c:idx val="1"/>
          <c:order val="1"/>
          <c:tx>
            <c:strRef>
              <c:f>Sum!$C$1</c:f>
              <c:strCache>
                <c:ptCount val="1"/>
                <c:pt idx="0">
                  <c:v>Aᴄʟ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Sum!$A$2:$A$302</c:f>
              <c:numCache>
                <c:formatCode>General</c:formatCode>
                <c:ptCount val="301"/>
                <c:pt idx="0">
                  <c:v>1.03E-2</c:v>
                </c:pt>
                <c:pt idx="1">
                  <c:v>1.0785424044924257E-2</c:v>
                </c:pt>
                <c:pt idx="2">
                  <c:v>1.1293725420274806E-2</c:v>
                </c:pt>
                <c:pt idx="3">
                  <c:v>1.1825982301417889E-2</c:v>
                </c:pt>
                <c:pt idx="4">
                  <c:v>1.2383323676559348E-2</c:v>
                </c:pt>
                <c:pt idx="5">
                  <c:v>1.2966931741479913E-2</c:v>
                </c:pt>
                <c:pt idx="6">
                  <c:v>1.3578044407130993E-2</c:v>
                </c:pt>
                <c:pt idx="7">
                  <c:v>1.421795792540971E-2</c:v>
                </c:pt>
                <c:pt idx="8">
                  <c:v>1.488802963868305E-2</c:v>
                </c:pt>
                <c:pt idx="9">
                  <c:v>1.5589680858892936E-2</c:v>
                </c:pt>
                <c:pt idx="10">
                  <c:v>1.6324399882349471E-2</c:v>
                </c:pt>
                <c:pt idx="11">
                  <c:v>1.7093745146606876E-2</c:v>
                </c:pt>
                <c:pt idx="12">
                  <c:v>1.7899348536118562E-2</c:v>
                </c:pt>
                <c:pt idx="13">
                  <c:v>1.8742918843682805E-2</c:v>
                </c:pt>
                <c:pt idx="14">
                  <c:v>1.9626245395021436E-2</c:v>
                </c:pt>
                <c:pt idx="15">
                  <c:v>2.0551201844179447E-2</c:v>
                </c:pt>
                <c:pt idx="16">
                  <c:v>2.1519750147796585E-2</c:v>
                </c:pt>
                <c:pt idx="17">
                  <c:v>2.2533944726680365E-2</c:v>
                </c:pt>
                <c:pt idx="18">
                  <c:v>2.3595936823508048E-2</c:v>
                </c:pt>
                <c:pt idx="19">
                  <c:v>2.4707979065900734E-2</c:v>
                </c:pt>
                <c:pt idx="20">
                  <c:v>2.5872430244548651E-2</c:v>
                </c:pt>
                <c:pt idx="21">
                  <c:v>2.7091760316522408E-2</c:v>
                </c:pt>
                <c:pt idx="22">
                  <c:v>2.8368555644383103E-2</c:v>
                </c:pt>
                <c:pt idx="23">
                  <c:v>2.9705524482204024E-2</c:v>
                </c:pt>
                <c:pt idx="24">
                  <c:v>3.1105502720140742E-2</c:v>
                </c:pt>
                <c:pt idx="25">
                  <c:v>3.2571459899734277E-2</c:v>
                </c:pt>
                <c:pt idx="26">
                  <c:v>3.4106505512706879E-2</c:v>
                </c:pt>
                <c:pt idx="27">
                  <c:v>3.5713895596610749E-2</c:v>
                </c:pt>
                <c:pt idx="28">
                  <c:v>3.7397039641320413E-2</c:v>
                </c:pt>
                <c:pt idx="29">
                  <c:v>3.9159507821017812E-2</c:v>
                </c:pt>
                <c:pt idx="30">
                  <c:v>4.100503856701021E-2</c:v>
                </c:pt>
                <c:pt idx="31">
                  <c:v>4.2937546497444537E-2</c:v>
                </c:pt>
                <c:pt idx="32">
                  <c:v>4.4961130720737069E-2</c:v>
                </c:pt>
                <c:pt idx="33">
                  <c:v>4.7080083530332134E-2</c:v>
                </c:pt>
                <c:pt idx="34">
                  <c:v>4.9298899509231754E-2</c:v>
                </c:pt>
                <c:pt idx="35">
                  <c:v>5.1622285063609032E-2</c:v>
                </c:pt>
                <c:pt idx="36">
                  <c:v>5.4055168405726557E-2</c:v>
                </c:pt>
                <c:pt idx="37">
                  <c:v>5.6602710007335348E-2</c:v>
                </c:pt>
                <c:pt idx="38">
                  <c:v>5.9270313545727121E-2</c:v>
                </c:pt>
                <c:pt idx="39">
                  <c:v>6.2063637365658793E-2</c:v>
                </c:pt>
                <c:pt idx="40">
                  <c:v>6.4988606481459835E-2</c:v>
                </c:pt>
                <c:pt idx="41">
                  <c:v>6.8051425144782351E-2</c:v>
                </c:pt>
                <c:pt idx="42">
                  <c:v>7.1258590004650416E-2</c:v>
                </c:pt>
                <c:pt idx="43">
                  <c:v>7.4616903887723907E-2</c:v>
                </c:pt>
                <c:pt idx="44">
                  <c:v>7.813349022800585E-2</c:v>
                </c:pt>
                <c:pt idx="45">
                  <c:v>8.1815808176600974E-2</c:v>
                </c:pt>
                <c:pt idx="46">
                  <c:v>8.567166842357507E-2</c:v>
                </c:pt>
                <c:pt idx="47">
                  <c:v>8.9709249765476257E-2</c:v>
                </c:pt>
                <c:pt idx="48">
                  <c:v>9.3937116453658612E-2</c:v>
                </c:pt>
                <c:pt idx="49">
                  <c:v>9.8364236360207885E-2</c:v>
                </c:pt>
                <c:pt idx="50">
                  <c:v>0.10300000000000001</c:v>
                </c:pt>
                <c:pt idx="51">
                  <c:v>0.10785424044924259</c:v>
                </c:pt>
                <c:pt idx="52">
                  <c:v>0.11293725420274807</c:v>
                </c:pt>
                <c:pt idx="53">
                  <c:v>0.11825982301417892</c:v>
                </c:pt>
                <c:pt idx="54">
                  <c:v>0.12383323676559349</c:v>
                </c:pt>
                <c:pt idx="55">
                  <c:v>0.12966931741479915</c:v>
                </c:pt>
                <c:pt idx="56">
                  <c:v>0.13578044407130999</c:v>
                </c:pt>
                <c:pt idx="57">
                  <c:v>0.14217957925409702</c:v>
                </c:pt>
                <c:pt idx="58">
                  <c:v>0.14888029638683051</c:v>
                </c:pt>
                <c:pt idx="59">
                  <c:v>0.1558968085889294</c:v>
                </c:pt>
                <c:pt idx="60">
                  <c:v>0.16324399882349458</c:v>
                </c:pt>
                <c:pt idx="61">
                  <c:v>0.17093745146606862</c:v>
                </c:pt>
                <c:pt idx="62">
                  <c:v>0.1789934853611857</c:v>
                </c:pt>
                <c:pt idx="63">
                  <c:v>0.18742918843682826</c:v>
                </c:pt>
                <c:pt idx="64">
                  <c:v>0.19626245395021438</c:v>
                </c:pt>
                <c:pt idx="65">
                  <c:v>0.20551201844179456</c:v>
                </c:pt>
                <c:pt idx="66">
                  <c:v>0.21519750147796599</c:v>
                </c:pt>
                <c:pt idx="67">
                  <c:v>0.22533944726680391</c:v>
                </c:pt>
                <c:pt idx="68">
                  <c:v>0.23595936823508057</c:v>
                </c:pt>
                <c:pt idx="69">
                  <c:v>0.24707979065900743</c:v>
                </c:pt>
                <c:pt idx="70">
                  <c:v>0.25872430244548655</c:v>
                </c:pt>
                <c:pt idx="71">
                  <c:v>0.27091760316522423</c:v>
                </c:pt>
                <c:pt idx="72">
                  <c:v>0.28368555644383098</c:v>
                </c:pt>
                <c:pt idx="73">
                  <c:v>0.29705524482204032</c:v>
                </c:pt>
                <c:pt idx="74">
                  <c:v>0.31105502720140754</c:v>
                </c:pt>
                <c:pt idx="75">
                  <c:v>0.32571459899734301</c:v>
                </c:pt>
                <c:pt idx="76">
                  <c:v>0.34106505512706881</c:v>
                </c:pt>
                <c:pt idx="77">
                  <c:v>0.35713895596610756</c:v>
                </c:pt>
                <c:pt idx="78">
                  <c:v>0.3739703964132044</c:v>
                </c:pt>
                <c:pt idx="79">
                  <c:v>0.39159507821017797</c:v>
                </c:pt>
                <c:pt idx="80">
                  <c:v>0.41005038567010221</c:v>
                </c:pt>
                <c:pt idx="81">
                  <c:v>0.42937546497444545</c:v>
                </c:pt>
                <c:pt idx="82">
                  <c:v>0.44961130720737086</c:v>
                </c:pt>
                <c:pt idx="83">
                  <c:v>0.47080083530332106</c:v>
                </c:pt>
                <c:pt idx="84">
                  <c:v>0.49298899509231742</c:v>
                </c:pt>
                <c:pt idx="85">
                  <c:v>0.5162228506360903</c:v>
                </c:pt>
                <c:pt idx="86">
                  <c:v>0.54055168405726561</c:v>
                </c:pt>
                <c:pt idx="87">
                  <c:v>0.56602710007335311</c:v>
                </c:pt>
                <c:pt idx="88">
                  <c:v>0.5927031354572716</c:v>
                </c:pt>
                <c:pt idx="89">
                  <c:v>0.62063637365658819</c:v>
                </c:pt>
                <c:pt idx="90">
                  <c:v>0.64988606481459898</c:v>
                </c:pt>
                <c:pt idx="91">
                  <c:v>0.68051425144782374</c:v>
                </c:pt>
                <c:pt idx="92">
                  <c:v>0.71258590004650457</c:v>
                </c:pt>
                <c:pt idx="93">
                  <c:v>0.74616903887723962</c:v>
                </c:pt>
                <c:pt idx="94">
                  <c:v>0.78133490228005908</c:v>
                </c:pt>
                <c:pt idx="95">
                  <c:v>0.81815808176600946</c:v>
                </c:pt>
                <c:pt idx="96">
                  <c:v>0.85671668423575098</c:v>
                </c:pt>
                <c:pt idx="97">
                  <c:v>0.89709249765476262</c:v>
                </c:pt>
                <c:pt idx="98">
                  <c:v>0.93937116453658676</c:v>
                </c:pt>
                <c:pt idx="99">
                  <c:v>0.9836423636020788</c:v>
                </c:pt>
                <c:pt idx="100">
                  <c:v>1.03</c:v>
                </c:pt>
                <c:pt idx="101">
                  <c:v>1.0785424044924268</c:v>
                </c:pt>
                <c:pt idx="102">
                  <c:v>1.1293725420274805</c:v>
                </c:pt>
                <c:pt idx="103">
                  <c:v>1.1825982301417894</c:v>
                </c:pt>
                <c:pt idx="104">
                  <c:v>1.2383323676559352</c:v>
                </c:pt>
                <c:pt idx="105">
                  <c:v>1.2966931741479919</c:v>
                </c:pt>
                <c:pt idx="106">
                  <c:v>1.3578044407130994</c:v>
                </c:pt>
                <c:pt idx="107">
                  <c:v>1.421795792540971</c:v>
                </c:pt>
                <c:pt idx="108">
                  <c:v>1.4888029638683051</c:v>
                </c:pt>
                <c:pt idx="109">
                  <c:v>1.5589680858892943</c:v>
                </c:pt>
                <c:pt idx="110">
                  <c:v>1.6324399882349467</c:v>
                </c:pt>
                <c:pt idx="111">
                  <c:v>1.7093745146606869</c:v>
                </c:pt>
                <c:pt idx="112">
                  <c:v>1.7899348536118562</c:v>
                </c:pt>
                <c:pt idx="113">
                  <c:v>1.874291884368283</c:v>
                </c:pt>
                <c:pt idx="114">
                  <c:v>1.9626245395021447</c:v>
                </c:pt>
                <c:pt idx="115">
                  <c:v>2.0551201844179459</c:v>
                </c:pt>
                <c:pt idx="116">
                  <c:v>2.1519750147796604</c:v>
                </c:pt>
                <c:pt idx="117">
                  <c:v>2.2533944726680391</c:v>
                </c:pt>
                <c:pt idx="118">
                  <c:v>2.3595936823508064</c:v>
                </c:pt>
                <c:pt idx="119">
                  <c:v>2.4707979065900751</c:v>
                </c:pt>
                <c:pt idx="120">
                  <c:v>2.5872430244548679</c:v>
                </c:pt>
                <c:pt idx="121">
                  <c:v>2.7091760316522437</c:v>
                </c:pt>
                <c:pt idx="122">
                  <c:v>2.8368555644383115</c:v>
                </c:pt>
                <c:pt idx="123">
                  <c:v>2.970552448220404</c:v>
                </c:pt>
                <c:pt idx="124">
                  <c:v>3.1105502720140761</c:v>
                </c:pt>
                <c:pt idx="125">
                  <c:v>3.2571459899734312</c:v>
                </c:pt>
                <c:pt idx="126">
                  <c:v>3.4106505512706882</c:v>
                </c:pt>
                <c:pt idx="127">
                  <c:v>3.5713895596610765</c:v>
                </c:pt>
                <c:pt idx="128">
                  <c:v>3.7397039641320444</c:v>
                </c:pt>
                <c:pt idx="129">
                  <c:v>3.9159507821017803</c:v>
                </c:pt>
                <c:pt idx="130">
                  <c:v>4.1005038567010219</c:v>
                </c:pt>
                <c:pt idx="131">
                  <c:v>4.2937546497444545</c:v>
                </c:pt>
                <c:pt idx="132">
                  <c:v>4.496113072073709</c:v>
                </c:pt>
                <c:pt idx="133">
                  <c:v>4.7080083530332129</c:v>
                </c:pt>
                <c:pt idx="134">
                  <c:v>4.9298899509231751</c:v>
                </c:pt>
                <c:pt idx="135">
                  <c:v>5.1622285063609041</c:v>
                </c:pt>
                <c:pt idx="136">
                  <c:v>5.4055168405726572</c:v>
                </c:pt>
                <c:pt idx="137">
                  <c:v>5.6602710007335331</c:v>
                </c:pt>
                <c:pt idx="138">
                  <c:v>5.9270313545727165</c:v>
                </c:pt>
                <c:pt idx="139">
                  <c:v>6.2063637365658852</c:v>
                </c:pt>
                <c:pt idx="140">
                  <c:v>6.4988606481459907</c:v>
                </c:pt>
                <c:pt idx="141">
                  <c:v>6.8051425144782396</c:v>
                </c:pt>
                <c:pt idx="142">
                  <c:v>7.1258590004650468</c:v>
                </c:pt>
                <c:pt idx="143">
                  <c:v>7.4616903887723973</c:v>
                </c:pt>
                <c:pt idx="144">
                  <c:v>7.8133490228005922</c:v>
                </c:pt>
                <c:pt idx="145">
                  <c:v>8.1815808176600999</c:v>
                </c:pt>
                <c:pt idx="146">
                  <c:v>8.5671668423575102</c:v>
                </c:pt>
                <c:pt idx="147">
                  <c:v>8.9709249765476287</c:v>
                </c:pt>
                <c:pt idx="148">
                  <c:v>9.3937116453658707</c:v>
                </c:pt>
                <c:pt idx="149">
                  <c:v>9.8364236360207897</c:v>
                </c:pt>
                <c:pt idx="150">
                  <c:v>10.3</c:v>
                </c:pt>
                <c:pt idx="151">
                  <c:v>10.785424044924266</c:v>
                </c:pt>
                <c:pt idx="152">
                  <c:v>11.293725420274807</c:v>
                </c:pt>
                <c:pt idx="153">
                  <c:v>11.825982301417897</c:v>
                </c:pt>
                <c:pt idx="154">
                  <c:v>12.383323676559357</c:v>
                </c:pt>
                <c:pt idx="155">
                  <c:v>12.966931741479923</c:v>
                </c:pt>
                <c:pt idx="156">
                  <c:v>13.578044407130996</c:v>
                </c:pt>
                <c:pt idx="157">
                  <c:v>14.217957925409717</c:v>
                </c:pt>
                <c:pt idx="158">
                  <c:v>14.888029638683054</c:v>
                </c:pt>
                <c:pt idx="159">
                  <c:v>15.589680858892946</c:v>
                </c:pt>
                <c:pt idx="160">
                  <c:v>16.324399882349471</c:v>
                </c:pt>
                <c:pt idx="161">
                  <c:v>17.093745146606874</c:v>
                </c:pt>
                <c:pt idx="162">
                  <c:v>17.89934853611857</c:v>
                </c:pt>
                <c:pt idx="163">
                  <c:v>18.742918843682833</c:v>
                </c:pt>
                <c:pt idx="164">
                  <c:v>19.626245395021449</c:v>
                </c:pt>
                <c:pt idx="165">
                  <c:v>20.551201844179463</c:v>
                </c:pt>
                <c:pt idx="166">
                  <c:v>21.519750147796611</c:v>
                </c:pt>
                <c:pt idx="167">
                  <c:v>22.533944726680392</c:v>
                </c:pt>
                <c:pt idx="168">
                  <c:v>23.595936823508065</c:v>
                </c:pt>
                <c:pt idx="169">
                  <c:v>24.707979065900759</c:v>
                </c:pt>
                <c:pt idx="170">
                  <c:v>25.872430244548681</c:v>
                </c:pt>
                <c:pt idx="171">
                  <c:v>27.091760316522439</c:v>
                </c:pt>
                <c:pt idx="172">
                  <c:v>28.368555644383115</c:v>
                </c:pt>
                <c:pt idx="173">
                  <c:v>29.705524482204044</c:v>
                </c:pt>
                <c:pt idx="174">
                  <c:v>31.105502720140773</c:v>
                </c:pt>
                <c:pt idx="175">
                  <c:v>32.571459899734315</c:v>
                </c:pt>
                <c:pt idx="176">
                  <c:v>34.106505512706889</c:v>
                </c:pt>
                <c:pt idx="177">
                  <c:v>35.713895596610769</c:v>
                </c:pt>
                <c:pt idx="178">
                  <c:v>37.397039641320447</c:v>
                </c:pt>
                <c:pt idx="179">
                  <c:v>39.159507821017804</c:v>
                </c:pt>
                <c:pt idx="180">
                  <c:v>41.005038567010224</c:v>
                </c:pt>
                <c:pt idx="181">
                  <c:v>42.937546497444558</c:v>
                </c:pt>
                <c:pt idx="182">
                  <c:v>44.961130720737103</c:v>
                </c:pt>
                <c:pt idx="183">
                  <c:v>47.080083530332139</c:v>
                </c:pt>
                <c:pt idx="184">
                  <c:v>49.298899509231759</c:v>
                </c:pt>
                <c:pt idx="185">
                  <c:v>51.622285063609048</c:v>
                </c:pt>
                <c:pt idx="186">
                  <c:v>54.055168405726583</c:v>
                </c:pt>
                <c:pt idx="187">
                  <c:v>56.602710007335332</c:v>
                </c:pt>
                <c:pt idx="188">
                  <c:v>59.270313545727191</c:v>
                </c:pt>
                <c:pt idx="189">
                  <c:v>62.06363736565887</c:v>
                </c:pt>
                <c:pt idx="190">
                  <c:v>64.988606481459925</c:v>
                </c:pt>
                <c:pt idx="191">
                  <c:v>68.051425144782399</c:v>
                </c:pt>
                <c:pt idx="192">
                  <c:v>71.258590004650486</c:v>
                </c:pt>
                <c:pt idx="193">
                  <c:v>74.616903887724007</c:v>
                </c:pt>
                <c:pt idx="194">
                  <c:v>78.133490228005925</c:v>
                </c:pt>
                <c:pt idx="195">
                  <c:v>81.815808176601024</c:v>
                </c:pt>
                <c:pt idx="196">
                  <c:v>85.671668423575127</c:v>
                </c:pt>
                <c:pt idx="197">
                  <c:v>89.709249765476301</c:v>
                </c:pt>
                <c:pt idx="198">
                  <c:v>93.937116453658717</c:v>
                </c:pt>
                <c:pt idx="199">
                  <c:v>98.364236360207897</c:v>
                </c:pt>
                <c:pt idx="200">
                  <c:v>103</c:v>
                </c:pt>
                <c:pt idx="201">
                  <c:v>107.85424044924271</c:v>
                </c:pt>
                <c:pt idx="202">
                  <c:v>112.93725420274809</c:v>
                </c:pt>
                <c:pt idx="203">
                  <c:v>118.25982301417901</c:v>
                </c:pt>
                <c:pt idx="204">
                  <c:v>123.83323676559357</c:v>
                </c:pt>
                <c:pt idx="205">
                  <c:v>129.66931741479931</c:v>
                </c:pt>
                <c:pt idx="206">
                  <c:v>135.78044407131</c:v>
                </c:pt>
                <c:pt idx="207">
                  <c:v>142.17957925409718</c:v>
                </c:pt>
                <c:pt idx="208">
                  <c:v>148.88029638683054</c:v>
                </c:pt>
                <c:pt idx="209">
                  <c:v>155.8968085889295</c:v>
                </c:pt>
                <c:pt idx="210">
                  <c:v>163.24399882349471</c:v>
                </c:pt>
                <c:pt idx="211">
                  <c:v>170.93745146606884</c:v>
                </c:pt>
                <c:pt idx="212">
                  <c:v>178.99348536118569</c:v>
                </c:pt>
                <c:pt idx="213">
                  <c:v>187.42918843682838</c:v>
                </c:pt>
                <c:pt idx="214">
                  <c:v>196.26245395021454</c:v>
                </c:pt>
                <c:pt idx="215">
                  <c:v>205.51201844179471</c:v>
                </c:pt>
                <c:pt idx="216">
                  <c:v>215.19750147796614</c:v>
                </c:pt>
                <c:pt idx="217">
                  <c:v>225.33944726680406</c:v>
                </c:pt>
                <c:pt idx="218">
                  <c:v>235.95936823508072</c:v>
                </c:pt>
                <c:pt idx="219">
                  <c:v>247.07979065900756</c:v>
                </c:pt>
                <c:pt idx="220">
                  <c:v>258.72430244548673</c:v>
                </c:pt>
                <c:pt idx="221">
                  <c:v>270.91760316522442</c:v>
                </c:pt>
                <c:pt idx="222">
                  <c:v>283.68555644383116</c:v>
                </c:pt>
                <c:pt idx="223">
                  <c:v>297.05524482204049</c:v>
                </c:pt>
                <c:pt idx="224">
                  <c:v>311.05502720140771</c:v>
                </c:pt>
                <c:pt idx="225">
                  <c:v>325.71459899734322</c:v>
                </c:pt>
                <c:pt idx="226">
                  <c:v>341.06505512706906</c:v>
                </c:pt>
                <c:pt idx="227">
                  <c:v>357.1389559661078</c:v>
                </c:pt>
                <c:pt idx="228">
                  <c:v>373.97039641320464</c:v>
                </c:pt>
                <c:pt idx="229">
                  <c:v>391.59507821017826</c:v>
                </c:pt>
                <c:pt idx="230">
                  <c:v>410.05038567010251</c:v>
                </c:pt>
                <c:pt idx="231">
                  <c:v>429.37546497444572</c:v>
                </c:pt>
                <c:pt idx="232">
                  <c:v>449.61130720737111</c:v>
                </c:pt>
                <c:pt idx="233">
                  <c:v>470.80083530332138</c:v>
                </c:pt>
                <c:pt idx="234">
                  <c:v>492.98899509231774</c:v>
                </c:pt>
                <c:pt idx="235">
                  <c:v>516.22285063609058</c:v>
                </c:pt>
                <c:pt idx="236">
                  <c:v>540.55168405726613</c:v>
                </c:pt>
                <c:pt idx="237">
                  <c:v>566.02710007335349</c:v>
                </c:pt>
                <c:pt idx="238">
                  <c:v>592.70313545727174</c:v>
                </c:pt>
                <c:pt idx="239">
                  <c:v>620.63637365658906</c:v>
                </c:pt>
                <c:pt idx="240">
                  <c:v>649.88606481459954</c:v>
                </c:pt>
                <c:pt idx="241">
                  <c:v>680.51425144782422</c:v>
                </c:pt>
                <c:pt idx="242">
                  <c:v>712.58590004650466</c:v>
                </c:pt>
                <c:pt idx="243">
                  <c:v>746.1690388772405</c:v>
                </c:pt>
                <c:pt idx="244">
                  <c:v>781.33490228005917</c:v>
                </c:pt>
                <c:pt idx="245">
                  <c:v>818.15808176601047</c:v>
                </c:pt>
                <c:pt idx="246">
                  <c:v>856.71668423575147</c:v>
                </c:pt>
                <c:pt idx="247">
                  <c:v>897.09249765476318</c:v>
                </c:pt>
                <c:pt idx="248">
                  <c:v>939.37116453658712</c:v>
                </c:pt>
                <c:pt idx="249">
                  <c:v>983.64236360207974</c:v>
                </c:pt>
                <c:pt idx="250">
                  <c:v>1030</c:v>
                </c:pt>
                <c:pt idx="251">
                  <c:v>1078.5424044924268</c:v>
                </c:pt>
                <c:pt idx="252">
                  <c:v>1129.3725420274818</c:v>
                </c:pt>
                <c:pt idx="253">
                  <c:v>1182.5982301417901</c:v>
                </c:pt>
                <c:pt idx="254">
                  <c:v>1238.332367655936</c:v>
                </c:pt>
                <c:pt idx="255">
                  <c:v>1296.6931741479927</c:v>
                </c:pt>
                <c:pt idx="256">
                  <c:v>1357.8044407131008</c:v>
                </c:pt>
                <c:pt idx="257">
                  <c:v>1421.7957925409728</c:v>
                </c:pt>
                <c:pt idx="258">
                  <c:v>1488.8029638683065</c:v>
                </c:pt>
                <c:pt idx="259">
                  <c:v>1558.9680858892955</c:v>
                </c:pt>
                <c:pt idx="260">
                  <c:v>1632.4399882349489</c:v>
                </c:pt>
                <c:pt idx="261">
                  <c:v>1709.3745146606891</c:v>
                </c:pt>
                <c:pt idx="262">
                  <c:v>1789.9348536118582</c:v>
                </c:pt>
                <c:pt idx="263">
                  <c:v>1874.2918843682826</c:v>
                </c:pt>
                <c:pt idx="264">
                  <c:v>1962.6245395021456</c:v>
                </c:pt>
                <c:pt idx="265">
                  <c:v>2055.1201844179468</c:v>
                </c:pt>
                <c:pt idx="266">
                  <c:v>2151.9750147796608</c:v>
                </c:pt>
                <c:pt idx="267">
                  <c:v>2253.3944726680393</c:v>
                </c:pt>
                <c:pt idx="268">
                  <c:v>2359.5936823508077</c:v>
                </c:pt>
                <c:pt idx="269">
                  <c:v>2470.7979065900763</c:v>
                </c:pt>
                <c:pt idx="270">
                  <c:v>2587.2430244548682</c:v>
                </c:pt>
                <c:pt idx="271">
                  <c:v>2709.1760316522432</c:v>
                </c:pt>
                <c:pt idx="272">
                  <c:v>2836.8555644383136</c:v>
                </c:pt>
                <c:pt idx="273">
                  <c:v>2970.5524482204055</c:v>
                </c:pt>
                <c:pt idx="274">
                  <c:v>3110.5502720140776</c:v>
                </c:pt>
                <c:pt idx="275">
                  <c:v>3257.1459899734341</c:v>
                </c:pt>
                <c:pt idx="276">
                  <c:v>3410.6505512706913</c:v>
                </c:pt>
                <c:pt idx="277">
                  <c:v>3571.3895596610782</c:v>
                </c:pt>
                <c:pt idx="278">
                  <c:v>3739.7039641320457</c:v>
                </c:pt>
                <c:pt idx="279">
                  <c:v>3915.9507821017851</c:v>
                </c:pt>
                <c:pt idx="280">
                  <c:v>4100.5038567010261</c:v>
                </c:pt>
                <c:pt idx="281">
                  <c:v>4293.7546497444582</c:v>
                </c:pt>
                <c:pt idx="282">
                  <c:v>4496.1130720737119</c:v>
                </c:pt>
                <c:pt idx="283">
                  <c:v>4708.0083530332195</c:v>
                </c:pt>
                <c:pt idx="284">
                  <c:v>4929.8899509231805</c:v>
                </c:pt>
                <c:pt idx="285">
                  <c:v>5162.2285063609088</c:v>
                </c:pt>
                <c:pt idx="286">
                  <c:v>5405.5168405726617</c:v>
                </c:pt>
                <c:pt idx="287">
                  <c:v>5660.2710007335418</c:v>
                </c:pt>
                <c:pt idx="288">
                  <c:v>5927.0313545727186</c:v>
                </c:pt>
                <c:pt idx="289">
                  <c:v>6206.3637365658851</c:v>
                </c:pt>
                <c:pt idx="290">
                  <c:v>6498.860648145991</c:v>
                </c:pt>
                <c:pt idx="291">
                  <c:v>6805.1425144782434</c:v>
                </c:pt>
                <c:pt idx="292">
                  <c:v>7125.8590004650487</c:v>
                </c:pt>
                <c:pt idx="293">
                  <c:v>7461.6903887724002</c:v>
                </c:pt>
                <c:pt idx="294">
                  <c:v>7813.349022800593</c:v>
                </c:pt>
                <c:pt idx="295">
                  <c:v>8181.5808176601058</c:v>
                </c:pt>
                <c:pt idx="296">
                  <c:v>8567.1668423575156</c:v>
                </c:pt>
                <c:pt idx="297">
                  <c:v>8970.9249765476343</c:v>
                </c:pt>
                <c:pt idx="298">
                  <c:v>9393.7116453658728</c:v>
                </c:pt>
                <c:pt idx="299">
                  <c:v>9836.4236360207997</c:v>
                </c:pt>
                <c:pt idx="300">
                  <c:v>10300</c:v>
                </c:pt>
              </c:numCache>
            </c:numRef>
          </c:xVal>
          <c:yVal>
            <c:numRef>
              <c:f>Sum!$C$2:$C$302</c:f>
              <c:numCache>
                <c:formatCode>General</c:formatCode>
                <c:ptCount val="301"/>
                <c:pt idx="0">
                  <c:v>4.7238284100565645E-2</c:v>
                </c:pt>
                <c:pt idx="1">
                  <c:v>5.1768683229007767E-2</c:v>
                </c:pt>
                <c:pt idx="2">
                  <c:v>5.6730740176107158E-2</c:v>
                </c:pt>
                <c:pt idx="3">
                  <c:v>6.2165017771963753E-2</c:v>
                </c:pt>
                <c:pt idx="4">
                  <c:v>6.811577795811255E-2</c:v>
                </c:pt>
                <c:pt idx="5">
                  <c:v>7.4631296781612039E-2</c:v>
                </c:pt>
                <c:pt idx="6">
                  <c:v>8.1764201757368232E-2</c:v>
                </c:pt>
                <c:pt idx="7">
                  <c:v>8.9571832270714719E-2</c:v>
                </c:pt>
                <c:pt idx="8">
                  <c:v>9.8116623501536257E-2</c:v>
                </c:pt>
                <c:pt idx="9">
                  <c:v>0.10746651409335888</c:v>
                </c:pt>
                <c:pt idx="10">
                  <c:v>0.11769537747158632</c:v>
                </c:pt>
                <c:pt idx="11">
                  <c:v>0.12888347631085198</c:v>
                </c:pt>
                <c:pt idx="12">
                  <c:v>0.14111793915197585</c:v>
                </c:pt>
                <c:pt idx="13">
                  <c:v>0.15449325756803239</c:v>
                </c:pt>
                <c:pt idx="14">
                  <c:v>0.16911180155266339</c:v>
                </c:pt>
                <c:pt idx="15">
                  <c:v>0.18508434994390549</c:v>
                </c:pt>
                <c:pt idx="16">
                  <c:v>0.20253063169314173</c:v>
                </c:pt>
                <c:pt idx="17">
                  <c:v>0.22157987262104925</c:v>
                </c:pt>
                <c:pt idx="18">
                  <c:v>0.24237134097004706</c:v>
                </c:pt>
                <c:pt idx="19">
                  <c:v>0.26505488355847218</c:v>
                </c:pt>
                <c:pt idx="20">
                  <c:v>0.28979144266271445</c:v>
                </c:pt>
                <c:pt idx="21">
                  <c:v>0.3167535419193524</c:v>
                </c:pt>
                <c:pt idx="22">
                  <c:v>0.34612572755843296</c:v>
                </c:pt>
                <c:pt idx="23">
                  <c:v>0.37810494919657467</c:v>
                </c:pt>
                <c:pt idx="24">
                  <c:v>0.4129008622790985</c:v>
                </c:pt>
                <c:pt idx="25">
                  <c:v>0.45073603213598989</c:v>
                </c:pt>
                <c:pt idx="26">
                  <c:v>0.49184601760398344</c:v>
                </c:pt>
                <c:pt idx="27">
                  <c:v>0.5364793103824137</c:v>
                </c:pt>
                <c:pt idx="28">
                  <c:v>0.58489710487628321</c:v>
                </c:pt>
                <c:pt idx="29">
                  <c:v>0.63737287241579355</c:v>
                </c:pt>
                <c:pt idx="30">
                  <c:v>0.69419171360571064</c:v>
                </c:pt>
                <c:pt idx="31">
                  <c:v>0.7556494633722044</c:v>
                </c:pt>
                <c:pt idx="32">
                  <c:v>0.82205152524883973</c:v>
                </c:pt>
                <c:pt idx="33">
                  <c:v>0.8937114147771561</c:v>
                </c:pt>
                <c:pt idx="34">
                  <c:v>0.97094899678643654</c:v>
                </c:pt>
                <c:pt idx="35">
                  <c:v>1.0540884078693604</c:v>
                </c:pt>
                <c:pt idx="36">
                  <c:v>1.143455663659064</c:v>
                </c:pt>
                <c:pt idx="37">
                  <c:v>1.2393759604687486</c:v>
                </c:pt>
                <c:pt idx="38">
                  <c:v>1.3421706923140533</c:v>
                </c:pt>
                <c:pt idx="39">
                  <c:v>1.4521542169545187</c:v>
                </c:pt>
                <c:pt idx="40">
                  <c:v>1.5696304178899219</c:v>
                </c:pt>
                <c:pt idx="41">
                  <c:v>1.6948891225703728</c:v>
                </c:pt>
                <c:pt idx="42">
                  <c:v>1.8282024496556648</c:v>
                </c:pt>
                <c:pt idx="43">
                  <c:v>1.9698211691114449</c:v>
                </c:pt>
                <c:pt idx="44">
                  <c:v>2.1199711673508563</c:v>
                </c:pt>
                <c:pt idx="45">
                  <c:v>2.2788501146687237</c:v>
                </c:pt>
                <c:pt idx="46">
                  <c:v>2.4466244331397737</c:v>
                </c:pt>
                <c:pt idx="47">
                  <c:v>2.6234266594679267</c:v>
                </c:pt>
                <c:pt idx="48">
                  <c:v>2.8093532887760109</c:v>
                </c:pt>
                <c:pt idx="49">
                  <c:v>3.0044631721671622</c:v>
                </c:pt>
                <c:pt idx="50">
                  <c:v>3.2087765235939099</c:v>
                </c:pt>
                <c:pt idx="51">
                  <c:v>3.4222745710093965</c:v>
                </c:pt>
                <c:pt idx="52">
                  <c:v>3.6448998641135439</c:v>
                </c:pt>
                <c:pt idx="53">
                  <c:v>3.8765572275953666</c:v>
                </c:pt>
                <c:pt idx="54">
                  <c:v>4.117115326033451</c:v>
                </c:pt>
                <c:pt idx="55">
                  <c:v>4.3664087859081295</c:v>
                </c:pt>
                <c:pt idx="56">
                  <c:v>4.6242408026833006</c:v>
                </c:pt>
                <c:pt idx="57">
                  <c:v>4.8903861475103181</c:v>
                </c:pt>
                <c:pt idx="58">
                  <c:v>5.1645944793524201</c:v>
                </c:pt>
                <c:pt idx="59">
                  <c:v>5.4465938643777667</c:v>
                </c:pt>
                <c:pt idx="60">
                  <c:v>5.7360944051560967</c:v>
                </c:pt>
                <c:pt idx="61">
                  <c:v>6.0327918870195409</c:v>
                </c:pt>
                <c:pt idx="62">
                  <c:v>6.3363713572045182</c:v>
                </c:pt>
                <c:pt idx="63">
                  <c:v>6.6465105632264656</c:v>
                </c:pt>
                <c:pt idx="64">
                  <c:v>6.962883189443402</c:v>
                </c:pt>
                <c:pt idx="65">
                  <c:v>7.2851618440638068</c:v>
                </c:pt>
                <c:pt idx="66">
                  <c:v>7.6130207621669719</c:v>
                </c:pt>
                <c:pt idx="67">
                  <c:v>7.9461382029623397</c:v>
                </c:pt>
                <c:pt idx="68">
                  <c:v>8.2841985310398698</c:v>
                </c:pt>
                <c:pt idx="69">
                  <c:v>8.6268939813973784</c:v>
                </c:pt>
                <c:pt idx="70">
                  <c:v>8.9739261164013424</c:v>
                </c:pt>
                <c:pt idx="71">
                  <c:v>9.3250069894757601</c:v>
                </c:pt>
                <c:pt idx="72">
                  <c:v>9.6798600352752455</c:v>
                </c:pt>
                <c:pt idx="73">
                  <c:v>10.038220709503562</c:v>
                </c:pt>
                <c:pt idx="74">
                  <c:v>10.399836903564294</c:v>
                </c:pt>
                <c:pt idx="75">
                  <c:v>10.764469160089078</c:v>
                </c:pt>
                <c:pt idx="76">
                  <c:v>11.131890715282697</c:v>
                </c:pt>
                <c:pt idx="77">
                  <c:v>11.501887393175904</c:v>
                </c:pt>
                <c:pt idx="78">
                  <c:v>11.874257375469334</c:v>
                </c:pt>
                <c:pt idx="79">
                  <c:v>12.248810868863245</c:v>
                </c:pt>
                <c:pt idx="80">
                  <c:v>12.625369689740593</c:v>
                </c:pt>
                <c:pt idx="81">
                  <c:v>13.003766783926752</c:v>
                </c:pt>
                <c:pt idx="82">
                  <c:v>13.383845697083077</c:v>
                </c:pt>
                <c:pt idx="83">
                  <c:v>13.765460009174227</c:v>
                </c:pt>
                <c:pt idx="84">
                  <c:v>14.148472744434951</c:v>
                </c:pt>
                <c:pt idx="85">
                  <c:v>14.532755766383659</c:v>
                </c:pt>
                <c:pt idx="86">
                  <c:v>14.918189165711356</c:v>
                </c:pt>
                <c:pt idx="87">
                  <c:v>15.304660647321711</c:v>
                </c:pt>
                <c:pt idx="88">
                  <c:v>15.692064921419167</c:v>
                </c:pt>
                <c:pt idx="89">
                  <c:v>16.080303102325825</c:v>
                </c:pt>
                <c:pt idx="90">
                  <c:v>16.469282117651268</c:v>
                </c:pt>
                <c:pt idx="91">
                  <c:v>16.858914129528728</c:v>
                </c:pt>
                <c:pt idx="92">
                  <c:v>17.249115968854102</c:v>
                </c:pt>
                <c:pt idx="93">
                  <c:v>17.639808582807067</c:v>
                </c:pt>
                <c:pt idx="94">
                  <c:v>18.030916495384236</c:v>
                </c:pt>
                <c:pt idx="95">
                  <c:v>18.422367280219316</c:v>
                </c:pt>
                <c:pt idx="96">
                  <c:v>18.814091044592239</c:v>
                </c:pt>
                <c:pt idx="97">
                  <c:v>19.206019923229579</c:v>
                </c:pt>
                <c:pt idx="98">
                  <c:v>19.598087580262455</c:v>
                </c:pt>
                <c:pt idx="99">
                  <c:v>19.990228717525962</c:v>
                </c:pt>
                <c:pt idx="100">
                  <c:v>20.382378587253612</c:v>
                </c:pt>
                <c:pt idx="101">
                  <c:v>20.774472507132785</c:v>
                </c:pt>
                <c:pt idx="102">
                  <c:v>21.166445375642521</c:v>
                </c:pt>
                <c:pt idx="103">
                  <c:v>21.558231185589069</c:v>
                </c:pt>
                <c:pt idx="104">
                  <c:v>21.949762533789347</c:v>
                </c:pt>
                <c:pt idx="105">
                  <c:v>22.340970124927718</c:v>
                </c:pt>
                <c:pt idx="106">
                  <c:v>22.731782267730445</c:v>
                </c:pt>
                <c:pt idx="107">
                  <c:v>23.122124361769565</c:v>
                </c:pt>
                <c:pt idx="108">
                  <c:v>23.511918373428529</c:v>
                </c:pt>
                <c:pt idx="109">
                  <c:v>23.901082299843658</c:v>
                </c:pt>
                <c:pt idx="110">
                  <c:v>24.289529619989306</c:v>
                </c:pt>
                <c:pt idx="111">
                  <c:v>24.677168732502892</c:v>
                </c:pt>
                <c:pt idx="112">
                  <c:v>25.063902380371612</c:v>
                </c:pt>
                <c:pt idx="113">
                  <c:v>25.449627063229276</c:v>
                </c:pt>
                <c:pt idx="114">
                  <c:v>25.834232438752416</c:v>
                </c:pt>
                <c:pt idx="115">
                  <c:v>26.217600715520412</c:v>
                </c:pt>
                <c:pt idx="116">
                  <c:v>26.599606040720953</c:v>
                </c:pt>
                <c:pt idx="117">
                  <c:v>26.980113887251029</c:v>
                </c:pt>
                <c:pt idx="118">
                  <c:v>27.358980446101313</c:v>
                </c:pt>
                <c:pt idx="119">
                  <c:v>27.736052031415561</c:v>
                </c:pt>
                <c:pt idx="120">
                  <c:v>28.111164507292052</c:v>
                </c:pt>
                <c:pt idx="121">
                  <c:v>28.484142747229871</c:v>
                </c:pt>
                <c:pt idx="122">
                  <c:v>28.854800139104544</c:v>
                </c:pt>
                <c:pt idx="123">
                  <c:v>29.22293815065057</c:v>
                </c:pt>
                <c:pt idx="124">
                  <c:v>29.588345972587401</c:v>
                </c:pt>
                <c:pt idx="125">
                  <c:v>29.950800258683998</c:v>
                </c:pt>
                <c:pt idx="126">
                  <c:v>30.310064984127241</c:v>
                </c:pt>
                <c:pt idx="127">
                  <c:v>30.665891445425601</c:v>
                </c:pt>
                <c:pt idx="128">
                  <c:v>31.018018426604538</c:v>
                </c:pt>
                <c:pt idx="129">
                  <c:v>31.366172557470655</c:v>
                </c:pt>
                <c:pt idx="130">
                  <c:v>31.710068890045932</c:v>
                </c:pt>
                <c:pt idx="131">
                  <c:v>32.049411718697115</c:v>
                </c:pt>
                <c:pt idx="132">
                  <c:v>32.383895667797667</c:v>
                </c:pt>
                <c:pt idx="133">
                  <c:v>32.713207067743816</c:v>
                </c:pt>
                <c:pt idx="134">
                  <c:v>33.037025635622626</c:v>
                </c:pt>
                <c:pt idx="135">
                  <c:v>33.355026470651651</c:v>
                </c:pt>
                <c:pt idx="136">
                  <c:v>33.666882366608384</c:v>
                </c:pt>
                <c:pt idx="137">
                  <c:v>33.972266433868043</c:v>
                </c:pt>
                <c:pt idx="138">
                  <c:v>34.270855012521572</c:v>
                </c:pt>
                <c:pt idx="139">
                  <c:v>34.562330845649718</c:v>
                </c:pt>
                <c:pt idx="140">
                  <c:v>34.846386468634421</c:v>
                </c:pt>
                <c:pt idx="141">
                  <c:v>35.122727757015227</c:v>
                </c:pt>
                <c:pt idx="142">
                  <c:v>35.391077562592827</c:v>
                </c:pt>
                <c:pt idx="143">
                  <c:v>35.651179356108756</c:v>
                </c:pt>
                <c:pt idx="144">
                  <c:v>35.902800785788635</c:v>
                </c:pt>
                <c:pt idx="145">
                  <c:v>36.145737055205046</c:v>
                </c:pt>
                <c:pt idx="146">
                  <c:v>36.37981402205363</c:v>
                </c:pt>
                <c:pt idx="147">
                  <c:v>36.604890922099244</c:v>
                </c:pt>
                <c:pt idx="148">
                  <c:v>36.820862630008598</c:v>
                </c:pt>
                <c:pt idx="149">
                  <c:v>37.027661380970734</c:v>
                </c:pt>
                <c:pt idx="150">
                  <c:v>37.225257893472019</c:v>
                </c:pt>
                <c:pt idx="151">
                  <c:v>37.413661853538223</c:v>
                </c:pt>
                <c:pt idx="152">
                  <c:v>37.592921743074641</c:v>
                </c:pt>
                <c:pt idx="153">
                  <c:v>37.763124018305795</c:v>
                </c:pt>
                <c:pt idx="154">
                  <c:v>37.924391667318417</c:v>
                </c:pt>
                <c:pt idx="155">
                  <c:v>38.076882196965052</c:v>
                </c:pt>
                <c:pt idx="156">
                  <c:v>38.220785117664946</c:v>
                </c:pt>
                <c:pt idx="157">
                  <c:v>38.356319008978033</c:v>
                </c:pt>
                <c:pt idx="158">
                  <c:v>38.483728258619578</c:v>
                </c:pt>
                <c:pt idx="159">
                  <c:v>38.603279572559849</c:v>
                </c:pt>
                <c:pt idx="160">
                  <c:v>38.715258354135699</c:v>
                </c:pt>
                <c:pt idx="161">
                  <c:v>38.8199650461126</c:v>
                </c:pt>
                <c:pt idx="162">
                  <c:v>38.917711522046858</c:v>
                </c:pt>
                <c:pt idx="163">
                  <c:v>39.008817602939843</c:v>
                </c:pt>
                <c:pt idx="164">
                  <c:v>39.093607762952587</c:v>
                </c:pt>
                <c:pt idx="165">
                  <c:v>39.172408074742229</c:v>
                </c:pt>
                <c:pt idx="166">
                  <c:v>39.245543431610187</c:v>
                </c:pt>
                <c:pt idx="167">
                  <c:v>39.313335070792</c:v>
                </c:pt>
                <c:pt idx="168">
                  <c:v>39.376098410411686</c:v>
                </c:pt>
                <c:pt idx="169">
                  <c:v>39.434141202234933</c:v>
                </c:pt>
                <c:pt idx="170">
                  <c:v>39.487761993608835</c:v>
                </c:pt>
                <c:pt idx="171">
                  <c:v>39.537248884952369</c:v>
                </c:pt>
                <c:pt idx="172">
                  <c:v>39.582878563838015</c:v>
                </c:pt>
                <c:pt idx="173">
                  <c:v>39.624915592961734</c:v>
                </c:pt>
                <c:pt idx="174">
                  <c:v>39.663611926980614</c:v>
                </c:pt>
                <c:pt idx="175">
                  <c:v>39.699206632089158</c:v>
                </c:pt>
                <c:pt idx="176">
                  <c:v>39.73192578210552</c:v>
                </c:pt>
                <c:pt idx="177">
                  <c:v>39.761982505526198</c:v>
                </c:pt>
                <c:pt idx="178">
                  <c:v>39.789577159291923</c:v>
                </c:pt>
                <c:pt idx="179">
                  <c:v>39.814897606705529</c:v>
                </c:pt>
                <c:pt idx="180">
                  <c:v>39.838119578908589</c:v>
                </c:pt>
                <c:pt idx="181">
                  <c:v>39.859407101426306</c:v>
                </c:pt>
                <c:pt idx="182">
                  <c:v>39.878912969434026</c:v>
                </c:pt>
                <c:pt idx="183">
                  <c:v>39.896779257502899</c:v>
                </c:pt>
                <c:pt idx="184">
                  <c:v>39.913137851593348</c:v>
                </c:pt>
                <c:pt idx="185">
                  <c:v>39.928110992943132</c:v>
                </c:pt>
                <c:pt idx="186">
                  <c:v>39.941811825217435</c:v>
                </c:pt>
                <c:pt idx="187">
                  <c:v>39.954344937841206</c:v>
                </c:pt>
                <c:pt idx="188">
                  <c:v>39.965806899812911</c:v>
                </c:pt>
                <c:pt idx="189">
                  <c:v>39.976286779509003</c:v>
                </c:pt>
                <c:pt idx="190">
                  <c:v>39.985866647036609</c:v>
                </c:pt>
                <c:pt idx="191">
                  <c:v>39.994622056589662</c:v>
                </c:pt>
                <c:pt idx="192">
                  <c:v>40.002622507022842</c:v>
                </c:pt>
                <c:pt idx="193">
                  <c:v>40.009931879493628</c:v>
                </c:pt>
                <c:pt idx="194">
                  <c:v>40.016608851547097</c:v>
                </c:pt>
                <c:pt idx="195">
                  <c:v>40.022707287445904</c:v>
                </c:pt>
                <c:pt idx="196">
                  <c:v>40.028276604891445</c:v>
                </c:pt>
                <c:pt idx="197">
                  <c:v>40.033362118552972</c:v>
                </c:pt>
                <c:pt idx="198">
                  <c:v>40.038005361030564</c:v>
                </c:pt>
                <c:pt idx="199">
                  <c:v>40.042244382034831</c:v>
                </c:pt>
                <c:pt idx="200">
                  <c:v>40.046114026679831</c:v>
                </c:pt>
                <c:pt idx="201">
                  <c:v>40.049646193862635</c:v>
                </c:pt>
                <c:pt idx="202">
                  <c:v>40.052870075751244</c:v>
                </c:pt>
                <c:pt idx="203">
                  <c:v>40.055812379426854</c:v>
                </c:pt>
                <c:pt idx="204">
                  <c:v>40.058497531729735</c:v>
                </c:pt>
                <c:pt idx="205">
                  <c:v>40.060947868348514</c:v>
                </c:pt>
                <c:pt idx="206">
                  <c:v>40.063183808173477</c:v>
                </c:pt>
                <c:pt idx="207">
                  <c:v>40.065224013897009</c:v>
                </c:pt>
                <c:pt idx="208">
                  <c:v>40.067085539814926</c:v>
                </c:pt>
                <c:pt idx="209">
                  <c:v>40.068783967735314</c:v>
                </c:pt>
                <c:pt idx="210">
                  <c:v>40.070333531858331</c:v>
                </c:pt>
                <c:pt idx="211">
                  <c:v>40.071747233444995</c:v>
                </c:pt>
                <c:pt idx="212">
                  <c:v>40.073036946046052</c:v>
                </c:pt>
                <c:pt idx="213">
                  <c:v>40.074213512011895</c:v>
                </c:pt>
                <c:pt idx="214">
                  <c:v>40.075286830964316</c:v>
                </c:pt>
                <c:pt idx="215">
                  <c:v>40.076265940859948</c:v>
                </c:pt>
                <c:pt idx="216">
                  <c:v>40.077159092235711</c:v>
                </c:pt>
                <c:pt idx="217">
                  <c:v>40.077973816183857</c:v>
                </c:pt>
                <c:pt idx="218">
                  <c:v>40.078716986564409</c:v>
                </c:pt>
                <c:pt idx="219">
                  <c:v>40.079394876926592</c:v>
                </c:pt>
                <c:pt idx="220">
                  <c:v>40.080013212572531</c:v>
                </c:pt>
                <c:pt idx="221">
                  <c:v>40.080577218167505</c:v>
                </c:pt>
                <c:pt idx="222">
                  <c:v>40.081091661266008</c:v>
                </c:pt>
                <c:pt idx="223">
                  <c:v>40.081560892095766</c:v>
                </c:pt>
                <c:pt idx="224">
                  <c:v>40.081988879914583</c:v>
                </c:pt>
                <c:pt idx="225">
                  <c:v>40.082379246228825</c:v>
                </c:pt>
                <c:pt idx="226">
                  <c:v>40.08273529514036</c:v>
                </c:pt>
                <c:pt idx="227">
                  <c:v>40.083060041064378</c:v>
                </c:pt>
                <c:pt idx="228">
                  <c:v>40.083356234044814</c:v>
                </c:pt>
                <c:pt idx="229">
                  <c:v>40.08362638287079</c:v>
                </c:pt>
                <c:pt idx="230">
                  <c:v>40.083872776183568</c:v>
                </c:pt>
                <c:pt idx="231">
                  <c:v>40.084097501746648</c:v>
                </c:pt>
                <c:pt idx="232">
                  <c:v>40.084302464037251</c:v>
                </c:pt>
                <c:pt idx="233">
                  <c:v>40.084489400303738</c:v>
                </c:pt>
                <c:pt idx="234">
                  <c:v>40.084659895222295</c:v>
                </c:pt>
                <c:pt idx="235">
                  <c:v>40.084815394273164</c:v>
                </c:pt>
                <c:pt idx="236">
                  <c:v>40.084957215948585</c:v>
                </c:pt>
                <c:pt idx="237">
                  <c:v>40.085086562892663</c:v>
                </c:pt>
                <c:pt idx="238">
                  <c:v>40.085204532067316</c:v>
                </c:pt>
                <c:pt idx="239">
                  <c:v>40.085312124027908</c:v>
                </c:pt>
                <c:pt idx="240">
                  <c:v>40.085410251386648</c:v>
                </c:pt>
                <c:pt idx="241">
                  <c:v>40.085499746534893</c:v>
                </c:pt>
                <c:pt idx="242">
                  <c:v>40.085581368688537</c:v>
                </c:pt>
                <c:pt idx="243">
                  <c:v>40.085655810315181</c:v>
                </c:pt>
                <c:pt idx="244">
                  <c:v>40.085723702998415</c:v>
                </c:pt>
                <c:pt idx="245">
                  <c:v>40.085785622786915</c:v>
                </c:pt>
                <c:pt idx="246">
                  <c:v>40.085842095075108</c:v>
                </c:pt>
                <c:pt idx="247">
                  <c:v>40.08589359905443</c:v>
                </c:pt>
                <c:pt idx="248">
                  <c:v>40.085940571774479</c:v>
                </c:pt>
                <c:pt idx="249">
                  <c:v>40.085983411847408</c:v>
                </c:pt>
                <c:pt idx="250">
                  <c:v>40.08602248282682</c:v>
                </c:pt>
                <c:pt idx="251">
                  <c:v>40.08605811629009</c:v>
                </c:pt>
                <c:pt idx="252">
                  <c:v>40.086090614649763</c:v>
                </c:pt>
                <c:pt idx="253">
                  <c:v>40.086120253718001</c:v>
                </c:pt>
                <c:pt idx="254">
                  <c:v>40.086147285046117</c:v>
                </c:pt>
                <c:pt idx="255">
                  <c:v>40.086171938056935</c:v>
                </c:pt>
                <c:pt idx="256">
                  <c:v>40.086194421992118</c:v>
                </c:pt>
                <c:pt idx="257">
                  <c:v>40.086214927686264</c:v>
                </c:pt>
                <c:pt idx="258">
                  <c:v>40.08623362918599</c:v>
                </c:pt>
                <c:pt idx="259">
                  <c:v>40.086250685226609</c:v>
                </c:pt>
                <c:pt idx="260">
                  <c:v>40.086266240579036</c:v>
                </c:pt>
                <c:pt idx="261">
                  <c:v>40.086280427277671</c:v>
                </c:pt>
                <c:pt idx="262">
                  <c:v>40.086293365741</c:v>
                </c:pt>
                <c:pt idx="263">
                  <c:v>40.086305165793362</c:v>
                </c:pt>
                <c:pt idx="264">
                  <c:v>40.086315927596985</c:v>
                </c:pt>
                <c:pt idx="265">
                  <c:v>40.086325742501799</c:v>
                </c:pt>
                <c:pt idx="266">
                  <c:v>40.086334693820703</c:v>
                </c:pt>
                <c:pt idx="267">
                  <c:v>40.086342857536714</c:v>
                </c:pt>
                <c:pt idx="268">
                  <c:v>40.086350302947622</c:v>
                </c:pt>
                <c:pt idx="269">
                  <c:v>40.086357093254044</c:v>
                </c:pt>
                <c:pt idx="270">
                  <c:v>40.086363286096478</c:v>
                </c:pt>
                <c:pt idx="271">
                  <c:v>40.086368934043648</c:v>
                </c:pt>
                <c:pt idx="272">
                  <c:v>40.086374085038997</c:v>
                </c:pt>
                <c:pt idx="273">
                  <c:v>40.086378782807934</c:v>
                </c:pt>
                <c:pt idx="274">
                  <c:v>40.086383067228638</c:v>
                </c:pt>
                <c:pt idx="275">
                  <c:v>40.086386974670347</c:v>
                </c:pt>
                <c:pt idx="276">
                  <c:v>40.086390538302638</c:v>
                </c:pt>
                <c:pt idx="277">
                  <c:v>40.086393788376483</c:v>
                </c:pt>
                <c:pt idx="278">
                  <c:v>40.086396752481193</c:v>
                </c:pt>
                <c:pt idx="279">
                  <c:v>40.086399455778505</c:v>
                </c:pt>
                <c:pt idx="280">
                  <c:v>40.086401921216506</c:v>
                </c:pt>
                <c:pt idx="281">
                  <c:v>40.08640416972387</c:v>
                </c:pt>
                <c:pt idx="282">
                  <c:v>40.086406220387971</c:v>
                </c:pt>
                <c:pt idx="283">
                  <c:v>40.08640809061675</c:v>
                </c:pt>
                <c:pt idx="284">
                  <c:v>40.086409796286297</c:v>
                </c:pt>
                <c:pt idx="285">
                  <c:v>40.086411351876066</c:v>
                </c:pt>
                <c:pt idx="286">
                  <c:v>40.086412770591252</c:v>
                </c:pt>
                <c:pt idx="287">
                  <c:v>40.086414064475264</c:v>
                </c:pt>
                <c:pt idx="288">
                  <c:v>40.086415244511819</c:v>
                </c:pt>
                <c:pt idx="289">
                  <c:v>40.086416320718278</c:v>
                </c:pt>
                <c:pt idx="290">
                  <c:v>40.086417302230508</c:v>
                </c:pt>
                <c:pt idx="291">
                  <c:v>40.086418197380389</c:v>
                </c:pt>
                <c:pt idx="292">
                  <c:v>40.086419013767014</c:v>
                </c:pt>
                <c:pt idx="293">
                  <c:v>40.086419758320638</c:v>
                </c:pt>
                <c:pt idx="294">
                  <c:v>40.086420437361674</c:v>
                </c:pt>
                <c:pt idx="295">
                  <c:v>40.086421056654515</c:v>
                </c:pt>
                <c:pt idx="296">
                  <c:v>40.086421621456424</c:v>
                </c:pt>
                <c:pt idx="297">
                  <c:v>40.086422136561914</c:v>
                </c:pt>
                <c:pt idx="298">
                  <c:v>40.086422606343781</c:v>
                </c:pt>
                <c:pt idx="299">
                  <c:v>40.086423034789988</c:v>
                </c:pt>
                <c:pt idx="300">
                  <c:v>40.086423425537554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D1-4879-B8F2-B3D6A3E16F35}"/>
            </c:ext>
          </c:extLst>
        </c:ser>
        <c:ser>
          <c:idx val="2"/>
          <c:order val="2"/>
          <c:tx>
            <c:strRef>
              <c:f>Sum!$D$1</c:f>
              <c:strCache>
                <c:ptCount val="1"/>
                <c:pt idx="0">
                  <c:v>Gᴛ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Sum!$A$2:$A$302</c:f>
              <c:numCache>
                <c:formatCode>General</c:formatCode>
                <c:ptCount val="301"/>
                <c:pt idx="0">
                  <c:v>1.03E-2</c:v>
                </c:pt>
                <c:pt idx="1">
                  <c:v>1.0785424044924257E-2</c:v>
                </c:pt>
                <c:pt idx="2">
                  <c:v>1.1293725420274806E-2</c:v>
                </c:pt>
                <c:pt idx="3">
                  <c:v>1.1825982301417889E-2</c:v>
                </c:pt>
                <c:pt idx="4">
                  <c:v>1.2383323676559348E-2</c:v>
                </c:pt>
                <c:pt idx="5">
                  <c:v>1.2966931741479913E-2</c:v>
                </c:pt>
                <c:pt idx="6">
                  <c:v>1.3578044407130993E-2</c:v>
                </c:pt>
                <c:pt idx="7">
                  <c:v>1.421795792540971E-2</c:v>
                </c:pt>
                <c:pt idx="8">
                  <c:v>1.488802963868305E-2</c:v>
                </c:pt>
                <c:pt idx="9">
                  <c:v>1.5589680858892936E-2</c:v>
                </c:pt>
                <c:pt idx="10">
                  <c:v>1.6324399882349471E-2</c:v>
                </c:pt>
                <c:pt idx="11">
                  <c:v>1.7093745146606876E-2</c:v>
                </c:pt>
                <c:pt idx="12">
                  <c:v>1.7899348536118562E-2</c:v>
                </c:pt>
                <c:pt idx="13">
                  <c:v>1.8742918843682805E-2</c:v>
                </c:pt>
                <c:pt idx="14">
                  <c:v>1.9626245395021436E-2</c:v>
                </c:pt>
                <c:pt idx="15">
                  <c:v>2.0551201844179447E-2</c:v>
                </c:pt>
                <c:pt idx="16">
                  <c:v>2.1519750147796585E-2</c:v>
                </c:pt>
                <c:pt idx="17">
                  <c:v>2.2533944726680365E-2</c:v>
                </c:pt>
                <c:pt idx="18">
                  <c:v>2.3595936823508048E-2</c:v>
                </c:pt>
                <c:pt idx="19">
                  <c:v>2.4707979065900734E-2</c:v>
                </c:pt>
                <c:pt idx="20">
                  <c:v>2.5872430244548651E-2</c:v>
                </c:pt>
                <c:pt idx="21">
                  <c:v>2.7091760316522408E-2</c:v>
                </c:pt>
                <c:pt idx="22">
                  <c:v>2.8368555644383103E-2</c:v>
                </c:pt>
                <c:pt idx="23">
                  <c:v>2.9705524482204024E-2</c:v>
                </c:pt>
                <c:pt idx="24">
                  <c:v>3.1105502720140742E-2</c:v>
                </c:pt>
                <c:pt idx="25">
                  <c:v>3.2571459899734277E-2</c:v>
                </c:pt>
                <c:pt idx="26">
                  <c:v>3.4106505512706879E-2</c:v>
                </c:pt>
                <c:pt idx="27">
                  <c:v>3.5713895596610749E-2</c:v>
                </c:pt>
                <c:pt idx="28">
                  <c:v>3.7397039641320413E-2</c:v>
                </c:pt>
                <c:pt idx="29">
                  <c:v>3.9159507821017812E-2</c:v>
                </c:pt>
                <c:pt idx="30">
                  <c:v>4.100503856701021E-2</c:v>
                </c:pt>
                <c:pt idx="31">
                  <c:v>4.2937546497444537E-2</c:v>
                </c:pt>
                <c:pt idx="32">
                  <c:v>4.4961130720737069E-2</c:v>
                </c:pt>
                <c:pt idx="33">
                  <c:v>4.7080083530332134E-2</c:v>
                </c:pt>
                <c:pt idx="34">
                  <c:v>4.9298899509231754E-2</c:v>
                </c:pt>
                <c:pt idx="35">
                  <c:v>5.1622285063609032E-2</c:v>
                </c:pt>
                <c:pt idx="36">
                  <c:v>5.4055168405726557E-2</c:v>
                </c:pt>
                <c:pt idx="37">
                  <c:v>5.6602710007335348E-2</c:v>
                </c:pt>
                <c:pt idx="38">
                  <c:v>5.9270313545727121E-2</c:v>
                </c:pt>
                <c:pt idx="39">
                  <c:v>6.2063637365658793E-2</c:v>
                </c:pt>
                <c:pt idx="40">
                  <c:v>6.4988606481459835E-2</c:v>
                </c:pt>
                <c:pt idx="41">
                  <c:v>6.8051425144782351E-2</c:v>
                </c:pt>
                <c:pt idx="42">
                  <c:v>7.1258590004650416E-2</c:v>
                </c:pt>
                <c:pt idx="43">
                  <c:v>7.4616903887723907E-2</c:v>
                </c:pt>
                <c:pt idx="44">
                  <c:v>7.813349022800585E-2</c:v>
                </c:pt>
                <c:pt idx="45">
                  <c:v>8.1815808176600974E-2</c:v>
                </c:pt>
                <c:pt idx="46">
                  <c:v>8.567166842357507E-2</c:v>
                </c:pt>
                <c:pt idx="47">
                  <c:v>8.9709249765476257E-2</c:v>
                </c:pt>
                <c:pt idx="48">
                  <c:v>9.3937116453658612E-2</c:v>
                </c:pt>
                <c:pt idx="49">
                  <c:v>9.8364236360207885E-2</c:v>
                </c:pt>
                <c:pt idx="50">
                  <c:v>0.10300000000000001</c:v>
                </c:pt>
                <c:pt idx="51">
                  <c:v>0.10785424044924259</c:v>
                </c:pt>
                <c:pt idx="52">
                  <c:v>0.11293725420274807</c:v>
                </c:pt>
                <c:pt idx="53">
                  <c:v>0.11825982301417892</c:v>
                </c:pt>
                <c:pt idx="54">
                  <c:v>0.12383323676559349</c:v>
                </c:pt>
                <c:pt idx="55">
                  <c:v>0.12966931741479915</c:v>
                </c:pt>
                <c:pt idx="56">
                  <c:v>0.13578044407130999</c:v>
                </c:pt>
                <c:pt idx="57">
                  <c:v>0.14217957925409702</c:v>
                </c:pt>
                <c:pt idx="58">
                  <c:v>0.14888029638683051</c:v>
                </c:pt>
                <c:pt idx="59">
                  <c:v>0.1558968085889294</c:v>
                </c:pt>
                <c:pt idx="60">
                  <c:v>0.16324399882349458</c:v>
                </c:pt>
                <c:pt idx="61">
                  <c:v>0.17093745146606862</c:v>
                </c:pt>
                <c:pt idx="62">
                  <c:v>0.1789934853611857</c:v>
                </c:pt>
                <c:pt idx="63">
                  <c:v>0.18742918843682826</c:v>
                </c:pt>
                <c:pt idx="64">
                  <c:v>0.19626245395021438</c:v>
                </c:pt>
                <c:pt idx="65">
                  <c:v>0.20551201844179456</c:v>
                </c:pt>
                <c:pt idx="66">
                  <c:v>0.21519750147796599</c:v>
                </c:pt>
                <c:pt idx="67">
                  <c:v>0.22533944726680391</c:v>
                </c:pt>
                <c:pt idx="68">
                  <c:v>0.23595936823508057</c:v>
                </c:pt>
                <c:pt idx="69">
                  <c:v>0.24707979065900743</c:v>
                </c:pt>
                <c:pt idx="70">
                  <c:v>0.25872430244548655</c:v>
                </c:pt>
                <c:pt idx="71">
                  <c:v>0.27091760316522423</c:v>
                </c:pt>
                <c:pt idx="72">
                  <c:v>0.28368555644383098</c:v>
                </c:pt>
                <c:pt idx="73">
                  <c:v>0.29705524482204032</c:v>
                </c:pt>
                <c:pt idx="74">
                  <c:v>0.31105502720140754</c:v>
                </c:pt>
                <c:pt idx="75">
                  <c:v>0.32571459899734301</c:v>
                </c:pt>
                <c:pt idx="76">
                  <c:v>0.34106505512706881</c:v>
                </c:pt>
                <c:pt idx="77">
                  <c:v>0.35713895596610756</c:v>
                </c:pt>
                <c:pt idx="78">
                  <c:v>0.3739703964132044</c:v>
                </c:pt>
                <c:pt idx="79">
                  <c:v>0.39159507821017797</c:v>
                </c:pt>
                <c:pt idx="80">
                  <c:v>0.41005038567010221</c:v>
                </c:pt>
                <c:pt idx="81">
                  <c:v>0.42937546497444545</c:v>
                </c:pt>
                <c:pt idx="82">
                  <c:v>0.44961130720737086</c:v>
                </c:pt>
                <c:pt idx="83">
                  <c:v>0.47080083530332106</c:v>
                </c:pt>
                <c:pt idx="84">
                  <c:v>0.49298899509231742</c:v>
                </c:pt>
                <c:pt idx="85">
                  <c:v>0.5162228506360903</c:v>
                </c:pt>
                <c:pt idx="86">
                  <c:v>0.54055168405726561</c:v>
                </c:pt>
                <c:pt idx="87">
                  <c:v>0.56602710007335311</c:v>
                </c:pt>
                <c:pt idx="88">
                  <c:v>0.5927031354572716</c:v>
                </c:pt>
                <c:pt idx="89">
                  <c:v>0.62063637365658819</c:v>
                </c:pt>
                <c:pt idx="90">
                  <c:v>0.64988606481459898</c:v>
                </c:pt>
                <c:pt idx="91">
                  <c:v>0.68051425144782374</c:v>
                </c:pt>
                <c:pt idx="92">
                  <c:v>0.71258590004650457</c:v>
                </c:pt>
                <c:pt idx="93">
                  <c:v>0.74616903887723962</c:v>
                </c:pt>
                <c:pt idx="94">
                  <c:v>0.78133490228005908</c:v>
                </c:pt>
                <c:pt idx="95">
                  <c:v>0.81815808176600946</c:v>
                </c:pt>
                <c:pt idx="96">
                  <c:v>0.85671668423575098</c:v>
                </c:pt>
                <c:pt idx="97">
                  <c:v>0.89709249765476262</c:v>
                </c:pt>
                <c:pt idx="98">
                  <c:v>0.93937116453658676</c:v>
                </c:pt>
                <c:pt idx="99">
                  <c:v>0.9836423636020788</c:v>
                </c:pt>
                <c:pt idx="100">
                  <c:v>1.03</c:v>
                </c:pt>
                <c:pt idx="101">
                  <c:v>1.0785424044924268</c:v>
                </c:pt>
                <c:pt idx="102">
                  <c:v>1.1293725420274805</c:v>
                </c:pt>
                <c:pt idx="103">
                  <c:v>1.1825982301417894</c:v>
                </c:pt>
                <c:pt idx="104">
                  <c:v>1.2383323676559352</c:v>
                </c:pt>
                <c:pt idx="105">
                  <c:v>1.2966931741479919</c:v>
                </c:pt>
                <c:pt idx="106">
                  <c:v>1.3578044407130994</c:v>
                </c:pt>
                <c:pt idx="107">
                  <c:v>1.421795792540971</c:v>
                </c:pt>
                <c:pt idx="108">
                  <c:v>1.4888029638683051</c:v>
                </c:pt>
                <c:pt idx="109">
                  <c:v>1.5589680858892943</c:v>
                </c:pt>
                <c:pt idx="110">
                  <c:v>1.6324399882349467</c:v>
                </c:pt>
                <c:pt idx="111">
                  <c:v>1.7093745146606869</c:v>
                </c:pt>
                <c:pt idx="112">
                  <c:v>1.7899348536118562</c:v>
                </c:pt>
                <c:pt idx="113">
                  <c:v>1.874291884368283</c:v>
                </c:pt>
                <c:pt idx="114">
                  <c:v>1.9626245395021447</c:v>
                </c:pt>
                <c:pt idx="115">
                  <c:v>2.0551201844179459</c:v>
                </c:pt>
                <c:pt idx="116">
                  <c:v>2.1519750147796604</c:v>
                </c:pt>
                <c:pt idx="117">
                  <c:v>2.2533944726680391</c:v>
                </c:pt>
                <c:pt idx="118">
                  <c:v>2.3595936823508064</c:v>
                </c:pt>
                <c:pt idx="119">
                  <c:v>2.4707979065900751</c:v>
                </c:pt>
                <c:pt idx="120">
                  <c:v>2.5872430244548679</c:v>
                </c:pt>
                <c:pt idx="121">
                  <c:v>2.7091760316522437</c:v>
                </c:pt>
                <c:pt idx="122">
                  <c:v>2.8368555644383115</c:v>
                </c:pt>
                <c:pt idx="123">
                  <c:v>2.970552448220404</c:v>
                </c:pt>
                <c:pt idx="124">
                  <c:v>3.1105502720140761</c:v>
                </c:pt>
                <c:pt idx="125">
                  <c:v>3.2571459899734312</c:v>
                </c:pt>
                <c:pt idx="126">
                  <c:v>3.4106505512706882</c:v>
                </c:pt>
                <c:pt idx="127">
                  <c:v>3.5713895596610765</c:v>
                </c:pt>
                <c:pt idx="128">
                  <c:v>3.7397039641320444</c:v>
                </c:pt>
                <c:pt idx="129">
                  <c:v>3.9159507821017803</c:v>
                </c:pt>
                <c:pt idx="130">
                  <c:v>4.1005038567010219</c:v>
                </c:pt>
                <c:pt idx="131">
                  <c:v>4.2937546497444545</c:v>
                </c:pt>
                <c:pt idx="132">
                  <c:v>4.496113072073709</c:v>
                </c:pt>
                <c:pt idx="133">
                  <c:v>4.7080083530332129</c:v>
                </c:pt>
                <c:pt idx="134">
                  <c:v>4.9298899509231751</c:v>
                </c:pt>
                <c:pt idx="135">
                  <c:v>5.1622285063609041</c:v>
                </c:pt>
                <c:pt idx="136">
                  <c:v>5.4055168405726572</c:v>
                </c:pt>
                <c:pt idx="137">
                  <c:v>5.6602710007335331</c:v>
                </c:pt>
                <c:pt idx="138">
                  <c:v>5.9270313545727165</c:v>
                </c:pt>
                <c:pt idx="139">
                  <c:v>6.2063637365658852</c:v>
                </c:pt>
                <c:pt idx="140">
                  <c:v>6.4988606481459907</c:v>
                </c:pt>
                <c:pt idx="141">
                  <c:v>6.8051425144782396</c:v>
                </c:pt>
                <c:pt idx="142">
                  <c:v>7.1258590004650468</c:v>
                </c:pt>
                <c:pt idx="143">
                  <c:v>7.4616903887723973</c:v>
                </c:pt>
                <c:pt idx="144">
                  <c:v>7.8133490228005922</c:v>
                </c:pt>
                <c:pt idx="145">
                  <c:v>8.1815808176600999</c:v>
                </c:pt>
                <c:pt idx="146">
                  <c:v>8.5671668423575102</c:v>
                </c:pt>
                <c:pt idx="147">
                  <c:v>8.9709249765476287</c:v>
                </c:pt>
                <c:pt idx="148">
                  <c:v>9.3937116453658707</c:v>
                </c:pt>
                <c:pt idx="149">
                  <c:v>9.8364236360207897</c:v>
                </c:pt>
                <c:pt idx="150">
                  <c:v>10.3</c:v>
                </c:pt>
                <c:pt idx="151">
                  <c:v>10.785424044924266</c:v>
                </c:pt>
                <c:pt idx="152">
                  <c:v>11.293725420274807</c:v>
                </c:pt>
                <c:pt idx="153">
                  <c:v>11.825982301417897</c:v>
                </c:pt>
                <c:pt idx="154">
                  <c:v>12.383323676559357</c:v>
                </c:pt>
                <c:pt idx="155">
                  <c:v>12.966931741479923</c:v>
                </c:pt>
                <c:pt idx="156">
                  <c:v>13.578044407130996</c:v>
                </c:pt>
                <c:pt idx="157">
                  <c:v>14.217957925409717</c:v>
                </c:pt>
                <c:pt idx="158">
                  <c:v>14.888029638683054</c:v>
                </c:pt>
                <c:pt idx="159">
                  <c:v>15.589680858892946</c:v>
                </c:pt>
                <c:pt idx="160">
                  <c:v>16.324399882349471</c:v>
                </c:pt>
                <c:pt idx="161">
                  <c:v>17.093745146606874</c:v>
                </c:pt>
                <c:pt idx="162">
                  <c:v>17.89934853611857</c:v>
                </c:pt>
                <c:pt idx="163">
                  <c:v>18.742918843682833</c:v>
                </c:pt>
                <c:pt idx="164">
                  <c:v>19.626245395021449</c:v>
                </c:pt>
                <c:pt idx="165">
                  <c:v>20.551201844179463</c:v>
                </c:pt>
                <c:pt idx="166">
                  <c:v>21.519750147796611</c:v>
                </c:pt>
                <c:pt idx="167">
                  <c:v>22.533944726680392</c:v>
                </c:pt>
                <c:pt idx="168">
                  <c:v>23.595936823508065</c:v>
                </c:pt>
                <c:pt idx="169">
                  <c:v>24.707979065900759</c:v>
                </c:pt>
                <c:pt idx="170">
                  <c:v>25.872430244548681</c:v>
                </c:pt>
                <c:pt idx="171">
                  <c:v>27.091760316522439</c:v>
                </c:pt>
                <c:pt idx="172">
                  <c:v>28.368555644383115</c:v>
                </c:pt>
                <c:pt idx="173">
                  <c:v>29.705524482204044</c:v>
                </c:pt>
                <c:pt idx="174">
                  <c:v>31.105502720140773</c:v>
                </c:pt>
                <c:pt idx="175">
                  <c:v>32.571459899734315</c:v>
                </c:pt>
                <c:pt idx="176">
                  <c:v>34.106505512706889</c:v>
                </c:pt>
                <c:pt idx="177">
                  <c:v>35.713895596610769</c:v>
                </c:pt>
                <c:pt idx="178">
                  <c:v>37.397039641320447</c:v>
                </c:pt>
                <c:pt idx="179">
                  <c:v>39.159507821017804</c:v>
                </c:pt>
                <c:pt idx="180">
                  <c:v>41.005038567010224</c:v>
                </c:pt>
                <c:pt idx="181">
                  <c:v>42.937546497444558</c:v>
                </c:pt>
                <c:pt idx="182">
                  <c:v>44.961130720737103</c:v>
                </c:pt>
                <c:pt idx="183">
                  <c:v>47.080083530332139</c:v>
                </c:pt>
                <c:pt idx="184">
                  <c:v>49.298899509231759</c:v>
                </c:pt>
                <c:pt idx="185">
                  <c:v>51.622285063609048</c:v>
                </c:pt>
                <c:pt idx="186">
                  <c:v>54.055168405726583</c:v>
                </c:pt>
                <c:pt idx="187">
                  <c:v>56.602710007335332</c:v>
                </c:pt>
                <c:pt idx="188">
                  <c:v>59.270313545727191</c:v>
                </c:pt>
                <c:pt idx="189">
                  <c:v>62.06363736565887</c:v>
                </c:pt>
                <c:pt idx="190">
                  <c:v>64.988606481459925</c:v>
                </c:pt>
                <c:pt idx="191">
                  <c:v>68.051425144782399</c:v>
                </c:pt>
                <c:pt idx="192">
                  <c:v>71.258590004650486</c:v>
                </c:pt>
                <c:pt idx="193">
                  <c:v>74.616903887724007</c:v>
                </c:pt>
                <c:pt idx="194">
                  <c:v>78.133490228005925</c:v>
                </c:pt>
                <c:pt idx="195">
                  <c:v>81.815808176601024</c:v>
                </c:pt>
                <c:pt idx="196">
                  <c:v>85.671668423575127</c:v>
                </c:pt>
                <c:pt idx="197">
                  <c:v>89.709249765476301</c:v>
                </c:pt>
                <c:pt idx="198">
                  <c:v>93.937116453658717</c:v>
                </c:pt>
                <c:pt idx="199">
                  <c:v>98.364236360207897</c:v>
                </c:pt>
                <c:pt idx="200">
                  <c:v>103</c:v>
                </c:pt>
                <c:pt idx="201">
                  <c:v>107.85424044924271</c:v>
                </c:pt>
                <c:pt idx="202">
                  <c:v>112.93725420274809</c:v>
                </c:pt>
                <c:pt idx="203">
                  <c:v>118.25982301417901</c:v>
                </c:pt>
                <c:pt idx="204">
                  <c:v>123.83323676559357</c:v>
                </c:pt>
                <c:pt idx="205">
                  <c:v>129.66931741479931</c:v>
                </c:pt>
                <c:pt idx="206">
                  <c:v>135.78044407131</c:v>
                </c:pt>
                <c:pt idx="207">
                  <c:v>142.17957925409718</c:v>
                </c:pt>
                <c:pt idx="208">
                  <c:v>148.88029638683054</c:v>
                </c:pt>
                <c:pt idx="209">
                  <c:v>155.8968085889295</c:v>
                </c:pt>
                <c:pt idx="210">
                  <c:v>163.24399882349471</c:v>
                </c:pt>
                <c:pt idx="211">
                  <c:v>170.93745146606884</c:v>
                </c:pt>
                <c:pt idx="212">
                  <c:v>178.99348536118569</c:v>
                </c:pt>
                <c:pt idx="213">
                  <c:v>187.42918843682838</c:v>
                </c:pt>
                <c:pt idx="214">
                  <c:v>196.26245395021454</c:v>
                </c:pt>
                <c:pt idx="215">
                  <c:v>205.51201844179471</c:v>
                </c:pt>
                <c:pt idx="216">
                  <c:v>215.19750147796614</c:v>
                </c:pt>
                <c:pt idx="217">
                  <c:v>225.33944726680406</c:v>
                </c:pt>
                <c:pt idx="218">
                  <c:v>235.95936823508072</c:v>
                </c:pt>
                <c:pt idx="219">
                  <c:v>247.07979065900756</c:v>
                </c:pt>
                <c:pt idx="220">
                  <c:v>258.72430244548673</c:v>
                </c:pt>
                <c:pt idx="221">
                  <c:v>270.91760316522442</c:v>
                </c:pt>
                <c:pt idx="222">
                  <c:v>283.68555644383116</c:v>
                </c:pt>
                <c:pt idx="223">
                  <c:v>297.05524482204049</c:v>
                </c:pt>
                <c:pt idx="224">
                  <c:v>311.05502720140771</c:v>
                </c:pt>
                <c:pt idx="225">
                  <c:v>325.71459899734322</c:v>
                </c:pt>
                <c:pt idx="226">
                  <c:v>341.06505512706906</c:v>
                </c:pt>
                <c:pt idx="227">
                  <c:v>357.1389559661078</c:v>
                </c:pt>
                <c:pt idx="228">
                  <c:v>373.97039641320464</c:v>
                </c:pt>
                <c:pt idx="229">
                  <c:v>391.59507821017826</c:v>
                </c:pt>
                <c:pt idx="230">
                  <c:v>410.05038567010251</c:v>
                </c:pt>
                <c:pt idx="231">
                  <c:v>429.37546497444572</c:v>
                </c:pt>
                <c:pt idx="232">
                  <c:v>449.61130720737111</c:v>
                </c:pt>
                <c:pt idx="233">
                  <c:v>470.80083530332138</c:v>
                </c:pt>
                <c:pt idx="234">
                  <c:v>492.98899509231774</c:v>
                </c:pt>
                <c:pt idx="235">
                  <c:v>516.22285063609058</c:v>
                </c:pt>
                <c:pt idx="236">
                  <c:v>540.55168405726613</c:v>
                </c:pt>
                <c:pt idx="237">
                  <c:v>566.02710007335349</c:v>
                </c:pt>
                <c:pt idx="238">
                  <c:v>592.70313545727174</c:v>
                </c:pt>
                <c:pt idx="239">
                  <c:v>620.63637365658906</c:v>
                </c:pt>
                <c:pt idx="240">
                  <c:v>649.88606481459954</c:v>
                </c:pt>
                <c:pt idx="241">
                  <c:v>680.51425144782422</c:v>
                </c:pt>
                <c:pt idx="242">
                  <c:v>712.58590004650466</c:v>
                </c:pt>
                <c:pt idx="243">
                  <c:v>746.1690388772405</c:v>
                </c:pt>
                <c:pt idx="244">
                  <c:v>781.33490228005917</c:v>
                </c:pt>
                <c:pt idx="245">
                  <c:v>818.15808176601047</c:v>
                </c:pt>
                <c:pt idx="246">
                  <c:v>856.71668423575147</c:v>
                </c:pt>
                <c:pt idx="247">
                  <c:v>897.09249765476318</c:v>
                </c:pt>
                <c:pt idx="248">
                  <c:v>939.37116453658712</c:v>
                </c:pt>
                <c:pt idx="249">
                  <c:v>983.64236360207974</c:v>
                </c:pt>
                <c:pt idx="250">
                  <c:v>1030</c:v>
                </c:pt>
                <c:pt idx="251">
                  <c:v>1078.5424044924268</c:v>
                </c:pt>
                <c:pt idx="252">
                  <c:v>1129.3725420274818</c:v>
                </c:pt>
                <c:pt idx="253">
                  <c:v>1182.5982301417901</c:v>
                </c:pt>
                <c:pt idx="254">
                  <c:v>1238.332367655936</c:v>
                </c:pt>
                <c:pt idx="255">
                  <c:v>1296.6931741479927</c:v>
                </c:pt>
                <c:pt idx="256">
                  <c:v>1357.8044407131008</c:v>
                </c:pt>
                <c:pt idx="257">
                  <c:v>1421.7957925409728</c:v>
                </c:pt>
                <c:pt idx="258">
                  <c:v>1488.8029638683065</c:v>
                </c:pt>
                <c:pt idx="259">
                  <c:v>1558.9680858892955</c:v>
                </c:pt>
                <c:pt idx="260">
                  <c:v>1632.4399882349489</c:v>
                </c:pt>
                <c:pt idx="261">
                  <c:v>1709.3745146606891</c:v>
                </c:pt>
                <c:pt idx="262">
                  <c:v>1789.9348536118582</c:v>
                </c:pt>
                <c:pt idx="263">
                  <c:v>1874.2918843682826</c:v>
                </c:pt>
                <c:pt idx="264">
                  <c:v>1962.6245395021456</c:v>
                </c:pt>
                <c:pt idx="265">
                  <c:v>2055.1201844179468</c:v>
                </c:pt>
                <c:pt idx="266">
                  <c:v>2151.9750147796608</c:v>
                </c:pt>
                <c:pt idx="267">
                  <c:v>2253.3944726680393</c:v>
                </c:pt>
                <c:pt idx="268">
                  <c:v>2359.5936823508077</c:v>
                </c:pt>
                <c:pt idx="269">
                  <c:v>2470.7979065900763</c:v>
                </c:pt>
                <c:pt idx="270">
                  <c:v>2587.2430244548682</c:v>
                </c:pt>
                <c:pt idx="271">
                  <c:v>2709.1760316522432</c:v>
                </c:pt>
                <c:pt idx="272">
                  <c:v>2836.8555644383136</c:v>
                </c:pt>
                <c:pt idx="273">
                  <c:v>2970.5524482204055</c:v>
                </c:pt>
                <c:pt idx="274">
                  <c:v>3110.5502720140776</c:v>
                </c:pt>
                <c:pt idx="275">
                  <c:v>3257.1459899734341</c:v>
                </c:pt>
                <c:pt idx="276">
                  <c:v>3410.6505512706913</c:v>
                </c:pt>
                <c:pt idx="277">
                  <c:v>3571.3895596610782</c:v>
                </c:pt>
                <c:pt idx="278">
                  <c:v>3739.7039641320457</c:v>
                </c:pt>
                <c:pt idx="279">
                  <c:v>3915.9507821017851</c:v>
                </c:pt>
                <c:pt idx="280">
                  <c:v>4100.5038567010261</c:v>
                </c:pt>
                <c:pt idx="281">
                  <c:v>4293.7546497444582</c:v>
                </c:pt>
                <c:pt idx="282">
                  <c:v>4496.1130720737119</c:v>
                </c:pt>
                <c:pt idx="283">
                  <c:v>4708.0083530332195</c:v>
                </c:pt>
                <c:pt idx="284">
                  <c:v>4929.8899509231805</c:v>
                </c:pt>
                <c:pt idx="285">
                  <c:v>5162.2285063609088</c:v>
                </c:pt>
                <c:pt idx="286">
                  <c:v>5405.5168405726617</c:v>
                </c:pt>
                <c:pt idx="287">
                  <c:v>5660.2710007335418</c:v>
                </c:pt>
                <c:pt idx="288">
                  <c:v>5927.0313545727186</c:v>
                </c:pt>
                <c:pt idx="289">
                  <c:v>6206.3637365658851</c:v>
                </c:pt>
                <c:pt idx="290">
                  <c:v>6498.860648145991</c:v>
                </c:pt>
                <c:pt idx="291">
                  <c:v>6805.1425144782434</c:v>
                </c:pt>
                <c:pt idx="292">
                  <c:v>7125.8590004650487</c:v>
                </c:pt>
                <c:pt idx="293">
                  <c:v>7461.6903887724002</c:v>
                </c:pt>
                <c:pt idx="294">
                  <c:v>7813.349022800593</c:v>
                </c:pt>
                <c:pt idx="295">
                  <c:v>8181.5808176601058</c:v>
                </c:pt>
                <c:pt idx="296">
                  <c:v>8567.1668423575156</c:v>
                </c:pt>
                <c:pt idx="297">
                  <c:v>8970.9249765476343</c:v>
                </c:pt>
                <c:pt idx="298">
                  <c:v>9393.7116453658728</c:v>
                </c:pt>
                <c:pt idx="299">
                  <c:v>9836.4236360207997</c:v>
                </c:pt>
                <c:pt idx="300">
                  <c:v>10300</c:v>
                </c:pt>
              </c:numCache>
            </c:numRef>
          </c:xVal>
          <c:yVal>
            <c:numRef>
              <c:f>Sum!$D$2:$D$302</c:f>
              <c:numCache>
                <c:formatCode>General</c:formatCode>
                <c:ptCount val="301"/>
                <c:pt idx="0">
                  <c:v>-59.650024858000357</c:v>
                </c:pt>
                <c:pt idx="1">
                  <c:v>-59.245494908121081</c:v>
                </c:pt>
                <c:pt idx="2">
                  <c:v>-58.840533343765642</c:v>
                </c:pt>
                <c:pt idx="3">
                  <c:v>-58.435099606285739</c:v>
                </c:pt>
                <c:pt idx="4">
                  <c:v>-58.029149438324957</c:v>
                </c:pt>
                <c:pt idx="5">
                  <c:v>-57.622634568863518</c:v>
                </c:pt>
                <c:pt idx="6">
                  <c:v>-57.215502375899099</c:v>
                </c:pt>
                <c:pt idx="7">
                  <c:v>-56.807695526090455</c:v>
                </c:pt>
                <c:pt idx="8">
                  <c:v>-56.399151590885111</c:v>
                </c:pt>
                <c:pt idx="9">
                  <c:v>-55.989802638906383</c:v>
                </c:pt>
                <c:pt idx="10">
                  <c:v>-55.579574804696826</c:v>
                </c:pt>
                <c:pt idx="11">
                  <c:v>-55.168387834318075</c:v>
                </c:pt>
                <c:pt idx="12">
                  <c:v>-54.756154608809112</c:v>
                </c:pt>
                <c:pt idx="13">
                  <c:v>-54.342780647100405</c:v>
                </c:pt>
                <c:pt idx="14">
                  <c:v>-53.928163590715236</c:v>
                </c:pt>
                <c:pt idx="15">
                  <c:v>-53.512192673443849</c:v>
                </c:pt>
                <c:pt idx="16">
                  <c:v>-53.094748180181227</c:v>
                </c:pt>
                <c:pt idx="17">
                  <c:v>-52.675700900289058</c:v>
                </c:pt>
                <c:pt idx="18">
                  <c:v>-52.25491158217195</c:v>
                </c:pt>
                <c:pt idx="19">
                  <c:v>-51.832230397264695</c:v>
                </c:pt>
                <c:pt idx="20">
                  <c:v>-51.407496423304991</c:v>
                </c:pt>
                <c:pt idx="21">
                  <c:v>-50.98053715860118</c:v>
                </c:pt>
                <c:pt idx="22">
                  <c:v>-50.551168080985427</c:v>
                </c:pt>
                <c:pt idx="23">
                  <c:v>-50.119192267224399</c:v>
                </c:pt>
                <c:pt idx="24">
                  <c:v>-49.684400090801837</c:v>
                </c:pt>
                <c:pt idx="25">
                  <c:v>-49.246569018107444</c:v>
                </c:pt>
                <c:pt idx="26">
                  <c:v>-48.805463525084321</c:v>
                </c:pt>
                <c:pt idx="27">
                  <c:v>-48.360835158168399</c:v>
                </c:pt>
                <c:pt idx="28">
                  <c:v>-47.912422764768927</c:v>
                </c:pt>
                <c:pt idx="29">
                  <c:v>-47.45995291940396</c:v>
                </c:pt>
                <c:pt idx="30">
                  <c:v>-47.003140571739998</c:v>
                </c:pt>
                <c:pt idx="31">
                  <c:v>-46.541689941972031</c:v>
                </c:pt>
                <c:pt idx="32">
                  <c:v>-46.075295687005053</c:v>
                </c:pt>
                <c:pt idx="33">
                  <c:v>-45.603644357566836</c:v>
                </c:pt>
                <c:pt idx="34">
                  <c:v>-45.126416161490361</c:v>
                </c:pt>
                <c:pt idx="35">
                  <c:v>-44.643287041854798</c:v>
                </c:pt>
                <c:pt idx="36">
                  <c:v>-44.153931070384665</c:v>
                </c:pt>
                <c:pt idx="37">
                  <c:v>-43.658023146551628</c:v>
                </c:pt>
                <c:pt idx="38">
                  <c:v>-43.155241981364959</c:v>
                </c:pt>
                <c:pt idx="39">
                  <c:v>-42.645273332221173</c:v>
                </c:pt>
                <c:pt idx="40">
                  <c:v>-42.127813441884982</c:v>
                </c:pt>
                <c:pt idx="41">
                  <c:v>-41.602572621350468</c:v>
                </c:pt>
                <c:pt idx="42">
                  <c:v>-41.069278903756647</c:v>
                </c:pt>
                <c:pt idx="43">
                  <c:v>-40.527681685578933</c:v>
                </c:pt>
                <c:pt idx="44">
                  <c:v>-39.977555262899763</c:v>
                </c:pt>
                <c:pt idx="45">
                  <c:v>-39.418702165522554</c:v>
                </c:pt>
                <c:pt idx="46">
                  <c:v>-38.850956190770987</c:v>
                </c:pt>
                <c:pt idx="47">
                  <c:v>-38.274185042500619</c:v>
                </c:pt>
                <c:pt idx="48">
                  <c:v>-37.688292489349664</c:v>
                </c:pt>
                <c:pt idx="49">
                  <c:v>-37.093219969414491</c:v>
                </c:pt>
                <c:pt idx="50">
                  <c:v>-36.48894758583311</c:v>
                </c:pt>
                <c:pt idx="51">
                  <c:v>-35.875494458322684</c:v>
                </c:pt>
                <c:pt idx="52">
                  <c:v>-35.252918418380929</c:v>
                </c:pt>
                <c:pt idx="53">
                  <c:v>-34.621315059275673</c:v>
                </c:pt>
                <c:pt idx="54">
                  <c:v>-33.980816174687341</c:v>
                </c:pt>
                <c:pt idx="55">
                  <c:v>-33.331587640579727</c:v>
                </c:pt>
                <c:pt idx="56">
                  <c:v>-32.673826812377037</c:v>
                </c:pt>
                <c:pt idx="57">
                  <c:v>-32.007759522926335</c:v>
                </c:pt>
                <c:pt idx="58">
                  <c:v>-31.333636775490103</c:v>
                </c:pt>
                <c:pt idx="59">
                  <c:v>-30.651731229961179</c:v>
                </c:pt>
                <c:pt idx="60">
                  <c:v>-29.962333579814249</c:v>
                </c:pt>
                <c:pt idx="61">
                  <c:v>-29.265748912482934</c:v>
                </c:pt>
                <c:pt idx="62">
                  <c:v>-28.562293137604613</c:v>
                </c:pt>
                <c:pt idx="63">
                  <c:v>-27.852289556740146</c:v>
                </c:pt>
                <c:pt idx="64">
                  <c:v>-27.136065635683273</c:v>
                </c:pt>
                <c:pt idx="65">
                  <c:v>-26.41395002717649</c:v>
                </c:pt>
                <c:pt idx="66">
                  <c:v>-25.686269878546579</c:v>
                </c:pt>
                <c:pt idx="67">
                  <c:v>-24.953348446123243</c:v>
                </c:pt>
                <c:pt idx="68">
                  <c:v>-24.215503026784617</c:v>
                </c:pt>
                <c:pt idx="69">
                  <c:v>-23.473043206951012</c:v>
                </c:pt>
                <c:pt idx="70">
                  <c:v>-22.726269420985652</c:v>
                </c:pt>
                <c:pt idx="71">
                  <c:v>-21.97547180433617</c:v>
                </c:pt>
                <c:pt idx="72">
                  <c:v>-21.220929321797897</c:v>
                </c:pt>
                <c:pt idx="73">
                  <c:v>-20.462909147890276</c:v>
                </c:pt>
                <c:pt idx="74">
                  <c:v>-19.701666274325625</c:v>
                </c:pt>
                <c:pt idx="75">
                  <c:v>-18.93744331870419</c:v>
                </c:pt>
                <c:pt idx="76">
                  <c:v>-18.170470508694727</c:v>
                </c:pt>
                <c:pt idx="77">
                  <c:v>-17.400965816823707</c:v>
                </c:pt>
                <c:pt idx="78">
                  <c:v>-16.629135222424942</c:v>
                </c:pt>
                <c:pt idx="79">
                  <c:v>-15.855173079109147</c:v>
                </c:pt>
                <c:pt idx="80">
                  <c:v>-15.079262568164497</c:v>
                </c:pt>
                <c:pt idx="81">
                  <c:v>-14.30157622046662</c:v>
                </c:pt>
                <c:pt idx="82">
                  <c:v>-13.522276491668881</c:v>
                </c:pt>
                <c:pt idx="83">
                  <c:v>-12.741516377590415</c:v>
                </c:pt>
                <c:pt idx="84">
                  <c:v>-11.959440058761295</c:v>
                </c:pt>
                <c:pt idx="85">
                  <c:v>-11.176183564998276</c:v>
                </c:pt>
                <c:pt idx="86">
                  <c:v>-10.391875452633746</c:v>
                </c:pt>
                <c:pt idx="87">
                  <c:v>-9.6066374886135222</c:v>
                </c:pt>
                <c:pt idx="88">
                  <c:v>-8.8205853370937213</c:v>
                </c:pt>
                <c:pt idx="89">
                  <c:v>-8.0338292454251459</c:v>
                </c:pt>
                <c:pt idx="90">
                  <c:v>-7.2464747275123145</c:v>
                </c:pt>
                <c:pt idx="91">
                  <c:v>-6.4586232434895763</c:v>
                </c:pt>
                <c:pt idx="92">
                  <c:v>-5.6703728754779839</c:v>
                </c:pt>
                <c:pt idx="93">
                  <c:v>-4.8818189998923458</c:v>
                </c:pt>
                <c:pt idx="94">
                  <c:v>-4.0930549573622699</c:v>
                </c:pt>
                <c:pt idx="95">
                  <c:v>-3.3041727218344121</c:v>
                </c:pt>
                <c:pt idx="96">
                  <c:v>-2.5152635708402364</c:v>
                </c:pt>
                <c:pt idx="97">
                  <c:v>-1.7264187592582232</c:v>
                </c:pt>
                <c:pt idx="98">
                  <c:v>-0.937730199173469</c:v>
                </c:pt>
                <c:pt idx="99">
                  <c:v>-0.14929114865553217</c:v>
                </c:pt>
                <c:pt idx="100">
                  <c:v>0.638803087568796</c:v>
                </c:pt>
                <c:pt idx="101">
                  <c:v>1.4264544424660741</c:v>
                </c:pt>
                <c:pt idx="102">
                  <c:v>2.2135613529419444</c:v>
                </c:pt>
                <c:pt idx="103">
                  <c:v>3.0000180048609302</c:v>
                </c:pt>
                <c:pt idx="104">
                  <c:v>3.7857135537899822</c:v>
                </c:pt>
                <c:pt idx="105">
                  <c:v>4.5705313185528738</c:v>
                </c:pt>
                <c:pt idx="106">
                  <c:v>5.3543479448964746</c:v>
                </c:pt>
                <c:pt idx="107">
                  <c:v>6.1370325368721552</c:v>
                </c:pt>
                <c:pt idx="108">
                  <c:v>6.9184457539382791</c:v>
                </c:pt>
                <c:pt idx="109">
                  <c:v>7.6984388723121242</c:v>
                </c:pt>
                <c:pt idx="110">
                  <c:v>8.4768528097584621</c:v>
                </c:pt>
                <c:pt idx="111">
                  <c:v>9.2535171138177716</c:v>
                </c:pt>
                <c:pt idx="112">
                  <c:v>10.028248914474766</c:v>
                </c:pt>
                <c:pt idx="113">
                  <c:v>10.800851843480068</c:v>
                </c:pt>
                <c:pt idx="114">
                  <c:v>11.571114923969787</c:v>
                </c:pt>
                <c:pt idx="115">
                  <c:v>12.338811435735941</c:v>
                </c:pt>
                <c:pt idx="116">
                  <c:v>13.103697763490672</c:v>
                </c:pt>
                <c:pt idx="117">
                  <c:v>13.86551223776285</c:v>
                </c:pt>
                <c:pt idx="118">
                  <c:v>14.623973980704106</c:v>
                </c:pt>
                <c:pt idx="119">
                  <c:v>15.378781772048924</c:v>
                </c:pt>
                <c:pt idx="120">
                  <c:v>16.129612953791646</c:v>
                </c:pt>
                <c:pt idx="121">
                  <c:v>16.87612239578084</c:v>
                </c:pt>
                <c:pt idx="122">
                  <c:v>17.617941548364499</c:v>
                </c:pt>
                <c:pt idx="123">
                  <c:v>18.354677612376882</c:v>
                </c:pt>
                <c:pt idx="124">
                  <c:v>19.085912861048868</c:v>
                </c:pt>
                <c:pt idx="125">
                  <c:v>19.811204152716975</c:v>
                </c:pt>
                <c:pt idx="126">
                  <c:v>20.530082677321552</c:v>
                </c:pt>
                <c:pt idx="127">
                  <c:v>21.24205398339781</c:v>
                </c:pt>
                <c:pt idx="128">
                  <c:v>21.94659833529202</c:v>
                </c:pt>
                <c:pt idx="129">
                  <c:v>22.643171452359418</c:v>
                </c:pt>
                <c:pt idx="130">
                  <c:v>23.331205682530236</c:v>
                </c:pt>
                <c:pt idx="131">
                  <c:v>24.01011166146515</c:v>
                </c:pt>
                <c:pt idx="132">
                  <c:v>24.679280505128965</c:v>
                </c:pt>
                <c:pt idx="133">
                  <c:v>25.338086577568184</c:v>
                </c:pt>
                <c:pt idx="134">
                  <c:v>25.985890866618714</c:v>
                </c:pt>
                <c:pt idx="135">
                  <c:v>26.622044987901177</c:v>
                </c:pt>
                <c:pt idx="136">
                  <c:v>27.245895821649871</c:v>
                </c:pt>
                <c:pt idx="137">
                  <c:v>27.856790767711367</c:v>
                </c:pt>
                <c:pt idx="138">
                  <c:v>28.454083581747984</c:v>
                </c:pt>
                <c:pt idx="139">
                  <c:v>29.03714073088079</c:v>
                </c:pt>
                <c:pt idx="140">
                  <c:v>29.60534818061079</c:v>
                </c:pt>
                <c:pt idx="141">
                  <c:v>30.158118498102937</c:v>
                </c:pt>
                <c:pt idx="142">
                  <c:v>30.694898131301006</c:v>
                </c:pt>
                <c:pt idx="143">
                  <c:v>31.215174700588932</c:v>
                </c:pt>
                <c:pt idx="144">
                  <c:v>31.718484121626652</c:v>
                </c:pt>
                <c:pt idx="145">
                  <c:v>32.20441736632074</c:v>
                </c:pt>
                <c:pt idx="146">
                  <c:v>32.672626665161246</c:v>
                </c:pt>
                <c:pt idx="147">
                  <c:v>33.122830959478698</c:v>
                </c:pt>
                <c:pt idx="148">
                  <c:v>33.554820427090938</c:v>
                </c:pt>
                <c:pt idx="149">
                  <c:v>33.96845992917585</c:v>
                </c:pt>
                <c:pt idx="150">
                  <c:v>34.363691259134335</c:v>
                </c:pt>
                <c:pt idx="151">
                  <c:v>34.740534114096221</c:v>
                </c:pt>
                <c:pt idx="152">
                  <c:v>35.09908575435734</c:v>
                </c:pt>
                <c:pt idx="153">
                  <c:v>35.439519362772558</c:v>
                </c:pt>
                <c:pt idx="154">
                  <c:v>35.762081162135182</c:v>
                </c:pt>
                <c:pt idx="155">
                  <c:v>36.067086391076522</c:v>
                </c:pt>
                <c:pt idx="156">
                  <c:v>36.354914275574544</c:v>
                </c:pt>
                <c:pt idx="157">
                  <c:v>36.626002161842791</c:v>
                </c:pt>
                <c:pt idx="158">
                  <c:v>36.880838995946547</c:v>
                </c:pt>
                <c:pt idx="159">
                  <c:v>37.11995834544976</c:v>
                </c:pt>
                <c:pt idx="160">
                  <c:v>37.343931158958668</c:v>
                </c:pt>
                <c:pt idx="161">
                  <c:v>37.5533584514503</c:v>
                </c:pt>
                <c:pt idx="162">
                  <c:v>37.748864088094855</c:v>
                </c:pt>
                <c:pt idx="163">
                  <c:v>37.931087818566404</c:v>
                </c:pt>
                <c:pt idx="164">
                  <c:v>38.10067868938539</c:v>
                </c:pt>
                <c:pt idx="165">
                  <c:v>38.258288935425085</c:v>
                </c:pt>
                <c:pt idx="166">
                  <c:v>38.404568424967771</c:v>
                </c:pt>
                <c:pt idx="167">
                  <c:v>38.540159706977754</c:v>
                </c:pt>
                <c:pt idx="168">
                  <c:v>38.665693685642218</c:v>
                </c:pt>
                <c:pt idx="169">
                  <c:v>38.781785926454241</c:v>
                </c:pt>
                <c:pt idx="170">
                  <c:v>38.889033580618005</c:v>
                </c:pt>
                <c:pt idx="171">
                  <c:v>38.988012900509709</c:v>
                </c:pt>
                <c:pt idx="172">
                  <c:v>39.079277308277753</c:v>
                </c:pt>
                <c:pt idx="173">
                  <c:v>39.163355972182117</c:v>
                </c:pt>
                <c:pt idx="174">
                  <c:v>39.240752840633149</c:v>
                </c:pt>
                <c:pt idx="175">
                  <c:v>39.31194608167624</c:v>
                </c:pt>
                <c:pt idx="176">
                  <c:v>39.377387875466709</c:v>
                </c:pt>
                <c:pt idx="177">
                  <c:v>39.437504508655493</c:v>
                </c:pt>
                <c:pt idx="178">
                  <c:v>39.492696722172347</c:v>
                </c:pt>
                <c:pt idx="179">
                  <c:v>39.543340267291448</c:v>
                </c:pt>
                <c:pt idx="180">
                  <c:v>39.589786628793902</c:v>
                </c:pt>
                <c:pt idx="181">
                  <c:v>39.632363878248583</c:v>
                </c:pt>
                <c:pt idx="182">
                  <c:v>39.671377624719234</c:v>
                </c:pt>
                <c:pt idx="183">
                  <c:v>39.707112034414735</c:v>
                </c:pt>
                <c:pt idx="184">
                  <c:v>39.739830894820848</c:v>
                </c:pt>
                <c:pt idx="185">
                  <c:v>39.769778702608519</c:v>
                </c:pt>
                <c:pt idx="186">
                  <c:v>39.797181758054464</c:v>
                </c:pt>
                <c:pt idx="187">
                  <c:v>39.82224925181584</c:v>
                </c:pt>
                <c:pt idx="188">
                  <c:v>39.84517433265794</c:v>
                </c:pt>
                <c:pt idx="189">
                  <c:v>39.86613514715453</c:v>
                </c:pt>
                <c:pt idx="190">
                  <c:v>39.885295844476651</c:v>
                </c:pt>
                <c:pt idx="191">
                  <c:v>39.902807541180771</c:v>
                </c:pt>
                <c:pt idx="192">
                  <c:v>39.918809242426185</c:v>
                </c:pt>
                <c:pt idx="193">
                  <c:v>39.933428717322258</c:v>
                </c:pt>
                <c:pt idx="194">
                  <c:v>39.946783327155721</c:v>
                </c:pt>
                <c:pt idx="195">
                  <c:v>39.958980806103241</c:v>
                </c:pt>
                <c:pt idx="196">
                  <c:v>39.970119994721685</c:v>
                </c:pt>
                <c:pt idx="197">
                  <c:v>39.980291527050163</c:v>
                </c:pt>
                <c:pt idx="198">
                  <c:v>39.989578472575808</c:v>
                </c:pt>
                <c:pt idx="199">
                  <c:v>39.998056934629652</c:v>
                </c:pt>
                <c:pt idx="200">
                  <c:v>40.005796607005536</c:v>
                </c:pt>
                <c:pt idx="201">
                  <c:v>40.012861290749612</c:v>
                </c:pt>
                <c:pt idx="202">
                  <c:v>40.019309373163914</c:v>
                </c:pt>
                <c:pt idx="203">
                  <c:v>40.025194271115687</c:v>
                </c:pt>
                <c:pt idx="204">
                  <c:v>40.03056484075212</c:v>
                </c:pt>
                <c:pt idx="205">
                  <c:v>40.035465755700677</c:v>
                </c:pt>
                <c:pt idx="206">
                  <c:v>40.039937855793553</c:v>
                </c:pt>
                <c:pt idx="207">
                  <c:v>40.044018468287007</c:v>
                </c:pt>
                <c:pt idx="208">
                  <c:v>40.047741703479439</c:v>
                </c:pt>
                <c:pt idx="209">
                  <c:v>40.051138726543414</c:v>
                </c:pt>
                <c:pt idx="210">
                  <c:v>40.054238007298729</c:v>
                </c:pt>
                <c:pt idx="211">
                  <c:v>40.057065549562289</c:v>
                </c:pt>
                <c:pt idx="212">
                  <c:v>40.059645101616056</c:v>
                </c:pt>
                <c:pt idx="213">
                  <c:v>40.061998349237882</c:v>
                </c:pt>
                <c:pt idx="214">
                  <c:v>40.064145092653447</c:v>
                </c:pt>
                <c:pt idx="215">
                  <c:v>40.066103408671637</c:v>
                </c:pt>
                <c:pt idx="216">
                  <c:v>40.067889799183135</c:v>
                </c:pt>
                <c:pt idx="217">
                  <c:v>40.069519327117433</c:v>
                </c:pt>
                <c:pt idx="218">
                  <c:v>40.07100574087417</c:v>
                </c:pt>
                <c:pt idx="219">
                  <c:v>40.072361588171269</c:v>
                </c:pt>
                <c:pt idx="220">
                  <c:v>40.07359832017822</c:v>
                </c:pt>
                <c:pt idx="221">
                  <c:v>40.074726386740991</c:v>
                </c:pt>
                <c:pt idx="222">
                  <c:v>40.075755323438592</c:v>
                </c:pt>
                <c:pt idx="223">
                  <c:v>40.076693831155183</c:v>
                </c:pt>
                <c:pt idx="224">
                  <c:v>40.077549848797375</c:v>
                </c:pt>
                <c:pt idx="225">
                  <c:v>40.078330619734558</c:v>
                </c:pt>
                <c:pt idx="226">
                  <c:v>40.079042752495454</c:v>
                </c:pt>
                <c:pt idx="227">
                  <c:v>40.079692276207204</c:v>
                </c:pt>
                <c:pt idx="228">
                  <c:v>40.080284691228172</c:v>
                </c:pt>
                <c:pt idx="229">
                  <c:v>40.080825015383226</c:v>
                </c:pt>
                <c:pt idx="230">
                  <c:v>40.081317826179891</c:v>
                </c:pt>
                <c:pt idx="231">
                  <c:v>40.081767299350368</c:v>
                </c:pt>
                <c:pt idx="232">
                  <c:v>40.082177244036188</c:v>
                </c:pt>
                <c:pt idx="233">
                  <c:v>40.082551134904826</c:v>
                </c:pt>
                <c:pt idx="234">
                  <c:v>40.082892141464256</c:v>
                </c:pt>
                <c:pt idx="235">
                  <c:v>40.083203154816971</c:v>
                </c:pt>
                <c:pt idx="236">
                  <c:v>40.083486812076828</c:v>
                </c:pt>
                <c:pt idx="237">
                  <c:v>40.083745518650183</c:v>
                </c:pt>
                <c:pt idx="238">
                  <c:v>40.083981468568503</c:v>
                </c:pt>
                <c:pt idx="239">
                  <c:v>40.084196663040693</c:v>
                </c:pt>
                <c:pt idx="240">
                  <c:v>40.084392927380847</c:v>
                </c:pt>
                <c:pt idx="241">
                  <c:v>40.084571926453421</c:v>
                </c:pt>
                <c:pt idx="242">
                  <c:v>40.084735178764511</c:v>
                </c:pt>
                <c:pt idx="243">
                  <c:v>40.084884069317361</c:v>
                </c:pt>
                <c:pt idx="244">
                  <c:v>40.085019861341017</c:v>
                </c:pt>
                <c:pt idx="245">
                  <c:v>40.085143706989548</c:v>
                </c:pt>
                <c:pt idx="246">
                  <c:v>40.085256657103223</c:v>
                </c:pt>
                <c:pt idx="247">
                  <c:v>40.085359670111934</c:v>
                </c:pt>
                <c:pt idx="248">
                  <c:v>40.085453620157779</c:v>
                </c:pt>
                <c:pt idx="249">
                  <c:v>40.085539304504081</c:v>
                </c:pt>
                <c:pt idx="250">
                  <c:v>40.085617450293739</c:v>
                </c:pt>
                <c:pt idx="251">
                  <c:v>40.085688720714032</c:v>
                </c:pt>
                <c:pt idx="252">
                  <c:v>40.085753720619756</c:v>
                </c:pt>
                <c:pt idx="253">
                  <c:v>40.085813001662359</c:v>
                </c:pt>
                <c:pt idx="254">
                  <c:v>40.085867066968802</c:v>
                </c:pt>
                <c:pt idx="255">
                  <c:v>40.085916375407599</c:v>
                </c:pt>
                <c:pt idx="256">
                  <c:v>40.085961345482396</c:v>
                </c:pt>
                <c:pt idx="257">
                  <c:v>40.08600235888111</c:v>
                </c:pt>
                <c:pt idx="258">
                  <c:v>40.086039763714133</c:v>
                </c:pt>
                <c:pt idx="259">
                  <c:v>40.086073877467669</c:v>
                </c:pt>
                <c:pt idx="260">
                  <c:v>40.086104989697596</c:v>
                </c:pt>
                <c:pt idx="261">
                  <c:v>40.086133364485711</c:v>
                </c:pt>
                <c:pt idx="262">
                  <c:v>40.086159242680864</c:v>
                </c:pt>
                <c:pt idx="263">
                  <c:v>40.086182843942517</c:v>
                </c:pt>
                <c:pt idx="264">
                  <c:v>40.086204368604889</c:v>
                </c:pt>
                <c:pt idx="265">
                  <c:v>40.086223999376799</c:v>
                </c:pt>
                <c:pt idx="266">
                  <c:v>40.08624190289224</c:v>
                </c:pt>
                <c:pt idx="267">
                  <c:v>40.086258231124603</c:v>
                </c:pt>
                <c:pt idx="268">
                  <c:v>40.086273122676324</c:v>
                </c:pt>
                <c:pt idx="269">
                  <c:v>40.086286703954997</c:v>
                </c:pt>
                <c:pt idx="270">
                  <c:v>40.086299090246996</c:v>
                </c:pt>
                <c:pt idx="271">
                  <c:v>40.086310386695011</c:v>
                </c:pt>
                <c:pt idx="272">
                  <c:v>40.08632068919075</c:v>
                </c:pt>
                <c:pt idx="273">
                  <c:v>40.086330085189225</c:v>
                </c:pt>
                <c:pt idx="274">
                  <c:v>40.086338654450607</c:v>
                </c:pt>
                <c:pt idx="275">
                  <c:v>40.086346469717157</c:v>
                </c:pt>
                <c:pt idx="276">
                  <c:v>40.086353597331126</c:v>
                </c:pt>
                <c:pt idx="277">
                  <c:v>40.086360097797439</c:v>
                </c:pt>
                <c:pt idx="278">
                  <c:v>40.086366026297426</c:v>
                </c:pt>
                <c:pt idx="279">
                  <c:v>40.08637143315714</c:v>
                </c:pt>
                <c:pt idx="280">
                  <c:v>40.08637636427482</c:v>
                </c:pt>
                <c:pt idx="281">
                  <c:v>40.086380861509994</c:v>
                </c:pt>
                <c:pt idx="282">
                  <c:v>40.086384963039258</c:v>
                </c:pt>
                <c:pt idx="283">
                  <c:v>40.086388703680136</c:v>
                </c:pt>
                <c:pt idx="284">
                  <c:v>40.086392115186484</c:v>
                </c:pt>
                <c:pt idx="285">
                  <c:v>40.086395226518505</c:v>
                </c:pt>
                <c:pt idx="286">
                  <c:v>40.086398064087959</c:v>
                </c:pt>
                <c:pt idx="287">
                  <c:v>40.086400651982849</c:v>
                </c:pt>
                <c:pt idx="288">
                  <c:v>40.086403012171701</c:v>
                </c:pt>
                <c:pt idx="289">
                  <c:v>40.086405164690113</c:v>
                </c:pt>
                <c:pt idx="290">
                  <c:v>40.086407127810745</c:v>
                </c:pt>
                <c:pt idx="291">
                  <c:v>40.086408918198323</c:v>
                </c:pt>
                <c:pt idx="292">
                  <c:v>40.0864105510516</c:v>
                </c:pt>
                <c:pt idx="293">
                  <c:v>40.086412040231778</c:v>
                </c:pt>
                <c:pt idx="294">
                  <c:v>40.086413398380436</c:v>
                </c:pt>
                <c:pt idx="295">
                  <c:v>40.08641463702687</c:v>
                </c:pt>
                <c:pt idx="296">
                  <c:v>40.086415766686038</c:v>
                </c:pt>
                <c:pt idx="297">
                  <c:v>40.086416796947553</c:v>
                </c:pt>
                <c:pt idx="298">
                  <c:v>40.086417736557344</c:v>
                </c:pt>
                <c:pt idx="299">
                  <c:v>40.08641859349175</c:v>
                </c:pt>
                <c:pt idx="300">
                  <c:v>40.08641937502523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D1-4879-B8F2-B3D6A3E16F35}"/>
            </c:ext>
          </c:extLst>
        </c:ser>
        <c:ser>
          <c:idx val="3"/>
          <c:order val="3"/>
          <c:tx>
            <c:strRef>
              <c:f>Sum!$G$1</c:f>
              <c:strCache>
                <c:ptCount val="1"/>
                <c:pt idx="0">
                  <c:v>Bias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Sum!$F$2:$F$302</c:f>
              <c:numCache>
                <c:formatCode>General</c:formatCode>
                <c:ptCount val="301"/>
                <c:pt idx="0">
                  <c:v>1.6000000000000001E-3</c:v>
                </c:pt>
                <c:pt idx="1">
                  <c:v>1.6754056768814381E-3</c:v>
                </c:pt>
                <c:pt idx="2">
                  <c:v>1.754365113829096E-3</c:v>
                </c:pt>
                <c:pt idx="3">
                  <c:v>1.8370457943950121E-3</c:v>
                </c:pt>
                <c:pt idx="4">
                  <c:v>1.9236230953878599E-3</c:v>
                </c:pt>
                <c:pt idx="5">
                  <c:v>2.0142806588706662E-3</c:v>
                </c:pt>
                <c:pt idx="6">
                  <c:v>2.1092107816902514E-3</c:v>
                </c:pt>
                <c:pt idx="7">
                  <c:v>2.208614823364615E-3</c:v>
                </c:pt>
                <c:pt idx="8">
                  <c:v>2.3127036331934835E-3</c:v>
                </c:pt>
                <c:pt idx="9">
                  <c:v>2.4216979974979319E-3</c:v>
                </c:pt>
                <c:pt idx="10">
                  <c:v>2.5358291079377818E-3</c:v>
                </c:pt>
                <c:pt idx="11">
                  <c:v>2.6553390519000971E-3</c:v>
                </c:pt>
                <c:pt idx="12">
                  <c:v>2.7804813259989999E-3</c:v>
                </c:pt>
                <c:pt idx="13">
                  <c:v>2.9115213737759696E-3</c:v>
                </c:pt>
                <c:pt idx="14">
                  <c:v>3.048737148741194E-3</c:v>
                </c:pt>
                <c:pt idx="15">
                  <c:v>3.1924197039502051E-3</c:v>
                </c:pt>
                <c:pt idx="16">
                  <c:v>3.3428738093664598E-3</c:v>
                </c:pt>
                <c:pt idx="17">
                  <c:v>3.5004185983192799E-3</c:v>
                </c:pt>
                <c:pt idx="18">
                  <c:v>3.6653882444284344E-3</c:v>
                </c:pt>
                <c:pt idx="19">
                  <c:v>3.8381326704311821E-3</c:v>
                </c:pt>
                <c:pt idx="20">
                  <c:v>4.0190182904153247E-3</c:v>
                </c:pt>
                <c:pt idx="21">
                  <c:v>4.2084287870326068E-3</c:v>
                </c:pt>
                <c:pt idx="22">
                  <c:v>4.4067659253410642E-3</c:v>
                </c:pt>
                <c:pt idx="23">
                  <c:v>4.614450405002567E-3</c:v>
                </c:pt>
                <c:pt idx="24">
                  <c:v>4.8319227526432218E-3</c:v>
                </c:pt>
                <c:pt idx="25">
                  <c:v>5.0596442562694027E-3</c:v>
                </c:pt>
                <c:pt idx="26">
                  <c:v>5.2980979437214568E-3</c:v>
                </c:pt>
                <c:pt idx="27">
                  <c:v>5.5477896072405044E-3</c:v>
                </c:pt>
                <c:pt idx="28">
                  <c:v>5.8092488763216181E-3</c:v>
                </c:pt>
                <c:pt idx="29">
                  <c:v>6.0830303411289798E-3</c:v>
                </c:pt>
                <c:pt idx="30">
                  <c:v>6.369714728855955E-3</c:v>
                </c:pt>
                <c:pt idx="31">
                  <c:v>6.6699101355253646E-3</c:v>
                </c:pt>
                <c:pt idx="32">
                  <c:v>6.9842533158426508E-3</c:v>
                </c:pt>
                <c:pt idx="33">
                  <c:v>7.3134110338380007E-3</c:v>
                </c:pt>
                <c:pt idx="34">
                  <c:v>7.658081477162214E-3</c:v>
                </c:pt>
                <c:pt idx="35">
                  <c:v>8.0189957380363535E-3</c:v>
                </c:pt>
                <c:pt idx="36">
                  <c:v>8.3969193639963583E-3</c:v>
                </c:pt>
                <c:pt idx="37">
                  <c:v>8.7926539817219963E-3</c:v>
                </c:pt>
                <c:pt idx="38">
                  <c:v>9.2070389973945045E-3</c:v>
                </c:pt>
                <c:pt idx="39">
                  <c:v>9.6409533771897159E-3</c:v>
                </c:pt>
                <c:pt idx="40">
                  <c:v>1.0095317511683081E-2</c:v>
                </c:pt>
                <c:pt idx="41">
                  <c:v>1.0571095168121531E-2</c:v>
                </c:pt>
                <c:pt idx="42">
                  <c:v>1.1069295534702976E-2</c:v>
                </c:pt>
                <c:pt idx="43">
                  <c:v>1.159097536119983E-2</c:v>
                </c:pt>
                <c:pt idx="44">
                  <c:v>1.2137241200466928E-2</c:v>
                </c:pt>
                <c:pt idx="45">
                  <c:v>1.2709251755588499E-2</c:v>
                </c:pt>
                <c:pt idx="46">
                  <c:v>1.3308220337642729E-2</c:v>
                </c:pt>
                <c:pt idx="47">
                  <c:v>1.3935417439297283E-2</c:v>
                </c:pt>
                <c:pt idx="48">
                  <c:v>1.4592173429694542E-2</c:v>
                </c:pt>
                <c:pt idx="49">
                  <c:v>1.5279881376342973E-2</c:v>
                </c:pt>
                <c:pt idx="50">
                  <c:v>1.6E-2</c:v>
                </c:pt>
                <c:pt idx="51">
                  <c:v>1.6754056768814383E-2</c:v>
                </c:pt>
                <c:pt idx="52">
                  <c:v>1.7543651138290962E-2</c:v>
                </c:pt>
                <c:pt idx="53">
                  <c:v>1.8370457943950123E-2</c:v>
                </c:pt>
                <c:pt idx="54">
                  <c:v>1.9236230953878601E-2</c:v>
                </c:pt>
                <c:pt idx="55">
                  <c:v>2.0142806588706666E-2</c:v>
                </c:pt>
                <c:pt idx="56">
                  <c:v>2.109210781690252E-2</c:v>
                </c:pt>
                <c:pt idx="57">
                  <c:v>2.2086148233646141E-2</c:v>
                </c:pt>
                <c:pt idx="58">
                  <c:v>2.3127036331934837E-2</c:v>
                </c:pt>
                <c:pt idx="59">
                  <c:v>2.4216979974979323E-2</c:v>
                </c:pt>
                <c:pt idx="60">
                  <c:v>2.5358291079377801E-2</c:v>
                </c:pt>
                <c:pt idx="61">
                  <c:v>2.6553390519000949E-2</c:v>
                </c:pt>
                <c:pt idx="62">
                  <c:v>2.780481325999001E-2</c:v>
                </c:pt>
                <c:pt idx="63">
                  <c:v>2.9115213737759729E-2</c:v>
                </c:pt>
                <c:pt idx="64">
                  <c:v>3.0487371487411943E-2</c:v>
                </c:pt>
                <c:pt idx="65">
                  <c:v>3.192419703950207E-2</c:v>
                </c:pt>
                <c:pt idx="66">
                  <c:v>3.3428738093664617E-2</c:v>
                </c:pt>
                <c:pt idx="67">
                  <c:v>3.500418598319284E-2</c:v>
                </c:pt>
                <c:pt idx="68">
                  <c:v>3.6653882444284358E-2</c:v>
                </c:pt>
                <c:pt idx="69">
                  <c:v>3.8381326704311831E-2</c:v>
                </c:pt>
                <c:pt idx="70">
                  <c:v>4.019018290415325E-2</c:v>
                </c:pt>
                <c:pt idx="71">
                  <c:v>4.2084287870326087E-2</c:v>
                </c:pt>
                <c:pt idx="72">
                  <c:v>4.4067659253410635E-2</c:v>
                </c:pt>
                <c:pt idx="73">
                  <c:v>4.6144504050025681E-2</c:v>
                </c:pt>
                <c:pt idx="74">
                  <c:v>4.8319227526432237E-2</c:v>
                </c:pt>
                <c:pt idx="75">
                  <c:v>5.0596442562694056E-2</c:v>
                </c:pt>
                <c:pt idx="76">
                  <c:v>5.2980979437214575E-2</c:v>
                </c:pt>
                <c:pt idx="77">
                  <c:v>5.5477896072405053E-2</c:v>
                </c:pt>
                <c:pt idx="78">
                  <c:v>5.809248876321621E-2</c:v>
                </c:pt>
                <c:pt idx="79">
                  <c:v>6.0830303411289782E-2</c:v>
                </c:pt>
                <c:pt idx="80">
                  <c:v>6.3697147288559561E-2</c:v>
                </c:pt>
                <c:pt idx="81">
                  <c:v>6.6699101355253657E-2</c:v>
                </c:pt>
                <c:pt idx="82">
                  <c:v>6.9842533158426534E-2</c:v>
                </c:pt>
                <c:pt idx="83">
                  <c:v>7.3134110338379965E-2</c:v>
                </c:pt>
                <c:pt idx="84">
                  <c:v>7.6580814771622124E-2</c:v>
                </c:pt>
                <c:pt idx="85">
                  <c:v>8.0189957380363538E-2</c:v>
                </c:pt>
                <c:pt idx="86">
                  <c:v>8.3969193639963594E-2</c:v>
                </c:pt>
                <c:pt idx="87">
                  <c:v>8.7926539817219901E-2</c:v>
                </c:pt>
                <c:pt idx="88">
                  <c:v>9.2070389973945108E-2</c:v>
                </c:pt>
                <c:pt idx="89">
                  <c:v>9.6409533771897205E-2</c:v>
                </c:pt>
                <c:pt idx="90">
                  <c:v>0.10095317511683091</c:v>
                </c:pt>
                <c:pt idx="91">
                  <c:v>0.10571095168121535</c:v>
                </c:pt>
                <c:pt idx="92">
                  <c:v>0.11069295534702983</c:v>
                </c:pt>
                <c:pt idx="93">
                  <c:v>0.11590975361199839</c:v>
                </c:pt>
                <c:pt idx="94">
                  <c:v>0.12137241200466937</c:v>
                </c:pt>
                <c:pt idx="95">
                  <c:v>0.12709251755588497</c:v>
                </c:pt>
                <c:pt idx="96">
                  <c:v>0.13308220337642734</c:v>
                </c:pt>
                <c:pt idx="97">
                  <c:v>0.13935417439297282</c:v>
                </c:pt>
                <c:pt idx="98">
                  <c:v>0.14592173429694552</c:v>
                </c:pt>
                <c:pt idx="99">
                  <c:v>0.15279881376342971</c:v>
                </c:pt>
                <c:pt idx="100">
                  <c:v>0.16000000000000003</c:v>
                </c:pt>
                <c:pt idx="101">
                  <c:v>0.16754056768814396</c:v>
                </c:pt>
                <c:pt idx="102">
                  <c:v>0.17543651138290961</c:v>
                </c:pt>
                <c:pt idx="103">
                  <c:v>0.18370457943950128</c:v>
                </c:pt>
                <c:pt idx="104">
                  <c:v>0.19236230953878608</c:v>
                </c:pt>
                <c:pt idx="105">
                  <c:v>0.20142806588706669</c:v>
                </c:pt>
                <c:pt idx="106">
                  <c:v>0.21092107816902514</c:v>
                </c:pt>
                <c:pt idx="107">
                  <c:v>0.22086148233646152</c:v>
                </c:pt>
                <c:pt idx="108">
                  <c:v>0.23127036331934836</c:v>
                </c:pt>
                <c:pt idx="109">
                  <c:v>0.24216979974979327</c:v>
                </c:pt>
                <c:pt idx="110">
                  <c:v>0.25358291079377809</c:v>
                </c:pt>
                <c:pt idx="111">
                  <c:v>0.26553390519000958</c:v>
                </c:pt>
                <c:pt idx="112">
                  <c:v>0.27804813259989997</c:v>
                </c:pt>
                <c:pt idx="113">
                  <c:v>0.29115213737759732</c:v>
                </c:pt>
                <c:pt idx="114">
                  <c:v>0.30487371487411957</c:v>
                </c:pt>
                <c:pt idx="115">
                  <c:v>0.31924197039502072</c:v>
                </c:pt>
                <c:pt idx="116">
                  <c:v>0.33428738093664628</c:v>
                </c:pt>
                <c:pt idx="117">
                  <c:v>0.35004185983192837</c:v>
                </c:pt>
                <c:pt idx="118">
                  <c:v>0.36653882444284369</c:v>
                </c:pt>
                <c:pt idx="119">
                  <c:v>0.38381326704311847</c:v>
                </c:pt>
                <c:pt idx="120">
                  <c:v>0.40190182904153282</c:v>
                </c:pt>
                <c:pt idx="121">
                  <c:v>0.42084287870326115</c:v>
                </c:pt>
                <c:pt idx="122">
                  <c:v>0.44067659253410663</c:v>
                </c:pt>
                <c:pt idx="123">
                  <c:v>0.46144504050025692</c:v>
                </c:pt>
                <c:pt idx="124">
                  <c:v>0.48319227526432251</c:v>
                </c:pt>
                <c:pt idx="125">
                  <c:v>0.50596442562694077</c:v>
                </c:pt>
                <c:pt idx="126">
                  <c:v>0.5298097943721457</c:v>
                </c:pt>
                <c:pt idx="127">
                  <c:v>0.55477896072405064</c:v>
                </c:pt>
                <c:pt idx="128">
                  <c:v>0.58092488763216221</c:v>
                </c:pt>
                <c:pt idx="129">
                  <c:v>0.60830303411289788</c:v>
                </c:pt>
                <c:pt idx="130">
                  <c:v>0.63697147288559552</c:v>
                </c:pt>
                <c:pt idx="131">
                  <c:v>0.66699101355253665</c:v>
                </c:pt>
                <c:pt idx="132">
                  <c:v>0.69842533158426556</c:v>
                </c:pt>
                <c:pt idx="133">
                  <c:v>0.7313411033838001</c:v>
                </c:pt>
                <c:pt idx="134">
                  <c:v>0.7658081477162213</c:v>
                </c:pt>
                <c:pt idx="135">
                  <c:v>0.80189957380363563</c:v>
                </c:pt>
                <c:pt idx="136">
                  <c:v>0.83969193639963613</c:v>
                </c:pt>
                <c:pt idx="137">
                  <c:v>0.87926539817219929</c:v>
                </c:pt>
                <c:pt idx="138">
                  <c:v>0.9207038997394511</c:v>
                </c:pt>
                <c:pt idx="139">
                  <c:v>0.96409533771897249</c:v>
                </c:pt>
                <c:pt idx="140">
                  <c:v>1.0095317511683093</c:v>
                </c:pt>
                <c:pt idx="141">
                  <c:v>1.0571095168121536</c:v>
                </c:pt>
                <c:pt idx="142">
                  <c:v>1.1069295534702985</c:v>
                </c:pt>
                <c:pt idx="143">
                  <c:v>1.159097536119984</c:v>
                </c:pt>
                <c:pt idx="144">
                  <c:v>1.2137241200466939</c:v>
                </c:pt>
                <c:pt idx="145">
                  <c:v>1.2709251755588504</c:v>
                </c:pt>
                <c:pt idx="146">
                  <c:v>1.3308220337642735</c:v>
                </c:pt>
                <c:pt idx="147">
                  <c:v>1.3935417439297286</c:v>
                </c:pt>
                <c:pt idx="148">
                  <c:v>1.4592173429694555</c:v>
                </c:pt>
                <c:pt idx="149">
                  <c:v>1.5279881376342974</c:v>
                </c:pt>
                <c:pt idx="150">
                  <c:v>1.6</c:v>
                </c:pt>
                <c:pt idx="151">
                  <c:v>1.6754056768814394</c:v>
                </c:pt>
                <c:pt idx="152">
                  <c:v>1.7543651138290963</c:v>
                </c:pt>
                <c:pt idx="153">
                  <c:v>1.8370457943950129</c:v>
                </c:pt>
                <c:pt idx="154">
                  <c:v>1.9236230953878612</c:v>
                </c:pt>
                <c:pt idx="155">
                  <c:v>2.0142806588706677</c:v>
                </c:pt>
                <c:pt idx="156">
                  <c:v>2.1092107816902517</c:v>
                </c:pt>
                <c:pt idx="157">
                  <c:v>2.2086148233646159</c:v>
                </c:pt>
                <c:pt idx="158">
                  <c:v>2.3127036331934838</c:v>
                </c:pt>
                <c:pt idx="159">
                  <c:v>2.4216979974979331</c:v>
                </c:pt>
                <c:pt idx="160">
                  <c:v>2.5358291079377819</c:v>
                </c:pt>
                <c:pt idx="161">
                  <c:v>2.6553390519000972</c:v>
                </c:pt>
                <c:pt idx="162">
                  <c:v>2.7804813259990011</c:v>
                </c:pt>
                <c:pt idx="163">
                  <c:v>2.9115213737759742</c:v>
                </c:pt>
                <c:pt idx="164">
                  <c:v>3.0487371487411963</c:v>
                </c:pt>
                <c:pt idx="165">
                  <c:v>3.1924197039502076</c:v>
                </c:pt>
                <c:pt idx="166">
                  <c:v>3.3428738093664636</c:v>
                </c:pt>
                <c:pt idx="167">
                  <c:v>3.5004185983192841</c:v>
                </c:pt>
                <c:pt idx="168">
                  <c:v>3.6653882444284371</c:v>
                </c:pt>
                <c:pt idx="169">
                  <c:v>3.8381326704311856</c:v>
                </c:pt>
                <c:pt idx="170">
                  <c:v>4.0190182904153291</c:v>
                </c:pt>
                <c:pt idx="171">
                  <c:v>4.208428787032612</c:v>
                </c:pt>
                <c:pt idx="172">
                  <c:v>4.406765925341066</c:v>
                </c:pt>
                <c:pt idx="173">
                  <c:v>4.6144504050025699</c:v>
                </c:pt>
                <c:pt idx="174">
                  <c:v>4.8319227526432265</c:v>
                </c:pt>
                <c:pt idx="175">
                  <c:v>5.0596442562694079</c:v>
                </c:pt>
                <c:pt idx="176">
                  <c:v>5.2980979437214586</c:v>
                </c:pt>
                <c:pt idx="177">
                  <c:v>5.5477896072405075</c:v>
                </c:pt>
                <c:pt idx="178">
                  <c:v>5.8092488763216226</c:v>
                </c:pt>
                <c:pt idx="179">
                  <c:v>6.0830303411289792</c:v>
                </c:pt>
                <c:pt idx="180">
                  <c:v>6.369714728855957</c:v>
                </c:pt>
                <c:pt idx="181">
                  <c:v>6.6699101355253676</c:v>
                </c:pt>
                <c:pt idx="182">
                  <c:v>6.9842533158426567</c:v>
                </c:pt>
                <c:pt idx="183">
                  <c:v>7.3134110338380012</c:v>
                </c:pt>
                <c:pt idx="184">
                  <c:v>7.6580814771622148</c:v>
                </c:pt>
                <c:pt idx="185">
                  <c:v>8.0189957380363577</c:v>
                </c:pt>
                <c:pt idx="186">
                  <c:v>8.3969193639963624</c:v>
                </c:pt>
                <c:pt idx="187">
                  <c:v>8.792653981721994</c:v>
                </c:pt>
                <c:pt idx="188">
                  <c:v>9.2070389973945144</c:v>
                </c:pt>
                <c:pt idx="189">
                  <c:v>9.640953377189728</c:v>
                </c:pt>
                <c:pt idx="190">
                  <c:v>10.095317511683096</c:v>
                </c:pt>
                <c:pt idx="191">
                  <c:v>10.571095168121538</c:v>
                </c:pt>
                <c:pt idx="192">
                  <c:v>11.069295534702988</c:v>
                </c:pt>
                <c:pt idx="193">
                  <c:v>11.590975361199845</c:v>
                </c:pt>
                <c:pt idx="194">
                  <c:v>12.13724120046694</c:v>
                </c:pt>
                <c:pt idx="195">
                  <c:v>12.709251755588509</c:v>
                </c:pt>
                <c:pt idx="196">
                  <c:v>13.308220337642737</c:v>
                </c:pt>
                <c:pt idx="197">
                  <c:v>13.935417439297289</c:v>
                </c:pt>
                <c:pt idx="198">
                  <c:v>14.592173429694558</c:v>
                </c:pt>
                <c:pt idx="199">
                  <c:v>15.279881376342974</c:v>
                </c:pt>
                <c:pt idx="200">
                  <c:v>16</c:v>
                </c:pt>
                <c:pt idx="201">
                  <c:v>16.754056768814401</c:v>
                </c:pt>
                <c:pt idx="202">
                  <c:v>17.543651138290965</c:v>
                </c:pt>
                <c:pt idx="203">
                  <c:v>18.370457943950136</c:v>
                </c:pt>
                <c:pt idx="204">
                  <c:v>19.236230953878614</c:v>
                </c:pt>
                <c:pt idx="205">
                  <c:v>20.142806588706691</c:v>
                </c:pt>
                <c:pt idx="206">
                  <c:v>21.092107816902523</c:v>
                </c:pt>
                <c:pt idx="207">
                  <c:v>22.086148233646163</c:v>
                </c:pt>
                <c:pt idx="208">
                  <c:v>23.127036331934843</c:v>
                </c:pt>
                <c:pt idx="209">
                  <c:v>24.216979974979338</c:v>
                </c:pt>
                <c:pt idx="210">
                  <c:v>25.358291079377821</c:v>
                </c:pt>
                <c:pt idx="211">
                  <c:v>26.553390519000985</c:v>
                </c:pt>
                <c:pt idx="212">
                  <c:v>27.804813259990013</c:v>
                </c:pt>
                <c:pt idx="213">
                  <c:v>29.115213737759746</c:v>
                </c:pt>
                <c:pt idx="214">
                  <c:v>30.487371487411963</c:v>
                </c:pt>
                <c:pt idx="215">
                  <c:v>31.92419703950209</c:v>
                </c:pt>
                <c:pt idx="216">
                  <c:v>33.428738093664641</c:v>
                </c:pt>
                <c:pt idx="217">
                  <c:v>35.004185983192862</c:v>
                </c:pt>
                <c:pt idx="218">
                  <c:v>36.653882444284385</c:v>
                </c:pt>
                <c:pt idx="219">
                  <c:v>38.381326704311853</c:v>
                </c:pt>
                <c:pt idx="220">
                  <c:v>40.190182904153282</c:v>
                </c:pt>
                <c:pt idx="221">
                  <c:v>42.084287870326122</c:v>
                </c:pt>
                <c:pt idx="222">
                  <c:v>44.067659253410667</c:v>
                </c:pt>
                <c:pt idx="223">
                  <c:v>46.144504050025709</c:v>
                </c:pt>
                <c:pt idx="224">
                  <c:v>48.319227526432265</c:v>
                </c:pt>
                <c:pt idx="225">
                  <c:v>50.596442562694087</c:v>
                </c:pt>
                <c:pt idx="226">
                  <c:v>52.980979437214607</c:v>
                </c:pt>
                <c:pt idx="227">
                  <c:v>55.477896072405088</c:v>
                </c:pt>
                <c:pt idx="228">
                  <c:v>58.092488763216252</c:v>
                </c:pt>
                <c:pt idx="229">
                  <c:v>60.830303411289826</c:v>
                </c:pt>
                <c:pt idx="230">
                  <c:v>63.697147288559613</c:v>
                </c:pt>
                <c:pt idx="231">
                  <c:v>66.699101355253703</c:v>
                </c:pt>
                <c:pt idx="232">
                  <c:v>69.842533158426576</c:v>
                </c:pt>
                <c:pt idx="233">
                  <c:v>73.134110338380012</c:v>
                </c:pt>
                <c:pt idx="234">
                  <c:v>76.580814771622173</c:v>
                </c:pt>
                <c:pt idx="235">
                  <c:v>80.18995738036358</c:v>
                </c:pt>
                <c:pt idx="236">
                  <c:v>83.969193639963663</c:v>
                </c:pt>
                <c:pt idx="237">
                  <c:v>87.926539817219961</c:v>
                </c:pt>
                <c:pt idx="238">
                  <c:v>92.070389973945112</c:v>
                </c:pt>
                <c:pt idx="239">
                  <c:v>96.409533771897316</c:v>
                </c:pt>
                <c:pt idx="240">
                  <c:v>100.95317511683099</c:v>
                </c:pt>
                <c:pt idx="241">
                  <c:v>105.71095168121541</c:v>
                </c:pt>
                <c:pt idx="242">
                  <c:v>110.69295534702985</c:v>
                </c:pt>
                <c:pt idx="243">
                  <c:v>115.90975361199851</c:v>
                </c:pt>
                <c:pt idx="244">
                  <c:v>121.37241200466939</c:v>
                </c:pt>
                <c:pt idx="245">
                  <c:v>127.09251755588512</c:v>
                </c:pt>
                <c:pt idx="246">
                  <c:v>133.0822033764274</c:v>
                </c:pt>
                <c:pt idx="247">
                  <c:v>139.35417439297291</c:v>
                </c:pt>
                <c:pt idx="248">
                  <c:v>145.92173429694557</c:v>
                </c:pt>
                <c:pt idx="249">
                  <c:v>152.79881376342985</c:v>
                </c:pt>
                <c:pt idx="250">
                  <c:v>160</c:v>
                </c:pt>
                <c:pt idx="251">
                  <c:v>167.54056768814397</c:v>
                </c:pt>
                <c:pt idx="252">
                  <c:v>175.43651138290977</c:v>
                </c:pt>
                <c:pt idx="253">
                  <c:v>183.70457943950137</c:v>
                </c:pt>
                <c:pt idx="254">
                  <c:v>192.36230953878618</c:v>
                </c:pt>
                <c:pt idx="255">
                  <c:v>201.42806588706685</c:v>
                </c:pt>
                <c:pt idx="256">
                  <c:v>210.92107816902535</c:v>
                </c:pt>
                <c:pt idx="257">
                  <c:v>220.86148233646179</c:v>
                </c:pt>
                <c:pt idx="258">
                  <c:v>231.27036331934858</c:v>
                </c:pt>
                <c:pt idx="259">
                  <c:v>242.16979974979347</c:v>
                </c:pt>
                <c:pt idx="260">
                  <c:v>253.58291079377847</c:v>
                </c:pt>
                <c:pt idx="261">
                  <c:v>265.53390519000999</c:v>
                </c:pt>
                <c:pt idx="262">
                  <c:v>278.04813259990027</c:v>
                </c:pt>
                <c:pt idx="263">
                  <c:v>291.15213737759728</c:v>
                </c:pt>
                <c:pt idx="264">
                  <c:v>304.87371487411968</c:v>
                </c:pt>
                <c:pt idx="265">
                  <c:v>319.24197039502087</c:v>
                </c:pt>
                <c:pt idx="266">
                  <c:v>334.28738093664634</c:v>
                </c:pt>
                <c:pt idx="267">
                  <c:v>350.04185983192838</c:v>
                </c:pt>
                <c:pt idx="268">
                  <c:v>366.53882444284392</c:v>
                </c:pt>
                <c:pt idx="269">
                  <c:v>383.81326704311863</c:v>
                </c:pt>
                <c:pt idx="270">
                  <c:v>401.90182904153289</c:v>
                </c:pt>
                <c:pt idx="271">
                  <c:v>420.84287870326108</c:v>
                </c:pt>
                <c:pt idx="272">
                  <c:v>440.67659253410693</c:v>
                </c:pt>
                <c:pt idx="273">
                  <c:v>461.44504050025716</c:v>
                </c:pt>
                <c:pt idx="274">
                  <c:v>483.19227526432269</c:v>
                </c:pt>
                <c:pt idx="275">
                  <c:v>505.96442562694119</c:v>
                </c:pt>
                <c:pt idx="276">
                  <c:v>529.80979437214626</c:v>
                </c:pt>
                <c:pt idx="277">
                  <c:v>554.77896072405099</c:v>
                </c:pt>
                <c:pt idx="278">
                  <c:v>580.92488763216249</c:v>
                </c:pt>
                <c:pt idx="279">
                  <c:v>608.30303411289867</c:v>
                </c:pt>
                <c:pt idx="280">
                  <c:v>636.9714728855962</c:v>
                </c:pt>
                <c:pt idx="281">
                  <c:v>666.9910135525372</c:v>
                </c:pt>
                <c:pt idx="282">
                  <c:v>698.42533158426602</c:v>
                </c:pt>
                <c:pt idx="283">
                  <c:v>731.34110338380106</c:v>
                </c:pt>
                <c:pt idx="284">
                  <c:v>765.80814771622227</c:v>
                </c:pt>
                <c:pt idx="285">
                  <c:v>801.89957380363637</c:v>
                </c:pt>
                <c:pt idx="286">
                  <c:v>839.69193639963669</c:v>
                </c:pt>
                <c:pt idx="287">
                  <c:v>879.26539817220055</c:v>
                </c:pt>
                <c:pt idx="288">
                  <c:v>920.70389973945134</c:v>
                </c:pt>
                <c:pt idx="289">
                  <c:v>964.09533771897247</c:v>
                </c:pt>
                <c:pt idx="290">
                  <c:v>1009.5317511683093</c:v>
                </c:pt>
                <c:pt idx="291">
                  <c:v>1057.1095168121544</c:v>
                </c:pt>
                <c:pt idx="292">
                  <c:v>1106.9295534702987</c:v>
                </c:pt>
                <c:pt idx="293">
                  <c:v>1159.0975361199844</c:v>
                </c:pt>
                <c:pt idx="294">
                  <c:v>1213.724120046694</c:v>
                </c:pt>
                <c:pt idx="295">
                  <c:v>1270.9251755588514</c:v>
                </c:pt>
                <c:pt idx="296">
                  <c:v>1330.8220337642742</c:v>
                </c:pt>
                <c:pt idx="297">
                  <c:v>1393.5417439297296</c:v>
                </c:pt>
                <c:pt idx="298">
                  <c:v>1459.2173429694558</c:v>
                </c:pt>
                <c:pt idx="299">
                  <c:v>1527.9881376342989</c:v>
                </c:pt>
                <c:pt idx="300">
                  <c:v>1600</c:v>
                </c:pt>
              </c:numCache>
            </c:numRef>
          </c:xVal>
          <c:yVal>
            <c:numRef>
              <c:f>Sum!$G$2:$G$302</c:f>
              <c:numCache>
                <c:formatCode>General</c:formatCode>
                <c:ptCount val="301"/>
                <c:pt idx="0">
                  <c:v>-6.020604069074647</c:v>
                </c:pt>
                <c:pt idx="1">
                  <c:v>-6.0206044700180561</c:v>
                </c:pt>
                <c:pt idx="2">
                  <c:v>-6.0206049096437102</c:v>
                </c:pt>
                <c:pt idx="3">
                  <c:v>-6.0206053916835955</c:v>
                </c:pt>
                <c:pt idx="4">
                  <c:v>-6.0206059202297659</c:v>
                </c:pt>
                <c:pt idx="5">
                  <c:v>-6.0206064997690412</c:v>
                </c:pt>
                <c:pt idx="6">
                  <c:v>-6.0206071352211303</c:v>
                </c:pt>
                <c:pt idx="7">
                  <c:v>-6.02060783198037</c:v>
                </c:pt>
                <c:pt idx="8">
                  <c:v>-6.0206085959615869</c:v>
                </c:pt>
                <c:pt idx="9">
                  <c:v>-6.0206094336501597</c:v>
                </c:pt>
                <c:pt idx="10">
                  <c:v>-6.0206103521572221</c:v>
                </c:pt>
                <c:pt idx="11">
                  <c:v>-6.0206113592799779</c:v>
                </c:pt>
                <c:pt idx="12">
                  <c:v>-6.0206124635678435</c:v>
                </c:pt>
                <c:pt idx="13">
                  <c:v>-6.0206136743951033</c:v>
                </c:pt>
                <c:pt idx="14">
                  <c:v>-6.0206150020403895</c:v>
                </c:pt>
                <c:pt idx="15">
                  <c:v>-6.0206164577740475</c:v>
                </c:pt>
                <c:pt idx="16">
                  <c:v>-6.020618053953676</c:v>
                </c:pt>
                <c:pt idx="17">
                  <c:v>-6.020619804129181</c:v>
                </c:pt>
                <c:pt idx="18">
                  <c:v>-6.0206217231576611</c:v>
                </c:pt>
                <c:pt idx="19">
                  <c:v>-6.0206238273295432</c:v>
                </c:pt>
                <c:pt idx="20">
                  <c:v>-6.0206261345069887</c:v>
                </c:pt>
                <c:pt idx="21">
                  <c:v>-6.0206286642753257</c:v>
                </c:pt>
                <c:pt idx="22">
                  <c:v>-6.0206314381094552</c:v>
                </c:pt>
                <c:pt idx="23">
                  <c:v>-6.0206344795560796</c:v>
                </c:pt>
                <c:pt idx="24">
                  <c:v>-6.0206378144335169</c:v>
                </c:pt>
                <c:pt idx="25">
                  <c:v>-6.020641471050979</c:v>
                </c:pt>
                <c:pt idx="26">
                  <c:v>-6.0206454804487759</c:v>
                </c:pt>
                <c:pt idx="27">
                  <c:v>-6.0206498766617589</c:v>
                </c:pt>
                <c:pt idx="28">
                  <c:v>-6.0206546970083483</c:v>
                </c:pt>
                <c:pt idx="29">
                  <c:v>-6.0206599824071194</c:v>
                </c:pt>
                <c:pt idx="30">
                  <c:v>-6.0206657777242425</c:v>
                </c:pt>
                <c:pt idx="31">
                  <c:v>-6.0206721321542114</c:v>
                </c:pt>
                <c:pt idx="32">
                  <c:v>-6.0206790996374329</c:v>
                </c:pt>
                <c:pt idx="33">
                  <c:v>-6.0206867393180294</c:v>
                </c:pt>
                <c:pt idx="34">
                  <c:v>-6.020695116045772</c:v>
                </c:pt>
                <c:pt idx="35">
                  <c:v>-6.0207043009265417</c:v>
                </c:pt>
                <c:pt idx="36">
                  <c:v>-6.0207143719257026</c:v>
                </c:pt>
                <c:pt idx="37">
                  <c:v>-6.0207254145298421</c:v>
                </c:pt>
                <c:pt idx="38">
                  <c:v>-6.020737522472257</c:v>
                </c:pt>
                <c:pt idx="39">
                  <c:v>-6.0207507985283204</c:v>
                </c:pt>
                <c:pt idx="40">
                  <c:v>-6.0207653553876614</c:v>
                </c:pt>
                <c:pt idx="41">
                  <c:v>-6.0207813166104707</c:v>
                </c:pt>
                <c:pt idx="42">
                  <c:v>-6.0207988176758196</c:v>
                </c:pt>
                <c:pt idx="43">
                  <c:v>-6.0208180071313491</c:v>
                </c:pt>
                <c:pt idx="44">
                  <c:v>-6.0208390478534692</c:v>
                </c:pt>
                <c:pt idx="45">
                  <c:v>-6.0208621184293252</c:v>
                </c:pt>
                <c:pt idx="46">
                  <c:v>-6.0208874146718916</c:v>
                </c:pt>
                <c:pt idx="47">
                  <c:v>-6.0209151512809385</c:v>
                </c:pt>
                <c:pt idx="48">
                  <c:v>-6.0209455636643936</c:v>
                </c:pt>
                <c:pt idx="49">
                  <c:v>-6.0209789099349695</c:v>
                </c:pt>
                <c:pt idx="50">
                  <c:v>-6.0210154730992969</c:v>
                </c:pt>
                <c:pt idx="51">
                  <c:v>-6.0210555634579634</c:v>
                </c:pt>
                <c:pt idx="52">
                  <c:v>-6.0210995212367555</c:v>
                </c:pt>
                <c:pt idx="53">
                  <c:v>-6.0211477194713829</c:v>
                </c:pt>
                <c:pt idx="54">
                  <c:v>-6.0212005671699478</c:v>
                </c:pt>
                <c:pt idx="55">
                  <c:v>-6.0212585127799869</c:v>
                </c:pt>
                <c:pt idx="56">
                  <c:v>-6.0213220479893614</c:v>
                </c:pt>
                <c:pt idx="57">
                  <c:v>-6.0213917118928162</c:v>
                </c:pt>
                <c:pt idx="58">
                  <c:v>-6.0214680955596656</c:v>
                </c:pt>
                <c:pt idx="59">
                  <c:v>-6.0215518470408194</c:v>
                </c:pt>
                <c:pt idx="60">
                  <c:v>-6.021643676857483</c:v>
                </c:pt>
                <c:pt idx="61">
                  <c:v>-6.0217443640175308</c:v>
                </c:pt>
                <c:pt idx="62">
                  <c:v>-6.0218547626102037</c:v>
                </c:pt>
                <c:pt idx="63">
                  <c:v>-6.0219758090344699</c:v>
                </c:pt>
                <c:pt idx="64">
                  <c:v>-6.0221085299217894</c:v>
                </c:pt>
                <c:pt idx="65">
                  <c:v>-6.0222540508192353</c:v>
                </c:pt>
                <c:pt idx="66">
                  <c:v>-6.0224136057061983</c:v>
                </c:pt>
                <c:pt idx="67">
                  <c:v>-6.0225885474236467</c:v>
                </c:pt>
                <c:pt idx="68">
                  <c:v>-6.0227803591031792</c:v>
                </c:pt>
                <c:pt idx="69">
                  <c:v>-6.0229906666910065</c:v>
                </c:pt>
                <c:pt idx="70">
                  <c:v>-6.0232212526707478</c:v>
                </c:pt>
                <c:pt idx="71">
                  <c:v>-6.0234740710991144</c:v>
                </c:pt>
                <c:pt idx="72">
                  <c:v>-6.0237512640786086</c:v>
                </c:pt>
                <c:pt idx="73">
                  <c:v>-6.0240551798032982</c:v>
                </c:pt>
                <c:pt idx="74">
                  <c:v>-6.0243883923261512</c:v>
                </c:pt>
                <c:pt idx="75">
                  <c:v>-6.0247537232100079</c:v>
                </c:pt>
                <c:pt idx="76">
                  <c:v>-6.0251542652394026</c:v>
                </c:pt>
                <c:pt idx="77">
                  <c:v>-6.0255934083862126</c:v>
                </c:pt>
                <c:pt idx="78">
                  <c:v>-6.0260748682397853</c:v>
                </c:pt>
                <c:pt idx="79">
                  <c:v>-6.0266027171313983</c:v>
                </c:pt>
                <c:pt idx="80">
                  <c:v>-6.0271814182027681</c:v>
                </c:pt>
                <c:pt idx="81">
                  <c:v>-6.0278158626913907</c:v>
                </c:pt>
                <c:pt idx="82">
                  <c:v>-6.0285114107285001</c:v>
                </c:pt>
                <c:pt idx="83">
                  <c:v>-6.0292739359719105</c:v>
                </c:pt>
                <c:pt idx="84">
                  <c:v>-6.0301098744232595</c:v>
                </c:pt>
                <c:pt idx="85">
                  <c:v>-6.0310262778090014</c:v>
                </c:pt>
                <c:pt idx="86">
                  <c:v>-6.0320308719363105</c:v>
                </c:pt>
                <c:pt idx="87">
                  <c:v>-6.0331321204688333</c:v>
                </c:pt>
                <c:pt idx="88">
                  <c:v>-6.0343392946029626</c:v>
                </c:pt>
                <c:pt idx="89">
                  <c:v>-6.0356625491640106</c:v>
                </c:pt>
                <c:pt idx="90">
                  <c:v>-6.0371130056810909</c:v>
                </c:pt>
                <c:pt idx="91">
                  <c:v>-6.0387028430420209</c:v>
                </c:pt>
                <c:pt idx="92">
                  <c:v>-6.0404453963730118</c:v>
                </c:pt>
                <c:pt idx="93">
                  <c:v>-6.042355264833791</c:v>
                </c:pt>
                <c:pt idx="94">
                  <c:v>-6.0444484290642277</c:v>
                </c:pt>
                <c:pt idx="95">
                  <c:v>-6.0467423790665382</c:v>
                </c:pt>
                <c:pt idx="96">
                  <c:v>-6.0492562533532999</c:v>
                </c:pt>
                <c:pt idx="97">
                  <c:v>-6.0520109902376884</c:v>
                </c:pt>
                <c:pt idx="98">
                  <c:v>-6.0550294921867582</c:v>
                </c:pt>
                <c:pt idx="99">
                  <c:v>-6.0583368041983965</c:v>
                </c:pt>
                <c:pt idx="100">
                  <c:v>-6.0619603071991683</c:v>
                </c:pt>
                <c:pt idx="101">
                  <c:v>-6.0659299274880123</c:v>
                </c:pt>
                <c:pt idx="102">
                  <c:v>-6.0702783632703294</c:v>
                </c:pt>
                <c:pt idx="103">
                  <c:v>-6.0750413293332084</c:v>
                </c:pt>
                <c:pt idx="104">
                  <c:v>-6.0802578209028804</c:v>
                </c:pt>
                <c:pt idx="105">
                  <c:v>-6.0859703976957533</c:v>
                </c:pt>
                <c:pt idx="106">
                  <c:v>-6.0922254891183867</c:v>
                </c:pt>
                <c:pt idx="107">
                  <c:v>-6.0990737214855715</c:v>
                </c:pt>
                <c:pt idx="108">
                  <c:v>-6.1065702680008354</c:v>
                </c:pt>
                <c:pt idx="109">
                  <c:v>-6.1147752220727263</c:v>
                </c:pt>
                <c:pt idx="110">
                  <c:v>-6.1237539943156776</c:v>
                </c:pt>
                <c:pt idx="111">
                  <c:v>-6.1335777332935848</c:v>
                </c:pt>
                <c:pt idx="112">
                  <c:v>-6.1443237696990263</c:v>
                </c:pt>
                <c:pt idx="113">
                  <c:v>-6.1560760832076875</c:v>
                </c:pt>
                <c:pt idx="114">
                  <c:v>-6.1689257906931108</c:v>
                </c:pt>
                <c:pt idx="115">
                  <c:v>-6.1829716538185417</c:v>
                </c:pt>
                <c:pt idx="116">
                  <c:v>-6.1983206032262554</c:v>
                </c:pt>
                <c:pt idx="117">
                  <c:v>-6.2150882756060906</c:v>
                </c:pt>
                <c:pt idx="118">
                  <c:v>-6.2333995588328994</c:v>
                </c:pt>
                <c:pt idx="119">
                  <c:v>-6.2533891391063783</c:v>
                </c:pt>
                <c:pt idx="120">
                  <c:v>-6.2752020425987673</c:v>
                </c:pt>
                <c:pt idx="121">
                  <c:v>-6.2989941625168875</c:v>
                </c:pt>
                <c:pt idx="122">
                  <c:v>-6.3249327607177968</c:v>
                </c:pt>
                <c:pt idx="123">
                  <c:v>-6.353196931099971</c:v>
                </c:pt>
                <c:pt idx="124">
                  <c:v>-6.383978009950221</c:v>
                </c:pt>
                <c:pt idx="125">
                  <c:v>-6.4174799163050809</c:v>
                </c:pt>
                <c:pt idx="126">
                  <c:v>-6.4539194032441554</c:v>
                </c:pt>
                <c:pt idx="127">
                  <c:v>-6.4935261989579089</c:v>
                </c:pt>
                <c:pt idx="128">
                  <c:v>-6.5365430145267851</c:v>
                </c:pt>
                <c:pt idx="129">
                  <c:v>-6.5832253937502374</c:v>
                </c:pt>
                <c:pt idx="130">
                  <c:v>-6.6338413792275652</c:v>
                </c:pt>
                <c:pt idx="131">
                  <c:v>-6.6886709684037884</c:v>
                </c:pt>
                <c:pt idx="132">
                  <c:v>-6.748005333654139</c:v>
                </c:pt>
                <c:pt idx="133">
                  <c:v>-6.8121457819034852</c:v>
                </c:pt>
                <c:pt idx="134">
                  <c:v>-6.8814024319753422</c:v>
                </c:pt>
                <c:pt idx="135">
                  <c:v>-6.9560925920315793</c:v>
                </c:pt>
                <c:pt idx="136">
                  <c:v>-7.0365388252557493</c:v>
                </c:pt>
                <c:pt idx="137">
                  <c:v>-7.1230666994373939</c:v>
                </c:pt>
                <c:pt idx="138">
                  <c:v>-7.2160022253333462</c:v>
                </c:pt>
                <c:pt idx="139">
                  <c:v>-7.3156689994943829</c:v>
                </c:pt>
                <c:pt idx="140">
                  <c:v>-7.4223850793913826</c:v>
                </c:pt>
                <c:pt idx="141">
                  <c:v>-7.536459631738083</c:v>
                </c:pt>
                <c:pt idx="142">
                  <c:v>-7.6581894083092514</c:v>
                </c:pt>
                <c:pt idx="143">
                  <c:v>-7.7878551165721666</c:v>
                </c:pt>
                <c:pt idx="144">
                  <c:v>-7.9257177642454764</c:v>
                </c:pt>
                <c:pt idx="145">
                  <c:v>-8.0720150665757977</c:v>
                </c:pt>
                <c:pt idx="146">
                  <c:v>-8.2269580117868877</c:v>
                </c:pt>
                <c:pt idx="147">
                  <c:v>-8.3907276830154522</c:v>
                </c:pt>
                <c:pt idx="148">
                  <c:v>-8.5634724334882062</c:v>
                </c:pt>
                <c:pt idx="149">
                  <c:v>-8.7453055053732385</c:v>
                </c:pt>
                <c:pt idx="150">
                  <c:v>-8.936303171642404</c:v>
                </c:pt>
                <c:pt idx="151">
                  <c:v>-9.1365034647661361</c:v>
                </c:pt>
                <c:pt idx="152">
                  <c:v>-9.3459055368465513</c:v>
                </c:pt>
                <c:pt idx="153">
                  <c:v>-9.564469673926153</c:v>
                </c:pt>
                <c:pt idx="154">
                  <c:v>-9.7921179639603384</c:v>
                </c:pt>
                <c:pt idx="155">
                  <c:v>-10.028735594728857</c:v>
                </c:pt>
                <c:pt idx="156">
                  <c:v>-10.274172736178848</c:v>
                </c:pt>
                <c:pt idx="157">
                  <c:v>-10.52824694262126</c:v>
                </c:pt>
                <c:pt idx="158">
                  <c:v>-10.790745994864146</c:v>
                </c:pt>
                <c:pt idx="159">
                  <c:v>-11.061431091475018</c:v>
                </c:pt>
                <c:pt idx="160">
                  <c:v>-11.340040292252041</c:v>
                </c:pt>
                <c:pt idx="161">
                  <c:v>-11.62629211562551</c:v>
                </c:pt>
                <c:pt idx="162">
                  <c:v>-11.919889194751557</c:v>
                </c:pt>
                <c:pt idx="163">
                  <c:v>-12.220521903871902</c:v>
                </c:pt>
                <c:pt idx="164">
                  <c:v>-12.527871876300464</c:v>
                </c:pt>
                <c:pt idx="165">
                  <c:v>-12.841615347267721</c:v>
                </c:pt>
                <c:pt idx="166">
                  <c:v>-13.161426267903398</c:v>
                </c:pt>
                <c:pt idx="167">
                  <c:v>-13.486979150041201</c:v>
                </c:pt>
                <c:pt idx="168">
                  <c:v>-13.817951614561593</c:v>
                </c:pt>
                <c:pt idx="169">
                  <c:v>-14.154026628086211</c:v>
                </c:pt>
                <c:pt idx="170">
                  <c:v>-14.494894423581812</c:v>
                </c:pt>
                <c:pt idx="171">
                  <c:v>-14.840254109580037</c:v>
                </c:pt>
                <c:pt idx="172">
                  <c:v>-15.189814980146599</c:v>
                </c:pt>
                <c:pt idx="173">
                  <c:v>-15.543297543453395</c:v>
                </c:pt>
                <c:pt idx="174">
                  <c:v>-15.900434290905372</c:v>
                </c:pt>
                <c:pt idx="175">
                  <c:v>-16.260970231412117</c:v>
                </c:pt>
                <c:pt idx="176">
                  <c:v>-16.624663216768191</c:v>
                </c:pt>
                <c:pt idx="177">
                  <c:v>-16.991284084422503</c:v>
                </c:pt>
                <c:pt idx="178">
                  <c:v>-17.360616643397954</c:v>
                </c:pt>
                <c:pt idx="179">
                  <c:v>-17.732457527962325</c:v>
                </c:pt>
                <c:pt idx="180">
                  <c:v>-18.106615942034235</c:v>
                </c:pt>
                <c:pt idx="181">
                  <c:v>-18.482913315396182</c:v>
                </c:pt>
                <c:pt idx="182">
                  <c:v>-18.861182890703066</c:v>
                </c:pt>
                <c:pt idx="183">
                  <c:v>-19.241269258134942</c:v>
                </c:pt>
                <c:pt idx="184">
                  <c:v>-19.623027852423135</c:v>
                </c:pt>
                <c:pt idx="185">
                  <c:v>-20.006324424940907</c:v>
                </c:pt>
                <c:pt idx="186">
                  <c:v>-20.391034501640082</c:v>
                </c:pt>
                <c:pt idx="187">
                  <c:v>-20.777042835853162</c:v>
                </c:pt>
                <c:pt idx="188">
                  <c:v>-21.164242863390452</c:v>
                </c:pt>
                <c:pt idx="189">
                  <c:v>-21.552536165940083</c:v>
                </c:pt>
                <c:pt idx="190">
                  <c:v>-21.941831947530794</c:v>
                </c:pt>
                <c:pt idx="191">
                  <c:v>-22.332046527731318</c:v>
                </c:pt>
                <c:pt idx="192">
                  <c:v>-22.723102854328815</c:v>
                </c:pt>
                <c:pt idx="193">
                  <c:v>-23.114930037438018</c:v>
                </c:pt>
                <c:pt idx="194">
                  <c:v>-23.507462906329145</c:v>
                </c:pt>
                <c:pt idx="195">
                  <c:v>-23.900641589713693</c:v>
                </c:pt>
                <c:pt idx="196">
                  <c:v>-24.294411119777539</c:v>
                </c:pt>
                <c:pt idx="197">
                  <c:v>-24.688721059888831</c:v>
                </c:pt>
                <c:pt idx="198">
                  <c:v>-25.083525155620947</c:v>
                </c:pt>
                <c:pt idx="199">
                  <c:v>-25.478781008508847</c:v>
                </c:pt>
                <c:pt idx="200">
                  <c:v>-25.874449771787852</c:v>
                </c:pt>
                <c:pt idx="201">
                  <c:v>-26.270495867241571</c:v>
                </c:pt>
                <c:pt idx="202">
                  <c:v>-26.66688672219998</c:v>
                </c:pt>
                <c:pt idx="203">
                  <c:v>-27.063592525675354</c:v>
                </c:pt>
                <c:pt idx="204">
                  <c:v>-27.460586002593445</c:v>
                </c:pt>
                <c:pt idx="205">
                  <c:v>-27.857842205069346</c:v>
                </c:pt>
                <c:pt idx="206">
                  <c:v>-28.255338319684359</c:v>
                </c:pt>
                <c:pt idx="207">
                  <c:v>-28.653053489739353</c:v>
                </c:pt>
                <c:pt idx="208">
                  <c:v>-29.050968651489754</c:v>
                </c:pt>
                <c:pt idx="209">
                  <c:v>-29.449066383402112</c:v>
                </c:pt>
                <c:pt idx="210">
                  <c:v>-29.847330767514183</c:v>
                </c:pt>
                <c:pt idx="211">
                  <c:v>-30.245747262023496</c:v>
                </c:pt>
                <c:pt idx="212">
                  <c:v>-30.644302584276616</c:v>
                </c:pt>
                <c:pt idx="213">
                  <c:v>-31.042984603377057</c:v>
                </c:pt>
                <c:pt idx="214">
                  <c:v>-31.441782241676947</c:v>
                </c:pt>
                <c:pt idx="215">
                  <c:v>-31.84068538446525</c:v>
                </c:pt>
                <c:pt idx="216">
                  <c:v>-32.239684797208646</c:v>
                </c:pt>
                <c:pt idx="217">
                  <c:v>-32.638772049745995</c:v>
                </c:pt>
                <c:pt idx="218">
                  <c:v>-33.037939446879058</c:v>
                </c:pt>
                <c:pt idx="219">
                  <c:v>-33.437179964842436</c:v>
                </c:pt>
                <c:pt idx="220">
                  <c:v>-33.836487193172928</c:v>
                </c:pt>
                <c:pt idx="221">
                  <c:v>-34.235855281535727</c:v>
                </c:pt>
                <c:pt idx="222">
                  <c:v>-34.635278891096377</c:v>
                </c:pt>
                <c:pt idx="223">
                  <c:v>-35.034753150062102</c:v>
                </c:pt>
                <c:pt idx="224">
                  <c:v>-35.434273613043217</c:v>
                </c:pt>
                <c:pt idx="225">
                  <c:v>-35.833836223913494</c:v>
                </c:pt>
                <c:pt idx="226">
                  <c:v>-36.233437281875453</c:v>
                </c:pt>
                <c:pt idx="227">
                  <c:v>-36.633073410457854</c:v>
                </c:pt>
                <c:pt idx="228">
                  <c:v>-37.032741529197722</c:v>
                </c:pt>
                <c:pt idx="229">
                  <c:v>-37.432438827776863</c:v>
                </c:pt>
                <c:pt idx="230">
                  <c:v>-37.832162742403519</c:v>
                </c:pt>
                <c:pt idx="231">
                  <c:v>-38.231910934246955</c:v>
                </c:pt>
                <c:pt idx="232">
                  <c:v>-38.631681269748491</c:v>
                </c:pt>
                <c:pt idx="233">
                  <c:v>-39.031471802646635</c:v>
                </c:pt>
                <c:pt idx="234">
                  <c:v>-39.431280757570299</c:v>
                </c:pt>
                <c:pt idx="235">
                  <c:v>-39.831106515062217</c:v>
                </c:pt>
                <c:pt idx="236">
                  <c:v>-40.230947597910784</c:v>
                </c:pt>
                <c:pt idx="237">
                  <c:v>-40.630802658675819</c:v>
                </c:pt>
                <c:pt idx="238">
                  <c:v>-41.030670468304926</c:v>
                </c:pt>
                <c:pt idx="239">
                  <c:v>-41.430549905745586</c:v>
                </c:pt>
                <c:pt idx="240">
                  <c:v>-41.830439948466456</c:v>
                </c:pt>
                <c:pt idx="241">
                  <c:v>-42.230339663808664</c:v>
                </c:pt>
                <c:pt idx="242">
                  <c:v>-42.630248201094645</c:v>
                </c:pt>
                <c:pt idx="243">
                  <c:v>-43.030164784428607</c:v>
                </c:pt>
                <c:pt idx="244">
                  <c:v>-43.430088706128025</c:v>
                </c:pt>
                <c:pt idx="245">
                  <c:v>-43.830019320731246</c:v>
                </c:pt>
                <c:pt idx="246">
                  <c:v>-44.229956039530734</c:v>
                </c:pt>
                <c:pt idx="247">
                  <c:v>-44.629898325586012</c:v>
                </c:pt>
                <c:pt idx="248">
                  <c:v>-45.029845689174117</c:v>
                </c:pt>
                <c:pt idx="249">
                  <c:v>-45.429797683639698</c:v>
                </c:pt>
                <c:pt idx="250">
                  <c:v>-45.829753901609259</c:v>
                </c:pt>
                <c:pt idx="251">
                  <c:v>-46.229713971538175</c:v>
                </c:pt>
                <c:pt idx="252">
                  <c:v>-46.629677554560381</c:v>
                </c:pt>
                <c:pt idx="253">
                  <c:v>-47.029644341615651</c:v>
                </c:pt>
                <c:pt idx="254">
                  <c:v>-47.429614050828597</c:v>
                </c:pt>
                <c:pt idx="255">
                  <c:v>-47.829586425118286</c:v>
                </c:pt>
                <c:pt idx="256">
                  <c:v>-48.229561230017815</c:v>
                </c:pt>
                <c:pt idx="257">
                  <c:v>-48.629538251685617</c:v>
                </c:pt>
                <c:pt idx="258">
                  <c:v>-49.029517295091658</c:v>
                </c:pt>
                <c:pt idx="259">
                  <c:v>-49.429498182362565</c:v>
                </c:pt>
                <c:pt idx="260">
                  <c:v>-49.829480751273124</c:v>
                </c:pt>
                <c:pt idx="261">
                  <c:v>-50.229464853869644</c:v>
                </c:pt>
                <c:pt idx="262">
                  <c:v>-50.629450355214544</c:v>
                </c:pt>
                <c:pt idx="263">
                  <c:v>-51.029437132241824</c:v>
                </c:pt>
                <c:pt idx="264">
                  <c:v>-51.429425072712235</c:v>
                </c:pt>
                <c:pt idx="265">
                  <c:v>-51.829414074261358</c:v>
                </c:pt>
                <c:pt idx="266">
                  <c:v>-52.2294040435306</c:v>
                </c:pt>
                <c:pt idx="267">
                  <c:v>-52.629394895375299</c:v>
                </c:pt>
                <c:pt idx="268">
                  <c:v>-53.029386552141624</c:v>
                </c:pt>
                <c:pt idx="269">
                  <c:v>-53.429378943008189</c:v>
                </c:pt>
                <c:pt idx="270">
                  <c:v>-53.829372003384314</c:v>
                </c:pt>
                <c:pt idx="271">
                  <c:v>-54.229365674362484</c:v>
                </c:pt>
                <c:pt idx="272">
                  <c:v>-54.629359902217978</c:v>
                </c:pt>
                <c:pt idx="273">
                  <c:v>-55.029354637952899</c:v>
                </c:pt>
                <c:pt idx="274">
                  <c:v>-55.429349836880476</c:v>
                </c:pt>
                <c:pt idx="275">
                  <c:v>-55.829345458245825</c:v>
                </c:pt>
                <c:pt idx="276">
                  <c:v>-56.229341464879681</c:v>
                </c:pt>
                <c:pt idx="277">
                  <c:v>-56.629337822883265</c:v>
                </c:pt>
                <c:pt idx="278">
                  <c:v>-57.029334501340415</c:v>
                </c:pt>
                <c:pt idx="279">
                  <c:v>-57.429331472055068</c:v>
                </c:pt>
                <c:pt idx="280">
                  <c:v>-57.829328709312186</c:v>
                </c:pt>
                <c:pt idx="281">
                  <c:v>-58.229326189659247</c:v>
                </c:pt>
                <c:pt idx="282">
                  <c:v>-58.629323891707081</c:v>
                </c:pt>
                <c:pt idx="283">
                  <c:v>-59.029321795948832</c:v>
                </c:pt>
                <c:pt idx="284">
                  <c:v>-59.429319884593681</c:v>
                </c:pt>
                <c:pt idx="285">
                  <c:v>-59.829318141416266</c:v>
                </c:pt>
                <c:pt idx="286">
                  <c:v>-60.229316551619043</c:v>
                </c:pt>
                <c:pt idx="287">
                  <c:v>-60.629315101706212</c:v>
                </c:pt>
                <c:pt idx="288">
                  <c:v>-61.029313779369552</c:v>
                </c:pt>
                <c:pt idx="289">
                  <c:v>-61.429312573383854</c:v>
                </c:pt>
                <c:pt idx="290">
                  <c:v>-61.829311473511517</c:v>
                </c:pt>
                <c:pt idx="291">
                  <c:v>-62.229310470415797</c:v>
                </c:pt>
                <c:pt idx="292">
                  <c:v>-62.629309555581408</c:v>
                </c:pt>
                <c:pt idx="293">
                  <c:v>-63.029308721242373</c:v>
                </c:pt>
                <c:pt idx="294">
                  <c:v>-63.429307960315988</c:v>
                </c:pt>
                <c:pt idx="295">
                  <c:v>-63.829307266342774</c:v>
                </c:pt>
                <c:pt idx="296">
                  <c:v>-64.229306633431548</c:v>
                </c:pt>
                <c:pt idx="297">
                  <c:v>-64.6293060562096</c:v>
                </c:pt>
                <c:pt idx="298">
                  <c:v>-65.029305529776863</c:v>
                </c:pt>
                <c:pt idx="299">
                  <c:v>-65.429305049664436</c:v>
                </c:pt>
                <c:pt idx="300">
                  <c:v>-65.829304611796616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D1-4879-B8F2-B3D6A3E16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391168"/>
        <c:axId val="581391824"/>
      </c:scatterChart>
      <c:valAx>
        <c:axId val="581391168"/>
        <c:scaling>
          <c:logBase val="10"/>
          <c:orientation val="minMax"/>
          <c:max val="1000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Frequency (Hz)</a:t>
                </a:r>
              </a:p>
            </c:rich>
          </c:tx>
          <c:layout>
            <c:manualLayout>
              <c:xMode val="edge"/>
              <c:yMode val="edge"/>
              <c:x val="0.49446103990364432"/>
              <c:y val="0.909197058582974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]0.00\ &quot;m&quot;;[&gt;=1000]0,\ &quot;k&quot;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391824"/>
        <c:crossesAt val="-300"/>
        <c:crossBetween val="midCat"/>
      </c:valAx>
      <c:valAx>
        <c:axId val="58139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391168"/>
        <c:crossesAt val="1.0000000000000002E-2"/>
        <c:crossBetween val="midCat"/>
        <c:maj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574657988379253"/>
          <c:y val="8.0444632806168329E-2"/>
          <c:w val="0.14472265966754155"/>
          <c:h val="0.18203023504743471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'fct vs. fpg'!$A$1:$A$91</c:f>
              <c:numCache>
                <c:formatCode>General</c:formatCode>
                <c:ptCount val="91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</c:numCache>
            </c:numRef>
          </c:xVal>
          <c:yVal>
            <c:numRef>
              <c:f>'fct vs. fpg'!$B$1:$B$91</c:f>
              <c:numCache>
                <c:formatCode>General</c:formatCode>
                <c:ptCount val="91"/>
                <c:pt idx="0">
                  <c:v>1.4635371846002088</c:v>
                </c:pt>
                <c:pt idx="1">
                  <c:v>1.4806849693733586</c:v>
                </c:pt>
                <c:pt idx="2">
                  <c:v>1.4932868473451388</c:v>
                </c:pt>
                <c:pt idx="3">
                  <c:v>1.5028394739003192</c:v>
                </c:pt>
                <c:pt idx="4">
                  <c:v>1.5102644614131844</c:v>
                </c:pt>
                <c:pt idx="5">
                  <c:v>1.516156600693914</c:v>
                </c:pt>
                <c:pt idx="6">
                  <c:v>1.5209147035398762</c:v>
                </c:pt>
                <c:pt idx="7">
                  <c:v>1.5248148085349091</c:v>
                </c:pt>
                <c:pt idx="8">
                  <c:v>1.5280531843016292</c:v>
                </c:pt>
                <c:pt idx="9">
                  <c:v>1.5307726408584625</c:v>
                </c:pt>
                <c:pt idx="10">
                  <c:v>1.5330791954208252</c:v>
                </c:pt>
                <c:pt idx="11">
                  <c:v>1.5350529486537405</c:v>
                </c:pt>
                <c:pt idx="12">
                  <c:v>1.5367553699374916</c:v>
                </c:pt>
                <c:pt idx="13">
                  <c:v>1.5382342905179602</c:v>
                </c:pt>
                <c:pt idx="14">
                  <c:v>1.5395273961240474</c:v>
                </c:pt>
                <c:pt idx="15">
                  <c:v>1.5406647149090495</c:v>
                </c:pt>
                <c:pt idx="16">
                  <c:v>1.5416704190208412</c:v>
                </c:pt>
                <c:pt idx="17">
                  <c:v>1.542564148664155</c:v>
                </c:pt>
                <c:pt idx="18">
                  <c:v>1.5433619984472269</c:v>
                </c:pt>
                <c:pt idx="19">
                  <c:v>1.544077261272589</c:v>
                </c:pt>
                <c:pt idx="20">
                  <c:v>1.5447209957581485</c:v>
                </c:pt>
                <c:pt idx="21">
                  <c:v>1.5453024635879919</c:v>
                </c:pt>
                <c:pt idx="22">
                  <c:v>1.5458294698728174</c:v>
                </c:pt>
                <c:pt idx="23">
                  <c:v>1.546308630406007</c:v>
                </c:pt>
                <c:pt idx="24">
                  <c:v>1.5467455832671448</c:v>
                </c:pt>
                <c:pt idx="25">
                  <c:v>1.5471451576640332</c:v>
                </c:pt>
                <c:pt idx="26">
                  <c:v>1.5475115096328729</c:v>
                </c:pt>
                <c:pt idx="27">
                  <c:v>1.5478482318436699</c:v>
                </c:pt>
                <c:pt idx="28">
                  <c:v>1.5481584430192847</c:v>
                </c:pt>
                <c:pt idx="29">
                  <c:v>1.5484448611901167</c:v>
                </c:pt>
                <c:pt idx="30">
                  <c:v>1.5487098640458792</c:v>
                </c:pt>
                <c:pt idx="31">
                  <c:v>1.5489555389226</c:v>
                </c:pt>
                <c:pt idx="32">
                  <c:v>1.5491837244138729</c:v>
                </c:pt>
                <c:pt idx="33">
                  <c:v>1.5493960451753805</c:v>
                </c:pt>
                <c:pt idx="34">
                  <c:v>1.5495939411681092</c:v>
                </c:pt>
                <c:pt idx="35">
                  <c:v>1.5497786923346903</c:v>
                </c:pt>
                <c:pt idx="36">
                  <c:v>1.549951439507349</c:v>
                </c:pt>
                <c:pt idx="37">
                  <c:v>1.5501132021920341</c:v>
                </c:pt>
                <c:pt idx="38">
                  <c:v>1.5502648937516965</c:v>
                </c:pt>
                <c:pt idx="39">
                  <c:v>1.5504073344150935</c:v>
                </c:pt>
                <c:pt idx="40">
                  <c:v>1.550541262460333</c:v>
                </c:pt>
                <c:pt idx="41">
                  <c:v>1.5506673438604548</c:v>
                </c:pt>
                <c:pt idx="42">
                  <c:v>1.5507861806283885</c:v>
                </c:pt>
                <c:pt idx="43">
                  <c:v>1.5508983180581624</c:v>
                </c:pt>
                <c:pt idx="44">
                  <c:v>1.551004251026296</c:v>
                </c:pt>
                <c:pt idx="45">
                  <c:v>1.5511044294903902</c:v>
                </c:pt>
                <c:pt idx="46">
                  <c:v>1.5511992632998344</c:v>
                </c:pt>
                <c:pt idx="47">
                  <c:v>1.5512891264153521</c:v>
                </c:pt>
                <c:pt idx="48">
                  <c:v>1.551374360619056</c:v>
                </c:pt>
                <c:pt idx="49">
                  <c:v>1.5514552787841938</c:v>
                </c:pt>
                <c:pt idx="50">
                  <c:v>1.5515321677633647</c:v>
                </c:pt>
                <c:pt idx="51">
                  <c:v>1.551605290945296</c:v>
                </c:pt>
                <c:pt idx="52">
                  <c:v>1.5516748905229869</c:v>
                </c:pt>
                <c:pt idx="53">
                  <c:v>1.5517411895098923</c:v>
                </c:pt>
                <c:pt idx="54">
                  <c:v>1.5518043935356682</c:v>
                </c:pt>
                <c:pt idx="55">
                  <c:v>1.5518646924486166</c:v>
                </c:pt>
                <c:pt idx="56">
                  <c:v>1.5519222617482682</c:v>
                </c:pt>
                <c:pt idx="57">
                  <c:v>1.5519772638683933</c:v>
                </c:pt>
                <c:pt idx="58">
                  <c:v>1.5520298493280353</c:v>
                </c:pt>
                <c:pt idx="59">
                  <c:v>1.5520801577658676</c:v>
                </c:pt>
                <c:pt idx="60">
                  <c:v>1.5521283188712129</c:v>
                </c:pt>
                <c:pt idx="61">
                  <c:v>1.5521744532233581</c:v>
                </c:pt>
                <c:pt idx="62">
                  <c:v>1.5522186730493575</c:v>
                </c:pt>
                <c:pt idx="63">
                  <c:v>1.5522610829092496</c:v>
                </c:pt>
                <c:pt idx="64">
                  <c:v>1.5523017803165344</c:v>
                </c:pt>
                <c:pt idx="65">
                  <c:v>1.5523408563008088</c:v>
                </c:pt>
                <c:pt idx="66">
                  <c:v>1.5523783959186488</c:v>
                </c:pt>
                <c:pt idx="67">
                  <c:v>1.55241447871811</c:v>
                </c:pt>
                <c:pt idx="68">
                  <c:v>1.5524491791616002</c:v>
                </c:pt>
                <c:pt idx="69">
                  <c:v>1.552482567011336</c:v>
                </c:pt>
                <c:pt idx="70">
                  <c:v>1.5525147076811208</c:v>
                </c:pt>
                <c:pt idx="71">
                  <c:v>1.5525456625577709</c:v>
                </c:pt>
                <c:pt idx="72">
                  <c:v>1.5525754892951438</c:v>
                </c:pt>
                <c:pt idx="73">
                  <c:v>1.5526042420834074</c:v>
                </c:pt>
                <c:pt idx="74">
                  <c:v>1.5526319718959101</c:v>
                </c:pt>
                <c:pt idx="75">
                  <c:v>1.5526587267157501</c:v>
                </c:pt>
                <c:pt idx="76">
                  <c:v>1.5526845517439372</c:v>
                </c:pt>
                <c:pt idx="77">
                  <c:v>1.5527094895908329</c:v>
                </c:pt>
                <c:pt idx="78">
                  <c:v>1.5527335804523896</c:v>
                </c:pt>
                <c:pt idx="79">
                  <c:v>1.5527568622725534</c:v>
                </c:pt>
                <c:pt idx="80">
                  <c:v>1.5527793708930557</c:v>
                </c:pt>
                <c:pt idx="81">
                  <c:v>1.5528011401917066</c:v>
                </c:pt>
                <c:pt idx="82">
                  <c:v>1.552822202210183</c:v>
                </c:pt>
                <c:pt idx="83">
                  <c:v>1.552842587272216</c:v>
                </c:pt>
                <c:pt idx="84">
                  <c:v>1.5528623240929955</c:v>
                </c:pt>
                <c:pt idx="85">
                  <c:v>1.552881439880526</c:v>
                </c:pt>
                <c:pt idx="86">
                  <c:v>1.552899960429607</c:v>
                </c:pt>
                <c:pt idx="87">
                  <c:v>1.5529179102090469</c:v>
                </c:pt>
                <c:pt idx="88">
                  <c:v>1.5529353124426537</c:v>
                </c:pt>
                <c:pt idx="89">
                  <c:v>1.5529521891845153</c:v>
                </c:pt>
                <c:pt idx="90">
                  <c:v>1.5529685613890185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0E-404D-9C83-B9E8EB0DA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486096"/>
        <c:axId val="512484456"/>
      </c:scatterChart>
      <c:valAx>
        <c:axId val="512486096"/>
        <c:scaling>
          <c:orientation val="minMax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Passband Gain, A</a:t>
                </a:r>
                <a:r>
                  <a:rPr lang="en-US" baseline="-25000"/>
                  <a:t>0</a:t>
                </a:r>
                <a:r>
                  <a:rPr lang="en-US" baseline="0"/>
                  <a:t> (V/V)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84456"/>
        <c:crosses val="autoZero"/>
        <c:crossBetween val="midCat"/>
        <c:majorUnit val="1"/>
      </c:valAx>
      <c:valAx>
        <c:axId val="512484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</a:t>
                </a:r>
                <a:r>
                  <a:rPr lang="en-US" baseline="-25000"/>
                  <a:t>CT</a:t>
                </a:r>
                <a:r>
                  <a:rPr lang="en-US"/>
                  <a:t>/f</a:t>
                </a:r>
                <a:r>
                  <a:rPr lang="en-US" baseline="-25000"/>
                  <a:t>pG</a:t>
                </a:r>
                <a:r>
                  <a:rPr lang="en-US"/>
                  <a:t> Ratio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86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'Inverting AC Coupled Amp'!$H$3:$H$303</c:f>
              <c:numCache>
                <c:formatCode>General</c:formatCode>
                <c:ptCount val="301"/>
                <c:pt idx="0">
                  <c:v>1.6E-2</c:v>
                </c:pt>
                <c:pt idx="1">
                  <c:v>1.675405676881438E-2</c:v>
                </c:pt>
                <c:pt idx="2">
                  <c:v>1.7543651138290959E-2</c:v>
                </c:pt>
                <c:pt idx="3">
                  <c:v>1.8370457943950119E-2</c:v>
                </c:pt>
                <c:pt idx="4">
                  <c:v>1.9236230953878598E-2</c:v>
                </c:pt>
                <c:pt idx="5">
                  <c:v>2.0142806588706659E-2</c:v>
                </c:pt>
                <c:pt idx="6">
                  <c:v>2.1092107816902513E-2</c:v>
                </c:pt>
                <c:pt idx="7">
                  <c:v>2.2086148233646151E-2</c:v>
                </c:pt>
                <c:pt idx="8">
                  <c:v>2.3127036331934834E-2</c:v>
                </c:pt>
                <c:pt idx="9">
                  <c:v>2.4216979974979316E-2</c:v>
                </c:pt>
                <c:pt idx="10">
                  <c:v>2.5358291079377815E-2</c:v>
                </c:pt>
                <c:pt idx="11">
                  <c:v>2.655339051900097E-2</c:v>
                </c:pt>
                <c:pt idx="12">
                  <c:v>2.7804813259989999E-2</c:v>
                </c:pt>
                <c:pt idx="13">
                  <c:v>2.9115213737759695E-2</c:v>
                </c:pt>
                <c:pt idx="14">
                  <c:v>3.0487371487411936E-2</c:v>
                </c:pt>
                <c:pt idx="15">
                  <c:v>3.1924197039502049E-2</c:v>
                </c:pt>
                <c:pt idx="16">
                  <c:v>3.3428738093664596E-2</c:v>
                </c:pt>
                <c:pt idx="17">
                  <c:v>3.5004185983192798E-2</c:v>
                </c:pt>
                <c:pt idx="18">
                  <c:v>3.6653882444284344E-2</c:v>
                </c:pt>
                <c:pt idx="19">
                  <c:v>3.8381326704311818E-2</c:v>
                </c:pt>
                <c:pt idx="20">
                  <c:v>4.0190182904153243E-2</c:v>
                </c:pt>
                <c:pt idx="21">
                  <c:v>4.2084287870326066E-2</c:v>
                </c:pt>
                <c:pt idx="22">
                  <c:v>4.4067659253410642E-2</c:v>
                </c:pt>
                <c:pt idx="23">
                  <c:v>4.6144504050025667E-2</c:v>
                </c:pt>
                <c:pt idx="24">
                  <c:v>4.8319227526432217E-2</c:v>
                </c:pt>
                <c:pt idx="25">
                  <c:v>5.0596442562694022E-2</c:v>
                </c:pt>
                <c:pt idx="26">
                  <c:v>5.2980979437214568E-2</c:v>
                </c:pt>
                <c:pt idx="27">
                  <c:v>5.5477896072405039E-2</c:v>
                </c:pt>
                <c:pt idx="28">
                  <c:v>5.8092488763216175E-2</c:v>
                </c:pt>
                <c:pt idx="29">
                  <c:v>6.0830303411289796E-2</c:v>
                </c:pt>
                <c:pt idx="30">
                  <c:v>6.3697147288559547E-2</c:v>
                </c:pt>
                <c:pt idx="31">
                  <c:v>6.6699101355253643E-2</c:v>
                </c:pt>
                <c:pt idx="32">
                  <c:v>6.9842533158426506E-2</c:v>
                </c:pt>
                <c:pt idx="33">
                  <c:v>7.3134110338380007E-2</c:v>
                </c:pt>
                <c:pt idx="34">
                  <c:v>7.6580814771622138E-2</c:v>
                </c:pt>
                <c:pt idx="35">
                  <c:v>8.0189957380363538E-2</c:v>
                </c:pt>
                <c:pt idx="36">
                  <c:v>8.396919363996358E-2</c:v>
                </c:pt>
                <c:pt idx="37">
                  <c:v>8.7926539817219956E-2</c:v>
                </c:pt>
                <c:pt idx="38">
                  <c:v>9.2070389973945038E-2</c:v>
                </c:pt>
                <c:pt idx="39">
                  <c:v>9.6409533771897149E-2</c:v>
                </c:pt>
                <c:pt idx="40">
                  <c:v>0.1009531751168308</c:v>
                </c:pt>
                <c:pt idx="41">
                  <c:v>0.1057109516812153</c:v>
                </c:pt>
                <c:pt idx="42">
                  <c:v>0.11069295534702976</c:v>
                </c:pt>
                <c:pt idx="43">
                  <c:v>0.1159097536119983</c:v>
                </c:pt>
                <c:pt idx="44">
                  <c:v>0.12137241200466928</c:v>
                </c:pt>
                <c:pt idx="45">
                  <c:v>0.12709251755588499</c:v>
                </c:pt>
                <c:pt idx="46">
                  <c:v>0.13308220337642729</c:v>
                </c:pt>
                <c:pt idx="47">
                  <c:v>0.13935417439297282</c:v>
                </c:pt>
                <c:pt idx="48">
                  <c:v>0.14592173429694541</c:v>
                </c:pt>
                <c:pt idx="49">
                  <c:v>0.15279881376342971</c:v>
                </c:pt>
                <c:pt idx="50">
                  <c:v>0.16</c:v>
                </c:pt>
                <c:pt idx="51">
                  <c:v>0.16754056768814382</c:v>
                </c:pt>
                <c:pt idx="52">
                  <c:v>0.17543651138290961</c:v>
                </c:pt>
                <c:pt idx="53">
                  <c:v>0.18370457943950122</c:v>
                </c:pt>
                <c:pt idx="54">
                  <c:v>0.192362309538786</c:v>
                </c:pt>
                <c:pt idx="55">
                  <c:v>0.20142806588706663</c:v>
                </c:pt>
                <c:pt idx="56">
                  <c:v>0.21092107816902519</c:v>
                </c:pt>
                <c:pt idx="57">
                  <c:v>0.22086148233646138</c:v>
                </c:pt>
                <c:pt idx="58">
                  <c:v>0.23127036331934836</c:v>
                </c:pt>
                <c:pt idx="59">
                  <c:v>0.24216979974979322</c:v>
                </c:pt>
                <c:pt idx="60">
                  <c:v>0.25358291079377798</c:v>
                </c:pt>
                <c:pt idx="61">
                  <c:v>0.26553390519000947</c:v>
                </c:pt>
                <c:pt idx="62">
                  <c:v>0.27804813259990008</c:v>
                </c:pt>
                <c:pt idx="63">
                  <c:v>0.29115213737759726</c:v>
                </c:pt>
                <c:pt idx="64">
                  <c:v>0.30487371487411941</c:v>
                </c:pt>
                <c:pt idx="65">
                  <c:v>0.31924197039502067</c:v>
                </c:pt>
                <c:pt idx="66">
                  <c:v>0.33428738093664617</c:v>
                </c:pt>
                <c:pt idx="67">
                  <c:v>0.35004185983192837</c:v>
                </c:pt>
                <c:pt idx="68">
                  <c:v>0.36653882444284358</c:v>
                </c:pt>
                <c:pt idx="69">
                  <c:v>0.3838132670431183</c:v>
                </c:pt>
                <c:pt idx="70">
                  <c:v>0.40190182904153249</c:v>
                </c:pt>
                <c:pt idx="71">
                  <c:v>0.42084287870326087</c:v>
                </c:pt>
                <c:pt idx="72">
                  <c:v>0.44067659253410635</c:v>
                </c:pt>
                <c:pt idx="73">
                  <c:v>0.46144504050025675</c:v>
                </c:pt>
                <c:pt idx="74">
                  <c:v>0.48319227526432235</c:v>
                </c:pt>
                <c:pt idx="75">
                  <c:v>0.50596442562694055</c:v>
                </c:pt>
                <c:pt idx="76">
                  <c:v>0.5298097943721457</c:v>
                </c:pt>
                <c:pt idx="77">
                  <c:v>0.55477896072405053</c:v>
                </c:pt>
                <c:pt idx="78">
                  <c:v>0.5809248876321621</c:v>
                </c:pt>
                <c:pt idx="79">
                  <c:v>0.60830303411289777</c:v>
                </c:pt>
                <c:pt idx="80">
                  <c:v>0.63697147288559564</c:v>
                </c:pt>
                <c:pt idx="81">
                  <c:v>0.66699101355253654</c:v>
                </c:pt>
                <c:pt idx="82">
                  <c:v>0.69842533158426534</c:v>
                </c:pt>
                <c:pt idx="83">
                  <c:v>0.73134110338379965</c:v>
                </c:pt>
                <c:pt idx="84">
                  <c:v>0.76580814771622119</c:v>
                </c:pt>
                <c:pt idx="85">
                  <c:v>0.8018995738036353</c:v>
                </c:pt>
                <c:pt idx="86">
                  <c:v>0.83969193639963591</c:v>
                </c:pt>
                <c:pt idx="87">
                  <c:v>0.87926539817219895</c:v>
                </c:pt>
                <c:pt idx="88">
                  <c:v>0.92070389973945099</c:v>
                </c:pt>
                <c:pt idx="89">
                  <c:v>0.96409533771897193</c:v>
                </c:pt>
                <c:pt idx="90">
                  <c:v>1.0095317511683091</c:v>
                </c:pt>
                <c:pt idx="91">
                  <c:v>1.0571095168121534</c:v>
                </c:pt>
                <c:pt idx="92">
                  <c:v>1.1069295534702983</c:v>
                </c:pt>
                <c:pt idx="93">
                  <c:v>1.1590975361199838</c:v>
                </c:pt>
                <c:pt idx="94">
                  <c:v>1.2137241200466937</c:v>
                </c:pt>
                <c:pt idx="95">
                  <c:v>1.2709251755588495</c:v>
                </c:pt>
                <c:pt idx="96">
                  <c:v>1.3308220337642733</c:v>
                </c:pt>
                <c:pt idx="97">
                  <c:v>1.3935417439297282</c:v>
                </c:pt>
                <c:pt idx="98">
                  <c:v>1.459217342969455</c:v>
                </c:pt>
                <c:pt idx="99">
                  <c:v>1.527988137634297</c:v>
                </c:pt>
                <c:pt idx="100">
                  <c:v>1.6</c:v>
                </c:pt>
                <c:pt idx="101">
                  <c:v>1.6754056768814394</c:v>
                </c:pt>
                <c:pt idx="102">
                  <c:v>1.7543651138290959</c:v>
                </c:pt>
                <c:pt idx="103">
                  <c:v>1.8370457943950127</c:v>
                </c:pt>
                <c:pt idx="104">
                  <c:v>1.9236230953878606</c:v>
                </c:pt>
                <c:pt idx="105">
                  <c:v>2.0142806588706668</c:v>
                </c:pt>
                <c:pt idx="106">
                  <c:v>2.1092107816902512</c:v>
                </c:pt>
                <c:pt idx="107">
                  <c:v>2.208614823364615</c:v>
                </c:pt>
                <c:pt idx="108">
                  <c:v>2.3127036331934834</c:v>
                </c:pt>
                <c:pt idx="109">
                  <c:v>2.4216979974979327</c:v>
                </c:pt>
                <c:pt idx="110">
                  <c:v>2.535829107937781</c:v>
                </c:pt>
                <c:pt idx="111">
                  <c:v>2.6553390519000959</c:v>
                </c:pt>
                <c:pt idx="112">
                  <c:v>2.7804813259989998</c:v>
                </c:pt>
                <c:pt idx="113">
                  <c:v>2.9115213737759733</c:v>
                </c:pt>
                <c:pt idx="114">
                  <c:v>3.0487371487411954</c:v>
                </c:pt>
                <c:pt idx="115">
                  <c:v>3.1924197039502071</c:v>
                </c:pt>
                <c:pt idx="116">
                  <c:v>3.3428738093664627</c:v>
                </c:pt>
                <c:pt idx="117">
                  <c:v>3.5004185983192837</c:v>
                </c:pt>
                <c:pt idx="118">
                  <c:v>3.6653882444284367</c:v>
                </c:pt>
                <c:pt idx="119">
                  <c:v>3.8381326704311842</c:v>
                </c:pt>
                <c:pt idx="120">
                  <c:v>4.0190182904153282</c:v>
                </c:pt>
                <c:pt idx="121">
                  <c:v>4.2084287870326111</c:v>
                </c:pt>
                <c:pt idx="122">
                  <c:v>4.406765925341066</c:v>
                </c:pt>
                <c:pt idx="123">
                  <c:v>4.614450405002569</c:v>
                </c:pt>
                <c:pt idx="124">
                  <c:v>4.8319227526432247</c:v>
                </c:pt>
                <c:pt idx="125">
                  <c:v>5.0596442562694071</c:v>
                </c:pt>
                <c:pt idx="126">
                  <c:v>5.2980979437214568</c:v>
                </c:pt>
                <c:pt idx="127">
                  <c:v>5.5477896072405066</c:v>
                </c:pt>
                <c:pt idx="128">
                  <c:v>5.8092488763216217</c:v>
                </c:pt>
                <c:pt idx="129">
                  <c:v>6.0830303411289783</c:v>
                </c:pt>
                <c:pt idx="130">
                  <c:v>6.3697147288559552</c:v>
                </c:pt>
                <c:pt idx="131">
                  <c:v>6.6699101355253658</c:v>
                </c:pt>
                <c:pt idx="132">
                  <c:v>6.984253315842655</c:v>
                </c:pt>
                <c:pt idx="133">
                  <c:v>7.3134110338380003</c:v>
                </c:pt>
                <c:pt idx="134">
                  <c:v>7.658081477162213</c:v>
                </c:pt>
                <c:pt idx="135">
                  <c:v>8.0189957380363559</c:v>
                </c:pt>
                <c:pt idx="136">
                  <c:v>8.3969193639963606</c:v>
                </c:pt>
                <c:pt idx="137">
                  <c:v>8.7926539817219922</c:v>
                </c:pt>
                <c:pt idx="138">
                  <c:v>9.2070389973945108</c:v>
                </c:pt>
                <c:pt idx="139">
                  <c:v>9.6409533771897244</c:v>
                </c:pt>
                <c:pt idx="140">
                  <c:v>10.095317511683092</c:v>
                </c:pt>
                <c:pt idx="141">
                  <c:v>10.571095168121536</c:v>
                </c:pt>
                <c:pt idx="142">
                  <c:v>11.069295534702984</c:v>
                </c:pt>
                <c:pt idx="143">
                  <c:v>11.59097536119984</c:v>
                </c:pt>
                <c:pt idx="144">
                  <c:v>12.137241200466939</c:v>
                </c:pt>
                <c:pt idx="145">
                  <c:v>12.709251755588504</c:v>
                </c:pt>
                <c:pt idx="146">
                  <c:v>13.308220337642734</c:v>
                </c:pt>
                <c:pt idx="147">
                  <c:v>13.935417439297286</c:v>
                </c:pt>
                <c:pt idx="148">
                  <c:v>14.592173429694554</c:v>
                </c:pt>
                <c:pt idx="149">
                  <c:v>15.279881376342974</c:v>
                </c:pt>
                <c:pt idx="150">
                  <c:v>16</c:v>
                </c:pt>
                <c:pt idx="151">
                  <c:v>16.754056768814394</c:v>
                </c:pt>
                <c:pt idx="152">
                  <c:v>17.543651138290961</c:v>
                </c:pt>
                <c:pt idx="153">
                  <c:v>18.370457943950129</c:v>
                </c:pt>
                <c:pt idx="154">
                  <c:v>19.236230953878611</c:v>
                </c:pt>
                <c:pt idx="155">
                  <c:v>20.142806588706677</c:v>
                </c:pt>
                <c:pt idx="156">
                  <c:v>21.092107816902516</c:v>
                </c:pt>
                <c:pt idx="157">
                  <c:v>22.08614823364616</c:v>
                </c:pt>
                <c:pt idx="158">
                  <c:v>23.127036331934839</c:v>
                </c:pt>
                <c:pt idx="159">
                  <c:v>24.216979974979331</c:v>
                </c:pt>
                <c:pt idx="160">
                  <c:v>25.358291079377818</c:v>
                </c:pt>
                <c:pt idx="161">
                  <c:v>26.55339051900097</c:v>
                </c:pt>
                <c:pt idx="162">
                  <c:v>27.804813259990009</c:v>
                </c:pt>
                <c:pt idx="163">
                  <c:v>29.115213737759738</c:v>
                </c:pt>
                <c:pt idx="164">
                  <c:v>30.487371487411959</c:v>
                </c:pt>
                <c:pt idx="165">
                  <c:v>31.924197039502076</c:v>
                </c:pt>
                <c:pt idx="166">
                  <c:v>33.428738093664634</c:v>
                </c:pt>
                <c:pt idx="167">
                  <c:v>35.004185983192841</c:v>
                </c:pt>
                <c:pt idx="168">
                  <c:v>36.65388244428437</c:v>
                </c:pt>
                <c:pt idx="169">
                  <c:v>38.381326704311853</c:v>
                </c:pt>
                <c:pt idx="170">
                  <c:v>40.190182904153289</c:v>
                </c:pt>
                <c:pt idx="171">
                  <c:v>42.084287870326115</c:v>
                </c:pt>
                <c:pt idx="172">
                  <c:v>44.06765925341066</c:v>
                </c:pt>
                <c:pt idx="173">
                  <c:v>46.144504050025695</c:v>
                </c:pt>
                <c:pt idx="174">
                  <c:v>48.319227526432265</c:v>
                </c:pt>
                <c:pt idx="175">
                  <c:v>50.596442562694072</c:v>
                </c:pt>
                <c:pt idx="176">
                  <c:v>52.980979437214586</c:v>
                </c:pt>
                <c:pt idx="177">
                  <c:v>55.477896072405073</c:v>
                </c:pt>
                <c:pt idx="178">
                  <c:v>58.092488763216224</c:v>
                </c:pt>
                <c:pt idx="179">
                  <c:v>60.83030341128979</c:v>
                </c:pt>
                <c:pt idx="180">
                  <c:v>63.697147288559563</c:v>
                </c:pt>
                <c:pt idx="181">
                  <c:v>66.699101355253674</c:v>
                </c:pt>
                <c:pt idx="182">
                  <c:v>69.842533158426562</c:v>
                </c:pt>
                <c:pt idx="183">
                  <c:v>73.134110338380012</c:v>
                </c:pt>
                <c:pt idx="184">
                  <c:v>76.580814771622144</c:v>
                </c:pt>
                <c:pt idx="185">
                  <c:v>80.189957380363566</c:v>
                </c:pt>
                <c:pt idx="186">
                  <c:v>83.969193639963621</c:v>
                </c:pt>
                <c:pt idx="187">
                  <c:v>87.926539817219933</c:v>
                </c:pt>
                <c:pt idx="188">
                  <c:v>92.07038997394514</c:v>
                </c:pt>
                <c:pt idx="189">
                  <c:v>96.409533771897273</c:v>
                </c:pt>
                <c:pt idx="190">
                  <c:v>100.95317511683095</c:v>
                </c:pt>
                <c:pt idx="191">
                  <c:v>105.71095168121538</c:v>
                </c:pt>
                <c:pt idx="192">
                  <c:v>110.69295534702987</c:v>
                </c:pt>
                <c:pt idx="193">
                  <c:v>115.90975361199844</c:v>
                </c:pt>
                <c:pt idx="194">
                  <c:v>121.3724120046694</c:v>
                </c:pt>
                <c:pt idx="195">
                  <c:v>127.09251755588508</c:v>
                </c:pt>
                <c:pt idx="196">
                  <c:v>133.08220337642737</c:v>
                </c:pt>
                <c:pt idx="197">
                  <c:v>139.35417439297288</c:v>
                </c:pt>
                <c:pt idx="198">
                  <c:v>145.92173429694557</c:v>
                </c:pt>
                <c:pt idx="199">
                  <c:v>152.79881376342973</c:v>
                </c:pt>
                <c:pt idx="200">
                  <c:v>160</c:v>
                </c:pt>
                <c:pt idx="201">
                  <c:v>167.54056768814399</c:v>
                </c:pt>
                <c:pt idx="202">
                  <c:v>175.43651138290966</c:v>
                </c:pt>
                <c:pt idx="203">
                  <c:v>183.70457943950134</c:v>
                </c:pt>
                <c:pt idx="204">
                  <c:v>192.36230953878612</c:v>
                </c:pt>
                <c:pt idx="205">
                  <c:v>201.42806588706688</c:v>
                </c:pt>
                <c:pt idx="206">
                  <c:v>210.92107816902521</c:v>
                </c:pt>
                <c:pt idx="207">
                  <c:v>220.86148233646162</c:v>
                </c:pt>
                <c:pt idx="208">
                  <c:v>231.27036331934841</c:v>
                </c:pt>
                <c:pt idx="209">
                  <c:v>242.16979974979338</c:v>
                </c:pt>
                <c:pt idx="210">
                  <c:v>253.58291079377818</c:v>
                </c:pt>
                <c:pt idx="211">
                  <c:v>265.53390519000982</c:v>
                </c:pt>
                <c:pt idx="212">
                  <c:v>278.0481325999001</c:v>
                </c:pt>
                <c:pt idx="213">
                  <c:v>291.15213737759746</c:v>
                </c:pt>
                <c:pt idx="214">
                  <c:v>304.87371487411963</c:v>
                </c:pt>
                <c:pt idx="215">
                  <c:v>319.24197039502087</c:v>
                </c:pt>
                <c:pt idx="216">
                  <c:v>334.2873809366464</c:v>
                </c:pt>
                <c:pt idx="217">
                  <c:v>350.0418598319286</c:v>
                </c:pt>
                <c:pt idx="218">
                  <c:v>366.5388244428438</c:v>
                </c:pt>
                <c:pt idx="219">
                  <c:v>383.81326704311851</c:v>
                </c:pt>
                <c:pt idx="220">
                  <c:v>401.90182904153278</c:v>
                </c:pt>
                <c:pt idx="221">
                  <c:v>420.84287870326119</c:v>
                </c:pt>
                <c:pt idx="222">
                  <c:v>440.67659253410665</c:v>
                </c:pt>
                <c:pt idx="223">
                  <c:v>461.44504050025705</c:v>
                </c:pt>
                <c:pt idx="224">
                  <c:v>483.19227526432263</c:v>
                </c:pt>
                <c:pt idx="225">
                  <c:v>505.96442562694085</c:v>
                </c:pt>
                <c:pt idx="226">
                  <c:v>529.80979437214603</c:v>
                </c:pt>
                <c:pt idx="227">
                  <c:v>554.77896072405088</c:v>
                </c:pt>
                <c:pt idx="228">
                  <c:v>580.92488763216249</c:v>
                </c:pt>
                <c:pt idx="229">
                  <c:v>608.30303411289822</c:v>
                </c:pt>
                <c:pt idx="230">
                  <c:v>636.97147288559609</c:v>
                </c:pt>
                <c:pt idx="231">
                  <c:v>666.99101355253697</c:v>
                </c:pt>
                <c:pt idx="232">
                  <c:v>698.42533158426579</c:v>
                </c:pt>
                <c:pt idx="233">
                  <c:v>731.34110338380015</c:v>
                </c:pt>
                <c:pt idx="234">
                  <c:v>765.8081477162217</c:v>
                </c:pt>
                <c:pt idx="235">
                  <c:v>801.8995738036358</c:v>
                </c:pt>
                <c:pt idx="236">
                  <c:v>839.69193639963657</c:v>
                </c:pt>
                <c:pt idx="237">
                  <c:v>879.26539817219953</c:v>
                </c:pt>
                <c:pt idx="238">
                  <c:v>920.70389973945112</c:v>
                </c:pt>
                <c:pt idx="239">
                  <c:v>964.09533771897316</c:v>
                </c:pt>
                <c:pt idx="240">
                  <c:v>1009.5317511683098</c:v>
                </c:pt>
                <c:pt idx="241">
                  <c:v>1057.109516812154</c:v>
                </c:pt>
                <c:pt idx="242">
                  <c:v>1106.9295534702985</c:v>
                </c:pt>
                <c:pt idx="243">
                  <c:v>1159.0975361199851</c:v>
                </c:pt>
                <c:pt idx="244">
                  <c:v>1213.7241200466938</c:v>
                </c:pt>
                <c:pt idx="245">
                  <c:v>1270.9251755588512</c:v>
                </c:pt>
                <c:pt idx="246">
                  <c:v>1330.822033764274</c:v>
                </c:pt>
                <c:pt idx="247">
                  <c:v>1393.5417439297291</c:v>
                </c:pt>
                <c:pt idx="248">
                  <c:v>1459.2173429694556</c:v>
                </c:pt>
                <c:pt idx="249">
                  <c:v>1527.9881376342985</c:v>
                </c:pt>
                <c:pt idx="250">
                  <c:v>1600</c:v>
                </c:pt>
                <c:pt idx="251">
                  <c:v>1675.4056768814396</c:v>
                </c:pt>
                <c:pt idx="252">
                  <c:v>1754.3651138290977</c:v>
                </c:pt>
                <c:pt idx="253">
                  <c:v>1837.0457943950137</c:v>
                </c:pt>
                <c:pt idx="254">
                  <c:v>1923.6230953878617</c:v>
                </c:pt>
                <c:pt idx="255">
                  <c:v>2014.2806588706683</c:v>
                </c:pt>
                <c:pt idx="256">
                  <c:v>2109.2107816902535</c:v>
                </c:pt>
                <c:pt idx="257">
                  <c:v>2208.6148233646177</c:v>
                </c:pt>
                <c:pt idx="258">
                  <c:v>2312.7036331934855</c:v>
                </c:pt>
                <c:pt idx="259">
                  <c:v>2421.6979974979345</c:v>
                </c:pt>
                <c:pt idx="260">
                  <c:v>2535.8291079377846</c:v>
                </c:pt>
                <c:pt idx="261">
                  <c:v>2655.3390519000995</c:v>
                </c:pt>
                <c:pt idx="262">
                  <c:v>2780.4813259990028</c:v>
                </c:pt>
                <c:pt idx="263">
                  <c:v>2911.5213737759727</c:v>
                </c:pt>
                <c:pt idx="264">
                  <c:v>3048.737148741197</c:v>
                </c:pt>
                <c:pt idx="265">
                  <c:v>3192.4197039502083</c:v>
                </c:pt>
                <c:pt idx="266">
                  <c:v>3342.8738093664633</c:v>
                </c:pt>
                <c:pt idx="267">
                  <c:v>3500.4185983192838</c:v>
                </c:pt>
                <c:pt idx="268">
                  <c:v>3665.3882444284391</c:v>
                </c:pt>
                <c:pt idx="269">
                  <c:v>3838.1326704311859</c:v>
                </c:pt>
                <c:pt idx="270">
                  <c:v>4019.0182904153289</c:v>
                </c:pt>
                <c:pt idx="271">
                  <c:v>4208.4287870326107</c:v>
                </c:pt>
                <c:pt idx="272">
                  <c:v>4406.7659253410693</c:v>
                </c:pt>
                <c:pt idx="273">
                  <c:v>4614.4504050025716</c:v>
                </c:pt>
                <c:pt idx="274">
                  <c:v>4831.9227526432269</c:v>
                </c:pt>
                <c:pt idx="275">
                  <c:v>5059.6442562694119</c:v>
                </c:pt>
                <c:pt idx="276">
                  <c:v>5298.0979437214619</c:v>
                </c:pt>
                <c:pt idx="277">
                  <c:v>5547.7896072405092</c:v>
                </c:pt>
                <c:pt idx="278">
                  <c:v>5809.2488763216243</c:v>
                </c:pt>
                <c:pt idx="279">
                  <c:v>6083.030341128986</c:v>
                </c:pt>
                <c:pt idx="280">
                  <c:v>6369.7147288559618</c:v>
                </c:pt>
                <c:pt idx="281">
                  <c:v>6669.9101355253715</c:v>
                </c:pt>
                <c:pt idx="282">
                  <c:v>6984.2533158426595</c:v>
                </c:pt>
                <c:pt idx="283">
                  <c:v>7313.4110338380096</c:v>
                </c:pt>
                <c:pt idx="284">
                  <c:v>7658.0814771622217</c:v>
                </c:pt>
                <c:pt idx="285">
                  <c:v>8018.995738036363</c:v>
                </c:pt>
                <c:pt idx="286">
                  <c:v>8396.9193639963669</c:v>
                </c:pt>
                <c:pt idx="287">
                  <c:v>8792.6539817220055</c:v>
                </c:pt>
                <c:pt idx="288">
                  <c:v>9207.038997394513</c:v>
                </c:pt>
                <c:pt idx="289">
                  <c:v>9640.9533771897241</c:v>
                </c:pt>
                <c:pt idx="290">
                  <c:v>10095.317511683092</c:v>
                </c:pt>
                <c:pt idx="291">
                  <c:v>10571.095168121543</c:v>
                </c:pt>
                <c:pt idx="292">
                  <c:v>11069.295534702987</c:v>
                </c:pt>
                <c:pt idx="293">
                  <c:v>11590.975361199844</c:v>
                </c:pt>
                <c:pt idx="294">
                  <c:v>12137.24120046694</c:v>
                </c:pt>
                <c:pt idx="295">
                  <c:v>12709.251755588513</c:v>
                </c:pt>
                <c:pt idx="296">
                  <c:v>13308.220337642742</c:v>
                </c:pt>
                <c:pt idx="297">
                  <c:v>13935.417439297295</c:v>
                </c:pt>
                <c:pt idx="298">
                  <c:v>14592.173429694558</c:v>
                </c:pt>
                <c:pt idx="299">
                  <c:v>15279.881376342988</c:v>
                </c:pt>
                <c:pt idx="300">
                  <c:v>16000</c:v>
                </c:pt>
              </c:numCache>
            </c:numRef>
          </c:xVal>
          <c:yVal>
            <c:numRef>
              <c:f>'Inverting AC Coupled Amp'!$K$3:$K$303</c:f>
              <c:numCache>
                <c:formatCode>General</c:formatCode>
                <c:ptCount val="301"/>
                <c:pt idx="0">
                  <c:v>-20.087300450991684</c:v>
                </c:pt>
                <c:pt idx="1">
                  <c:v>-19.687300869990704</c:v>
                </c:pt>
                <c:pt idx="2">
                  <c:v>-19.287301329413967</c:v>
                </c:pt>
                <c:pt idx="3">
                  <c:v>-18.887301833161526</c:v>
                </c:pt>
                <c:pt idx="4">
                  <c:v>-18.487302385509594</c:v>
                </c:pt>
                <c:pt idx="5">
                  <c:v>-18.087302991147187</c:v>
                </c:pt>
                <c:pt idx="6">
                  <c:v>-17.687303655215537</c:v>
                </c:pt>
                <c:pt idx="7">
                  <c:v>-17.287304383351842</c:v>
                </c:pt>
                <c:pt idx="8">
                  <c:v>-16.887305181737396</c:v>
                </c:pt>
                <c:pt idx="9">
                  <c:v>-16.487306057149468</c:v>
                </c:pt>
                <c:pt idx="10">
                  <c:v>-16.087307017019484</c:v>
                </c:pt>
                <c:pt idx="11">
                  <c:v>-15.68730806949576</c:v>
                </c:pt>
                <c:pt idx="12">
                  <c:v>-15.287309223512903</c:v>
                </c:pt>
                <c:pt idx="13">
                  <c:v>-14.887310488867097</c:v>
                </c:pt>
                <c:pt idx="14">
                  <c:v>-14.4873118762999</c:v>
                </c:pt>
                <c:pt idx="15">
                  <c:v>-14.087313397589337</c:v>
                </c:pt>
                <c:pt idx="16">
                  <c:v>-13.687315065649354</c:v>
                </c:pt>
                <c:pt idx="17">
                  <c:v>-13.287316894640046</c:v>
                </c:pt>
                <c:pt idx="18">
                  <c:v>-12.887318900087628</c:v>
                </c:pt>
                <c:pt idx="19">
                  <c:v>-12.48732109901602</c:v>
                </c:pt>
                <c:pt idx="20">
                  <c:v>-12.087323510091885</c:v>
                </c:pt>
                <c:pt idx="21">
                  <c:v>-11.687326153782378</c:v>
                </c:pt>
                <c:pt idx="22">
                  <c:v>-11.287329052529548</c:v>
                </c:pt>
                <c:pt idx="23">
                  <c:v>-10.887332230940379</c:v>
                </c:pt>
                <c:pt idx="24">
                  <c:v>-10.487335715995904</c:v>
                </c:pt>
                <c:pt idx="25">
                  <c:v>-10.087339537280053</c:v>
                </c:pt>
                <c:pt idx="26">
                  <c:v>-9.6873437272309495</c:v>
                </c:pt>
                <c:pt idx="27">
                  <c:v>-9.2873483214161023</c:v>
                </c:pt>
                <c:pt idx="28">
                  <c:v>-8.8873533588343818</c:v>
                </c:pt>
                <c:pt idx="29">
                  <c:v>-8.4873588822469763</c:v>
                </c:pt>
                <c:pt idx="30">
                  <c:v>-8.0873649385403557</c:v>
                </c:pt>
                <c:pt idx="31">
                  <c:v>-7.6873715791242869</c:v>
                </c:pt>
                <c:pt idx="32">
                  <c:v>-7.2873788603681042</c:v>
                </c:pt>
                <c:pt idx="33">
                  <c:v>-6.8873868440792121</c:v>
                </c:pt>
                <c:pt idx="34">
                  <c:v>-6.4873955980274545</c:v>
                </c:pt>
                <c:pt idx="35">
                  <c:v>-6.087405196520562</c:v>
                </c:pt>
                <c:pt idx="36">
                  <c:v>-5.6874157210345722</c:v>
                </c:pt>
                <c:pt idx="37">
                  <c:v>-5.2874272609054138</c:v>
                </c:pt>
                <c:pt idx="38">
                  <c:v>-4.8874399140869365</c:v>
                </c:pt>
                <c:pt idx="39">
                  <c:v>-4.4874537879822221</c:v>
                </c:pt>
                <c:pt idx="40">
                  <c:v>-4.0874690003549183</c:v>
                </c:pt>
                <c:pt idx="41">
                  <c:v>-3.6874856803286713</c:v>
                </c:pt>
                <c:pt idx="42">
                  <c:v>-3.2875039694825912</c:v>
                </c:pt>
                <c:pt idx="43">
                  <c:v>-2.8875240230525328</c:v>
                </c:pt>
                <c:pt idx="44">
                  <c:v>-2.4875460112483152</c:v>
                </c:pt>
                <c:pt idx="45">
                  <c:v>-2.0875701206976123</c:v>
                </c:pt>
                <c:pt idx="46">
                  <c:v>-1.6875965560292538</c:v>
                </c:pt>
                <c:pt idx="47">
                  <c:v>-1.2876255416090374</c:v>
                </c:pt>
                <c:pt idx="48">
                  <c:v>-0.88765732344296133</c:v>
                </c:pt>
                <c:pt idx="49">
                  <c:v>-0.4876921712635493</c:v>
                </c:pt>
                <c:pt idx="50">
                  <c:v>-8.7730380817665682E-2</c:v>
                </c:pt>
                <c:pt idx="51">
                  <c:v>0.31222772362583751</c:v>
                </c:pt>
                <c:pt idx="52">
                  <c:v>0.7121817865260448</c:v>
                </c:pt>
                <c:pt idx="53">
                  <c:v>1.1121314180562456</c:v>
                </c:pt>
                <c:pt idx="54">
                  <c:v>1.5120761907987998</c:v>
                </c:pt>
                <c:pt idx="55">
                  <c:v>1.9120156361223226</c:v>
                </c:pt>
                <c:pt idx="56">
                  <c:v>2.3119492402103066</c:v>
                </c:pt>
                <c:pt idx="57">
                  <c:v>2.7118764397071398</c:v>
                </c:pt>
                <c:pt idx="58">
                  <c:v>3.1117966169452682</c:v>
                </c:pt>
                <c:pt idx="59">
                  <c:v>3.5117090947137068</c:v>
                </c:pt>
                <c:pt idx="60">
                  <c:v>3.9116131305223174</c:v>
                </c:pt>
                <c:pt idx="61">
                  <c:v>4.3115079103160019</c:v>
                </c:pt>
                <c:pt idx="62">
                  <c:v>4.7113925415839857</c:v>
                </c:pt>
                <c:pt idx="63">
                  <c:v>5.1112660458071923</c:v>
                </c:pt>
                <c:pt idx="64">
                  <c:v>5.5111273501806952</c:v>
                </c:pt>
                <c:pt idx="65">
                  <c:v>5.9109752785411027</c:v>
                </c:pt>
                <c:pt idx="66">
                  <c:v>6.3108085414241186</c:v>
                </c:pt>
                <c:pt idx="67">
                  <c:v>6.7106257251682413</c:v>
                </c:pt>
                <c:pt idx="68">
                  <c:v>7.1104252799744856</c:v>
                </c:pt>
                <c:pt idx="69">
                  <c:v>7.5102055068228672</c:v>
                </c:pt>
                <c:pt idx="70">
                  <c:v>7.9099645431360202</c:v>
                </c:pt>
                <c:pt idx="71">
                  <c:v>8.3097003470731483</c:v>
                </c:pt>
                <c:pt idx="72">
                  <c:v>8.7094106803220761</c:v>
                </c:pt>
                <c:pt idx="73">
                  <c:v>9.1090930892499884</c:v>
                </c:pt>
                <c:pt idx="74">
                  <c:v>9.5087448842559752</c:v>
                </c:pt>
                <c:pt idx="75">
                  <c:v>9.9083631171577977</c:v>
                </c:pt>
                <c:pt idx="76">
                  <c:v>10.307944556427113</c:v>
                </c:pt>
                <c:pt idx="77">
                  <c:v>10.707485660072713</c:v>
                </c:pt>
                <c:pt idx="78">
                  <c:v>11.106982545951588</c:v>
                </c:pt>
                <c:pt idx="79">
                  <c:v>11.506430959269213</c:v>
                </c:pt>
                <c:pt idx="80">
                  <c:v>11.905826237007801</c:v>
                </c:pt>
                <c:pt idx="81">
                  <c:v>12.305163268999637</c:v>
                </c:pt>
                <c:pt idx="82">
                  <c:v>12.704436455336868</c:v>
                </c:pt>
                <c:pt idx="83">
                  <c:v>13.103639659782875</c:v>
                </c:pt>
                <c:pt idx="84">
                  <c:v>13.502766158821816</c:v>
                </c:pt>
                <c:pt idx="85">
                  <c:v>13.90180858595137</c:v>
                </c:pt>
                <c:pt idx="86">
                  <c:v>14.30075887079283</c:v>
                </c:pt>
                <c:pt idx="87">
                  <c:v>14.69960817255544</c:v>
                </c:pt>
                <c:pt idx="88">
                  <c:v>15.098346807357135</c:v>
                </c:pt>
                <c:pt idx="89">
                  <c:v>15.496964168863014</c:v>
                </c:pt>
                <c:pt idx="90">
                  <c:v>15.895448641663082</c:v>
                </c:pt>
                <c:pt idx="91">
                  <c:v>16.293787506766925</c:v>
                </c:pt>
                <c:pt idx="92">
                  <c:v>16.691966838549313</c:v>
                </c:pt>
                <c:pt idx="93">
                  <c:v>17.089971392433906</c:v>
                </c:pt>
                <c:pt idx="94">
                  <c:v>17.487784482556535</c:v>
                </c:pt>
                <c:pt idx="95">
                  <c:v>17.885387848601599</c:v>
                </c:pt>
                <c:pt idx="96">
                  <c:v>18.282761510959183</c:v>
                </c:pt>
                <c:pt idx="97">
                  <c:v>18.679883613304792</c:v>
                </c:pt>
                <c:pt idx="98">
                  <c:v>19.076730251661523</c:v>
                </c:pt>
                <c:pt idx="99">
                  <c:v>19.473275288965741</c:v>
                </c:pt>
                <c:pt idx="100">
                  <c:v>19.869490154124534</c:v>
                </c:pt>
                <c:pt idx="101">
                  <c:v>20.265343624529834</c:v>
                </c:pt>
                <c:pt idx="102">
                  <c:v>20.660801590978686</c:v>
                </c:pt>
                <c:pt idx="103">
                  <c:v>21.055826803953646</c:v>
                </c:pt>
                <c:pt idx="104">
                  <c:v>21.450378600230231</c:v>
                </c:pt>
                <c:pt idx="105">
                  <c:v>21.844412608826531</c:v>
                </c:pt>
                <c:pt idx="106">
                  <c:v>22.237880435374858</c:v>
                </c:pt>
                <c:pt idx="107">
                  <c:v>22.630729324101061</c:v>
                </c:pt>
                <c:pt idx="108">
                  <c:v>23.022901796742644</c:v>
                </c:pt>
                <c:pt idx="109">
                  <c:v>23.414335267932891</c:v>
                </c:pt>
                <c:pt idx="110">
                  <c:v>23.804961636831422</c:v>
                </c:pt>
                <c:pt idx="111">
                  <c:v>24.194706855108812</c:v>
                </c:pt>
                <c:pt idx="112">
                  <c:v>24.583490471796381</c:v>
                </c:pt>
                <c:pt idx="113">
                  <c:v>24.971225156014064</c:v>
                </c:pt>
                <c:pt idx="114">
                  <c:v>25.357816199195181</c:v>
                </c:pt>
                <c:pt idx="115">
                  <c:v>25.743160999155666</c:v>
                </c:pt>
                <c:pt idx="116">
                  <c:v>26.127148529218456</c:v>
                </c:pt>
                <c:pt idx="117">
                  <c:v>26.509658796612101</c:v>
                </c:pt>
                <c:pt idx="118">
                  <c:v>26.89056229553514</c:v>
                </c:pt>
                <c:pt idx="119">
                  <c:v>27.269719461613754</c:v>
                </c:pt>
                <c:pt idx="120">
                  <c:v>27.646980135989949</c:v>
                </c:pt>
                <c:pt idx="121">
                  <c:v>28.022183048959967</c:v>
                </c:pt>
                <c:pt idx="122">
                  <c:v>28.395155334921768</c:v>
                </c:pt>
                <c:pt idx="123">
                  <c:v>28.765712092374574</c:v>
                </c:pt>
                <c:pt idx="124">
                  <c:v>29.133656004796432</c:v>
                </c:pt>
                <c:pt idx="125">
                  <c:v>29.49877704036874</c:v>
                </c:pt>
                <c:pt idx="126">
                  <c:v>29.860852250636036</c:v>
                </c:pt>
                <c:pt idx="127">
                  <c:v>30.219645690198792</c:v>
                </c:pt>
                <c:pt idx="128">
                  <c:v>30.574908481314228</c:v>
                </c:pt>
                <c:pt idx="129">
                  <c:v>30.926379048678942</c:v>
                </c:pt>
                <c:pt idx="130">
                  <c:v>31.273783550517194</c:v>
                </c:pt>
                <c:pt idx="131">
                  <c:v>31.616836532208985</c:v>
                </c:pt>
                <c:pt idx="132">
                  <c:v>31.95524182784937</c:v>
                </c:pt>
                <c:pt idx="133">
                  <c:v>32.288693733123942</c:v>
                </c:pt>
                <c:pt idx="134">
                  <c:v>32.616878469507483</c:v>
                </c:pt>
                <c:pt idx="135">
                  <c:v>32.939475954864044</c:v>
                </c:pt>
                <c:pt idx="136">
                  <c:v>33.256161888923636</c:v>
                </c:pt>
                <c:pt idx="137">
                  <c:v>33.566610153778164</c:v>
                </c:pt>
                <c:pt idx="138">
                  <c:v>33.870495519536405</c:v>
                </c:pt>
                <c:pt idx="139">
                  <c:v>34.167496633785191</c:v>
                </c:pt>
                <c:pt idx="140">
                  <c:v>34.457299260858072</c:v>
                </c:pt>
                <c:pt idx="141">
                  <c:v>34.73959972360592</c:v>
                </c:pt>
                <c:pt idx="142">
                  <c:v>35.014108487047075</c:v>
                </c:pt>
                <c:pt idx="143">
                  <c:v>35.28055381073078</c:v>
                </c:pt>
                <c:pt idx="144">
                  <c:v>35.538685385751286</c:v>
                </c:pt>
                <c:pt idx="145">
                  <c:v>35.78827786400759</c:v>
                </c:pt>
                <c:pt idx="146">
                  <c:v>36.029134182368601</c:v>
                </c:pt>
                <c:pt idx="147">
                  <c:v>36.261088583595885</c:v>
                </c:pt>
                <c:pt idx="148">
                  <c:v>36.48400923968952</c:v>
                </c:pt>
                <c:pt idx="149">
                  <c:v>36.697800391948114</c:v>
                </c:pt>
                <c:pt idx="150">
                  <c:v>36.90240393531117</c:v>
                </c:pt>
                <c:pt idx="151">
                  <c:v>37.097800391948113</c:v>
                </c:pt>
                <c:pt idx="152">
                  <c:v>37.284009239689524</c:v>
                </c:pt>
                <c:pt idx="153">
                  <c:v>37.461088583595853</c:v>
                </c:pt>
                <c:pt idx="154">
                  <c:v>37.629134182368624</c:v>
                </c:pt>
                <c:pt idx="155">
                  <c:v>37.788277864007618</c:v>
                </c:pt>
                <c:pt idx="156">
                  <c:v>37.938685385751327</c:v>
                </c:pt>
                <c:pt idx="157">
                  <c:v>38.080553810730791</c:v>
                </c:pt>
                <c:pt idx="158">
                  <c:v>38.214108487047056</c:v>
                </c:pt>
                <c:pt idx="159">
                  <c:v>38.3395997236059</c:v>
                </c:pt>
                <c:pt idx="160">
                  <c:v>38.457299260858058</c:v>
                </c:pt>
                <c:pt idx="161">
                  <c:v>38.567496633785218</c:v>
                </c:pt>
                <c:pt idx="162">
                  <c:v>38.670495519536416</c:v>
                </c:pt>
                <c:pt idx="163">
                  <c:v>38.766610153778153</c:v>
                </c:pt>
                <c:pt idx="164">
                  <c:v>38.856161888923644</c:v>
                </c:pt>
                <c:pt idx="165">
                  <c:v>38.939475954864037</c:v>
                </c:pt>
                <c:pt idx="166">
                  <c:v>39.016878469507475</c:v>
                </c:pt>
                <c:pt idx="167">
                  <c:v>39.088693733123961</c:v>
                </c:pt>
                <c:pt idx="168">
                  <c:v>39.155241827849345</c:v>
                </c:pt>
                <c:pt idx="169">
                  <c:v>39.216836532209015</c:v>
                </c:pt>
                <c:pt idx="170">
                  <c:v>39.273783550517194</c:v>
                </c:pt>
                <c:pt idx="171">
                  <c:v>39.326379048678966</c:v>
                </c:pt>
                <c:pt idx="172">
                  <c:v>39.374908481314229</c:v>
                </c:pt>
                <c:pt idx="173">
                  <c:v>39.419645690198784</c:v>
                </c:pt>
                <c:pt idx="174">
                  <c:v>39.460852250636037</c:v>
                </c:pt>
                <c:pt idx="175">
                  <c:v>39.498777040368729</c:v>
                </c:pt>
                <c:pt idx="176">
                  <c:v>39.53365600479642</c:v>
                </c:pt>
                <c:pt idx="177">
                  <c:v>39.565712092374596</c:v>
                </c:pt>
                <c:pt idx="178">
                  <c:v>39.595155334921792</c:v>
                </c:pt>
                <c:pt idx="179">
                  <c:v>39.62218304895994</c:v>
                </c:pt>
                <c:pt idx="180">
                  <c:v>39.646980135989971</c:v>
                </c:pt>
                <c:pt idx="181">
                  <c:v>39.669719461613738</c:v>
                </c:pt>
                <c:pt idx="182">
                  <c:v>39.690562295535166</c:v>
                </c:pt>
                <c:pt idx="183">
                  <c:v>39.709658796612089</c:v>
                </c:pt>
                <c:pt idx="184">
                  <c:v>39.727148529218454</c:v>
                </c:pt>
                <c:pt idx="185">
                  <c:v>39.743160999155663</c:v>
                </c:pt>
                <c:pt idx="186">
                  <c:v>39.757816199195133</c:v>
                </c:pt>
                <c:pt idx="187">
                  <c:v>39.771225156014083</c:v>
                </c:pt>
                <c:pt idx="188">
                  <c:v>39.783490471796405</c:v>
                </c:pt>
                <c:pt idx="189">
                  <c:v>39.794706855108799</c:v>
                </c:pt>
                <c:pt idx="190">
                  <c:v>39.804961636831422</c:v>
                </c:pt>
                <c:pt idx="191">
                  <c:v>39.814335267932904</c:v>
                </c:pt>
                <c:pt idx="192">
                  <c:v>39.822901796742684</c:v>
                </c:pt>
                <c:pt idx="193">
                  <c:v>39.830729324101043</c:v>
                </c:pt>
                <c:pt idx="194">
                  <c:v>39.837880435374814</c:v>
                </c:pt>
                <c:pt idx="195">
                  <c:v>39.84441260882646</c:v>
                </c:pt>
                <c:pt idx="196">
                  <c:v>39.850378600230187</c:v>
                </c:pt>
                <c:pt idx="197">
                  <c:v>39.855826803953683</c:v>
                </c:pt>
                <c:pt idx="198">
                  <c:v>39.860801590978745</c:v>
                </c:pt>
                <c:pt idx="199">
                  <c:v>39.865343624529814</c:v>
                </c:pt>
                <c:pt idx="200">
                  <c:v>39.86949015412457</c:v>
                </c:pt>
                <c:pt idx="201">
                  <c:v>39.873275288965743</c:v>
                </c:pt>
                <c:pt idx="202">
                  <c:v>39.876730251661549</c:v>
                </c:pt>
                <c:pt idx="203">
                  <c:v>39.879883613304784</c:v>
                </c:pt>
                <c:pt idx="204">
                  <c:v>39.88276151095922</c:v>
                </c:pt>
                <c:pt idx="205">
                  <c:v>39.885387848601624</c:v>
                </c:pt>
                <c:pt idx="206">
                  <c:v>39.887784482556569</c:v>
                </c:pt>
                <c:pt idx="207">
                  <c:v>39.889971392433893</c:v>
                </c:pt>
                <c:pt idx="208">
                  <c:v>39.891966838549308</c:v>
                </c:pt>
                <c:pt idx="209">
                  <c:v>39.893787506766941</c:v>
                </c:pt>
                <c:pt idx="210">
                  <c:v>39.895448641663073</c:v>
                </c:pt>
                <c:pt idx="211">
                  <c:v>39.896964168863043</c:v>
                </c:pt>
                <c:pt idx="212">
                  <c:v>39.898346807357143</c:v>
                </c:pt>
                <c:pt idx="213">
                  <c:v>39.899608172555439</c:v>
                </c:pt>
                <c:pt idx="214">
                  <c:v>39.900758870792849</c:v>
                </c:pt>
                <c:pt idx="215">
                  <c:v>39.901808585951429</c:v>
                </c:pt>
                <c:pt idx="216">
                  <c:v>39.902766158821812</c:v>
                </c:pt>
                <c:pt idx="217">
                  <c:v>39.903639659782911</c:v>
                </c:pt>
                <c:pt idx="218">
                  <c:v>39.904436455336835</c:v>
                </c:pt>
                <c:pt idx="219">
                  <c:v>39.905163268999651</c:v>
                </c:pt>
                <c:pt idx="220">
                  <c:v>39.905826237007801</c:v>
                </c:pt>
                <c:pt idx="221">
                  <c:v>39.906430959269237</c:v>
                </c:pt>
                <c:pt idx="222">
                  <c:v>39.906982545951593</c:v>
                </c:pt>
                <c:pt idx="223">
                  <c:v>39.907485660072709</c:v>
                </c:pt>
                <c:pt idx="224">
                  <c:v>39.907944556427125</c:v>
                </c:pt>
                <c:pt idx="225">
                  <c:v>39.908363117157798</c:v>
                </c:pt>
                <c:pt idx="226">
                  <c:v>39.908744884255988</c:v>
                </c:pt>
                <c:pt idx="227">
                  <c:v>39.909093089249986</c:v>
                </c:pt>
                <c:pt idx="228">
                  <c:v>39.909410680322075</c:v>
                </c:pt>
                <c:pt idx="229">
                  <c:v>39.909700347073112</c:v>
                </c:pt>
                <c:pt idx="230">
                  <c:v>39.909964543136034</c:v>
                </c:pt>
                <c:pt idx="231">
                  <c:v>39.910205506822834</c:v>
                </c:pt>
                <c:pt idx="232">
                  <c:v>39.910425279974518</c:v>
                </c:pt>
                <c:pt idx="233">
                  <c:v>39.910625725168224</c:v>
                </c:pt>
                <c:pt idx="234">
                  <c:v>39.91080854142411</c:v>
                </c:pt>
                <c:pt idx="235">
                  <c:v>39.910975278541095</c:v>
                </c:pt>
                <c:pt idx="236">
                  <c:v>39.911127350180671</c:v>
                </c:pt>
                <c:pt idx="237">
                  <c:v>39.911266045807203</c:v>
                </c:pt>
                <c:pt idx="238">
                  <c:v>39.911392541584</c:v>
                </c:pt>
                <c:pt idx="239">
                  <c:v>39.911507910316018</c:v>
                </c:pt>
                <c:pt idx="240">
                  <c:v>39.911613130522333</c:v>
                </c:pt>
                <c:pt idx="241">
                  <c:v>39.911709094713721</c:v>
                </c:pt>
                <c:pt idx="242">
                  <c:v>39.91179661694531</c:v>
                </c:pt>
                <c:pt idx="243">
                  <c:v>39.911876439707086</c:v>
                </c:pt>
                <c:pt idx="244">
                  <c:v>39.911949240210248</c:v>
                </c:pt>
                <c:pt idx="245">
                  <c:v>39.912015636122263</c:v>
                </c:pt>
                <c:pt idx="246">
                  <c:v>39.91207619079875</c:v>
                </c:pt>
                <c:pt idx="247">
                  <c:v>39.912131418056255</c:v>
                </c:pt>
                <c:pt idx="248">
                  <c:v>39.912181786526062</c:v>
                </c:pt>
                <c:pt idx="249">
                  <c:v>39.912227723625818</c:v>
                </c:pt>
                <c:pt idx="250">
                  <c:v>39.912269619182368</c:v>
                </c:pt>
                <c:pt idx="251">
                  <c:v>39.912307828736445</c:v>
                </c:pt>
                <c:pt idx="252">
                  <c:v>39.91234267655706</c:v>
                </c:pt>
                <c:pt idx="253">
                  <c:v>39.912374458390943</c:v>
                </c:pt>
                <c:pt idx="254">
                  <c:v>39.912403443970781</c:v>
                </c:pt>
                <c:pt idx="255">
                  <c:v>39.912429879302408</c:v>
                </c:pt>
                <c:pt idx="256">
                  <c:v>39.912453988751714</c:v>
                </c:pt>
                <c:pt idx="257">
                  <c:v>39.912475976947462</c:v>
                </c:pt>
                <c:pt idx="258">
                  <c:v>39.912496030517424</c:v>
                </c:pt>
                <c:pt idx="259">
                  <c:v>39.912514319671338</c:v>
                </c:pt>
                <c:pt idx="260">
                  <c:v>39.912530999645092</c:v>
                </c:pt>
                <c:pt idx="261">
                  <c:v>39.91254621201783</c:v>
                </c:pt>
                <c:pt idx="262">
                  <c:v>39.912560085913093</c:v>
                </c:pt>
                <c:pt idx="263">
                  <c:v>39.912572739094585</c:v>
                </c:pt>
                <c:pt idx="264">
                  <c:v>39.91258427896544</c:v>
                </c:pt>
                <c:pt idx="265">
                  <c:v>39.912594803479486</c:v>
                </c:pt>
                <c:pt idx="266">
                  <c:v>39.912604401972544</c:v>
                </c:pt>
                <c:pt idx="267">
                  <c:v>39.912613155920823</c:v>
                </c:pt>
                <c:pt idx="268">
                  <c:v>39.912621139631867</c:v>
                </c:pt>
                <c:pt idx="269">
                  <c:v>39.91262842087572</c:v>
                </c:pt>
                <c:pt idx="270">
                  <c:v>39.912635061459639</c:v>
                </c:pt>
                <c:pt idx="271">
                  <c:v>39.912641117753054</c:v>
                </c:pt>
                <c:pt idx="272">
                  <c:v>39.91264664116563</c:v>
                </c:pt>
                <c:pt idx="273">
                  <c:v>39.912651678583913</c:v>
                </c:pt>
                <c:pt idx="274">
                  <c:v>39.912656272769055</c:v>
                </c:pt>
                <c:pt idx="275">
                  <c:v>39.912660462719941</c:v>
                </c:pt>
                <c:pt idx="276">
                  <c:v>39.912664284004116</c:v>
                </c:pt>
                <c:pt idx="277">
                  <c:v>39.912667769059638</c:v>
                </c:pt>
                <c:pt idx="278">
                  <c:v>39.912670947470453</c:v>
                </c:pt>
                <c:pt idx="279">
                  <c:v>39.912673846217615</c:v>
                </c:pt>
                <c:pt idx="280">
                  <c:v>39.912676489908144</c:v>
                </c:pt>
                <c:pt idx="281">
                  <c:v>39.912678900983963</c:v>
                </c:pt>
                <c:pt idx="282">
                  <c:v>39.912681099912419</c:v>
                </c:pt>
                <c:pt idx="283">
                  <c:v>39.912683105359946</c:v>
                </c:pt>
                <c:pt idx="284">
                  <c:v>39.912684934350636</c:v>
                </c:pt>
                <c:pt idx="285">
                  <c:v>39.91268660241068</c:v>
                </c:pt>
                <c:pt idx="286">
                  <c:v>39.91268812370005</c:v>
                </c:pt>
                <c:pt idx="287">
                  <c:v>39.912689511132925</c:v>
                </c:pt>
                <c:pt idx="288">
                  <c:v>39.912690776487139</c:v>
                </c:pt>
                <c:pt idx="289">
                  <c:v>39.912691930504188</c:v>
                </c:pt>
                <c:pt idx="290">
                  <c:v>39.912692982980531</c:v>
                </c:pt>
                <c:pt idx="291">
                  <c:v>39.912693942850588</c:v>
                </c:pt>
                <c:pt idx="292">
                  <c:v>39.912694818262665</c:v>
                </c:pt>
                <c:pt idx="293">
                  <c:v>39.912695616648122</c:v>
                </c:pt>
                <c:pt idx="294">
                  <c:v>39.91269634478445</c:v>
                </c:pt>
                <c:pt idx="295">
                  <c:v>39.912697008852767</c:v>
                </c:pt>
                <c:pt idx="296">
                  <c:v>39.912697614490369</c:v>
                </c:pt>
                <c:pt idx="297">
                  <c:v>39.912698166838496</c:v>
                </c:pt>
                <c:pt idx="298">
                  <c:v>39.912698670586046</c:v>
                </c:pt>
                <c:pt idx="299">
                  <c:v>39.912699130009308</c:v>
                </c:pt>
                <c:pt idx="300">
                  <c:v>39.912699549008352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D1-403F-9B36-6371B13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101904"/>
        <c:axId val="674100592"/>
      </c:scatterChart>
      <c:valAx>
        <c:axId val="6741019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]0.00\ &quot;m&quot;;[&gt;=1000]0,\ &quot;k&quot;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0592"/>
        <c:crossesAt val="-300"/>
        <c:crossBetween val="midCat"/>
      </c:valAx>
      <c:valAx>
        <c:axId val="67410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1904"/>
        <c:crossesAt val="1.0000000000000004E-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sz="1200"/>
              <a:t>φ</a:t>
            </a:r>
            <a:r>
              <a:rPr lang="en-US" sz="1200"/>
              <a:t> (Degrees)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'Inverting AC Coupled Amp'!$H$3:$H$303</c:f>
              <c:numCache>
                <c:formatCode>General</c:formatCode>
                <c:ptCount val="301"/>
                <c:pt idx="0">
                  <c:v>1.6E-2</c:v>
                </c:pt>
                <c:pt idx="1">
                  <c:v>1.675405676881438E-2</c:v>
                </c:pt>
                <c:pt idx="2">
                  <c:v>1.7543651138290959E-2</c:v>
                </c:pt>
                <c:pt idx="3">
                  <c:v>1.8370457943950119E-2</c:v>
                </c:pt>
                <c:pt idx="4">
                  <c:v>1.9236230953878598E-2</c:v>
                </c:pt>
                <c:pt idx="5">
                  <c:v>2.0142806588706659E-2</c:v>
                </c:pt>
                <c:pt idx="6">
                  <c:v>2.1092107816902513E-2</c:v>
                </c:pt>
                <c:pt idx="7">
                  <c:v>2.2086148233646151E-2</c:v>
                </c:pt>
                <c:pt idx="8">
                  <c:v>2.3127036331934834E-2</c:v>
                </c:pt>
                <c:pt idx="9">
                  <c:v>2.4216979974979316E-2</c:v>
                </c:pt>
                <c:pt idx="10">
                  <c:v>2.5358291079377815E-2</c:v>
                </c:pt>
                <c:pt idx="11">
                  <c:v>2.655339051900097E-2</c:v>
                </c:pt>
                <c:pt idx="12">
                  <c:v>2.7804813259989999E-2</c:v>
                </c:pt>
                <c:pt idx="13">
                  <c:v>2.9115213737759695E-2</c:v>
                </c:pt>
                <c:pt idx="14">
                  <c:v>3.0487371487411936E-2</c:v>
                </c:pt>
                <c:pt idx="15">
                  <c:v>3.1924197039502049E-2</c:v>
                </c:pt>
                <c:pt idx="16">
                  <c:v>3.3428738093664596E-2</c:v>
                </c:pt>
                <c:pt idx="17">
                  <c:v>3.5004185983192798E-2</c:v>
                </c:pt>
                <c:pt idx="18">
                  <c:v>3.6653882444284344E-2</c:v>
                </c:pt>
                <c:pt idx="19">
                  <c:v>3.8381326704311818E-2</c:v>
                </c:pt>
                <c:pt idx="20">
                  <c:v>4.0190182904153243E-2</c:v>
                </c:pt>
                <c:pt idx="21">
                  <c:v>4.2084287870326066E-2</c:v>
                </c:pt>
                <c:pt idx="22">
                  <c:v>4.4067659253410642E-2</c:v>
                </c:pt>
                <c:pt idx="23">
                  <c:v>4.6144504050025667E-2</c:v>
                </c:pt>
                <c:pt idx="24">
                  <c:v>4.8319227526432217E-2</c:v>
                </c:pt>
                <c:pt idx="25">
                  <c:v>5.0596442562694022E-2</c:v>
                </c:pt>
                <c:pt idx="26">
                  <c:v>5.2980979437214568E-2</c:v>
                </c:pt>
                <c:pt idx="27">
                  <c:v>5.5477896072405039E-2</c:v>
                </c:pt>
                <c:pt idx="28">
                  <c:v>5.8092488763216175E-2</c:v>
                </c:pt>
                <c:pt idx="29">
                  <c:v>6.0830303411289796E-2</c:v>
                </c:pt>
                <c:pt idx="30">
                  <c:v>6.3697147288559547E-2</c:v>
                </c:pt>
                <c:pt idx="31">
                  <c:v>6.6699101355253643E-2</c:v>
                </c:pt>
                <c:pt idx="32">
                  <c:v>6.9842533158426506E-2</c:v>
                </c:pt>
                <c:pt idx="33">
                  <c:v>7.3134110338380007E-2</c:v>
                </c:pt>
                <c:pt idx="34">
                  <c:v>7.6580814771622138E-2</c:v>
                </c:pt>
                <c:pt idx="35">
                  <c:v>8.0189957380363538E-2</c:v>
                </c:pt>
                <c:pt idx="36">
                  <c:v>8.396919363996358E-2</c:v>
                </c:pt>
                <c:pt idx="37">
                  <c:v>8.7926539817219956E-2</c:v>
                </c:pt>
                <c:pt idx="38">
                  <c:v>9.2070389973945038E-2</c:v>
                </c:pt>
                <c:pt idx="39">
                  <c:v>9.6409533771897149E-2</c:v>
                </c:pt>
                <c:pt idx="40">
                  <c:v>0.1009531751168308</c:v>
                </c:pt>
                <c:pt idx="41">
                  <c:v>0.1057109516812153</c:v>
                </c:pt>
                <c:pt idx="42">
                  <c:v>0.11069295534702976</c:v>
                </c:pt>
                <c:pt idx="43">
                  <c:v>0.1159097536119983</c:v>
                </c:pt>
                <c:pt idx="44">
                  <c:v>0.12137241200466928</c:v>
                </c:pt>
                <c:pt idx="45">
                  <c:v>0.12709251755588499</c:v>
                </c:pt>
                <c:pt idx="46">
                  <c:v>0.13308220337642729</c:v>
                </c:pt>
                <c:pt idx="47">
                  <c:v>0.13935417439297282</c:v>
                </c:pt>
                <c:pt idx="48">
                  <c:v>0.14592173429694541</c:v>
                </c:pt>
                <c:pt idx="49">
                  <c:v>0.15279881376342971</c:v>
                </c:pt>
                <c:pt idx="50">
                  <c:v>0.16</c:v>
                </c:pt>
                <c:pt idx="51">
                  <c:v>0.16754056768814382</c:v>
                </c:pt>
                <c:pt idx="52">
                  <c:v>0.17543651138290961</c:v>
                </c:pt>
                <c:pt idx="53">
                  <c:v>0.18370457943950122</c:v>
                </c:pt>
                <c:pt idx="54">
                  <c:v>0.192362309538786</c:v>
                </c:pt>
                <c:pt idx="55">
                  <c:v>0.20142806588706663</c:v>
                </c:pt>
                <c:pt idx="56">
                  <c:v>0.21092107816902519</c:v>
                </c:pt>
                <c:pt idx="57">
                  <c:v>0.22086148233646138</c:v>
                </c:pt>
                <c:pt idx="58">
                  <c:v>0.23127036331934836</c:v>
                </c:pt>
                <c:pt idx="59">
                  <c:v>0.24216979974979322</c:v>
                </c:pt>
                <c:pt idx="60">
                  <c:v>0.25358291079377798</c:v>
                </c:pt>
                <c:pt idx="61">
                  <c:v>0.26553390519000947</c:v>
                </c:pt>
                <c:pt idx="62">
                  <c:v>0.27804813259990008</c:v>
                </c:pt>
                <c:pt idx="63">
                  <c:v>0.29115213737759726</c:v>
                </c:pt>
                <c:pt idx="64">
                  <c:v>0.30487371487411941</c:v>
                </c:pt>
                <c:pt idx="65">
                  <c:v>0.31924197039502067</c:v>
                </c:pt>
                <c:pt idx="66">
                  <c:v>0.33428738093664617</c:v>
                </c:pt>
                <c:pt idx="67">
                  <c:v>0.35004185983192837</c:v>
                </c:pt>
                <c:pt idx="68">
                  <c:v>0.36653882444284358</c:v>
                </c:pt>
                <c:pt idx="69">
                  <c:v>0.3838132670431183</c:v>
                </c:pt>
                <c:pt idx="70">
                  <c:v>0.40190182904153249</c:v>
                </c:pt>
                <c:pt idx="71">
                  <c:v>0.42084287870326087</c:v>
                </c:pt>
                <c:pt idx="72">
                  <c:v>0.44067659253410635</c:v>
                </c:pt>
                <c:pt idx="73">
                  <c:v>0.46144504050025675</c:v>
                </c:pt>
                <c:pt idx="74">
                  <c:v>0.48319227526432235</c:v>
                </c:pt>
                <c:pt idx="75">
                  <c:v>0.50596442562694055</c:v>
                </c:pt>
                <c:pt idx="76">
                  <c:v>0.5298097943721457</c:v>
                </c:pt>
                <c:pt idx="77">
                  <c:v>0.55477896072405053</c:v>
                </c:pt>
                <c:pt idx="78">
                  <c:v>0.5809248876321621</c:v>
                </c:pt>
                <c:pt idx="79">
                  <c:v>0.60830303411289777</c:v>
                </c:pt>
                <c:pt idx="80">
                  <c:v>0.63697147288559564</c:v>
                </c:pt>
                <c:pt idx="81">
                  <c:v>0.66699101355253654</c:v>
                </c:pt>
                <c:pt idx="82">
                  <c:v>0.69842533158426534</c:v>
                </c:pt>
                <c:pt idx="83">
                  <c:v>0.73134110338379965</c:v>
                </c:pt>
                <c:pt idx="84">
                  <c:v>0.76580814771622119</c:v>
                </c:pt>
                <c:pt idx="85">
                  <c:v>0.8018995738036353</c:v>
                </c:pt>
                <c:pt idx="86">
                  <c:v>0.83969193639963591</c:v>
                </c:pt>
                <c:pt idx="87">
                  <c:v>0.87926539817219895</c:v>
                </c:pt>
                <c:pt idx="88">
                  <c:v>0.92070389973945099</c:v>
                </c:pt>
                <c:pt idx="89">
                  <c:v>0.96409533771897193</c:v>
                </c:pt>
                <c:pt idx="90">
                  <c:v>1.0095317511683091</c:v>
                </c:pt>
                <c:pt idx="91">
                  <c:v>1.0571095168121534</c:v>
                </c:pt>
                <c:pt idx="92">
                  <c:v>1.1069295534702983</c:v>
                </c:pt>
                <c:pt idx="93">
                  <c:v>1.1590975361199838</c:v>
                </c:pt>
                <c:pt idx="94">
                  <c:v>1.2137241200466937</c:v>
                </c:pt>
                <c:pt idx="95">
                  <c:v>1.2709251755588495</c:v>
                </c:pt>
                <c:pt idx="96">
                  <c:v>1.3308220337642733</c:v>
                </c:pt>
                <c:pt idx="97">
                  <c:v>1.3935417439297282</c:v>
                </c:pt>
                <c:pt idx="98">
                  <c:v>1.459217342969455</c:v>
                </c:pt>
                <c:pt idx="99">
                  <c:v>1.527988137634297</c:v>
                </c:pt>
                <c:pt idx="100">
                  <c:v>1.6</c:v>
                </c:pt>
                <c:pt idx="101">
                  <c:v>1.6754056768814394</c:v>
                </c:pt>
                <c:pt idx="102">
                  <c:v>1.7543651138290959</c:v>
                </c:pt>
                <c:pt idx="103">
                  <c:v>1.8370457943950127</c:v>
                </c:pt>
                <c:pt idx="104">
                  <c:v>1.9236230953878606</c:v>
                </c:pt>
                <c:pt idx="105">
                  <c:v>2.0142806588706668</c:v>
                </c:pt>
                <c:pt idx="106">
                  <c:v>2.1092107816902512</c:v>
                </c:pt>
                <c:pt idx="107">
                  <c:v>2.208614823364615</c:v>
                </c:pt>
                <c:pt idx="108">
                  <c:v>2.3127036331934834</c:v>
                </c:pt>
                <c:pt idx="109">
                  <c:v>2.4216979974979327</c:v>
                </c:pt>
                <c:pt idx="110">
                  <c:v>2.535829107937781</c:v>
                </c:pt>
                <c:pt idx="111">
                  <c:v>2.6553390519000959</c:v>
                </c:pt>
                <c:pt idx="112">
                  <c:v>2.7804813259989998</c:v>
                </c:pt>
                <c:pt idx="113">
                  <c:v>2.9115213737759733</c:v>
                </c:pt>
                <c:pt idx="114">
                  <c:v>3.0487371487411954</c:v>
                </c:pt>
                <c:pt idx="115">
                  <c:v>3.1924197039502071</c:v>
                </c:pt>
                <c:pt idx="116">
                  <c:v>3.3428738093664627</c:v>
                </c:pt>
                <c:pt idx="117">
                  <c:v>3.5004185983192837</c:v>
                </c:pt>
                <c:pt idx="118">
                  <c:v>3.6653882444284367</c:v>
                </c:pt>
                <c:pt idx="119">
                  <c:v>3.8381326704311842</c:v>
                </c:pt>
                <c:pt idx="120">
                  <c:v>4.0190182904153282</c:v>
                </c:pt>
                <c:pt idx="121">
                  <c:v>4.2084287870326111</c:v>
                </c:pt>
                <c:pt idx="122">
                  <c:v>4.406765925341066</c:v>
                </c:pt>
                <c:pt idx="123">
                  <c:v>4.614450405002569</c:v>
                </c:pt>
                <c:pt idx="124">
                  <c:v>4.8319227526432247</c:v>
                </c:pt>
                <c:pt idx="125">
                  <c:v>5.0596442562694071</c:v>
                </c:pt>
                <c:pt idx="126">
                  <c:v>5.2980979437214568</c:v>
                </c:pt>
                <c:pt idx="127">
                  <c:v>5.5477896072405066</c:v>
                </c:pt>
                <c:pt idx="128">
                  <c:v>5.8092488763216217</c:v>
                </c:pt>
                <c:pt idx="129">
                  <c:v>6.0830303411289783</c:v>
                </c:pt>
                <c:pt idx="130">
                  <c:v>6.3697147288559552</c:v>
                </c:pt>
                <c:pt idx="131">
                  <c:v>6.6699101355253658</c:v>
                </c:pt>
                <c:pt idx="132">
                  <c:v>6.984253315842655</c:v>
                </c:pt>
                <c:pt idx="133">
                  <c:v>7.3134110338380003</c:v>
                </c:pt>
                <c:pt idx="134">
                  <c:v>7.658081477162213</c:v>
                </c:pt>
                <c:pt idx="135">
                  <c:v>8.0189957380363559</c:v>
                </c:pt>
                <c:pt idx="136">
                  <c:v>8.3969193639963606</c:v>
                </c:pt>
                <c:pt idx="137">
                  <c:v>8.7926539817219922</c:v>
                </c:pt>
                <c:pt idx="138">
                  <c:v>9.2070389973945108</c:v>
                </c:pt>
                <c:pt idx="139">
                  <c:v>9.6409533771897244</c:v>
                </c:pt>
                <c:pt idx="140">
                  <c:v>10.095317511683092</c:v>
                </c:pt>
                <c:pt idx="141">
                  <c:v>10.571095168121536</c:v>
                </c:pt>
                <c:pt idx="142">
                  <c:v>11.069295534702984</c:v>
                </c:pt>
                <c:pt idx="143">
                  <c:v>11.59097536119984</c:v>
                </c:pt>
                <c:pt idx="144">
                  <c:v>12.137241200466939</c:v>
                </c:pt>
                <c:pt idx="145">
                  <c:v>12.709251755588504</c:v>
                </c:pt>
                <c:pt idx="146">
                  <c:v>13.308220337642734</c:v>
                </c:pt>
                <c:pt idx="147">
                  <c:v>13.935417439297286</c:v>
                </c:pt>
                <c:pt idx="148">
                  <c:v>14.592173429694554</c:v>
                </c:pt>
                <c:pt idx="149">
                  <c:v>15.279881376342974</c:v>
                </c:pt>
                <c:pt idx="150">
                  <c:v>16</c:v>
                </c:pt>
                <c:pt idx="151">
                  <c:v>16.754056768814394</c:v>
                </c:pt>
                <c:pt idx="152">
                  <c:v>17.543651138290961</c:v>
                </c:pt>
                <c:pt idx="153">
                  <c:v>18.370457943950129</c:v>
                </c:pt>
                <c:pt idx="154">
                  <c:v>19.236230953878611</c:v>
                </c:pt>
                <c:pt idx="155">
                  <c:v>20.142806588706677</c:v>
                </c:pt>
                <c:pt idx="156">
                  <c:v>21.092107816902516</c:v>
                </c:pt>
                <c:pt idx="157">
                  <c:v>22.08614823364616</c:v>
                </c:pt>
                <c:pt idx="158">
                  <c:v>23.127036331934839</c:v>
                </c:pt>
                <c:pt idx="159">
                  <c:v>24.216979974979331</c:v>
                </c:pt>
                <c:pt idx="160">
                  <c:v>25.358291079377818</c:v>
                </c:pt>
                <c:pt idx="161">
                  <c:v>26.55339051900097</c:v>
                </c:pt>
                <c:pt idx="162">
                  <c:v>27.804813259990009</c:v>
                </c:pt>
                <c:pt idx="163">
                  <c:v>29.115213737759738</c:v>
                </c:pt>
                <c:pt idx="164">
                  <c:v>30.487371487411959</c:v>
                </c:pt>
                <c:pt idx="165">
                  <c:v>31.924197039502076</c:v>
                </c:pt>
                <c:pt idx="166">
                  <c:v>33.428738093664634</c:v>
                </c:pt>
                <c:pt idx="167">
                  <c:v>35.004185983192841</c:v>
                </c:pt>
                <c:pt idx="168">
                  <c:v>36.65388244428437</c:v>
                </c:pt>
                <c:pt idx="169">
                  <c:v>38.381326704311853</c:v>
                </c:pt>
                <c:pt idx="170">
                  <c:v>40.190182904153289</c:v>
                </c:pt>
                <c:pt idx="171">
                  <c:v>42.084287870326115</c:v>
                </c:pt>
                <c:pt idx="172">
                  <c:v>44.06765925341066</c:v>
                </c:pt>
                <c:pt idx="173">
                  <c:v>46.144504050025695</c:v>
                </c:pt>
                <c:pt idx="174">
                  <c:v>48.319227526432265</c:v>
                </c:pt>
                <c:pt idx="175">
                  <c:v>50.596442562694072</c:v>
                </c:pt>
                <c:pt idx="176">
                  <c:v>52.980979437214586</c:v>
                </c:pt>
                <c:pt idx="177">
                  <c:v>55.477896072405073</c:v>
                </c:pt>
                <c:pt idx="178">
                  <c:v>58.092488763216224</c:v>
                </c:pt>
                <c:pt idx="179">
                  <c:v>60.83030341128979</c:v>
                </c:pt>
                <c:pt idx="180">
                  <c:v>63.697147288559563</c:v>
                </c:pt>
                <c:pt idx="181">
                  <c:v>66.699101355253674</c:v>
                </c:pt>
                <c:pt idx="182">
                  <c:v>69.842533158426562</c:v>
                </c:pt>
                <c:pt idx="183">
                  <c:v>73.134110338380012</c:v>
                </c:pt>
                <c:pt idx="184">
                  <c:v>76.580814771622144</c:v>
                </c:pt>
                <c:pt idx="185">
                  <c:v>80.189957380363566</c:v>
                </c:pt>
                <c:pt idx="186">
                  <c:v>83.969193639963621</c:v>
                </c:pt>
                <c:pt idx="187">
                  <c:v>87.926539817219933</c:v>
                </c:pt>
                <c:pt idx="188">
                  <c:v>92.07038997394514</c:v>
                </c:pt>
                <c:pt idx="189">
                  <c:v>96.409533771897273</c:v>
                </c:pt>
                <c:pt idx="190">
                  <c:v>100.95317511683095</c:v>
                </c:pt>
                <c:pt idx="191">
                  <c:v>105.71095168121538</c:v>
                </c:pt>
                <c:pt idx="192">
                  <c:v>110.69295534702987</c:v>
                </c:pt>
                <c:pt idx="193">
                  <c:v>115.90975361199844</c:v>
                </c:pt>
                <c:pt idx="194">
                  <c:v>121.3724120046694</c:v>
                </c:pt>
                <c:pt idx="195">
                  <c:v>127.09251755588508</c:v>
                </c:pt>
                <c:pt idx="196">
                  <c:v>133.08220337642737</c:v>
                </c:pt>
                <c:pt idx="197">
                  <c:v>139.35417439297288</c:v>
                </c:pt>
                <c:pt idx="198">
                  <c:v>145.92173429694557</c:v>
                </c:pt>
                <c:pt idx="199">
                  <c:v>152.79881376342973</c:v>
                </c:pt>
                <c:pt idx="200">
                  <c:v>160</c:v>
                </c:pt>
                <c:pt idx="201">
                  <c:v>167.54056768814399</c:v>
                </c:pt>
                <c:pt idx="202">
                  <c:v>175.43651138290966</c:v>
                </c:pt>
                <c:pt idx="203">
                  <c:v>183.70457943950134</c:v>
                </c:pt>
                <c:pt idx="204">
                  <c:v>192.36230953878612</c:v>
                </c:pt>
                <c:pt idx="205">
                  <c:v>201.42806588706688</c:v>
                </c:pt>
                <c:pt idx="206">
                  <c:v>210.92107816902521</c:v>
                </c:pt>
                <c:pt idx="207">
                  <c:v>220.86148233646162</c:v>
                </c:pt>
                <c:pt idx="208">
                  <c:v>231.27036331934841</c:v>
                </c:pt>
                <c:pt idx="209">
                  <c:v>242.16979974979338</c:v>
                </c:pt>
                <c:pt idx="210">
                  <c:v>253.58291079377818</c:v>
                </c:pt>
                <c:pt idx="211">
                  <c:v>265.53390519000982</c:v>
                </c:pt>
                <c:pt idx="212">
                  <c:v>278.0481325999001</c:v>
                </c:pt>
                <c:pt idx="213">
                  <c:v>291.15213737759746</c:v>
                </c:pt>
                <c:pt idx="214">
                  <c:v>304.87371487411963</c:v>
                </c:pt>
                <c:pt idx="215">
                  <c:v>319.24197039502087</c:v>
                </c:pt>
                <c:pt idx="216">
                  <c:v>334.2873809366464</c:v>
                </c:pt>
                <c:pt idx="217">
                  <c:v>350.0418598319286</c:v>
                </c:pt>
                <c:pt idx="218">
                  <c:v>366.5388244428438</c:v>
                </c:pt>
                <c:pt idx="219">
                  <c:v>383.81326704311851</c:v>
                </c:pt>
                <c:pt idx="220">
                  <c:v>401.90182904153278</c:v>
                </c:pt>
                <c:pt idx="221">
                  <c:v>420.84287870326119</c:v>
                </c:pt>
                <c:pt idx="222">
                  <c:v>440.67659253410665</c:v>
                </c:pt>
                <c:pt idx="223">
                  <c:v>461.44504050025705</c:v>
                </c:pt>
                <c:pt idx="224">
                  <c:v>483.19227526432263</c:v>
                </c:pt>
                <c:pt idx="225">
                  <c:v>505.96442562694085</c:v>
                </c:pt>
                <c:pt idx="226">
                  <c:v>529.80979437214603</c:v>
                </c:pt>
                <c:pt idx="227">
                  <c:v>554.77896072405088</c:v>
                </c:pt>
                <c:pt idx="228">
                  <c:v>580.92488763216249</c:v>
                </c:pt>
                <c:pt idx="229">
                  <c:v>608.30303411289822</c:v>
                </c:pt>
                <c:pt idx="230">
                  <c:v>636.97147288559609</c:v>
                </c:pt>
                <c:pt idx="231">
                  <c:v>666.99101355253697</c:v>
                </c:pt>
                <c:pt idx="232">
                  <c:v>698.42533158426579</c:v>
                </c:pt>
                <c:pt idx="233">
                  <c:v>731.34110338380015</c:v>
                </c:pt>
                <c:pt idx="234">
                  <c:v>765.8081477162217</c:v>
                </c:pt>
                <c:pt idx="235">
                  <c:v>801.8995738036358</c:v>
                </c:pt>
                <c:pt idx="236">
                  <c:v>839.69193639963657</c:v>
                </c:pt>
                <c:pt idx="237">
                  <c:v>879.26539817219953</c:v>
                </c:pt>
                <c:pt idx="238">
                  <c:v>920.70389973945112</c:v>
                </c:pt>
                <c:pt idx="239">
                  <c:v>964.09533771897316</c:v>
                </c:pt>
                <c:pt idx="240">
                  <c:v>1009.5317511683098</c:v>
                </c:pt>
                <c:pt idx="241">
                  <c:v>1057.109516812154</c:v>
                </c:pt>
                <c:pt idx="242">
                  <c:v>1106.9295534702985</c:v>
                </c:pt>
                <c:pt idx="243">
                  <c:v>1159.0975361199851</c:v>
                </c:pt>
                <c:pt idx="244">
                  <c:v>1213.7241200466938</c:v>
                </c:pt>
                <c:pt idx="245">
                  <c:v>1270.9251755588512</c:v>
                </c:pt>
                <c:pt idx="246">
                  <c:v>1330.822033764274</c:v>
                </c:pt>
                <c:pt idx="247">
                  <c:v>1393.5417439297291</c:v>
                </c:pt>
                <c:pt idx="248">
                  <c:v>1459.2173429694556</c:v>
                </c:pt>
                <c:pt idx="249">
                  <c:v>1527.9881376342985</c:v>
                </c:pt>
                <c:pt idx="250">
                  <c:v>1600</c:v>
                </c:pt>
                <c:pt idx="251">
                  <c:v>1675.4056768814396</c:v>
                </c:pt>
                <c:pt idx="252">
                  <c:v>1754.3651138290977</c:v>
                </c:pt>
                <c:pt idx="253">
                  <c:v>1837.0457943950137</c:v>
                </c:pt>
                <c:pt idx="254">
                  <c:v>1923.6230953878617</c:v>
                </c:pt>
                <c:pt idx="255">
                  <c:v>2014.2806588706683</c:v>
                </c:pt>
                <c:pt idx="256">
                  <c:v>2109.2107816902535</c:v>
                </c:pt>
                <c:pt idx="257">
                  <c:v>2208.6148233646177</c:v>
                </c:pt>
                <c:pt idx="258">
                  <c:v>2312.7036331934855</c:v>
                </c:pt>
                <c:pt idx="259">
                  <c:v>2421.6979974979345</c:v>
                </c:pt>
                <c:pt idx="260">
                  <c:v>2535.8291079377846</c:v>
                </c:pt>
                <c:pt idx="261">
                  <c:v>2655.3390519000995</c:v>
                </c:pt>
                <c:pt idx="262">
                  <c:v>2780.4813259990028</c:v>
                </c:pt>
                <c:pt idx="263">
                  <c:v>2911.5213737759727</c:v>
                </c:pt>
                <c:pt idx="264">
                  <c:v>3048.737148741197</c:v>
                </c:pt>
                <c:pt idx="265">
                  <c:v>3192.4197039502083</c:v>
                </c:pt>
                <c:pt idx="266">
                  <c:v>3342.8738093664633</c:v>
                </c:pt>
                <c:pt idx="267">
                  <c:v>3500.4185983192838</c:v>
                </c:pt>
                <c:pt idx="268">
                  <c:v>3665.3882444284391</c:v>
                </c:pt>
                <c:pt idx="269">
                  <c:v>3838.1326704311859</c:v>
                </c:pt>
                <c:pt idx="270">
                  <c:v>4019.0182904153289</c:v>
                </c:pt>
                <c:pt idx="271">
                  <c:v>4208.4287870326107</c:v>
                </c:pt>
                <c:pt idx="272">
                  <c:v>4406.7659253410693</c:v>
                </c:pt>
                <c:pt idx="273">
                  <c:v>4614.4504050025716</c:v>
                </c:pt>
                <c:pt idx="274">
                  <c:v>4831.9227526432269</c:v>
                </c:pt>
                <c:pt idx="275">
                  <c:v>5059.6442562694119</c:v>
                </c:pt>
                <c:pt idx="276">
                  <c:v>5298.0979437214619</c:v>
                </c:pt>
                <c:pt idx="277">
                  <c:v>5547.7896072405092</c:v>
                </c:pt>
                <c:pt idx="278">
                  <c:v>5809.2488763216243</c:v>
                </c:pt>
                <c:pt idx="279">
                  <c:v>6083.030341128986</c:v>
                </c:pt>
                <c:pt idx="280">
                  <c:v>6369.7147288559618</c:v>
                </c:pt>
                <c:pt idx="281">
                  <c:v>6669.9101355253715</c:v>
                </c:pt>
                <c:pt idx="282">
                  <c:v>6984.2533158426595</c:v>
                </c:pt>
                <c:pt idx="283">
                  <c:v>7313.4110338380096</c:v>
                </c:pt>
                <c:pt idx="284">
                  <c:v>7658.0814771622217</c:v>
                </c:pt>
                <c:pt idx="285">
                  <c:v>8018.995738036363</c:v>
                </c:pt>
                <c:pt idx="286">
                  <c:v>8396.9193639963669</c:v>
                </c:pt>
                <c:pt idx="287">
                  <c:v>8792.6539817220055</c:v>
                </c:pt>
                <c:pt idx="288">
                  <c:v>9207.038997394513</c:v>
                </c:pt>
                <c:pt idx="289">
                  <c:v>9640.9533771897241</c:v>
                </c:pt>
                <c:pt idx="290">
                  <c:v>10095.317511683092</c:v>
                </c:pt>
                <c:pt idx="291">
                  <c:v>10571.095168121543</c:v>
                </c:pt>
                <c:pt idx="292">
                  <c:v>11069.295534702987</c:v>
                </c:pt>
                <c:pt idx="293">
                  <c:v>11590.975361199844</c:v>
                </c:pt>
                <c:pt idx="294">
                  <c:v>12137.24120046694</c:v>
                </c:pt>
                <c:pt idx="295">
                  <c:v>12709.251755588513</c:v>
                </c:pt>
                <c:pt idx="296">
                  <c:v>13308.220337642742</c:v>
                </c:pt>
                <c:pt idx="297">
                  <c:v>13935.417439297295</c:v>
                </c:pt>
                <c:pt idx="298">
                  <c:v>14592.173429694558</c:v>
                </c:pt>
                <c:pt idx="299">
                  <c:v>15279.881376342988</c:v>
                </c:pt>
                <c:pt idx="300">
                  <c:v>16000</c:v>
                </c:pt>
              </c:numCache>
            </c:numRef>
          </c:xVal>
          <c:yVal>
            <c:numRef>
              <c:f>'Inverting AC Coupled Amp'!$L$3:$L$303</c:f>
              <c:numCache>
                <c:formatCode>General</c:formatCode>
                <c:ptCount val="301"/>
                <c:pt idx="0">
                  <c:v>89.94270423958551</c:v>
                </c:pt>
                <c:pt idx="1">
                  <c:v>89.940003975517129</c:v>
                </c:pt>
                <c:pt idx="2">
                  <c:v>89.937176452209712</c:v>
                </c:pt>
                <c:pt idx="3">
                  <c:v>89.934215672162438</c:v>
                </c:pt>
                <c:pt idx="4">
                  <c:v>89.931115355227277</c:v>
                </c:pt>
                <c:pt idx="5">
                  <c:v>89.92786892528909</c:v>
                </c:pt>
                <c:pt idx="6">
                  <c:v>89.924469496318352</c:v>
                </c:pt>
                <c:pt idx="7">
                  <c:v>89.920909857766347</c:v>
                </c:pt>
                <c:pt idx="8">
                  <c:v>89.917182459272667</c:v>
                </c:pt>
                <c:pt idx="9">
                  <c:v>89.913279394651838</c:v>
                </c:pt>
                <c:pt idx="10">
                  <c:v>89.909192385125721</c:v>
                </c:pt>
                <c:pt idx="11">
                  <c:v>89.904912761765942</c:v>
                </c:pt>
                <c:pt idx="12">
                  <c:v>89.900431447108986</c:v>
                </c:pt>
                <c:pt idx="13">
                  <c:v>89.895738935905484</c:v>
                </c:pt>
                <c:pt idx="14">
                  <c:v>89.890825274962438</c:v>
                </c:pt>
                <c:pt idx="15">
                  <c:v>89.885680042035943</c:v>
                </c:pt>
                <c:pt idx="16">
                  <c:v>89.880292323729833</c:v>
                </c:pt>
                <c:pt idx="17">
                  <c:v>89.874650692353256</c:v>
                </c:pt>
                <c:pt idx="18">
                  <c:v>89.868743181688245</c:v>
                </c:pt>
                <c:pt idx="19">
                  <c:v>89.862557261616203</c:v>
                </c:pt>
                <c:pt idx="20">
                  <c:v>89.856079811549478</c:v>
                </c:pt>
                <c:pt idx="21">
                  <c:v>89.849297092611863</c:v>
                </c:pt>
                <c:pt idx="22">
                  <c:v>89.84219471850929</c:v>
                </c:pt>
                <c:pt idx="23">
                  <c:v>89.834757625029141</c:v>
                </c:pt>
                <c:pt idx="24">
                  <c:v>89.826970038103752</c:v>
                </c:pt>
                <c:pt idx="25">
                  <c:v>89.81881544037077</c:v>
                </c:pt>
                <c:pt idx="26">
                  <c:v>89.810276536159577</c:v>
                </c:pt>
                <c:pt idx="27">
                  <c:v>89.801335214830246</c:v>
                </c:pt>
                <c:pt idx="28">
                  <c:v>89.791972512387446</c:v>
                </c:pt>
                <c:pt idx="29">
                  <c:v>89.782168571288707</c:v>
                </c:pt>
                <c:pt idx="30">
                  <c:v>89.771902598362203</c:v>
                </c:pt>
                <c:pt idx="31">
                  <c:v>89.761152820745636</c:v>
                </c:pt>
                <c:pt idx="32">
                  <c:v>89.749896439753599</c:v>
                </c:pt>
                <c:pt idx="33">
                  <c:v>89.738109582576541</c:v>
                </c:pt>
                <c:pt idx="34">
                  <c:v>89.725767251709883</c:v>
                </c:pt>
                <c:pt idx="35">
                  <c:v>89.71284327200739</c:v>
                </c:pt>
                <c:pt idx="36">
                  <c:v>89.699310235248092</c:v>
                </c:pt>
                <c:pt idx="37">
                  <c:v>89.68513944210035</c:v>
                </c:pt>
                <c:pt idx="38">
                  <c:v>89.670300841362689</c:v>
                </c:pt>
                <c:pt idx="39">
                  <c:v>89.6547629663538</c:v>
                </c:pt>
                <c:pt idx="40">
                  <c:v>89.638492868320157</c:v>
                </c:pt>
                <c:pt idx="41">
                  <c:v>89.621456046722372</c:v>
                </c:pt>
                <c:pt idx="42">
                  <c:v>89.603616376256042</c:v>
                </c:pt>
                <c:pt idx="43">
                  <c:v>89.584936030455935</c:v>
                </c:pt>
                <c:pt idx="44">
                  <c:v>89.565375401726058</c:v>
                </c:pt>
                <c:pt idx="45">
                  <c:v>89.54489301763094</c:v>
                </c:pt>
                <c:pt idx="46">
                  <c:v>89.523445453276409</c:v>
                </c:pt>
                <c:pt idx="47">
                  <c:v>89.500987239600633</c:v>
                </c:pt>
                <c:pt idx="48">
                  <c:v>89.477470767388738</c:v>
                </c:pt>
                <c:pt idx="49">
                  <c:v>89.452846186815975</c:v>
                </c:pt>
                <c:pt idx="50">
                  <c:v>89.427061302316517</c:v>
                </c:pt>
                <c:pt idx="51">
                  <c:v>89.400061462566626</c:v>
                </c:pt>
                <c:pt idx="52">
                  <c:v>89.371789445361927</c:v>
                </c:pt>
                <c:pt idx="53">
                  <c:v>89.342185337160018</c:v>
                </c:pt>
                <c:pt idx="54">
                  <c:v>89.311186407050343</c:v>
                </c:pt>
                <c:pt idx="55">
                  <c:v>89.278726974904188</c:v>
                </c:pt>
                <c:pt idx="56">
                  <c:v>89.244738273448277</c:v>
                </c:pt>
                <c:pt idx="57">
                  <c:v>89.209148303995761</c:v>
                </c:pt>
                <c:pt idx="58">
                  <c:v>89.171881685559171</c:v>
                </c:pt>
                <c:pt idx="59">
                  <c:v>89.132859497060139</c:v>
                </c:pt>
                <c:pt idx="60">
                  <c:v>89.091999112341426</c:v>
                </c:pt>
                <c:pt idx="61">
                  <c:v>89.049214027676982</c:v>
                </c:pt>
                <c:pt idx="62">
                  <c:v>89.004413681467398</c:v>
                </c:pt>
                <c:pt idx="63">
                  <c:v>88.957503265798508</c:v>
                </c:pt>
                <c:pt idx="64">
                  <c:v>88.908383529533324</c:v>
                </c:pt>
                <c:pt idx="65">
                  <c:v>88.856950572599089</c:v>
                </c:pt>
                <c:pt idx="66">
                  <c:v>88.80309563112489</c:v>
                </c:pt>
                <c:pt idx="67">
                  <c:v>88.746704853079208</c:v>
                </c:pt>
                <c:pt idx="68">
                  <c:v>88.687659064051573</c:v>
                </c:pt>
                <c:pt idx="69">
                  <c:v>88.625833522820344</c:v>
                </c:pt>
                <c:pt idx="70">
                  <c:v>88.561097666346313</c:v>
                </c:pt>
                <c:pt idx="71">
                  <c:v>88.493314843833389</c:v>
                </c:pt>
                <c:pt idx="72">
                  <c:v>88.422342039500492</c:v>
                </c:pt>
                <c:pt idx="73">
                  <c:v>88.34802958371634</c:v>
                </c:pt>
                <c:pt idx="74">
                  <c:v>88.270220852158374</c:v>
                </c:pt>
                <c:pt idx="75">
                  <c:v>88.188751952672035</c:v>
                </c:pt>
                <c:pt idx="76">
                  <c:v>88.103451399526904</c:v>
                </c:pt>
                <c:pt idx="77">
                  <c:v>88.014139774791616</c:v>
                </c:pt>
                <c:pt idx="78">
                  <c:v>87.920629376582866</c:v>
                </c:pt>
                <c:pt idx="79">
                  <c:v>87.822723853984215</c:v>
                </c:pt>
                <c:pt idx="80">
                  <c:v>87.720217828482106</c:v>
                </c:pt>
                <c:pt idx="81">
                  <c:v>87.612896501826938</c:v>
                </c:pt>
                <c:pt idx="82">
                  <c:v>87.50053525030205</c:v>
                </c:pt>
                <c:pt idx="83">
                  <c:v>87.382899205471787</c:v>
                </c:pt>
                <c:pt idx="84">
                  <c:v>87.259742821586329</c:v>
                </c:pt>
                <c:pt idx="85">
                  <c:v>87.130809429944989</c:v>
                </c:pt>
                <c:pt idx="86">
                  <c:v>86.995830780667788</c:v>
                </c:pt>
                <c:pt idx="87">
                  <c:v>86.854526572497406</c:v>
                </c:pt>
                <c:pt idx="88">
                  <c:v>86.706603971455024</c:v>
                </c:pt>
                <c:pt idx="89">
                  <c:v>86.55175711940862</c:v>
                </c:pt>
                <c:pt idx="90">
                  <c:v>86.389666633884062</c:v>
                </c:pt>
                <c:pt idx="91">
                  <c:v>86.219999100764738</c:v>
                </c:pt>
                <c:pt idx="92">
                  <c:v>86.042406561888157</c:v>
                </c:pt>
                <c:pt idx="93">
                  <c:v>85.856525999966152</c:v>
                </c:pt>
                <c:pt idx="94">
                  <c:v>85.661978823734188</c:v>
                </c:pt>
                <c:pt idx="95">
                  <c:v>85.45837035678413</c:v>
                </c:pt>
                <c:pt idx="96">
                  <c:v>85.245289334159835</c:v>
                </c:pt>
                <c:pt idx="97">
                  <c:v>85.022307411507725</c:v>
                </c:pt>
                <c:pt idx="98">
                  <c:v>84.788978692381221</c:v>
                </c:pt>
                <c:pt idx="99">
                  <c:v>84.544839280213253</c:v>
                </c:pt>
                <c:pt idx="100">
                  <c:v>84.289406862500385</c:v>
                </c:pt>
                <c:pt idx="101">
                  <c:v>84.022180335901282</c:v>
                </c:pt>
                <c:pt idx="102">
                  <c:v>83.742639482249359</c:v>
                </c:pt>
                <c:pt idx="103">
                  <c:v>83.450244706925901</c:v>
                </c:pt>
                <c:pt idx="104">
                  <c:v>83.144436852646734</c:v>
                </c:pt>
                <c:pt idx="105">
                  <c:v>82.824637103490304</c:v>
                </c:pt>
                <c:pt idx="106">
                  <c:v>82.49024699594672</c:v>
                </c:pt>
                <c:pt idx="107">
                  <c:v>82.140648555894117</c:v>
                </c:pt>
                <c:pt idx="108">
                  <c:v>81.775204582720264</c:v>
                </c:pt>
                <c:pt idx="109">
                  <c:v>81.393259104286017</c:v>
                </c:pt>
                <c:pt idx="110">
                  <c:v>80.994138029068466</c:v>
                </c:pt>
                <c:pt idx="111">
                  <c:v>80.577150024595568</c:v>
                </c:pt>
                <c:pt idx="112">
                  <c:v>80.141587654159736</c:v>
                </c:pt>
                <c:pt idx="113">
                  <c:v>79.686728806723707</c:v>
                </c:pt>
                <c:pt idx="114">
                  <c:v>79.211838457831817</c:v>
                </c:pt>
                <c:pt idx="115">
                  <c:v>78.716170802132183</c:v>
                </c:pt>
                <c:pt idx="116">
                  <c:v>78.198971800672197</c:v>
                </c:pt>
                <c:pt idx="117">
                  <c:v>77.659482188305105</c:v>
                </c:pt>
                <c:pt idx="118">
                  <c:v>77.096940988154273</c:v>
                </c:pt>
                <c:pt idx="119">
                  <c:v>76.510589580899676</c:v>
                </c:pt>
                <c:pt idx="120">
                  <c:v>75.899676376410781</c:v>
                </c:pt>
                <c:pt idx="121">
                  <c:v>75.263462133643174</c:v>
                </c:pt>
                <c:pt idx="122">
                  <c:v>74.601225971392992</c:v>
                </c:pt>
                <c:pt idx="123">
                  <c:v>73.912272107067139</c:v>
                </c:pt>
                <c:pt idx="124">
                  <c:v>73.195937352661417</c:v>
                </c:pt>
                <c:pt idx="125">
                  <c:v>72.451599386207718</c:v>
                </c:pt>
                <c:pt idx="126">
                  <c:v>71.678685802616116</c:v>
                </c:pt>
                <c:pt idx="127">
                  <c:v>70.876683929712343</c:v>
                </c:pt>
                <c:pt idx="128">
                  <c:v>70.045151373019195</c:v>
                </c:pt>
                <c:pt idx="129">
                  <c:v>69.183727226264423</c:v>
                </c:pt>
                <c:pt idx="130">
                  <c:v>68.292143853690888</c:v>
                </c:pt>
                <c:pt idx="131">
                  <c:v>67.37023911522418</c:v>
                </c:pt>
                <c:pt idx="132">
                  <c:v>66.417968866963847</c:v>
                </c:pt>
                <c:pt idx="133">
                  <c:v>65.435419528240431</c:v>
                </c:pt>
                <c:pt idx="134">
                  <c:v>64.4228204639805</c:v>
                </c:pt>
                <c:pt idx="135">
                  <c:v>63.380555889207109</c:v>
                </c:pt>
                <c:pt idx="136">
                  <c:v>62.309175963519522</c:v>
                </c:pt>
                <c:pt idx="137">
                  <c:v>61.20940671010802</c:v>
                </c:pt>
                <c:pt idx="138">
                  <c:v>60.08215836943328</c:v>
                </c:pt>
                <c:pt idx="139">
                  <c:v>58.928531785423317</c:v>
                </c:pt>
                <c:pt idx="140">
                  <c:v>57.749822425206517</c:v>
                </c:pt>
                <c:pt idx="141">
                  <c:v>56.547521654905715</c:v>
                </c:pt>
                <c:pt idx="142">
                  <c:v>55.323314936084778</c:v>
                </c:pt>
                <c:pt idx="143">
                  <c:v>54.079076671224833</c:v>
                </c:pt>
                <c:pt idx="144">
                  <c:v>52.816861511856366</c:v>
                </c:pt>
                <c:pt idx="145">
                  <c:v>51.538892047790078</c:v>
                </c:pt>
                <c:pt idx="146">
                  <c:v>50.24754291656911</c:v>
                </c:pt>
                <c:pt idx="147">
                  <c:v>48.945321503369897</c:v>
                </c:pt>
                <c:pt idx="148">
                  <c:v>47.634845536168434</c:v>
                </c:pt>
                <c:pt idx="149">
                  <c:v>46.318818011081703</c:v>
                </c:pt>
                <c:pt idx="150">
                  <c:v>45.000000000000114</c:v>
                </c:pt>
                <c:pt idx="151">
                  <c:v>43.681181988918368</c:v>
                </c:pt>
                <c:pt idx="152">
                  <c:v>42.365154463831693</c:v>
                </c:pt>
                <c:pt idx="153">
                  <c:v>41.054678496630217</c:v>
                </c:pt>
                <c:pt idx="154">
                  <c:v>39.752457083430905</c:v>
                </c:pt>
                <c:pt idx="155">
                  <c:v>38.461107952209908</c:v>
                </c:pt>
                <c:pt idx="156">
                  <c:v>37.183138488143584</c:v>
                </c:pt>
                <c:pt idx="157">
                  <c:v>35.920923328775075</c:v>
                </c:pt>
                <c:pt idx="158">
                  <c:v>34.676685063915308</c:v>
                </c:pt>
                <c:pt idx="159">
                  <c:v>33.452478345094391</c:v>
                </c:pt>
                <c:pt idx="160">
                  <c:v>32.250177574793511</c:v>
                </c:pt>
                <c:pt idx="161">
                  <c:v>31.071468214576647</c:v>
                </c:pt>
                <c:pt idx="162">
                  <c:v>29.917841630566766</c:v>
                </c:pt>
                <c:pt idx="163">
                  <c:v>28.790593289891994</c:v>
                </c:pt>
                <c:pt idx="164">
                  <c:v>27.690824036480482</c:v>
                </c:pt>
                <c:pt idx="165">
                  <c:v>26.619444110792863</c:v>
                </c:pt>
                <c:pt idx="166">
                  <c:v>25.577179536019553</c:v>
                </c:pt>
                <c:pt idx="167">
                  <c:v>24.56458047175958</c:v>
                </c:pt>
                <c:pt idx="168">
                  <c:v>23.582031133036256</c:v>
                </c:pt>
                <c:pt idx="169">
                  <c:v>22.629760884775809</c:v>
                </c:pt>
                <c:pt idx="170">
                  <c:v>21.707856146309073</c:v>
                </c:pt>
                <c:pt idx="171">
                  <c:v>20.816272773735687</c:v>
                </c:pt>
                <c:pt idx="172">
                  <c:v>19.954848626980901</c:v>
                </c:pt>
                <c:pt idx="173">
                  <c:v>19.12331607028765</c:v>
                </c:pt>
                <c:pt idx="174">
                  <c:v>18.321314197383888</c:v>
                </c:pt>
                <c:pt idx="175">
                  <c:v>17.548400613792328</c:v>
                </c:pt>
                <c:pt idx="176">
                  <c:v>16.804062647338554</c:v>
                </c:pt>
                <c:pt idx="177">
                  <c:v>16.087727892932833</c:v>
                </c:pt>
                <c:pt idx="178">
                  <c:v>15.39877402860705</c:v>
                </c:pt>
                <c:pt idx="179">
                  <c:v>14.736537866356848</c:v>
                </c:pt>
                <c:pt idx="180">
                  <c:v>14.100323623589226</c:v>
                </c:pt>
                <c:pt idx="181">
                  <c:v>13.489410419100262</c:v>
                </c:pt>
                <c:pt idx="182">
                  <c:v>12.90305901184578</c:v>
                </c:pt>
                <c:pt idx="183">
                  <c:v>12.340517811694909</c:v>
                </c:pt>
                <c:pt idx="184">
                  <c:v>11.801028199327774</c:v>
                </c:pt>
                <c:pt idx="185">
                  <c:v>11.283829197867824</c:v>
                </c:pt>
                <c:pt idx="186">
                  <c:v>10.788161542168208</c:v>
                </c:pt>
                <c:pt idx="187">
                  <c:v>10.313271193276345</c:v>
                </c:pt>
                <c:pt idx="188">
                  <c:v>9.8584123458402431</c:v>
                </c:pt>
                <c:pt idx="189">
                  <c:v>9.4228499754044535</c:v>
                </c:pt>
                <c:pt idx="190">
                  <c:v>9.0058619709315035</c:v>
                </c:pt>
                <c:pt idx="191">
                  <c:v>8.6067408957140312</c:v>
                </c:pt>
                <c:pt idx="192">
                  <c:v>8.2247954172797737</c:v>
                </c:pt>
                <c:pt idx="193">
                  <c:v>7.85935144410589</c:v>
                </c:pt>
                <c:pt idx="194">
                  <c:v>7.5097530040532243</c:v>
                </c:pt>
                <c:pt idx="195">
                  <c:v>7.1753628965096983</c:v>
                </c:pt>
                <c:pt idx="196">
                  <c:v>6.8555631473533118</c:v>
                </c:pt>
                <c:pt idx="197">
                  <c:v>6.5497552930741447</c:v>
                </c:pt>
                <c:pt idx="198">
                  <c:v>6.2573605177506737</c:v>
                </c:pt>
                <c:pt idx="199">
                  <c:v>5.9778196640987691</c:v>
                </c:pt>
                <c:pt idx="200">
                  <c:v>5.7105931374996661</c:v>
                </c:pt>
                <c:pt idx="201">
                  <c:v>5.4551607197867504</c:v>
                </c:pt>
                <c:pt idx="202">
                  <c:v>5.2110213076188101</c:v>
                </c:pt>
                <c:pt idx="203">
                  <c:v>4.9776925884922951</c:v>
                </c:pt>
                <c:pt idx="204">
                  <c:v>4.7547106658401699</c:v>
                </c:pt>
                <c:pt idx="205">
                  <c:v>4.5416296432158765</c:v>
                </c:pt>
                <c:pt idx="206">
                  <c:v>4.3380211762658067</c:v>
                </c:pt>
                <c:pt idx="207">
                  <c:v>4.1434740000338417</c:v>
                </c:pt>
                <c:pt idx="208">
                  <c:v>3.9575934381118656</c:v>
                </c:pt>
                <c:pt idx="209">
                  <c:v>3.7800008992352954</c:v>
                </c:pt>
                <c:pt idx="210">
                  <c:v>3.6103333661159511</c:v>
                </c:pt>
                <c:pt idx="211">
                  <c:v>3.4482428805913816</c:v>
                </c:pt>
                <c:pt idx="212">
                  <c:v>3.2933960285449841</c:v>
                </c:pt>
                <c:pt idx="213">
                  <c:v>3.1454734275026044</c:v>
                </c:pt>
                <c:pt idx="214">
                  <c:v>3.0041692193322125</c:v>
                </c:pt>
                <c:pt idx="215">
                  <c:v>2.8691905700550144</c:v>
                </c:pt>
                <c:pt idx="216">
                  <c:v>2.740257178413668</c:v>
                </c:pt>
                <c:pt idx="217">
                  <c:v>2.6171007945282145</c:v>
                </c:pt>
                <c:pt idx="218">
                  <c:v>2.4994647496979634</c:v>
                </c:pt>
                <c:pt idx="219">
                  <c:v>2.3871034981730639</c:v>
                </c:pt>
                <c:pt idx="220">
                  <c:v>2.2797821715179092</c:v>
                </c:pt>
                <c:pt idx="221">
                  <c:v>2.1772761460157946</c:v>
                </c:pt>
                <c:pt idx="222">
                  <c:v>2.0793706234171396</c:v>
                </c:pt>
                <c:pt idx="223">
                  <c:v>1.9858602252083781</c:v>
                </c:pt>
                <c:pt idx="224">
                  <c:v>1.8965486004731065</c:v>
                </c:pt>
                <c:pt idx="225">
                  <c:v>1.8112480473279726</c:v>
                </c:pt>
                <c:pt idx="226">
                  <c:v>1.7297791478416278</c:v>
                </c:pt>
                <c:pt idx="227">
                  <c:v>1.651970416283667</c:v>
                </c:pt>
                <c:pt idx="228">
                  <c:v>1.5776579604995251</c:v>
                </c:pt>
                <c:pt idx="229">
                  <c:v>1.506685156166615</c:v>
                </c:pt>
                <c:pt idx="230">
                  <c:v>1.4389023336536741</c:v>
                </c:pt>
                <c:pt idx="231">
                  <c:v>1.3741664771796644</c:v>
                </c:pt>
                <c:pt idx="232">
                  <c:v>1.3123409359484335</c:v>
                </c:pt>
                <c:pt idx="233">
                  <c:v>1.2532951469207967</c:v>
                </c:pt>
                <c:pt idx="234">
                  <c:v>1.1969043688751038</c:v>
                </c:pt>
                <c:pt idx="235">
                  <c:v>1.143049427400926</c:v>
                </c:pt>
                <c:pt idx="236">
                  <c:v>1.0916164704666835</c:v>
                </c:pt>
                <c:pt idx="237">
                  <c:v>1.0424967342014988</c:v>
                </c:pt>
                <c:pt idx="238">
                  <c:v>0.99558631853261514</c:v>
                </c:pt>
                <c:pt idx="239">
                  <c:v>0.95078597232302242</c:v>
                </c:pt>
                <c:pt idx="240">
                  <c:v>0.908000887658581</c:v>
                </c:pt>
                <c:pt idx="241">
                  <c:v>0.86714050293986433</c:v>
                </c:pt>
                <c:pt idx="242">
                  <c:v>0.82811831444084694</c:v>
                </c:pt>
                <c:pt idx="243">
                  <c:v>0.79085169600424399</c:v>
                </c:pt>
                <c:pt idx="244">
                  <c:v>0.75526172655172563</c:v>
                </c:pt>
                <c:pt idx="245">
                  <c:v>0.72127302509581925</c:v>
                </c:pt>
                <c:pt idx="246">
                  <c:v>0.68881359294966871</c:v>
                </c:pt>
                <c:pt idx="247">
                  <c:v>0.65781466283998646</c:v>
                </c:pt>
                <c:pt idx="248">
                  <c:v>0.62821055463807352</c:v>
                </c:pt>
                <c:pt idx="249">
                  <c:v>0.59993853743337944</c:v>
                </c:pt>
                <c:pt idx="250">
                  <c:v>0.57293869768348815</c:v>
                </c:pt>
                <c:pt idx="251">
                  <c:v>0.54715381318402734</c:v>
                </c:pt>
                <c:pt idx="252">
                  <c:v>0.52252923261126305</c:v>
                </c:pt>
                <c:pt idx="253">
                  <c:v>0.49901276039937692</c:v>
                </c:pt>
                <c:pt idx="254">
                  <c:v>0.47655454672360364</c:v>
                </c:pt>
                <c:pt idx="255">
                  <c:v>0.45510698236905867</c:v>
                </c:pt>
                <c:pt idx="256">
                  <c:v>0.43462459827394317</c:v>
                </c:pt>
                <c:pt idx="257">
                  <c:v>0.41506396954406904</c:v>
                </c:pt>
                <c:pt idx="258">
                  <c:v>0.39638362374396358</c:v>
                </c:pt>
                <c:pt idx="259">
                  <c:v>0.37854395327763612</c:v>
                </c:pt>
                <c:pt idx="260">
                  <c:v>0.36150713167985526</c:v>
                </c:pt>
                <c:pt idx="261">
                  <c:v>0.34523703364620562</c:v>
                </c:pt>
                <c:pt idx="262">
                  <c:v>0.32969915863731281</c:v>
                </c:pt>
                <c:pt idx="263">
                  <c:v>0.31486055789964401</c:v>
                </c:pt>
                <c:pt idx="264">
                  <c:v>0.30068976475192177</c:v>
                </c:pt>
                <c:pt idx="265">
                  <c:v>0.28715672799260789</c:v>
                </c:pt>
                <c:pt idx="266">
                  <c:v>0.27423274829012589</c:v>
                </c:pt>
                <c:pt idx="267">
                  <c:v>0.26189041742345404</c:v>
                </c:pt>
                <c:pt idx="268">
                  <c:v>0.25010356024639546</c:v>
                </c:pt>
                <c:pt idx="269">
                  <c:v>0.23884717925436744</c:v>
                </c:pt>
                <c:pt idx="270">
                  <c:v>0.22809740163779849</c:v>
                </c:pt>
                <c:pt idx="271">
                  <c:v>0.21783142871129213</c:v>
                </c:pt>
                <c:pt idx="272">
                  <c:v>0.20802748761255413</c:v>
                </c:pt>
                <c:pt idx="273">
                  <c:v>0.19866478516975583</c:v>
                </c:pt>
                <c:pt idx="274">
                  <c:v>0.1897234638404183</c:v>
                </c:pt>
                <c:pt idx="275">
                  <c:v>0.18118455962923138</c:v>
                </c:pt>
                <c:pt idx="276">
                  <c:v>0.1730299618962505</c:v>
                </c:pt>
                <c:pt idx="277">
                  <c:v>0.16524237497087149</c:v>
                </c:pt>
                <c:pt idx="278">
                  <c:v>0.15780528149071407</c:v>
                </c:pt>
                <c:pt idx="279">
                  <c:v>0.1507029073881338</c:v>
                </c:pt>
                <c:pt idx="280">
                  <c:v>0.14392018845051846</c:v>
                </c:pt>
                <c:pt idx="281">
                  <c:v>0.13744273838379995</c:v>
                </c:pt>
                <c:pt idx="282">
                  <c:v>0.13125681831176453</c:v>
                </c:pt>
                <c:pt idx="283">
                  <c:v>0.12534930764674898</c:v>
                </c:pt>
                <c:pt idx="284">
                  <c:v>0.11970767627016546</c:v>
                </c:pt>
                <c:pt idx="285">
                  <c:v>0.1143199579640633</c:v>
                </c:pt>
                <c:pt idx="286">
                  <c:v>0.10917472503756706</c:v>
                </c:pt>
                <c:pt idx="287">
                  <c:v>0.10426106409450857</c:v>
                </c:pt>
                <c:pt idx="288">
                  <c:v>9.9568552891015918E-2</c:v>
                </c:pt>
                <c:pt idx="289">
                  <c:v>9.5087238234071128E-2</c:v>
                </c:pt>
                <c:pt idx="290">
                  <c:v>9.0807614874282599E-2</c:v>
                </c:pt>
                <c:pt idx="291">
                  <c:v>8.6720605348177188E-2</c:v>
                </c:pt>
                <c:pt idx="292">
                  <c:v>8.2817540727341904E-2</c:v>
                </c:pt>
                <c:pt idx="293">
                  <c:v>7.9090142233654015E-2</c:v>
                </c:pt>
                <c:pt idx="294">
                  <c:v>7.5530503681659367E-2</c:v>
                </c:pt>
                <c:pt idx="295">
                  <c:v>7.2131074710907753E-2</c:v>
                </c:pt>
                <c:pt idx="296">
                  <c:v>6.8884644772737341E-2</c:v>
                </c:pt>
                <c:pt idx="297">
                  <c:v>6.5784327837564535E-2</c:v>
                </c:pt>
                <c:pt idx="298">
                  <c:v>6.282354779029109E-2</c:v>
                </c:pt>
                <c:pt idx="299">
                  <c:v>5.9996024482873792E-2</c:v>
                </c:pt>
                <c:pt idx="300">
                  <c:v>5.7295760414500845E-2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E2-4F63-95CE-9375487D7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103920"/>
        <c:axId val="420102936"/>
      </c:scatterChart>
      <c:valAx>
        <c:axId val="42010392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&lt;1]0.00\ &quot;m&quot;;[&gt;=1000]0,\ &quot;k&quot;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02936"/>
        <c:crossesAt val="-300"/>
        <c:crossBetween val="midCat"/>
      </c:valAx>
      <c:valAx>
        <c:axId val="420102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03920"/>
        <c:crossesAt val="1.000000000000000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Nyquist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'Inverting AC Coupled Amp'!$M$3:$M$303</c:f>
              <c:numCache>
                <c:formatCode>General</c:formatCode>
                <c:ptCount val="301"/>
                <c:pt idx="0">
                  <c:v>9.8999901000098198E-5</c:v>
                </c:pt>
                <c:pt idx="1">
                  <c:v>1.08551222394127E-4</c:v>
                </c:pt>
                <c:pt idx="2">
                  <c:v>1.1902403592875801E-4</c:v>
                </c:pt>
                <c:pt idx="3">
                  <c:v>1.3050724507502801E-4</c:v>
                </c:pt>
                <c:pt idx="4">
                  <c:v>1.4309833046382899E-4</c:v>
                </c:pt>
                <c:pt idx="5">
                  <c:v>1.5690417737728899E-4</c:v>
                </c:pt>
                <c:pt idx="6">
                  <c:v>1.7204198307148899E-4</c:v>
                </c:pt>
                <c:pt idx="7">
                  <c:v>1.8864025163177299E-4</c:v>
                </c:pt>
                <c:pt idx="8">
                  <c:v>2.06839884804777E-4</c:v>
                </c:pt>
                <c:pt idx="9">
                  <c:v>2.2679537806581199E-4</c:v>
                </c:pt>
                <c:pt idx="10">
                  <c:v>2.48676132073245E-4</c:v>
                </c:pt>
                <c:pt idx="11">
                  <c:v>2.7266789064074798E-4</c:v>
                </c:pt>
                <c:pt idx="12">
                  <c:v>2.9897431743179399E-4</c:v>
                </c:pt>
                <c:pt idx="13">
                  <c:v>3.2781872475794399E-4</c:v>
                </c:pt>
                <c:pt idx="14">
                  <c:v>3.5944596915296899E-4</c:v>
                </c:pt>
                <c:pt idx="15">
                  <c:v>3.9412452980994801E-4</c:v>
                </c:pt>
                <c:pt idx="16">
                  <c:v>4.3214878751988799E-4</c:v>
                </c:pt>
                <c:pt idx="17">
                  <c:v>4.7384152345129101E-4</c:v>
                </c:pt>
                <c:pt idx="18">
                  <c:v>5.1955665897516698E-4</c:v>
                </c:pt>
                <c:pt idx="19">
                  <c:v>5.6968225978454702E-4</c:v>
                </c:pt>
                <c:pt idx="20">
                  <c:v>6.2464382979926904E-4</c:v>
                </c:pt>
                <c:pt idx="21">
                  <c:v>6.8490792280461496E-4</c:v>
                </c:pt>
                <c:pt idx="22">
                  <c:v>7.5098610246672405E-4</c:v>
                </c:pt>
                <c:pt idx="23">
                  <c:v>8.2343928432199902E-4</c:v>
                </c:pt>
                <c:pt idx="24">
                  <c:v>9.0288249657611197E-4</c:v>
                </c:pt>
                <c:pt idx="25">
                  <c:v>9.8999010009899707E-4</c:v>
                </c:pt>
                <c:pt idx="26">
                  <c:v>1.08550151189436E-3</c:v>
                </c:pt>
                <c:pt idx="27">
                  <c:v>1.19022748058955E-3</c:v>
                </c:pt>
                <c:pt idx="28">
                  <c:v>1.30505696716943E-3</c:v>
                </c:pt>
                <c:pt idx="29">
                  <c:v>1.4309646893057399E-3</c:v>
                </c:pt>
                <c:pt idx="30">
                  <c:v>1.5690193932549499E-3</c:v>
                </c:pt>
                <c:pt idx="31">
                  <c:v>1.7203929234593999E-3</c:v>
                </c:pt>
                <c:pt idx="32">
                  <c:v>1.8863701667410999E-3</c:v>
                </c:pt>
                <c:pt idx="33">
                  <c:v>2.0683599553809801E-3</c:v>
                </c:pt>
                <c:pt idx="34">
                  <c:v>2.2679070214917502E-3</c:v>
                </c:pt>
                <c:pt idx="35">
                  <c:v>2.4867051039863799E-3</c:v>
                </c:pt>
                <c:pt idx="36">
                  <c:v>2.7266113191932099E-3</c:v>
                </c:pt>
                <c:pt idx="37">
                  <c:v>2.9896619168514999E-3</c:v>
                </c:pt>
                <c:pt idx="38">
                  <c:v>3.2780895549305799E-3</c:v>
                </c:pt>
                <c:pt idx="39">
                  <c:v>3.5943422395451402E-3</c:v>
                </c:pt>
                <c:pt idx="40">
                  <c:v>3.9411040902997902E-3</c:v>
                </c:pt>
                <c:pt idx="41">
                  <c:v>4.3213181068006597E-3</c:v>
                </c:pt>
                <c:pt idx="42">
                  <c:v>4.7382111289510998E-3</c:v>
                </c:pt>
                <c:pt idx="43">
                  <c:v>5.1953212021402196E-3</c:v>
                </c:pt>
                <c:pt idx="44">
                  <c:v>5.6965275786905502E-3</c:v>
                </c:pt>
                <c:pt idx="45">
                  <c:v>6.2460836091211601E-3</c:v>
                </c:pt>
                <c:pt idx="46">
                  <c:v>6.84865280108577E-3</c:v>
                </c:pt>
                <c:pt idx="47">
                  <c:v>7.5093483504627403E-3</c:v>
                </c:pt>
                <c:pt idx="48">
                  <c:v>8.2337764782190407E-3</c:v>
                </c:pt>
                <c:pt idx="49">
                  <c:v>9.0280839385824298E-3</c:v>
                </c:pt>
                <c:pt idx="50">
                  <c:v>9.8990100989900208E-3</c:v>
                </c:pt>
                <c:pt idx="51">
                  <c:v>1.0853944030520399E-2</c:v>
                </c:pt>
                <c:pt idx="52">
                  <c:v>1.1900987089360901E-2</c:v>
                </c:pt>
                <c:pt idx="53">
                  <c:v>1.3049021515653901E-2</c:v>
                </c:pt>
                <c:pt idx="54">
                  <c:v>1.4307785626147099E-2</c:v>
                </c:pt>
                <c:pt idx="55">
                  <c:v>1.5687956231861599E-2</c:v>
                </c:pt>
                <c:pt idx="56">
                  <c:v>1.72012389718849E-2</c:v>
                </c:pt>
                <c:pt idx="57">
                  <c:v>1.8860467319876201E-2</c:v>
                </c:pt>
                <c:pt idx="58">
                  <c:v>2.06797110914177E-2</c:v>
                </c:pt>
                <c:pt idx="59">
                  <c:v>2.26743953585135E-2</c:v>
                </c:pt>
                <c:pt idx="60">
                  <c:v>2.48614307628846E-2</c:v>
                </c:pt>
                <c:pt idx="61">
                  <c:v>2.7259356312888401E-2</c:v>
                </c:pt>
                <c:pt idx="62">
                  <c:v>2.9888495850533402E-2</c:v>
                </c:pt>
                <c:pt idx="63">
                  <c:v>3.2771129485917497E-2</c:v>
                </c:pt>
                <c:pt idx="64">
                  <c:v>3.5931681417246598E-2</c:v>
                </c:pt>
                <c:pt idx="65">
                  <c:v>3.9396925686182603E-2</c:v>
                </c:pt>
                <c:pt idx="66">
                  <c:v>4.31962115615371E-2</c:v>
                </c:pt>
                <c:pt idx="67">
                  <c:v>4.73617104001198E-2</c:v>
                </c:pt>
                <c:pt idx="68">
                  <c:v>5.1928686002911999E-2</c:v>
                </c:pt>
                <c:pt idx="69">
                  <c:v>5.69357906685641E-2</c:v>
                </c:pt>
                <c:pt idx="70">
                  <c:v>6.2425389345649403E-2</c:v>
                </c:pt>
                <c:pt idx="71">
                  <c:v>6.8443914501151906E-2</c:v>
                </c:pt>
                <c:pt idx="72">
                  <c:v>7.5042254556402802E-2</c:v>
                </c:pt>
                <c:pt idx="73">
                  <c:v>8.2276178994252103E-2</c:v>
                </c:pt>
                <c:pt idx="74">
                  <c:v>9.02068035136466E-2</c:v>
                </c:pt>
                <c:pt idx="75">
                  <c:v>9.8901098901098702E-2</c:v>
                </c:pt>
                <c:pt idx="76">
                  <c:v>0.108432447603623</c:v>
                </c:pt>
                <c:pt idx="77">
                  <c:v>0.118881252325511</c:v>
                </c:pt>
                <c:pt idx="78">
                  <c:v>0.130335601332354</c:v>
                </c:pt>
                <c:pt idx="79">
                  <c:v>0.14289199553058499</c:v>
                </c:pt>
                <c:pt idx="80">
                  <c:v>0.15665614279937001</c:v>
                </c:pt>
                <c:pt idx="81">
                  <c:v>0.17174382548393</c:v>
                </c:pt>
                <c:pt idx="82">
                  <c:v>0.188281847414208</c:v>
                </c:pt>
                <c:pt idx="83">
                  <c:v>0.20640906728889</c:v>
                </c:pt>
                <c:pt idx="84">
                  <c:v>0.22627752575969901</c:v>
                </c:pt>
                <c:pt idx="85">
                  <c:v>0.24805367406128701</c:v>
                </c:pt>
                <c:pt idx="86">
                  <c:v>0.271919712553161</c:v>
                </c:pt>
                <c:pt idx="87">
                  <c:v>0.29807504806558499</c:v>
                </c:pt>
                <c:pt idx="88">
                  <c:v>0.32673787946319099</c:v>
                </c:pt>
                <c:pt idx="89">
                  <c:v>0.35814692134715398</c:v>
                </c:pt>
                <c:pt idx="90">
                  <c:v>0.39256327629606802</c:v>
                </c:pt>
                <c:pt idx="91">
                  <c:v>0.43027246647980999</c:v>
                </c:pt>
                <c:pt idx="92">
                  <c:v>0.47158663584886801</c:v>
                </c:pt>
                <c:pt idx="93">
                  <c:v>0.516846934377589</c:v>
                </c:pt>
                <c:pt idx="94">
                  <c:v>0.56642609599194804</c:v>
                </c:pt>
                <c:pt idx="95">
                  <c:v>0.62073122180194895</c:v>
                </c:pt>
                <c:pt idx="96">
                  <c:v>0.68020678003914603</c:v>
                </c:pt>
                <c:pt idx="97">
                  <c:v>0.74533783361488104</c:v>
                </c:pt>
                <c:pt idx="98">
                  <c:v>0.81665350539829995</c:v>
                </c:pt>
                <c:pt idx="99">
                  <c:v>0.89473069008572403</c:v>
                </c:pt>
                <c:pt idx="100">
                  <c:v>0.98019801980197196</c:v>
                </c:pt>
                <c:pt idx="101">
                  <c:v>1.0737400882310499</c:v>
                </c:pt>
                <c:pt idx="102">
                  <c:v>1.1761019349919699</c:v>
                </c:pt>
                <c:pt idx="103">
                  <c:v>1.28809378801145</c:v>
                </c:pt>
                <c:pt idx="104">
                  <c:v>1.41059605663134</c:v>
                </c:pt>
                <c:pt idx="105">
                  <c:v>1.5445645619411399</c:v>
                </c:pt>
                <c:pt idx="106">
                  <c:v>1.6910359831325701</c:v>
                </c:pt>
                <c:pt idx="107">
                  <c:v>1.8511334893078</c:v>
                </c:pt>
                <c:pt idx="108">
                  <c:v>2.02607251488371</c:v>
                </c:pt>
                <c:pt idx="109">
                  <c:v>2.2171666232598501</c:v>
                </c:pt>
                <c:pt idx="110">
                  <c:v>2.4258333874832698</c:v>
                </c:pt>
                <c:pt idx="111">
                  <c:v>2.6536001979801802</c:v>
                </c:pt>
                <c:pt idx="112">
                  <c:v>2.9021098857745802</c:v>
                </c:pt>
                <c:pt idx="113">
                  <c:v>3.1731260247592301</c:v>
                </c:pt>
                <c:pt idx="114">
                  <c:v>3.46853774836665</c:v>
                </c:pt>
                <c:pt idx="115">
                  <c:v>3.7903638843432201</c:v>
                </c:pt>
                <c:pt idx="116">
                  <c:v>4.1407561763359597</c:v>
                </c:pt>
                <c:pt idx="117">
                  <c:v>4.5220013229265801</c:v>
                </c:pt>
                <c:pt idx="118">
                  <c:v>4.9365215241186302</c:v>
                </c:pt>
                <c:pt idx="119">
                  <c:v>5.3868731829536598</c:v>
                </c:pt>
                <c:pt idx="120">
                  <c:v>5.87574336717398</c:v>
                </c:pt>
                <c:pt idx="121">
                  <c:v>6.4059435944382503</c:v>
                </c:pt>
                <c:pt idx="122">
                  <c:v>6.9804004668977102</c:v>
                </c:pt>
                <c:pt idx="123">
                  <c:v>7.6021426500129099</c:v>
                </c:pt>
                <c:pt idx="124">
                  <c:v>8.2742836701181908</c:v>
                </c:pt>
                <c:pt idx="125">
                  <c:v>8.9999999999999893</c:v>
                </c:pt>
                <c:pt idx="126">
                  <c:v>9.7825039169548909</c:v>
                </c:pt>
                <c:pt idx="127">
                  <c:v>10.625010659390799</c:v>
                </c:pt>
                <c:pt idx="128">
                  <c:v>11.5306994824125</c:v>
                </c:pt>
                <c:pt idx="129">
                  <c:v>12.502668326436901</c:v>
                </c:pt>
                <c:pt idx="130">
                  <c:v>13.5438819717178</c:v>
                </c:pt>
                <c:pt idx="131">
                  <c:v>14.6571137605952</c:v>
                </c:pt>
                <c:pt idx="132">
                  <c:v>15.8448812311594</c:v>
                </c:pt>
                <c:pt idx="133">
                  <c:v>17.109376320649201</c:v>
                </c:pt>
                <c:pt idx="134">
                  <c:v>18.452391159946899</c:v>
                </c:pt>
                <c:pt idx="135">
                  <c:v>19.875240882397101</c:v>
                </c:pt>
                <c:pt idx="136">
                  <c:v>21.378685295106301</c:v>
                </c:pt>
                <c:pt idx="137">
                  <c:v>22.962851686409198</c:v>
                </c:pt>
                <c:pt idx="138">
                  <c:v>24.627161440162698</c:v>
                </c:pt>
                <c:pt idx="139">
                  <c:v>26.370263461033101</c:v>
                </c:pt>
                <c:pt idx="140">
                  <c:v>28.1899776461294</c:v>
                </c:pt>
                <c:pt idx="141">
                  <c:v>30.083251727469701</c:v>
                </c:pt>
                <c:pt idx="142">
                  <c:v>32.046134720219101</c:v>
                </c:pt>
                <c:pt idx="143">
                  <c:v>34.073769914672901</c:v>
                </c:pt>
                <c:pt idx="144">
                  <c:v>36.160409829820601</c:v>
                </c:pt>
                <c:pt idx="145">
                  <c:v>38.299454804838803</c:v>
                </c:pt>
                <c:pt idx="146">
                  <c:v>40.483515964820597</c:v>
                </c:pt>
                <c:pt idx="147">
                  <c:v>42.704502203516903</c:v>
                </c:pt>
                <c:pt idx="148">
                  <c:v>44.9537296447321</c:v>
                </c:pt>
                <c:pt idx="149">
                  <c:v>47.222050857541298</c:v>
                </c:pt>
                <c:pt idx="150">
                  <c:v>49.499999999999801</c:v>
                </c:pt>
                <c:pt idx="151">
                  <c:v>51.777949142458603</c:v>
                </c:pt>
                <c:pt idx="152">
                  <c:v>54.046270355267801</c:v>
                </c:pt>
                <c:pt idx="153">
                  <c:v>56.295497796482898</c:v>
                </c:pt>
                <c:pt idx="154">
                  <c:v>58.516484035179502</c:v>
                </c:pt>
                <c:pt idx="155">
                  <c:v>60.700545195161297</c:v>
                </c:pt>
                <c:pt idx="156">
                  <c:v>62.839590170179697</c:v>
                </c:pt>
                <c:pt idx="157">
                  <c:v>64.926230085327205</c:v>
                </c:pt>
                <c:pt idx="158">
                  <c:v>66.9538652797807</c:v>
                </c:pt>
                <c:pt idx="159">
                  <c:v>68.916748272530299</c:v>
                </c:pt>
                <c:pt idx="160">
                  <c:v>70.810022353870593</c:v>
                </c:pt>
                <c:pt idx="161">
                  <c:v>72.629736538967194</c:v>
                </c:pt>
                <c:pt idx="162">
                  <c:v>74.372838559837405</c:v>
                </c:pt>
                <c:pt idx="163">
                  <c:v>76.037148313590706</c:v>
                </c:pt>
                <c:pt idx="164">
                  <c:v>77.621314704893805</c:v>
                </c:pt>
                <c:pt idx="165">
                  <c:v>79.124759117602906</c:v>
                </c:pt>
                <c:pt idx="166">
                  <c:v>80.547608840053101</c:v>
                </c:pt>
                <c:pt idx="167">
                  <c:v>81.890623679350995</c:v>
                </c:pt>
                <c:pt idx="168">
                  <c:v>83.155118768840495</c:v>
                </c:pt>
                <c:pt idx="169">
                  <c:v>84.342886239405004</c:v>
                </c:pt>
                <c:pt idx="170">
                  <c:v>85.456118028282106</c:v>
                </c:pt>
                <c:pt idx="171">
                  <c:v>86.497331673563195</c:v>
                </c:pt>
                <c:pt idx="172">
                  <c:v>87.469300517587499</c:v>
                </c:pt>
                <c:pt idx="173">
                  <c:v>88.374989340609403</c:v>
                </c:pt>
                <c:pt idx="174">
                  <c:v>89.217496083045106</c:v>
                </c:pt>
                <c:pt idx="175">
                  <c:v>89.999999999999801</c:v>
                </c:pt>
                <c:pt idx="176">
                  <c:v>90.725716329881806</c:v>
                </c:pt>
                <c:pt idx="177">
                  <c:v>91.397857349987206</c:v>
                </c:pt>
                <c:pt idx="178">
                  <c:v>92.019599533102294</c:v>
                </c:pt>
                <c:pt idx="179">
                  <c:v>92.594056405561602</c:v>
                </c:pt>
                <c:pt idx="180">
                  <c:v>93.124256632826004</c:v>
                </c:pt>
                <c:pt idx="181">
                  <c:v>93.613126817046194</c:v>
                </c:pt>
                <c:pt idx="182">
                  <c:v>94.063478475881496</c:v>
                </c:pt>
                <c:pt idx="183">
                  <c:v>94.477998677073401</c:v>
                </c:pt>
                <c:pt idx="184">
                  <c:v>94.859243823663903</c:v>
                </c:pt>
                <c:pt idx="185">
                  <c:v>95.209636115656707</c:v>
                </c:pt>
                <c:pt idx="186">
                  <c:v>95.5314622516333</c:v>
                </c:pt>
                <c:pt idx="187">
                  <c:v>95.826873975240801</c:v>
                </c:pt>
                <c:pt idx="188">
                  <c:v>96.097890114225507</c:v>
                </c:pt>
                <c:pt idx="189">
                  <c:v>96.346399802019704</c:v>
                </c:pt>
                <c:pt idx="190">
                  <c:v>96.574166612516706</c:v>
                </c:pt>
                <c:pt idx="191">
                  <c:v>96.782833376740101</c:v>
                </c:pt>
                <c:pt idx="192">
                  <c:v>96.973927485116207</c:v>
                </c:pt>
                <c:pt idx="193">
                  <c:v>97.148866510692201</c:v>
                </c:pt>
                <c:pt idx="194">
                  <c:v>97.308964016867407</c:v>
                </c:pt>
                <c:pt idx="195">
                  <c:v>97.455435438058799</c:v>
                </c:pt>
                <c:pt idx="196">
                  <c:v>97.589403943368595</c:v>
                </c:pt>
                <c:pt idx="197">
                  <c:v>97.711906211988605</c:v>
                </c:pt>
                <c:pt idx="198">
                  <c:v>97.823898065007995</c:v>
                </c:pt>
                <c:pt idx="199">
                  <c:v>97.926259911768994</c:v>
                </c:pt>
                <c:pt idx="200">
                  <c:v>98.019801980197997</c:v>
                </c:pt>
                <c:pt idx="201">
                  <c:v>98.105269309914206</c:v>
                </c:pt>
                <c:pt idx="202">
                  <c:v>98.183346494601906</c:v>
                </c:pt>
                <c:pt idx="203">
                  <c:v>98.254662166385003</c:v>
                </c:pt>
                <c:pt idx="204">
                  <c:v>98.319793219961198</c:v>
                </c:pt>
                <c:pt idx="205">
                  <c:v>98.379268778198195</c:v>
                </c:pt>
                <c:pt idx="206">
                  <c:v>98.433573904008398</c:v>
                </c:pt>
                <c:pt idx="207">
                  <c:v>98.483153065622304</c:v>
                </c:pt>
                <c:pt idx="208">
                  <c:v>98.528413364151106</c:v>
                </c:pt>
                <c:pt idx="209">
                  <c:v>98.569727533520293</c:v>
                </c:pt>
                <c:pt idx="210">
                  <c:v>98.607436723703998</c:v>
                </c:pt>
                <c:pt idx="211">
                  <c:v>98.641853078653199</c:v>
                </c:pt>
                <c:pt idx="212">
                  <c:v>98.673262120537004</c:v>
                </c:pt>
                <c:pt idx="213">
                  <c:v>98.701924951934402</c:v>
                </c:pt>
                <c:pt idx="214">
                  <c:v>98.728080287447</c:v>
                </c:pt>
                <c:pt idx="215">
                  <c:v>98.751946325939201</c:v>
                </c:pt>
                <c:pt idx="216">
                  <c:v>98.773722474240301</c:v>
                </c:pt>
                <c:pt idx="217">
                  <c:v>98.793590932711396</c:v>
                </c:pt>
                <c:pt idx="218">
                  <c:v>98.811718152585698</c:v>
                </c:pt>
                <c:pt idx="219">
                  <c:v>98.828256174516298</c:v>
                </c:pt>
                <c:pt idx="220">
                  <c:v>98.843343857200495</c:v>
                </c:pt>
                <c:pt idx="221">
                  <c:v>98.857108004469595</c:v>
                </c:pt>
                <c:pt idx="222">
                  <c:v>98.869664398667695</c:v>
                </c:pt>
                <c:pt idx="223">
                  <c:v>98.881118747674705</c:v>
                </c:pt>
                <c:pt idx="224">
                  <c:v>98.891567552396396</c:v>
                </c:pt>
                <c:pt idx="225">
                  <c:v>98.901098901098706</c:v>
                </c:pt>
                <c:pt idx="226">
                  <c:v>98.909793196486305</c:v>
                </c:pt>
                <c:pt idx="227">
                  <c:v>98.917723821005794</c:v>
                </c:pt>
                <c:pt idx="228">
                  <c:v>98.924957745443606</c:v>
                </c:pt>
                <c:pt idx="229">
                  <c:v>98.931556085498698</c:v>
                </c:pt>
                <c:pt idx="230">
                  <c:v>98.937574610654394</c:v>
                </c:pt>
                <c:pt idx="231">
                  <c:v>98.943064209331297</c:v>
                </c:pt>
                <c:pt idx="232">
                  <c:v>98.948071313997204</c:v>
                </c:pt>
                <c:pt idx="233">
                  <c:v>98.952638289599804</c:v>
                </c:pt>
                <c:pt idx="234">
                  <c:v>98.956803788438407</c:v>
                </c:pt>
                <c:pt idx="235">
                  <c:v>98.960603074313795</c:v>
                </c:pt>
                <c:pt idx="236">
                  <c:v>98.964068318582704</c:v>
                </c:pt>
                <c:pt idx="237">
                  <c:v>98.967228870514106</c:v>
                </c:pt>
                <c:pt idx="238">
                  <c:v>98.9701115041496</c:v>
                </c:pt>
                <c:pt idx="239">
                  <c:v>98.972740643687004</c:v>
                </c:pt>
                <c:pt idx="240">
                  <c:v>98.975138569237103</c:v>
                </c:pt>
                <c:pt idx="241">
                  <c:v>98.977325604641507</c:v>
                </c:pt>
                <c:pt idx="242">
                  <c:v>98.979320288908497</c:v>
                </c:pt>
                <c:pt idx="243">
                  <c:v>98.981139532680103</c:v>
                </c:pt>
                <c:pt idx="244">
                  <c:v>98.982798761028107</c:v>
                </c:pt>
                <c:pt idx="245">
                  <c:v>98.984312043768099</c:v>
                </c:pt>
                <c:pt idx="246">
                  <c:v>98.985692214373799</c:v>
                </c:pt>
                <c:pt idx="247">
                  <c:v>98.986950978484302</c:v>
                </c:pt>
                <c:pt idx="248">
                  <c:v>98.988099012910595</c:v>
                </c:pt>
                <c:pt idx="249">
                  <c:v>98.989146055969499</c:v>
                </c:pt>
                <c:pt idx="250">
                  <c:v>98.990100989900995</c:v>
                </c:pt>
                <c:pt idx="251">
                  <c:v>98.990971916061298</c:v>
                </c:pt>
                <c:pt idx="252">
                  <c:v>98.991766223521907</c:v>
                </c:pt>
                <c:pt idx="253">
                  <c:v>98.992490651649405</c:v>
                </c:pt>
                <c:pt idx="254">
                  <c:v>98.993151347199202</c:v>
                </c:pt>
                <c:pt idx="255">
                  <c:v>98.993753916391</c:v>
                </c:pt>
                <c:pt idx="256">
                  <c:v>98.994303472421606</c:v>
                </c:pt>
                <c:pt idx="257">
                  <c:v>98.994804678797806</c:v>
                </c:pt>
                <c:pt idx="258">
                  <c:v>98.995261788871005</c:v>
                </c:pt>
                <c:pt idx="259">
                  <c:v>98.995678681893295</c:v>
                </c:pt>
                <c:pt idx="260">
                  <c:v>98.996058895909798</c:v>
                </c:pt>
                <c:pt idx="261">
                  <c:v>98.996405657760803</c:v>
                </c:pt>
                <c:pt idx="262">
                  <c:v>98.996721910445302</c:v>
                </c:pt>
                <c:pt idx="263">
                  <c:v>98.997010338083101</c:v>
                </c:pt>
                <c:pt idx="264">
                  <c:v>98.997273388680995</c:v>
                </c:pt>
                <c:pt idx="265">
                  <c:v>98.997513294896507</c:v>
                </c:pt>
                <c:pt idx="266">
                  <c:v>98.997732092978495</c:v>
                </c:pt>
                <c:pt idx="267">
                  <c:v>98.997931640044897</c:v>
                </c:pt>
                <c:pt idx="268">
                  <c:v>98.998113629833199</c:v>
                </c:pt>
                <c:pt idx="269">
                  <c:v>98.998279607076697</c:v>
                </c:pt>
                <c:pt idx="270">
                  <c:v>98.998430980606599</c:v>
                </c:pt>
                <c:pt idx="271">
                  <c:v>98.998569035310794</c:v>
                </c:pt>
                <c:pt idx="272">
                  <c:v>98.998694943032902</c:v>
                </c:pt>
                <c:pt idx="273">
                  <c:v>98.998809772519607</c:v>
                </c:pt>
                <c:pt idx="274">
                  <c:v>98.998914498488105</c:v>
                </c:pt>
                <c:pt idx="275">
                  <c:v>98.999010009899706</c:v>
                </c:pt>
                <c:pt idx="276">
                  <c:v>98.999097117503396</c:v>
                </c:pt>
                <c:pt idx="277">
                  <c:v>98.999176560715796</c:v>
                </c:pt>
                <c:pt idx="278">
                  <c:v>98.999249013897497</c:v>
                </c:pt>
                <c:pt idx="279">
                  <c:v>98.999315092077097</c:v>
                </c:pt>
                <c:pt idx="280">
                  <c:v>98.999375356170205</c:v>
                </c:pt>
                <c:pt idx="281">
                  <c:v>98.999430317740305</c:v>
                </c:pt>
                <c:pt idx="282">
                  <c:v>98.999480443341199</c:v>
                </c:pt>
                <c:pt idx="283">
                  <c:v>98.999526158476499</c:v>
                </c:pt>
                <c:pt idx="284">
                  <c:v>98.999567851212305</c:v>
                </c:pt>
                <c:pt idx="285">
                  <c:v>98.999605875470195</c:v>
                </c:pt>
                <c:pt idx="286">
                  <c:v>98.999640554030805</c:v>
                </c:pt>
                <c:pt idx="287">
                  <c:v>98.999672181275301</c:v>
                </c:pt>
                <c:pt idx="288">
                  <c:v>98.999701025682697</c:v>
                </c:pt>
                <c:pt idx="289">
                  <c:v>98.999727332109302</c:v>
                </c:pt>
                <c:pt idx="290">
                  <c:v>98.999751323867898</c:v>
                </c:pt>
                <c:pt idx="291">
                  <c:v>98.999773204621903</c:v>
                </c:pt>
                <c:pt idx="292">
                  <c:v>98.999793160115104</c:v>
                </c:pt>
                <c:pt idx="293">
                  <c:v>98.999811359748307</c:v>
                </c:pt>
                <c:pt idx="294">
                  <c:v>98.999827958016894</c:v>
                </c:pt>
                <c:pt idx="295">
                  <c:v>98.999843095822598</c:v>
                </c:pt>
                <c:pt idx="296">
                  <c:v>98.999856901669503</c:v>
                </c:pt>
                <c:pt idx="297">
                  <c:v>98.999869492754897</c:v>
                </c:pt>
                <c:pt idx="298">
                  <c:v>98.999880975964103</c:v>
                </c:pt>
                <c:pt idx="299">
                  <c:v>98.999891448777603</c:v>
                </c:pt>
                <c:pt idx="300">
                  <c:v>98.999901000099001</c:v>
                </c:pt>
              </c:numCache>
            </c:numRef>
          </c:xVal>
          <c:yVal>
            <c:numRef>
              <c:f>'Inverting AC Coupled Amp'!$N$3:$N$303</c:f>
              <c:numCache>
                <c:formatCode>General</c:formatCode>
                <c:ptCount val="301"/>
                <c:pt idx="0">
                  <c:v>9.8999901000098603E-2</c:v>
                </c:pt>
                <c:pt idx="1">
                  <c:v>0.10366561258995501</c:v>
                </c:pt>
                <c:pt idx="2">
                  <c:v>0.10855121091091501</c:v>
                </c:pt>
                <c:pt idx="3">
                  <c:v>0.113667058685825</c:v>
                </c:pt>
                <c:pt idx="4">
                  <c:v>0.119024006985091</c:v>
                </c:pt>
                <c:pt idx="5">
                  <c:v>0.124633418236967</c:v>
                </c:pt>
                <c:pt idx="6">
                  <c:v>0.13050719032158101</c:v>
                </c:pt>
                <c:pt idx="7">
                  <c:v>0.13665778179965099</c:v>
                </c:pt>
                <c:pt idx="8">
                  <c:v>0.14309823832925</c:v>
                </c:pt>
                <c:pt idx="9">
                  <c:v>0.149842220326488</c:v>
                </c:pt>
                <c:pt idx="10">
                  <c:v>0.15690403192854099</c:v>
                </c:pt>
                <c:pt idx="11">
                  <c:v>0.164298651320258</c:v>
                </c:pt>
                <c:pt idx="12">
                  <c:v>0.172041762488371</c:v>
                </c:pt>
                <c:pt idx="13">
                  <c:v>0.180149788470373</c:v>
                </c:pt>
                <c:pt idx="14">
                  <c:v>0.188639926168188</c:v>
                </c:pt>
                <c:pt idx="15">
                  <c:v>0.19753018280009699</c:v>
                </c:pt>
                <c:pt idx="16">
                  <c:v>0.20683941406775999</c:v>
                </c:pt>
                <c:pt idx="17">
                  <c:v>0.21658736411870499</c:v>
                </c:pt>
                <c:pt idx="18">
                  <c:v>0.22679470738846499</c:v>
                </c:pt>
                <c:pt idx="19">
                  <c:v>0.23748309241037199</c:v>
                </c:pt>
                <c:pt idx="20">
                  <c:v>0.24867518768508701</c:v>
                </c:pt>
                <c:pt idx="21">
                  <c:v>0.26039472970625599</c:v>
                </c:pt>
                <c:pt idx="22">
                  <c:v>0.27266657324299898</c:v>
                </c:pt>
                <c:pt idx="23">
                  <c:v>0.28551674398469701</c:v>
                </c:pt>
                <c:pt idx="24">
                  <c:v>0.29897249365825002</c:v>
                </c:pt>
                <c:pt idx="25">
                  <c:v>0.31306235773309199</c:v>
                </c:pt>
                <c:pt idx="26">
                  <c:v>0.32781621583443499</c:v>
                </c:pt>
                <c:pt idx="27">
                  <c:v>0.34326535499072702</c:v>
                </c:pt>
                <c:pt idx="28">
                  <c:v>0.35944253584695002</c:v>
                </c:pt>
                <c:pt idx="29">
                  <c:v>0.376382061981341</c:v>
                </c:pt>
                <c:pt idx="30">
                  <c:v>0.39411985246925002</c:v>
                </c:pt>
                <c:pt idx="31">
                  <c:v>0.41269351784425901</c:v>
                </c:pt>
                <c:pt idx="32">
                  <c:v>0.43214243961333298</c:v>
                </c:pt>
                <c:pt idx="33">
                  <c:v>0.452507853489651</c:v>
                </c:pt>
                <c:pt idx="34">
                  <c:v>0.47383293651394098</c:v>
                </c:pt>
                <c:pt idx="35">
                  <c:v>0.49616289824248</c:v>
                </c:pt>
                <c:pt idx="36">
                  <c:v>0.51954507618765999</c:v>
                </c:pt>
                <c:pt idx="37">
                  <c:v>0.54402903570482497</c:v>
                </c:pt>
                <c:pt idx="38">
                  <c:v>0.56966667452730402</c:v>
                </c:pt>
                <c:pt idx="39">
                  <c:v>0.59651233215989197</c:v>
                </c:pt>
                <c:pt idx="40">
                  <c:v>0.62462290434968004</c:v>
                </c:pt>
                <c:pt idx="41">
                  <c:v>0.65405796286192097</c:v>
                </c:pt>
                <c:pt idx="42">
                  <c:v>0.68487988079768802</c:v>
                </c:pt>
                <c:pt idx="43">
                  <c:v>0.71715396369921003</c:v>
                </c:pt>
                <c:pt idx="44">
                  <c:v>0.75094858669812403</c:v>
                </c:pt>
                <c:pt idx="45">
                  <c:v>0.78633533797136601</c:v>
                </c:pt>
                <c:pt idx="46">
                  <c:v>0.82338916877883495</c:v>
                </c:pt>
                <c:pt idx="47">
                  <c:v>0.86218855036654496</c:v>
                </c:pt>
                <c:pt idx="48">
                  <c:v>0.90281563802838005</c:v>
                </c:pt>
                <c:pt idx="49">
                  <c:v>0.94535644262894802</c:v>
                </c:pt>
                <c:pt idx="50">
                  <c:v>0.98990100989900598</c:v>
                </c:pt>
                <c:pt idx="51">
                  <c:v>1.0365436078238599</c:v>
                </c:pt>
                <c:pt idx="52">
                  <c:v>1.0853829224531899</c:v>
                </c:pt>
                <c:pt idx="53">
                  <c:v>1.1365222624688101</c:v>
                </c:pt>
                <c:pt idx="54">
                  <c:v>1.1900697728532801</c:v>
                </c:pt>
                <c:pt idx="55">
                  <c:v>1.24613865800864</c:v>
                </c:pt>
                <c:pt idx="56">
                  <c:v>1.3048474146789899</c:v>
                </c:pt>
                <c:pt idx="57">
                  <c:v>1.3663200750337501</c:v>
                </c:pt>
                <c:pt idx="58">
                  <c:v>1.4306864602698699</c:v>
                </c:pt>
                <c:pt idx="59">
                  <c:v>1.49808244509038</c:v>
                </c:pt>
                <c:pt idx="60">
                  <c:v>1.5686502334127901</c:v>
                </c:pt>
                <c:pt idx="61">
                  <c:v>1.6425386456547599</c:v>
                </c:pt>
                <c:pt idx="62">
                  <c:v>1.7199034179332899</c:v>
                </c:pt>
                <c:pt idx="63">
                  <c:v>1.80090751349925</c:v>
                </c:pt>
                <c:pt idx="64">
                  <c:v>1.8857214467089101</c:v>
                </c:pt>
                <c:pt idx="65">
                  <c:v>1.9745236198077201</c:v>
                </c:pt>
                <c:pt idx="66">
                  <c:v>2.06750067276867</c:v>
                </c:pt>
                <c:pt idx="67">
                  <c:v>2.1648478463854799</c:v>
                </c:pt>
                <c:pt idx="68">
                  <c:v>2.26676935876994</c:v>
                </c:pt>
                <c:pt idx="69">
                  <c:v>2.37347879534004</c:v>
                </c:pt>
                <c:pt idx="70">
                  <c:v>2.4851995123096899</c:v>
                </c:pt>
                <c:pt idx="71">
                  <c:v>2.6021650536009102</c:v>
                </c:pt>
                <c:pt idx="72">
                  <c:v>2.7246195809901601</c:v>
                </c:pt>
                <c:pt idx="73">
                  <c:v>2.8528183171735799</c:v>
                </c:pt>
                <c:pt idx="74">
                  <c:v>2.9870280012833601</c:v>
                </c:pt>
                <c:pt idx="75">
                  <c:v>3.1275273562104799</c:v>
                </c:pt>
                <c:pt idx="76">
                  <c:v>3.2746075668796402</c:v>
                </c:pt>
                <c:pt idx="77">
                  <c:v>3.42857276837915</c:v>
                </c:pt>
                <c:pt idx="78">
                  <c:v>3.5897405425640998</c:v>
                </c:pt>
                <c:pt idx="79">
                  <c:v>3.7584424214215701</c:v>
                </c:pt>
                <c:pt idx="80">
                  <c:v>3.9350243951036501</c:v>
                </c:pt>
                <c:pt idx="81">
                  <c:v>4.1198474220918904</c:v>
                </c:pt>
                <c:pt idx="82">
                  <c:v>4.3132879384456801</c:v>
                </c:pt>
                <c:pt idx="83">
                  <c:v>4.5157383624985403</c:v>
                </c:pt>
                <c:pt idx="84">
                  <c:v>4.7276075906896304</c:v>
                </c:pt>
                <c:pt idx="85">
                  <c:v>4.9493214794406004</c:v>
                </c:pt>
                <c:pt idx="86">
                  <c:v>5.1813233070990599</c:v>
                </c:pt>
                <c:pt idx="87">
                  <c:v>5.4240742089515699</c:v>
                </c:pt>
                <c:pt idx="88">
                  <c:v>5.67805357714946</c:v>
                </c:pt>
                <c:pt idx="89">
                  <c:v>5.9437594160680698</c:v>
                </c:pt>
                <c:pt idx="90">
                  <c:v>6.2217086421187</c:v>
                </c:pt>
                <c:pt idx="91">
                  <c:v>6.5124373153290698</c:v>
                </c:pt>
                <c:pt idx="92">
                  <c:v>6.8165007880823003</c:v>
                </c:pt>
                <c:pt idx="93">
                  <c:v>7.1344737542306396</c:v>
                </c:pt>
                <c:pt idx="94">
                  <c:v>7.4669501793558402</c:v>
                </c:pt>
                <c:pt idx="95">
                  <c:v>7.8145430902051602</c:v>
                </c:pt>
                <c:pt idx="96">
                  <c:v>8.1778841982669395</c:v>
                </c:pt>
                <c:pt idx="97">
                  <c:v>8.5576233290356694</c:v>
                </c:pt>
                <c:pt idx="98">
                  <c:v>8.9544276247313697</c:v>
                </c:pt>
                <c:pt idx="99">
                  <c:v>9.3689804840604403</c:v>
                </c:pt>
                <c:pt idx="100">
                  <c:v>9.8019801980197592</c:v>
                </c:pt>
                <c:pt idx="101">
                  <c:v>10.2541382357466</c:v>
                </c:pt>
                <c:pt idx="102">
                  <c:v>10.7261771290014</c:v>
                </c:pt>
                <c:pt idx="103">
                  <c:v>11.2188278980658</c:v>
                </c:pt>
                <c:pt idx="104">
                  <c:v>11.7328269556625</c:v>
                </c:pt>
                <c:pt idx="105">
                  <c:v>12.2689124190439</c:v>
                </c:pt>
                <c:pt idx="106">
                  <c:v>12.8278197537179</c:v>
                </c:pt>
                <c:pt idx="107">
                  <c:v>13.4102766655366</c:v>
                </c:pt>
                <c:pt idx="108">
                  <c:v>14.016997151241799</c:v>
                </c:pt>
                <c:pt idx="109">
                  <c:v>14.6486746112892</c:v>
                </c:pt>
                <c:pt idx="110">
                  <c:v>15.3059739231783</c:v>
                </c:pt>
                <c:pt idx="111">
                  <c:v>15.989522369017701</c:v>
                </c:pt>
                <c:pt idx="112">
                  <c:v>16.699899308156699</c:v>
                </c:pt>
                <c:pt idx="113">
                  <c:v>17.437624485065601</c:v>
                </c:pt>
                <c:pt idx="114">
                  <c:v>18.203144865007701</c:v>
                </c:pt>
                <c:pt idx="115">
                  <c:v>18.996819896346999</c:v>
                </c:pt>
                <c:pt idx="116">
                  <c:v>19.8189051096521</c:v>
                </c:pt>
                <c:pt idx="117">
                  <c:v>20.669533981325799</c:v>
                </c:pt>
                <c:pt idx="118">
                  <c:v>21.548698014721399</c:v>
                </c:pt>
                <c:pt idx="119">
                  <c:v>22.456225026107699</c:v>
                </c:pt>
                <c:pt idx="120">
                  <c:v>23.3917556680411</c:v>
                </c:pt>
                <c:pt idx="121">
                  <c:v>24.354718280330498</c:v>
                </c:pt>
                <c:pt idx="122">
                  <c:v>25.344302230375298</c:v>
                </c:pt>
                <c:pt idx="123">
                  <c:v>26.359429991563399</c:v>
                </c:pt>
                <c:pt idx="124">
                  <c:v>27.398728311513199</c:v>
                </c:pt>
                <c:pt idx="125">
                  <c:v>28.4604989415154</c:v>
                </c:pt>
                <c:pt idx="126">
                  <c:v>29.542689533847401</c:v>
                </c:pt>
                <c:pt idx="127">
                  <c:v>30.642865462739</c:v>
                </c:pt>
                <c:pt idx="128">
                  <c:v>31.7581834840271</c:v>
                </c:pt>
                <c:pt idx="129">
                  <c:v>32.8853683123113</c:v>
                </c:pt>
                <c:pt idx="130">
                  <c:v>34.020693354725097</c:v>
                </c:pt>
                <c:pt idx="131">
                  <c:v>35.159966986729302</c:v>
                </c:pt>
                <c:pt idx="132">
                  <c:v>36.298525874410402</c:v>
                </c:pt>
                <c:pt idx="133">
                  <c:v>37.431236924027502</c:v>
                </c:pt>
                <c:pt idx="134">
                  <c:v>38.552509455482401</c:v>
                </c:pt>
                <c:pt idx="135">
                  <c:v>39.6563191335757</c:v>
                </c:pt>
                <c:pt idx="136">
                  <c:v>40.736245031523602</c:v>
                </c:pt>
                <c:pt idx="137">
                  <c:v>41.785520929892499</c:v>
                </c:pt>
                <c:pt idx="138">
                  <c:v>42.797101560459303</c:v>
                </c:pt>
                <c:pt idx="139">
                  <c:v>43.763743985609601</c:v>
                </c:pt>
                <c:pt idx="140">
                  <c:v>44.6781036669814</c:v>
                </c:pt>
                <c:pt idx="141">
                  <c:v>45.532844041649703</c:v>
                </c:pt>
                <c:pt idx="142">
                  <c:v>46.320757623286497</c:v>
                </c:pt>
                <c:pt idx="143">
                  <c:v>47.034895825913601</c:v>
                </c:pt>
                <c:pt idx="144">
                  <c:v>47.668703927122401</c:v>
                </c:pt>
                <c:pt idx="145">
                  <c:v>48.216156911673799</c:v>
                </c:pt>
                <c:pt idx="146">
                  <c:v>48.671891432770003</c:v>
                </c:pt>
                <c:pt idx="147">
                  <c:v>49.0313288591896</c:v>
                </c:pt>
                <c:pt idx="148">
                  <c:v>49.290784390764301</c:v>
                </c:pt>
                <c:pt idx="149">
                  <c:v>49.447557550443001</c:v>
                </c:pt>
                <c:pt idx="150">
                  <c:v>49.5</c:v>
                </c:pt>
                <c:pt idx="151">
                  <c:v>49.447557550443001</c:v>
                </c:pt>
                <c:pt idx="152">
                  <c:v>49.290784390764401</c:v>
                </c:pt>
                <c:pt idx="153">
                  <c:v>49.0313288591895</c:v>
                </c:pt>
                <c:pt idx="154">
                  <c:v>48.671891432770202</c:v>
                </c:pt>
                <c:pt idx="155">
                  <c:v>48.216156911673899</c:v>
                </c:pt>
                <c:pt idx="156">
                  <c:v>47.6687039271225</c:v>
                </c:pt>
                <c:pt idx="157">
                  <c:v>47.034895825913601</c:v>
                </c:pt>
                <c:pt idx="158">
                  <c:v>46.320757623286603</c:v>
                </c:pt>
                <c:pt idx="159">
                  <c:v>45.532844041649803</c:v>
                </c:pt>
                <c:pt idx="160">
                  <c:v>44.6781036669814</c:v>
                </c:pt>
                <c:pt idx="161">
                  <c:v>43.7637439856097</c:v>
                </c:pt>
                <c:pt idx="162">
                  <c:v>42.797101560459502</c:v>
                </c:pt>
                <c:pt idx="163">
                  <c:v>41.785520929892499</c:v>
                </c:pt>
                <c:pt idx="164">
                  <c:v>40.736245031523602</c:v>
                </c:pt>
                <c:pt idx="165">
                  <c:v>39.6563191335757</c:v>
                </c:pt>
                <c:pt idx="166">
                  <c:v>38.552509455482401</c:v>
                </c:pt>
                <c:pt idx="167">
                  <c:v>37.431236924027601</c:v>
                </c:pt>
                <c:pt idx="168">
                  <c:v>36.298525874410302</c:v>
                </c:pt>
                <c:pt idx="169">
                  <c:v>35.159966986729401</c:v>
                </c:pt>
                <c:pt idx="170">
                  <c:v>34.020693354725097</c:v>
                </c:pt>
                <c:pt idx="171">
                  <c:v>32.8853683123114</c:v>
                </c:pt>
                <c:pt idx="172">
                  <c:v>31.758183484027199</c:v>
                </c:pt>
                <c:pt idx="173">
                  <c:v>30.642865462739</c:v>
                </c:pt>
                <c:pt idx="174">
                  <c:v>29.542689533847401</c:v>
                </c:pt>
                <c:pt idx="175">
                  <c:v>28.4604989415154</c:v>
                </c:pt>
                <c:pt idx="176">
                  <c:v>27.398728311513199</c:v>
                </c:pt>
                <c:pt idx="177">
                  <c:v>26.359429991563399</c:v>
                </c:pt>
                <c:pt idx="178">
                  <c:v>25.344302230375401</c:v>
                </c:pt>
                <c:pt idx="179">
                  <c:v>24.354718280330399</c:v>
                </c:pt>
                <c:pt idx="180">
                  <c:v>23.391755668041199</c:v>
                </c:pt>
                <c:pt idx="181">
                  <c:v>22.4562250261076</c:v>
                </c:pt>
                <c:pt idx="182">
                  <c:v>21.548698014721499</c:v>
                </c:pt>
                <c:pt idx="183">
                  <c:v>20.669533981325799</c:v>
                </c:pt>
                <c:pt idx="184">
                  <c:v>19.8189051096521</c:v>
                </c:pt>
                <c:pt idx="185">
                  <c:v>18.996819896346999</c:v>
                </c:pt>
                <c:pt idx="186">
                  <c:v>18.203144865007602</c:v>
                </c:pt>
                <c:pt idx="187">
                  <c:v>17.437624485065701</c:v>
                </c:pt>
                <c:pt idx="188">
                  <c:v>16.699899308156699</c:v>
                </c:pt>
                <c:pt idx="189">
                  <c:v>15.989522369017701</c:v>
                </c:pt>
                <c:pt idx="190">
                  <c:v>15.3059739231783</c:v>
                </c:pt>
                <c:pt idx="191">
                  <c:v>14.6486746112892</c:v>
                </c:pt>
                <c:pt idx="192">
                  <c:v>14.016997151241799</c:v>
                </c:pt>
                <c:pt idx="193">
                  <c:v>13.4102766655366</c:v>
                </c:pt>
                <c:pt idx="194">
                  <c:v>12.827819753717799</c:v>
                </c:pt>
                <c:pt idx="195">
                  <c:v>12.268912419043801</c:v>
                </c:pt>
                <c:pt idx="196">
                  <c:v>11.7328269556624</c:v>
                </c:pt>
                <c:pt idx="197">
                  <c:v>11.2188278980659</c:v>
                </c:pt>
                <c:pt idx="198">
                  <c:v>10.726177129001501</c:v>
                </c:pt>
                <c:pt idx="199">
                  <c:v>10.2541382357466</c:v>
                </c:pt>
                <c:pt idx="200">
                  <c:v>9.8019801980198409</c:v>
                </c:pt>
                <c:pt idx="201">
                  <c:v>9.3689804840604296</c:v>
                </c:pt>
                <c:pt idx="202">
                  <c:v>8.9544276247314407</c:v>
                </c:pt>
                <c:pt idx="203">
                  <c:v>8.55762332903568</c:v>
                </c:pt>
                <c:pt idx="204">
                  <c:v>8.1778841982669892</c:v>
                </c:pt>
                <c:pt idx="205">
                  <c:v>7.8145430902051602</c:v>
                </c:pt>
                <c:pt idx="206">
                  <c:v>7.4669501793558402</c:v>
                </c:pt>
                <c:pt idx="207">
                  <c:v>7.1344737542305996</c:v>
                </c:pt>
                <c:pt idx="208">
                  <c:v>6.8165007880823296</c:v>
                </c:pt>
                <c:pt idx="209">
                  <c:v>6.5124373153291204</c:v>
                </c:pt>
                <c:pt idx="210">
                  <c:v>6.2217086421187098</c:v>
                </c:pt>
                <c:pt idx="211">
                  <c:v>5.9437594160680902</c:v>
                </c:pt>
                <c:pt idx="212">
                  <c:v>5.6780535771494902</c:v>
                </c:pt>
                <c:pt idx="213">
                  <c:v>5.4240742089515797</c:v>
                </c:pt>
                <c:pt idx="214">
                  <c:v>5.1813233070990599</c:v>
                </c:pt>
                <c:pt idx="215">
                  <c:v>4.9493214794406297</c:v>
                </c:pt>
                <c:pt idx="216">
                  <c:v>4.7276075906896304</c:v>
                </c:pt>
                <c:pt idx="217">
                  <c:v>4.5157383624985599</c:v>
                </c:pt>
                <c:pt idx="218">
                  <c:v>4.3132879384456704</c:v>
                </c:pt>
                <c:pt idx="219">
                  <c:v>4.1198474220919001</c:v>
                </c:pt>
                <c:pt idx="220">
                  <c:v>3.9350243951036501</c:v>
                </c:pt>
                <c:pt idx="221">
                  <c:v>3.7584424214215799</c:v>
                </c:pt>
                <c:pt idx="222">
                  <c:v>3.58974054256411</c:v>
                </c:pt>
                <c:pt idx="223">
                  <c:v>3.4285727683791598</c:v>
                </c:pt>
                <c:pt idx="224">
                  <c:v>3.2746075668796402</c:v>
                </c:pt>
                <c:pt idx="225">
                  <c:v>3.1275273562104799</c:v>
                </c:pt>
                <c:pt idx="226">
                  <c:v>2.9870280012833601</c:v>
                </c:pt>
                <c:pt idx="227">
                  <c:v>2.8528183171735799</c:v>
                </c:pt>
                <c:pt idx="228">
                  <c:v>2.7246195809901601</c:v>
                </c:pt>
                <c:pt idx="229">
                  <c:v>2.6021650536009</c:v>
                </c:pt>
                <c:pt idx="230">
                  <c:v>2.4851995123096899</c:v>
                </c:pt>
                <c:pt idx="231">
                  <c:v>2.3734787953400298</c:v>
                </c:pt>
                <c:pt idx="232">
                  <c:v>2.2667693587699498</c:v>
                </c:pt>
                <c:pt idx="233">
                  <c:v>2.1648478463854799</c:v>
                </c:pt>
                <c:pt idx="234">
                  <c:v>2.0675006727686598</c:v>
                </c:pt>
                <c:pt idx="235">
                  <c:v>1.9745236198077101</c:v>
                </c:pt>
                <c:pt idx="236">
                  <c:v>1.8857214467089001</c:v>
                </c:pt>
                <c:pt idx="237">
                  <c:v>1.80090751349925</c:v>
                </c:pt>
                <c:pt idx="238">
                  <c:v>1.7199034179332899</c:v>
                </c:pt>
                <c:pt idx="239">
                  <c:v>1.6425386456547599</c:v>
                </c:pt>
                <c:pt idx="240">
                  <c:v>1.5686502334127901</c:v>
                </c:pt>
                <c:pt idx="241">
                  <c:v>1.49808244509038</c:v>
                </c:pt>
                <c:pt idx="242">
                  <c:v>1.4306864602698799</c:v>
                </c:pt>
                <c:pt idx="243">
                  <c:v>1.3663200750337401</c:v>
                </c:pt>
                <c:pt idx="244">
                  <c:v>1.3048474146789799</c:v>
                </c:pt>
                <c:pt idx="245">
                  <c:v>1.24613865800863</c:v>
                </c:pt>
                <c:pt idx="246">
                  <c:v>1.1900697728532701</c:v>
                </c:pt>
                <c:pt idx="247">
                  <c:v>1.1365222624688101</c:v>
                </c:pt>
                <c:pt idx="248">
                  <c:v>1.0853829224531899</c:v>
                </c:pt>
                <c:pt idx="249">
                  <c:v>1.0365436078238599</c:v>
                </c:pt>
                <c:pt idx="250">
                  <c:v>0.98990100989901397</c:v>
                </c:pt>
                <c:pt idx="251">
                  <c:v>0.94535644262894702</c:v>
                </c:pt>
                <c:pt idx="252">
                  <c:v>0.90281563802838705</c:v>
                </c:pt>
                <c:pt idx="253">
                  <c:v>0.86218855036654596</c:v>
                </c:pt>
                <c:pt idx="254">
                  <c:v>0.82338916877884105</c:v>
                </c:pt>
                <c:pt idx="255">
                  <c:v>0.78633533797136601</c:v>
                </c:pt>
                <c:pt idx="256">
                  <c:v>0.75094858669812503</c:v>
                </c:pt>
                <c:pt idx="257">
                  <c:v>0.71715396369920703</c:v>
                </c:pt>
                <c:pt idx="258">
                  <c:v>0.68487988079768802</c:v>
                </c:pt>
                <c:pt idx="259">
                  <c:v>0.65405796286192497</c:v>
                </c:pt>
                <c:pt idx="260">
                  <c:v>0.62462290434968204</c:v>
                </c:pt>
                <c:pt idx="261">
                  <c:v>0.59651233215989596</c:v>
                </c:pt>
                <c:pt idx="262">
                  <c:v>0.56966667452730801</c:v>
                </c:pt>
                <c:pt idx="263">
                  <c:v>0.54402903570482597</c:v>
                </c:pt>
                <c:pt idx="264">
                  <c:v>0.51954507618765999</c:v>
                </c:pt>
                <c:pt idx="265">
                  <c:v>0.496162898242483</c:v>
                </c:pt>
                <c:pt idx="266">
                  <c:v>0.47383293651394098</c:v>
                </c:pt>
                <c:pt idx="267">
                  <c:v>0.452507853489653</c:v>
                </c:pt>
                <c:pt idx="268">
                  <c:v>0.43214243961333199</c:v>
                </c:pt>
                <c:pt idx="269">
                  <c:v>0.41269351784426</c:v>
                </c:pt>
                <c:pt idx="270">
                  <c:v>0.39411985246925002</c:v>
                </c:pt>
                <c:pt idx="271">
                  <c:v>0.376382061981343</c:v>
                </c:pt>
                <c:pt idx="272">
                  <c:v>0.35944253584695002</c:v>
                </c:pt>
                <c:pt idx="273">
                  <c:v>0.34326535499072802</c:v>
                </c:pt>
                <c:pt idx="274">
                  <c:v>0.32781621583443499</c:v>
                </c:pt>
                <c:pt idx="275">
                  <c:v>0.31306235773309099</c:v>
                </c:pt>
                <c:pt idx="276">
                  <c:v>0.29897249365825002</c:v>
                </c:pt>
                <c:pt idx="277">
                  <c:v>0.28551674398469701</c:v>
                </c:pt>
                <c:pt idx="278">
                  <c:v>0.27266657324299898</c:v>
                </c:pt>
                <c:pt idx="279">
                  <c:v>0.26039472970625499</c:v>
                </c:pt>
                <c:pt idx="280">
                  <c:v>0.24867518768508701</c:v>
                </c:pt>
                <c:pt idx="281">
                  <c:v>0.23748309241037199</c:v>
                </c:pt>
                <c:pt idx="282">
                  <c:v>0.22679470738846599</c:v>
                </c:pt>
                <c:pt idx="283">
                  <c:v>0.216587364118704</c:v>
                </c:pt>
                <c:pt idx="284">
                  <c:v>0.20683941406775999</c:v>
                </c:pt>
                <c:pt idx="285">
                  <c:v>0.19753018280009699</c:v>
                </c:pt>
                <c:pt idx="286">
                  <c:v>0.18863992616818701</c:v>
                </c:pt>
                <c:pt idx="287">
                  <c:v>0.180149788470373</c:v>
                </c:pt>
                <c:pt idx="288">
                  <c:v>0.172041762488372</c:v>
                </c:pt>
                <c:pt idx="289">
                  <c:v>0.16429865132025701</c:v>
                </c:pt>
                <c:pt idx="290">
                  <c:v>0.15690403192854099</c:v>
                </c:pt>
                <c:pt idx="291">
                  <c:v>0.149842220326489</c:v>
                </c:pt>
                <c:pt idx="292">
                  <c:v>0.143098238329251</c:v>
                </c:pt>
                <c:pt idx="293">
                  <c:v>0.13665778179964999</c:v>
                </c:pt>
                <c:pt idx="294">
                  <c:v>0.13050719032158101</c:v>
                </c:pt>
                <c:pt idx="295">
                  <c:v>0.124633418236966</c:v>
                </c:pt>
                <c:pt idx="296">
                  <c:v>0.11902400698509</c:v>
                </c:pt>
                <c:pt idx="297">
                  <c:v>0.113667058685825</c:v>
                </c:pt>
                <c:pt idx="298">
                  <c:v>0.10855121091091501</c:v>
                </c:pt>
                <c:pt idx="299">
                  <c:v>0.10366561258995501</c:v>
                </c:pt>
                <c:pt idx="300">
                  <c:v>9.8999901000099394E-2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1B-4C46-88EC-92E03A9CD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157864"/>
        <c:axId val="642160488"/>
      </c:scatterChart>
      <c:valAx>
        <c:axId val="642157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60488"/>
        <c:crosses val="autoZero"/>
        <c:crossBetween val="midCat"/>
      </c:valAx>
      <c:valAx>
        <c:axId val="64216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57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1373716</xdr:colOff>
      <xdr:row>0</xdr:row>
      <xdr:rowOff>177800</xdr:rowOff>
    </xdr:from>
    <xdr:to>
      <xdr:col>3</xdr:col>
      <xdr:colOff>6052607</xdr:colOff>
      <xdr:row>40</xdr:row>
      <xdr:rowOff>44451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622799" y="177800"/>
          <a:ext cx="4678891" cy="7645401"/>
          <a:chOff x="6686550" y="57150"/>
          <a:chExt cx="4676774" cy="7211180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aphicFramePr/>
        </xdr:nvGraphicFramePr>
        <xdr:xfrm>
          <a:off x="6691313" y="57150"/>
          <a:ext cx="4672011" cy="25314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aphicFramePr>
            <a:graphicFrameLocks/>
          </xdr:cNvGraphicFramePr>
        </xdr:nvGraphicFramePr>
        <xdr:xfrm>
          <a:off x="6686550" y="2582951"/>
          <a:ext cx="4629149" cy="22341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aphicFramePr>
            <a:graphicFrameLocks/>
          </xdr:cNvGraphicFramePr>
        </xdr:nvGraphicFramePr>
        <xdr:xfrm>
          <a:off x="6705600" y="4843633"/>
          <a:ext cx="4600575" cy="24246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0</xdr:col>
      <xdr:colOff>772583</xdr:colOff>
      <xdr:row>12</xdr:row>
      <xdr:rowOff>21166</xdr:rowOff>
    </xdr:from>
    <xdr:to>
      <xdr:col>1</xdr:col>
      <xdr:colOff>1069283</xdr:colOff>
      <xdr:row>25</xdr:row>
      <xdr:rowOff>1238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772583" y="2476499"/>
          <a:ext cx="1683117" cy="2445989"/>
          <a:chOff x="536208" y="1473017"/>
          <a:chExt cx="1683117" cy="2445989"/>
        </a:xfrm>
      </xdr:grpSpPr>
      <xdr:pic>
        <xdr:nvPicPr>
          <xdr:cNvPr id="15" name="Graphic 16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685800" y="1652056"/>
            <a:ext cx="1314450" cy="2266950"/>
          </a:xfrm>
          <a:prstGeom prst="rect">
            <a:avLst/>
          </a:prstGeom>
        </xdr:spPr>
      </xdr:pic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6" name="TextBox 12">
                <a:extLst>
                  <a:ext uri="{FF2B5EF4-FFF2-40B4-BE49-F238E27FC236}">
                    <a16:creationId xmlns:a16="http://schemas.microsoft.com/office/drawing/2014/main" id="{00000000-0008-0000-0000-000010000000}"/>
                  </a:ext>
                </a:extLst>
              </xdr:cNvPr>
              <xdr:cNvSpPr txBox="1"/>
            </xdr:nvSpPr>
            <xdr:spPr>
              <a:xfrm>
                <a:off x="536208" y="2209800"/>
                <a:ext cx="299184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𝑅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𝐵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6" name="TextBox 12">
                <a:extLst>
                  <a:ext uri="{FF2B5EF4-FFF2-40B4-BE49-F238E27FC236}">
                    <a16:creationId xmlns:a16="http://schemas.microsoft.com/office/drawing/2014/main" id="{C8DD8BD5-B41D-4BD7-AB6D-92187D92ADB3}"/>
                  </a:ext>
                </a:extLst>
              </xdr:cNvPr>
              <xdr:cNvSpPr txBox="1"/>
            </xdr:nvSpPr>
            <xdr:spPr>
              <a:xfrm>
                <a:off x="536208" y="2209800"/>
                <a:ext cx="299184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𝑅_𝐵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7" name="TextBox 13">
                <a:extLst>
                  <a:ext uri="{FF2B5EF4-FFF2-40B4-BE49-F238E27FC236}">
                    <a16:creationId xmlns:a16="http://schemas.microsoft.com/office/drawing/2014/main" id="{00000000-0008-0000-0000-000011000000}"/>
                  </a:ext>
                </a:extLst>
              </xdr:cNvPr>
              <xdr:cNvSpPr txBox="1"/>
            </xdr:nvSpPr>
            <xdr:spPr>
              <a:xfrm>
                <a:off x="536208" y="2970582"/>
                <a:ext cx="299184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𝑅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𝐵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7" name="TextBox 13">
                <a:extLst>
                  <a:ext uri="{FF2B5EF4-FFF2-40B4-BE49-F238E27FC236}">
                    <a16:creationId xmlns:a16="http://schemas.microsoft.com/office/drawing/2014/main" id="{0216DB60-9607-4714-B51B-D32C930F0F7D}"/>
                  </a:ext>
                </a:extLst>
              </xdr:cNvPr>
              <xdr:cNvSpPr txBox="1"/>
            </xdr:nvSpPr>
            <xdr:spPr>
              <a:xfrm>
                <a:off x="536208" y="2970582"/>
                <a:ext cx="299184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𝑅_𝐵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8" name="TextBox 14">
                <a:extLst>
                  <a:ext uri="{FF2B5EF4-FFF2-40B4-BE49-F238E27FC236}">
                    <a16:creationId xmlns:a16="http://schemas.microsoft.com/office/drawing/2014/main" id="{00000000-0008-0000-0000-000012000000}"/>
                  </a:ext>
                </a:extLst>
              </xdr:cNvPr>
              <xdr:cNvSpPr txBox="1"/>
            </xdr:nvSpPr>
            <xdr:spPr>
              <a:xfrm>
                <a:off x="1603154" y="2923337"/>
                <a:ext cx="281103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𝐶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𝐵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8" name="TextBox 14">
                <a:extLst>
                  <a:ext uri="{FF2B5EF4-FFF2-40B4-BE49-F238E27FC236}">
                    <a16:creationId xmlns:a16="http://schemas.microsoft.com/office/drawing/2014/main" id="{7186B338-7F5A-4465-B772-FB726492D124}"/>
                  </a:ext>
                </a:extLst>
              </xdr:cNvPr>
              <xdr:cNvSpPr txBox="1"/>
            </xdr:nvSpPr>
            <xdr:spPr>
              <a:xfrm>
                <a:off x="1603154" y="2923337"/>
                <a:ext cx="281103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𝐶_𝐵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9" name="TextBox 17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SpPr txBox="1"/>
            </xdr:nvSpPr>
            <xdr:spPr>
              <a:xfrm>
                <a:off x="762000" y="1473017"/>
                <a:ext cx="24769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𝑉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𝑆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9" name="TextBox 17">
                <a:extLst>
                  <a:ext uri="{FF2B5EF4-FFF2-40B4-BE49-F238E27FC236}">
                    <a16:creationId xmlns:a16="http://schemas.microsoft.com/office/drawing/2014/main" id="{589E24B3-C622-4DC8-89FB-DE7194AF59CA}"/>
                  </a:ext>
                </a:extLst>
              </xdr:cNvPr>
              <xdr:cNvSpPr txBox="1"/>
            </xdr:nvSpPr>
            <xdr:spPr>
              <a:xfrm>
                <a:off x="762000" y="1473017"/>
                <a:ext cx="24769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𝑉_𝑆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0" name="TextBox 20">
                <a:extLst>
                  <a:ext uri="{FF2B5EF4-FFF2-40B4-BE49-F238E27FC236}">
                    <a16:creationId xmlns:a16="http://schemas.microsoft.com/office/drawing/2014/main" id="{00000000-0008-0000-0000-000014000000}"/>
                  </a:ext>
                </a:extLst>
              </xdr:cNvPr>
              <xdr:cNvSpPr txBox="1"/>
            </xdr:nvSpPr>
            <xdr:spPr>
              <a:xfrm>
                <a:off x="1962781" y="2509558"/>
                <a:ext cx="256544" cy="46102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600" b="0" i="1">
                                  <a:latin typeface="Cambria Math" panose="02040503050406030204" pitchFamily="18" charset="0"/>
                                  <a:cs typeface="Arial" pitchFamily="34" charset="0"/>
                                </a:rPr>
                              </m:ctrlPr>
                            </m:sSubPr>
                            <m:e>
                              <m:r>
                                <a:rPr lang="en-US" sz="1600" b="0" i="1">
                                  <a:latin typeface="Cambria Math" panose="02040503050406030204" pitchFamily="18" charset="0"/>
                                  <a:cs typeface="Arial" pitchFamily="34" charset="0"/>
                                </a:rPr>
                                <m:t>𝑉</m:t>
                              </m:r>
                            </m:e>
                            <m:sub>
                              <m:r>
                                <a:rPr lang="en-US" sz="1600" b="0" i="1">
                                  <a:latin typeface="Cambria Math" panose="02040503050406030204" pitchFamily="18" charset="0"/>
                                  <a:cs typeface="Arial" pitchFamily="34" charset="0"/>
                                </a:rPr>
                                <m:t>𝑆</m:t>
                              </m:r>
                            </m:sub>
                          </m:sSub>
                        </m:num>
                        <m:den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2</m:t>
                          </m:r>
                        </m:den>
                      </m:f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20" name="TextBox 20">
                <a:extLst>
                  <a:ext uri="{FF2B5EF4-FFF2-40B4-BE49-F238E27FC236}">
                    <a16:creationId xmlns:a16="http://schemas.microsoft.com/office/drawing/2014/main" id="{0847B55B-183D-41BE-9C48-D7381077E849}"/>
                  </a:ext>
                </a:extLst>
              </xdr:cNvPr>
              <xdr:cNvSpPr txBox="1"/>
            </xdr:nvSpPr>
            <xdr:spPr>
              <a:xfrm>
                <a:off x="1962781" y="2509558"/>
                <a:ext cx="256544" cy="46102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𝑉_𝑆/2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</xdr:grpSp>
    <xdr:clientData/>
  </xdr:twoCellAnchor>
  <xdr:twoCellAnchor>
    <xdr:from>
      <xdr:col>0</xdr:col>
      <xdr:colOff>656167</xdr:colOff>
      <xdr:row>31</xdr:row>
      <xdr:rowOff>179918</xdr:rowOff>
    </xdr:from>
    <xdr:to>
      <xdr:col>1</xdr:col>
      <xdr:colOff>619542</xdr:colOff>
      <xdr:row>35</xdr:row>
      <xdr:rowOff>76175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656167" y="6244168"/>
              <a:ext cx="1349792" cy="658257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𝑓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𝐶𝐵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2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Arial" pitchFamily="34" charset="0"/>
                          </a:rPr>
                          <m:t>𝜋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 pitchFamily="34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 pitchFamily="34" charset="0"/>
                              </a:rPr>
                              <m:t>𝐵</m:t>
                            </m:r>
                          </m:sub>
                        </m:sSub>
                        <m:f>
                          <m:fPr>
                            <m:ctrlP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60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60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𝐵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2</m:t>
                            </m:r>
                          </m:den>
                        </m:f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1" name="TextBox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656167" y="6244168"/>
              <a:ext cx="1349792" cy="658257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𝑓_𝐶𝐵=1/(2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  <a:cs typeface="Arial" pitchFamily="34" charset="0"/>
                </a:rPr>
                <a:t>𝜋𝐶_𝐵  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𝑅_𝐵/2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)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0</xdr:colOff>
      <xdr:row>27</xdr:row>
      <xdr:rowOff>21168</xdr:rowOff>
    </xdr:from>
    <xdr:to>
      <xdr:col>1</xdr:col>
      <xdr:colOff>1323235</xdr:colOff>
      <xdr:row>30</xdr:row>
      <xdr:rowOff>129149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8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0" y="5323418"/>
              <a:ext cx="2709652" cy="67948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𝐺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𝐵𝑁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2</m:t>
                        </m:r>
                      </m:den>
                    </m:f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  <a:cs typeface="Arial" pitchFamily="34" charset="0"/>
                      </a:rPr>
                      <m:t>∙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</m:t>
                        </m:r>
                      </m:num>
                      <m:den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1+</m:t>
                        </m:r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𝑠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𝐵</m:t>
                            </m:r>
                          </m:sub>
                        </m:sSub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𝐵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2</m:t>
                            </m:r>
                          </m:den>
                        </m:f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2" name="TextBox 8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0" y="5323418"/>
              <a:ext cx="2709652" cy="67948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𝐺_𝐵𝑁=1/2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  <a:cs typeface="Arial" pitchFamily="34" charset="0"/>
                </a:rPr>
                <a:t>∙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1/(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1+𝑠𝐶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_𝐵  𝑅_𝐵/2)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1373716</xdr:colOff>
      <xdr:row>0</xdr:row>
      <xdr:rowOff>177800</xdr:rowOff>
    </xdr:from>
    <xdr:to>
      <xdr:col>3</xdr:col>
      <xdr:colOff>6052607</xdr:colOff>
      <xdr:row>40</xdr:row>
      <xdr:rowOff>44451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4622799" y="177800"/>
          <a:ext cx="4678891" cy="7645401"/>
          <a:chOff x="6686550" y="57150"/>
          <a:chExt cx="4676774" cy="7211180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/>
        </xdr:nvGraphicFramePr>
        <xdr:xfrm>
          <a:off x="6691313" y="57150"/>
          <a:ext cx="4672011" cy="25314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GraphicFramePr>
            <a:graphicFrameLocks/>
          </xdr:cNvGraphicFramePr>
        </xdr:nvGraphicFramePr>
        <xdr:xfrm>
          <a:off x="6686550" y="2582951"/>
          <a:ext cx="4629149" cy="22341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6705600" y="4843633"/>
          <a:ext cx="4600575" cy="24246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0</xdr:col>
      <xdr:colOff>709083</xdr:colOff>
      <xdr:row>10</xdr:row>
      <xdr:rowOff>31750</xdr:rowOff>
    </xdr:from>
    <xdr:to>
      <xdr:col>2</xdr:col>
      <xdr:colOff>364760</xdr:colOff>
      <xdr:row>18</xdr:row>
      <xdr:rowOff>42925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709083" y="2074333"/>
          <a:ext cx="2523760" cy="1556342"/>
          <a:chOff x="5998916" y="1596127"/>
          <a:chExt cx="2523760" cy="1598676"/>
        </a:xfrm>
      </xdr:grpSpPr>
      <xdr:pic>
        <xdr:nvPicPr>
          <xdr:cNvPr id="18" name="Graphic 23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6351641" y="1785103"/>
            <a:ext cx="1695450" cy="1409700"/>
          </a:xfrm>
          <a:prstGeom prst="rect">
            <a:avLst/>
          </a:prstGeom>
        </xdr:spPr>
      </xdr:pic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9" name="TextBox 24">
                <a:extLst>
                  <a:ext uri="{FF2B5EF4-FFF2-40B4-BE49-F238E27FC236}">
                    <a16:creationId xmlns:a16="http://schemas.microsoft.com/office/drawing/2014/main" id="{00000000-0008-0000-0100-000013000000}"/>
                  </a:ext>
                </a:extLst>
              </xdr:cNvPr>
              <xdr:cNvSpPr txBox="1"/>
            </xdr:nvSpPr>
            <xdr:spPr>
              <a:xfrm>
                <a:off x="7620000" y="2263337"/>
                <a:ext cx="37080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𝑅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𝐼𝑁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9" name="TextBox 24">
                <a:extLst>
                  <a:ext uri="{FF2B5EF4-FFF2-40B4-BE49-F238E27FC236}">
                    <a16:creationId xmlns:a16="http://schemas.microsoft.com/office/drawing/2014/main" id="{3AB2D477-1E94-4E83-A6F8-DD4ED0356257}"/>
                  </a:ext>
                </a:extLst>
              </xdr:cNvPr>
              <xdr:cNvSpPr txBox="1"/>
            </xdr:nvSpPr>
            <xdr:spPr>
              <a:xfrm>
                <a:off x="7620000" y="2263337"/>
                <a:ext cx="37080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𝑅_𝐼𝑁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0" name="TextBox 25">
                <a:extLst>
                  <a:ext uri="{FF2B5EF4-FFF2-40B4-BE49-F238E27FC236}">
                    <a16:creationId xmlns:a16="http://schemas.microsoft.com/office/drawing/2014/main" id="{00000000-0008-0000-0100-000014000000}"/>
                  </a:ext>
                </a:extLst>
              </xdr:cNvPr>
              <xdr:cNvSpPr txBox="1"/>
            </xdr:nvSpPr>
            <xdr:spPr>
              <a:xfrm>
                <a:off x="6913058" y="1596127"/>
                <a:ext cx="352725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𝐶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𝐼𝑁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20" name="TextBox 25">
                <a:extLst>
                  <a:ext uri="{FF2B5EF4-FFF2-40B4-BE49-F238E27FC236}">
                    <a16:creationId xmlns:a16="http://schemas.microsoft.com/office/drawing/2014/main" id="{79C3E34E-F678-4CB0-AE96-75A74825DF54}"/>
                  </a:ext>
                </a:extLst>
              </xdr:cNvPr>
              <xdr:cNvSpPr txBox="1"/>
            </xdr:nvSpPr>
            <xdr:spPr>
              <a:xfrm>
                <a:off x="6913058" y="1596127"/>
                <a:ext cx="352725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𝐶_𝐼𝑁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1" name="TextBox 26">
                <a:extLst>
                  <a:ext uri="{FF2B5EF4-FFF2-40B4-BE49-F238E27FC236}">
                    <a16:creationId xmlns:a16="http://schemas.microsoft.com/office/drawing/2014/main" id="{00000000-0008-0000-0100-000015000000}"/>
                  </a:ext>
                </a:extLst>
              </xdr:cNvPr>
              <xdr:cNvSpPr txBox="1"/>
            </xdr:nvSpPr>
            <xdr:spPr>
              <a:xfrm>
                <a:off x="5998916" y="2263337"/>
                <a:ext cx="343876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𝑉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𝐼𝑁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21" name="TextBox 26">
                <a:extLst>
                  <a:ext uri="{FF2B5EF4-FFF2-40B4-BE49-F238E27FC236}">
                    <a16:creationId xmlns:a16="http://schemas.microsoft.com/office/drawing/2014/main" id="{F16C73E9-E9D9-4E5E-95E6-3828364508CC}"/>
                  </a:ext>
                </a:extLst>
              </xdr:cNvPr>
              <xdr:cNvSpPr txBox="1"/>
            </xdr:nvSpPr>
            <xdr:spPr>
              <a:xfrm>
                <a:off x="5998916" y="2263337"/>
                <a:ext cx="343876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𝑉_𝐼𝑁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2" name="TextBox 27">
                <a:extLst>
                  <a:ext uri="{FF2B5EF4-FFF2-40B4-BE49-F238E27FC236}">
                    <a16:creationId xmlns:a16="http://schemas.microsoft.com/office/drawing/2014/main" id="{00000000-0008-0000-0100-000016000000}"/>
                  </a:ext>
                </a:extLst>
              </xdr:cNvPr>
              <xdr:cNvSpPr txBox="1"/>
            </xdr:nvSpPr>
            <xdr:spPr>
              <a:xfrm>
                <a:off x="8069795" y="1858142"/>
                <a:ext cx="452881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𝑉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𝐼𝑁</m:t>
                          </m:r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+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22" name="TextBox 27">
                <a:extLst>
                  <a:ext uri="{FF2B5EF4-FFF2-40B4-BE49-F238E27FC236}">
                    <a16:creationId xmlns:a16="http://schemas.microsoft.com/office/drawing/2014/main" id="{AB705541-09CC-42EA-B79A-A0EE11FDBC05}"/>
                  </a:ext>
                </a:extLst>
              </xdr:cNvPr>
              <xdr:cNvSpPr txBox="1"/>
            </xdr:nvSpPr>
            <xdr:spPr>
              <a:xfrm>
                <a:off x="8069795" y="1858142"/>
                <a:ext cx="452881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𝑉_(𝐼𝑁+)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</xdr:grpSp>
    <xdr:clientData/>
  </xdr:twoCellAnchor>
  <xdr:twoCellAnchor>
    <xdr:from>
      <xdr:col>0</xdr:col>
      <xdr:colOff>169332</xdr:colOff>
      <xdr:row>19</xdr:row>
      <xdr:rowOff>127001</xdr:rowOff>
    </xdr:from>
    <xdr:to>
      <xdr:col>3</xdr:col>
      <xdr:colOff>804334</xdr:colOff>
      <xdr:row>23</xdr:row>
      <xdr:rowOff>66476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8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SpPr txBox="1"/>
          </xdr:nvSpPr>
          <xdr:spPr>
            <a:xfrm>
              <a:off x="169332" y="3905251"/>
              <a:ext cx="3884085" cy="701475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𝐺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𝐼𝑁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𝐼𝑁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+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𝑁</m:t>
                            </m:r>
                          </m:sub>
                        </m:sSub>
                      </m:den>
                    </m:f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𝐼𝑁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𝐼𝑁</m:t>
                            </m:r>
                          </m:sub>
                        </m:sSub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+</m:t>
                        </m:r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𝑠</m:t>
                            </m:r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𝐼𝑁</m:t>
                                </m:r>
                              </m:sub>
                            </m:sSub>
                          </m:den>
                        </m:f>
                      </m:den>
                    </m:f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𝑠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𝐼𝑁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𝐼𝑁</m:t>
                            </m:r>
                          </m:sub>
                        </m:sSub>
                      </m:num>
                      <m:den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1+</m:t>
                        </m:r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𝑠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𝐼𝑁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𝐼</m:t>
                            </m:r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𝑁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3" name="TextBox 28">
              <a:extLst>
                <a:ext uri="{FF2B5EF4-FFF2-40B4-BE49-F238E27FC236}">
                  <a16:creationId xmlns:a16="http://schemas.microsoft.com/office/drawing/2014/main" id="{3E32202F-5701-40D9-BB10-CB923DAC2A33}"/>
                </a:ext>
              </a:extLst>
            </xdr:cNvPr>
            <xdr:cNvSpPr txBox="1"/>
          </xdr:nvSpPr>
          <xdr:spPr>
            <a:xfrm>
              <a:off x="169332" y="3905251"/>
              <a:ext cx="3884085" cy="701475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𝐺_𝐼𝑁=𝑉_(𝐼𝑁+)/𝑉_𝑁 =𝑅_𝐼𝑁/(𝑅_𝐼𝑁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+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1/(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𝑠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𝐶_𝐼𝑁 ))=(𝑠𝐶_𝐼𝑁 𝑅_𝐼𝑁)/(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1+𝑠𝐶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_𝐼𝑁 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𝑅_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𝐼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𝑁 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)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984250</xdr:colOff>
      <xdr:row>24</xdr:row>
      <xdr:rowOff>137584</xdr:rowOff>
    </xdr:from>
    <xdr:to>
      <xdr:col>1</xdr:col>
      <xdr:colOff>1056694</xdr:colOff>
      <xdr:row>27</xdr:row>
      <xdr:rowOff>68979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9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SpPr txBox="1"/>
          </xdr:nvSpPr>
          <xdr:spPr>
            <a:xfrm>
              <a:off x="984250" y="4868334"/>
              <a:ext cx="1458861" cy="502895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𝑓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𝐶𝐼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2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Arial" pitchFamily="34" charset="0"/>
                          </a:rPr>
                          <m:t>𝜋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 pitchFamily="34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 pitchFamily="34" charset="0"/>
                              </a:rPr>
                              <m:t>𝐼𝑁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𝐼𝑁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4" name="TextBox 29">
              <a:extLst>
                <a:ext uri="{FF2B5EF4-FFF2-40B4-BE49-F238E27FC236}">
                  <a16:creationId xmlns:a16="http://schemas.microsoft.com/office/drawing/2014/main" id="{87FD90AC-956A-4275-BEE3-191C559C7545}"/>
                </a:ext>
              </a:extLst>
            </xdr:cNvPr>
            <xdr:cNvSpPr txBox="1"/>
          </xdr:nvSpPr>
          <xdr:spPr>
            <a:xfrm>
              <a:off x="984250" y="4868334"/>
              <a:ext cx="1458861" cy="502895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𝑓_𝐶𝐼=1/(2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  <a:cs typeface="Arial" pitchFamily="34" charset="0"/>
                </a:rPr>
                <a:t>𝜋𝐶_𝐼𝑁 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𝑅_𝐼𝑁 )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1373716</xdr:colOff>
      <xdr:row>0</xdr:row>
      <xdr:rowOff>177800</xdr:rowOff>
    </xdr:from>
    <xdr:to>
      <xdr:col>3</xdr:col>
      <xdr:colOff>6052607</xdr:colOff>
      <xdr:row>40</xdr:row>
      <xdr:rowOff>44451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4622799" y="177800"/>
          <a:ext cx="4678891" cy="7507818"/>
          <a:chOff x="6686550" y="57150"/>
          <a:chExt cx="4676774" cy="7211180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GraphicFramePr/>
        </xdr:nvGraphicFramePr>
        <xdr:xfrm>
          <a:off x="6691313" y="57150"/>
          <a:ext cx="4672011" cy="25314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aphicFramePr>
            <a:graphicFrameLocks/>
          </xdr:cNvGraphicFramePr>
        </xdr:nvGraphicFramePr>
        <xdr:xfrm>
          <a:off x="6686550" y="2582951"/>
          <a:ext cx="4629149" cy="22341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GraphicFramePr>
            <a:graphicFrameLocks/>
          </xdr:cNvGraphicFramePr>
        </xdr:nvGraphicFramePr>
        <xdr:xfrm>
          <a:off x="6705600" y="4843633"/>
          <a:ext cx="4600575" cy="24246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0</xdr:col>
      <xdr:colOff>455083</xdr:colOff>
      <xdr:row>10</xdr:row>
      <xdr:rowOff>158750</xdr:rowOff>
    </xdr:from>
    <xdr:to>
      <xdr:col>3</xdr:col>
      <xdr:colOff>102577</xdr:colOff>
      <xdr:row>25</xdr:row>
      <xdr:rowOff>23283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455083" y="2063750"/>
          <a:ext cx="2896577" cy="2743200"/>
          <a:chOff x="809648" y="1324811"/>
          <a:chExt cx="2896577" cy="2743200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153525" y="1324811"/>
            <a:ext cx="2552700" cy="2743200"/>
          </a:xfrm>
          <a:prstGeom prst="rect">
            <a:avLst/>
          </a:prstGeom>
        </xdr:spPr>
      </xdr:pic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7" name="TextBox 19">
                <a:extLst>
                  <a:ext uri="{FF2B5EF4-FFF2-40B4-BE49-F238E27FC236}">
                    <a16:creationId xmlns:a16="http://schemas.microsoft.com/office/drawing/2014/main" id="{00000000-0008-0000-0200-000011000000}"/>
                  </a:ext>
                </a:extLst>
              </xdr:cNvPr>
              <xdr:cNvSpPr txBox="1"/>
            </xdr:nvSpPr>
            <xdr:spPr>
              <a:xfrm>
                <a:off x="2541091" y="2573300"/>
                <a:ext cx="292259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𝑅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𝐹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7" name="TextBox 19">
                <a:extLst>
                  <a:ext uri="{FF2B5EF4-FFF2-40B4-BE49-F238E27FC236}">
                    <a16:creationId xmlns:a16="http://schemas.microsoft.com/office/drawing/2014/main" id="{00000000-0008-0000-0200-000011000000}"/>
                  </a:ext>
                </a:extLst>
              </xdr:cNvPr>
              <xdr:cNvSpPr txBox="1"/>
            </xdr:nvSpPr>
            <xdr:spPr>
              <a:xfrm>
                <a:off x="2541091" y="2573300"/>
                <a:ext cx="292259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𝑅_𝐹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8" name="TextBox 22">
                <a:extLst>
                  <a:ext uri="{FF2B5EF4-FFF2-40B4-BE49-F238E27FC236}">
                    <a16:creationId xmlns:a16="http://schemas.microsoft.com/office/drawing/2014/main" id="{00000000-0008-0000-0200-000012000000}"/>
                  </a:ext>
                </a:extLst>
              </xdr:cNvPr>
              <xdr:cNvSpPr txBox="1"/>
            </xdr:nvSpPr>
            <xdr:spPr>
              <a:xfrm>
                <a:off x="2027133" y="2794121"/>
                <a:ext cx="298479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𝑅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𝐺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8" name="TextBox 22">
                <a:extLst>
                  <a:ext uri="{FF2B5EF4-FFF2-40B4-BE49-F238E27FC236}">
                    <a16:creationId xmlns:a16="http://schemas.microsoft.com/office/drawing/2014/main" id="{00000000-0008-0000-0200-000012000000}"/>
                  </a:ext>
                </a:extLst>
              </xdr:cNvPr>
              <xdr:cNvSpPr txBox="1"/>
            </xdr:nvSpPr>
            <xdr:spPr>
              <a:xfrm>
                <a:off x="2027133" y="2794121"/>
                <a:ext cx="298479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𝑅_𝐺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9" name="TextBox 31">
                <a:extLst>
                  <a:ext uri="{FF2B5EF4-FFF2-40B4-BE49-F238E27FC236}">
                    <a16:creationId xmlns:a16="http://schemas.microsoft.com/office/drawing/2014/main" id="{00000000-0008-0000-0200-000013000000}"/>
                  </a:ext>
                </a:extLst>
              </xdr:cNvPr>
              <xdr:cNvSpPr txBox="1"/>
            </xdr:nvSpPr>
            <xdr:spPr>
              <a:xfrm>
                <a:off x="2090212" y="3307955"/>
                <a:ext cx="28039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𝐶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𝐺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9" name="TextBox 31">
                <a:extLst>
                  <a:ext uri="{FF2B5EF4-FFF2-40B4-BE49-F238E27FC236}">
                    <a16:creationId xmlns:a16="http://schemas.microsoft.com/office/drawing/2014/main" id="{00000000-0008-0000-0200-000013000000}"/>
                  </a:ext>
                </a:extLst>
              </xdr:cNvPr>
              <xdr:cNvSpPr txBox="1"/>
            </xdr:nvSpPr>
            <xdr:spPr>
              <a:xfrm>
                <a:off x="2090212" y="3307955"/>
                <a:ext cx="28039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𝐶_𝐺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0" name="TextBox 32">
                <a:extLst>
                  <a:ext uri="{FF2B5EF4-FFF2-40B4-BE49-F238E27FC236}">
                    <a16:creationId xmlns:a16="http://schemas.microsoft.com/office/drawing/2014/main" id="{00000000-0008-0000-0200-000014000000}"/>
                  </a:ext>
                </a:extLst>
              </xdr:cNvPr>
              <xdr:cNvSpPr txBox="1"/>
            </xdr:nvSpPr>
            <xdr:spPr>
              <a:xfrm>
                <a:off x="809648" y="1858211"/>
                <a:ext cx="34387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𝑉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𝐼𝑁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20" name="TextBox 32">
                <a:extLst>
                  <a:ext uri="{FF2B5EF4-FFF2-40B4-BE49-F238E27FC236}">
                    <a16:creationId xmlns:a16="http://schemas.microsoft.com/office/drawing/2014/main" id="{00000000-0008-0000-0200-000014000000}"/>
                  </a:ext>
                </a:extLst>
              </xdr:cNvPr>
              <xdr:cNvSpPr txBox="1"/>
            </xdr:nvSpPr>
            <xdr:spPr>
              <a:xfrm>
                <a:off x="809648" y="1858211"/>
                <a:ext cx="34387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𝑉_𝐼𝑁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</xdr:grpSp>
    <xdr:clientData/>
  </xdr:twoCellAnchor>
  <xdr:twoCellAnchor>
    <xdr:from>
      <xdr:col>0</xdr:col>
      <xdr:colOff>518584</xdr:colOff>
      <xdr:row>26</xdr:row>
      <xdr:rowOff>116416</xdr:rowOff>
    </xdr:from>
    <xdr:to>
      <xdr:col>1</xdr:col>
      <xdr:colOff>1344375</xdr:colOff>
      <xdr:row>29</xdr:row>
      <xdr:rowOff>64674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8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 txBox="1"/>
          </xdr:nvSpPr>
          <xdr:spPr>
            <a:xfrm>
              <a:off x="518584" y="5228166"/>
              <a:ext cx="2212208" cy="51975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𝐴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𝐶𝐿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1+</m:t>
                        </m:r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𝑠</m:t>
                        </m:r>
                        <m:sSub>
                          <m:sSubPr>
                            <m:ctrlP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𝐺</m:t>
                            </m:r>
                          </m:sub>
                        </m:sSub>
                        <m:d>
                          <m:dPr>
                            <m:ctrlP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𝐺</m:t>
                                </m:r>
                              </m:sub>
                            </m:s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𝐹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1+</m:t>
                        </m:r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𝑠</m:t>
                        </m:r>
                        <m:sSub>
                          <m:sSubPr>
                            <m:ctrlP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𝐺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𝐺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1" name="TextBox 8">
              <a:extLst>
                <a:ext uri="{FF2B5EF4-FFF2-40B4-BE49-F238E27FC236}">
                  <a16:creationId xmlns:a16="http://schemas.microsoft.com/office/drawing/2014/main" id="{4D5B8F22-8985-4ACD-89D6-2EB85DE7249B}"/>
                </a:ext>
              </a:extLst>
            </xdr:cNvPr>
            <xdr:cNvSpPr txBox="1"/>
          </xdr:nvSpPr>
          <xdr:spPr>
            <a:xfrm>
              <a:off x="518584" y="5228166"/>
              <a:ext cx="2212208" cy="51975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𝐴_𝐶𝐿=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(1+𝑠𝐶_𝐺 (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𝑅_𝐺+𝑅_𝐹 ))/(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1+𝑠𝐶_𝐺 𝑅_𝐺 )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495299</xdr:colOff>
      <xdr:row>4</xdr:row>
      <xdr:rowOff>38100</xdr:rowOff>
    </xdr:from>
    <xdr:to>
      <xdr:col>22</xdr:col>
      <xdr:colOff>123264</xdr:colOff>
      <xdr:row>39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6</xdr:row>
      <xdr:rowOff>66675</xdr:rowOff>
    </xdr:from>
    <xdr:to>
      <xdr:col>10</xdr:col>
      <xdr:colOff>307041</xdr:colOff>
      <xdr:row>20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AC8F7A-EB84-4F23-830E-4156671FD9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0</xdr:colOff>
      <xdr:row>1</xdr:row>
      <xdr:rowOff>0</xdr:rowOff>
    </xdr:from>
    <xdr:ext cx="2456698" cy="6585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C4E31CD-2B1F-40D6-A56D-71E2204C434C}"/>
                </a:ext>
              </a:extLst>
            </xdr:cNvPr>
            <xdr:cNvSpPr txBox="1"/>
          </xdr:nvSpPr>
          <xdr:spPr>
            <a:xfrm>
              <a:off x="3048000" y="190500"/>
              <a:ext cx="2456698" cy="6585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𝐶𝑇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𝑝𝐺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𝐴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0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ad>
                          <m:radPr>
                            <m:deg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sSup>
                              <m:sSup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1−</m:t>
                                    </m:r>
                                    <m:f>
                                      <m:f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1</m:t>
                                        </m:r>
                                      </m:num>
                                      <m:den>
                                        <m:sSup>
                                          <m:sSupPr>
                                            <m:ctrlPr>
                                              <a:rPr lang="en-US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US" sz="11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US" sz="11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  <m:t>𝐴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US" sz="11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</m:e>
                                          <m:sup>
                                            <m:r>
                                              <a:rPr lang="en-US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2</m:t>
                                            </m:r>
                                          </m:sup>
                                        </m:sSup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e>
                        </m:rad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C4E31CD-2B1F-40D6-A56D-71E2204C434C}"/>
                </a:ext>
              </a:extLst>
            </xdr:cNvPr>
            <xdr:cNvSpPr txBox="1"/>
          </xdr:nvSpPr>
          <xdr:spPr>
            <a:xfrm>
              <a:off x="3048000" y="190500"/>
              <a:ext cx="2456698" cy="6585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𝑓_𝐶𝑇=𝑓_𝑝𝐺 √(1−1/〖𝐴_0〗^2 +√(1+(1−1/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〖𝐴_0〗^2 )^</a:t>
              </a:r>
              <a:r>
                <a:rPr lang="en-US" sz="1100" b="0" i="0">
                  <a:latin typeface="Cambria Math" panose="02040503050406030204" pitchFamily="18" charset="0"/>
                </a:rPr>
                <a:t>2 )) 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1373716</xdr:colOff>
      <xdr:row>0</xdr:row>
      <xdr:rowOff>177800</xdr:rowOff>
    </xdr:from>
    <xdr:to>
      <xdr:col>3</xdr:col>
      <xdr:colOff>6052607</xdr:colOff>
      <xdr:row>40</xdr:row>
      <xdr:rowOff>44451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44CA73E-7160-4922-ABAF-D8E66AD128C9}"/>
            </a:ext>
          </a:extLst>
        </xdr:cNvPr>
        <xdr:cNvGrpSpPr/>
      </xdr:nvGrpSpPr>
      <xdr:grpSpPr>
        <a:xfrm>
          <a:off x="4622799" y="177800"/>
          <a:ext cx="4678891" cy="7507818"/>
          <a:chOff x="6686550" y="57150"/>
          <a:chExt cx="4676774" cy="7211180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68CEAFDF-ED6D-4C5E-A0E4-B91B2CC855D6}"/>
              </a:ext>
            </a:extLst>
          </xdr:cNvPr>
          <xdr:cNvGraphicFramePr/>
        </xdr:nvGraphicFramePr>
        <xdr:xfrm>
          <a:off x="6691313" y="57150"/>
          <a:ext cx="4672011" cy="25314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4634CCC0-56A7-4C32-A597-69BE81470386}"/>
              </a:ext>
            </a:extLst>
          </xdr:cNvPr>
          <xdr:cNvGraphicFramePr>
            <a:graphicFrameLocks/>
          </xdr:cNvGraphicFramePr>
        </xdr:nvGraphicFramePr>
        <xdr:xfrm>
          <a:off x="6686550" y="2582951"/>
          <a:ext cx="4629149" cy="22341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D3C0B4E-289A-4205-9A54-9A879A4835D6}"/>
              </a:ext>
            </a:extLst>
          </xdr:cNvPr>
          <xdr:cNvGraphicFramePr>
            <a:graphicFrameLocks/>
          </xdr:cNvGraphicFramePr>
        </xdr:nvGraphicFramePr>
        <xdr:xfrm>
          <a:off x="6705600" y="4843633"/>
          <a:ext cx="4600575" cy="24246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0</xdr:col>
      <xdr:colOff>751417</xdr:colOff>
      <xdr:row>26</xdr:row>
      <xdr:rowOff>42332</xdr:rowOff>
    </xdr:from>
    <xdr:to>
      <xdr:col>3</xdr:col>
      <xdr:colOff>328083</xdr:colOff>
      <xdr:row>29</xdr:row>
      <xdr:rowOff>172306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39">
              <a:extLst>
                <a:ext uri="{FF2B5EF4-FFF2-40B4-BE49-F238E27FC236}">
                  <a16:creationId xmlns:a16="http://schemas.microsoft.com/office/drawing/2014/main" id="{805A0934-A5BB-48EF-BFDF-C52C27D7D5AE}"/>
                </a:ext>
              </a:extLst>
            </xdr:cNvPr>
            <xdr:cNvSpPr txBox="1"/>
          </xdr:nvSpPr>
          <xdr:spPr>
            <a:xfrm>
              <a:off x="751417" y="5016499"/>
              <a:ext cx="2825749" cy="7014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𝐴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𝐶𝐿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𝐹</m:t>
                            </m:r>
                          </m:sub>
                        </m:sSub>
                      </m:num>
                      <m:den>
                        <m:f>
                          <m:fPr>
                            <m:ctrlP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fPr>
                          <m:num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𝑠</m:t>
                            </m:r>
                            <m:sSub>
                              <m:sSubPr>
                                <m:ctrlPr>
                                  <a:rPr lang="en-US" sz="160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𝐼𝑁</m:t>
                            </m:r>
                          </m:sub>
                        </m:sSub>
                      </m:den>
                    </m:f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𝑠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1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𝐹</m:t>
                            </m:r>
                          </m:sub>
                        </m:sSub>
                      </m:num>
                      <m:den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1+</m:t>
                        </m:r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𝑠</m:t>
                        </m:r>
                        <m:sSub>
                          <m:sSubPr>
                            <m:ctrlP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1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1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3" name="TextBox 39">
              <a:extLst>
                <a:ext uri="{FF2B5EF4-FFF2-40B4-BE49-F238E27FC236}">
                  <a16:creationId xmlns:a16="http://schemas.microsoft.com/office/drawing/2014/main" id="{805A0934-A5BB-48EF-BFDF-C52C27D7D5AE}"/>
                </a:ext>
              </a:extLst>
            </xdr:cNvPr>
            <xdr:cNvSpPr txBox="1"/>
          </xdr:nvSpPr>
          <xdr:spPr>
            <a:xfrm>
              <a:off x="751417" y="5016499"/>
              <a:ext cx="2825749" cy="7014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𝐴_𝐶𝐿=𝑅_𝐹/(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1/(𝑠𝐶_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1 )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+𝑅_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𝐼𝑁 )=(𝑠𝐶_1 𝑅_𝐹)/(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1+𝑠𝐶_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1 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𝑅_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1 )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74083</xdr:colOff>
      <xdr:row>12</xdr:row>
      <xdr:rowOff>105834</xdr:rowOff>
    </xdr:from>
    <xdr:to>
      <xdr:col>3</xdr:col>
      <xdr:colOff>510117</xdr:colOff>
      <xdr:row>25</xdr:row>
      <xdr:rowOff>97367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0210D41-81B2-4B4F-B884-51DD4033B459}"/>
            </a:ext>
          </a:extLst>
        </xdr:cNvPr>
        <xdr:cNvGrpSpPr/>
      </xdr:nvGrpSpPr>
      <xdr:grpSpPr>
        <a:xfrm>
          <a:off x="74083" y="2423584"/>
          <a:ext cx="3685117" cy="2457450"/>
          <a:chOff x="74083" y="2423584"/>
          <a:chExt cx="3685117" cy="2457450"/>
        </a:xfrm>
      </xdr:grpSpPr>
      <xdr:pic>
        <xdr:nvPicPr>
          <xdr:cNvPr id="15" name="Graphic 14">
            <a:extLst>
              <a:ext uri="{FF2B5EF4-FFF2-40B4-BE49-F238E27FC236}">
                <a16:creationId xmlns:a16="http://schemas.microsoft.com/office/drawing/2014/main" id="{864B5DA9-3415-468A-9A9F-FC625C0819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444500" y="2423584"/>
            <a:ext cx="3314700" cy="2457450"/>
          </a:xfrm>
          <a:prstGeom prst="rect">
            <a:avLst/>
          </a:prstGeom>
        </xdr:spPr>
      </xdr:pic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8" name="TextBox 19">
                <a:extLst>
                  <a:ext uri="{FF2B5EF4-FFF2-40B4-BE49-F238E27FC236}">
                    <a16:creationId xmlns:a16="http://schemas.microsoft.com/office/drawing/2014/main" id="{D9C60EE2-3988-4598-9F09-C726654E5A44}"/>
                  </a:ext>
                </a:extLst>
              </xdr:cNvPr>
              <xdr:cNvSpPr txBox="1"/>
            </xdr:nvSpPr>
            <xdr:spPr>
              <a:xfrm>
                <a:off x="2599276" y="3788490"/>
                <a:ext cx="292259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𝑅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𝐹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8" name="TextBox 19">
                <a:extLst>
                  <a:ext uri="{FF2B5EF4-FFF2-40B4-BE49-F238E27FC236}">
                    <a16:creationId xmlns:a16="http://schemas.microsoft.com/office/drawing/2014/main" id="{D9C60EE2-3988-4598-9F09-C726654E5A44}"/>
                  </a:ext>
                </a:extLst>
              </xdr:cNvPr>
              <xdr:cNvSpPr txBox="1"/>
            </xdr:nvSpPr>
            <xdr:spPr>
              <a:xfrm>
                <a:off x="2599276" y="3788490"/>
                <a:ext cx="292259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𝑅_𝐹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9" name="TextBox 22">
                <a:extLst>
                  <a:ext uri="{FF2B5EF4-FFF2-40B4-BE49-F238E27FC236}">
                    <a16:creationId xmlns:a16="http://schemas.microsoft.com/office/drawing/2014/main" id="{525FCA84-9FC9-4138-A12B-EDE2E7BC6C18}"/>
                  </a:ext>
                </a:extLst>
              </xdr:cNvPr>
              <xdr:cNvSpPr txBox="1"/>
            </xdr:nvSpPr>
            <xdr:spPr>
              <a:xfrm>
                <a:off x="1482068" y="3818811"/>
                <a:ext cx="298479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𝑅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𝐼𝑁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9" name="TextBox 22">
                <a:extLst>
                  <a:ext uri="{FF2B5EF4-FFF2-40B4-BE49-F238E27FC236}">
                    <a16:creationId xmlns:a16="http://schemas.microsoft.com/office/drawing/2014/main" id="{525FCA84-9FC9-4138-A12B-EDE2E7BC6C18}"/>
                  </a:ext>
                </a:extLst>
              </xdr:cNvPr>
              <xdr:cNvSpPr txBox="1"/>
            </xdr:nvSpPr>
            <xdr:spPr>
              <a:xfrm>
                <a:off x="1482068" y="3818811"/>
                <a:ext cx="298479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𝑅_𝐼𝑁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0" name="TextBox 31">
                <a:extLst>
                  <a:ext uri="{FF2B5EF4-FFF2-40B4-BE49-F238E27FC236}">
                    <a16:creationId xmlns:a16="http://schemas.microsoft.com/office/drawing/2014/main" id="{AD4099B6-CA7F-440A-94D1-1BC572E94E9C}"/>
                  </a:ext>
                </a:extLst>
              </xdr:cNvPr>
              <xdr:cNvSpPr txBox="1"/>
            </xdr:nvSpPr>
            <xdr:spPr>
              <a:xfrm>
                <a:off x="984230" y="3866978"/>
                <a:ext cx="28039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𝐶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1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20" name="TextBox 31">
                <a:extLst>
                  <a:ext uri="{FF2B5EF4-FFF2-40B4-BE49-F238E27FC236}">
                    <a16:creationId xmlns:a16="http://schemas.microsoft.com/office/drawing/2014/main" id="{AD4099B6-CA7F-440A-94D1-1BC572E94E9C}"/>
                  </a:ext>
                </a:extLst>
              </xdr:cNvPr>
              <xdr:cNvSpPr txBox="1"/>
            </xdr:nvSpPr>
            <xdr:spPr>
              <a:xfrm>
                <a:off x="984230" y="3866978"/>
                <a:ext cx="28039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𝐶_1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1" name="TextBox 32">
                <a:extLst>
                  <a:ext uri="{FF2B5EF4-FFF2-40B4-BE49-F238E27FC236}">
                    <a16:creationId xmlns:a16="http://schemas.microsoft.com/office/drawing/2014/main" id="{A7F21D4A-1471-4AA2-960D-E4A8131F2D62}"/>
                  </a:ext>
                </a:extLst>
              </xdr:cNvPr>
              <xdr:cNvSpPr txBox="1"/>
            </xdr:nvSpPr>
            <xdr:spPr>
              <a:xfrm>
                <a:off x="74083" y="3920068"/>
                <a:ext cx="34387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𝑉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𝐼𝑁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21" name="TextBox 32">
                <a:extLst>
                  <a:ext uri="{FF2B5EF4-FFF2-40B4-BE49-F238E27FC236}">
                    <a16:creationId xmlns:a16="http://schemas.microsoft.com/office/drawing/2014/main" id="{A7F21D4A-1471-4AA2-960D-E4A8131F2D62}"/>
                  </a:ext>
                </a:extLst>
              </xdr:cNvPr>
              <xdr:cNvSpPr txBox="1"/>
            </xdr:nvSpPr>
            <xdr:spPr>
              <a:xfrm>
                <a:off x="74083" y="3920068"/>
                <a:ext cx="34387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𝑉_𝐼𝑁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2" name="TextBox 22">
                <a:extLst>
                  <a:ext uri="{FF2B5EF4-FFF2-40B4-BE49-F238E27FC236}">
                    <a16:creationId xmlns:a16="http://schemas.microsoft.com/office/drawing/2014/main" id="{240A455F-3FA2-4A8D-8228-6D5CF8406CC7}"/>
                  </a:ext>
                </a:extLst>
              </xdr:cNvPr>
              <xdr:cNvSpPr txBox="1"/>
            </xdr:nvSpPr>
            <xdr:spPr>
              <a:xfrm>
                <a:off x="1217484" y="2612311"/>
                <a:ext cx="298479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𝑉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𝑀𝐼𝐷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22" name="TextBox 22">
                <a:extLst>
                  <a:ext uri="{FF2B5EF4-FFF2-40B4-BE49-F238E27FC236}">
                    <a16:creationId xmlns:a16="http://schemas.microsoft.com/office/drawing/2014/main" id="{240A455F-3FA2-4A8D-8228-6D5CF8406CC7}"/>
                  </a:ext>
                </a:extLst>
              </xdr:cNvPr>
              <xdr:cNvSpPr txBox="1"/>
            </xdr:nvSpPr>
            <xdr:spPr>
              <a:xfrm>
                <a:off x="1217484" y="2612311"/>
                <a:ext cx="298479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𝑉_𝑀𝐼𝐷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erry.DESKTOP-78893LF\AppData\Roaming\Microsoft\AddIns\Engineering%20Workbook%20Custom%20Function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Eserie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B76E0-45D5-44B7-9F39-332462049498}">
  <sheetPr codeName="Sheet4"/>
  <dimension ref="A1:N303"/>
  <sheetViews>
    <sheetView showGridLines="0" tabSelected="1" zoomScale="90" zoomScaleNormal="90" workbookViewId="0">
      <selection activeCell="B11" sqref="B11"/>
    </sheetView>
  </sheetViews>
  <sheetFormatPr defaultRowHeight="15" x14ac:dyDescent="0.25"/>
  <cols>
    <col min="1" max="1" width="20.7109375" customWidth="1"/>
    <col min="2" max="2" width="22.140625" bestFit="1" customWidth="1"/>
    <col min="3" max="3" width="5.7109375" customWidth="1"/>
    <col min="4" max="4" width="98.5703125" customWidth="1"/>
    <col min="5" max="5" width="11.140625" customWidth="1"/>
    <col min="6" max="6" width="8" customWidth="1"/>
    <col min="7" max="7" width="12" bestFit="1" customWidth="1"/>
    <col min="8" max="8" width="17.140625" customWidth="1"/>
    <col min="9" max="9" width="21.42578125" customWidth="1"/>
    <col min="10" max="10" width="43.5703125" customWidth="1"/>
  </cols>
  <sheetData>
    <row r="1" spans="1:14" ht="15.75" x14ac:dyDescent="0.25">
      <c r="A1" s="1" t="s">
        <v>16</v>
      </c>
    </row>
    <row r="2" spans="1:14" x14ac:dyDescent="0.25">
      <c r="B2" s="2" t="s">
        <v>0</v>
      </c>
      <c r="G2" s="3" t="s">
        <v>1</v>
      </c>
      <c r="H2" s="3" t="s">
        <v>4</v>
      </c>
      <c r="I2" s="3" t="s">
        <v>2</v>
      </c>
      <c r="J2" s="3" t="s">
        <v>3</v>
      </c>
      <c r="K2" s="3" t="s">
        <v>5</v>
      </c>
      <c r="L2" s="4" t="s">
        <v>6</v>
      </c>
      <c r="M2" s="3" t="s">
        <v>7</v>
      </c>
      <c r="N2" s="3" t="s">
        <v>8</v>
      </c>
    </row>
    <row r="3" spans="1:14" ht="18" x14ac:dyDescent="0.35">
      <c r="A3" s="6" t="s">
        <v>9</v>
      </c>
      <c r="B3" s="5">
        <v>1.6</v>
      </c>
      <c r="C3" t="s">
        <v>10</v>
      </c>
      <c r="G3">
        <v>-3</v>
      </c>
      <c r="H3">
        <f t="shared" ref="H3:H66" si="0">$B$3*10^G3</f>
        <v>1.6000000000000001E-3</v>
      </c>
      <c r="I3" t="str">
        <f>COMPLEX(0,H3*2*PI(),"j")</f>
        <v>0.0100530964914873j</v>
      </c>
      <c r="J3" t="str">
        <f>IMDIV(0.5,IMSUM(1,IMPRODUCT(I3,$B$10*$B$11/2)))</f>
        <v>0.499999521546645-0.000489107809021093j</v>
      </c>
      <c r="K3">
        <f>20*LOG(IMABS(J3))</f>
        <v>-6.020604069074647</v>
      </c>
      <c r="L3">
        <f>DEGREES(IMARGUMENT(J3))</f>
        <v>-5.6047662122525828E-2</v>
      </c>
      <c r="M3">
        <f>IMREAL(J3)</f>
        <v>0.49999952154664501</v>
      </c>
      <c r="N3">
        <f>IMAGINARY(J3)</f>
        <v>-4.8910780902109297E-4</v>
      </c>
    </row>
    <row r="4" spans="1:14" x14ac:dyDescent="0.25">
      <c r="A4" s="7" t="s">
        <v>24</v>
      </c>
      <c r="B4" s="15">
        <v>5</v>
      </c>
      <c r="C4" t="s">
        <v>25</v>
      </c>
      <c r="G4">
        <v>-2.98</v>
      </c>
      <c r="H4">
        <f t="shared" si="0"/>
        <v>1.6754056768814381E-3</v>
      </c>
      <c r="I4" t="str">
        <f t="shared" ref="I4:I67" si="1">COMPLEX(0,H4*2*PI(),"j")</f>
        <v>0.0105268843325467j</v>
      </c>
      <c r="J4" t="str">
        <f t="shared" ref="J4:J67" si="2">IMDIV(0.5,IMSUM(1,IMPRODUCT(I4,$B$10*$B$11/2)))</f>
        <v>0.499999475386376-0.0005121587026178j</v>
      </c>
      <c r="K4">
        <f t="shared" ref="K4:K67" si="3">20*LOG(IMABS(J4))</f>
        <v>-6.0206044700180561</v>
      </c>
      <c r="L4">
        <f t="shared" ref="L4:L67" si="4">DEGREES(IMARGUMENT(J4))</f>
        <v>-5.8689105253936204E-2</v>
      </c>
      <c r="M4">
        <f t="shared" ref="M4:M67" si="5">IMREAL(J4)</f>
        <v>0.49999947538637601</v>
      </c>
      <c r="N4">
        <f t="shared" ref="N4:N67" si="6">IMAGINARY(J4)</f>
        <v>-5.1215870261779996E-4</v>
      </c>
    </row>
    <row r="5" spans="1:14" ht="18.75" customHeight="1" x14ac:dyDescent="0.25">
      <c r="A5" s="6" t="s">
        <v>26</v>
      </c>
      <c r="B5" s="16">
        <v>5.0000000000000002E-5</v>
      </c>
      <c r="C5" t="s">
        <v>27</v>
      </c>
      <c r="G5">
        <v>-2.96</v>
      </c>
      <c r="H5">
        <f t="shared" si="0"/>
        <v>1.754365113829096E-3</v>
      </c>
      <c r="I5" t="str">
        <f t="shared" si="1"/>
        <v>0.0110230011066394j</v>
      </c>
      <c r="J5" t="str">
        <f t="shared" si="2"/>
        <v>0.499999424772658-0.000536295944355884j</v>
      </c>
      <c r="K5">
        <f t="shared" si="3"/>
        <v>-6.0206049096437102</v>
      </c>
      <c r="L5">
        <f t="shared" si="4"/>
        <v>-6.1455035497312863E-2</v>
      </c>
      <c r="M5">
        <f t="shared" si="5"/>
        <v>0.49999942477265802</v>
      </c>
      <c r="N5">
        <f t="shared" si="6"/>
        <v>-5.3629594435588397E-4</v>
      </c>
    </row>
    <row r="6" spans="1:14" ht="18" customHeight="1" x14ac:dyDescent="0.25">
      <c r="G6">
        <v>-2.94</v>
      </c>
      <c r="H6">
        <f t="shared" si="0"/>
        <v>1.8370457943950121E-3</v>
      </c>
      <c r="I6" t="str">
        <f t="shared" si="1"/>
        <v>0.0115424991439588j</v>
      </c>
      <c r="J6" t="str">
        <f t="shared" si="2"/>
        <v>0.499999369275832-0.000561570731208097j</v>
      </c>
      <c r="K6">
        <f t="shared" si="3"/>
        <v>-6.0206053916835955</v>
      </c>
      <c r="L6">
        <f t="shared" si="4"/>
        <v>-6.435131970985164E-2</v>
      </c>
      <c r="M6">
        <f t="shared" si="5"/>
        <v>0.499999369275832</v>
      </c>
      <c r="N6">
        <f t="shared" si="6"/>
        <v>-5.6157073120809695E-4</v>
      </c>
    </row>
    <row r="7" spans="1:14" x14ac:dyDescent="0.25">
      <c r="G7">
        <v>-2.92</v>
      </c>
      <c r="H7">
        <f t="shared" si="0"/>
        <v>1.9236230953878599E-3</v>
      </c>
      <c r="I7" t="str">
        <f t="shared" si="1"/>
        <v>0.0120864803694923j</v>
      </c>
      <c r="J7" t="str">
        <f t="shared" si="2"/>
        <v>0.499999308424786-0.000588036672832425j</v>
      </c>
      <c r="K7">
        <f t="shared" si="3"/>
        <v>-6.0206059202297659</v>
      </c>
      <c r="L7">
        <f t="shared" si="4"/>
        <v>-6.7384101239336747E-2</v>
      </c>
      <c r="M7">
        <f t="shared" si="5"/>
        <v>0.49999930842478602</v>
      </c>
      <c r="N7">
        <f t="shared" si="6"/>
        <v>-5.8803667283242498E-4</v>
      </c>
    </row>
    <row r="8" spans="1:14" x14ac:dyDescent="0.25">
      <c r="G8">
        <v>-2.9</v>
      </c>
      <c r="H8">
        <f t="shared" si="0"/>
        <v>2.0142806588706662E-3</v>
      </c>
      <c r="I8" t="str">
        <f t="shared" si="1"/>
        <v>0.0126560986403522j</v>
      </c>
      <c r="J8" t="str">
        <f t="shared" si="2"/>
        <v>0.499999241702958-0.000615749905255656j</v>
      </c>
      <c r="K8">
        <f t="shared" si="3"/>
        <v>-6.0206064997690412</v>
      </c>
      <c r="L8">
        <f t="shared" si="4"/>
        <v>-7.055981295386983E-2</v>
      </c>
      <c r="M8">
        <f t="shared" si="5"/>
        <v>0.49999924170295801</v>
      </c>
      <c r="N8">
        <f t="shared" si="6"/>
        <v>-6.1574990525565599E-4</v>
      </c>
    </row>
    <row r="9" spans="1:14" ht="14.25" customHeight="1" x14ac:dyDescent="0.25">
      <c r="B9" s="2" t="s">
        <v>13</v>
      </c>
      <c r="C9" s="9"/>
      <c r="G9">
        <v>-2.88</v>
      </c>
      <c r="H9">
        <f t="shared" si="0"/>
        <v>2.1092107816902514E-3</v>
      </c>
      <c r="I9" t="str">
        <f t="shared" si="1"/>
        <v>0.013252562193261j</v>
      </c>
      <c r="J9" t="str">
        <f t="shared" si="2"/>
        <v>0.499999168543949-0.000644769209911325j</v>
      </c>
      <c r="K9">
        <f t="shared" si="3"/>
        <v>-6.0206071352211303</v>
      </c>
      <c r="L9">
        <f t="shared" si="4"/>
        <v>-7.388519088554403E-2</v>
      </c>
      <c r="M9">
        <f t="shared" si="5"/>
        <v>0.49999916854394899</v>
      </c>
      <c r="N9">
        <f t="shared" si="6"/>
        <v>-6.4476920991132498E-4</v>
      </c>
    </row>
    <row r="10" spans="1:14" x14ac:dyDescent="0.25">
      <c r="A10" s="6" t="s">
        <v>28</v>
      </c>
      <c r="B10" s="18" cm="1">
        <f t="array" ref="B10">[1]!Eseries(1/(2*PI()*B3*B11/2),4)</f>
        <v>3.8999999999999999E-6</v>
      </c>
      <c r="C10" s="10" t="s">
        <v>11</v>
      </c>
      <c r="G10">
        <v>-2.86</v>
      </c>
      <c r="H10">
        <f t="shared" si="0"/>
        <v>2.208614823364615E-3</v>
      </c>
      <c r="I10" t="str">
        <f t="shared" si="1"/>
        <v>0.0138771362073836j</v>
      </c>
      <c r="J10" t="str">
        <f t="shared" si="2"/>
        <v>0.499999088326716-0.000675156138283857j</v>
      </c>
      <c r="K10">
        <f t="shared" si="3"/>
        <v>-6.02060783198037</v>
      </c>
      <c r="L10">
        <f t="shared" si="4"/>
        <v>-7.7367288516974816E-2</v>
      </c>
      <c r="M10">
        <f t="shared" si="5"/>
        <v>0.49999908832671602</v>
      </c>
      <c r="N10">
        <f t="shared" si="6"/>
        <v>-6.7515613828385702E-4</v>
      </c>
    </row>
    <row r="11" spans="1:14" ht="17.25" customHeight="1" x14ac:dyDescent="0.25">
      <c r="A11" s="6" t="s">
        <v>29</v>
      </c>
      <c r="B11" s="17" cm="1">
        <f t="array" ref="B11">[1]!Eseries(B4/B5/2)</f>
        <v>49900</v>
      </c>
      <c r="C11" s="10" t="s">
        <v>12</v>
      </c>
      <c r="G11">
        <v>-2.84</v>
      </c>
      <c r="H11">
        <f t="shared" si="0"/>
        <v>2.3127036331934835E-3</v>
      </c>
      <c r="I11" t="str">
        <f t="shared" si="1"/>
        <v>0.0145311454879421j</v>
      </c>
      <c r="J11" t="str">
        <f t="shared" si="2"/>
        <v>0.499999000370297-0.000706975142422577j</v>
      </c>
      <c r="K11">
        <f t="shared" si="3"/>
        <v>-6.0206085959615869</v>
      </c>
      <c r="L11">
        <f t="shared" si="4"/>
        <v>-8.1013491740966947E-2</v>
      </c>
      <c r="M11">
        <f t="shared" si="5"/>
        <v>0.49999900037029699</v>
      </c>
      <c r="N11">
        <f t="shared" si="6"/>
        <v>-7.0697514242257697E-4</v>
      </c>
    </row>
    <row r="12" spans="1:14" x14ac:dyDescent="0.25">
      <c r="A12" s="6"/>
      <c r="C12" s="9"/>
      <c r="G12">
        <v>-2.82</v>
      </c>
      <c r="H12">
        <f t="shared" si="0"/>
        <v>2.4216979974979319E-3</v>
      </c>
      <c r="I12" t="str">
        <f t="shared" si="1"/>
        <v>0.0152159772763052j</v>
      </c>
      <c r="J12" t="str">
        <f t="shared" si="2"/>
        <v>0.499998903928038-0.000740293711601521j</v>
      </c>
      <c r="K12">
        <f t="shared" si="3"/>
        <v>-6.0206094336501597</v>
      </c>
      <c r="L12">
        <f t="shared" si="4"/>
        <v>-8.483153452500912E-2</v>
      </c>
      <c r="M12">
        <f t="shared" si="5"/>
        <v>0.49999890392803797</v>
      </c>
      <c r="N12">
        <f t="shared" si="6"/>
        <v>-7.4029371160152103E-4</v>
      </c>
    </row>
    <row r="13" spans="1:14" x14ac:dyDescent="0.25">
      <c r="A13" s="6"/>
      <c r="C13" s="9"/>
      <c r="G13">
        <v>-2.8</v>
      </c>
      <c r="H13">
        <f t="shared" si="0"/>
        <v>2.5358291079377818E-3</v>
      </c>
      <c r="I13" t="str">
        <f t="shared" si="1"/>
        <v>0.015933084192513j</v>
      </c>
      <c r="J13" t="str">
        <f t="shared" si="2"/>
        <v>0.499998798181247-0.000775182515413993j</v>
      </c>
      <c r="K13">
        <f t="shared" si="3"/>
        <v>-6.0206103521572221</v>
      </c>
      <c r="L13">
        <f t="shared" si="4"/>
        <v>-8.8829515313795404E-2</v>
      </c>
      <c r="M13">
        <f t="shared" si="5"/>
        <v>0.49999879818124698</v>
      </c>
      <c r="N13">
        <f t="shared" si="6"/>
        <v>-7.7518251541399297E-4</v>
      </c>
    </row>
    <row r="14" spans="1:14" x14ac:dyDescent="0.25">
      <c r="A14" s="6"/>
      <c r="C14" s="10"/>
      <c r="G14">
        <v>-2.78</v>
      </c>
      <c r="H14">
        <f t="shared" si="0"/>
        <v>2.6553390519000971E-3</v>
      </c>
      <c r="I14" t="str">
        <f t="shared" si="1"/>
        <v>0.0166839873164789j</v>
      </c>
      <c r="J14" t="str">
        <f t="shared" si="2"/>
        <v>0.499998682232247-0.000811715553604189j</v>
      </c>
      <c r="K14">
        <f t="shared" si="3"/>
        <v>-6.0206113592799779</v>
      </c>
      <c r="L14">
        <f t="shared" si="4"/>
        <v>-9.3015914204510775E-2</v>
      </c>
      <c r="M14">
        <f t="shared" si="5"/>
        <v>0.49999868223224703</v>
      </c>
      <c r="N14">
        <f t="shared" si="6"/>
        <v>-8.1171555360418904E-4</v>
      </c>
    </row>
    <row r="15" spans="1:14" x14ac:dyDescent="0.25">
      <c r="A15" s="6"/>
      <c r="C15" s="10"/>
      <c r="G15">
        <v>-2.76</v>
      </c>
      <c r="H15">
        <f t="shared" si="0"/>
        <v>2.7804813259989999E-3</v>
      </c>
      <c r="I15" t="str">
        <f t="shared" si="1"/>
        <v>0.0174702794144041j</v>
      </c>
      <c r="J15" t="str">
        <f t="shared" si="2"/>
        <v>0.499998555096759-0.000849970312952476j</v>
      </c>
      <c r="K15">
        <f t="shared" si="3"/>
        <v>-6.0206124635678435</v>
      </c>
      <c r="L15">
        <f t="shared" si="4"/>
        <v>-9.7399610931271585E-2</v>
      </c>
      <c r="M15">
        <f t="shared" si="5"/>
        <v>0.499998555096759</v>
      </c>
      <c r="N15">
        <f t="shared" si="6"/>
        <v>-8.4997031295247602E-4</v>
      </c>
    </row>
    <row r="16" spans="1:14" ht="14.25" customHeight="1" x14ac:dyDescent="0.25">
      <c r="A16" s="6"/>
      <c r="C16" s="10"/>
      <c r="G16">
        <v>-2.74</v>
      </c>
      <c r="H16">
        <f t="shared" si="0"/>
        <v>2.9115213737759696E-3</v>
      </c>
      <c r="I16" t="str">
        <f t="shared" si="1"/>
        <v>0.0182936283172485j</v>
      </c>
      <c r="J16" t="str">
        <f t="shared" si="2"/>
        <v>0.499998415695542-0.00089002793154556j</v>
      </c>
      <c r="K16">
        <f t="shared" si="3"/>
        <v>-6.0206136743951033</v>
      </c>
      <c r="L16">
        <f t="shared" si="4"/>
        <v>-0.10198990369680809</v>
      </c>
      <c r="M16">
        <f t="shared" si="5"/>
        <v>0.49999841569554199</v>
      </c>
      <c r="N16">
        <f t="shared" si="6"/>
        <v>-8.9002793154556003E-4</v>
      </c>
    </row>
    <row r="17" spans="1:14" x14ac:dyDescent="0.25">
      <c r="A17" s="6"/>
      <c r="C17" s="10"/>
      <c r="G17">
        <v>-2.72</v>
      </c>
      <c r="H17">
        <f t="shared" si="0"/>
        <v>3.048737148741194E-3</v>
      </c>
      <c r="I17" t="str">
        <f t="shared" si="1"/>
        <v>0.0191557804584233j</v>
      </c>
      <c r="J17" t="str">
        <f t="shared" si="2"/>
        <v>0.499998262845237-0.00093197337077823j</v>
      </c>
      <c r="K17">
        <f t="shared" si="3"/>
        <v>-6.0206150020403895</v>
      </c>
      <c r="L17">
        <f t="shared" si="4"/>
        <v>-0.10679652889126019</v>
      </c>
      <c r="M17">
        <f t="shared" si="5"/>
        <v>0.49999826284523702</v>
      </c>
      <c r="N17">
        <f t="shared" si="6"/>
        <v>-9.3197337077822995E-4</v>
      </c>
    </row>
    <row r="18" spans="1:14" x14ac:dyDescent="0.25">
      <c r="A18" s="6"/>
      <c r="C18" s="10"/>
      <c r="G18">
        <v>-2.7</v>
      </c>
      <c r="H18">
        <f t="shared" si="0"/>
        <v>3.1924197039502051E-3</v>
      </c>
      <c r="I18" t="str">
        <f t="shared" si="1"/>
        <v>0.0200585645782105j</v>
      </c>
      <c r="J18" t="str">
        <f t="shared" si="2"/>
        <v>0.499998095248317-0.000975895595449667j</v>
      </c>
      <c r="K18">
        <f t="shared" si="3"/>
        <v>-6.0206164577740475</v>
      </c>
      <c r="L18">
        <f t="shared" si="4"/>
        <v>-0.11182968173985489</v>
      </c>
      <c r="M18">
        <f t="shared" si="5"/>
        <v>0.49999809524831701</v>
      </c>
      <c r="N18">
        <f t="shared" si="6"/>
        <v>-9.7589559544966696E-4</v>
      </c>
    </row>
    <row r="19" spans="1:14" x14ac:dyDescent="0.25">
      <c r="G19">
        <v>-2.68</v>
      </c>
      <c r="H19">
        <f t="shared" si="0"/>
        <v>3.3428738093664598E-3</v>
      </c>
      <c r="I19" t="str">
        <f t="shared" si="1"/>
        <v>0.0210038956027668j</v>
      </c>
      <c r="J19" t="str">
        <f t="shared" si="2"/>
        <v>0.499997911482079-0.00102188776233397j</v>
      </c>
      <c r="K19">
        <f t="shared" si="3"/>
        <v>-6.020618053953676</v>
      </c>
      <c r="L19">
        <f t="shared" si="4"/>
        <v>-0.11710003792316034</v>
      </c>
      <c r="M19">
        <f t="shared" si="5"/>
        <v>0.499997911482079</v>
      </c>
      <c r="N19">
        <f t="shared" si="6"/>
        <v>-1.02188776233397E-3</v>
      </c>
    </row>
    <row r="20" spans="1:14" x14ac:dyDescent="0.25">
      <c r="A20" s="10"/>
      <c r="G20">
        <v>-2.66</v>
      </c>
      <c r="H20">
        <f t="shared" si="0"/>
        <v>3.5004185983192799E-3</v>
      </c>
      <c r="I20" t="str">
        <f t="shared" si="1"/>
        <v>0.0219937787059379j</v>
      </c>
      <c r="J20" t="str">
        <f t="shared" si="2"/>
        <v>0.49999770998656-0.00107004741762226j</v>
      </c>
      <c r="K20">
        <f t="shared" si="3"/>
        <v>-6.020619804129181</v>
      </c>
      <c r="L20">
        <f t="shared" si="4"/>
        <v>-0.12261877621567892</v>
      </c>
      <c r="M20">
        <f t="shared" si="5"/>
        <v>0.49999770998656001</v>
      </c>
      <c r="N20">
        <f t="shared" si="6"/>
        <v>-1.0700474176222601E-3</v>
      </c>
    </row>
    <row r="21" spans="1:14" x14ac:dyDescent="0.25">
      <c r="A21" s="10"/>
      <c r="G21">
        <v>-2.64</v>
      </c>
      <c r="H21">
        <f t="shared" si="0"/>
        <v>3.6653882444284344E-3</v>
      </c>
      <c r="I21" t="str">
        <f t="shared" si="1"/>
        <v>0.0230303135625015j</v>
      </c>
      <c r="J21" t="str">
        <f t="shared" si="2"/>
        <v>0.499997489051303-0.00112047670365231j</v>
      </c>
      <c r="K21">
        <f t="shared" si="3"/>
        <v>-6.0206217231576611</v>
      </c>
      <c r="L21">
        <f t="shared" si="4"/>
        <v>-0.12839760219069318</v>
      </c>
      <c r="M21">
        <f t="shared" si="5"/>
        <v>0.49999748905130298</v>
      </c>
      <c r="N21">
        <f t="shared" si="6"/>
        <v>-1.1204767036523101E-3</v>
      </c>
    </row>
    <row r="22" spans="1:14" x14ac:dyDescent="0.25">
      <c r="G22">
        <v>-2.62</v>
      </c>
      <c r="H22">
        <f t="shared" si="0"/>
        <v>3.8381326704311821E-3</v>
      </c>
      <c r="I22" t="str">
        <f t="shared" si="1"/>
        <v>0.0241156988018592j</v>
      </c>
      <c r="J22" t="str">
        <f t="shared" si="2"/>
        <v>0.499997246800837-0.00117328257536067j</v>
      </c>
      <c r="K22">
        <f t="shared" si="3"/>
        <v>-6.0206238273295432</v>
      </c>
      <c r="L22">
        <f t="shared" si="4"/>
        <v>-0.13444877304150754</v>
      </c>
      <c r="M22">
        <f t="shared" si="5"/>
        <v>0.49999724680083701</v>
      </c>
      <c r="N22">
        <f t="shared" si="6"/>
        <v>-1.17328257536067E-3</v>
      </c>
    </row>
    <row r="23" spans="1:14" x14ac:dyDescent="0.25">
      <c r="A23" s="6"/>
      <c r="G23">
        <v>-2.6</v>
      </c>
      <c r="H23">
        <f t="shared" si="0"/>
        <v>4.0190182904153247E-3</v>
      </c>
      <c r="I23" t="str">
        <f t="shared" si="1"/>
        <v>0.0252522366716236j</v>
      </c>
      <c r="J23" t="str">
        <f t="shared" si="2"/>
        <v>0.499996981178751-0.00122857702691251j</v>
      </c>
      <c r="K23">
        <f t="shared" si="3"/>
        <v>-6.0206261345069887</v>
      </c>
      <c r="L23">
        <f t="shared" si="4"/>
        <v>-0.14078512357158776</v>
      </c>
      <c r="M23">
        <f t="shared" si="5"/>
        <v>0.49999698117875102</v>
      </c>
      <c r="N23">
        <f t="shared" si="6"/>
        <v>-1.22857702691251E-3</v>
      </c>
    </row>
    <row r="24" spans="1:14" x14ac:dyDescent="0.25">
      <c r="A24" s="6"/>
      <c r="G24">
        <v>-2.58</v>
      </c>
      <c r="H24">
        <f t="shared" si="0"/>
        <v>4.2084287870326068E-3</v>
      </c>
      <c r="I24" t="str">
        <f t="shared" si="1"/>
        <v>0.0264423379209949j</v>
      </c>
      <c r="J24" t="str">
        <f t="shared" si="2"/>
        <v>0.499996689930251-0.00128647732898544j</v>
      </c>
      <c r="K24">
        <f t="shared" si="3"/>
        <v>-6.0206286642753257</v>
      </c>
      <c r="L24">
        <f t="shared" si="4"/>
        <v>-0.14742009340855411</v>
      </c>
      <c r="M24">
        <f t="shared" si="5"/>
        <v>0.49999668993025098</v>
      </c>
      <c r="N24">
        <f t="shared" si="6"/>
        <v>-1.2864773289854401E-3</v>
      </c>
    </row>
    <row r="25" spans="1:14" x14ac:dyDescent="0.25">
      <c r="A25" s="6"/>
      <c r="G25">
        <v>-2.56</v>
      </c>
      <c r="H25">
        <f t="shared" si="0"/>
        <v>4.4067659253410642E-3</v>
      </c>
      <c r="I25" t="str">
        <f t="shared" si="1"/>
        <v>0.0276885269142826j</v>
      </c>
      <c r="J25" t="str">
        <f t="shared" si="2"/>
        <v>0.499996370583011-0.00134710627720534j</v>
      </c>
      <c r="K25">
        <f t="shared" si="3"/>
        <v>-6.0206314381094552</v>
      </c>
      <c r="L25">
        <f t="shared" si="4"/>
        <v>-0.15436775549955475</v>
      </c>
      <c r="M25">
        <f t="shared" si="5"/>
        <v>0.499996370583011</v>
      </c>
      <c r="N25">
        <f t="shared" si="6"/>
        <v>-1.3471062772053401E-3</v>
      </c>
    </row>
    <row r="26" spans="1:14" x14ac:dyDescent="0.25">
      <c r="A26" s="6"/>
      <c r="G26">
        <v>-2.54</v>
      </c>
      <c r="H26">
        <f t="shared" si="0"/>
        <v>4.614450405002567E-3</v>
      </c>
      <c r="I26" t="str">
        <f t="shared" si="1"/>
        <v>0.028993446985421j</v>
      </c>
      <c r="J26" t="str">
        <f t="shared" si="2"/>
        <v>0.499996020426193-0.00141059245225529j</v>
      </c>
      <c r="K26">
        <f t="shared" si="3"/>
        <v>-6.0206344795560796</v>
      </c>
      <c r="L26">
        <f t="shared" si="4"/>
        <v>-0.16164284594823239</v>
      </c>
      <c r="M26">
        <f t="shared" si="5"/>
        <v>0.49999602042619301</v>
      </c>
      <c r="N26">
        <f t="shared" si="6"/>
        <v>-1.4105924522552901E-3</v>
      </c>
    </row>
    <row r="27" spans="1:14" x14ac:dyDescent="0.25">
      <c r="A27" s="6"/>
      <c r="G27">
        <v>-2.52</v>
      </c>
      <c r="H27">
        <f t="shared" si="0"/>
        <v>4.8319227526432218E-3</v>
      </c>
      <c r="I27" t="str">
        <f t="shared" si="1"/>
        <v>0.0303598660448346j</v>
      </c>
      <c r="J27" t="str">
        <f t="shared" si="2"/>
        <v>0.499995636487442-0.00147707049220253j</v>
      </c>
      <c r="K27">
        <f t="shared" si="3"/>
        <v>-6.0206378144335169</v>
      </c>
      <c r="L27">
        <f t="shared" si="4"/>
        <v>-0.16926079525631904</v>
      </c>
      <c r="M27">
        <f t="shared" si="5"/>
        <v>0.499995636487442</v>
      </c>
      <c r="N27">
        <f t="shared" si="6"/>
        <v>-1.4770704922025301E-3</v>
      </c>
    </row>
    <row r="28" spans="1:14" x14ac:dyDescent="0.25">
      <c r="A28" s="6"/>
      <c r="G28">
        <v>-2.5</v>
      </c>
      <c r="H28">
        <f t="shared" si="0"/>
        <v>5.0596442562694027E-3</v>
      </c>
      <c r="I28" t="str">
        <f t="shared" si="1"/>
        <v>0.0317906824505475j</v>
      </c>
      <c r="J28" t="str">
        <f t="shared" si="2"/>
        <v>0.49999521550765-0.0015466813776132j</v>
      </c>
      <c r="K28">
        <f t="shared" si="3"/>
        <v>-6.020641471050979</v>
      </c>
      <c r="L28">
        <f t="shared" si="4"/>
        <v>-0.17723776103582425</v>
      </c>
      <c r="M28">
        <f t="shared" si="5"/>
        <v>0.49999521550765003</v>
      </c>
      <c r="N28">
        <f t="shared" si="6"/>
        <v>-1.5466813776132001E-3</v>
      </c>
    </row>
    <row r="29" spans="1:14" x14ac:dyDescent="0.25">
      <c r="D29" s="11"/>
      <c r="G29">
        <v>-2.48</v>
      </c>
      <c r="H29">
        <f t="shared" si="0"/>
        <v>5.2980979437214568E-3</v>
      </c>
      <c r="I29" t="str">
        <f t="shared" si="1"/>
        <v>0.033288931155989j</v>
      </c>
      <c r="J29" t="str">
        <f t="shared" si="2"/>
        <v>0.499994753913301-0.00161957273005055j</v>
      </c>
      <c r="K29">
        <f t="shared" si="3"/>
        <v>-6.0206454804487759</v>
      </c>
      <c r="L29">
        <f t="shared" si="4"/>
        <v>-0.18559066226084334</v>
      </c>
      <c r="M29">
        <f t="shared" si="5"/>
        <v>0.499994753913301</v>
      </c>
      <c r="N29">
        <f t="shared" si="6"/>
        <v>-1.6195727300505501E-3</v>
      </c>
    </row>
    <row r="30" spans="1:14" x14ac:dyDescent="0.25">
      <c r="G30">
        <v>-2.46</v>
      </c>
      <c r="H30">
        <f t="shared" si="0"/>
        <v>5.5477896072405044E-3</v>
      </c>
      <c r="I30" t="str">
        <f t="shared" si="1"/>
        <v>0.0348577901475371j</v>
      </c>
      <c r="J30" t="str">
        <f t="shared" si="2"/>
        <v>0.499994247786143-0.0016958991245797j</v>
      </c>
      <c r="K30">
        <f t="shared" si="3"/>
        <v>-6.0206498766617589</v>
      </c>
      <c r="L30">
        <f t="shared" si="4"/>
        <v>-0.19433721513127766</v>
      </c>
      <c r="M30">
        <f t="shared" si="5"/>
        <v>0.49999424778614299</v>
      </c>
      <c r="N30">
        <f t="shared" si="6"/>
        <v>-1.6958991245796999E-3</v>
      </c>
    </row>
    <row r="31" spans="1:14" x14ac:dyDescent="0.25">
      <c r="B31" s="12"/>
      <c r="G31">
        <v>-2.44</v>
      </c>
      <c r="H31">
        <f t="shared" si="0"/>
        <v>5.8092488763216181E-3</v>
      </c>
      <c r="I31" t="str">
        <f t="shared" si="1"/>
        <v>0.0365005871854535j</v>
      </c>
      <c r="J31" t="str">
        <f t="shared" si="2"/>
        <v>0.499993692829926-0.00177582241692969j</v>
      </c>
      <c r="K31">
        <f t="shared" si="3"/>
        <v>-6.0206546970083483</v>
      </c>
      <c r="L31">
        <f t="shared" si="4"/>
        <v>-0.20349597062405805</v>
      </c>
      <c r="M31">
        <f t="shared" si="5"/>
        <v>0.49999369282992601</v>
      </c>
      <c r="N31">
        <f t="shared" si="6"/>
        <v>-1.77582241692969E-3</v>
      </c>
    </row>
    <row r="32" spans="1:14" x14ac:dyDescent="0.25">
      <c r="B32" s="12"/>
      <c r="G32">
        <v>-2.42</v>
      </c>
      <c r="H32">
        <f t="shared" si="0"/>
        <v>6.0830303411289798E-3</v>
      </c>
      <c r="I32" t="str">
        <f t="shared" si="1"/>
        <v>0.0382208068625092j</v>
      </c>
      <c r="J32" t="str">
        <f t="shared" si="2"/>
        <v>0.499993084333951-0.00185951208599329j</v>
      </c>
      <c r="K32">
        <f t="shared" si="3"/>
        <v>-6.0206599824071194</v>
      </c>
      <c r="L32">
        <f t="shared" si="4"/>
        <v>-0.21308635381100696</v>
      </c>
      <c r="M32">
        <f t="shared" si="5"/>
        <v>0.49999308433395101</v>
      </c>
      <c r="N32">
        <f t="shared" si="6"/>
        <v>-1.85951208599329E-3</v>
      </c>
    </row>
    <row r="33" spans="7:14" x14ac:dyDescent="0.25">
      <c r="G33">
        <v>-2.4</v>
      </c>
      <c r="H33">
        <f t="shared" si="0"/>
        <v>6.369714728855955E-3</v>
      </c>
      <c r="I33" t="str">
        <f t="shared" si="1"/>
        <v>0.0400220979952731j</v>
      </c>
      <c r="J33" t="str">
        <f t="shared" si="2"/>
        <v>0.499992417133084-0.00194714559237539j</v>
      </c>
      <c r="K33">
        <f t="shared" si="3"/>
        <v>-6.0206657777242425</v>
      </c>
      <c r="L33">
        <f t="shared" si="4"/>
        <v>-0.22312870502614979</v>
      </c>
      <c r="M33">
        <f t="shared" si="5"/>
        <v>0.49999241713308401</v>
      </c>
      <c r="N33">
        <f t="shared" si="6"/>
        <v>-1.94714559237539E-3</v>
      </c>
    </row>
    <row r="34" spans="7:14" x14ac:dyDescent="0.25">
      <c r="G34">
        <v>-2.38</v>
      </c>
      <c r="H34">
        <f t="shared" si="0"/>
        <v>6.6699101355253646E-3</v>
      </c>
      <c r="I34" t="str">
        <f t="shared" si="1"/>
        <v>0.0419082813637412j</v>
      </c>
      <c r="J34" t="str">
        <f t="shared" si="2"/>
        <v>0.499991685563928-0.00203890875373263j</v>
      </c>
      <c r="K34">
        <f t="shared" si="3"/>
        <v>-6.0206721321542114</v>
      </c>
      <c r="L34">
        <f t="shared" si="4"/>
        <v>-0.23364432296910864</v>
      </c>
      <c r="M34">
        <f t="shared" si="5"/>
        <v>0.49999168556392798</v>
      </c>
      <c r="N34">
        <f t="shared" si="6"/>
        <v>-2.03890875373263E-3</v>
      </c>
    </row>
    <row r="35" spans="7:14" x14ac:dyDescent="0.25">
      <c r="G35">
        <v>-2.36</v>
      </c>
      <c r="H35">
        <f t="shared" si="0"/>
        <v>6.9842533158426508E-3</v>
      </c>
      <c r="I35" t="str">
        <f t="shared" si="1"/>
        <v>0.0438833578157228j</v>
      </c>
      <c r="J35" t="str">
        <f t="shared" si="2"/>
        <v>0.49999088341676-0.00213499613767965j</v>
      </c>
      <c r="K35">
        <f t="shared" si="3"/>
        <v>-6.0206790996374329</v>
      </c>
      <c r="L35">
        <f t="shared" si="4"/>
        <v>-0.2446555098352084</v>
      </c>
      <c r="M35">
        <f t="shared" si="5"/>
        <v>0.49999088341676001</v>
      </c>
      <c r="N35">
        <f t="shared" si="6"/>
        <v>-2.1349961376796499E-3</v>
      </c>
    </row>
    <row r="36" spans="7:14" x14ac:dyDescent="0.25">
      <c r="G36">
        <v>-2.34</v>
      </c>
      <c r="H36">
        <f t="shared" si="0"/>
        <v>7.3134110338380007E-3</v>
      </c>
      <c r="I36" t="str">
        <f t="shared" si="1"/>
        <v>0.045951516753176j</v>
      </c>
      <c r="J36" t="str">
        <f t="shared" si="2"/>
        <v>0.499990003882838-0.0022356114730719j</v>
      </c>
      <c r="K36">
        <f t="shared" si="3"/>
        <v>-6.0206867393180294</v>
      </c>
      <c r="L36">
        <f t="shared" si="4"/>
        <v>-0.25618561856713595</v>
      </c>
      <c r="M36">
        <f t="shared" si="5"/>
        <v>0.49999000388283799</v>
      </c>
      <c r="N36">
        <f t="shared" si="6"/>
        <v>-2.2356114730719E-3</v>
      </c>
    </row>
    <row r="37" spans="7:14" x14ac:dyDescent="0.25">
      <c r="G37">
        <v>-2.3199999999999998</v>
      </c>
      <c r="H37">
        <f t="shared" si="0"/>
        <v>7.658081477162214E-3</v>
      </c>
      <c r="I37" t="str">
        <f t="shared" si="1"/>
        <v>0.0481171450184898j</v>
      </c>
      <c r="J37" t="str">
        <f t="shared" si="2"/>
        <v>0.499989039496627-0.00234096808051006j</v>
      </c>
      <c r="K37">
        <f t="shared" si="3"/>
        <v>-6.020695116045772</v>
      </c>
      <c r="L37">
        <f t="shared" si="4"/>
        <v>-0.2682591023273222</v>
      </c>
      <c r="M37">
        <f t="shared" si="5"/>
        <v>0.49998903949662699</v>
      </c>
      <c r="N37">
        <f t="shared" si="6"/>
        <v>-2.3409680805100601E-3</v>
      </c>
    </row>
    <row r="38" spans="7:14" x14ac:dyDescent="0.25">
      <c r="G38">
        <v>-2.2999999999999998</v>
      </c>
      <c r="H38">
        <f t="shared" si="0"/>
        <v>8.0189957380363535E-3</v>
      </c>
      <c r="I38" t="str">
        <f t="shared" si="1"/>
        <v>0.0503848361995657j</v>
      </c>
      <c r="J38" t="str">
        <f t="shared" si="2"/>
        <v>0.499987982072449-0.00245128932294819j</v>
      </c>
      <c r="K38">
        <f t="shared" si="3"/>
        <v>-6.0207043009265417</v>
      </c>
      <c r="L38">
        <f t="shared" si="4"/>
        <v>-0.28090156629481366</v>
      </c>
      <c r="M38">
        <f t="shared" si="5"/>
        <v>0.49998798207244899</v>
      </c>
      <c r="N38">
        <f t="shared" si="6"/>
        <v>-2.4512893229481901E-3</v>
      </c>
    </row>
    <row r="39" spans="7:14" x14ac:dyDescent="0.25">
      <c r="G39">
        <v>-2.2799999999999998</v>
      </c>
      <c r="H39">
        <f t="shared" si="0"/>
        <v>8.3969193639963583E-3</v>
      </c>
      <c r="I39" t="str">
        <f t="shared" si="1"/>
        <v>0.0527594003734337j</v>
      </c>
      <c r="J39" t="str">
        <f t="shared" si="2"/>
        <v>0.499986822635035-0.00256680907732559j</v>
      </c>
      <c r="K39">
        <f t="shared" si="3"/>
        <v>-6.0207143719257026</v>
      </c>
      <c r="L39">
        <f t="shared" si="4"/>
        <v>-0.29413982189512272</v>
      </c>
      <c r="M39">
        <f t="shared" si="5"/>
        <v>0.49998682263503502</v>
      </c>
      <c r="N39">
        <f t="shared" si="6"/>
        <v>-2.5668090773255901E-3</v>
      </c>
    </row>
    <row r="40" spans="7:14" x14ac:dyDescent="0.25">
      <c r="G40">
        <v>-2.2599999999999998</v>
      </c>
      <c r="H40">
        <f t="shared" si="0"/>
        <v>8.7926539817219963E-3</v>
      </c>
      <c r="I40" t="str">
        <f t="shared" si="1"/>
        <v>0.0552458743090697j</v>
      </c>
      <c r="J40" t="str">
        <f t="shared" si="2"/>
        <v>0.499985551343372-0.00268777222818147j</v>
      </c>
      <c r="K40">
        <f t="shared" si="3"/>
        <v>-6.0207254145298421</v>
      </c>
      <c r="L40">
        <f t="shared" si="4"/>
        <v>-0.30800194357650329</v>
      </c>
      <c r="M40">
        <f t="shared" si="5"/>
        <v>0.49998555134337203</v>
      </c>
      <c r="N40">
        <f t="shared" si="6"/>
        <v>-2.68777222818147E-3</v>
      </c>
    </row>
    <row r="41" spans="7:14" x14ac:dyDescent="0.25">
      <c r="G41">
        <v>-2.2400000000000002</v>
      </c>
      <c r="H41">
        <f t="shared" si="0"/>
        <v>9.2070389973945045E-3</v>
      </c>
      <c r="I41" t="str">
        <f t="shared" si="1"/>
        <v>0.0578495321510586j</v>
      </c>
      <c r="J41" t="str">
        <f t="shared" si="2"/>
        <v>0.499984157407212-0.00281443518425263j</v>
      </c>
      <c r="K41">
        <f t="shared" si="3"/>
        <v>-6.020737522472257</v>
      </c>
      <c r="L41">
        <f t="shared" si="4"/>
        <v>-0.32251732825131307</v>
      </c>
      <c r="M41">
        <f t="shared" si="5"/>
        <v>0.49998415740721203</v>
      </c>
      <c r="N41">
        <f t="shared" si="6"/>
        <v>-2.8144351842526302E-3</v>
      </c>
    </row>
    <row r="42" spans="7:14" x14ac:dyDescent="0.25">
      <c r="G42">
        <v>-2.2200000000000002</v>
      </c>
      <c r="H42">
        <f t="shared" si="0"/>
        <v>9.6409533771897159E-3</v>
      </c>
      <c r="I42" t="str">
        <f t="shared" si="1"/>
        <v>0.0605758966067618j</v>
      </c>
      <c r="J42" t="str">
        <f t="shared" si="2"/>
        <v>0.499982628995539-0.0029470664190954j</v>
      </c>
      <c r="K42">
        <f t="shared" si="3"/>
        <v>-6.0207507985283204</v>
      </c>
      <c r="L42">
        <f t="shared" si="4"/>
        <v>-0.33771675752643437</v>
      </c>
      <c r="M42">
        <f t="shared" si="5"/>
        <v>0.49998262899553902</v>
      </c>
      <c r="N42">
        <f t="shared" si="6"/>
        <v>-2.9470664190953998E-3</v>
      </c>
    </row>
    <row r="43" spans="7:14" x14ac:dyDescent="0.25">
      <c r="G43">
        <v>-2.2000000000000002</v>
      </c>
      <c r="H43">
        <f t="shared" si="0"/>
        <v>1.0095317511683081E-2</v>
      </c>
      <c r="I43" t="str">
        <f t="shared" si="1"/>
        <v>0.0634307506607199j</v>
      </c>
      <c r="J43" t="str">
        <f t="shared" si="2"/>
        <v>0.499980953136206-0.00308594703681662j</v>
      </c>
      <c r="K43">
        <f t="shared" si="3"/>
        <v>-6.0207653553876614</v>
      </c>
      <c r="L43">
        <f t="shared" si="4"/>
        <v>-0.35363246285240935</v>
      </c>
      <c r="M43">
        <f t="shared" si="5"/>
        <v>0.499980953136206</v>
      </c>
      <c r="N43">
        <f t="shared" si="6"/>
        <v>-3.08594703681662E-3</v>
      </c>
    </row>
    <row r="44" spans="7:14" x14ac:dyDescent="0.25">
      <c r="G44">
        <v>-2.1800000000000002</v>
      </c>
      <c r="H44">
        <f t="shared" si="0"/>
        <v>1.0571095168121531E-2</v>
      </c>
      <c r="I44" t="str">
        <f t="shared" si="1"/>
        <v>0.0664201498411383j</v>
      </c>
      <c r="J44" t="str">
        <f t="shared" si="2"/>
        <v>0.499979115605899-0.00323137136404209j</v>
      </c>
      <c r="K44">
        <f t="shared" si="3"/>
        <v>-6.0207813166104707</v>
      </c>
      <c r="L44">
        <f t="shared" si="4"/>
        <v>-0.37029819372673073</v>
      </c>
      <c r="M44">
        <f t="shared" si="5"/>
        <v>0.49997911560589903</v>
      </c>
      <c r="N44">
        <f t="shared" si="6"/>
        <v>-3.2313713640420901E-3</v>
      </c>
    </row>
    <row r="45" spans="7:14" x14ac:dyDescent="0.25">
      <c r="G45">
        <v>-2.16</v>
      </c>
      <c r="H45">
        <f t="shared" si="0"/>
        <v>1.1069295534702976E-2</v>
      </c>
      <c r="I45" t="str">
        <f t="shared" si="1"/>
        <v>0.0695504350644743j</v>
      </c>
      <c r="J45" t="str">
        <f t="shared" si="2"/>
        <v>0.499977100809508-0.00338364756929634j</v>
      </c>
      <c r="K45">
        <f t="shared" si="3"/>
        <v>-6.0207988176758196</v>
      </c>
      <c r="L45">
        <f t="shared" si="4"/>
        <v>-0.38774928909283374</v>
      </c>
      <c r="M45">
        <f t="shared" si="5"/>
        <v>0.49997710080950802</v>
      </c>
      <c r="N45">
        <f t="shared" si="6"/>
        <v>-3.3836475692963401E-3</v>
      </c>
    </row>
    <row r="46" spans="7:14" x14ac:dyDescent="0.25">
      <c r="G46">
        <v>-2.14</v>
      </c>
      <c r="H46">
        <f t="shared" si="0"/>
        <v>1.159097536119983E-2</v>
      </c>
      <c r="I46" t="str">
        <f t="shared" si="1"/>
        <v>0.0728282460853714j</v>
      </c>
      <c r="J46" t="str">
        <f t="shared" si="2"/>
        <v>0.499974891647858-0.00354309831101326j</v>
      </c>
      <c r="K46">
        <f t="shared" si="3"/>
        <v>-6.0208180071313491</v>
      </c>
      <c r="L46">
        <f t="shared" si="4"/>
        <v>-0.40602275208264277</v>
      </c>
      <c r="M46">
        <f t="shared" si="5"/>
        <v>0.49997489164785802</v>
      </c>
      <c r="N46">
        <f t="shared" si="6"/>
        <v>-3.54309831101326E-3</v>
      </c>
    </row>
    <row r="47" spans="7:14" x14ac:dyDescent="0.25">
      <c r="G47">
        <v>-2.12</v>
      </c>
      <c r="H47">
        <f t="shared" si="0"/>
        <v>1.2137241200466928E-2</v>
      </c>
      <c r="I47" t="str">
        <f t="shared" si="1"/>
        <v>0.0762605355804685j</v>
      </c>
      <c r="J47" t="str">
        <f t="shared" si="2"/>
        <v>0.499972469372716-0.00371006141544412j</v>
      </c>
      <c r="K47">
        <f t="shared" si="3"/>
        <v>-6.0208390478534692</v>
      </c>
      <c r="L47">
        <f t="shared" si="4"/>
        <v>-0.42515732825706054</v>
      </c>
      <c r="M47">
        <f t="shared" si="5"/>
        <v>0.499972469372716</v>
      </c>
      <c r="N47">
        <f t="shared" si="6"/>
        <v>-3.7100614154441198E-3</v>
      </c>
    </row>
    <row r="48" spans="7:14" x14ac:dyDescent="0.25">
      <c r="G48">
        <v>-2.1</v>
      </c>
      <c r="H48">
        <f t="shared" si="0"/>
        <v>1.2709251755588499E-2</v>
      </c>
      <c r="I48" t="str">
        <f t="shared" si="1"/>
        <v>0.07985458389596j</v>
      </c>
      <c r="J48" t="str">
        <f t="shared" si="2"/>
        <v>0.499969813427815-0.00388489058577704j</v>
      </c>
      <c r="K48">
        <f t="shared" si="3"/>
        <v>-6.0208621184293252</v>
      </c>
      <c r="L48">
        <f t="shared" si="4"/>
        <v>-0.44519358750565857</v>
      </c>
      <c r="M48">
        <f t="shared" si="5"/>
        <v>0.49996981342781499</v>
      </c>
      <c r="N48">
        <f t="shared" si="6"/>
        <v>-3.8848905857770399E-3</v>
      </c>
    </row>
    <row r="49" spans="7:14" x14ac:dyDescent="0.25">
      <c r="G49">
        <v>-2.08</v>
      </c>
      <c r="H49">
        <f t="shared" si="0"/>
        <v>1.3308220337642729E-2</v>
      </c>
      <c r="I49" t="str">
        <f t="shared" si="1"/>
        <v>0.0836180144901853j</v>
      </c>
      <c r="J49" t="str">
        <f t="shared" si="2"/>
        <v>0.499966901274572-0.00406795614382945j</v>
      </c>
      <c r="K49">
        <f t="shared" si="3"/>
        <v>-6.0208874146718916</v>
      </c>
      <c r="L49">
        <f t="shared" si="4"/>
        <v>-0.46617400977380657</v>
      </c>
      <c r="M49">
        <f t="shared" si="5"/>
        <v>0.499966901274572</v>
      </c>
      <c r="N49">
        <f t="shared" si="6"/>
        <v>-4.0679561438294503E-3</v>
      </c>
    </row>
    <row r="50" spans="7:14" x14ac:dyDescent="0.25">
      <c r="G50">
        <v>-2.06</v>
      </c>
      <c r="H50">
        <f t="shared" si="0"/>
        <v>1.3935417439297283E-2</v>
      </c>
      <c r="I50" t="str">
        <f t="shared" si="1"/>
        <v>0.0875588101040069j</v>
      </c>
      <c r="J50" t="str">
        <f t="shared" si="2"/>
        <v>0.49996370820103-0.00425964580572361j</v>
      </c>
      <c r="K50">
        <f t="shared" si="3"/>
        <v>-6.0209151512809385</v>
      </c>
      <c r="L50">
        <f t="shared" si="4"/>
        <v>-0.4881430747928559</v>
      </c>
      <c r="M50">
        <f t="shared" si="5"/>
        <v>0.49996370820102998</v>
      </c>
      <c r="N50">
        <f t="shared" si="6"/>
        <v>-4.2596458057236096E-3</v>
      </c>
    </row>
    <row r="51" spans="7:14" x14ac:dyDescent="0.25">
      <c r="G51">
        <v>-2.04</v>
      </c>
      <c r="H51">
        <f t="shared" si="0"/>
        <v>1.4592173429694542E-2</v>
      </c>
      <c r="I51" t="str">
        <f t="shared" si="1"/>
        <v>0.0916853296932731j</v>
      </c>
      <c r="J51" t="str">
        <f t="shared" si="2"/>
        <v>0.49996020711239-0.00446036549300271j</v>
      </c>
      <c r="K51">
        <f t="shared" si="3"/>
        <v>-6.0209455636643936</v>
      </c>
      <c r="L51">
        <f t="shared" si="4"/>
        <v>-0.51114735599653394</v>
      </c>
      <c r="M51">
        <f t="shared" si="5"/>
        <v>0.49996020711238998</v>
      </c>
      <c r="N51">
        <f t="shared" si="6"/>
        <v>-4.4603654930027098E-3</v>
      </c>
    </row>
    <row r="52" spans="7:14" x14ac:dyDescent="0.25">
      <c r="G52">
        <v>-2.02</v>
      </c>
      <c r="H52">
        <f t="shared" si="0"/>
        <v>1.5279881376342973E-2</v>
      </c>
      <c r="I52" t="str">
        <f t="shared" si="1"/>
        <v>0.0960063261592852j</v>
      </c>
      <c r="J52" t="str">
        <f t="shared" si="2"/>
        <v>0.499956368301391-0.00467054018069281j</v>
      </c>
      <c r="K52">
        <f t="shared" si="3"/>
        <v>-6.0209789099349695</v>
      </c>
      <c r="L52">
        <f t="shared" si="4"/>
        <v>-0.53523561881451232</v>
      </c>
      <c r="M52">
        <f t="shared" si="5"/>
        <v>0.49995636830139101</v>
      </c>
      <c r="N52">
        <f t="shared" si="6"/>
        <v>-4.6705401806928096E-3</v>
      </c>
    </row>
    <row r="53" spans="7:14" x14ac:dyDescent="0.25">
      <c r="G53">
        <v>-2</v>
      </c>
      <c r="H53">
        <f t="shared" si="0"/>
        <v>1.6E-2</v>
      </c>
      <c r="I53" t="str">
        <f t="shared" si="1"/>
        <v>0.100530964914873j</v>
      </c>
      <c r="J53" t="str">
        <f t="shared" si="2"/>
        <v>0.499952159196587-0.00489061478386226j</v>
      </c>
      <c r="K53">
        <f t="shared" si="3"/>
        <v>-6.0210154730992969</v>
      </c>
      <c r="L53">
        <f t="shared" si="4"/>
        <v>-0.5604589235422035</v>
      </c>
      <c r="M53">
        <f t="shared" si="5"/>
        <v>0.49995215919658698</v>
      </c>
      <c r="N53">
        <f t="shared" si="6"/>
        <v>-4.8906147838622604E-3</v>
      </c>
    </row>
    <row r="54" spans="7:14" x14ac:dyDescent="0.25">
      <c r="G54">
        <v>-1.98</v>
      </c>
      <c r="H54">
        <f t="shared" si="0"/>
        <v>1.6754056768814383E-2</v>
      </c>
      <c r="I54" t="str">
        <f t="shared" si="1"/>
        <v>0.105268843325467j</v>
      </c>
      <c r="J54" t="str">
        <f t="shared" si="2"/>
        <v>0.499947544086402-0.00512105508427547j</v>
      </c>
      <c r="K54">
        <f t="shared" si="3"/>
        <v>-6.0210555634579634</v>
      </c>
      <c r="L54">
        <f t="shared" si="4"/>
        <v>-0.58687073299414028</v>
      </c>
      <c r="M54">
        <f t="shared" si="5"/>
        <v>0.49994754408640202</v>
      </c>
      <c r="N54">
        <f t="shared" si="6"/>
        <v>-5.1210550842754696E-3</v>
      </c>
    </row>
    <row r="55" spans="7:14" x14ac:dyDescent="0.25">
      <c r="G55">
        <v>-1.96</v>
      </c>
      <c r="H55">
        <f t="shared" si="0"/>
        <v>1.7543651138290962E-2</v>
      </c>
      <c r="I55" t="str">
        <f t="shared" si="1"/>
        <v>0.110230011066394j</v>
      </c>
      <c r="J55" t="str">
        <f t="shared" si="2"/>
        <v>0.499942483816643-0.00536234869878063j</v>
      </c>
      <c r="K55">
        <f t="shared" si="3"/>
        <v>-6.0210995212367555</v>
      </c>
      <c r="L55">
        <f t="shared" si="4"/>
        <v>-0.61452702515679691</v>
      </c>
      <c r="M55">
        <f t="shared" si="5"/>
        <v>0.49994248381664302</v>
      </c>
      <c r="N55">
        <f t="shared" si="6"/>
        <v>-5.36234869878063E-3</v>
      </c>
    </row>
    <row r="56" spans="7:14" x14ac:dyDescent="0.25">
      <c r="G56">
        <v>-1.94</v>
      </c>
      <c r="H56">
        <f t="shared" si="0"/>
        <v>1.8370457943950123E-2</v>
      </c>
      <c r="I56" t="str">
        <f t="shared" si="1"/>
        <v>0.115424991439588j</v>
      </c>
      <c r="J56" t="str">
        <f t="shared" si="2"/>
        <v>0.499936935458921-0.00561500609111212j</v>
      </c>
      <c r="K56">
        <f t="shared" si="3"/>
        <v>-6.0211477194713829</v>
      </c>
      <c r="L56">
        <f t="shared" si="4"/>
        <v>-0.64348641106555871</v>
      </c>
      <c r="M56">
        <f t="shared" si="5"/>
        <v>0.49993693545892098</v>
      </c>
      <c r="N56">
        <f t="shared" si="6"/>
        <v>-5.6150060911121201E-3</v>
      </c>
    </row>
    <row r="57" spans="7:14" x14ac:dyDescent="0.25">
      <c r="G57">
        <v>-1.92</v>
      </c>
      <c r="H57">
        <f t="shared" si="0"/>
        <v>1.9236230953878601E-2</v>
      </c>
      <c r="I57" t="str">
        <f t="shared" si="1"/>
        <v>0.120864803694923j</v>
      </c>
      <c r="J57" t="str">
        <f t="shared" si="2"/>
        <v>0.499930851947199-0.00587956162882439j</v>
      </c>
      <c r="K57">
        <f t="shared" si="3"/>
        <v>-6.0212005671699478</v>
      </c>
      <c r="L57">
        <f t="shared" si="4"/>
        <v>-0.67381025813941486</v>
      </c>
      <c r="M57">
        <f t="shared" si="5"/>
        <v>0.499930851947199</v>
      </c>
      <c r="N57">
        <f t="shared" si="6"/>
        <v>-5.8795616288243903E-3</v>
      </c>
    </row>
    <row r="58" spans="7:14" x14ac:dyDescent="0.25">
      <c r="G58">
        <v>-1.9</v>
      </c>
      <c r="H58">
        <f t="shared" si="0"/>
        <v>2.0142806588706666E-2</v>
      </c>
      <c r="I58" t="str">
        <f t="shared" si="1"/>
        <v>0.126560986403522j</v>
      </c>
      <c r="J58" t="str">
        <f t="shared" si="2"/>
        <v>0.499924181679409-0.00615657468710689j</v>
      </c>
      <c r="K58">
        <f t="shared" si="3"/>
        <v>-6.0212585127799869</v>
      </c>
      <c r="L58">
        <f t="shared" si="4"/>
        <v>-0.70556281921615727</v>
      </c>
      <c r="M58">
        <f t="shared" si="5"/>
        <v>0.499924181679409</v>
      </c>
      <c r="N58">
        <f t="shared" si="6"/>
        <v>-6.1565746871068902E-3</v>
      </c>
    </row>
    <row r="59" spans="7:14" x14ac:dyDescent="0.25">
      <c r="G59">
        <v>-1.88</v>
      </c>
      <c r="H59">
        <f t="shared" si="0"/>
        <v>2.109210781690252E-2</v>
      </c>
      <c r="I59" t="str">
        <f t="shared" si="1"/>
        <v>0.13252562193261j</v>
      </c>
      <c r="J59" t="str">
        <f t="shared" si="2"/>
        <v>0.499916868080793-0.00644663080125631j</v>
      </c>
      <c r="K59">
        <f t="shared" si="3"/>
        <v>-6.0213220479893614</v>
      </c>
      <c r="L59">
        <f t="shared" si="4"/>
        <v>-0.73881136754016918</v>
      </c>
      <c r="M59">
        <f t="shared" si="5"/>
        <v>0.499916868080793</v>
      </c>
      <c r="N59">
        <f t="shared" si="6"/>
        <v>-6.4466308012563096E-3</v>
      </c>
    </row>
    <row r="60" spans="7:14" x14ac:dyDescent="0.25">
      <c r="G60">
        <v>-1.86</v>
      </c>
      <c r="H60">
        <f t="shared" si="0"/>
        <v>2.2086148233646141E-2</v>
      </c>
      <c r="I60" t="str">
        <f t="shared" si="1"/>
        <v>0.138771362073836j</v>
      </c>
      <c r="J60" t="str">
        <f t="shared" si="2"/>
        <v>0.499908849125322-0.0067503428696021j</v>
      </c>
      <c r="K60">
        <f t="shared" si="3"/>
        <v>-6.0213917118928162</v>
      </c>
      <c r="L60">
        <f t="shared" si="4"/>
        <v>-0.77362633796428648</v>
      </c>
      <c r="M60">
        <f t="shared" si="5"/>
        <v>0.49990884912532202</v>
      </c>
      <c r="N60">
        <f t="shared" si="6"/>
        <v>-6.7503428696020999E-3</v>
      </c>
    </row>
    <row r="61" spans="7:14" x14ac:dyDescent="0.25">
      <c r="G61">
        <v>-1.84</v>
      </c>
      <c r="H61">
        <f t="shared" si="0"/>
        <v>2.3127036331934837E-2</v>
      </c>
      <c r="I61" t="str">
        <f t="shared" si="1"/>
        <v>0.145311454879421j</v>
      </c>
      <c r="J61" t="str">
        <f t="shared" si="2"/>
        <v>0.499900056811171-0.00706835240869267j</v>
      </c>
      <c r="K61">
        <f t="shared" si="3"/>
        <v>-6.0214680955596656</v>
      </c>
      <c r="L61">
        <f t="shared" si="4"/>
        <v>-0.8100814746367796</v>
      </c>
      <c r="M61">
        <f t="shared" si="5"/>
        <v>0.499900056811171</v>
      </c>
      <c r="N61">
        <f t="shared" si="6"/>
        <v>-7.06835240869267E-3</v>
      </c>
    </row>
    <row r="62" spans="7:14" x14ac:dyDescent="0.25">
      <c r="G62">
        <v>-1.82</v>
      </c>
      <c r="H62">
        <f t="shared" si="0"/>
        <v>2.4216979974979323E-2</v>
      </c>
      <c r="I62" t="str">
        <f t="shared" si="1"/>
        <v>0.152159772763052j</v>
      </c>
      <c r="J62" t="str">
        <f t="shared" si="2"/>
        <v>0.499890416585877-0.00740133086255026j</v>
      </c>
      <c r="K62">
        <f t="shared" si="3"/>
        <v>-6.0215518470408194</v>
      </c>
      <c r="L62">
        <f t="shared" si="4"/>
        <v>-0.84825398545396091</v>
      </c>
      <c r="M62">
        <f t="shared" si="5"/>
        <v>0.49989041658587702</v>
      </c>
      <c r="N62">
        <f t="shared" si="6"/>
        <v>-7.4013308625502598E-3</v>
      </c>
    </row>
    <row r="63" spans="7:14" x14ac:dyDescent="0.25">
      <c r="G63">
        <v>-1.8</v>
      </c>
      <c r="H63">
        <f t="shared" si="0"/>
        <v>2.5358291079377801E-2</v>
      </c>
      <c r="I63" t="str">
        <f t="shared" si="1"/>
        <v>0.15933084192513j</v>
      </c>
      <c r="J63" t="str">
        <f t="shared" si="2"/>
        <v>0.499879846716375-0.00774998096779214j</v>
      </c>
      <c r="K63">
        <f t="shared" si="3"/>
        <v>-6.021643676857483</v>
      </c>
      <c r="L63">
        <f t="shared" si="4"/>
        <v>-0.88822470356857075</v>
      </c>
      <c r="M63">
        <f t="shared" si="5"/>
        <v>0.49987984671637498</v>
      </c>
      <c r="N63">
        <f t="shared" si="6"/>
        <v>-7.7499809677921399E-3</v>
      </c>
    </row>
    <row r="64" spans="7:14" x14ac:dyDescent="0.25">
      <c r="G64">
        <v>-1.78</v>
      </c>
      <c r="H64">
        <f t="shared" si="0"/>
        <v>2.6553390519000949E-2</v>
      </c>
      <c r="I64" t="str">
        <f t="shared" si="1"/>
        <v>0.166839873164788j</v>
      </c>
      <c r="J64" t="str">
        <f t="shared" si="2"/>
        <v>0.499868257598671-0.00811503817638853j</v>
      </c>
      <c r="K64">
        <f t="shared" si="3"/>
        <v>-6.0217443640175308</v>
      </c>
      <c r="L64">
        <f t="shared" si="4"/>
        <v>-0.93007825625334983</v>
      </c>
      <c r="M64">
        <f t="shared" si="5"/>
        <v>0.49986825759867098</v>
      </c>
      <c r="N64">
        <f t="shared" si="6"/>
        <v>-8.1150381763885303E-3</v>
      </c>
    </row>
    <row r="65" spans="7:14" x14ac:dyDescent="0.25">
      <c r="G65">
        <v>-1.76</v>
      </c>
      <c r="H65">
        <f t="shared" si="0"/>
        <v>2.780481325999001E-2</v>
      </c>
      <c r="I65" t="str">
        <f t="shared" si="1"/>
        <v>0.174702794144041j</v>
      </c>
      <c r="J65" t="str">
        <f t="shared" si="2"/>
        <v>0.499855551001406-0.00849727213778607j</v>
      </c>
      <c r="K65">
        <f t="shared" si="3"/>
        <v>-6.0218547626102037</v>
      </c>
      <c r="L65">
        <f t="shared" si="4"/>
        <v>-0.97390324142866802</v>
      </c>
      <c r="M65">
        <f t="shared" si="5"/>
        <v>0.499855551001406</v>
      </c>
      <c r="N65">
        <f t="shared" si="6"/>
        <v>-8.4972721377860692E-3</v>
      </c>
    </row>
    <row r="66" spans="7:14" x14ac:dyDescent="0.25">
      <c r="G66">
        <v>-1.74</v>
      </c>
      <c r="H66">
        <f t="shared" si="0"/>
        <v>2.9115213737759729E-2</v>
      </c>
      <c r="I66" t="str">
        <f t="shared" si="1"/>
        <v>0.182936283172485j</v>
      </c>
      <c r="J66" t="str">
        <f t="shared" si="2"/>
        <v>0.499841619237033-0.00889748824205896j</v>
      </c>
      <c r="K66">
        <f t="shared" si="3"/>
        <v>-6.0219758090344699</v>
      </c>
      <c r="L66">
        <f t="shared" si="4"/>
        <v>-1.0197924121717357</v>
      </c>
      <c r="M66">
        <f t="shared" si="5"/>
        <v>0.49984161923703302</v>
      </c>
      <c r="N66">
        <f t="shared" si="6"/>
        <v>-8.89748824205896E-3</v>
      </c>
    </row>
    <row r="67" spans="7:14" x14ac:dyDescent="0.25">
      <c r="G67">
        <v>-1.72</v>
      </c>
      <c r="H67">
        <f t="shared" ref="H67:H130" si="7">$B$3*10^G67</f>
        <v>3.0487371487411943E-2</v>
      </c>
      <c r="I67" t="str">
        <f t="shared" si="1"/>
        <v>0.191557804584233j</v>
      </c>
      <c r="J67" t="str">
        <f t="shared" si="2"/>
        <v>0.499826344253738-0.00931652922566457j</v>
      </c>
      <c r="K67">
        <f t="shared" si="3"/>
        <v>-6.0221085299217894</v>
      </c>
      <c r="L67">
        <f t="shared" si="4"/>
        <v>-1.0678428695338309</v>
      </c>
      <c r="M67">
        <f t="shared" si="5"/>
        <v>0.49982634425373801</v>
      </c>
      <c r="N67">
        <f t="shared" si="6"/>
        <v>-9.3165292256645708E-3</v>
      </c>
    </row>
    <row r="68" spans="7:14" x14ac:dyDescent="0.25">
      <c r="G68">
        <v>-1.7</v>
      </c>
      <c r="H68">
        <f t="shared" si="7"/>
        <v>3.192419703950207E-2</v>
      </c>
      <c r="I68" t="str">
        <f t="shared" ref="I68:I131" si="8">COMPLEX(0,H68*2*PI(),"j")</f>
        <v>0.200585645782105j</v>
      </c>
      <c r="J68" t="str">
        <f t="shared" ref="J68:J131" si="9">IMDIV(0.5,IMSUM(1,IMPRODUCT(I68,$B$10*$B$11/2)))</f>
        <v>0.499809596640622-0.00975527684126112j</v>
      </c>
      <c r="K68">
        <f t="shared" ref="K68:K131" si="10">20*LOG(IMABS(J68))</f>
        <v>-6.0222540508192353</v>
      </c>
      <c r="L68">
        <f t="shared" ref="L68:L131" si="11">DEGREES(IMARGUMENT(J68))</f>
        <v>-1.1181562639996911</v>
      </c>
      <c r="M68">
        <f t="shared" ref="M68:M131" si="12">IMREAL(J68)</f>
        <v>0.49980959664062202</v>
      </c>
      <c r="N68">
        <f t="shared" ref="N68:N131" si="13">IMAGINARY(J68)</f>
        <v>-9.75527684126112E-3</v>
      </c>
    </row>
    <row r="69" spans="7:14" x14ac:dyDescent="0.25">
      <c r="G69">
        <v>-1.68</v>
      </c>
      <c r="H69">
        <f t="shared" si="7"/>
        <v>3.3428738093664617E-2</v>
      </c>
      <c r="I69" t="str">
        <f t="shared" si="8"/>
        <v>0.210038956027668j</v>
      </c>
      <c r="J69" t="str">
        <f t="shared" si="9"/>
        <v>0.499791234537918-0.0102146535928959j</v>
      </c>
      <c r="K69">
        <f t="shared" si="10"/>
        <v>-6.0224136057061983</v>
      </c>
      <c r="L69">
        <f t="shared" si="11"/>
        <v>-1.1708390059307627</v>
      </c>
      <c r="M69">
        <f t="shared" si="12"/>
        <v>0.49979123453791802</v>
      </c>
      <c r="N69">
        <f t="shared" si="13"/>
        <v>-1.02146535928959E-2</v>
      </c>
    </row>
    <row r="70" spans="7:14" x14ac:dyDescent="0.25">
      <c r="G70">
        <v>-1.66</v>
      </c>
      <c r="H70">
        <f t="shared" si="7"/>
        <v>3.500418598319284E-2</v>
      </c>
      <c r="I70" t="str">
        <f t="shared" si="8"/>
        <v>0.219937787059379j</v>
      </c>
      <c r="J70" t="str">
        <f t="shared" si="9"/>
        <v>0.499771102443315-0.0106956245376819j</v>
      </c>
      <c r="K70">
        <f t="shared" si="10"/>
        <v>-6.0225885474236467</v>
      </c>
      <c r="L70">
        <f t="shared" si="11"/>
        <v>-1.2260024853401754</v>
      </c>
      <c r="M70">
        <f t="shared" si="12"/>
        <v>0.49977110244331502</v>
      </c>
      <c r="N70">
        <f t="shared" si="13"/>
        <v>-1.06956245376819E-2</v>
      </c>
    </row>
    <row r="71" spans="7:14" x14ac:dyDescent="0.25">
      <c r="G71">
        <v>-1.64</v>
      </c>
      <c r="H71">
        <f t="shared" si="7"/>
        <v>3.6653882444284358E-2</v>
      </c>
      <c r="I71" t="str">
        <f t="shared" si="8"/>
        <v>0.230303135625015j</v>
      </c>
      <c r="J71" t="str">
        <f t="shared" si="9"/>
        <v>0.499749029904603-0.011199199154848j</v>
      </c>
      <c r="K71">
        <f t="shared" si="10"/>
        <v>-6.0227803591031792</v>
      </c>
      <c r="L71">
        <f t="shared" si="11"/>
        <v>-1.2837633013529242</v>
      </c>
      <c r="M71">
        <f t="shared" si="12"/>
        <v>0.49974902990460301</v>
      </c>
      <c r="N71">
        <f t="shared" si="13"/>
        <v>-1.1199199154848001E-2</v>
      </c>
    </row>
    <row r="72" spans="7:14" x14ac:dyDescent="0.25">
      <c r="G72">
        <v>-1.62</v>
      </c>
      <c r="H72">
        <f t="shared" si="7"/>
        <v>3.8381326704311831E-2</v>
      </c>
      <c r="I72" t="str">
        <f t="shared" si="8"/>
        <v>0.241156988018592j</v>
      </c>
      <c r="J72" t="str">
        <f t="shared" si="9"/>
        <v>0.499724830087969-0.0117264332827583j</v>
      </c>
      <c r="K72">
        <f t="shared" si="10"/>
        <v>-6.0229906666910065</v>
      </c>
      <c r="L72">
        <f t="shared" si="11"/>
        <v>-1.3442435017084451</v>
      </c>
      <c r="M72">
        <f t="shared" si="12"/>
        <v>0.49972483008796897</v>
      </c>
      <c r="N72">
        <f t="shared" si="13"/>
        <v>-1.1726433282758301E-2</v>
      </c>
    </row>
    <row r="73" spans="7:14" x14ac:dyDescent="0.25">
      <c r="G73">
        <v>-1.6</v>
      </c>
      <c r="H73">
        <f t="shared" si="7"/>
        <v>4.019018290415325E-2</v>
      </c>
      <c r="I73" t="str">
        <f t="shared" si="8"/>
        <v>0.252522366716236j</v>
      </c>
      <c r="J73" t="str">
        <f t="shared" si="9"/>
        <v>0.499698298210319-0.0122784311241471j</v>
      </c>
      <c r="K73">
        <f t="shared" si="10"/>
        <v>-6.0232212526707478</v>
      </c>
      <c r="L73">
        <f t="shared" si="11"/>
        <v>-1.4075708326649836</v>
      </c>
      <c r="M73">
        <f t="shared" si="12"/>
        <v>0.49969829821031903</v>
      </c>
      <c r="N73">
        <f t="shared" si="13"/>
        <v>-1.22784311241471E-2</v>
      </c>
    </row>
    <row r="74" spans="7:14" x14ac:dyDescent="0.25">
      <c r="G74">
        <v>-1.58</v>
      </c>
      <c r="H74">
        <f t="shared" si="7"/>
        <v>4.2084287870326087E-2</v>
      </c>
      <c r="I74" t="str">
        <f t="shared" si="8"/>
        <v>0.264423379209949j</v>
      </c>
      <c r="J74" t="str">
        <f t="shared" si="9"/>
        <v>0.499669209822923-0.0128563473193979j</v>
      </c>
      <c r="K74">
        <f t="shared" si="10"/>
        <v>-6.0234740710991144</v>
      </c>
      <c r="L74">
        <f t="shared" si="11"/>
        <v>-1.4738789996656709</v>
      </c>
      <c r="M74">
        <f t="shared" si="12"/>
        <v>0.49966920982292301</v>
      </c>
      <c r="N74">
        <f t="shared" si="13"/>
        <v>-1.2856347319397899E-2</v>
      </c>
    </row>
    <row r="75" spans="7:14" x14ac:dyDescent="0.25">
      <c r="G75">
        <v>-1.56</v>
      </c>
      <c r="H75">
        <f t="shared" si="7"/>
        <v>4.4067659253410635E-2</v>
      </c>
      <c r="I75" t="str">
        <f t="shared" si="8"/>
        <v>0.276885269142826j</v>
      </c>
      <c r="J75" t="str">
        <f t="shared" si="9"/>
        <v>0.499637318932573-0.0134613890871908j</v>
      </c>
      <c r="K75">
        <f t="shared" si="10"/>
        <v>-6.0237512640786086</v>
      </c>
      <c r="L75">
        <f t="shared" si="11"/>
        <v>-1.5433079391237376</v>
      </c>
      <c r="M75">
        <f t="shared" si="12"/>
        <v>0.49963731893257302</v>
      </c>
      <c r="N75">
        <f t="shared" si="13"/>
        <v>-1.34613890871908E-2</v>
      </c>
    </row>
    <row r="76" spans="7:14" x14ac:dyDescent="0.25">
      <c r="G76">
        <v>-1.54</v>
      </c>
      <c r="H76">
        <f t="shared" si="7"/>
        <v>4.6144504050025681E-2</v>
      </c>
      <c r="I76" t="str">
        <f t="shared" si="8"/>
        <v>0.28993446985421j</v>
      </c>
      <c r="J76" t="str">
        <f t="shared" si="9"/>
        <v>0.499602355945192-0.0140948184312454j</v>
      </c>
      <c r="K76">
        <f t="shared" si="10"/>
        <v>-6.0240551798032982</v>
      </c>
      <c r="L76">
        <f t="shared" si="11"/>
        <v>-1.6160041016792501</v>
      </c>
      <c r="M76">
        <f t="shared" si="12"/>
        <v>0.49960235594519198</v>
      </c>
      <c r="N76">
        <f t="shared" si="13"/>
        <v>-1.4094818431245401E-2</v>
      </c>
    </row>
    <row r="77" spans="7:14" x14ac:dyDescent="0.25">
      <c r="G77">
        <v>-1.52</v>
      </c>
      <c r="H77">
        <f t="shared" si="7"/>
        <v>4.8319227526432237E-2</v>
      </c>
      <c r="I77" t="str">
        <f t="shared" si="8"/>
        <v>0.303598660448346j</v>
      </c>
      <c r="J77" t="str">
        <f t="shared" si="9"/>
        <v>0.499564025415518-0.0147579544111824j</v>
      </c>
      <c r="K77">
        <f t="shared" si="10"/>
        <v>-6.0243883923261512</v>
      </c>
      <c r="L77">
        <f t="shared" si="11"/>
        <v>-1.6921207472714579</v>
      </c>
      <c r="M77">
        <f t="shared" si="12"/>
        <v>0.49956402541551798</v>
      </c>
      <c r="N77">
        <f t="shared" si="13"/>
        <v>-1.4757954411182401E-2</v>
      </c>
    </row>
    <row r="78" spans="7:14" x14ac:dyDescent="0.25">
      <c r="G78">
        <v>-1.5</v>
      </c>
      <c r="H78">
        <f t="shared" si="7"/>
        <v>5.0596442562694056E-2</v>
      </c>
      <c r="I78" t="str">
        <f t="shared" si="8"/>
        <v>0.317906824505475j</v>
      </c>
      <c r="J78" t="str">
        <f t="shared" si="9"/>
        <v>0.499522003585053-0.0154521754746914j</v>
      </c>
      <c r="K78">
        <f t="shared" si="10"/>
        <v>-6.0247537232100079</v>
      </c>
      <c r="L78">
        <f t="shared" si="11"/>
        <v>-1.771818252357888</v>
      </c>
      <c r="M78">
        <f t="shared" si="12"/>
        <v>0.499522003585053</v>
      </c>
      <c r="N78">
        <f t="shared" si="13"/>
        <v>-1.5452175474691399E-2</v>
      </c>
    </row>
    <row r="79" spans="7:14" x14ac:dyDescent="0.25">
      <c r="G79">
        <v>-1.48</v>
      </c>
      <c r="H79">
        <f t="shared" si="7"/>
        <v>5.2980979437214575E-2</v>
      </c>
      <c r="I79" t="str">
        <f t="shared" si="8"/>
        <v>0.33288931155989j</v>
      </c>
      <c r="J79" t="str">
        <f t="shared" si="9"/>
        <v>0.499475935688919-0.0161789218472185j</v>
      </c>
      <c r="K79">
        <f t="shared" si="10"/>
        <v>-6.0251542652394026</v>
      </c>
      <c r="L79">
        <f t="shared" si="11"/>
        <v>-1.8552644295943523</v>
      </c>
      <c r="M79">
        <f t="shared" si="12"/>
        <v>0.49947593568891901</v>
      </c>
      <c r="N79">
        <f t="shared" si="13"/>
        <v>-1.6178921847218499E-2</v>
      </c>
    </row>
    <row r="80" spans="7:14" x14ac:dyDescent="0.25">
      <c r="G80">
        <v>-1.46</v>
      </c>
      <c r="H80">
        <f t="shared" si="7"/>
        <v>5.5477896072405053E-2</v>
      </c>
      <c r="I80" t="str">
        <f t="shared" si="8"/>
        <v>0.348577901475371j</v>
      </c>
      <c r="J80" t="str">
        <f t="shared" si="9"/>
        <v>0.499425433010632-0.0169396979742423j</v>
      </c>
      <c r="K80">
        <f t="shared" si="10"/>
        <v>-6.0255934083862126</v>
      </c>
      <c r="L80">
        <f t="shared" si="11"/>
        <v>-1.9426348602668257</v>
      </c>
      <c r="M80">
        <f t="shared" si="12"/>
        <v>0.49942543301063202</v>
      </c>
      <c r="N80">
        <f t="shared" si="13"/>
        <v>-1.6939697974242302E-2</v>
      </c>
    </row>
    <row r="81" spans="7:14" x14ac:dyDescent="0.25">
      <c r="G81">
        <v>-1.44</v>
      </c>
      <c r="H81">
        <f t="shared" si="7"/>
        <v>5.809248876321621E-2</v>
      </c>
      <c r="I81" t="str">
        <f t="shared" si="8"/>
        <v>0.365005871854535j</v>
      </c>
      <c r="J81" t="str">
        <f t="shared" si="9"/>
        <v>0.499370069662027-0.0177360750098744j</v>
      </c>
      <c r="K81">
        <f t="shared" si="10"/>
        <v>-6.0260748682397853</v>
      </c>
      <c r="L81">
        <f t="shared" si="11"/>
        <v>-2.0341132397368402</v>
      </c>
      <c r="M81">
        <f t="shared" si="12"/>
        <v>0.49937006966202702</v>
      </c>
      <c r="N81">
        <f t="shared" si="13"/>
        <v>-1.77360750098744E-2</v>
      </c>
    </row>
    <row r="82" spans="7:14" x14ac:dyDescent="0.25">
      <c r="G82">
        <v>-1.42</v>
      </c>
      <c r="H82">
        <f t="shared" si="7"/>
        <v>6.0830303411289782E-2</v>
      </c>
      <c r="I82" t="str">
        <f t="shared" si="8"/>
        <v>0.382208068625092j</v>
      </c>
      <c r="J82" t="str">
        <f t="shared" si="9"/>
        <v>0.499309379063666-0.0185696933439694j</v>
      </c>
      <c r="K82">
        <f t="shared" si="10"/>
        <v>-6.0266027171313983</v>
      </c>
      <c r="L82">
        <f t="shared" si="11"/>
        <v>-2.1298917361250953</v>
      </c>
      <c r="M82">
        <f t="shared" si="12"/>
        <v>0.49930937906366601</v>
      </c>
      <c r="N82">
        <f t="shared" si="13"/>
        <v>-1.85696933439694E-2</v>
      </c>
    </row>
    <row r="83" spans="7:14" x14ac:dyDescent="0.25">
      <c r="G83">
        <v>-1.4</v>
      </c>
      <c r="H83">
        <f t="shared" si="7"/>
        <v>6.3697147288559561E-2</v>
      </c>
      <c r="I83" t="str">
        <f t="shared" si="8"/>
        <v>0.400220979952731j</v>
      </c>
      <c r="J83" t="str">
        <f t="shared" si="9"/>
        <v>0.499242850099097-0.0194422651581262j</v>
      </c>
      <c r="K83">
        <f t="shared" si="10"/>
        <v>-6.0271814182027681</v>
      </c>
      <c r="L83">
        <f t="shared" si="11"/>
        <v>-2.2301713624116695</v>
      </c>
      <c r="M83">
        <f t="shared" si="12"/>
        <v>0.49924285009909702</v>
      </c>
      <c r="N83">
        <f t="shared" si="13"/>
        <v>-1.94422651581262E-2</v>
      </c>
    </row>
    <row r="84" spans="7:14" x14ac:dyDescent="0.25">
      <c r="G84">
        <v>-1.38</v>
      </c>
      <c r="H84">
        <f t="shared" si="7"/>
        <v>6.6699101355253657E-2</v>
      </c>
      <c r="I84" t="str">
        <f t="shared" si="8"/>
        <v>0.419082813637412j</v>
      </c>
      <c r="J84" t="str">
        <f t="shared" si="9"/>
        <v>0.499169922914148-0.0203555769988814j</v>
      </c>
      <c r="K84">
        <f t="shared" si="10"/>
        <v>-6.0278158626913907</v>
      </c>
      <c r="L84">
        <f t="shared" si="11"/>
        <v>-2.3351623620757938</v>
      </c>
      <c r="M84">
        <f t="shared" si="12"/>
        <v>0.49916992291414802</v>
      </c>
      <c r="N84">
        <f t="shared" si="13"/>
        <v>-2.0355576998881401E-2</v>
      </c>
    </row>
    <row r="85" spans="7:14" x14ac:dyDescent="0.25">
      <c r="G85">
        <v>-1.36</v>
      </c>
      <c r="H85">
        <f t="shared" si="7"/>
        <v>6.9842533158426534E-2</v>
      </c>
      <c r="I85" t="str">
        <f t="shared" si="8"/>
        <v>0.438833578157229j</v>
      </c>
      <c r="J85" t="str">
        <f t="shared" si="9"/>
        <v>0.499089984330254-0.0213114923539819j</v>
      </c>
      <c r="K85">
        <f t="shared" si="10"/>
        <v>-6.0285114107285001</v>
      </c>
      <c r="L85">
        <f t="shared" si="11"/>
        <v>-2.4450846083295188</v>
      </c>
      <c r="M85">
        <f t="shared" si="12"/>
        <v>0.49908998433025398</v>
      </c>
      <c r="N85">
        <f t="shared" si="13"/>
        <v>-2.1311492353981901E-2</v>
      </c>
    </row>
    <row r="86" spans="7:14" x14ac:dyDescent="0.25">
      <c r="G86">
        <v>-1.34</v>
      </c>
      <c r="H86">
        <f t="shared" si="7"/>
        <v>7.3134110338379965E-2</v>
      </c>
      <c r="I86" t="str">
        <f t="shared" si="8"/>
        <v>0.45951516753176j</v>
      </c>
      <c r="J86" t="str">
        <f t="shared" si="9"/>
        <v>0.499002362838417-0.0223119542148479j</v>
      </c>
      <c r="K86">
        <f t="shared" si="10"/>
        <v>-6.0292739359719105</v>
      </c>
      <c r="L86">
        <f t="shared" si="11"/>
        <v>-2.5601680169184622</v>
      </c>
      <c r="M86">
        <f t="shared" si="12"/>
        <v>0.49900236283841698</v>
      </c>
      <c r="N86">
        <f t="shared" si="13"/>
        <v>-2.2311954214847898E-2</v>
      </c>
    </row>
    <row r="87" spans="7:14" x14ac:dyDescent="0.25">
      <c r="G87">
        <v>-1.32</v>
      </c>
      <c r="H87">
        <f t="shared" si="7"/>
        <v>7.6580814771622124E-2</v>
      </c>
      <c r="I87" t="str">
        <f t="shared" si="8"/>
        <v>0.481171450184898j</v>
      </c>
      <c r="J87" t="str">
        <f t="shared" si="9"/>
        <v>0.498906323137969-0.0233589876051373j</v>
      </c>
      <c r="K87">
        <f t="shared" si="10"/>
        <v>-6.0301098744232595</v>
      </c>
      <c r="L87">
        <f t="shared" si="11"/>
        <v>-2.6806529723651056</v>
      </c>
      <c r="M87">
        <f t="shared" si="12"/>
        <v>0.49890632313796901</v>
      </c>
      <c r="N87">
        <f t="shared" si="13"/>
        <v>-2.3358987605137299E-2</v>
      </c>
    </row>
    <row r="88" spans="7:14" x14ac:dyDescent="0.25">
      <c r="G88">
        <v>-1.3</v>
      </c>
      <c r="H88">
        <f t="shared" si="7"/>
        <v>8.0189957380363538E-2</v>
      </c>
      <c r="I88" t="str">
        <f t="shared" si="8"/>
        <v>0.503848361995657j</v>
      </c>
      <c r="J88" t="str">
        <f t="shared" si="9"/>
        <v>0.498801060181754-0.0244547020516505j</v>
      </c>
      <c r="K88">
        <f t="shared" si="10"/>
        <v>-6.0310262778090014</v>
      </c>
      <c r="L88">
        <f t="shared" si="11"/>
        <v>-2.8067907674148582</v>
      </c>
      <c r="M88">
        <f t="shared" si="12"/>
        <v>0.49880106018175402</v>
      </c>
      <c r="N88">
        <f t="shared" si="13"/>
        <v>-2.4454702051650502E-2</v>
      </c>
    </row>
    <row r="89" spans="7:14" x14ac:dyDescent="0.25">
      <c r="G89">
        <v>-1.28</v>
      </c>
      <c r="H89">
        <f t="shared" si="7"/>
        <v>8.3969193639963594E-2</v>
      </c>
      <c r="I89" t="str">
        <f t="shared" si="8"/>
        <v>0.527594003734337j</v>
      </c>
      <c r="J89" t="str">
        <f t="shared" si="9"/>
        <v>0.498685692686737-0.0256012939696027j</v>
      </c>
      <c r="K89">
        <f t="shared" si="10"/>
        <v>-6.0320308719363105</v>
      </c>
      <c r="L89">
        <f t="shared" si="11"/>
        <v>-2.9388440553088868</v>
      </c>
      <c r="M89">
        <f t="shared" si="12"/>
        <v>0.49868569268673701</v>
      </c>
      <c r="N89">
        <f t="shared" si="13"/>
        <v>-2.5601293969602701E-2</v>
      </c>
    </row>
    <row r="90" spans="7:14" x14ac:dyDescent="0.25">
      <c r="G90">
        <v>-1.26</v>
      </c>
      <c r="H90">
        <f t="shared" si="7"/>
        <v>8.7926539817219901E-2</v>
      </c>
      <c r="I90" t="str">
        <f t="shared" si="8"/>
        <v>0.552458743090697j</v>
      </c>
      <c r="J90" t="str">
        <f t="shared" si="9"/>
        <v>0.498559256066396-0.026801048929468j</v>
      </c>
      <c r="K90">
        <f t="shared" si="10"/>
        <v>-6.0331321204688333</v>
      </c>
      <c r="L90">
        <f t="shared" si="11"/>
        <v>-3.0770873143473105</v>
      </c>
      <c r="M90">
        <f t="shared" si="12"/>
        <v>0.49855925606639601</v>
      </c>
      <c r="N90">
        <f t="shared" si="13"/>
        <v>-2.6801048929468E-2</v>
      </c>
    </row>
    <row r="91" spans="7:14" x14ac:dyDescent="0.25">
      <c r="G91">
        <v>-1.24</v>
      </c>
      <c r="H91">
        <f t="shared" si="7"/>
        <v>9.2070389973945108E-2</v>
      </c>
      <c r="I91" t="str">
        <f t="shared" si="8"/>
        <v>0.578495321510587j</v>
      </c>
      <c r="J91" t="str">
        <f t="shared" si="9"/>
        <v>0.498420694738627-0.0280563437670996j</v>
      </c>
      <c r="K91">
        <f t="shared" si="10"/>
        <v>-6.0343392946029626</v>
      </c>
      <c r="L91">
        <f t="shared" si="11"/>
        <v>-3.2218073240195806</v>
      </c>
      <c r="M91">
        <f t="shared" si="12"/>
        <v>0.49842069473862699</v>
      </c>
      <c r="N91">
        <f t="shared" si="13"/>
        <v>-2.80563437670996E-2</v>
      </c>
    </row>
    <row r="92" spans="7:14" x14ac:dyDescent="0.25">
      <c r="G92">
        <v>-1.22</v>
      </c>
      <c r="H92">
        <f t="shared" si="7"/>
        <v>9.6409533771897205E-2</v>
      </c>
      <c r="I92" t="str">
        <f t="shared" si="8"/>
        <v>0.605758966067619j</v>
      </c>
      <c r="J92" t="str">
        <f t="shared" si="9"/>
        <v>0.498268853760241-0.0293696484925493j</v>
      </c>
      <c r="K92">
        <f t="shared" si="10"/>
        <v>-6.0356625491640106</v>
      </c>
      <c r="L92">
        <f t="shared" si="11"/>
        <v>-3.3733036517600952</v>
      </c>
      <c r="M92">
        <f t="shared" si="12"/>
        <v>0.49826885376024099</v>
      </c>
      <c r="N92">
        <f t="shared" si="13"/>
        <v>-2.9369648492549302E-2</v>
      </c>
    </row>
    <row r="93" spans="7:14" x14ac:dyDescent="0.25">
      <c r="G93">
        <v>-1.2</v>
      </c>
      <c r="H93">
        <f t="shared" si="7"/>
        <v>0.10095317511683091</v>
      </c>
      <c r="I93" t="str">
        <f t="shared" si="8"/>
        <v>0.6343075066072j</v>
      </c>
      <c r="J93" t="str">
        <f t="shared" si="9"/>
        <v>0.498102469736682-0.0307435279458777j</v>
      </c>
      <c r="K93">
        <f t="shared" si="10"/>
        <v>-6.0371130056810909</v>
      </c>
      <c r="L93">
        <f t="shared" si="11"/>
        <v>-3.5318891491339257</v>
      </c>
      <c r="M93">
        <f t="shared" si="12"/>
        <v>0.49810246973668199</v>
      </c>
      <c r="N93">
        <f t="shared" si="13"/>
        <v>-3.0743527945877699E-2</v>
      </c>
    </row>
    <row r="94" spans="7:14" x14ac:dyDescent="0.25">
      <c r="G94">
        <v>-1.18</v>
      </c>
      <c r="H94">
        <f t="shared" si="7"/>
        <v>0.10571095168121535</v>
      </c>
      <c r="I94" t="str">
        <f t="shared" si="8"/>
        <v>0.664201498411383j</v>
      </c>
      <c r="J94" t="str">
        <f t="shared" si="9"/>
        <v>0.497920160953253-0.0321806431401389j</v>
      </c>
      <c r="K94">
        <f t="shared" si="10"/>
        <v>-6.0387028430420209</v>
      </c>
      <c r="L94">
        <f t="shared" si="11"/>
        <v>-3.6978904559631656</v>
      </c>
      <c r="M94">
        <f t="shared" si="12"/>
        <v>0.49792016095325298</v>
      </c>
      <c r="N94">
        <f t="shared" si="13"/>
        <v>-3.2180643140138902E-2</v>
      </c>
    </row>
    <row r="95" spans="7:14" x14ac:dyDescent="0.25">
      <c r="G95">
        <v>-1.1599999999999999</v>
      </c>
      <c r="H95">
        <f t="shared" si="7"/>
        <v>0.11069295534702983</v>
      </c>
      <c r="I95" t="str">
        <f t="shared" si="8"/>
        <v>0.695504350644744j</v>
      </c>
      <c r="J95" t="str">
        <f t="shared" si="9"/>
        <v>0.497720416672122-0.0336837522225531j</v>
      </c>
      <c r="K95">
        <f t="shared" si="10"/>
        <v>-6.0404453963730118</v>
      </c>
      <c r="L95">
        <f t="shared" si="11"/>
        <v>-3.8716485105654703</v>
      </c>
      <c r="M95">
        <f t="shared" si="12"/>
        <v>0.49772041667212202</v>
      </c>
      <c r="N95">
        <f t="shared" si="13"/>
        <v>-3.3683752222553098E-2</v>
      </c>
    </row>
    <row r="96" spans="7:14" x14ac:dyDescent="0.25">
      <c r="G96">
        <v>-1.1399999999999999</v>
      </c>
      <c r="H96">
        <f t="shared" si="7"/>
        <v>0.11590975361199839</v>
      </c>
      <c r="I96" t="str">
        <f t="shared" si="8"/>
        <v>0.728282460853714j</v>
      </c>
      <c r="J96" t="str">
        <f t="shared" si="9"/>
        <v>0.497501585537712-0.035255710974514j</v>
      </c>
      <c r="K96">
        <f t="shared" si="10"/>
        <v>-6.042355264833791</v>
      </c>
      <c r="L96">
        <f t="shared" si="11"/>
        <v>-4.053519063885469</v>
      </c>
      <c r="M96">
        <f t="shared" si="12"/>
        <v>0.49750158553771201</v>
      </c>
      <c r="N96">
        <f t="shared" si="13"/>
        <v>-3.5255710974514E-2</v>
      </c>
    </row>
    <row r="97" spans="7:14" x14ac:dyDescent="0.25">
      <c r="G97">
        <v>-1.1200000000000001</v>
      </c>
      <c r="H97">
        <f t="shared" si="7"/>
        <v>0.12137241200466937</v>
      </c>
      <c r="I97" t="str">
        <f t="shared" si="8"/>
        <v>0.762605355804686j</v>
      </c>
      <c r="J97" t="str">
        <f t="shared" si="9"/>
        <v>0.497261863032045-0.0368994727594041j</v>
      </c>
      <c r="K97">
        <f t="shared" si="10"/>
        <v>-6.0444484290642277</v>
      </c>
      <c r="L97">
        <f t="shared" si="11"/>
        <v>-4.243873194850547</v>
      </c>
      <c r="M97">
        <f t="shared" si="12"/>
        <v>0.497261863032045</v>
      </c>
      <c r="N97">
        <f t="shared" si="13"/>
        <v>-3.6899472759404098E-2</v>
      </c>
    </row>
    <row r="98" spans="7:14" x14ac:dyDescent="0.25">
      <c r="G98">
        <v>-1.1000000000000001</v>
      </c>
      <c r="H98">
        <f t="shared" si="7"/>
        <v>0.12709251755588497</v>
      </c>
      <c r="I98" t="str">
        <f t="shared" si="8"/>
        <v>0.7985458389596j</v>
      </c>
      <c r="J98" t="str">
        <f t="shared" si="9"/>
        <v>0.496999277921181-0.0386180878140705j</v>
      </c>
      <c r="K98">
        <f t="shared" si="10"/>
        <v>-6.0467423790665382</v>
      </c>
      <c r="L98">
        <f t="shared" si="11"/>
        <v>-4.4430978237682188</v>
      </c>
      <c r="M98">
        <f t="shared" si="12"/>
        <v>0.49699927792118098</v>
      </c>
      <c r="N98">
        <f t="shared" si="13"/>
        <v>-3.8618087814070501E-2</v>
      </c>
    </row>
    <row r="99" spans="7:14" x14ac:dyDescent="0.25">
      <c r="G99">
        <v>-1.08</v>
      </c>
      <c r="H99">
        <f t="shared" si="7"/>
        <v>0.13308220337642734</v>
      </c>
      <c r="I99" t="str">
        <f t="shared" si="8"/>
        <v>0.836180144901854j</v>
      </c>
      <c r="J99" t="str">
        <f t="shared" si="9"/>
        <v>0.496711677634511-0.0404147017651368j</v>
      </c>
      <c r="K99">
        <f t="shared" si="10"/>
        <v>-6.0492562533532999</v>
      </c>
      <c r="L99">
        <f t="shared" si="11"/>
        <v>-4.651596219995187</v>
      </c>
      <c r="M99">
        <f t="shared" si="12"/>
        <v>0.49671167763451102</v>
      </c>
      <c r="N99">
        <f t="shared" si="13"/>
        <v>-4.0414701765136798E-2</v>
      </c>
    </row>
    <row r="100" spans="7:14" x14ac:dyDescent="0.25">
      <c r="G100">
        <v>-1.06</v>
      </c>
      <c r="H100">
        <f t="shared" si="7"/>
        <v>0.13935417439297282</v>
      </c>
      <c r="I100" t="str">
        <f t="shared" si="8"/>
        <v>0.875588101040069j</v>
      </c>
      <c r="J100" t="str">
        <f t="shared" si="9"/>
        <v>0.49639671252042-0.0422925532349318j</v>
      </c>
      <c r="K100">
        <f t="shared" si="10"/>
        <v>-6.0520109902376884</v>
      </c>
      <c r="L100">
        <f t="shared" si="11"/>
        <v>-4.8697884994376395</v>
      </c>
      <c r="M100">
        <f t="shared" si="12"/>
        <v>0.49639671252042</v>
      </c>
      <c r="N100">
        <f t="shared" si="13"/>
        <v>-4.22925532349318E-2</v>
      </c>
    </row>
    <row r="101" spans="7:14" x14ac:dyDescent="0.25">
      <c r="G101">
        <v>-1.04</v>
      </c>
      <c r="H101">
        <f t="shared" si="7"/>
        <v>0.14592173429694552</v>
      </c>
      <c r="I101" t="str">
        <f t="shared" si="8"/>
        <v>0.916853296932732j</v>
      </c>
      <c r="J101" t="str">
        <f t="shared" si="9"/>
        <v>0.496051818925089-0.0442549703836193j</v>
      </c>
      <c r="K101">
        <f t="shared" si="10"/>
        <v>-6.0550294921867582</v>
      </c>
      <c r="L101">
        <f t="shared" si="11"/>
        <v>-5.0981121066828337</v>
      </c>
      <c r="M101">
        <f t="shared" si="12"/>
        <v>0.49605181892508898</v>
      </c>
      <c r="N101">
        <f t="shared" si="13"/>
        <v>-4.4254970383619301E-2</v>
      </c>
    </row>
    <row r="102" spans="7:14" x14ac:dyDescent="0.25">
      <c r="G102">
        <v>-1.02</v>
      </c>
      <c r="H102">
        <f t="shared" si="7"/>
        <v>0.15279881376342971</v>
      </c>
      <c r="I102" t="str">
        <f t="shared" si="8"/>
        <v>0.960063261592851j</v>
      </c>
      <c r="J102" t="str">
        <f t="shared" si="9"/>
        <v>0.495674201046407-0.0463053662139662j</v>
      </c>
      <c r="K102">
        <f t="shared" si="10"/>
        <v>-6.0583368041983965</v>
      </c>
      <c r="L102">
        <f t="shared" si="11"/>
        <v>-5.3370222756990078</v>
      </c>
      <c r="M102">
        <f t="shared" si="12"/>
        <v>0.49567420104640703</v>
      </c>
      <c r="N102">
        <f t="shared" si="13"/>
        <v>-4.63053662139662E-2</v>
      </c>
    </row>
    <row r="103" spans="7:14" x14ac:dyDescent="0.25">
      <c r="G103">
        <v>-1</v>
      </c>
      <c r="H103">
        <f t="shared" si="7"/>
        <v>0.16000000000000003</v>
      </c>
      <c r="I103" t="str">
        <f t="shared" si="8"/>
        <v>1.00530964914873j</v>
      </c>
      <c r="J103" t="str">
        <f t="shared" si="9"/>
        <v>0.49526081152237-0.0484472324430249j</v>
      </c>
      <c r="K103">
        <f t="shared" si="10"/>
        <v>-6.0619603071991683</v>
      </c>
      <c r="L103">
        <f t="shared" si="11"/>
        <v>-5.5869924620679958</v>
      </c>
      <c r="M103">
        <f t="shared" si="12"/>
        <v>0.49526081152237</v>
      </c>
      <c r="N103">
        <f t="shared" si="13"/>
        <v>-4.8447232443024901E-2</v>
      </c>
    </row>
    <row r="104" spans="7:14" x14ac:dyDescent="0.25">
      <c r="G104">
        <v>-0.98</v>
      </c>
      <c r="H104">
        <f t="shared" si="7"/>
        <v>0.16754056768814396</v>
      </c>
      <c r="I104" t="str">
        <f t="shared" si="8"/>
        <v>1.05268843325467j</v>
      </c>
      <c r="J104" t="str">
        <f t="shared" si="9"/>
        <v>0.494808330723677-0.0506841317207556j</v>
      </c>
      <c r="K104">
        <f t="shared" si="10"/>
        <v>-6.0659299274880123</v>
      </c>
      <c r="L104">
        <f t="shared" si="11"/>
        <v>-5.8485147386184062</v>
      </c>
      <c r="M104">
        <f t="shared" si="12"/>
        <v>0.49480833072367703</v>
      </c>
      <c r="N104">
        <f t="shared" si="13"/>
        <v>-5.0684131720755601E-2</v>
      </c>
    </row>
    <row r="105" spans="7:14" x14ac:dyDescent="0.25">
      <c r="G105">
        <v>-0.96</v>
      </c>
      <c r="H105">
        <f t="shared" si="7"/>
        <v>0.17543651138290961</v>
      </c>
      <c r="I105" t="str">
        <f t="shared" si="8"/>
        <v>1.10230011066394j</v>
      </c>
      <c r="J105" t="str">
        <f t="shared" si="9"/>
        <v>0.49431314473389-0.053019687949266j</v>
      </c>
      <c r="K105">
        <f t="shared" si="10"/>
        <v>-6.0702783632703294</v>
      </c>
      <c r="L105">
        <f t="shared" si="11"/>
        <v>-6.1221001450981483</v>
      </c>
      <c r="M105">
        <f t="shared" si="12"/>
        <v>0.49431314473388999</v>
      </c>
      <c r="N105">
        <f t="shared" si="13"/>
        <v>-5.3019687949266002E-2</v>
      </c>
    </row>
    <row r="106" spans="7:14" x14ac:dyDescent="0.25">
      <c r="G106">
        <v>-0.94</v>
      </c>
      <c r="H106">
        <f t="shared" si="7"/>
        <v>0.18370457943950128</v>
      </c>
      <c r="I106" t="str">
        <f t="shared" si="8"/>
        <v>1.15424991439588j</v>
      </c>
      <c r="J106" t="str">
        <f t="shared" si="9"/>
        <v>0.493771322018338-0.0554575744279504j</v>
      </c>
      <c r="K106">
        <f t="shared" si="10"/>
        <v>-6.0750413293332084</v>
      </c>
      <c r="L106">
        <f t="shared" si="11"/>
        <v>-6.408278981151259</v>
      </c>
      <c r="M106">
        <f t="shared" si="12"/>
        <v>0.49377132201833801</v>
      </c>
      <c r="N106">
        <f t="shared" si="13"/>
        <v>-5.54575744279504E-2</v>
      </c>
    </row>
    <row r="107" spans="7:14" x14ac:dyDescent="0.25">
      <c r="G107">
        <v>-0.92</v>
      </c>
      <c r="H107">
        <f t="shared" si="7"/>
        <v>0.19236230953878608</v>
      </c>
      <c r="I107" t="str">
        <f t="shared" si="8"/>
        <v>1.20864803694923j</v>
      </c>
      <c r="J107" t="str">
        <f t="shared" si="9"/>
        <v>0.493178588805616-0.0580014995194878j</v>
      </c>
      <c r="K107">
        <f t="shared" si="10"/>
        <v>-6.0802578209028804</v>
      </c>
      <c r="L107">
        <f t="shared" si="11"/>
        <v>-6.7076010303345166</v>
      </c>
      <c r="M107">
        <f t="shared" si="12"/>
        <v>0.49317858880561599</v>
      </c>
      <c r="N107">
        <f t="shared" si="13"/>
        <v>-5.8001499519487798E-2</v>
      </c>
    </row>
    <row r="108" spans="7:14" x14ac:dyDescent="0.25">
      <c r="G108">
        <v>-0.9</v>
      </c>
      <c r="H108">
        <f t="shared" si="7"/>
        <v>0.20142806588706669</v>
      </c>
      <c r="I108" t="str">
        <f t="shared" si="8"/>
        <v>1.26560986403522j</v>
      </c>
      <c r="J108" t="str">
        <f t="shared" si="9"/>
        <v>0.492530303233965-0.0606551894996721j</v>
      </c>
      <c r="K108">
        <f t="shared" si="10"/>
        <v>-6.0859703976957533</v>
      </c>
      <c r="L108">
        <f t="shared" si="11"/>
        <v>-7.0206357012164471</v>
      </c>
      <c r="M108">
        <f t="shared" si="12"/>
        <v>0.49253030323396502</v>
      </c>
      <c r="N108">
        <f t="shared" si="13"/>
        <v>-6.0655189499672101E-2</v>
      </c>
    </row>
    <row r="109" spans="7:14" x14ac:dyDescent="0.25">
      <c r="G109">
        <v>-0.88</v>
      </c>
      <c r="H109">
        <f t="shared" si="7"/>
        <v>0.21092107816902514</v>
      </c>
      <c r="I109" t="str">
        <f t="shared" si="8"/>
        <v>1.3252562193261j</v>
      </c>
      <c r="J109" t="str">
        <f t="shared" si="9"/>
        <v>0.491821428350072-0.0634223682207707j</v>
      </c>
      <c r="K109">
        <f t="shared" si="10"/>
        <v>-6.0922254891183867</v>
      </c>
      <c r="L109">
        <f t="shared" si="11"/>
        <v>-7.3479720697350821</v>
      </c>
      <c r="M109">
        <f t="shared" si="12"/>
        <v>0.49182142835007198</v>
      </c>
      <c r="N109">
        <f t="shared" si="13"/>
        <v>-6.34223682207707E-2</v>
      </c>
    </row>
    <row r="110" spans="7:14" x14ac:dyDescent="0.25">
      <c r="G110">
        <v>-0.86</v>
      </c>
      <c r="H110">
        <f t="shared" si="7"/>
        <v>0.22086148233646152</v>
      </c>
      <c r="I110" t="str">
        <f t="shared" si="8"/>
        <v>1.38771362073836j</v>
      </c>
      <c r="J110" t="str">
        <f t="shared" si="9"/>
        <v>0.491046504090913-0.0663067331841162j</v>
      </c>
      <c r="K110">
        <f t="shared" si="10"/>
        <v>-6.0990737214855715</v>
      </c>
      <c r="L110">
        <f t="shared" si="11"/>
        <v>-7.6902188049471976</v>
      </c>
      <c r="M110">
        <f t="shared" si="12"/>
        <v>0.49104650409091299</v>
      </c>
      <c r="N110">
        <f t="shared" si="13"/>
        <v>-6.6306733184116201E-2</v>
      </c>
    </row>
    <row r="111" spans="7:14" x14ac:dyDescent="0.25">
      <c r="G111">
        <v>-0.84</v>
      </c>
      <c r="H111">
        <f t="shared" si="7"/>
        <v>0.23127036331934836</v>
      </c>
      <c r="I111" t="str">
        <f t="shared" si="8"/>
        <v>1.45311454879421j</v>
      </c>
      <c r="J111" t="str">
        <f t="shared" si="9"/>
        <v>0.490199618431475-0.0693119275837401j</v>
      </c>
      <c r="K111">
        <f t="shared" si="10"/>
        <v>-6.1065702680008354</v>
      </c>
      <c r="L111">
        <f t="shared" si="11"/>
        <v>-8.0480039580790912</v>
      </c>
      <c r="M111">
        <f t="shared" si="12"/>
        <v>0.49019961843147503</v>
      </c>
      <c r="N111">
        <f t="shared" si="13"/>
        <v>-6.9311927583740093E-2</v>
      </c>
    </row>
    <row r="112" spans="7:14" x14ac:dyDescent="0.25">
      <c r="G112">
        <v>-0.82</v>
      </c>
      <c r="H112">
        <f t="shared" si="7"/>
        <v>0.24216979974979327</v>
      </c>
      <c r="I112" t="str">
        <f t="shared" si="8"/>
        <v>1.52159772763052j</v>
      </c>
      <c r="J112" t="str">
        <f t="shared" si="9"/>
        <v>0.489274377943817-0.072441507850122j</v>
      </c>
      <c r="K112">
        <f t="shared" si="10"/>
        <v>-6.1147752220727263</v>
      </c>
      <c r="L112">
        <f t="shared" si="11"/>
        <v>-8.4219745923879845</v>
      </c>
      <c r="M112">
        <f t="shared" si="12"/>
        <v>0.48927437794381701</v>
      </c>
      <c r="N112">
        <f t="shared" si="13"/>
        <v>-7.2441507850122003E-2</v>
      </c>
    </row>
    <row r="113" spans="7:14" x14ac:dyDescent="0.25">
      <c r="G113">
        <v>-0.8</v>
      </c>
      <c r="H113">
        <f t="shared" si="7"/>
        <v>0.25358291079377809</v>
      </c>
      <c r="I113" t="str">
        <f t="shared" si="8"/>
        <v>1.5933084192513j</v>
      </c>
      <c r="J113" t="str">
        <f t="shared" si="9"/>
        <v>0.488263878087258-0.0756989061930245j</v>
      </c>
      <c r="K113">
        <f t="shared" si="10"/>
        <v>-6.1237539943156776</v>
      </c>
      <c r="L113">
        <f t="shared" si="11"/>
        <v>-8.8127962287790602</v>
      </c>
      <c r="M113">
        <f t="shared" si="12"/>
        <v>0.48826387808725802</v>
      </c>
      <c r="N113">
        <f t="shared" si="13"/>
        <v>-7.5698906193024496E-2</v>
      </c>
    </row>
    <row r="114" spans="7:14" x14ac:dyDescent="0.25">
      <c r="G114">
        <v>-0.78</v>
      </c>
      <c r="H114">
        <f t="shared" si="7"/>
        <v>0.26553390519000958</v>
      </c>
      <c r="I114" t="str">
        <f t="shared" si="8"/>
        <v>1.66839873164789j</v>
      </c>
      <c r="J114" t="str">
        <f t="shared" si="9"/>
        <v>0.487160673637018-0.0790873876167105j</v>
      </c>
      <c r="K114">
        <f t="shared" si="10"/>
        <v>-6.1335777332935848</v>
      </c>
      <c r="L114">
        <f t="shared" si="11"/>
        <v>-9.2211520794069433</v>
      </c>
      <c r="M114">
        <f t="shared" si="12"/>
        <v>0.48716067363701798</v>
      </c>
      <c r="N114">
        <f t="shared" si="13"/>
        <v>-7.9087387616710497E-2</v>
      </c>
    </row>
    <row r="115" spans="7:14" x14ac:dyDescent="0.25">
      <c r="G115">
        <v>-0.76</v>
      </c>
      <c r="H115">
        <f t="shared" si="7"/>
        <v>0.27804813259989997</v>
      </c>
      <c r="I115" t="str">
        <f t="shared" si="8"/>
        <v>1.74702794144041j</v>
      </c>
      <c r="J115" t="str">
        <f t="shared" si="9"/>
        <v>0.48595674976059-0.0826100008619914j</v>
      </c>
      <c r="K115">
        <f t="shared" si="10"/>
        <v>-6.1443237696990263</v>
      </c>
      <c r="L115">
        <f t="shared" si="11"/>
        <v>-9.6477420386593113</v>
      </c>
      <c r="M115">
        <f t="shared" si="12"/>
        <v>0.48595674976059</v>
      </c>
      <c r="N115">
        <f t="shared" si="13"/>
        <v>-8.2610000861991398E-2</v>
      </c>
    </row>
    <row r="116" spans="7:14" x14ac:dyDescent="0.25">
      <c r="G116">
        <v>-0.74</v>
      </c>
      <c r="H116">
        <f t="shared" si="7"/>
        <v>0.29115213737759732</v>
      </c>
      <c r="I116" t="str">
        <f t="shared" si="8"/>
        <v>1.82936283172485j</v>
      </c>
      <c r="J116" t="str">
        <f t="shared" si="9"/>
        <v>0.484643494368789-0.0862695227203919j</v>
      </c>
      <c r="K116">
        <f t="shared" si="10"/>
        <v>-6.1560760832076875</v>
      </c>
      <c r="L116">
        <f t="shared" si="11"/>
        <v>-10.093281398011145</v>
      </c>
      <c r="M116">
        <f t="shared" si="12"/>
        <v>0.48464349436878901</v>
      </c>
      <c r="N116">
        <f t="shared" si="13"/>
        <v>-8.62695227203919E-2</v>
      </c>
    </row>
    <row r="117" spans="7:14" x14ac:dyDescent="0.25">
      <c r="G117">
        <v>-0.72</v>
      </c>
      <c r="H117">
        <f t="shared" si="7"/>
        <v>0.30487371487411957</v>
      </c>
      <c r="I117" t="str">
        <f t="shared" si="8"/>
        <v>1.91557804584233j</v>
      </c>
      <c r="J117" t="str">
        <f t="shared" si="9"/>
        <v>0.48321167250275-0.0900683951698381j</v>
      </c>
      <c r="K117">
        <f t="shared" si="10"/>
        <v>-6.1689257906931108</v>
      </c>
      <c r="L117">
        <f t="shared" si="11"/>
        <v>-10.558499248314789</v>
      </c>
      <c r="M117">
        <f t="shared" si="12"/>
        <v>0.48321167250274999</v>
      </c>
      <c r="N117">
        <f t="shared" si="13"/>
        <v>-9.0068395169838097E-2</v>
      </c>
    </row>
    <row r="118" spans="7:14" x14ac:dyDescent="0.25">
      <c r="G118">
        <v>-0.7</v>
      </c>
      <c r="H118">
        <f t="shared" si="7"/>
        <v>0.31924197039502072</v>
      </c>
      <c r="I118" t="str">
        <f t="shared" si="8"/>
        <v>2.00585645782105j</v>
      </c>
      <c r="J118" t="str">
        <f t="shared" si="9"/>
        <v>0.481651403669688-0.0940086548029665j</v>
      </c>
      <c r="K118">
        <f t="shared" si="10"/>
        <v>-6.1829716538185417</v>
      </c>
      <c r="L118">
        <f t="shared" si="11"/>
        <v>-11.04413653023564</v>
      </c>
      <c r="M118">
        <f t="shared" si="12"/>
        <v>0.48165140366968801</v>
      </c>
      <c r="N118">
        <f t="shared" si="13"/>
        <v>-9.4008654802966496E-2</v>
      </c>
    </row>
    <row r="119" spans="7:14" x14ac:dyDescent="0.25">
      <c r="G119">
        <v>-0.68</v>
      </c>
      <c r="H119">
        <f t="shared" si="7"/>
        <v>0.33428738093664628</v>
      </c>
      <c r="I119" t="str">
        <f t="shared" si="8"/>
        <v>2.10038956027668j</v>
      </c>
      <c r="J119" t="str">
        <f t="shared" si="9"/>
        <v>0.47995214320897-0.0980918540634317j</v>
      </c>
      <c r="K119">
        <f t="shared" si="10"/>
        <v>-6.1983206032262554</v>
      </c>
      <c r="L119">
        <f t="shared" si="11"/>
        <v>-11.550943690855668</v>
      </c>
      <c r="M119">
        <f t="shared" si="12"/>
        <v>0.47995214320897001</v>
      </c>
      <c r="N119">
        <f t="shared" si="13"/>
        <v>-9.8091854063431697E-2</v>
      </c>
    </row>
    <row r="120" spans="7:14" x14ac:dyDescent="0.25">
      <c r="G120">
        <v>-0.66</v>
      </c>
      <c r="H120">
        <f t="shared" si="7"/>
        <v>0.35004185983192837</v>
      </c>
      <c r="I120" t="str">
        <f t="shared" si="8"/>
        <v>2.19937787059379j</v>
      </c>
      <c r="J120" t="str">
        <f t="shared" si="9"/>
        <v>0.478102668955165-0.102318973878408j</v>
      </c>
      <c r="K120">
        <f t="shared" si="10"/>
        <v>-6.2150882756060906</v>
      </c>
      <c r="L120">
        <f t="shared" si="11"/>
        <v>-12.079677902088571</v>
      </c>
      <c r="M120">
        <f t="shared" si="12"/>
        <v>0.47810266895516501</v>
      </c>
      <c r="N120">
        <f t="shared" si="13"/>
        <v>-0.10231897387840801</v>
      </c>
    </row>
    <row r="121" spans="7:14" x14ac:dyDescent="0.25">
      <c r="G121">
        <v>-0.64</v>
      </c>
      <c r="H121">
        <f t="shared" si="7"/>
        <v>0.36653882444284369</v>
      </c>
      <c r="I121" t="str">
        <f t="shared" si="8"/>
        <v>2.30303135625015j</v>
      </c>
      <c r="J121" t="str">
        <f t="shared" si="9"/>
        <v>0.476091074664185-0.106690327383479j</v>
      </c>
      <c r="K121">
        <f t="shared" si="10"/>
        <v>-6.2333995588328994</v>
      </c>
      <c r="L121">
        <f t="shared" si="11"/>
        <v>-12.631099794645865</v>
      </c>
      <c r="M121">
        <f t="shared" si="12"/>
        <v>0.47609107466418499</v>
      </c>
      <c r="N121">
        <f t="shared" si="13"/>
        <v>-0.106690327383479</v>
      </c>
    </row>
    <row r="122" spans="7:14" x14ac:dyDescent="0.25">
      <c r="G122">
        <v>-0.62</v>
      </c>
      <c r="H122">
        <f t="shared" si="7"/>
        <v>0.38381326704311847</v>
      </c>
      <c r="I122" t="str">
        <f t="shared" si="8"/>
        <v>2.41156988018592j</v>
      </c>
      <c r="J122" t="str">
        <f t="shared" si="9"/>
        <v>0.473904771878952-0.111205454586699j</v>
      </c>
      <c r="K122">
        <f t="shared" si="10"/>
        <v>-6.2533891391063783</v>
      </c>
      <c r="L122">
        <f t="shared" si="11"/>
        <v>-13.205969660066781</v>
      </c>
      <c r="M122">
        <f t="shared" si="12"/>
        <v>0.47390477187895202</v>
      </c>
      <c r="N122">
        <f t="shared" si="13"/>
        <v>-0.111205454586699</v>
      </c>
    </row>
    <row r="123" spans="7:14" x14ac:dyDescent="0.25">
      <c r="G123">
        <v>-0.6</v>
      </c>
      <c r="H123">
        <f t="shared" si="7"/>
        <v>0.40190182904153282</v>
      </c>
      <c r="I123" t="str">
        <f t="shared" si="8"/>
        <v>2.52522366716236j</v>
      </c>
      <c r="J123" t="str">
        <f t="shared" si="9"/>
        <v>0.471530502126939-0.115863008019757j</v>
      </c>
      <c r="K123">
        <f t="shared" si="10"/>
        <v>-6.2752020425987673</v>
      </c>
      <c r="L123">
        <f t="shared" si="11"/>
        <v>-13.805043073019911</v>
      </c>
      <c r="M123">
        <f t="shared" si="12"/>
        <v>0.47153050212693898</v>
      </c>
      <c r="N123">
        <f t="shared" si="13"/>
        <v>-0.11586300801975701</v>
      </c>
    </row>
    <row r="124" spans="7:14" x14ac:dyDescent="0.25">
      <c r="G124">
        <v>-0.57999999999999996</v>
      </c>
      <c r="H124">
        <f t="shared" si="7"/>
        <v>0.42084287870326115</v>
      </c>
      <c r="I124" t="str">
        <f t="shared" si="8"/>
        <v>2.64423379209949j</v>
      </c>
      <c r="J124" t="str">
        <f t="shared" si="9"/>
        <v>0.468954361555572-0.120660629684218j</v>
      </c>
      <c r="K124">
        <f t="shared" si="10"/>
        <v>-6.2989941625168875</v>
      </c>
      <c r="L124">
        <f t="shared" si="11"/>
        <v>-14.429065887002633</v>
      </c>
      <c r="M124">
        <f t="shared" si="12"/>
        <v>0.46895436155557202</v>
      </c>
      <c r="N124">
        <f t="shared" si="13"/>
        <v>-0.12066062968421799</v>
      </c>
    </row>
    <row r="125" spans="7:14" x14ac:dyDescent="0.25">
      <c r="G125">
        <v>-0.56000000000000005</v>
      </c>
      <c r="H125">
        <f t="shared" si="7"/>
        <v>0.44067659253410663</v>
      </c>
      <c r="I125" t="str">
        <f t="shared" si="8"/>
        <v>2.76885269142826j</v>
      </c>
      <c r="J125" t="str">
        <f t="shared" si="9"/>
        <v>0.466161840312605-0.125594819927687j</v>
      </c>
      <c r="K125">
        <f t="shared" si="10"/>
        <v>-6.3249327607177968</v>
      </c>
      <c r="L125">
        <f t="shared" si="11"/>
        <v>-15.078768559012451</v>
      </c>
      <c r="M125">
        <f t="shared" si="12"/>
        <v>0.46616184031260499</v>
      </c>
      <c r="N125">
        <f t="shared" si="13"/>
        <v>-0.12559481992768701</v>
      </c>
    </row>
    <row r="126" spans="7:14" x14ac:dyDescent="0.25">
      <c r="G126">
        <v>-0.54</v>
      </c>
      <c r="H126">
        <f t="shared" si="7"/>
        <v>0.46144504050025692</v>
      </c>
      <c r="I126" t="str">
        <f t="shared" si="8"/>
        <v>2.8993446985421j</v>
      </c>
      <c r="J126" t="str">
        <f t="shared" si="9"/>
        <v>0.463137879153242-0.130660799286006j</v>
      </c>
      <c r="K126">
        <f t="shared" si="10"/>
        <v>-6.353196931099971</v>
      </c>
      <c r="L126">
        <f t="shared" si="11"/>
        <v>-15.754859763146904</v>
      </c>
      <c r="M126">
        <f t="shared" si="12"/>
        <v>0.463137879153242</v>
      </c>
      <c r="N126">
        <f t="shared" si="13"/>
        <v>-0.13066079928600599</v>
      </c>
    </row>
    <row r="127" spans="7:14" x14ac:dyDescent="0.25">
      <c r="G127">
        <v>-0.52</v>
      </c>
      <c r="H127">
        <f t="shared" si="7"/>
        <v>0.48319227526432251</v>
      </c>
      <c r="I127" t="str">
        <f t="shared" si="8"/>
        <v>3.03598660448347j</v>
      </c>
      <c r="J127" t="str">
        <f t="shared" si="9"/>
        <v>0.459866945886841-0.135852364808751j</v>
      </c>
      <c r="K127">
        <f t="shared" si="10"/>
        <v>-6.383978009950221</v>
      </c>
      <c r="L127">
        <f t="shared" si="11"/>
        <v>-16.458019259784397</v>
      </c>
      <c r="M127">
        <f t="shared" si="12"/>
        <v>0.45986694588684102</v>
      </c>
      <c r="N127">
        <f t="shared" si="13"/>
        <v>-0.13585236480875101</v>
      </c>
    </row>
    <row r="128" spans="7:14" x14ac:dyDescent="0.25">
      <c r="G128">
        <v>-0.5</v>
      </c>
      <c r="H128">
        <f t="shared" si="7"/>
        <v>0.50596442562694077</v>
      </c>
      <c r="I128" t="str">
        <f t="shared" si="8"/>
        <v>3.17906824505475j</v>
      </c>
      <c r="J128" t="str">
        <f t="shared" si="9"/>
        <v>0.456333134342139-0.141161742949528j</v>
      </c>
      <c r="K128">
        <f t="shared" si="10"/>
        <v>-6.4174799163050809</v>
      </c>
      <c r="L128">
        <f t="shared" si="11"/>
        <v>-17.188889996460379</v>
      </c>
      <c r="M128">
        <f t="shared" si="12"/>
        <v>0.45633313434213901</v>
      </c>
      <c r="N128">
        <f t="shared" si="13"/>
        <v>-0.14116174294952799</v>
      </c>
    </row>
    <row r="129" spans="7:14" x14ac:dyDescent="0.25">
      <c r="G129">
        <v>-0.48</v>
      </c>
      <c r="H129">
        <f t="shared" si="7"/>
        <v>0.5298097943721457</v>
      </c>
      <c r="I129" t="str">
        <f t="shared" si="8"/>
        <v>3.3288931155989j</v>
      </c>
      <c r="J129" t="str">
        <f t="shared" si="9"/>
        <v>0.45252028850617-0.146579441748759j</v>
      </c>
      <c r="K129">
        <f t="shared" si="10"/>
        <v>-6.4539194032441554</v>
      </c>
      <c r="L129">
        <f t="shared" si="11"/>
        <v>-17.948069429206605</v>
      </c>
      <c r="M129">
        <f t="shared" si="12"/>
        <v>0.45252028850616999</v>
      </c>
      <c r="N129">
        <f t="shared" si="13"/>
        <v>-0.146579441748759</v>
      </c>
    </row>
    <row r="130" spans="7:14" x14ac:dyDescent="0.25">
      <c r="G130">
        <v>-0.46</v>
      </c>
      <c r="H130">
        <f t="shared" si="7"/>
        <v>0.55477896072405064</v>
      </c>
      <c r="I130" t="str">
        <f t="shared" si="8"/>
        <v>3.48577901475372j</v>
      </c>
      <c r="J130" t="str">
        <f t="shared" si="9"/>
        <v>0.448412154349575-0.152094105758114j</v>
      </c>
      <c r="K130">
        <f t="shared" si="10"/>
        <v>-6.4935261989579089</v>
      </c>
      <c r="L130">
        <f t="shared" si="11"/>
        <v>-18.736100069387049</v>
      </c>
      <c r="M130">
        <f t="shared" si="12"/>
        <v>0.44841215434957499</v>
      </c>
      <c r="N130">
        <f t="shared" si="13"/>
        <v>-0.152094105758114</v>
      </c>
    </row>
    <row r="131" spans="7:14" x14ac:dyDescent="0.25">
      <c r="G131">
        <v>-0.44</v>
      </c>
      <c r="H131">
        <f t="shared" ref="H131:H194" si="14">$B$3*10^G131</f>
        <v>0.58092488763216221</v>
      </c>
      <c r="I131" t="str">
        <f t="shared" si="8"/>
        <v>3.65005871854535j</v>
      </c>
      <c r="J131" t="str">
        <f t="shared" si="9"/>
        <v>0.443992561558697-0.157692377938488j</v>
      </c>
      <c r="K131">
        <f t="shared" si="10"/>
        <v>-6.5365430145267851</v>
      </c>
      <c r="L131">
        <f t="shared" si="11"/>
        <v>-19.553459281311817</v>
      </c>
      <c r="M131">
        <f t="shared" si="12"/>
        <v>0.44399256155869699</v>
      </c>
      <c r="N131">
        <f t="shared" si="13"/>
        <v>-0.157692377938488</v>
      </c>
    </row>
    <row r="132" spans="7:14" x14ac:dyDescent="0.25">
      <c r="G132">
        <v>-0.42</v>
      </c>
      <c r="H132">
        <f t="shared" si="14"/>
        <v>0.60830303411289788</v>
      </c>
      <c r="I132" t="str">
        <f t="shared" ref="I132:I195" si="15">COMPLEX(0,H132*2*PI(),"j")</f>
        <v>3.82208068625092j</v>
      </c>
      <c r="J132" t="str">
        <f t="shared" ref="J132:J195" si="16">IMDIV(0.5,IMSUM(1,IMPRODUCT(I132,$B$10*$B$11/2)))</f>
        <v>0.439245636919776-0.163358773583877j</v>
      </c>
      <c r="K132">
        <f t="shared" ref="K132:K195" si="17">20*LOG(IMABS(J132))</f>
        <v>-6.5832253937502374</v>
      </c>
      <c r="L132">
        <f t="shared" ref="L132:L195" si="18">DEGREES(IMARGUMENT(J132))</f>
        <v>-20.40054838039439</v>
      </c>
      <c r="M132">
        <f t="shared" ref="M132:M195" si="19">IMREAL(J132)</f>
        <v>0.43924563691977597</v>
      </c>
      <c r="N132">
        <f t="shared" ref="N132:N195" si="20">IMAGINARY(J132)</f>
        <v>-0.16335877358387699</v>
      </c>
    </row>
    <row r="133" spans="7:14" x14ac:dyDescent="0.25">
      <c r="G133">
        <v>-0.4</v>
      </c>
      <c r="H133">
        <f t="shared" si="14"/>
        <v>0.63697147288559552</v>
      </c>
      <c r="I133" t="str">
        <f t="shared" si="15"/>
        <v>4.00220979952731j</v>
      </c>
      <c r="J133" t="str">
        <f t="shared" si="16"/>
        <v>0.434156050411168-0.169075572147367j</v>
      </c>
      <c r="K133">
        <f t="shared" si="17"/>
        <v>-6.6338413792275652</v>
      </c>
      <c r="L133">
        <f t="shared" si="18"/>
        <v>-21.277681110462211</v>
      </c>
      <c r="M133">
        <f t="shared" si="19"/>
        <v>0.434156050411168</v>
      </c>
      <c r="N133">
        <f t="shared" si="20"/>
        <v>-0.16907557214736699</v>
      </c>
    </row>
    <row r="134" spans="7:14" x14ac:dyDescent="0.25">
      <c r="G134">
        <v>-0.38</v>
      </c>
      <c r="H134">
        <f t="shared" si="14"/>
        <v>0.66699101355253665</v>
      </c>
      <c r="I134" t="str">
        <f t="shared" si="15"/>
        <v>4.19082813637412j</v>
      </c>
      <c r="J134" t="str">
        <f t="shared" si="16"/>
        <v>0.428709294127813-0.174822733625633j</v>
      </c>
      <c r="K134">
        <f t="shared" si="17"/>
        <v>-6.6886709684037884</v>
      </c>
      <c r="L134">
        <f t="shared" si="18"/>
        <v>-22.185071611931072</v>
      </c>
      <c r="M134">
        <f t="shared" si="19"/>
        <v>0.428709294127813</v>
      </c>
      <c r="N134">
        <f t="shared" si="20"/>
        <v>-0.174822733625633</v>
      </c>
    </row>
    <row r="135" spans="7:14" x14ac:dyDescent="0.25">
      <c r="G135">
        <v>-0.36</v>
      </c>
      <c r="H135">
        <f t="shared" si="14"/>
        <v>0.69842533158426556</v>
      </c>
      <c r="I135" t="str">
        <f t="shared" si="15"/>
        <v>4.38833578157229j</v>
      </c>
      <c r="J135" t="str">
        <f t="shared" si="16"/>
        <v>0.422891992968402-0.180577846834582j</v>
      </c>
      <c r="K135">
        <f t="shared" si="17"/>
        <v>-6.748005333654139</v>
      </c>
      <c r="L135">
        <f t="shared" si="18"/>
        <v>-23.122822029523117</v>
      </c>
      <c r="M135">
        <f t="shared" si="19"/>
        <v>0.42289199296840202</v>
      </c>
      <c r="N135">
        <f t="shared" si="20"/>
        <v>-0.180577846834582</v>
      </c>
    </row>
    <row r="136" spans="7:14" x14ac:dyDescent="0.25">
      <c r="G136">
        <v>-0.34</v>
      </c>
      <c r="H136">
        <f t="shared" si="14"/>
        <v>0.7313411033838001</v>
      </c>
      <c r="I136" t="str">
        <f t="shared" si="15"/>
        <v>4.5951516753176j</v>
      </c>
      <c r="J136" t="str">
        <f t="shared" si="16"/>
        <v>0.416692244552759-0.186316117407924j</v>
      </c>
      <c r="K136">
        <f t="shared" si="17"/>
        <v>-6.8121457819034852</v>
      </c>
      <c r="L136">
        <f t="shared" si="18"/>
        <v>-24.090909948320881</v>
      </c>
      <c r="M136">
        <f t="shared" si="19"/>
        <v>0.41669224455275899</v>
      </c>
      <c r="N136">
        <f t="shared" si="20"/>
        <v>-0.186316117407924</v>
      </c>
    </row>
    <row r="137" spans="7:14" x14ac:dyDescent="0.25">
      <c r="G137">
        <v>-0.32</v>
      </c>
      <c r="H137">
        <f t="shared" si="14"/>
        <v>0.7658081477162213</v>
      </c>
      <c r="I137" t="str">
        <f t="shared" si="15"/>
        <v>4.81171450184898j</v>
      </c>
      <c r="J137" t="str">
        <f t="shared" si="16"/>
        <v>0.41009998411606-0.192010403588028j</v>
      </c>
      <c r="K137">
        <f t="shared" si="17"/>
        <v>-6.8814024319753422</v>
      </c>
      <c r="L137">
        <f t="shared" si="18"/>
        <v>-25.089175889033484</v>
      </c>
      <c r="M137">
        <f t="shared" si="19"/>
        <v>0.41009998411606002</v>
      </c>
      <c r="N137">
        <f t="shared" si="20"/>
        <v>-0.19201040358802801</v>
      </c>
    </row>
    <row r="138" spans="7:14" x14ac:dyDescent="0.25">
      <c r="G138">
        <v>-0.3</v>
      </c>
      <c r="H138">
        <f t="shared" si="14"/>
        <v>0.80189957380363563</v>
      </c>
      <c r="I138" t="str">
        <f t="shared" si="15"/>
        <v>5.03848361995658j</v>
      </c>
      <c r="J138" t="str">
        <f t="shared" si="16"/>
        <v>0.403107368182746-0.1976313077631j</v>
      </c>
      <c r="K138">
        <f t="shared" si="17"/>
        <v>-6.9560925920315793</v>
      </c>
      <c r="L138">
        <f t="shared" si="18"/>
        <v>-26.117311135814671</v>
      </c>
      <c r="M138">
        <f t="shared" si="19"/>
        <v>0.40310736818274601</v>
      </c>
      <c r="N138">
        <f t="shared" si="20"/>
        <v>-0.19763130776310001</v>
      </c>
    </row>
    <row r="139" spans="7:14" x14ac:dyDescent="0.25">
      <c r="G139">
        <v>-0.28000000000000003</v>
      </c>
      <c r="H139">
        <f t="shared" si="14"/>
        <v>0.83969193639963613</v>
      </c>
      <c r="I139" t="str">
        <f t="shared" si="15"/>
        <v>5.27594003734337j</v>
      </c>
      <c r="J139" t="str">
        <f t="shared" si="16"/>
        <v>0.395709168720529-0.203147331143612j</v>
      </c>
      <c r="K139">
        <f t="shared" si="17"/>
        <v>-7.0365388252557493</v>
      </c>
      <c r="L139">
        <f t="shared" si="18"/>
        <v>-27.174846210673433</v>
      </c>
      <c r="M139">
        <f t="shared" si="19"/>
        <v>0.39570916872052903</v>
      </c>
      <c r="N139">
        <f t="shared" si="20"/>
        <v>-0.203147331143612</v>
      </c>
    </row>
    <row r="140" spans="7:14" x14ac:dyDescent="0.25">
      <c r="G140">
        <v>-0.26</v>
      </c>
      <c r="H140">
        <f t="shared" si="14"/>
        <v>0.87926539817219929</v>
      </c>
      <c r="I140" t="str">
        <f t="shared" si="15"/>
        <v>5.52458743090697j</v>
      </c>
      <c r="J140" t="str">
        <f t="shared" si="16"/>
        <v>0.387903167310876-0.208525097879436j</v>
      </c>
      <c r="K140">
        <f t="shared" si="17"/>
        <v>-7.1230666994373939</v>
      </c>
      <c r="L140">
        <f t="shared" si="18"/>
        <v>-28.261140344908636</v>
      </c>
      <c r="M140">
        <f t="shared" si="19"/>
        <v>0.38790316731087598</v>
      </c>
      <c r="N140">
        <f t="shared" si="20"/>
        <v>-0.20852509787943599</v>
      </c>
    </row>
    <row r="141" spans="7:14" x14ac:dyDescent="0.25">
      <c r="G141">
        <v>-0.24</v>
      </c>
      <c r="H141">
        <f t="shared" si="14"/>
        <v>0.9207038997394511</v>
      </c>
      <c r="I141" t="str">
        <f t="shared" si="15"/>
        <v>5.78495321510587j</v>
      </c>
      <c r="J141" t="str">
        <f t="shared" si="16"/>
        <v>0.379690536778084-0.213729653230927j</v>
      </c>
      <c r="K141">
        <f t="shared" si="17"/>
        <v>-7.2160022253333462</v>
      </c>
      <c r="L141">
        <f t="shared" si="18"/>
        <v>-29.375372327065769</v>
      </c>
      <c r="M141">
        <f t="shared" si="19"/>
        <v>0.37969053677808401</v>
      </c>
      <c r="N141">
        <f t="shared" si="20"/>
        <v>-0.21372965323092699</v>
      </c>
    </row>
    <row r="142" spans="7:14" x14ac:dyDescent="0.25">
      <c r="G142">
        <v>-0.22</v>
      </c>
      <c r="H142">
        <f t="shared" si="14"/>
        <v>0.96409533771897249</v>
      </c>
      <c r="I142" t="str">
        <f t="shared" si="15"/>
        <v>6.05758966067619j</v>
      </c>
      <c r="J142" t="str">
        <f t="shared" si="16"/>
        <v>0.371076195857838-0.218724838087937j</v>
      </c>
      <c r="K142">
        <f t="shared" si="17"/>
        <v>-7.3156689994943829</v>
      </c>
      <c r="L142">
        <f t="shared" si="18"/>
        <v>-30.516533125421894</v>
      </c>
      <c r="M142">
        <f t="shared" si="19"/>
        <v>0.37107619585783802</v>
      </c>
      <c r="N142">
        <f t="shared" si="20"/>
        <v>-0.218724838087937</v>
      </c>
    </row>
    <row r="143" spans="7:14" x14ac:dyDescent="0.25">
      <c r="G143">
        <v>-0.2</v>
      </c>
      <c r="H143">
        <f t="shared" si="14"/>
        <v>1.0095317511683093</v>
      </c>
      <c r="I143" t="str">
        <f t="shared" si="15"/>
        <v>6.343075066072j</v>
      </c>
      <c r="J143" t="str">
        <f t="shared" si="16"/>
        <v>0.362069121046222-0.223473739190821j</v>
      </c>
      <c r="K143">
        <f t="shared" si="17"/>
        <v>-7.4223850793913826</v>
      </c>
      <c r="L143">
        <f t="shared" si="18"/>
        <v>-31.683420687614856</v>
      </c>
      <c r="M143">
        <f t="shared" si="19"/>
        <v>0.36206912104622202</v>
      </c>
      <c r="N143">
        <f t="shared" si="20"/>
        <v>-0.223473739190821</v>
      </c>
    </row>
    <row r="144" spans="7:14" x14ac:dyDescent="0.25">
      <c r="G144">
        <v>-0.18</v>
      </c>
      <c r="H144">
        <f t="shared" si="14"/>
        <v>1.0571095168121536</v>
      </c>
      <c r="I144" t="str">
        <f t="shared" si="15"/>
        <v>6.64201498411384j</v>
      </c>
      <c r="J144" t="str">
        <f t="shared" si="16"/>
        <v>0.352682598952266-0.227939210914682j</v>
      </c>
      <c r="K144">
        <f t="shared" si="17"/>
        <v>-7.536459631738083</v>
      </c>
      <c r="L144">
        <f t="shared" si="18"/>
        <v>-32.87463730762871</v>
      </c>
      <c r="M144">
        <f t="shared" si="19"/>
        <v>0.352682598952266</v>
      </c>
      <c r="N144">
        <f t="shared" si="20"/>
        <v>-0.227939210914682</v>
      </c>
    </row>
    <row r="145" spans="7:14" x14ac:dyDescent="0.25">
      <c r="G145">
        <v>-0.16</v>
      </c>
      <c r="H145">
        <f t="shared" si="14"/>
        <v>1.1069295534702985</v>
      </c>
      <c r="I145" t="str">
        <f t="shared" si="15"/>
        <v>6.95504350644744j</v>
      </c>
      <c r="J145" t="str">
        <f t="shared" si="16"/>
        <v>0.342934402476669-0.232084460566201j</v>
      </c>
      <c r="K145">
        <f t="shared" si="17"/>
        <v>-7.6581894083092514</v>
      </c>
      <c r="L145">
        <f t="shared" si="18"/>
        <v>-34.088589918327614</v>
      </c>
      <c r="M145">
        <f t="shared" si="19"/>
        <v>0.34293440247666901</v>
      </c>
      <c r="N145">
        <f t="shared" si="20"/>
        <v>-0.232084460566201</v>
      </c>
    </row>
    <row r="146" spans="7:14" x14ac:dyDescent="0.25">
      <c r="G146">
        <v>-0.14000000000000001</v>
      </c>
      <c r="H146">
        <f t="shared" si="14"/>
        <v>1.159097536119984</v>
      </c>
      <c r="I146" t="str">
        <f t="shared" si="15"/>
        <v>7.28282460853714j</v>
      </c>
      <c r="J146" t="str">
        <f t="shared" si="16"/>
        <v>0.332846875123581-0.235873685014369j</v>
      </c>
      <c r="K146">
        <f t="shared" si="17"/>
        <v>-7.7878551165721666</v>
      </c>
      <c r="L146">
        <f t="shared" si="18"/>
        <v>-35.323493614397641</v>
      </c>
      <c r="M146">
        <f t="shared" si="19"/>
        <v>0.33284687512358102</v>
      </c>
      <c r="N146">
        <f t="shared" si="20"/>
        <v>-0.23587368501436901</v>
      </c>
    </row>
    <row r="147" spans="7:14" x14ac:dyDescent="0.25">
      <c r="G147">
        <v>-0.12</v>
      </c>
      <c r="H147">
        <f t="shared" si="14"/>
        <v>1.2137241200466939</v>
      </c>
      <c r="I147" t="str">
        <f t="shared" si="15"/>
        <v>7.62605355804686j</v>
      </c>
      <c r="J147" t="str">
        <f t="shared" si="16"/>
        <v>0.322446909835457-0.239272742399324j</v>
      </c>
      <c r="K147">
        <f t="shared" si="17"/>
        <v>-7.9257177642454764</v>
      </c>
      <c r="L147">
        <f t="shared" si="18"/>
        <v>-36.577378635439537</v>
      </c>
      <c r="M147">
        <f t="shared" si="19"/>
        <v>0.32244690983545699</v>
      </c>
      <c r="N147">
        <f t="shared" si="20"/>
        <v>-0.239272742399324</v>
      </c>
    </row>
    <row r="148" spans="7:14" x14ac:dyDescent="0.25">
      <c r="G148">
        <v>-0.1</v>
      </c>
      <c r="H148">
        <f t="shared" si="14"/>
        <v>1.2709251755588504</v>
      </c>
      <c r="I148" t="str">
        <f t="shared" si="15"/>
        <v>7.98545838959601j</v>
      </c>
      <c r="J148" t="str">
        <f t="shared" si="16"/>
        <v>0.311765811958776-0.242249838953658j</v>
      </c>
      <c r="K148">
        <f t="shared" si="17"/>
        <v>-8.0720150665757977</v>
      </c>
      <c r="L148">
        <f t="shared" si="18"/>
        <v>-37.848100943146569</v>
      </c>
      <c r="M148">
        <f t="shared" si="19"/>
        <v>0.31176581195877601</v>
      </c>
      <c r="N148">
        <f t="shared" si="20"/>
        <v>-0.24224983895365801</v>
      </c>
    </row>
    <row r="149" spans="7:14" x14ac:dyDescent="0.25">
      <c r="G149">
        <v>-8.0000000000000099E-2</v>
      </c>
      <c r="H149">
        <f t="shared" si="14"/>
        <v>1.3308220337642735</v>
      </c>
      <c r="I149" t="str">
        <f t="shared" si="15"/>
        <v>8.36180144901854j</v>
      </c>
      <c r="J149" t="str">
        <f t="shared" si="16"/>
        <v>0.300839040238008-0.24477620796899j</v>
      </c>
      <c r="K149">
        <f t="shared" si="17"/>
        <v>-8.2269580117868877</v>
      </c>
      <c r="L149">
        <f t="shared" si="18"/>
        <v>-39.133356412834416</v>
      </c>
      <c r="M149">
        <f t="shared" si="19"/>
        <v>0.300839040238008</v>
      </c>
      <c r="N149">
        <f t="shared" si="20"/>
        <v>-0.24477620796899</v>
      </c>
    </row>
    <row r="150" spans="7:14" x14ac:dyDescent="0.25">
      <c r="G150">
        <v>-6.0000000000000102E-2</v>
      </c>
      <c r="H150">
        <f t="shared" si="14"/>
        <v>1.3935417439297286</v>
      </c>
      <c r="I150" t="str">
        <f t="shared" si="15"/>
        <v>8.75588101040069j</v>
      </c>
      <c r="J150" t="str">
        <f t="shared" si="16"/>
        <v>0.289705824922732-0.246826755979179j</v>
      </c>
      <c r="K150">
        <f t="shared" si="17"/>
        <v>-8.3907276830154522</v>
      </c>
      <c r="L150">
        <f t="shared" si="18"/>
        <v>-40.430698532688865</v>
      </c>
      <c r="M150">
        <f t="shared" si="19"/>
        <v>0.289705824922732</v>
      </c>
      <c r="N150">
        <f t="shared" si="20"/>
        <v>-0.246826755979179</v>
      </c>
    </row>
    <row r="151" spans="7:14" x14ac:dyDescent="0.25">
      <c r="G151">
        <v>-0.04</v>
      </c>
      <c r="H151">
        <f t="shared" si="14"/>
        <v>1.4592173429694555</v>
      </c>
      <c r="I151" t="str">
        <f t="shared" si="15"/>
        <v>9.16853296932732j</v>
      </c>
      <c r="J151" t="str">
        <f t="shared" si="16"/>
        <v>0.278408667874018-0.248380650594252j</v>
      </c>
      <c r="K151">
        <f t="shared" si="17"/>
        <v>-8.5634724334882062</v>
      </c>
      <c r="L151">
        <f t="shared" si="18"/>
        <v>-41.737559370228517</v>
      </c>
      <c r="M151">
        <f t="shared" si="19"/>
        <v>0.27840866787401802</v>
      </c>
      <c r="N151">
        <f t="shared" si="20"/>
        <v>-0.24838065059425199</v>
      </c>
    </row>
    <row r="152" spans="7:14" x14ac:dyDescent="0.25">
      <c r="G152">
        <v>-0.02</v>
      </c>
      <c r="H152">
        <f t="shared" si="14"/>
        <v>1.5279881376342974</v>
      </c>
      <c r="I152" t="str">
        <f t="shared" si="15"/>
        <v>9.60063261592852j</v>
      </c>
      <c r="J152" t="str">
        <f t="shared" si="16"/>
        <v>0.266992735591318-0.249421825302285j</v>
      </c>
      <c r="K152">
        <f t="shared" si="17"/>
        <v>-8.7453055053732385</v>
      </c>
      <c r="L152">
        <f t="shared" si="18"/>
        <v>-43.05127343219791</v>
      </c>
      <c r="M152">
        <f t="shared" si="19"/>
        <v>0.26699273559131798</v>
      </c>
      <c r="N152">
        <f t="shared" si="20"/>
        <v>-0.24942182530228499</v>
      </c>
    </row>
    <row r="153" spans="7:14" x14ac:dyDescent="0.25">
      <c r="G153">
        <v>0</v>
      </c>
      <c r="H153">
        <f t="shared" si="14"/>
        <v>1.6</v>
      </c>
      <c r="I153" t="str">
        <f t="shared" si="15"/>
        <v>10.0530964914873j</v>
      </c>
      <c r="J153" t="str">
        <f t="shared" si="16"/>
        <v>0.255505161905459-0.249939379034987j</v>
      </c>
      <c r="K153">
        <f t="shared" si="17"/>
        <v>-8.936303171642404</v>
      </c>
      <c r="L153">
        <f t="shared" si="18"/>
        <v>-44.369103919698702</v>
      </c>
      <c r="M153">
        <f t="shared" si="19"/>
        <v>0.25550516190545902</v>
      </c>
      <c r="N153">
        <f t="shared" si="20"/>
        <v>-0.249939379034987</v>
      </c>
    </row>
    <row r="154" spans="7:14" x14ac:dyDescent="0.25">
      <c r="G154">
        <v>0.02</v>
      </c>
      <c r="H154">
        <f t="shared" si="14"/>
        <v>1.6754056768814394</v>
      </c>
      <c r="I154" t="str">
        <f t="shared" si="15"/>
        <v>10.5268843325467j</v>
      </c>
      <c r="J154" t="str">
        <f t="shared" si="16"/>
        <v>0.243994282230283-0.249927852297559j</v>
      </c>
      <c r="K154">
        <f t="shared" si="17"/>
        <v>-9.1365034647661361</v>
      </c>
      <c r="L154">
        <f t="shared" si="18"/>
        <v>-45.688270773116841</v>
      </c>
      <c r="M154">
        <f t="shared" si="19"/>
        <v>0.24399428223028299</v>
      </c>
      <c r="N154">
        <f t="shared" si="20"/>
        <v>-0.24992785229755901</v>
      </c>
    </row>
    <row r="155" spans="7:14" x14ac:dyDescent="0.25">
      <c r="G155">
        <v>0.04</v>
      </c>
      <c r="H155">
        <f t="shared" si="14"/>
        <v>1.7543651138290963</v>
      </c>
      <c r="I155" t="str">
        <f t="shared" si="15"/>
        <v>11.0230011066394j</v>
      </c>
      <c r="J155" t="str">
        <f t="shared" si="16"/>
        <v>0.232508825297247-0.249387366976593j</v>
      </c>
      <c r="K155">
        <f t="shared" si="17"/>
        <v>-9.3459055368465513</v>
      </c>
      <c r="L155">
        <f t="shared" si="18"/>
        <v>-47.005979818877243</v>
      </c>
      <c r="M155">
        <f t="shared" si="19"/>
        <v>0.23250882529724701</v>
      </c>
      <c r="N155">
        <f t="shared" si="20"/>
        <v>-0.249387366976593</v>
      </c>
    </row>
    <row r="156" spans="7:14" x14ac:dyDescent="0.25">
      <c r="G156">
        <v>6.0000000000000102E-2</v>
      </c>
      <c r="H156">
        <f t="shared" si="14"/>
        <v>1.8370457943950129</v>
      </c>
      <c r="I156" t="str">
        <f t="shared" si="15"/>
        <v>11.5424991439588j</v>
      </c>
      <c r="J156" t="str">
        <f t="shared" si="16"/>
        <v>0.221097090856331-0.248323623207766j</v>
      </c>
      <c r="K156">
        <f t="shared" si="17"/>
        <v>-9.564469673926153</v>
      </c>
      <c r="L156">
        <f t="shared" si="18"/>
        <v>-48.319452278271086</v>
      </c>
      <c r="M156">
        <f t="shared" si="19"/>
        <v>0.221097090856331</v>
      </c>
      <c r="N156">
        <f t="shared" si="20"/>
        <v>-0.24832362320776599</v>
      </c>
    </row>
    <row r="157" spans="7:14" x14ac:dyDescent="0.25">
      <c r="G157">
        <v>8.0000000000000099E-2</v>
      </c>
      <c r="H157">
        <f t="shared" si="14"/>
        <v>1.9236230953878612</v>
      </c>
      <c r="I157" t="str">
        <f t="shared" si="15"/>
        <v>12.0864803694923j</v>
      </c>
      <c r="J157" t="str">
        <f t="shared" si="16"/>
        <v>0.209806142680296-0.246747753452313j</v>
      </c>
      <c r="K157">
        <f t="shared" si="17"/>
        <v>-9.7921179639603384</v>
      </c>
      <c r="L157">
        <f t="shared" si="18"/>
        <v>-49.625953881415278</v>
      </c>
      <c r="M157">
        <f t="shared" si="19"/>
        <v>0.20980614268029599</v>
      </c>
      <c r="N157">
        <f t="shared" si="20"/>
        <v>-0.24674775345231301</v>
      </c>
    </row>
    <row r="158" spans="7:14" x14ac:dyDescent="0.25">
      <c r="G158">
        <v>0.1</v>
      </c>
      <c r="H158">
        <f t="shared" si="14"/>
        <v>2.0142806588706677</v>
      </c>
      <c r="I158" t="str">
        <f t="shared" si="15"/>
        <v>12.6560986403522j</v>
      </c>
      <c r="J158" t="str">
        <f t="shared" si="16"/>
        <v>0.198681045278652-0.244676040687085j</v>
      </c>
      <c r="K158">
        <f t="shared" si="17"/>
        <v>-10.028735594728857</v>
      </c>
      <c r="L158">
        <f t="shared" si="18"/>
        <v>-50.922822848137663</v>
      </c>
      <c r="M158">
        <f t="shared" si="19"/>
        <v>0.19868104527865199</v>
      </c>
      <c r="N158">
        <f t="shared" si="20"/>
        <v>-0.24467604068708501</v>
      </c>
    </row>
    <row r="159" spans="7:14" x14ac:dyDescent="0.25">
      <c r="G159">
        <v>0.12</v>
      </c>
      <c r="H159">
        <f t="shared" si="14"/>
        <v>2.1092107816902517</v>
      </c>
      <c r="I159" t="str">
        <f t="shared" si="15"/>
        <v>13.252562193261j</v>
      </c>
      <c r="J159" t="str">
        <f t="shared" si="16"/>
        <v>0.187764170098683-0.242129513848466j</v>
      </c>
      <c r="K159">
        <f t="shared" si="17"/>
        <v>-10.274172736178848</v>
      </c>
      <c r="L159">
        <f t="shared" si="18"/>
        <v>-52.20749605081074</v>
      </c>
      <c r="M159">
        <f t="shared" si="19"/>
        <v>0.18776417009868299</v>
      </c>
      <c r="N159">
        <f t="shared" si="20"/>
        <v>-0.24212951384846601</v>
      </c>
    </row>
    <row r="160" spans="7:14" x14ac:dyDescent="0.25">
      <c r="G160">
        <v>0.14000000000000001</v>
      </c>
      <c r="H160">
        <f t="shared" si="14"/>
        <v>2.2086148233646159</v>
      </c>
      <c r="I160" t="str">
        <f t="shared" si="15"/>
        <v>13.8771362073836j</v>
      </c>
      <c r="J160" t="str">
        <f t="shared" si="16"/>
        <v>0.177094592902413-0.239133438933026j</v>
      </c>
      <c r="K160">
        <f t="shared" si="17"/>
        <v>-10.52824694262126</v>
      </c>
      <c r="L160">
        <f t="shared" si="18"/>
        <v>-53.477532757892021</v>
      </c>
      <c r="M160">
        <f t="shared" si="19"/>
        <v>0.177094592902413</v>
      </c>
      <c r="N160">
        <f t="shared" si="20"/>
        <v>-0.23913343893302599</v>
      </c>
    </row>
    <row r="161" spans="7:14" x14ac:dyDescent="0.25">
      <c r="G161">
        <v>0.16</v>
      </c>
      <c r="H161">
        <f t="shared" si="14"/>
        <v>2.3127036331934838</v>
      </c>
      <c r="I161" t="str">
        <f t="shared" si="15"/>
        <v>14.5311454879421j</v>
      </c>
      <c r="J161" t="str">
        <f t="shared" si="16"/>
        <v>0.166707598822512-0.235716728099828j</v>
      </c>
      <c r="K161">
        <f t="shared" si="17"/>
        <v>-10.790745994864146</v>
      </c>
      <c r="L161">
        <f t="shared" si="18"/>
        <v>-54.730635465091176</v>
      </c>
      <c r="M161">
        <f t="shared" si="19"/>
        <v>0.16670759882251199</v>
      </c>
      <c r="N161">
        <f t="shared" si="20"/>
        <v>-0.23571672809982799</v>
      </c>
    </row>
    <row r="162" spans="7:14" x14ac:dyDescent="0.25">
      <c r="G162">
        <v>0.18</v>
      </c>
      <c r="H162">
        <f t="shared" si="14"/>
        <v>2.4216979974979331</v>
      </c>
      <c r="I162" t="str">
        <f t="shared" si="15"/>
        <v>15.2159772763052j</v>
      </c>
      <c r="J162" t="str">
        <f t="shared" si="16"/>
        <v>0.156634305756857-0.23191129152867j</v>
      </c>
      <c r="K162">
        <f t="shared" si="17"/>
        <v>-11.061431091475018</v>
      </c>
      <c r="L162">
        <f t="shared" si="18"/>
        <v>-55.964667446054037</v>
      </c>
      <c r="M162">
        <f t="shared" si="19"/>
        <v>0.156634305756857</v>
      </c>
      <c r="N162">
        <f t="shared" si="20"/>
        <v>-0.23191129152866999</v>
      </c>
    </row>
    <row r="163" spans="7:14" x14ac:dyDescent="0.25">
      <c r="G163">
        <v>0.2</v>
      </c>
      <c r="H163">
        <f t="shared" si="14"/>
        <v>2.5358291079377819</v>
      </c>
      <c r="I163" t="str">
        <f t="shared" si="15"/>
        <v>15.933084192513j</v>
      </c>
      <c r="J163" t="str">
        <f t="shared" si="16"/>
        <v>0.146901410727594-0.227751357603066j</v>
      </c>
      <c r="K163">
        <f t="shared" si="17"/>
        <v>-11.340040292252041</v>
      </c>
      <c r="L163">
        <f t="shared" si="18"/>
        <v>-57.177666787931152</v>
      </c>
      <c r="M163">
        <f t="shared" si="19"/>
        <v>0.146901410727594</v>
      </c>
      <c r="N163">
        <f t="shared" si="20"/>
        <v>-0.227751357603066</v>
      </c>
    </row>
    <row r="164" spans="7:14" x14ac:dyDescent="0.25">
      <c r="G164">
        <v>0.22</v>
      </c>
      <c r="H164">
        <f t="shared" si="14"/>
        <v>2.6553390519000972</v>
      </c>
      <c r="I164" t="str">
        <f t="shared" si="15"/>
        <v>16.6839873164789j</v>
      </c>
      <c r="J164" t="str">
        <f t="shared" si="16"/>
        <v>0.137531058048782-0.223272786287029j</v>
      </c>
      <c r="K164">
        <f t="shared" si="17"/>
        <v>-11.62629211562551</v>
      </c>
      <c r="L164">
        <f t="shared" si="18"/>
        <v>-58.367856810910105</v>
      </c>
      <c r="M164">
        <f t="shared" si="19"/>
        <v>0.13753105804878199</v>
      </c>
      <c r="N164">
        <f t="shared" si="20"/>
        <v>-0.22327278628702901</v>
      </c>
    </row>
    <row r="165" spans="7:14" x14ac:dyDescent="0.25">
      <c r="G165">
        <v>0.24</v>
      </c>
      <c r="H165">
        <f t="shared" si="14"/>
        <v>2.7804813259990011</v>
      </c>
      <c r="I165" t="str">
        <f t="shared" si="15"/>
        <v>17.4702794144041j</v>
      </c>
      <c r="J165" t="str">
        <f t="shared" si="16"/>
        <v>0.128540822993014-0.218512398551629j</v>
      </c>
      <c r="K165">
        <f t="shared" si="17"/>
        <v>-11.919889194751557</v>
      </c>
      <c r="L165">
        <f t="shared" si="18"/>
        <v>-59.533652897242035</v>
      </c>
      <c r="M165">
        <f t="shared" si="19"/>
        <v>0.128540822993014</v>
      </c>
      <c r="N165">
        <f t="shared" si="20"/>
        <v>-0.21851239855162899</v>
      </c>
    </row>
    <row r="166" spans="7:14" x14ac:dyDescent="0.25">
      <c r="G166">
        <v>0.26</v>
      </c>
      <c r="H166">
        <f t="shared" si="14"/>
        <v>2.9115213737759742</v>
      </c>
      <c r="I166" t="str">
        <f t="shared" si="15"/>
        <v>18.2936283172485j</v>
      </c>
      <c r="J166" t="str">
        <f t="shared" si="16"/>
        <v>0.119943800401741-0.213507341667817j</v>
      </c>
      <c r="K166">
        <f t="shared" si="17"/>
        <v>-12.220521903871902</v>
      </c>
      <c r="L166">
        <f t="shared" si="18"/>
        <v>-60.673665868257494</v>
      </c>
      <c r="M166">
        <f t="shared" si="19"/>
        <v>0.119943800401741</v>
      </c>
      <c r="N166">
        <f t="shared" si="20"/>
        <v>-0.21350734166781701</v>
      </c>
    </row>
    <row r="167" spans="7:14" x14ac:dyDescent="0.25">
      <c r="G167">
        <v>0.28000000000000003</v>
      </c>
      <c r="H167">
        <f t="shared" si="14"/>
        <v>3.0487371487411963</v>
      </c>
      <c r="I167" t="str">
        <f t="shared" si="15"/>
        <v>19.1557804584233j</v>
      </c>
      <c r="J167" t="str">
        <f t="shared" si="16"/>
        <v>0.111748784514994-0.208294506449206j</v>
      </c>
      <c r="K167">
        <f t="shared" si="17"/>
        <v>-12.527871876300464</v>
      </c>
      <c r="L167">
        <f t="shared" si="18"/>
        <v>-61.786702142831963</v>
      </c>
      <c r="M167">
        <f t="shared" si="19"/>
        <v>0.111748784514994</v>
      </c>
      <c r="N167">
        <f t="shared" si="20"/>
        <v>-0.208294506449206</v>
      </c>
    </row>
    <row r="168" spans="7:14" x14ac:dyDescent="0.25">
      <c r="G168">
        <v>0.3</v>
      </c>
      <c r="H168">
        <f t="shared" si="14"/>
        <v>3.1924197039502076</v>
      </c>
      <c r="I168" t="str">
        <f t="shared" si="15"/>
        <v>20.0585645782106j</v>
      </c>
      <c r="J168" t="str">
        <f t="shared" si="16"/>
        <v>0.103960524262305-0.202910008442805j</v>
      </c>
      <c r="K168">
        <f t="shared" si="17"/>
        <v>-12.841615347267721</v>
      </c>
      <c r="L168">
        <f t="shared" si="18"/>
        <v>-62.871760984931434</v>
      </c>
      <c r="M168">
        <f t="shared" si="19"/>
        <v>0.103960524262305</v>
      </c>
      <c r="N168">
        <f t="shared" si="20"/>
        <v>-0.20291000844280499</v>
      </c>
    </row>
    <row r="169" spans="7:14" x14ac:dyDescent="0.25">
      <c r="G169">
        <v>0.32</v>
      </c>
      <c r="H169">
        <f t="shared" si="14"/>
        <v>3.3428738093664636</v>
      </c>
      <c r="I169" t="str">
        <f t="shared" si="15"/>
        <v>21.0038956027668j</v>
      </c>
      <c r="J169" t="str">
        <f t="shared" si="16"/>
        <v>0.0965800373180579-0.197388740942009j</v>
      </c>
      <c r="K169">
        <f t="shared" si="17"/>
        <v>-13.161426267903398</v>
      </c>
      <c r="L169">
        <f t="shared" si="18"/>
        <v>-63.928029200259644</v>
      </c>
      <c r="M169">
        <f t="shared" si="19"/>
        <v>9.6580037318057907E-2</v>
      </c>
      <c r="N169">
        <f t="shared" si="20"/>
        <v>-0.19738874094200901</v>
      </c>
    </row>
    <row r="170" spans="7:14" x14ac:dyDescent="0.25">
      <c r="G170">
        <v>0.34</v>
      </c>
      <c r="H170">
        <f t="shared" si="14"/>
        <v>3.5004185983192841</v>
      </c>
      <c r="I170" t="str">
        <f t="shared" si="15"/>
        <v>21.9937787059379j</v>
      </c>
      <c r="J170" t="str">
        <f t="shared" si="16"/>
        <v>0.0896049662642699-0.191764003798716j</v>
      </c>
      <c r="K170">
        <f t="shared" si="17"/>
        <v>-13.486979150041201</v>
      </c>
      <c r="L170">
        <f t="shared" si="18"/>
        <v>-64.954873673151923</v>
      </c>
      <c r="M170">
        <f t="shared" si="19"/>
        <v>8.9604966264269906E-2</v>
      </c>
      <c r="N170">
        <f t="shared" si="20"/>
        <v>-0.191764003798716</v>
      </c>
    </row>
    <row r="171" spans="7:14" x14ac:dyDescent="0.25">
      <c r="G171">
        <v>0.36</v>
      </c>
      <c r="H171">
        <f t="shared" si="14"/>
        <v>3.6653882444284371</v>
      </c>
      <c r="I171" t="str">
        <f t="shared" si="15"/>
        <v>23.0303135625015j</v>
      </c>
      <c r="J171" t="str">
        <f t="shared" si="16"/>
        <v>0.0830299610529521-0.186067208540412j</v>
      </c>
      <c r="K171">
        <f t="shared" si="17"/>
        <v>-13.817951614561593</v>
      </c>
      <c r="L171">
        <f t="shared" si="18"/>
        <v>-65.951832146460362</v>
      </c>
      <c r="M171">
        <f t="shared" si="19"/>
        <v>8.30299610529521E-2</v>
      </c>
      <c r="N171">
        <f t="shared" si="20"/>
        <v>-0.186067208540412</v>
      </c>
    </row>
    <row r="172" spans="7:14" x14ac:dyDescent="0.25">
      <c r="G172">
        <v>0.38</v>
      </c>
      <c r="H172">
        <f t="shared" si="14"/>
        <v>3.8381326704311856</v>
      </c>
      <c r="I172" t="str">
        <f t="shared" si="15"/>
        <v>24.1156988018592j</v>
      </c>
      <c r="J172" t="str">
        <f t="shared" si="16"/>
        <v>0.0768470734225381-0.180327657384163j</v>
      </c>
      <c r="K172">
        <f t="shared" si="17"/>
        <v>-14.154026628086211</v>
      </c>
      <c r="L172">
        <f t="shared" si="18"/>
        <v>-66.918602641900506</v>
      </c>
      <c r="M172">
        <f t="shared" si="19"/>
        <v>7.6847073422538104E-2</v>
      </c>
      <c r="N172">
        <f t="shared" si="20"/>
        <v>-0.18032765738416301</v>
      </c>
    </row>
    <row r="173" spans="7:14" x14ac:dyDescent="0.25">
      <c r="G173">
        <v>0.4</v>
      </c>
      <c r="H173">
        <f t="shared" si="14"/>
        <v>4.0190182904153291</v>
      </c>
      <c r="I173" t="str">
        <f t="shared" si="15"/>
        <v>25.2522366716236j</v>
      </c>
      <c r="J173" t="str">
        <f t="shared" si="16"/>
        <v>0.0710461507980664-0.174572391447822j</v>
      </c>
      <c r="K173">
        <f t="shared" si="17"/>
        <v>-14.494894423581812</v>
      </c>
      <c r="L173">
        <f t="shared" si="18"/>
        <v>-67.855031899285578</v>
      </c>
      <c r="M173">
        <f t="shared" si="19"/>
        <v>7.1046150798066393E-2</v>
      </c>
      <c r="N173">
        <f t="shared" si="20"/>
        <v>-0.174572391447822</v>
      </c>
    </row>
    <row r="174" spans="7:14" x14ac:dyDescent="0.25">
      <c r="G174">
        <v>0.42</v>
      </c>
      <c r="H174">
        <f t="shared" si="14"/>
        <v>4.208428787032612</v>
      </c>
      <c r="I174" t="str">
        <f t="shared" si="15"/>
        <v>26.4423379209949j</v>
      </c>
      <c r="J174" t="str">
        <f t="shared" si="16"/>
        <v>0.0656152193052215-0.168826101797496j</v>
      </c>
      <c r="K174">
        <f t="shared" si="17"/>
        <v>-14.840254109580037</v>
      </c>
      <c r="L174">
        <f t="shared" si="18"/>
        <v>-68.761103183628649</v>
      </c>
      <c r="M174">
        <f t="shared" si="19"/>
        <v>6.5615219305221503E-2</v>
      </c>
      <c r="N174">
        <f t="shared" si="20"/>
        <v>-0.16882610179749599</v>
      </c>
    </row>
    <row r="175" spans="7:14" x14ac:dyDescent="0.25">
      <c r="G175">
        <v>0.44</v>
      </c>
      <c r="H175">
        <f t="shared" si="14"/>
        <v>4.406765925341066</v>
      </c>
      <c r="I175" t="str">
        <f t="shared" si="15"/>
        <v>27.6885269142826j</v>
      </c>
      <c r="J175" t="str">
        <f t="shared" si="16"/>
        <v>0.0605408476922328-0.163111095903443j</v>
      </c>
      <c r="K175">
        <f t="shared" si="17"/>
        <v>-15.189814980146599</v>
      </c>
      <c r="L175">
        <f t="shared" si="18"/>
        <v>-69.636923772450757</v>
      </c>
      <c r="M175">
        <f t="shared" si="19"/>
        <v>6.0540847692232801E-2</v>
      </c>
      <c r="N175">
        <f t="shared" si="20"/>
        <v>-0.163111095903443</v>
      </c>
    </row>
    <row r="176" spans="7:14" x14ac:dyDescent="0.25">
      <c r="G176">
        <v>0.46</v>
      </c>
      <c r="H176">
        <f t="shared" si="14"/>
        <v>4.6144504050025699</v>
      </c>
      <c r="I176" t="str">
        <f t="shared" si="15"/>
        <v>28.993446985421j</v>
      </c>
      <c r="J176" t="str">
        <f t="shared" si="16"/>
        <v>0.0558084860508922-0.15744731153676j</v>
      </c>
      <c r="K176">
        <f t="shared" si="17"/>
        <v>-15.543297543453395</v>
      </c>
      <c r="L176">
        <f t="shared" si="18"/>
        <v>-70.482712394807862</v>
      </c>
      <c r="M176">
        <f t="shared" si="19"/>
        <v>5.5808486050892198E-2</v>
      </c>
      <c r="N176">
        <f t="shared" si="20"/>
        <v>-0.15744731153676</v>
      </c>
    </row>
    <row r="177" spans="7:14" x14ac:dyDescent="0.25">
      <c r="G177">
        <v>0.48</v>
      </c>
      <c r="H177">
        <f t="shared" si="14"/>
        <v>4.8319227526432265</v>
      </c>
      <c r="I177" t="str">
        <f t="shared" si="15"/>
        <v>30.3598660448347j</v>
      </c>
      <c r="J177" t="str">
        <f t="shared" si="16"/>
        <v>0.0514027751631743-0.15185237004114j</v>
      </c>
      <c r="K177">
        <f t="shared" si="17"/>
        <v>-15.900434290905372</v>
      </c>
      <c r="L177">
        <f t="shared" si="18"/>
        <v>-71.298786851060257</v>
      </c>
      <c r="M177">
        <f t="shared" si="19"/>
        <v>5.1402775163174298E-2</v>
      </c>
      <c r="N177">
        <f t="shared" si="20"/>
        <v>-0.15185237004113999</v>
      </c>
    </row>
    <row r="178" spans="7:14" x14ac:dyDescent="0.25">
      <c r="G178">
        <v>0.5</v>
      </c>
      <c r="H178">
        <f t="shared" si="14"/>
        <v>5.0596442562694079</v>
      </c>
      <c r="I178" t="str">
        <f t="shared" si="15"/>
        <v>31.7906824505475j</v>
      </c>
      <c r="J178" t="str">
        <f t="shared" si="16"/>
        <v>0.047307824010133-0.146341661164867j</v>
      </c>
      <c r="K178">
        <f t="shared" si="17"/>
        <v>-16.260970231412117</v>
      </c>
      <c r="L178">
        <f t="shared" si="18"/>
        <v>-72.085552000381824</v>
      </c>
      <c r="M178">
        <f t="shared" si="19"/>
        <v>4.7307824010132997E-2</v>
      </c>
      <c r="N178">
        <f t="shared" si="20"/>
        <v>-0.14634166116486699</v>
      </c>
    </row>
    <row r="179" spans="7:14" x14ac:dyDescent="0.25">
      <c r="G179">
        <v>0.52</v>
      </c>
      <c r="H179">
        <f t="shared" si="14"/>
        <v>5.2980979437214586</v>
      </c>
      <c r="I179" t="str">
        <f t="shared" si="15"/>
        <v>33.288931155989j</v>
      </c>
      <c r="J179" t="str">
        <f t="shared" si="16"/>
        <v>0.0435074544310604-0.140928452146681j</v>
      </c>
      <c r="K179">
        <f t="shared" si="17"/>
        <v>-16.624663216768191</v>
      </c>
      <c r="L179">
        <f t="shared" si="18"/>
        <v>-72.843488263008283</v>
      </c>
      <c r="M179">
        <f t="shared" si="19"/>
        <v>4.3507454431060397E-2</v>
      </c>
      <c r="N179">
        <f t="shared" si="20"/>
        <v>-0.14092845214668101</v>
      </c>
    </row>
    <row r="180" spans="7:14" x14ac:dyDescent="0.25">
      <c r="G180">
        <v>0.54</v>
      </c>
      <c r="H180">
        <f t="shared" si="14"/>
        <v>5.5477896072405075</v>
      </c>
      <c r="I180" t="str">
        <f t="shared" si="15"/>
        <v>34.8577901475372j</v>
      </c>
      <c r="J180" t="str">
        <f t="shared" si="16"/>
        <v>0.0399854131030193-0.135624014431407j</v>
      </c>
      <c r="K180">
        <f t="shared" si="17"/>
        <v>-16.991284084422503</v>
      </c>
      <c r="L180">
        <f t="shared" si="18"/>
        <v>-73.573140747409482</v>
      </c>
      <c r="M180">
        <f t="shared" si="19"/>
        <v>3.9985413103019299E-2</v>
      </c>
      <c r="N180">
        <f t="shared" si="20"/>
        <v>-0.13562401443140701</v>
      </c>
    </row>
    <row r="181" spans="7:14" x14ac:dyDescent="0.25">
      <c r="G181">
        <v>0.56000000000000005</v>
      </c>
      <c r="H181">
        <f t="shared" si="14"/>
        <v>5.8092488763216226</v>
      </c>
      <c r="I181" t="str">
        <f t="shared" si="15"/>
        <v>36.5005871854535j</v>
      </c>
      <c r="J181" t="str">
        <f t="shared" si="16"/>
        <v>0.0367255519314984-0.130437762174441j</v>
      </c>
      <c r="K181">
        <f t="shared" si="17"/>
        <v>-17.360616643397954</v>
      </c>
      <c r="L181">
        <f t="shared" si="18"/>
        <v>-74.275109079652125</v>
      </c>
      <c r="M181">
        <f t="shared" si="19"/>
        <v>3.6725551931498401E-2</v>
      </c>
      <c r="N181">
        <f t="shared" si="20"/>
        <v>-0.130437762174441</v>
      </c>
    </row>
    <row r="182" spans="7:14" x14ac:dyDescent="0.25">
      <c r="G182">
        <v>0.57999999999999996</v>
      </c>
      <c r="H182">
        <f t="shared" si="14"/>
        <v>6.0830303411289792</v>
      </c>
      <c r="I182" t="str">
        <f t="shared" si="15"/>
        <v>38.2208068625092j</v>
      </c>
      <c r="J182" t="str">
        <f t="shared" si="16"/>
        <v>0.0337119786224401-0.125377397518772j</v>
      </c>
      <c r="K182">
        <f t="shared" si="17"/>
        <v>-17.732457527962325</v>
      </c>
      <c r="L182">
        <f t="shared" si="18"/>
        <v>-74.95003798356349</v>
      </c>
      <c r="M182">
        <f t="shared" si="19"/>
        <v>3.3711978622440103E-2</v>
      </c>
      <c r="N182">
        <f t="shared" si="20"/>
        <v>-0.125377397518772</v>
      </c>
    </row>
    <row r="183" spans="7:14" x14ac:dyDescent="0.25">
      <c r="G183">
        <v>0.6</v>
      </c>
      <c r="H183">
        <f t="shared" si="14"/>
        <v>6.369714728855957</v>
      </c>
      <c r="I183" t="str">
        <f t="shared" si="15"/>
        <v>40.0220979952731j</v>
      </c>
      <c r="J183" t="str">
        <f t="shared" si="16"/>
        <v>0.0309291796722878-0.120449058447724j</v>
      </c>
      <c r="K183">
        <f t="shared" si="17"/>
        <v>-18.106615942034235</v>
      </c>
      <c r="L183">
        <f t="shared" si="18"/>
        <v>-75.598608636006858</v>
      </c>
      <c r="M183">
        <f t="shared" si="19"/>
        <v>3.0929179672287799E-2</v>
      </c>
      <c r="N183">
        <f t="shared" si="20"/>
        <v>-0.12044905844772399</v>
      </c>
    </row>
    <row r="184" spans="7:14" x14ac:dyDescent="0.25">
      <c r="G184">
        <v>0.62</v>
      </c>
      <c r="H184">
        <f t="shared" si="14"/>
        <v>6.6699101355253676</v>
      </c>
      <c r="I184" t="str">
        <f t="shared" si="15"/>
        <v>41.9082813637412j</v>
      </c>
      <c r="J184" t="str">
        <f t="shared" si="16"/>
        <v>0.028362118297856-0.11565746579701j</v>
      </c>
      <c r="K184">
        <f t="shared" si="17"/>
        <v>-18.482913315396182</v>
      </c>
      <c r="L184">
        <f t="shared" si="18"/>
        <v>-76.22153080151736</v>
      </c>
      <c r="M184">
        <f t="shared" si="19"/>
        <v>2.8362118297855999E-2</v>
      </c>
      <c r="N184">
        <f t="shared" si="20"/>
        <v>-0.11565746579701</v>
      </c>
    </row>
    <row r="185" spans="7:14" x14ac:dyDescent="0.25">
      <c r="G185">
        <v>0.64</v>
      </c>
      <c r="H185">
        <f t="shared" si="14"/>
        <v>6.9842533158426567</v>
      </c>
      <c r="I185" t="str">
        <f t="shared" si="15"/>
        <v>43.8833578157229j</v>
      </c>
      <c r="J185" t="str">
        <f t="shared" si="16"/>
        <v>0.0259963099644587-0.11100606672818j</v>
      </c>
      <c r="K185">
        <f t="shared" si="17"/>
        <v>-18.861182890703066</v>
      </c>
      <c r="L185">
        <f t="shared" si="18"/>
        <v>-76.81953573444143</v>
      </c>
      <c r="M185">
        <f t="shared" si="19"/>
        <v>2.5996309964458699E-2</v>
      </c>
      <c r="N185">
        <f t="shared" si="20"/>
        <v>-0.11100606672818</v>
      </c>
    </row>
    <row r="186" spans="7:14" x14ac:dyDescent="0.25">
      <c r="G186">
        <v>0.66</v>
      </c>
      <c r="H186">
        <f t="shared" si="14"/>
        <v>7.3134110338380012</v>
      </c>
      <c r="I186" t="str">
        <f t="shared" si="15"/>
        <v>45.951516753176j</v>
      </c>
      <c r="J186" t="str">
        <f t="shared" si="16"/>
        <v>0.0238178781900497-0.106497172608238j</v>
      </c>
      <c r="K186">
        <f t="shared" si="17"/>
        <v>-19.241269258134942</v>
      </c>
      <c r="L186">
        <f t="shared" si="18"/>
        <v>-77.393369824220699</v>
      </c>
      <c r="M186">
        <f t="shared" si="19"/>
        <v>2.3817878190049699E-2</v>
      </c>
      <c r="N186">
        <f t="shared" si="20"/>
        <v>-0.106497172608238</v>
      </c>
    </row>
    <row r="187" spans="7:14" x14ac:dyDescent="0.25">
      <c r="G187">
        <v>0.68</v>
      </c>
      <c r="H187">
        <f t="shared" si="14"/>
        <v>7.6580814771622148</v>
      </c>
      <c r="I187" t="str">
        <f t="shared" si="15"/>
        <v>48.1171450184898j</v>
      </c>
      <c r="J187" t="str">
        <f t="shared" si="16"/>
        <v>0.0218135932336821-0.102132089800789j</v>
      </c>
      <c r="K187">
        <f t="shared" si="17"/>
        <v>-19.623027852423135</v>
      </c>
      <c r="L187">
        <f t="shared" si="18"/>
        <v>-77.943788950125793</v>
      </c>
      <c r="M187">
        <f t="shared" si="19"/>
        <v>2.1813593233682101E-2</v>
      </c>
      <c r="N187">
        <f t="shared" si="20"/>
        <v>-0.102132089800789</v>
      </c>
    </row>
    <row r="188" spans="7:14" x14ac:dyDescent="0.25">
      <c r="G188">
        <v>0.7</v>
      </c>
      <c r="H188">
        <f t="shared" si="14"/>
        <v>8.0189957380363577</v>
      </c>
      <c r="I188" t="str">
        <f t="shared" si="15"/>
        <v>50.3848361995658j</v>
      </c>
      <c r="J188" t="str">
        <f t="shared" si="16"/>
        <v>0.0199708961432463-0.0979112423517281j</v>
      </c>
      <c r="K188">
        <f t="shared" si="17"/>
        <v>-20.006324424940907</v>
      </c>
      <c r="L188">
        <f t="shared" si="18"/>
        <v>-78.471553505161467</v>
      </c>
      <c r="M188">
        <f t="shared" si="19"/>
        <v>1.9970896143246299E-2</v>
      </c>
      <c r="N188">
        <f t="shared" si="20"/>
        <v>-9.7911242351728101E-2</v>
      </c>
    </row>
    <row r="189" spans="7:14" x14ac:dyDescent="0.25">
      <c r="G189">
        <v>0.72</v>
      </c>
      <c r="H189">
        <f t="shared" si="14"/>
        <v>8.3969193639963624</v>
      </c>
      <c r="I189" t="str">
        <f t="shared" si="15"/>
        <v>52.7594003734337j</v>
      </c>
      <c r="J189" t="str">
        <f t="shared" si="16"/>
        <v>0.0182779104612634-0.0938342859502952j</v>
      </c>
      <c r="K189">
        <f t="shared" si="17"/>
        <v>-20.391034501640082</v>
      </c>
      <c r="L189">
        <f t="shared" si="18"/>
        <v>-78.977424044573837</v>
      </c>
      <c r="M189">
        <f t="shared" si="19"/>
        <v>1.82779104612634E-2</v>
      </c>
      <c r="N189">
        <f t="shared" si="20"/>
        <v>-9.3834285950295193E-2</v>
      </c>
    </row>
    <row r="190" spans="7:14" x14ac:dyDescent="0.25">
      <c r="G190">
        <v>0.74</v>
      </c>
      <c r="H190">
        <f t="shared" si="14"/>
        <v>8.792653981721994</v>
      </c>
      <c r="I190" t="str">
        <f t="shared" si="15"/>
        <v>55.2458743090697j</v>
      </c>
      <c r="J190" t="str">
        <f t="shared" si="16"/>
        <v>0.0167234436856328-0.0899002128702144j</v>
      </c>
      <c r="K190">
        <f t="shared" si="17"/>
        <v>-20.777042835853162</v>
      </c>
      <c r="L190">
        <f t="shared" si="18"/>
        <v>-79.46215751201585</v>
      </c>
      <c r="M190">
        <f t="shared" si="19"/>
        <v>1.6723443685632802E-2</v>
      </c>
      <c r="N190">
        <f t="shared" si="20"/>
        <v>-8.9900212870214394E-2</v>
      </c>
    </row>
    <row r="191" spans="7:14" x14ac:dyDescent="0.25">
      <c r="G191">
        <v>0.76</v>
      </c>
      <c r="H191">
        <f t="shared" si="14"/>
        <v>9.2070389973945144</v>
      </c>
      <c r="I191" t="str">
        <f t="shared" si="15"/>
        <v>57.8495321510587j</v>
      </c>
      <c r="J191" t="str">
        <f t="shared" si="16"/>
        <v>0.0152969803682421-0.0861074478528698j</v>
      </c>
      <c r="K191">
        <f t="shared" si="17"/>
        <v>-21.164242863390452</v>
      </c>
      <c r="L191">
        <f t="shared" si="18"/>
        <v>-79.926503995569192</v>
      </c>
      <c r="M191">
        <f t="shared" si="19"/>
        <v>1.52969803682421E-2</v>
      </c>
      <c r="N191">
        <f t="shared" si="20"/>
        <v>-8.6107447852869806E-2</v>
      </c>
    </row>
    <row r="192" spans="7:14" x14ac:dyDescent="0.25">
      <c r="G192">
        <v>0.78</v>
      </c>
      <c r="H192">
        <f t="shared" si="14"/>
        <v>9.640953377189728</v>
      </c>
      <c r="I192" t="str">
        <f t="shared" si="15"/>
        <v>60.5758966067619j</v>
      </c>
      <c r="J192" t="str">
        <f t="shared" si="16"/>
        <v>0.0139886685185819-0.0824539350932882j</v>
      </c>
      <c r="K192">
        <f t="shared" si="17"/>
        <v>-21.552536165940083</v>
      </c>
      <c r="L192">
        <f t="shared" si="18"/>
        <v>-80.371203966171592</v>
      </c>
      <c r="M192">
        <f t="shared" si="19"/>
        <v>1.3988668518581901E-2</v>
      </c>
      <c r="N192">
        <f t="shared" si="20"/>
        <v>-8.2453935093288203E-2</v>
      </c>
    </row>
    <row r="193" spans="7:14" x14ac:dyDescent="0.25">
      <c r="G193">
        <v>0.8</v>
      </c>
      <c r="H193">
        <f t="shared" si="14"/>
        <v>10.095317511683096</v>
      </c>
      <c r="I193" t="str">
        <f t="shared" si="15"/>
        <v>63.43075066072j</v>
      </c>
      <c r="J193" t="str">
        <f t="shared" si="16"/>
        <v>0.01278930076954-0.0789372166382641j</v>
      </c>
      <c r="K193">
        <f t="shared" si="17"/>
        <v>-21.941831947530794</v>
      </c>
      <c r="L193">
        <f t="shared" si="18"/>
        <v>-80.796985952259874</v>
      </c>
      <c r="M193">
        <f t="shared" si="19"/>
        <v>1.2789300769539999E-2</v>
      </c>
      <c r="N193">
        <f t="shared" si="20"/>
        <v>-7.8937216638264099E-2</v>
      </c>
    </row>
    <row r="194" spans="7:14" x14ac:dyDescent="0.25">
      <c r="G194">
        <v>0.82</v>
      </c>
      <c r="H194">
        <f t="shared" si="14"/>
        <v>10.571095168121538</v>
      </c>
      <c r="I194" t="str">
        <f t="shared" si="15"/>
        <v>66.4201498411384j</v>
      </c>
      <c r="J194" t="str">
        <f t="shared" si="16"/>
        <v>0.0116902915636658-0.0755545026122824j</v>
      </c>
      <c r="K194">
        <f t="shared" si="17"/>
        <v>-22.332046527731318</v>
      </c>
      <c r="L194">
        <f t="shared" si="18"/>
        <v>-81.204564606365523</v>
      </c>
      <c r="M194">
        <f t="shared" si="19"/>
        <v>1.16902915636658E-2</v>
      </c>
      <c r="N194">
        <f t="shared" si="20"/>
        <v>-7.5554502612282401E-2</v>
      </c>
    </row>
    <row r="195" spans="7:14" x14ac:dyDescent="0.25">
      <c r="G195">
        <v>0.84</v>
      </c>
      <c r="H195">
        <f t="shared" ref="H195:H203" si="21">$B$3*10^G195</f>
        <v>11.069295534702988</v>
      </c>
      <c r="I195" t="str">
        <f t="shared" si="15"/>
        <v>69.5504350644744j</v>
      </c>
      <c r="J195" t="str">
        <f t="shared" si="16"/>
        <v>0.0106836514337711-0.0723027337583251j</v>
      </c>
      <c r="K195">
        <f t="shared" si="17"/>
        <v>-22.723102854328815</v>
      </c>
      <c r="L195">
        <f t="shared" si="18"/>
        <v>-81.594639121799233</v>
      </c>
      <c r="M195">
        <f t="shared" si="19"/>
        <v>1.06836514337711E-2</v>
      </c>
      <c r="N195">
        <f t="shared" si="20"/>
        <v>-7.2302733758325105E-2</v>
      </c>
    </row>
    <row r="196" spans="7:14" x14ac:dyDescent="0.25">
      <c r="G196">
        <v>0.86</v>
      </c>
      <c r="H196">
        <f t="shared" si="21"/>
        <v>11.590975361199845</v>
      </c>
      <c r="I196" t="str">
        <f t="shared" ref="I196:I259" si="22">COMPLEX(0,H196*2*PI(),"j")</f>
        <v>72.8282460853715j</v>
      </c>
      <c r="J196" t="str">
        <f t="shared" ref="J196:J259" si="23">IMDIV(0.5,IMSUM(1,IMPRODUCT(I196,$B$10*$B$11/2)))</f>
        <v>0.0097619592837261-0.0691786368238485j</v>
      </c>
      <c r="K196">
        <f t="shared" ref="K196:K259" si="24">20*LOG(IMABS(J196))</f>
        <v>-23.114930037438018</v>
      </c>
      <c r="L196">
        <f t="shared" ref="L196:L259" si="25">DEGREES(IMARGUMENT(J196))</f>
        <v>-81.967891960253979</v>
      </c>
      <c r="M196">
        <f t="shared" ref="M196:M259" si="26">IMREAL(J196)</f>
        <v>9.7619592837261005E-3</v>
      </c>
      <c r="N196">
        <f t="shared" ref="N196:N259" si="27">IMAGINARY(J196)</f>
        <v>-6.9178636823848505E-2</v>
      </c>
    </row>
    <row r="197" spans="7:14" x14ac:dyDescent="0.25">
      <c r="G197">
        <v>0.88</v>
      </c>
      <c r="H197">
        <f t="shared" si="21"/>
        <v>12.13724120046694</v>
      </c>
      <c r="I197" t="str">
        <f t="shared" si="22"/>
        <v>76.2605355804686j</v>
      </c>
      <c r="J197" t="str">
        <f t="shared" si="23"/>
        <v>0.00891833342451908-0.0661787733430338j</v>
      </c>
      <c r="K197">
        <f t="shared" si="24"/>
        <v>-23.507462906329145</v>
      </c>
      <c r="L197">
        <f t="shared" si="25"/>
        <v>-82.324987854018417</v>
      </c>
      <c r="M197">
        <f t="shared" si="26"/>
        <v>8.9183334245190801E-3</v>
      </c>
      <c r="N197">
        <f t="shared" si="27"/>
        <v>-6.6178773343033806E-2</v>
      </c>
    </row>
    <row r="198" spans="7:14" x14ac:dyDescent="0.25">
      <c r="G198">
        <v>0.9</v>
      </c>
      <c r="H198">
        <f t="shared" si="21"/>
        <v>12.709251755588509</v>
      </c>
      <c r="I198" t="str">
        <f t="shared" si="22"/>
        <v>79.8545838959601j</v>
      </c>
      <c r="J198" t="str">
        <f t="shared" si="23"/>
        <v>0.00814640198706962-0.0632995823698694j</v>
      </c>
      <c r="K198">
        <f t="shared" si="24"/>
        <v>-23.900641589713693</v>
      </c>
      <c r="L198">
        <f t="shared" si="25"/>
        <v>-82.666573049417224</v>
      </c>
      <c r="M198">
        <f t="shared" si="26"/>
        <v>8.1464019870696198E-3</v>
      </c>
      <c r="N198">
        <f t="shared" si="27"/>
        <v>-6.3299582369869406E-2</v>
      </c>
    </row>
    <row r="199" spans="7:14" x14ac:dyDescent="0.25">
      <c r="G199">
        <v>0.92</v>
      </c>
      <c r="H199">
        <f t="shared" si="21"/>
        <v>13.308220337642737</v>
      </c>
      <c r="I199" t="str">
        <f t="shared" si="22"/>
        <v>83.6180144901854j</v>
      </c>
      <c r="J199" t="str">
        <f t="shared" si="23"/>
        <v>0.00744027321632617-0.0605374177069811j</v>
      </c>
      <c r="K199">
        <f t="shared" si="24"/>
        <v>-24.294411119777539</v>
      </c>
      <c r="L199">
        <f t="shared" si="25"/>
        <v>-82.99327476100035</v>
      </c>
      <c r="M199">
        <f t="shared" si="26"/>
        <v>7.4402732163261704E-3</v>
      </c>
      <c r="N199">
        <f t="shared" si="27"/>
        <v>-6.0537417706981102E-2</v>
      </c>
    </row>
    <row r="200" spans="7:14" x14ac:dyDescent="0.25">
      <c r="G200">
        <v>0.94</v>
      </c>
      <c r="H200">
        <f t="shared" si="21"/>
        <v>13.935417439297289</v>
      </c>
      <c r="I200" t="str">
        <f t="shared" si="22"/>
        <v>87.5588101040069j</v>
      </c>
      <c r="J200" t="str">
        <f t="shared" si="23"/>
        <v>0.00679450604985845-0.0578885801559138j</v>
      </c>
      <c r="K200">
        <f t="shared" si="24"/>
        <v>-24.688721059888831</v>
      </c>
      <c r="L200">
        <f t="shared" si="25"/>
        <v>-83.305700808831745</v>
      </c>
      <c r="M200">
        <f t="shared" si="26"/>
        <v>6.7945060498584503E-3</v>
      </c>
      <c r="N200">
        <f t="shared" si="27"/>
        <v>-5.7888580155913798E-2</v>
      </c>
    </row>
    <row r="201" spans="7:14" x14ac:dyDescent="0.25">
      <c r="G201">
        <v>0.96</v>
      </c>
      <c r="H201">
        <f t="shared" si="21"/>
        <v>14.592173429694558</v>
      </c>
      <c r="I201" t="str">
        <f t="shared" si="22"/>
        <v>91.6853296932732j</v>
      </c>
      <c r="J201" t="str">
        <f t="shared" si="23"/>
        <v>0.0062040812972548-0.0553493452886703j</v>
      </c>
      <c r="K201">
        <f t="shared" si="24"/>
        <v>-25.083525155620947</v>
      </c>
      <c r="L201">
        <f t="shared" si="25"/>
        <v>-83.604439413936277</v>
      </c>
      <c r="M201">
        <f t="shared" si="26"/>
        <v>6.2040812972547999E-3</v>
      </c>
      <c r="N201">
        <f t="shared" si="27"/>
        <v>-5.5349345288670297E-2</v>
      </c>
    </row>
    <row r="202" spans="7:14" x14ac:dyDescent="0.25">
      <c r="G202">
        <v>0.98</v>
      </c>
      <c r="H202">
        <f t="shared" si="21"/>
        <v>15.279881376342974</v>
      </c>
      <c r="I202" t="str">
        <f t="shared" si="22"/>
        <v>96.0063261592852j</v>
      </c>
      <c r="J202" t="str">
        <f t="shared" si="23"/>
        <v>0.00566437366281084-0.0529159872100434j</v>
      </c>
      <c r="K202">
        <f t="shared" si="24"/>
        <v>-25.478781008508847</v>
      </c>
      <c r="L202">
        <f t="shared" si="25"/>
        <v>-83.890059129522797</v>
      </c>
      <c r="M202">
        <f t="shared" si="26"/>
        <v>5.6643736628108404E-3</v>
      </c>
      <c r="N202">
        <f t="shared" si="27"/>
        <v>-5.2915987210043397E-2</v>
      </c>
    </row>
    <row r="203" spans="7:14" x14ac:dyDescent="0.25">
      <c r="G203">
        <v>1</v>
      </c>
      <c r="H203">
        <f t="shared" si="21"/>
        <v>16</v>
      </c>
      <c r="I203" t="str">
        <f t="shared" si="22"/>
        <v>100.530964914873j</v>
      </c>
      <c r="J203" t="str">
        <f t="shared" si="23"/>
        <v>0.00517112479187231-0.0505847987474798j</v>
      </c>
      <c r="K203">
        <f t="shared" si="24"/>
        <v>-25.874449771787852</v>
      </c>
      <c r="L203">
        <f t="shared" si="25"/>
        <v>-84.163108887993616</v>
      </c>
      <c r="M203">
        <f t="shared" si="26"/>
        <v>5.1711247918723099E-3</v>
      </c>
      <c r="N203">
        <f t="shared" si="27"/>
        <v>-5.0584798747479801E-2</v>
      </c>
    </row>
    <row r="204" spans="7:14" x14ac:dyDescent="0.25">
      <c r="G204">
        <v>1.02</v>
      </c>
      <c r="H204">
        <f t="shared" ref="H204:H267" si="28">$B$3*10^G204</f>
        <v>16.754056768814401</v>
      </c>
      <c r="I204" t="str">
        <f t="shared" si="22"/>
        <v>105.268843325467j</v>
      </c>
      <c r="J204" t="str">
        <f t="shared" si="23"/>
        <v>0.0047204174694086-0.0483521084712839j</v>
      </c>
      <c r="K204">
        <f t="shared" si="24"/>
        <v>-26.270495867241571</v>
      </c>
      <c r="L204">
        <f t="shared" si="25"/>
        <v>-84.424118145965608</v>
      </c>
      <c r="M204">
        <f t="shared" si="26"/>
        <v>4.7204174694085999E-3</v>
      </c>
      <c r="N204">
        <f t="shared" si="27"/>
        <v>-4.8352108471283899E-2</v>
      </c>
    </row>
    <row r="205" spans="7:14" x14ac:dyDescent="0.25">
      <c r="G205">
        <v>1.04</v>
      </c>
      <c r="H205">
        <f t="shared" si="28"/>
        <v>17.543651138290965</v>
      </c>
      <c r="I205" t="str">
        <f t="shared" si="22"/>
        <v>110.230011066394j</v>
      </c>
      <c r="J205" t="str">
        <f t="shared" si="23"/>
        <v>0.00430865105665256-0.0462142949140013j</v>
      </c>
      <c r="K205">
        <f t="shared" si="24"/>
        <v>-26.66688672219998</v>
      </c>
      <c r="L205">
        <f t="shared" si="25"/>
        <v>-84.673597111563936</v>
      </c>
      <c r="M205">
        <f t="shared" si="26"/>
        <v>4.3086510566525604E-3</v>
      </c>
      <c r="N205">
        <f t="shared" si="27"/>
        <v>-4.6214294914001301E-2</v>
      </c>
    </row>
    <row r="206" spans="7:14" x14ac:dyDescent="0.25">
      <c r="G206">
        <v>1.06</v>
      </c>
      <c r="H206">
        <f t="shared" si="28"/>
        <v>18.370457943950136</v>
      </c>
      <c r="I206" t="str">
        <f t="shared" si="22"/>
        <v>115.424991439588j</v>
      </c>
      <c r="J206" t="str">
        <f t="shared" si="23"/>
        <v>0.00393251821673212-0.044167798324584j</v>
      </c>
      <c r="K206">
        <f t="shared" si="24"/>
        <v>-27.063592525675354</v>
      </c>
      <c r="L206">
        <f t="shared" si="25"/>
        <v>-84.912037040108913</v>
      </c>
      <c r="M206">
        <f t="shared" si="26"/>
        <v>3.9325182167321204E-3</v>
      </c>
      <c r="N206">
        <f t="shared" si="27"/>
        <v>-4.4167798324584E-2</v>
      </c>
    </row>
    <row r="207" spans="7:14" x14ac:dyDescent="0.25">
      <c r="G207">
        <v>1.08</v>
      </c>
      <c r="H207">
        <f t="shared" si="28"/>
        <v>19.236230953878614</v>
      </c>
      <c r="I207" t="str">
        <f t="shared" si="22"/>
        <v>120.864803694923j</v>
      </c>
      <c r="J207" t="str">
        <f t="shared" si="23"/>
        <v>0.00358898295204411-0.0422091302610228j</v>
      </c>
      <c r="K207">
        <f t="shared" si="24"/>
        <v>-27.460586002593445</v>
      </c>
      <c r="L207">
        <f t="shared" si="25"/>
        <v>-85.13991058600071</v>
      </c>
      <c r="M207">
        <f t="shared" si="26"/>
        <v>3.5889829520441099E-3</v>
      </c>
      <c r="N207">
        <f t="shared" si="27"/>
        <v>-4.2209130261022798E-2</v>
      </c>
    </row>
    <row r="208" spans="7:14" x14ac:dyDescent="0.25">
      <c r="G208">
        <v>1.1000000000000001</v>
      </c>
      <c r="H208">
        <f t="shared" si="28"/>
        <v>20.142806588706691</v>
      </c>
      <c r="I208" t="str">
        <f t="shared" si="22"/>
        <v>126.560986403522j</v>
      </c>
      <c r="J208" t="str">
        <f t="shared" si="23"/>
        <v>0.0032752599536739-0.0403348812948893j</v>
      </c>
      <c r="K208">
        <f t="shared" si="24"/>
        <v>-27.857842205069346</v>
      </c>
      <c r="L208">
        <f t="shared" si="25"/>
        <v>-85.357672200129812</v>
      </c>
      <c r="M208">
        <f t="shared" si="26"/>
        <v>3.2752599536738998E-3</v>
      </c>
      <c r="N208">
        <f t="shared" si="27"/>
        <v>-4.0334881294889303E-2</v>
      </c>
    </row>
    <row r="209" spans="7:14" x14ac:dyDescent="0.25">
      <c r="G209">
        <v>1.1200000000000001</v>
      </c>
      <c r="H209">
        <f t="shared" si="28"/>
        <v>21.092107816902523</v>
      </c>
      <c r="I209" t="str">
        <f t="shared" si="22"/>
        <v>132.52562193261j</v>
      </c>
      <c r="J209" t="str">
        <f t="shared" si="23"/>
        <v>0.00298879524556669-0.0385417270729196j</v>
      </c>
      <c r="K209">
        <f t="shared" si="24"/>
        <v>-28.255338319684359</v>
      </c>
      <c r="L209">
        <f t="shared" si="25"/>
        <v>-85.565758563509021</v>
      </c>
      <c r="M209">
        <f t="shared" si="26"/>
        <v>2.9887952455666901E-3</v>
      </c>
      <c r="N209">
        <f t="shared" si="27"/>
        <v>-3.8541727072919599E-2</v>
      </c>
    </row>
    <row r="210" spans="7:14" x14ac:dyDescent="0.25">
      <c r="G210">
        <v>1.1399999999999999</v>
      </c>
      <c r="H210">
        <f t="shared" si="28"/>
        <v>22.086148233646163</v>
      </c>
      <c r="I210" t="str">
        <f t="shared" si="22"/>
        <v>138.771362073836j</v>
      </c>
      <c r="J210" t="str">
        <f t="shared" si="23"/>
        <v>0.00272724809262439-0.0368264329545161j</v>
      </c>
      <c r="K210">
        <f t="shared" si="24"/>
        <v>-28.653053489739353</v>
      </c>
      <c r="L210">
        <f t="shared" si="25"/>
        <v>-85.764589049044403</v>
      </c>
      <c r="M210">
        <f t="shared" si="26"/>
        <v>2.7272480926243902E-3</v>
      </c>
      <c r="N210">
        <f t="shared" si="27"/>
        <v>-3.6826432954516097E-2</v>
      </c>
    </row>
    <row r="211" spans="7:14" x14ac:dyDescent="0.25">
      <c r="G211">
        <v>1.1599999999999999</v>
      </c>
      <c r="H211">
        <f t="shared" si="28"/>
        <v>23.127036331934843</v>
      </c>
      <c r="I211" t="str">
        <f t="shared" si="22"/>
        <v>145.311454879421j</v>
      </c>
      <c r="J211" t="str">
        <f t="shared" si="23"/>
        <v>0.00248847413175353-0.0351858574198833j</v>
      </c>
      <c r="K211">
        <f t="shared" si="24"/>
        <v>-29.050968651489754</v>
      </c>
      <c r="L211">
        <f t="shared" si="25"/>
        <v>-85.954566204454977</v>
      </c>
      <c r="M211">
        <f t="shared" si="26"/>
        <v>2.48847413175353E-3</v>
      </c>
      <c r="N211">
        <f t="shared" si="27"/>
        <v>-3.5185857419883303E-2</v>
      </c>
    </row>
    <row r="212" spans="7:14" x14ac:dyDescent="0.25">
      <c r="G212">
        <v>1.18</v>
      </c>
      <c r="H212">
        <f t="shared" si="28"/>
        <v>24.216979974979338</v>
      </c>
      <c r="I212" t="str">
        <f t="shared" si="22"/>
        <v>152.159772763052j</v>
      </c>
      <c r="J212" t="str">
        <f t="shared" si="23"/>
        <v>0.00227050967753834-0.033616954421443j</v>
      </c>
      <c r="K212">
        <f t="shared" si="24"/>
        <v>-29.449066383402112</v>
      </c>
      <c r="L212">
        <f t="shared" si="25"/>
        <v>-86.136076250317814</v>
      </c>
      <c r="M212">
        <f t="shared" si="26"/>
        <v>2.2705096775383401E-3</v>
      </c>
      <c r="N212">
        <f t="shared" si="27"/>
        <v>-3.3616954421443003E-2</v>
      </c>
    </row>
    <row r="213" spans="7:14" x14ac:dyDescent="0.25">
      <c r="G213">
        <v>1.2</v>
      </c>
      <c r="H213">
        <f t="shared" si="28"/>
        <v>25.358291079377821</v>
      </c>
      <c r="I213" t="str">
        <f t="shared" si="22"/>
        <v>159.33084192513j</v>
      </c>
      <c r="J213" t="str">
        <f t="shared" si="23"/>
        <v>0.00207155714914946-0.0321167748311149j</v>
      </c>
      <c r="K213">
        <f t="shared" si="24"/>
        <v>-29.847330767514183</v>
      </c>
      <c r="L213">
        <f t="shared" si="25"/>
        <v>-86.309489588073262</v>
      </c>
      <c r="M213">
        <f t="shared" si="26"/>
        <v>2.0715571491494601E-3</v>
      </c>
      <c r="N213">
        <f t="shared" si="27"/>
        <v>-3.21167748311149E-2</v>
      </c>
    </row>
    <row r="214" spans="7:14" x14ac:dyDescent="0.25">
      <c r="G214">
        <v>1.22</v>
      </c>
      <c r="H214">
        <f t="shared" si="28"/>
        <v>26.553390519000985</v>
      </c>
      <c r="I214" t="str">
        <f t="shared" si="22"/>
        <v>166.839873164789j</v>
      </c>
      <c r="J214" t="str">
        <f t="shared" si="23"/>
        <v>0.00188997156189511-0.0306824671179288j</v>
      </c>
      <c r="K214">
        <f t="shared" si="24"/>
        <v>-30.245747262023496</v>
      </c>
      <c r="L214">
        <f t="shared" si="25"/>
        <v>-86.475161313581651</v>
      </c>
      <c r="M214">
        <f t="shared" si="26"/>
        <v>1.8899715618951099E-3</v>
      </c>
      <c r="N214">
        <f t="shared" si="27"/>
        <v>-3.06824671179288E-2</v>
      </c>
    </row>
    <row r="215" spans="7:14" x14ac:dyDescent="0.25">
      <c r="G215">
        <v>1.24</v>
      </c>
      <c r="H215">
        <f t="shared" si="28"/>
        <v>27.804813259990013</v>
      </c>
      <c r="I215" t="str">
        <f t="shared" si="22"/>
        <v>174.702794144041j</v>
      </c>
      <c r="J215" t="str">
        <f t="shared" si="23"/>
        <v>0.00172424802510966-0.0293112773741223j</v>
      </c>
      <c r="K215">
        <f t="shared" si="24"/>
        <v>-30.644302584276616</v>
      </c>
      <c r="L215">
        <f t="shared" si="25"/>
        <v>-86.633431732487949</v>
      </c>
      <c r="M215">
        <f t="shared" si="26"/>
        <v>1.7242480251096601E-3</v>
      </c>
      <c r="N215">
        <f t="shared" si="27"/>
        <v>-2.9311277374122299E-2</v>
      </c>
    </row>
    <row r="216" spans="7:14" x14ac:dyDescent="0.25">
      <c r="G216">
        <v>1.26</v>
      </c>
      <c r="H216">
        <f t="shared" si="28"/>
        <v>29.115213737759746</v>
      </c>
      <c r="I216" t="str">
        <f t="shared" si="22"/>
        <v>182.936283172485j</v>
      </c>
      <c r="J216" t="str">
        <f t="shared" si="23"/>
        <v>0.00157301018754857-0.0280005487932675j</v>
      </c>
      <c r="K216">
        <f t="shared" si="24"/>
        <v>-31.042984603377057</v>
      </c>
      <c r="L216">
        <f t="shared" si="25"/>
        <v>-86.784626874235911</v>
      </c>
      <c r="M216">
        <f t="shared" si="26"/>
        <v>1.5730101875485699E-3</v>
      </c>
      <c r="N216">
        <f t="shared" si="27"/>
        <v>-2.80005487932675E-2</v>
      </c>
    </row>
    <row r="217" spans="7:14" x14ac:dyDescent="0.25">
      <c r="G217">
        <v>1.28</v>
      </c>
      <c r="H217">
        <f t="shared" si="28"/>
        <v>30.487371487411963</v>
      </c>
      <c r="I217" t="str">
        <f t="shared" si="22"/>
        <v>191.557804584233j</v>
      </c>
      <c r="J217" t="str">
        <f t="shared" si="23"/>
        <v>0.00143499957186132-0.026747720690919j</v>
      </c>
      <c r="K217">
        <f t="shared" si="24"/>
        <v>-31.441782241676947</v>
      </c>
      <c r="L217">
        <f t="shared" si="25"/>
        <v>-86.929059002083818</v>
      </c>
      <c r="M217">
        <f t="shared" si="26"/>
        <v>1.43499957186132E-3</v>
      </c>
      <c r="N217">
        <f t="shared" si="27"/>
        <v>-2.6747720690919002E-2</v>
      </c>
    </row>
    <row r="218" spans="7:14" x14ac:dyDescent="0.25">
      <c r="G218">
        <v>1.3</v>
      </c>
      <c r="H218">
        <f t="shared" si="28"/>
        <v>31.92419703950209</v>
      </c>
      <c r="I218" t="str">
        <f t="shared" si="22"/>
        <v>200.585645782106j</v>
      </c>
      <c r="J218" t="str">
        <f t="shared" si="23"/>
        <v>0.00130906574082983-0.0255503271466551j</v>
      </c>
      <c r="K218">
        <f t="shared" si="24"/>
        <v>-31.84068538446525</v>
      </c>
      <c r="L218">
        <f t="shared" si="25"/>
        <v>-87.067027116920897</v>
      </c>
      <c r="M218">
        <f t="shared" si="26"/>
        <v>1.3090657408298301E-3</v>
      </c>
      <c r="N218">
        <f t="shared" si="27"/>
        <v>-2.5550327146655099E-2</v>
      </c>
    </row>
    <row r="219" spans="7:14" x14ac:dyDescent="0.25">
      <c r="G219">
        <v>1.32</v>
      </c>
      <c r="H219">
        <f t="shared" si="28"/>
        <v>33.428738093664641</v>
      </c>
      <c r="I219" t="str">
        <f t="shared" si="22"/>
        <v>210.038956027668j</v>
      </c>
      <c r="J219" t="str">
        <f t="shared" si="23"/>
        <v>0.00119415723971584-0.0244059953360799j</v>
      </c>
      <c r="K219">
        <f t="shared" si="24"/>
        <v>-32.239684797208646</v>
      </c>
      <c r="L219">
        <f t="shared" si="25"/>
        <v>-87.198817453071484</v>
      </c>
      <c r="M219">
        <f t="shared" si="26"/>
        <v>1.19415723971584E-3</v>
      </c>
      <c r="N219">
        <f t="shared" si="27"/>
        <v>-2.44059953360799E-2</v>
      </c>
    </row>
    <row r="220" spans="7:14" x14ac:dyDescent="0.25">
      <c r="G220">
        <v>1.34</v>
      </c>
      <c r="H220">
        <f t="shared" si="28"/>
        <v>35.004185983192862</v>
      </c>
      <c r="I220" t="str">
        <f t="shared" si="22"/>
        <v>219.937787059379j</v>
      </c>
      <c r="J220" t="str">
        <f t="shared" si="23"/>
        <v>0.00108931326110806-0.0233124436122258j</v>
      </c>
      <c r="K220">
        <f t="shared" si="24"/>
        <v>-32.638772049745995</v>
      </c>
      <c r="L220">
        <f t="shared" si="25"/>
        <v>-87.324703964611416</v>
      </c>
      <c r="M220">
        <f t="shared" si="26"/>
        <v>1.08931326110806E-3</v>
      </c>
      <c r="N220">
        <f t="shared" si="27"/>
        <v>-2.33124436122258E-2</v>
      </c>
    </row>
    <row r="221" spans="7:14" x14ac:dyDescent="0.25">
      <c r="G221">
        <v>1.36</v>
      </c>
      <c r="H221">
        <f t="shared" si="28"/>
        <v>36.653882444284385</v>
      </c>
      <c r="I221" t="str">
        <f t="shared" si="22"/>
        <v>230.303135625015j</v>
      </c>
      <c r="J221" t="str">
        <f t="shared" si="23"/>
        <v>0.000993655980983721-0.0222674793877375j</v>
      </c>
      <c r="K221">
        <f t="shared" si="24"/>
        <v>-33.037939446879058</v>
      </c>
      <c r="L221">
        <f t="shared" si="25"/>
        <v>-87.444948801012899</v>
      </c>
      <c r="M221">
        <f t="shared" si="26"/>
        <v>9.9365598098372109E-4</v>
      </c>
      <c r="N221">
        <f t="shared" si="27"/>
        <v>-2.2267479387737502E-2</v>
      </c>
    </row>
    <row r="222" spans="7:14" x14ac:dyDescent="0.25">
      <c r="G222">
        <v>1.38</v>
      </c>
      <c r="H222">
        <f t="shared" si="28"/>
        <v>38.381326704311853</v>
      </c>
      <c r="I222" t="str">
        <f t="shared" si="22"/>
        <v>241.156988018592j</v>
      </c>
      <c r="J222" t="str">
        <f t="shared" si="23"/>
        <v>0.000906383517202323-0.0212689968621208j</v>
      </c>
      <c r="K222">
        <f t="shared" si="24"/>
        <v>-33.437179964842436</v>
      </c>
      <c r="L222">
        <f t="shared" si="25"/>
        <v>-87.55980277118698</v>
      </c>
      <c r="M222">
        <f t="shared" si="26"/>
        <v>9.0638351720232304E-4</v>
      </c>
      <c r="N222">
        <f t="shared" si="27"/>
        <v>-2.12689968621208E-2</v>
      </c>
    </row>
    <row r="223" spans="7:14" x14ac:dyDescent="0.25">
      <c r="G223">
        <v>1.4</v>
      </c>
      <c r="H223">
        <f t="shared" si="28"/>
        <v>40.190182904153282</v>
      </c>
      <c r="I223" t="str">
        <f t="shared" si="22"/>
        <v>252.522366716236j</v>
      </c>
      <c r="J223" t="str">
        <f t="shared" si="23"/>
        <v>0.000826763464257482-0.0203149746321011j</v>
      </c>
      <c r="K223">
        <f t="shared" si="24"/>
        <v>-33.836487193172928</v>
      </c>
      <c r="L223">
        <f t="shared" si="25"/>
        <v>-87.669505795207996</v>
      </c>
      <c r="M223">
        <f t="shared" si="26"/>
        <v>8.2676346425748196E-4</v>
      </c>
      <c r="N223">
        <f t="shared" si="27"/>
        <v>-2.03149746321011E-2</v>
      </c>
    </row>
    <row r="224" spans="7:14" x14ac:dyDescent="0.25">
      <c r="G224">
        <v>1.42</v>
      </c>
      <c r="H224">
        <f t="shared" si="28"/>
        <v>42.084287870326122</v>
      </c>
      <c r="I224" t="str">
        <f t="shared" si="22"/>
        <v>264.423379209949j</v>
      </c>
      <c r="J224" t="str">
        <f t="shared" si="23"/>
        <v>0.000754126960762788-0.0194034732176599j</v>
      </c>
      <c r="K224">
        <f t="shared" si="24"/>
        <v>-34.235855281535727</v>
      </c>
      <c r="L224">
        <f t="shared" si="25"/>
        <v>-87.77428734319227</v>
      </c>
      <c r="M224">
        <f t="shared" si="26"/>
        <v>7.5412696076278805E-4</v>
      </c>
      <c r="N224">
        <f t="shared" si="27"/>
        <v>-1.9403473217659901E-2</v>
      </c>
    </row>
    <row r="225" spans="7:14" x14ac:dyDescent="0.25">
      <c r="G225">
        <v>1.44</v>
      </c>
      <c r="H225">
        <f t="shared" si="28"/>
        <v>44.067659253410667</v>
      </c>
      <c r="I225" t="str">
        <f t="shared" si="22"/>
        <v>276.885269142826j</v>
      </c>
      <c r="J225" t="str">
        <f t="shared" si="23"/>
        <v>0.000687863248795597-0.0185326325315308j</v>
      </c>
      <c r="K225">
        <f t="shared" si="24"/>
        <v>-34.635278891096377</v>
      </c>
      <c r="L225">
        <f t="shared" si="25"/>
        <v>-87.874366860960663</v>
      </c>
      <c r="M225">
        <f t="shared" si="26"/>
        <v>6.8786324879559701E-4</v>
      </c>
      <c r="N225">
        <f t="shared" si="27"/>
        <v>-1.8532632531530799E-2</v>
      </c>
    </row>
    <row r="226" spans="7:14" x14ac:dyDescent="0.25">
      <c r="G226">
        <v>1.46</v>
      </c>
      <c r="H226">
        <f t="shared" si="28"/>
        <v>46.144504050025709</v>
      </c>
      <c r="I226" t="str">
        <f t="shared" si="22"/>
        <v>289.93446985421j</v>
      </c>
      <c r="J226" t="str">
        <f t="shared" si="23"/>
        <v>0.000627414686829004-0.0177006693157421j</v>
      </c>
      <c r="K226">
        <f t="shared" si="24"/>
        <v>-35.034753150062102</v>
      </c>
      <c r="L226">
        <f t="shared" si="25"/>
        <v>-87.969954182250987</v>
      </c>
      <c r="M226">
        <f t="shared" si="26"/>
        <v>6.2741468682900401E-4</v>
      </c>
      <c r="N226">
        <f t="shared" si="27"/>
        <v>-1.7700669315742101E-2</v>
      </c>
    </row>
    <row r="227" spans="7:14" x14ac:dyDescent="0.25">
      <c r="G227">
        <v>1.48</v>
      </c>
      <c r="H227">
        <f t="shared" si="28"/>
        <v>48.319227526432265</v>
      </c>
      <c r="I227" t="str">
        <f t="shared" si="22"/>
        <v>303.598660448347j</v>
      </c>
      <c r="J227" t="str">
        <f t="shared" si="23"/>
        <v>0.00057227218052224-0.0169058745651481j</v>
      </c>
      <c r="K227">
        <f t="shared" si="24"/>
        <v>-35.434273613043217</v>
      </c>
      <c r="L227">
        <f t="shared" si="25"/>
        <v>-88.061249927360166</v>
      </c>
      <c r="M227">
        <f t="shared" si="26"/>
        <v>5.7227218052224003E-4</v>
      </c>
      <c r="N227">
        <f t="shared" si="27"/>
        <v>-1.69058745651481E-2</v>
      </c>
    </row>
    <row r="228" spans="7:14" x14ac:dyDescent="0.25">
      <c r="G228">
        <v>1.5</v>
      </c>
      <c r="H228">
        <f t="shared" si="28"/>
        <v>50.596442562694087</v>
      </c>
      <c r="I228" t="str">
        <f t="shared" si="22"/>
        <v>317.906824505475j</v>
      </c>
      <c r="J228" t="str">
        <f t="shared" si="23"/>
        <v>0.000521970998091191-0.0161466109547096j</v>
      </c>
      <c r="K228">
        <f t="shared" si="24"/>
        <v>-35.833836223913494</v>
      </c>
      <c r="L228">
        <f t="shared" si="25"/>
        <v>-88.148445888193422</v>
      </c>
      <c r="M228">
        <f t="shared" si="26"/>
        <v>5.2197099809119104E-4</v>
      </c>
      <c r="N228">
        <f t="shared" si="27"/>
        <v>-1.6146610954709598E-2</v>
      </c>
    </row>
    <row r="229" spans="7:14" x14ac:dyDescent="0.25">
      <c r="G229">
        <v>1.52</v>
      </c>
      <c r="H229">
        <f t="shared" si="28"/>
        <v>52.980979437214607</v>
      </c>
      <c r="I229" t="str">
        <f t="shared" si="22"/>
        <v>332.889311559891j</v>
      </c>
      <c r="J229" t="str">
        <f t="shared" si="23"/>
        <v>0.000476086939330531-0.0154213102845207j</v>
      </c>
      <c r="K229">
        <f t="shared" si="24"/>
        <v>-36.233437281875453</v>
      </c>
      <c r="L229">
        <f t="shared" si="25"/>
        <v>-88.231725399777929</v>
      </c>
      <c r="M229">
        <f t="shared" si="26"/>
        <v>4.7608693933053102E-4</v>
      </c>
      <c r="N229">
        <f t="shared" si="27"/>
        <v>-1.5421310284520699E-2</v>
      </c>
    </row>
    <row r="230" spans="7:14" x14ac:dyDescent="0.25">
      <c r="G230">
        <v>1.54</v>
      </c>
      <c r="H230">
        <f t="shared" si="28"/>
        <v>55.477896072405088</v>
      </c>
      <c r="I230" t="str">
        <f t="shared" si="22"/>
        <v>348.577901475372j</v>
      </c>
      <c r="J230" t="str">
        <f t="shared" si="23"/>
        <v>0.000434232829597396-0.0147284709541893j</v>
      </c>
      <c r="K230">
        <f t="shared" si="24"/>
        <v>-36.633073410457854</v>
      </c>
      <c r="L230">
        <f t="shared" si="25"/>
        <v>-88.311263698366304</v>
      </c>
      <c r="M230">
        <f t="shared" si="26"/>
        <v>4.3423282959739599E-4</v>
      </c>
      <c r="N230">
        <f t="shared" si="27"/>
        <v>-1.4728470954189299E-2</v>
      </c>
    </row>
    <row r="231" spans="7:14" x14ac:dyDescent="0.25">
      <c r="G231">
        <v>1.56</v>
      </c>
      <c r="H231">
        <f t="shared" si="28"/>
        <v>58.092488763216252</v>
      </c>
      <c r="I231" t="str">
        <f t="shared" si="22"/>
        <v>365.005871854536j</v>
      </c>
      <c r="J231" t="str">
        <f t="shared" si="23"/>
        <v>0.000396055312187228-0.0140666554761003j</v>
      </c>
      <c r="K231">
        <f t="shared" si="24"/>
        <v>-37.032741529197722</v>
      </c>
      <c r="L231">
        <f t="shared" si="25"/>
        <v>-88.387228266311055</v>
      </c>
      <c r="M231">
        <f t="shared" si="26"/>
        <v>3.9605531218722797E-4</v>
      </c>
      <c r="N231">
        <f t="shared" si="27"/>
        <v>-1.4066655476100301E-2</v>
      </c>
    </row>
    <row r="232" spans="7:14" x14ac:dyDescent="0.25">
      <c r="G232">
        <v>1.58</v>
      </c>
      <c r="H232">
        <f t="shared" si="28"/>
        <v>60.830303411289826</v>
      </c>
      <c r="I232" t="str">
        <f t="shared" si="22"/>
        <v>382.208068625092j</v>
      </c>
      <c r="J232" t="str">
        <f t="shared" si="23"/>
        <v>0.000361231914533804-0.0134344880353076j</v>
      </c>
      <c r="K232">
        <f t="shared" si="24"/>
        <v>-37.432438827776863</v>
      </c>
      <c r="L232">
        <f t="shared" si="25"/>
        <v>-88.459779163935977</v>
      </c>
      <c r="M232">
        <f t="shared" si="26"/>
        <v>3.6123191453380399E-4</v>
      </c>
      <c r="N232">
        <f t="shared" si="27"/>
        <v>-1.34344880353076E-2</v>
      </c>
    </row>
    <row r="233" spans="7:14" x14ac:dyDescent="0.25">
      <c r="G233">
        <v>1.6</v>
      </c>
      <c r="H233">
        <f t="shared" si="28"/>
        <v>63.697147288559613</v>
      </c>
      <c r="I233" t="str">
        <f t="shared" si="22"/>
        <v>400.220979952732j</v>
      </c>
      <c r="J233" t="str">
        <f t="shared" si="23"/>
        <v>0.000329468365546005-0.0128306521022552j</v>
      </c>
      <c r="K233">
        <f t="shared" si="24"/>
        <v>-37.832162742403519</v>
      </c>
      <c r="L233">
        <f t="shared" si="25"/>
        <v>-88.529069348667974</v>
      </c>
      <c r="M233">
        <f t="shared" si="26"/>
        <v>3.29468365546005E-4</v>
      </c>
      <c r="N233">
        <f t="shared" si="27"/>
        <v>-1.2830652102255201E-2</v>
      </c>
    </row>
    <row r="234" spans="7:14" x14ac:dyDescent="0.25">
      <c r="G234">
        <v>1.62</v>
      </c>
      <c r="H234">
        <f t="shared" si="28"/>
        <v>66.699101355253703</v>
      </c>
      <c r="I234" t="str">
        <f t="shared" si="22"/>
        <v>419.082813637412j</v>
      </c>
      <c r="J234" t="str">
        <f t="shared" si="23"/>
        <v>0.000300496143155826-0.0122538881032047j</v>
      </c>
      <c r="K234">
        <f t="shared" si="24"/>
        <v>-38.231910934246955</v>
      </c>
      <c r="L234">
        <f t="shared" si="25"/>
        <v>-88.595244981720967</v>
      </c>
      <c r="M234">
        <f t="shared" si="26"/>
        <v>3.0049614315582598E-4</v>
      </c>
      <c r="N234">
        <f t="shared" si="27"/>
        <v>-1.2253888103204699E-2</v>
      </c>
    </row>
    <row r="235" spans="7:14" x14ac:dyDescent="0.25">
      <c r="G235">
        <v>1.64</v>
      </c>
      <c r="H235">
        <f t="shared" si="28"/>
        <v>69.842533158426576</v>
      </c>
      <c r="I235" t="str">
        <f t="shared" si="22"/>
        <v>438.833578157229j</v>
      </c>
      <c r="J235" t="str">
        <f t="shared" si="23"/>
        <v>0.000274070232797795-0.0117029911521111j</v>
      </c>
      <c r="K235">
        <f t="shared" si="24"/>
        <v>-38.631681269748491</v>
      </c>
      <c r="L235">
        <f t="shared" si="25"/>
        <v>-88.658445722647286</v>
      </c>
      <c r="M235">
        <f t="shared" si="26"/>
        <v>2.7407023279779499E-4</v>
      </c>
      <c r="N235">
        <f t="shared" si="27"/>
        <v>-1.1702991152111099E-2</v>
      </c>
    </row>
    <row r="236" spans="7:14" x14ac:dyDescent="0.25">
      <c r="G236">
        <v>1.66</v>
      </c>
      <c r="H236">
        <f t="shared" si="28"/>
        <v>73.134110338380012</v>
      </c>
      <c r="I236" t="str">
        <f t="shared" si="22"/>
        <v>459.51516753176j</v>
      </c>
      <c r="J236" t="str">
        <f t="shared" si="23"/>
        <v>0.000249967079073468-0.0111768088467198j</v>
      </c>
      <c r="K236">
        <f t="shared" si="24"/>
        <v>-39.031471802646635</v>
      </c>
      <c r="L236">
        <f t="shared" si="25"/>
        <v>-88.718805012088211</v>
      </c>
      <c r="M236">
        <f t="shared" si="26"/>
        <v>2.4996707907346802E-4</v>
      </c>
      <c r="N236">
        <f t="shared" si="27"/>
        <v>-1.11768088467198E-2</v>
      </c>
    </row>
    <row r="237" spans="7:14" x14ac:dyDescent="0.25">
      <c r="G237">
        <v>1.68</v>
      </c>
      <c r="H237">
        <f t="shared" si="28"/>
        <v>76.580814771622173</v>
      </c>
      <c r="I237" t="str">
        <f t="shared" si="22"/>
        <v>481.171450184898j</v>
      </c>
      <c r="J237" t="str">
        <f t="shared" si="23"/>
        <v>0.000227982714280186-0.0106742391308272j</v>
      </c>
      <c r="K237">
        <f t="shared" si="24"/>
        <v>-39.431280757570299</v>
      </c>
      <c r="L237">
        <f t="shared" si="25"/>
        <v>-88.776450343068035</v>
      </c>
      <c r="M237">
        <f t="shared" si="26"/>
        <v>2.27982714280186E-4</v>
      </c>
      <c r="N237">
        <f t="shared" si="27"/>
        <v>-1.06742391308272E-2</v>
      </c>
    </row>
    <row r="238" spans="7:14" x14ac:dyDescent="0.25">
      <c r="G238">
        <v>1.7</v>
      </c>
      <c r="H238">
        <f t="shared" si="28"/>
        <v>80.18995738036358</v>
      </c>
      <c r="I238" t="str">
        <f t="shared" si="22"/>
        <v>503.848361995658j</v>
      </c>
      <c r="J238" t="str">
        <f t="shared" si="23"/>
        <v>0.000207931048806179-0.0101942282239526j</v>
      </c>
      <c r="K238">
        <f t="shared" si="24"/>
        <v>-39.831106515062217</v>
      </c>
      <c r="L238">
        <f t="shared" si="25"/>
        <v>-88.831503521184587</v>
      </c>
      <c r="M238">
        <f t="shared" si="26"/>
        <v>2.07931048806179E-4</v>
      </c>
      <c r="N238">
        <f t="shared" si="27"/>
        <v>-1.0194228223952599E-2</v>
      </c>
    </row>
    <row r="239" spans="7:14" x14ac:dyDescent="0.25">
      <c r="G239">
        <v>1.72</v>
      </c>
      <c r="H239">
        <f t="shared" si="28"/>
        <v>83.969193639963663</v>
      </c>
      <c r="I239" t="str">
        <f t="shared" si="22"/>
        <v>527.594003734337j</v>
      </c>
      <c r="J239" t="str">
        <f t="shared" si="23"/>
        <v>0.000189642309619315-0.00973576861906956j</v>
      </c>
      <c r="K239">
        <f t="shared" si="24"/>
        <v>-40.230947597910784</v>
      </c>
      <c r="L239">
        <f t="shared" si="25"/>
        <v>-88.884080914053598</v>
      </c>
      <c r="M239">
        <f t="shared" si="26"/>
        <v>1.8964230961931501E-4</v>
      </c>
      <c r="N239">
        <f t="shared" si="27"/>
        <v>-9.7357686190695601E-3</v>
      </c>
    </row>
    <row r="240" spans="7:14" x14ac:dyDescent="0.25">
      <c r="G240">
        <v>1.74</v>
      </c>
      <c r="H240">
        <f t="shared" si="28"/>
        <v>87.926539817219961</v>
      </c>
      <c r="I240" t="str">
        <f t="shared" si="22"/>
        <v>552.458743090697j</v>
      </c>
      <c r="J240" t="str">
        <f t="shared" si="23"/>
        <v>0.000172961614210064-0.00929789714855148j</v>
      </c>
      <c r="K240">
        <f t="shared" si="24"/>
        <v>-40.630802658675819</v>
      </c>
      <c r="L240">
        <f t="shared" si="25"/>
        <v>-88.934293690366971</v>
      </c>
      <c r="M240">
        <f t="shared" si="26"/>
        <v>1.7296161421006401E-4</v>
      </c>
      <c r="N240">
        <f t="shared" si="27"/>
        <v>-9.2978971485514796E-3</v>
      </c>
    </row>
    <row r="241" spans="7:14" x14ac:dyDescent="0.25">
      <c r="G241">
        <v>1.76</v>
      </c>
      <c r="H241">
        <f t="shared" si="28"/>
        <v>92.070389973945112</v>
      </c>
      <c r="I241" t="str">
        <f t="shared" si="22"/>
        <v>578.495321510587j</v>
      </c>
      <c r="J241" t="str">
        <f t="shared" si="23"/>
        <v>0.000157747668395865-0.00887969311806709j</v>
      </c>
      <c r="K241">
        <f t="shared" si="24"/>
        <v>-41.030670468304926</v>
      </c>
      <c r="L241">
        <f t="shared" si="25"/>
        <v>-88.982248048924234</v>
      </c>
      <c r="M241">
        <f t="shared" si="26"/>
        <v>1.5774766839586499E-4</v>
      </c>
      <c r="N241">
        <f t="shared" si="27"/>
        <v>-8.8796931180670901E-3</v>
      </c>
    </row>
    <row r="242" spans="7:14" x14ac:dyDescent="0.25">
      <c r="G242">
        <v>1.78</v>
      </c>
      <c r="H242">
        <f t="shared" si="28"/>
        <v>96.409533771897316</v>
      </c>
      <c r="I242" t="str">
        <f t="shared" si="22"/>
        <v>605.758966067619j</v>
      </c>
      <c r="J242" t="str">
        <f t="shared" si="23"/>
        <v>0.000143871577359578-0.00848027650781605j</v>
      </c>
      <c r="K242">
        <f t="shared" si="24"/>
        <v>-41.430549905745586</v>
      </c>
      <c r="L242">
        <f t="shared" si="25"/>
        <v>-89.028045437994223</v>
      </c>
      <c r="M242">
        <f t="shared" si="26"/>
        <v>1.4387157735957801E-4</v>
      </c>
      <c r="N242">
        <f t="shared" si="27"/>
        <v>-8.4802765078160498E-3</v>
      </c>
    </row>
    <row r="243" spans="7:14" x14ac:dyDescent="0.25">
      <c r="G243">
        <v>1.8</v>
      </c>
      <c r="H243">
        <f t="shared" si="28"/>
        <v>100.95317511683099</v>
      </c>
      <c r="I243" t="str">
        <f t="shared" si="22"/>
        <v>634.3075066072j</v>
      </c>
      <c r="J243" t="str">
        <f t="shared" si="23"/>
        <v>0.000131215760184349-0.00809880624020933j</v>
      </c>
      <c r="K243">
        <f t="shared" si="24"/>
        <v>-41.830439948466456</v>
      </c>
      <c r="L243">
        <f t="shared" si="25"/>
        <v>-89.071782765360425</v>
      </c>
      <c r="M243">
        <f t="shared" si="26"/>
        <v>1.3121576018434899E-4</v>
      </c>
      <c r="N243">
        <f t="shared" si="27"/>
        <v>-8.0988062402093299E-3</v>
      </c>
    </row>
    <row r="244" spans="7:14" x14ac:dyDescent="0.25">
      <c r="G244">
        <v>1.82</v>
      </c>
      <c r="H244">
        <f t="shared" si="28"/>
        <v>105.71095168121541</v>
      </c>
      <c r="I244" t="str">
        <f t="shared" si="22"/>
        <v>664.201498411384j</v>
      </c>
      <c r="J244" t="str">
        <f t="shared" si="23"/>
        <v>0.000119672958966209-0.00773447851286672j</v>
      </c>
      <c r="K244">
        <f t="shared" si="24"/>
        <v>-42.230339663808664</v>
      </c>
      <c r="L244">
        <f t="shared" si="25"/>
        <v>-89.113552599397295</v>
      </c>
      <c r="M244">
        <f t="shared" si="26"/>
        <v>1.19672958966209E-4</v>
      </c>
      <c r="N244">
        <f t="shared" si="27"/>
        <v>-7.7344785128667199E-3</v>
      </c>
    </row>
    <row r="245" spans="7:14" x14ac:dyDescent="0.25">
      <c r="G245">
        <v>1.84</v>
      </c>
      <c r="H245">
        <f t="shared" si="28"/>
        <v>110.69295534702985</v>
      </c>
      <c r="I245" t="str">
        <f t="shared" si="22"/>
        <v>695.504350644744j</v>
      </c>
      <c r="J245" t="str">
        <f t="shared" si="23"/>
        <v>0.000109145334338957-0.00738652519561604j</v>
      </c>
      <c r="K245">
        <f t="shared" si="24"/>
        <v>-42.630248201094645</v>
      </c>
      <c r="L245">
        <f t="shared" si="25"/>
        <v>-89.153443361519123</v>
      </c>
      <c r="M245">
        <f t="shared" si="26"/>
        <v>1.09145334338957E-4</v>
      </c>
      <c r="N245">
        <f t="shared" si="27"/>
        <v>-7.3865251956160404E-3</v>
      </c>
    </row>
    <row r="246" spans="7:14" x14ac:dyDescent="0.25">
      <c r="G246">
        <v>1.86</v>
      </c>
      <c r="H246">
        <f t="shared" si="28"/>
        <v>115.90975361199851</v>
      </c>
      <c r="I246" t="str">
        <f t="shared" si="22"/>
        <v>728.282460853715j</v>
      </c>
      <c r="J246" t="str">
        <f t="shared" si="23"/>
        <v>0.00009954363993812-0.00705421229002983j</v>
      </c>
      <c r="K246">
        <f t="shared" si="24"/>
        <v>-43.030164784428607</v>
      </c>
      <c r="L246">
        <f t="shared" si="25"/>
        <v>-89.191539510335488</v>
      </c>
      <c r="M246">
        <f t="shared" si="26"/>
        <v>9.9543639938119997E-5</v>
      </c>
      <c r="N246">
        <f t="shared" si="27"/>
        <v>-7.0542122900298298E-3</v>
      </c>
    </row>
    <row r="247" spans="7:14" x14ac:dyDescent="0.25">
      <c r="G247">
        <v>1.88</v>
      </c>
      <c r="H247">
        <f t="shared" si="28"/>
        <v>121.37241200466939</v>
      </c>
      <c r="I247" t="str">
        <f t="shared" si="22"/>
        <v>762.605355804686j</v>
      </c>
      <c r="J247" t="str">
        <f t="shared" si="23"/>
        <v>0.0000907864689665338-0.00673683844991992j</v>
      </c>
      <c r="K247">
        <f t="shared" si="24"/>
        <v>-43.430088706128025</v>
      </c>
      <c r="L247">
        <f t="shared" si="25"/>
        <v>-89.227921717838782</v>
      </c>
      <c r="M247">
        <f t="shared" si="26"/>
        <v>9.07864689665338E-5</v>
      </c>
      <c r="N247">
        <f t="shared" si="27"/>
        <v>-6.7368384499199201E-3</v>
      </c>
    </row>
    <row r="248" spans="7:14" x14ac:dyDescent="0.25">
      <c r="G248">
        <v>1.9</v>
      </c>
      <c r="H248">
        <f t="shared" si="28"/>
        <v>127.09251755588512</v>
      </c>
      <c r="I248" t="str">
        <f t="shared" si="22"/>
        <v>798.545838959601j</v>
      </c>
      <c r="J248" t="str">
        <f t="shared" si="23"/>
        <v>0.0000827995666074971-0.00643373356112282j</v>
      </c>
      <c r="K248">
        <f t="shared" si="24"/>
        <v>-43.830019320731246</v>
      </c>
      <c r="L248">
        <f t="shared" si="25"/>
        <v>-89.262667037941569</v>
      </c>
      <c r="M248">
        <f t="shared" si="26"/>
        <v>8.2799566607497105E-5</v>
      </c>
      <c r="N248">
        <f t="shared" si="27"/>
        <v>-6.4337335611228197E-3</v>
      </c>
    </row>
    <row r="249" spans="7:14" x14ac:dyDescent="0.25">
      <c r="G249">
        <v>1.92</v>
      </c>
      <c r="H249">
        <f t="shared" si="28"/>
        <v>133.0822033764274</v>
      </c>
      <c r="I249" t="str">
        <f t="shared" si="22"/>
        <v>836.180144901854j</v>
      </c>
      <c r="J249" t="str">
        <f t="shared" si="23"/>
        <v>0.0000755152025666441-0.00614425737884599j</v>
      </c>
      <c r="K249">
        <f t="shared" si="24"/>
        <v>-44.229956039530734</v>
      </c>
      <c r="L249">
        <f t="shared" si="25"/>
        <v>-89.29584906767181</v>
      </c>
      <c r="M249">
        <f t="shared" si="26"/>
        <v>7.5515202566644093E-5</v>
      </c>
      <c r="N249">
        <f t="shared" si="27"/>
        <v>-6.1442573788459904E-3</v>
      </c>
    </row>
    <row r="250" spans="7:14" x14ac:dyDescent="0.25">
      <c r="G250">
        <v>1.94</v>
      </c>
      <c r="H250">
        <f t="shared" si="28"/>
        <v>139.35417439297291</v>
      </c>
      <c r="I250" t="str">
        <f t="shared" si="22"/>
        <v>875.588101040069j</v>
      </c>
      <c r="J250" t="str">
        <f t="shared" si="23"/>
        <v>0.0000688715985142664-0.00586779822080235j</v>
      </c>
      <c r="K250">
        <f t="shared" si="24"/>
        <v>-44.629898325586012</v>
      </c>
      <c r="L250">
        <f t="shared" si="25"/>
        <v>-89.327538101325246</v>
      </c>
      <c r="M250">
        <f t="shared" si="26"/>
        <v>6.8871598514266399E-5</v>
      </c>
      <c r="N250">
        <f t="shared" si="27"/>
        <v>-5.86779822080235E-3</v>
      </c>
    </row>
    <row r="251" spans="7:14" x14ac:dyDescent="0.25">
      <c r="G251">
        <v>1.96</v>
      </c>
      <c r="H251">
        <f t="shared" si="28"/>
        <v>145.92173429694557</v>
      </c>
      <c r="I251" t="str">
        <f t="shared" si="22"/>
        <v>916.853296932732j</v>
      </c>
      <c r="J251" t="str">
        <f t="shared" si="23"/>
        <v>0.0000628124056493752-0.00560377171433528j</v>
      </c>
      <c r="K251">
        <f t="shared" si="24"/>
        <v>-45.029845689174117</v>
      </c>
      <c r="L251">
        <f t="shared" si="25"/>
        <v>-89.357801277864468</v>
      </c>
      <c r="M251">
        <f t="shared" si="26"/>
        <v>6.2812405649375196E-5</v>
      </c>
      <c r="N251">
        <f t="shared" si="27"/>
        <v>-5.6037717143352797E-3</v>
      </c>
    </row>
    <row r="252" spans="7:14" x14ac:dyDescent="0.25">
      <c r="G252">
        <v>1.98</v>
      </c>
      <c r="H252">
        <f t="shared" si="28"/>
        <v>152.79881376342985</v>
      </c>
      <c r="I252" t="str">
        <f t="shared" si="22"/>
        <v>960.063261592852j</v>
      </c>
      <c r="J252" t="str">
        <f t="shared" si="23"/>
        <v>0.0000572862280185438-0.00535161959572533j</v>
      </c>
      <c r="K252">
        <f t="shared" si="24"/>
        <v>-45.429797683639698</v>
      </c>
      <c r="L252">
        <f t="shared" si="25"/>
        <v>-89.386702721844927</v>
      </c>
      <c r="M252">
        <f t="shared" si="26"/>
        <v>5.7286228018543798E-5</v>
      </c>
      <c r="N252">
        <f t="shared" si="27"/>
        <v>-5.3516195957253303E-3</v>
      </c>
    </row>
    <row r="253" spans="7:14" x14ac:dyDescent="0.25">
      <c r="G253">
        <v>2</v>
      </c>
      <c r="H253">
        <f t="shared" si="28"/>
        <v>160</v>
      </c>
      <c r="I253" t="str">
        <f t="shared" si="22"/>
        <v>1005.30964914873j</v>
      </c>
      <c r="J253" t="str">
        <f t="shared" si="23"/>
        <v>0.0000522461875995573-0.00511080855987191j</v>
      </c>
      <c r="K253">
        <f t="shared" si="24"/>
        <v>-45.829753901609259</v>
      </c>
      <c r="L253">
        <f t="shared" si="25"/>
        <v>-89.414303678138324</v>
      </c>
      <c r="M253">
        <f t="shared" si="26"/>
        <v>5.2246187599557302E-5</v>
      </c>
      <c r="N253">
        <f t="shared" si="27"/>
        <v>-5.1108085598719098E-3</v>
      </c>
    </row>
    <row r="254" spans="7:14" x14ac:dyDescent="0.25">
      <c r="G254">
        <v>2.02</v>
      </c>
      <c r="H254">
        <f t="shared" si="28"/>
        <v>167.54056768814397</v>
      </c>
      <c r="I254" t="str">
        <f t="shared" si="22"/>
        <v>1052.68843325467j</v>
      </c>
      <c r="J254" t="str">
        <f t="shared" si="23"/>
        <v>0.0000476495275049319-0.00488082915855436j</v>
      </c>
      <c r="K254">
        <f t="shared" si="24"/>
        <v>-46.229713971538175</v>
      </c>
      <c r="L254">
        <f t="shared" si="25"/>
        <v>-89.44066264071482</v>
      </c>
      <c r="M254">
        <f t="shared" si="26"/>
        <v>4.7649527504931897E-5</v>
      </c>
      <c r="N254">
        <f t="shared" si="27"/>
        <v>-4.8808291585543603E-3</v>
      </c>
    </row>
    <row r="255" spans="7:14" x14ac:dyDescent="0.25">
      <c r="G255">
        <v>2.04</v>
      </c>
      <c r="H255">
        <f t="shared" si="28"/>
        <v>175.43651138290977</v>
      </c>
      <c r="I255" t="str">
        <f t="shared" si="22"/>
        <v>1102.30011066394j</v>
      </c>
      <c r="J255" t="str">
        <f t="shared" si="23"/>
        <v>0.0000434572499760622-0.00466119474549773j</v>
      </c>
      <c r="K255">
        <f t="shared" si="24"/>
        <v>-46.629677554560381</v>
      </c>
      <c r="L255">
        <f t="shared" si="25"/>
        <v>-89.465835475735147</v>
      </c>
      <c r="M255">
        <f t="shared" si="26"/>
        <v>4.3457249976062203E-5</v>
      </c>
      <c r="N255">
        <f t="shared" si="27"/>
        <v>-4.66119474549773E-3</v>
      </c>
    </row>
    <row r="256" spans="7:14" x14ac:dyDescent="0.25">
      <c r="G256">
        <v>2.06</v>
      </c>
      <c r="H256">
        <f t="shared" si="28"/>
        <v>183.70457943950137</v>
      </c>
      <c r="I256" t="str">
        <f t="shared" si="22"/>
        <v>1154.24991439588j</v>
      </c>
      <c r="J256" t="str">
        <f t="shared" si="23"/>
        <v>0.0000396337861274911-0.00445144046649428j</v>
      </c>
      <c r="K256">
        <f t="shared" si="24"/>
        <v>-47.029644341615651</v>
      </c>
      <c r="L256">
        <f t="shared" si="25"/>
        <v>-89.489875539195637</v>
      </c>
      <c r="M256">
        <f t="shared" si="26"/>
        <v>3.9633786127491098E-5</v>
      </c>
      <c r="N256">
        <f t="shared" si="27"/>
        <v>-4.4514404664942799E-3</v>
      </c>
    </row>
    <row r="257" spans="7:14" x14ac:dyDescent="0.25">
      <c r="G257">
        <v>2.08</v>
      </c>
      <c r="H257">
        <f t="shared" si="28"/>
        <v>192.36230953878618</v>
      </c>
      <c r="I257" t="str">
        <f t="shared" si="22"/>
        <v>1208.64803694923j</v>
      </c>
      <c r="J257" t="str">
        <f t="shared" si="23"/>
        <v>0.0000361466946648726-0.00425112229286586j</v>
      </c>
      <c r="K257">
        <f t="shared" si="24"/>
        <v>-47.429614050828597</v>
      </c>
      <c r="L257">
        <f t="shared" si="25"/>
        <v>-89.512833789358936</v>
      </c>
      <c r="M257">
        <f t="shared" si="26"/>
        <v>3.6146694664872597E-5</v>
      </c>
      <c r="N257">
        <f t="shared" si="27"/>
        <v>-4.2511222928658596E-3</v>
      </c>
    </row>
    <row r="258" spans="7:14" x14ac:dyDescent="0.25">
      <c r="G258">
        <v>2.1</v>
      </c>
      <c r="H258">
        <f t="shared" si="28"/>
        <v>201.42806588706685</v>
      </c>
      <c r="I258" t="str">
        <f t="shared" si="22"/>
        <v>1265.60986403522j</v>
      </c>
      <c r="J258" t="str">
        <f t="shared" si="23"/>
        <v>0.0000329663870415824-0.00405981609658819j</v>
      </c>
      <c r="K258">
        <f t="shared" si="24"/>
        <v>-47.829586425118286</v>
      </c>
      <c r="L258">
        <f t="shared" si="25"/>
        <v>-89.534758894194852</v>
      </c>
      <c r="M258">
        <f t="shared" si="26"/>
        <v>3.29663870415824E-5</v>
      </c>
      <c r="N258">
        <f t="shared" si="27"/>
        <v>-4.0598160965881896E-3</v>
      </c>
    </row>
    <row r="259" spans="7:14" x14ac:dyDescent="0.25">
      <c r="G259">
        <v>2.12</v>
      </c>
      <c r="H259">
        <f t="shared" si="28"/>
        <v>210.92107816902535</v>
      </c>
      <c r="I259" t="str">
        <f t="shared" si="22"/>
        <v>1325.2562193261j</v>
      </c>
      <c r="J259" t="str">
        <f t="shared" si="23"/>
        <v>0.000030065876739584-0.00387711676543896j</v>
      </c>
      <c r="K259">
        <f t="shared" si="24"/>
        <v>-48.229561230017815</v>
      </c>
      <c r="L259">
        <f t="shared" si="25"/>
        <v>-89.555697334046812</v>
      </c>
      <c r="M259">
        <f t="shared" si="26"/>
        <v>3.0065876739584E-5</v>
      </c>
      <c r="N259">
        <f t="shared" si="27"/>
        <v>-3.8771167654389599E-3</v>
      </c>
    </row>
    <row r="260" spans="7:14" x14ac:dyDescent="0.25">
      <c r="G260">
        <v>2.14</v>
      </c>
      <c r="H260">
        <f t="shared" si="28"/>
        <v>220.86148233646179</v>
      </c>
      <c r="I260" t="str">
        <f t="shared" ref="I260:I303" si="29">COMPLEX(0,H260*2*PI(),"j")</f>
        <v>1387.71362073836j</v>
      </c>
      <c r="J260" t="str">
        <f t="shared" ref="J260:J303" si="30">IMDIV(0.5,IMSUM(1,IMPRODUCT(I260,$B$10*$B$11/2)))</f>
        <v>0.0000274205505617963-0.00370263735657504j</v>
      </c>
      <c r="K260">
        <f t="shared" ref="K260:K303" si="31">20*LOG(IMABS(J260))</f>
        <v>-48.629538251685617</v>
      </c>
      <c r="L260">
        <f t="shared" ref="L260:L303" si="32">DEGREES(IMARGUMENT(J260))</f>
        <v>-89.575693499730988</v>
      </c>
      <c r="M260">
        <f t="shared" ref="M260:M303" si="33">IMREAL(J260)</f>
        <v>2.7420550561796299E-5</v>
      </c>
      <c r="N260">
        <f t="shared" ref="N260:N303" si="34">IMAGINARY(J260)</f>
        <v>-3.7026373565750398E-3</v>
      </c>
    </row>
    <row r="261" spans="7:14" x14ac:dyDescent="0.25">
      <c r="G261">
        <v>2.16</v>
      </c>
      <c r="H261">
        <f t="shared" si="28"/>
        <v>231.27036331934858</v>
      </c>
      <c r="I261" t="str">
        <f t="shared" si="29"/>
        <v>1453.11454879422j</v>
      </c>
      <c r="J261" t="str">
        <f t="shared" si="30"/>
        <v>0.0000250079600074364-0.00353600828698894j</v>
      </c>
      <c r="K261">
        <f t="shared" si="31"/>
        <v>-49.029517295091658</v>
      </c>
      <c r="L261">
        <f t="shared" si="32"/>
        <v>-89.594789786266631</v>
      </c>
      <c r="M261">
        <f t="shared" si="33"/>
        <v>2.5007960007436399E-5</v>
      </c>
      <c r="N261">
        <f t="shared" si="34"/>
        <v>-3.5360082869889402E-3</v>
      </c>
    </row>
    <row r="262" spans="7:14" x14ac:dyDescent="0.25">
      <c r="G262">
        <v>2.1800000000000002</v>
      </c>
      <c r="H262">
        <f t="shared" si="28"/>
        <v>242.16979974979347</v>
      </c>
      <c r="I262" t="str">
        <f t="shared" si="29"/>
        <v>1521.59772763053j</v>
      </c>
      <c r="J262" t="str">
        <f t="shared" si="30"/>
        <v>0.0000228076309701251-0.0033768765593418j</v>
      </c>
      <c r="K262">
        <f t="shared" si="31"/>
        <v>-49.429498182362565</v>
      </c>
      <c r="L262">
        <f t="shared" si="32"/>
        <v>-89.613026682428384</v>
      </c>
      <c r="M262">
        <f t="shared" si="33"/>
        <v>2.28076309701251E-5</v>
      </c>
      <c r="N262">
        <f t="shared" si="34"/>
        <v>-3.3768765593417999E-3</v>
      </c>
    </row>
    <row r="263" spans="7:14" x14ac:dyDescent="0.25">
      <c r="G263">
        <v>2.2000000000000002</v>
      </c>
      <c r="H263">
        <f t="shared" si="28"/>
        <v>253.58291079377847</v>
      </c>
      <c r="I263" t="str">
        <f t="shared" si="29"/>
        <v>1593.3084192513j</v>
      </c>
      <c r="J263" t="str">
        <f t="shared" si="30"/>
        <v>0.0000208008901522476-0.00322490502171656j</v>
      </c>
      <c r="K263">
        <f t="shared" si="31"/>
        <v>-49.829480751273124</v>
      </c>
      <c r="L263">
        <f t="shared" si="32"/>
        <v>-89.630442856303276</v>
      </c>
      <c r="M263">
        <f t="shared" si="33"/>
        <v>2.0800890152247601E-5</v>
      </c>
      <c r="N263">
        <f t="shared" si="34"/>
        <v>-3.2249050217165601E-3</v>
      </c>
    </row>
    <row r="264" spans="7:14" x14ac:dyDescent="0.25">
      <c r="G264">
        <v>2.2200000000000002</v>
      </c>
      <c r="H264">
        <f t="shared" si="28"/>
        <v>265.53390519000999</v>
      </c>
      <c r="I264" t="str">
        <f t="shared" si="29"/>
        <v>1668.39873164789j</v>
      </c>
      <c r="J264" t="str">
        <f t="shared" si="30"/>
        <v>0.0000189707067294821-0.00307977165988442j</v>
      </c>
      <c r="K264">
        <f t="shared" si="31"/>
        <v>-50.229464853869644</v>
      </c>
      <c r="L264">
        <f t="shared" si="32"/>
        <v>-89.647075237027849</v>
      </c>
      <c r="M264">
        <f t="shared" si="33"/>
        <v>1.8970706729482099E-5</v>
      </c>
      <c r="N264">
        <f t="shared" si="34"/>
        <v>-3.0797716598844199E-3</v>
      </c>
    </row>
    <row r="265" spans="7:14" x14ac:dyDescent="0.25">
      <c r="G265">
        <v>2.2400000000000002</v>
      </c>
      <c r="H265">
        <f t="shared" si="28"/>
        <v>278.04813259990027</v>
      </c>
      <c r="I265" t="str">
        <f t="shared" si="29"/>
        <v>1747.02794144041j</v>
      </c>
      <c r="J265" t="str">
        <f t="shared" si="30"/>
        <v>0.0000173015479275907-0.00294116892072432j</v>
      </c>
      <c r="K265">
        <f t="shared" si="31"/>
        <v>-50.629450355214544</v>
      </c>
      <c r="L265">
        <f t="shared" si="32"/>
        <v>-89.662959092873152</v>
      </c>
      <c r="M265">
        <f t="shared" si="33"/>
        <v>1.7301547927590699E-5</v>
      </c>
      <c r="N265">
        <f t="shared" si="34"/>
        <v>-2.9411689207243198E-3</v>
      </c>
    </row>
    <row r="266" spans="7:14" x14ac:dyDescent="0.25">
      <c r="G266">
        <v>2.2599999999999998</v>
      </c>
      <c r="H266">
        <f t="shared" si="28"/>
        <v>291.15213737759728</v>
      </c>
      <c r="I266" t="str">
        <f t="shared" si="29"/>
        <v>1829.36283172485j</v>
      </c>
      <c r="J266" t="str">
        <f t="shared" si="30"/>
        <v>0.0000157792472906309-0.00280880306548366j</v>
      </c>
      <c r="K266">
        <f t="shared" si="31"/>
        <v>-51.029437132241824</v>
      </c>
      <c r="L266">
        <f t="shared" si="32"/>
        <v>-89.678128105838653</v>
      </c>
      <c r="M266">
        <f t="shared" si="33"/>
        <v>1.57792472906309E-5</v>
      </c>
      <c r="N266">
        <f t="shared" si="34"/>
        <v>-2.8088030654836601E-3</v>
      </c>
    </row>
    <row r="267" spans="7:14" x14ac:dyDescent="0.25">
      <c r="G267">
        <v>2.2799999999999998</v>
      </c>
      <c r="H267">
        <f t="shared" si="28"/>
        <v>304.87371487411968</v>
      </c>
      <c r="I267" t="str">
        <f t="shared" si="29"/>
        <v>1915.57804584233j</v>
      </c>
      <c r="J267" t="str">
        <f t="shared" si="30"/>
        <v>0.0000143908845266193-0.00268239355161621j</v>
      </c>
      <c r="K267">
        <f t="shared" si="31"/>
        <v>-51.429425072712235</v>
      </c>
      <c r="L267">
        <f t="shared" si="32"/>
        <v>-89.692614442909203</v>
      </c>
      <c r="M267">
        <f t="shared" si="33"/>
        <v>1.43908845266193E-5</v>
      </c>
      <c r="N267">
        <f t="shared" si="34"/>
        <v>-2.6823935516162101E-3</v>
      </c>
    </row>
    <row r="268" spans="7:14" x14ac:dyDescent="0.25">
      <c r="G268">
        <v>2.2999999999999998</v>
      </c>
      <c r="H268">
        <f t="shared" ref="H268:H303" si="35">$B$3*10^G268</f>
        <v>319.24197039502087</v>
      </c>
      <c r="I268" t="str">
        <f t="shared" si="29"/>
        <v>2005.85645782106j</v>
      </c>
      <c r="J268" t="str">
        <f t="shared" si="30"/>
        <v>0.0000131246759142239-0.00256167244197889j</v>
      </c>
      <c r="K268">
        <f t="shared" si="31"/>
        <v>-51.829414074261358</v>
      </c>
      <c r="L268">
        <f t="shared" si="32"/>
        <v>-89.706448824122575</v>
      </c>
      <c r="M268">
        <f t="shared" si="33"/>
        <v>1.31246759142239E-5</v>
      </c>
      <c r="N268">
        <f t="shared" si="34"/>
        <v>-2.5616724419788902E-3</v>
      </c>
    </row>
    <row r="269" spans="7:14" x14ac:dyDescent="0.25">
      <c r="G269">
        <v>2.3199999999999998</v>
      </c>
      <c r="H269">
        <f t="shared" si="35"/>
        <v>334.28738093664634</v>
      </c>
      <c r="I269" t="str">
        <f t="shared" si="29"/>
        <v>2100.38956027668j</v>
      </c>
      <c r="J269" t="str">
        <f t="shared" si="30"/>
        <v>0.000011969874343127-0.00244638384021635j</v>
      </c>
      <c r="K269">
        <f t="shared" si="31"/>
        <v>-52.2294040435306</v>
      </c>
      <c r="L269">
        <f t="shared" si="32"/>
        <v>-89.719660587588862</v>
      </c>
      <c r="M269">
        <f t="shared" si="33"/>
        <v>1.1969874343127E-5</v>
      </c>
      <c r="N269">
        <f t="shared" si="34"/>
        <v>-2.4463838402163499E-3</v>
      </c>
    </row>
    <row r="270" spans="7:14" x14ac:dyDescent="0.25">
      <c r="G270">
        <v>2.34</v>
      </c>
      <c r="H270">
        <f t="shared" si="35"/>
        <v>350.04185983192838</v>
      </c>
      <c r="I270" t="str">
        <f t="shared" si="29"/>
        <v>2199.37787059379j</v>
      </c>
      <c r="J270" t="str">
        <f t="shared" si="30"/>
        <v>0.0000109166781419699-0.0023362833512062j</v>
      </c>
      <c r="K270">
        <f t="shared" si="31"/>
        <v>-52.629394895375299</v>
      </c>
      <c r="L270">
        <f t="shared" si="32"/>
        <v>-89.732277751596911</v>
      </c>
      <c r="M270">
        <f t="shared" si="33"/>
        <v>1.09166781419699E-5</v>
      </c>
      <c r="N270">
        <f t="shared" si="34"/>
        <v>-2.3362833512062002E-3</v>
      </c>
    </row>
    <row r="271" spans="7:14" x14ac:dyDescent="0.25">
      <c r="G271">
        <v>2.36</v>
      </c>
      <c r="H271">
        <f t="shared" si="35"/>
        <v>366.53882444284392</v>
      </c>
      <c r="I271" t="str">
        <f t="shared" si="29"/>
        <v>2303.03135625015j</v>
      </c>
      <c r="J271" t="str">
        <f t="shared" si="30"/>
        <v>9.95614792197907E-06-0.00223113756548271j</v>
      </c>
      <c r="K271">
        <f t="shared" si="31"/>
        <v>-53.029386552141624</v>
      </c>
      <c r="L271">
        <f t="shared" si="32"/>
        <v>-89.7443270739372</v>
      </c>
      <c r="M271">
        <f t="shared" si="33"/>
        <v>9.9561479219790692E-6</v>
      </c>
      <c r="N271">
        <f t="shared" si="34"/>
        <v>-2.2311375654827099E-3</v>
      </c>
    </row>
    <row r="272" spans="7:14" x14ac:dyDescent="0.25">
      <c r="G272">
        <v>2.38</v>
      </c>
      <c r="H272">
        <f t="shared" si="35"/>
        <v>383.81326704311863</v>
      </c>
      <c r="I272" t="str">
        <f t="shared" si="29"/>
        <v>2411.56988018592j</v>
      </c>
      <c r="J272" t="str">
        <f t="shared" si="30"/>
        <v>9.08013073206582E-06-0.00213072356659863j</v>
      </c>
      <c r="K272">
        <f t="shared" si="31"/>
        <v>-53.429378943008189</v>
      </c>
      <c r="L272">
        <f t="shared" si="32"/>
        <v>-89.755834108564898</v>
      </c>
      <c r="M272">
        <f t="shared" si="33"/>
        <v>9.0801307320658193E-6</v>
      </c>
      <c r="N272">
        <f t="shared" si="34"/>
        <v>-2.1307235665986302E-3</v>
      </c>
    </row>
    <row r="273" spans="7:14" x14ac:dyDescent="0.25">
      <c r="G273">
        <v>2.4</v>
      </c>
      <c r="H273">
        <f t="shared" si="35"/>
        <v>401.90182904153289</v>
      </c>
      <c r="I273" t="str">
        <f t="shared" si="29"/>
        <v>2525.22366716236j</v>
      </c>
      <c r="J273" t="str">
        <f t="shared" si="30"/>
        <v>8.28119088297875E-06-0.00203482846042779j</v>
      </c>
      <c r="K273">
        <f t="shared" si="31"/>
        <v>-53.829372003384314</v>
      </c>
      <c r="L273">
        <f t="shared" si="32"/>
        <v>-89.766823259721619</v>
      </c>
      <c r="M273">
        <f t="shared" si="33"/>
        <v>8.2811908829787493E-6</v>
      </c>
      <c r="N273">
        <f t="shared" si="34"/>
        <v>-2.0348284604277899E-3</v>
      </c>
    </row>
    <row r="274" spans="7:14" x14ac:dyDescent="0.25">
      <c r="G274">
        <v>2.42</v>
      </c>
      <c r="H274">
        <f t="shared" si="35"/>
        <v>420.84287870326108</v>
      </c>
      <c r="I274" t="str">
        <f t="shared" si="29"/>
        <v>2644.23379209949j</v>
      </c>
      <c r="J274" t="str">
        <f t="shared" si="30"/>
        <v>7.55254685445451E-06-0.00194324892545018j</v>
      </c>
      <c r="K274">
        <f t="shared" si="31"/>
        <v>-54.229365674362484</v>
      </c>
      <c r="L274">
        <f t="shared" si="32"/>
        <v>-89.777317833628899</v>
      </c>
      <c r="M274">
        <f t="shared" si="33"/>
        <v>7.5525468544545103E-6</v>
      </c>
      <c r="N274">
        <f t="shared" si="34"/>
        <v>-1.9432489254501801E-3</v>
      </c>
    </row>
    <row r="275" spans="7:14" x14ac:dyDescent="0.25">
      <c r="G275">
        <v>2.44</v>
      </c>
      <c r="H275">
        <f t="shared" si="35"/>
        <v>440.67659253410693</v>
      </c>
      <c r="I275" t="str">
        <f t="shared" si="29"/>
        <v>2768.85269142827j</v>
      </c>
      <c r="J275" t="str">
        <f t="shared" si="30"/>
        <v>6.88801375075828E-06-0.00185579078310183j</v>
      </c>
      <c r="K275">
        <f t="shared" si="31"/>
        <v>-54.629359902217978</v>
      </c>
      <c r="L275">
        <f t="shared" si="32"/>
        <v>-89.787340087861864</v>
      </c>
      <c r="M275">
        <f t="shared" si="33"/>
        <v>6.8880137507582801E-6</v>
      </c>
      <c r="N275">
        <f t="shared" si="34"/>
        <v>-1.8557907831018301E-3</v>
      </c>
    </row>
    <row r="276" spans="7:14" x14ac:dyDescent="0.25">
      <c r="G276">
        <v>2.46</v>
      </c>
      <c r="H276">
        <f t="shared" si="35"/>
        <v>461.44504050025716</v>
      </c>
      <c r="I276" t="str">
        <f t="shared" si="29"/>
        <v>2899.34469854211j</v>
      </c>
      <c r="J276" t="str">
        <f t="shared" si="30"/>
        <v>6.28195081693487E-06-0.00177226858730875j</v>
      </c>
      <c r="K276">
        <f t="shared" si="31"/>
        <v>-55.029354637952899</v>
      </c>
      <c r="L276">
        <f t="shared" si="32"/>
        <v>-89.796911278506528</v>
      </c>
      <c r="M276">
        <f t="shared" si="33"/>
        <v>6.2819508169348699E-6</v>
      </c>
      <c r="N276">
        <f t="shared" si="34"/>
        <v>-1.77226858730875E-3</v>
      </c>
    </row>
    <row r="277" spans="7:14" x14ac:dyDescent="0.25">
      <c r="G277">
        <v>2.48</v>
      </c>
      <c r="H277">
        <f t="shared" si="35"/>
        <v>483.19227526432269</v>
      </c>
      <c r="I277" t="str">
        <f t="shared" si="29"/>
        <v>3035.98660448347j</v>
      </c>
      <c r="J277" t="str">
        <f t="shared" si="30"/>
        <v>5.72921357091736E-06-0.00169250523236135j</v>
      </c>
      <c r="K277">
        <f t="shared" si="31"/>
        <v>-55.429349836880476</v>
      </c>
      <c r="L277">
        <f t="shared" si="32"/>
        <v>-89.806051705199906</v>
      </c>
      <c r="M277">
        <f t="shared" si="33"/>
        <v>5.7292135709173604E-6</v>
      </c>
      <c r="N277">
        <f t="shared" si="34"/>
        <v>-1.69250523236135E-3</v>
      </c>
    </row>
    <row r="278" spans="7:14" x14ac:dyDescent="0.25">
      <c r="G278">
        <v>2.5</v>
      </c>
      <c r="H278">
        <f t="shared" si="35"/>
        <v>505.96442562694119</v>
      </c>
      <c r="I278" t="str">
        <f t="shared" si="29"/>
        <v>3179.06824505476j</v>
      </c>
      <c r="J278" t="str">
        <f t="shared" si="30"/>
        <v>5.22511014570851E-06-0.00161633157832117j</v>
      </c>
      <c r="K278">
        <f t="shared" si="31"/>
        <v>-55.829345458245825</v>
      </c>
      <c r="L278">
        <f t="shared" si="32"/>
        <v>-89.814780754147222</v>
      </c>
      <c r="M278">
        <f t="shared" si="33"/>
        <v>5.22511014570851E-6</v>
      </c>
      <c r="N278">
        <f t="shared" si="34"/>
        <v>-1.61633157832117E-3</v>
      </c>
    </row>
    <row r="279" spans="7:14" x14ac:dyDescent="0.25">
      <c r="G279">
        <v>2.52</v>
      </c>
      <c r="H279">
        <f t="shared" si="35"/>
        <v>529.80979437214626</v>
      </c>
      <c r="I279" t="str">
        <f t="shared" si="29"/>
        <v>3328.89311559891j</v>
      </c>
      <c r="J279" t="str">
        <f t="shared" si="30"/>
        <v>4.76536147149368E-06-0.00154358609318589j</v>
      </c>
      <c r="K279">
        <f t="shared" si="31"/>
        <v>-56.229341464879681</v>
      </c>
      <c r="L279">
        <f t="shared" si="32"/>
        <v>-89.823116939206997</v>
      </c>
      <c r="M279">
        <f t="shared" si="33"/>
        <v>4.7653614714936803E-6</v>
      </c>
      <c r="N279">
        <f t="shared" si="34"/>
        <v>-1.54358609318589E-3</v>
      </c>
    </row>
    <row r="280" spans="7:14" x14ac:dyDescent="0.25">
      <c r="G280">
        <v>2.54</v>
      </c>
      <c r="H280">
        <f t="shared" si="35"/>
        <v>554.77896072405099</v>
      </c>
      <c r="I280" t="str">
        <f t="shared" si="29"/>
        <v>3485.77901475372j</v>
      </c>
      <c r="J280" t="str">
        <f t="shared" si="30"/>
        <v>0.0000043460649600627-0.00147411451107121j</v>
      </c>
      <c r="K280">
        <f t="shared" si="31"/>
        <v>-56.629337822883265</v>
      </c>
      <c r="L280">
        <f t="shared" si="32"/>
        <v>-89.831077941130474</v>
      </c>
      <c r="M280">
        <f t="shared" si="33"/>
        <v>4.3460649600626996E-6</v>
      </c>
      <c r="N280">
        <f t="shared" si="34"/>
        <v>-1.47411451107121E-3</v>
      </c>
    </row>
    <row r="281" spans="7:14" x14ac:dyDescent="0.25">
      <c r="G281">
        <v>2.56</v>
      </c>
      <c r="H281">
        <f t="shared" si="35"/>
        <v>580.92488763216249</v>
      </c>
      <c r="I281" t="str">
        <f t="shared" si="29"/>
        <v>3650.05871854536j</v>
      </c>
      <c r="J281" t="str">
        <f t="shared" si="30"/>
        <v>3.96366138358271E-06-0.00140776950570034j</v>
      </c>
      <c r="K281">
        <f t="shared" si="31"/>
        <v>-57.029334501340415</v>
      </c>
      <c r="L281">
        <f t="shared" si="32"/>
        <v>-89.838680645037684</v>
      </c>
      <c r="M281">
        <f t="shared" si="33"/>
        <v>3.9636613835827096E-6</v>
      </c>
      <c r="N281">
        <f t="shared" si="34"/>
        <v>-1.40776950570034E-3</v>
      </c>
    </row>
    <row r="282" spans="7:14" x14ac:dyDescent="0.25">
      <c r="G282">
        <v>2.58</v>
      </c>
      <c r="H282">
        <f t="shared" si="35"/>
        <v>608.30303411289867</v>
      </c>
      <c r="I282" t="str">
        <f t="shared" si="29"/>
        <v>3822.08068625093j</v>
      </c>
      <c r="J282" t="str">
        <f t="shared" si="30"/>
        <v>3.61490466682666E-06-0.00134441037852197j</v>
      </c>
      <c r="K282">
        <f t="shared" si="31"/>
        <v>-57.429331472055068</v>
      </c>
      <c r="L282">
        <f t="shared" si="32"/>
        <v>-89.84594117620955</v>
      </c>
      <c r="M282">
        <f t="shared" si="33"/>
        <v>3.6149046668266602E-6</v>
      </c>
      <c r="N282">
        <f t="shared" si="34"/>
        <v>-1.3444103785219699E-3</v>
      </c>
    </row>
    <row r="283" spans="7:14" x14ac:dyDescent="0.25">
      <c r="G283">
        <v>2.6</v>
      </c>
      <c r="H283">
        <f t="shared" si="35"/>
        <v>636.9714728855962</v>
      </c>
      <c r="I283" t="str">
        <f t="shared" si="29"/>
        <v>4002.20979952732j</v>
      </c>
      <c r="J283" t="str">
        <f t="shared" si="30"/>
        <v>3.29683433664838E-06-0.00128390276080689j</v>
      </c>
      <c r="K283">
        <f t="shared" si="31"/>
        <v>-57.829328709312186</v>
      </c>
      <c r="L283">
        <f t="shared" si="32"/>
        <v>-89.852874934271284</v>
      </c>
      <c r="M283">
        <f t="shared" si="33"/>
        <v>3.29683433664838E-6</v>
      </c>
      <c r="N283">
        <f t="shared" si="34"/>
        <v>-1.2839027608068901E-3</v>
      </c>
    </row>
    <row r="284" spans="7:14" x14ac:dyDescent="0.25">
      <c r="G284">
        <v>2.62</v>
      </c>
      <c r="H284">
        <f t="shared" si="35"/>
        <v>666.9910135525372</v>
      </c>
      <c r="I284" t="str">
        <f t="shared" si="29"/>
        <v>4190.82813637412j</v>
      </c>
      <c r="J284" t="str">
        <f t="shared" si="30"/>
        <v>3.00675039501458E-06-0.00122611832910178j</v>
      </c>
      <c r="K284">
        <f t="shared" si="31"/>
        <v>-58.229326189659247</v>
      </c>
      <c r="L284">
        <f t="shared" si="32"/>
        <v>-89.859496625839114</v>
      </c>
      <c r="M284">
        <f t="shared" si="33"/>
        <v>3.0067503950145799E-6</v>
      </c>
      <c r="N284">
        <f t="shared" si="34"/>
        <v>-1.2261183291017799E-3</v>
      </c>
    </row>
    <row r="285" spans="7:14" x14ac:dyDescent="0.25">
      <c r="G285">
        <v>2.64</v>
      </c>
      <c r="H285">
        <f t="shared" si="35"/>
        <v>698.42533158426602</v>
      </c>
      <c r="I285" t="str">
        <f t="shared" si="29"/>
        <v>4388.33578157229j</v>
      </c>
      <c r="J285" t="str">
        <f t="shared" si="30"/>
        <v>2.74219040244666E-06-0.00117093453344546j</v>
      </c>
      <c r="K285">
        <f t="shared" si="31"/>
        <v>-58.629323891707081</v>
      </c>
      <c r="L285">
        <f t="shared" si="32"/>
        <v>-89.865820295699493</v>
      </c>
      <c r="M285">
        <f t="shared" si="33"/>
        <v>2.7421904024466598E-6</v>
      </c>
      <c r="N285">
        <f t="shared" si="34"/>
        <v>-1.1709345334454601E-3</v>
      </c>
    </row>
    <row r="286" spans="7:14" x14ac:dyDescent="0.25">
      <c r="G286">
        <v>2.66</v>
      </c>
      <c r="H286">
        <f t="shared" si="35"/>
        <v>731.34110338380106</v>
      </c>
      <c r="I286" t="str">
        <f t="shared" si="29"/>
        <v>4595.15167531761j</v>
      </c>
      <c r="J286" t="str">
        <f t="shared" si="30"/>
        <v>0.0000025009085774627-0.00111823433777882j</v>
      </c>
      <c r="K286">
        <f t="shared" si="31"/>
        <v>-59.029321795948832</v>
      </c>
      <c r="L286">
        <f t="shared" si="32"/>
        <v>-89.871859356586342</v>
      </c>
      <c r="M286">
        <f t="shared" si="33"/>
        <v>2.5009085774626999E-6</v>
      </c>
      <c r="N286">
        <f t="shared" si="34"/>
        <v>-1.11823433777882E-3</v>
      </c>
    </row>
    <row r="287" spans="7:14" x14ac:dyDescent="0.25">
      <c r="G287">
        <v>2.68</v>
      </c>
      <c r="H287">
        <f t="shared" si="35"/>
        <v>765.80814771622227</v>
      </c>
      <c r="I287" t="str">
        <f t="shared" si="29"/>
        <v>4811.71450184898j</v>
      </c>
      <c r="J287" t="str">
        <f t="shared" si="30"/>
        <v>2.28085673470219E-06-0.00106790597200486j</v>
      </c>
      <c r="K287">
        <f t="shared" si="31"/>
        <v>-59.429319884593681</v>
      </c>
      <c r="L287">
        <f t="shared" si="32"/>
        <v>-89.877626617619512</v>
      </c>
      <c r="M287">
        <f t="shared" si="33"/>
        <v>2.2808567347021899E-6</v>
      </c>
      <c r="N287">
        <f t="shared" si="34"/>
        <v>-1.0679059720048599E-3</v>
      </c>
    </row>
    <row r="288" spans="7:14" x14ac:dyDescent="0.25">
      <c r="G288">
        <v>2.7</v>
      </c>
      <c r="H288">
        <f t="shared" si="35"/>
        <v>801.89957380363637</v>
      </c>
      <c r="I288" t="str">
        <f t="shared" si="29"/>
        <v>5038.48361995658j</v>
      </c>
      <c r="J288" t="str">
        <f t="shared" si="30"/>
        <v>2.08016690000651E-06-0.00101984269517849j</v>
      </c>
      <c r="K288">
        <f t="shared" si="31"/>
        <v>-59.829318141416266</v>
      </c>
      <c r="L288">
        <f t="shared" si="32"/>
        <v>-89.88313431146436</v>
      </c>
      <c r="M288">
        <f t="shared" si="33"/>
        <v>2.0801669000065101E-6</v>
      </c>
      <c r="N288">
        <f t="shared" si="34"/>
        <v>-1.01984269517849E-3</v>
      </c>
    </row>
    <row r="289" spans="7:14" x14ac:dyDescent="0.25">
      <c r="G289">
        <v>2.72</v>
      </c>
      <c r="H289">
        <f t="shared" si="35"/>
        <v>839.69193639963669</v>
      </c>
      <c r="I289" t="str">
        <f t="shared" si="29"/>
        <v>5275.94003734337j</v>
      </c>
      <c r="J289" t="str">
        <f t="shared" si="30"/>
        <v>1.89713545494883E-06-0.000973942569329159j</v>
      </c>
      <c r="K289">
        <f t="shared" si="31"/>
        <v>-60.229316551619043</v>
      </c>
      <c r="L289">
        <f t="shared" si="32"/>
        <v>-89.888394120269851</v>
      </c>
      <c r="M289">
        <f t="shared" si="33"/>
        <v>1.8971354549488301E-6</v>
      </c>
      <c r="N289">
        <f t="shared" si="34"/>
        <v>-9.7394256932915901E-4</v>
      </c>
    </row>
    <row r="290" spans="7:14" x14ac:dyDescent="0.25">
      <c r="G290">
        <v>2.74</v>
      </c>
      <c r="H290">
        <f t="shared" si="35"/>
        <v>879.26539817220055</v>
      </c>
      <c r="I290" t="str">
        <f t="shared" si="29"/>
        <v>5524.58743090698j</v>
      </c>
      <c r="J290" t="str">
        <f t="shared" si="30"/>
        <v>1.73020867627806E-06-0.000930108243441034j</v>
      </c>
      <c r="K290">
        <f t="shared" si="31"/>
        <v>-60.629315101706212</v>
      </c>
      <c r="L290">
        <f t="shared" si="32"/>
        <v>-89.89341720044024</v>
      </c>
      <c r="M290">
        <f t="shared" si="33"/>
        <v>1.7302086762780601E-6</v>
      </c>
      <c r="N290">
        <f t="shared" si="34"/>
        <v>-9.3010824344103395E-4</v>
      </c>
    </row>
    <row r="291" spans="7:14" x14ac:dyDescent="0.25">
      <c r="G291">
        <v>2.76</v>
      </c>
      <c r="H291">
        <f t="shared" si="35"/>
        <v>920.70389973945134</v>
      </c>
      <c r="I291" t="str">
        <f t="shared" si="29"/>
        <v>5784.95321510587j</v>
      </c>
      <c r="J291" t="str">
        <f t="shared" si="30"/>
        <v>1.57796954757217E-06-0.000888246747136285j</v>
      </c>
      <c r="K291">
        <f t="shared" si="31"/>
        <v>-61.029313779369552</v>
      </c>
      <c r="L291">
        <f t="shared" si="32"/>
        <v>-89.898214206292479</v>
      </c>
      <c r="M291">
        <f t="shared" si="33"/>
        <v>1.5779695475721701E-6</v>
      </c>
      <c r="N291">
        <f t="shared" si="34"/>
        <v>-8.88246747136285E-4</v>
      </c>
    </row>
    <row r="292" spans="7:14" x14ac:dyDescent="0.25">
      <c r="G292">
        <v>2.78</v>
      </c>
      <c r="H292">
        <f t="shared" si="35"/>
        <v>964.09533771897247</v>
      </c>
      <c r="I292" t="str">
        <f t="shared" si="29"/>
        <v>6057.58966067619j</v>
      </c>
      <c r="J292" t="str">
        <f t="shared" si="30"/>
        <v>1.43912573118793E-06-0.000848269293627379j</v>
      </c>
      <c r="K292">
        <f t="shared" si="31"/>
        <v>-61.429312573383854</v>
      </c>
      <c r="L292">
        <f t="shared" si="32"/>
        <v>-89.902795312649459</v>
      </c>
      <c r="M292">
        <f t="shared" si="33"/>
        <v>1.4391257311879299E-6</v>
      </c>
      <c r="N292">
        <f t="shared" si="34"/>
        <v>-8.4826929362737905E-4</v>
      </c>
    </row>
    <row r="293" spans="7:14" x14ac:dyDescent="0.25">
      <c r="G293">
        <v>2.8</v>
      </c>
      <c r="H293">
        <f t="shared" si="35"/>
        <v>1009.5317511683093</v>
      </c>
      <c r="I293" t="str">
        <f t="shared" si="29"/>
        <v>6343.075066072j</v>
      </c>
      <c r="J293" t="str">
        <f t="shared" si="30"/>
        <v>1.31249859843613E-06-0.000810091091523351j</v>
      </c>
      <c r="K293">
        <f t="shared" si="31"/>
        <v>-61.829311473511517</v>
      </c>
      <c r="L293">
        <f t="shared" si="32"/>
        <v>-89.907170236417173</v>
      </c>
      <c r="M293">
        <f t="shared" si="33"/>
        <v>1.31249859843613E-6</v>
      </c>
      <c r="N293">
        <f t="shared" si="34"/>
        <v>-8.1009109152335105E-4</v>
      </c>
    </row>
    <row r="294" spans="7:14" x14ac:dyDescent="0.25">
      <c r="G294">
        <v>2.82</v>
      </c>
      <c r="H294">
        <f t="shared" si="35"/>
        <v>1057.1095168121544</v>
      </c>
      <c r="I294" t="str">
        <f t="shared" si="29"/>
        <v>6642.01498411384j</v>
      </c>
      <c r="J294" t="str">
        <f t="shared" si="30"/>
        <v>1.19701322488889E-06-0.000773631165093409j</v>
      </c>
      <c r="K294">
        <f t="shared" si="31"/>
        <v>-62.229310470415797</v>
      </c>
      <c r="L294">
        <f t="shared" si="32"/>
        <v>-89.911348257190923</v>
      </c>
      <c r="M294">
        <f t="shared" si="33"/>
        <v>1.19701322488889E-6</v>
      </c>
      <c r="N294">
        <f t="shared" si="34"/>
        <v>-7.7363116509340899E-4</v>
      </c>
    </row>
    <row r="295" spans="7:14" x14ac:dyDescent="0.25">
      <c r="G295">
        <v>2.84</v>
      </c>
      <c r="H295">
        <f t="shared" si="35"/>
        <v>1106.9295534702987</v>
      </c>
      <c r="I295" t="str">
        <f t="shared" si="29"/>
        <v>6955.04350644744j</v>
      </c>
      <c r="J295" t="str">
        <f t="shared" si="30"/>
        <v>1.09168926591362E-06-0.000738812182608919j</v>
      </c>
      <c r="K295">
        <f t="shared" si="31"/>
        <v>-62.629309555581408</v>
      </c>
      <c r="L295">
        <f t="shared" si="32"/>
        <v>-89.915338236934844</v>
      </c>
      <c r="M295">
        <f t="shared" si="33"/>
        <v>1.0916892659136201E-6</v>
      </c>
      <c r="N295">
        <f t="shared" si="34"/>
        <v>-7.3881218260891902E-4</v>
      </c>
    </row>
    <row r="296" spans="7:14" x14ac:dyDescent="0.25">
      <c r="G296">
        <v>2.86</v>
      </c>
      <c r="H296">
        <f t="shared" si="35"/>
        <v>1159.0975361199844</v>
      </c>
      <c r="I296" t="str">
        <f t="shared" si="29"/>
        <v>7282.82460853715j</v>
      </c>
      <c r="J296" t="str">
        <f t="shared" si="30"/>
        <v>9.95632634996327E-07-0.000705560292401592j</v>
      </c>
      <c r="K296">
        <f t="shared" si="31"/>
        <v>-63.029308721242373</v>
      </c>
      <c r="L296">
        <f t="shared" si="32"/>
        <v>-89.91914863877571</v>
      </c>
      <c r="M296">
        <f t="shared" si="33"/>
        <v>9.9563263499632701E-7</v>
      </c>
      <c r="N296">
        <f t="shared" si="34"/>
        <v>-7.0556029240159202E-4</v>
      </c>
    </row>
    <row r="297" spans="7:14" x14ac:dyDescent="0.25">
      <c r="G297">
        <v>2.88</v>
      </c>
      <c r="H297">
        <f t="shared" si="35"/>
        <v>1213.724120046694</v>
      </c>
      <c r="I297" t="str">
        <f t="shared" si="29"/>
        <v>7626.05355804686j</v>
      </c>
      <c r="J297" t="str">
        <f t="shared" si="30"/>
        <v>9.08027914228489E-07-0.000673804966291843j</v>
      </c>
      <c r="K297">
        <f t="shared" si="31"/>
        <v>-63.429307960315988</v>
      </c>
      <c r="L297">
        <f t="shared" si="32"/>
        <v>-89.922787544951603</v>
      </c>
      <c r="M297">
        <f t="shared" si="33"/>
        <v>9.0802791422848901E-7</v>
      </c>
      <c r="N297">
        <f t="shared" si="34"/>
        <v>-6.7380496629184305E-4</v>
      </c>
    </row>
    <row r="298" spans="7:14" x14ac:dyDescent="0.25">
      <c r="G298">
        <v>2.9</v>
      </c>
      <c r="H298">
        <f t="shared" si="35"/>
        <v>1270.9251755588514</v>
      </c>
      <c r="I298" t="str">
        <f t="shared" si="29"/>
        <v>7985.45838959601j</v>
      </c>
      <c r="J298" t="str">
        <f t="shared" si="30"/>
        <v>8.28131432543914E-07-0.000643478850056696j</v>
      </c>
      <c r="K298">
        <f t="shared" si="31"/>
        <v>-63.829307266342774</v>
      </c>
      <c r="L298">
        <f t="shared" si="32"/>
        <v>-89.926262673952706</v>
      </c>
      <c r="M298">
        <f t="shared" si="33"/>
        <v>8.28131432543914E-7</v>
      </c>
      <c r="N298">
        <f t="shared" si="34"/>
        <v>-6.4347885005669599E-4</v>
      </c>
    </row>
    <row r="299" spans="7:14" x14ac:dyDescent="0.25">
      <c r="G299">
        <v>2.92</v>
      </c>
      <c r="H299">
        <f t="shared" si="35"/>
        <v>1330.8220337642742</v>
      </c>
      <c r="I299" t="str">
        <f t="shared" si="29"/>
        <v>8361.80144901854j</v>
      </c>
      <c r="J299" t="str">
        <f t="shared" si="30"/>
        <v>7.55264952958551E-07-0.000614517620621351j</v>
      </c>
      <c r="K299">
        <f t="shared" si="31"/>
        <v>-64.229306633431548</v>
      </c>
      <c r="L299">
        <f t="shared" si="32"/>
        <v>-89.929581396890995</v>
      </c>
      <c r="M299">
        <f t="shared" si="33"/>
        <v>7.5526495295855099E-7</v>
      </c>
      <c r="N299">
        <f t="shared" si="34"/>
        <v>-6.1451762062135105E-4</v>
      </c>
    </row>
    <row r="300" spans="7:14" x14ac:dyDescent="0.25">
      <c r="G300">
        <v>2.94</v>
      </c>
      <c r="H300">
        <f t="shared" si="35"/>
        <v>1393.5417439297296</v>
      </c>
      <c r="I300" t="str">
        <f t="shared" si="29"/>
        <v>8755.88101040069j</v>
      </c>
      <c r="J300" t="str">
        <f t="shared" si="30"/>
        <v>6.88809915233734E-07-0.000586859849672618j</v>
      </c>
      <c r="K300">
        <f t="shared" si="31"/>
        <v>-64.6293060562096</v>
      </c>
      <c r="L300">
        <f t="shared" si="32"/>
        <v>-89.932750753133547</v>
      </c>
      <c r="M300">
        <f t="shared" si="33"/>
        <v>6.8880991523373402E-7</v>
      </c>
      <c r="N300">
        <f t="shared" si="34"/>
        <v>-5.8685984967261798E-4</v>
      </c>
    </row>
    <row r="301" spans="7:14" x14ac:dyDescent="0.25">
      <c r="G301">
        <v>2.96</v>
      </c>
      <c r="H301">
        <f t="shared" si="35"/>
        <v>1459.2173429694558</v>
      </c>
      <c r="I301" t="str">
        <f t="shared" si="29"/>
        <v>9168.53296932732j</v>
      </c>
      <c r="J301" t="str">
        <f t="shared" si="30"/>
        <v>6.28202185096903E-07-0.000560446873405915j</v>
      </c>
      <c r="K301">
        <f t="shared" si="31"/>
        <v>-65.029305529776863</v>
      </c>
      <c r="L301">
        <f t="shared" si="32"/>
        <v>-89.935777465232078</v>
      </c>
      <c r="M301">
        <f t="shared" si="33"/>
        <v>6.2820218509690296E-7</v>
      </c>
      <c r="N301">
        <f t="shared" si="34"/>
        <v>-5.6044687340591501E-4</v>
      </c>
    </row>
    <row r="302" spans="7:14" x14ac:dyDescent="0.25">
      <c r="G302">
        <v>2.98</v>
      </c>
      <c r="H302">
        <f t="shared" si="35"/>
        <v>1527.9881376342989</v>
      </c>
      <c r="I302" t="str">
        <f t="shared" si="29"/>
        <v>9600.63261592853j</v>
      </c>
      <c r="J302" t="str">
        <f t="shared" si="30"/>
        <v>5.72927265452531E-07-0.000535222668130391j</v>
      </c>
      <c r="K302">
        <f t="shared" si="31"/>
        <v>-65.429305049664436</v>
      </c>
      <c r="L302">
        <f t="shared" si="32"/>
        <v>-89.938667953181053</v>
      </c>
      <c r="M302">
        <f t="shared" si="33"/>
        <v>5.7292726545253102E-7</v>
      </c>
      <c r="N302">
        <f t="shared" si="34"/>
        <v>-5.3522266813039098E-4</v>
      </c>
    </row>
    <row r="303" spans="7:14" x14ac:dyDescent="0.25">
      <c r="G303">
        <v>3</v>
      </c>
      <c r="H303">
        <f t="shared" si="35"/>
        <v>1600</v>
      </c>
      <c r="I303" t="str">
        <f t="shared" si="29"/>
        <v>10053.0964914873j</v>
      </c>
      <c r="J303" t="str">
        <f t="shared" si="30"/>
        <v>5.22515928936762E-07-0.00051113373146906j</v>
      </c>
      <c r="K303">
        <f t="shared" si="31"/>
        <v>-65.829304611796616</v>
      </c>
      <c r="L303">
        <f t="shared" si="32"/>
        <v>-89.941428348033938</v>
      </c>
      <c r="M303">
        <f t="shared" si="33"/>
        <v>5.2251592893676195E-7</v>
      </c>
      <c r="N303">
        <f t="shared" si="34"/>
        <v>-5.1113373146906001E-4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695EC-A221-47C0-935F-7B1472A5E013}">
  <sheetPr codeName="Sheet2"/>
  <dimension ref="A1:N303"/>
  <sheetViews>
    <sheetView showGridLines="0" zoomScale="90" zoomScaleNormal="90" workbookViewId="0">
      <selection activeCell="B7" sqref="B7"/>
    </sheetView>
  </sheetViews>
  <sheetFormatPr defaultRowHeight="15" x14ac:dyDescent="0.25"/>
  <cols>
    <col min="1" max="1" width="20.7109375" customWidth="1"/>
    <col min="2" max="2" width="22.140625" bestFit="1" customWidth="1"/>
    <col min="3" max="3" width="5.7109375" customWidth="1"/>
    <col min="4" max="4" width="98.5703125" customWidth="1"/>
    <col min="5" max="5" width="11.140625" customWidth="1"/>
    <col min="6" max="6" width="8" customWidth="1"/>
    <col min="7" max="7" width="12" bestFit="1" customWidth="1"/>
    <col min="8" max="8" width="17.140625" customWidth="1"/>
    <col min="9" max="9" width="21.42578125" customWidth="1"/>
    <col min="10" max="10" width="43.5703125" customWidth="1"/>
  </cols>
  <sheetData>
    <row r="1" spans="1:14" ht="15.75" x14ac:dyDescent="0.25">
      <c r="A1" s="1" t="s">
        <v>16</v>
      </c>
    </row>
    <row r="2" spans="1:14" x14ac:dyDescent="0.25">
      <c r="B2" s="2" t="s">
        <v>0</v>
      </c>
      <c r="G2" s="3" t="s">
        <v>1</v>
      </c>
      <c r="H2" s="3" t="s">
        <v>4</v>
      </c>
      <c r="I2" s="3" t="s">
        <v>2</v>
      </c>
      <c r="J2" s="3" t="s">
        <v>3</v>
      </c>
      <c r="K2" s="3" t="s">
        <v>5</v>
      </c>
      <c r="L2" s="4" t="s">
        <v>6</v>
      </c>
      <c r="M2" s="3" t="s">
        <v>7</v>
      </c>
      <c r="N2" s="3" t="s">
        <v>8</v>
      </c>
    </row>
    <row r="3" spans="1:14" ht="18" x14ac:dyDescent="0.35">
      <c r="A3" s="6" t="s">
        <v>9</v>
      </c>
      <c r="B3" s="5">
        <v>10.3</v>
      </c>
      <c r="C3" t="s">
        <v>10</v>
      </c>
      <c r="G3">
        <v>-3</v>
      </c>
      <c r="H3">
        <f t="shared" ref="H3:H66" si="0">$B$3*10^G3</f>
        <v>1.03E-2</v>
      </c>
      <c r="I3" t="str">
        <f>COMPLEX(0,H3*2*PI(),"j")</f>
        <v>0.0647168086639497j</v>
      </c>
      <c r="J3" t="str">
        <f t="shared" ref="J3:J66" si="1">IMDIV(IMPRODUCT(I3,($B$7*$B$4)),IMSUM(1,IMPRODUCT(I3,($B$7*$B$4))))</f>
        <v>1.07219477325059E-06+0.00103546782839882j</v>
      </c>
      <c r="K3">
        <f>20*LOG(IMABS(J3))</f>
        <v>-59.697263142100923</v>
      </c>
      <c r="L3">
        <f>DEGREES(IMARGUMENT(J3))</f>
        <v>89.940672021203738</v>
      </c>
      <c r="M3">
        <f>IMREAL(J3)</f>
        <v>1.0721947732505899E-6</v>
      </c>
      <c r="N3">
        <f>IMAGINARY(J3)</f>
        <v>1.03546782839882E-3</v>
      </c>
    </row>
    <row r="4" spans="1:14" x14ac:dyDescent="0.25">
      <c r="A4" s="7" t="s">
        <v>14</v>
      </c>
      <c r="B4" s="16">
        <v>100000</v>
      </c>
      <c r="C4" t="s">
        <v>12</v>
      </c>
      <c r="G4">
        <v>-2.98</v>
      </c>
      <c r="H4">
        <f t="shared" si="0"/>
        <v>1.0785424044924257E-2</v>
      </c>
      <c r="I4" t="str">
        <f t="shared" ref="I4:I67" si="2">COMPLEX(0,H4*2*PI(),"j")</f>
        <v>0.0677668178907695j</v>
      </c>
      <c r="J4" t="str">
        <f t="shared" si="1"/>
        <v>1.17563806927592E-06+0.00108426781154429j</v>
      </c>
      <c r="K4">
        <f t="shared" ref="K4:K67" si="3">20*LOG(IMABS(J4))</f>
        <v>-59.297263591350088</v>
      </c>
      <c r="L4">
        <f t="shared" ref="L4:L67" si="4">DEGREES(IMARGUMENT(J4))</f>
        <v>89.937875981846375</v>
      </c>
      <c r="M4">
        <f t="shared" ref="M4:M67" si="5">IMREAL(J4)</f>
        <v>1.1756380692759201E-6</v>
      </c>
      <c r="N4">
        <f t="shared" ref="N4:N67" si="6">IMAGINARY(J4)</f>
        <v>1.08426781154429E-3</v>
      </c>
    </row>
    <row r="5" spans="1:14" ht="18.75" customHeight="1" x14ac:dyDescent="0.25">
      <c r="G5">
        <v>-2.96</v>
      </c>
      <c r="H5">
        <f t="shared" si="0"/>
        <v>1.1293725420274806E-2</v>
      </c>
      <c r="I5" t="str">
        <f t="shared" si="2"/>
        <v>0.0709605696239912j</v>
      </c>
      <c r="J5" t="str">
        <f t="shared" si="1"/>
        <v>1.28906136330715E-06+0.0011353676504234j</v>
      </c>
      <c r="K5">
        <f t="shared" si="3"/>
        <v>-58.897264083941749</v>
      </c>
      <c r="L5">
        <f t="shared" si="4"/>
        <v>89.934948169531182</v>
      </c>
      <c r="M5">
        <f t="shared" si="5"/>
        <v>1.28906136330715E-6</v>
      </c>
      <c r="N5">
        <f t="shared" si="6"/>
        <v>1.1353676504234E-3</v>
      </c>
    </row>
    <row r="6" spans="1:14" ht="18" customHeight="1" x14ac:dyDescent="0.25">
      <c r="B6" s="2" t="s">
        <v>13</v>
      </c>
      <c r="C6" s="9"/>
      <c r="G6">
        <v>-2.94</v>
      </c>
      <c r="H6">
        <f t="shared" si="0"/>
        <v>1.1825982301417889E-2</v>
      </c>
      <c r="I6" t="str">
        <f t="shared" si="2"/>
        <v>0.0743048382392347j</v>
      </c>
      <c r="J6" t="str">
        <f t="shared" si="1"/>
        <v>1.41342750257414E-06+0.00118887573143573j</v>
      </c>
      <c r="K6">
        <f t="shared" si="3"/>
        <v>-58.497264624057706</v>
      </c>
      <c r="L6">
        <f t="shared" si="4"/>
        <v>89.931882374036974</v>
      </c>
      <c r="M6">
        <f t="shared" si="5"/>
        <v>1.41342750257414E-6</v>
      </c>
      <c r="N6">
        <f t="shared" si="6"/>
        <v>1.18887573143573E-3</v>
      </c>
    </row>
    <row r="7" spans="1:14" x14ac:dyDescent="0.25">
      <c r="A7" s="6" t="s">
        <v>15</v>
      </c>
      <c r="B7" s="14" cm="1">
        <f t="array" ref="B7">[1]!Eseries(1/(2*PI()*B3*B4),4)</f>
        <v>1.6E-7</v>
      </c>
      <c r="C7" s="10" t="s">
        <v>11</v>
      </c>
      <c r="G7">
        <v>-2.92</v>
      </c>
      <c r="H7">
        <f t="shared" si="0"/>
        <v>1.2383323676559348E-2</v>
      </c>
      <c r="I7" t="str">
        <f t="shared" si="2"/>
        <v>0.0778067173786068j</v>
      </c>
      <c r="J7" t="str">
        <f t="shared" si="1"/>
        <v>1.54979222706434E-06+0.00124490554870978j</v>
      </c>
      <c r="K7">
        <f t="shared" si="3"/>
        <v>-58.09726521628307</v>
      </c>
      <c r="L7">
        <f t="shared" si="4"/>
        <v>89.928672092470876</v>
      </c>
      <c r="M7">
        <f t="shared" si="5"/>
        <v>1.54979222706434E-6</v>
      </c>
      <c r="N7">
        <f t="shared" si="6"/>
        <v>1.24490554870978E-3</v>
      </c>
    </row>
    <row r="8" spans="1:14" x14ac:dyDescent="0.25">
      <c r="C8" s="10"/>
      <c r="G8">
        <v>-2.9</v>
      </c>
      <c r="H8">
        <f t="shared" si="0"/>
        <v>1.2966931741479913E-2</v>
      </c>
      <c r="I8" t="str">
        <f t="shared" si="2"/>
        <v>0.0814736349972672j</v>
      </c>
      <c r="J8" t="str">
        <f t="shared" si="1"/>
        <v>1.69931313144498E-06+0.0013035759447688j</v>
      </c>
      <c r="K8">
        <f t="shared" si="3"/>
        <v>-57.697265865645129</v>
      </c>
      <c r="L8">
        <f t="shared" si="4"/>
        <v>89.92531051547607</v>
      </c>
      <c r="M8">
        <f t="shared" si="5"/>
        <v>1.6993131314449799E-6</v>
      </c>
      <c r="N8">
        <f t="shared" si="6"/>
        <v>1.3035759447688E-3</v>
      </c>
    </row>
    <row r="9" spans="1:14" ht="14.25" customHeight="1" x14ac:dyDescent="0.25">
      <c r="G9">
        <v>-2.88</v>
      </c>
      <c r="H9">
        <f t="shared" si="0"/>
        <v>1.3578044407130993E-2</v>
      </c>
      <c r="I9" t="str">
        <f t="shared" si="2"/>
        <v>0.0853133691191174j</v>
      </c>
      <c r="J9" t="str">
        <f t="shared" si="1"/>
        <v>1.86325949157403E-06+0.00136501136253076j</v>
      </c>
      <c r="K9">
        <f t="shared" si="3"/>
        <v>-57.297266577656465</v>
      </c>
      <c r="L9">
        <f t="shared" si="4"/>
        <v>89.921790512789855</v>
      </c>
      <c r="M9">
        <f t="shared" si="5"/>
        <v>1.8632594915740299E-6</v>
      </c>
      <c r="N9">
        <f t="shared" si="6"/>
        <v>1.3650113625307599E-3</v>
      </c>
    </row>
    <row r="10" spans="1:14" x14ac:dyDescent="0.25">
      <c r="G10">
        <v>-2.86</v>
      </c>
      <c r="H10">
        <f t="shared" si="0"/>
        <v>1.421795792540971E-2</v>
      </c>
      <c r="I10" t="str">
        <f t="shared" si="2"/>
        <v>0.0893340643350318j</v>
      </c>
      <c r="J10" t="str">
        <f t="shared" si="1"/>
        <v>2.04302303900593E-06+0.00142934210917568j</v>
      </c>
      <c r="K10">
        <f t="shared" si="3"/>
        <v>-56.897267358361169</v>
      </c>
      <c r="L10">
        <f t="shared" si="4"/>
        <v>89.918104618121106</v>
      </c>
      <c r="M10">
        <f t="shared" si="5"/>
        <v>2.0430230390059301E-6</v>
      </c>
      <c r="N10">
        <f t="shared" si="6"/>
        <v>1.4293421091756799E-3</v>
      </c>
    </row>
    <row r="11" spans="1:14" ht="17.25" customHeight="1" x14ac:dyDescent="0.25">
      <c r="G11">
        <v>-2.84</v>
      </c>
      <c r="H11">
        <f t="shared" si="0"/>
        <v>1.488802963868305E-2</v>
      </c>
      <c r="I11" t="str">
        <f t="shared" si="2"/>
        <v>0.0935442490786275j</v>
      </c>
      <c r="J11" t="str">
        <f t="shared" si="1"/>
        <v>2.24012977494253E-06+0.00149670463243792j</v>
      </c>
      <c r="K11">
        <f t="shared" si="3"/>
        <v>-56.497268214386651</v>
      </c>
      <c r="L11">
        <f t="shared" si="4"/>
        <v>89.914245013315394</v>
      </c>
      <c r="M11">
        <f t="shared" si="5"/>
        <v>2.2401297749425302E-6</v>
      </c>
      <c r="N11">
        <f t="shared" si="6"/>
        <v>1.4967046324379199E-3</v>
      </c>
    </row>
    <row r="12" spans="1:14" x14ac:dyDescent="0.25">
      <c r="A12" s="6"/>
      <c r="C12" s="9"/>
      <c r="G12">
        <v>-2.82</v>
      </c>
      <c r="H12">
        <f t="shared" si="0"/>
        <v>1.5589680858892936E-2</v>
      </c>
      <c r="I12" t="str">
        <f t="shared" si="2"/>
        <v>0.0979528537162149j</v>
      </c>
      <c r="J12" t="str">
        <f t="shared" si="1"/>
        <v>2.45625292390121E-06+0.00156724180990771j</v>
      </c>
      <c r="K12">
        <f t="shared" si="3"/>
        <v>-56.097269152999743</v>
      </c>
      <c r="L12">
        <f t="shared" si="4"/>
        <v>89.910203511773872</v>
      </c>
      <c r="M12">
        <f t="shared" si="5"/>
        <v>2.4562529239012101E-6</v>
      </c>
      <c r="N12">
        <f t="shared" si="6"/>
        <v>1.5672418099077099E-3</v>
      </c>
    </row>
    <row r="13" spans="1:14" x14ac:dyDescent="0.25">
      <c r="A13" s="6"/>
      <c r="C13" s="9"/>
      <c r="G13">
        <v>-2.8</v>
      </c>
      <c r="H13">
        <f t="shared" si="0"/>
        <v>1.6324399882349471E-2</v>
      </c>
      <c r="I13" t="str">
        <f t="shared" si="2"/>
        <v>0.102569229489302j</v>
      </c>
      <c r="J13" t="str">
        <f t="shared" si="1"/>
        <v>0.0000026932271370435+0.00164110325195311j</v>
      </c>
      <c r="K13">
        <f t="shared" si="3"/>
        <v>-55.69727018216841</v>
      </c>
      <c r="L13">
        <f t="shared" si="4"/>
        <v>89.905971541091162</v>
      </c>
      <c r="M13">
        <f t="shared" si="5"/>
        <v>2.6932271370435002E-6</v>
      </c>
      <c r="N13">
        <f t="shared" si="6"/>
        <v>1.6411032519531099E-3</v>
      </c>
    </row>
    <row r="14" spans="1:14" x14ac:dyDescent="0.25">
      <c r="A14" s="6"/>
      <c r="C14" s="10"/>
      <c r="G14">
        <v>-2.78</v>
      </c>
      <c r="H14">
        <f t="shared" si="0"/>
        <v>1.7093745146606876E-2</v>
      </c>
      <c r="I14" t="str">
        <f t="shared" si="2"/>
        <v>0.107403168349833j</v>
      </c>
      <c r="J14" t="str">
        <f t="shared" si="1"/>
        <v>2.95306406571202E-06+0.00171844561890234j</v>
      </c>
      <c r="K14">
        <f t="shared" si="3"/>
        <v>-55.297271310628929</v>
      </c>
      <c r="L14">
        <f t="shared" si="4"/>
        <v>89.901540124875197</v>
      </c>
      <c r="M14">
        <f t="shared" si="5"/>
        <v>2.9530640657120198E-6</v>
      </c>
      <c r="N14">
        <f t="shared" si="6"/>
        <v>1.7184456189023401E-3</v>
      </c>
    </row>
    <row r="15" spans="1:14" x14ac:dyDescent="0.25">
      <c r="A15" s="6"/>
      <c r="C15" s="10"/>
      <c r="G15">
        <v>-2.76</v>
      </c>
      <c r="H15">
        <f t="shared" si="0"/>
        <v>1.7899348536118562E-2</v>
      </c>
      <c r="I15" t="str">
        <f t="shared" si="2"/>
        <v>0.112464923730227j</v>
      </c>
      <c r="J15" t="str">
        <f t="shared" si="1"/>
        <v>3.23796943734929E-06+0.00179943295315586j</v>
      </c>
      <c r="K15">
        <f t="shared" si="3"/>
        <v>-54.897272547961087</v>
      </c>
      <c r="L15">
        <f t="shared" si="4"/>
        <v>89.896899863710587</v>
      </c>
      <c r="M15">
        <f t="shared" si="5"/>
        <v>3.2379694373492899E-6</v>
      </c>
      <c r="N15">
        <f t="shared" si="6"/>
        <v>1.7994329531558599E-3</v>
      </c>
    </row>
    <row r="16" spans="1:14" ht="14.25" customHeight="1" x14ac:dyDescent="0.25">
      <c r="A16" s="6"/>
      <c r="C16" s="10"/>
      <c r="G16">
        <v>-2.74</v>
      </c>
      <c r="H16">
        <f t="shared" si="0"/>
        <v>1.8742918843682805E-2</v>
      </c>
      <c r="I16" t="str">
        <f t="shared" si="2"/>
        <v>0.117765232292287j</v>
      </c>
      <c r="J16" t="str">
        <f t="shared" si="1"/>
        <v>0.0000035503617787217+0.00188423702692972j</v>
      </c>
      <c r="K16">
        <f t="shared" si="3"/>
        <v>-54.49727390466844</v>
      </c>
      <c r="L16">
        <f t="shared" si="4"/>
        <v>89.892040915225323</v>
      </c>
      <c r="M16">
        <f t="shared" si="5"/>
        <v>3.5503617787217E-6</v>
      </c>
      <c r="N16">
        <f t="shared" si="6"/>
        <v>1.8842370269297199E-3</v>
      </c>
    </row>
    <row r="17" spans="1:14" x14ac:dyDescent="0.25">
      <c r="A17" s="6"/>
      <c r="C17" s="10"/>
      <c r="G17">
        <v>-2.72</v>
      </c>
      <c r="H17">
        <f t="shared" si="0"/>
        <v>1.9626245395021436E-2</v>
      </c>
      <c r="I17" t="str">
        <f t="shared" si="2"/>
        <v>0.1233153367011j</v>
      </c>
      <c r="J17" t="str">
        <f t="shared" si="1"/>
        <v>3.89289294534617E-06+0.00197303770636313j</v>
      </c>
      <c r="K17">
        <f t="shared" si="3"/>
        <v>-54.097275392267903</v>
      </c>
      <c r="L17">
        <f t="shared" si="4"/>
        <v>89.886952973218428</v>
      </c>
      <c r="M17">
        <f t="shared" si="5"/>
        <v>3.8928929453461703E-6</v>
      </c>
      <c r="N17">
        <f t="shared" si="6"/>
        <v>1.9730377063631298E-3</v>
      </c>
    </row>
    <row r="18" spans="1:14" x14ac:dyDescent="0.25">
      <c r="A18" s="6"/>
      <c r="C18" s="10"/>
      <c r="G18">
        <v>-2.7</v>
      </c>
      <c r="H18">
        <f t="shared" si="0"/>
        <v>2.0551201844179447E-2</v>
      </c>
      <c r="I18" t="str">
        <f t="shared" si="2"/>
        <v>0.12912700947223j</v>
      </c>
      <c r="J18" t="str">
        <f t="shared" si="1"/>
        <v>4.26847063134249E-06+0.00206602333275812j</v>
      </c>
      <c r="K18">
        <f t="shared" si="3"/>
        <v>-53.697277023387755</v>
      </c>
      <c r="L18">
        <f t="shared" si="4"/>
        <v>89.881625245804443</v>
      </c>
      <c r="M18">
        <f t="shared" si="5"/>
        <v>4.2684706313424899E-6</v>
      </c>
      <c r="N18">
        <f t="shared" si="6"/>
        <v>2.0660233327581198E-3</v>
      </c>
    </row>
    <row r="19" spans="1:14" x14ac:dyDescent="0.25">
      <c r="G19">
        <v>-2.68</v>
      </c>
      <c r="H19">
        <f t="shared" si="0"/>
        <v>2.1519750147796585E-2</v>
      </c>
      <c r="I19" t="str">
        <f t="shared" si="2"/>
        <v>0.135212577942811j</v>
      </c>
      <c r="J19" t="str">
        <f t="shared" si="1"/>
        <v>4.68028305073689E-06+0.00216339112175479j</v>
      </c>
      <c r="K19">
        <f t="shared" si="3"/>
        <v>-53.297278811874371</v>
      </c>
      <c r="L19">
        <f t="shared" si="4"/>
        <v>89.876046432528611</v>
      </c>
      <c r="M19">
        <f t="shared" si="5"/>
        <v>4.6802830507368899E-6</v>
      </c>
      <c r="N19">
        <f t="shared" si="6"/>
        <v>2.16339112175479E-3</v>
      </c>
    </row>
    <row r="20" spans="1:14" x14ac:dyDescent="0.25">
      <c r="A20" s="10"/>
      <c r="G20">
        <v>-2.66</v>
      </c>
      <c r="H20">
        <f t="shared" si="0"/>
        <v>2.2533944726680365E-2</v>
      </c>
      <c r="I20" t="str">
        <f t="shared" si="2"/>
        <v>0.141584950419475j</v>
      </c>
      <c r="J20" t="str">
        <f t="shared" si="1"/>
        <v>5.13182599965977E-06+0.00226534758128232j</v>
      </c>
      <c r="K20">
        <f t="shared" si="3"/>
        <v>-52.897280772910108</v>
      </c>
      <c r="L20">
        <f t="shared" si="4"/>
        <v>89.870204700404116</v>
      </c>
      <c r="M20">
        <f t="shared" si="5"/>
        <v>5.1318259996597698E-6</v>
      </c>
      <c r="N20">
        <f t="shared" si="6"/>
        <v>2.26534758128232E-3</v>
      </c>
    </row>
    <row r="21" spans="1:14" x14ac:dyDescent="0.25">
      <c r="A21" s="10"/>
      <c r="G21">
        <v>-2.64</v>
      </c>
      <c r="H21">
        <f t="shared" si="0"/>
        <v>2.3595936823508048E-2</v>
      </c>
      <c r="I21" t="str">
        <f t="shared" si="2"/>
        <v>0.148257643558604j</v>
      </c>
      <c r="J21" t="str">
        <f t="shared" si="1"/>
        <v>5.62693252908095E-06+0.00237210894916554j</v>
      </c>
      <c r="K21">
        <f t="shared" si="3"/>
        <v>-52.497282923141995</v>
      </c>
      <c r="L21">
        <f t="shared" si="4"/>
        <v>89.86408765882085</v>
      </c>
      <c r="M21">
        <f t="shared" si="5"/>
        <v>5.6269325290809501E-6</v>
      </c>
      <c r="N21">
        <f t="shared" si="6"/>
        <v>2.3721089491655399E-3</v>
      </c>
    </row>
    <row r="22" spans="1:14" x14ac:dyDescent="0.25">
      <c r="G22">
        <v>-2.62</v>
      </c>
      <c r="H22">
        <f t="shared" si="0"/>
        <v>2.4707979065900734E-2</v>
      </c>
      <c r="I22" t="str">
        <f t="shared" si="2"/>
        <v>0.155244811036968j</v>
      </c>
      <c r="J22" t="str">
        <f t="shared" si="1"/>
        <v>6.16980547986489E-06+0.00248390165130692j</v>
      </c>
      <c r="K22">
        <f t="shared" si="3"/>
        <v>-52.097285280823165</v>
      </c>
      <c r="L22">
        <f t="shared" si="4"/>
        <v>89.857682333272521</v>
      </c>
      <c r="M22">
        <f t="shared" si="5"/>
        <v>6.16980547986489E-6</v>
      </c>
      <c r="N22">
        <f t="shared" si="6"/>
        <v>2.48390165130692E-3</v>
      </c>
    </row>
    <row r="23" spans="1:14" x14ac:dyDescent="0.25">
      <c r="A23" s="6"/>
      <c r="G23">
        <v>-2.6</v>
      </c>
      <c r="H23">
        <f t="shared" si="0"/>
        <v>2.5872430244548651E-2</v>
      </c>
      <c r="I23" t="str">
        <f t="shared" si="2"/>
        <v>0.162561273573577j</v>
      </c>
      <c r="J23" t="str">
        <f t="shared" si="1"/>
        <v>6.76505315620719E-06+0.00260096278140672j</v>
      </c>
      <c r="K23">
        <f t="shared" si="3"/>
        <v>-51.697287865967702</v>
      </c>
      <c r="L23">
        <f t="shared" si="4"/>
        <v>89.850975137846774</v>
      </c>
      <c r="M23">
        <f t="shared" si="5"/>
        <v>6.7650531562071899E-6</v>
      </c>
      <c r="N23">
        <f t="shared" si="6"/>
        <v>2.6009627814067202E-3</v>
      </c>
    </row>
    <row r="24" spans="1:14" x14ac:dyDescent="0.25">
      <c r="A24" s="6"/>
      <c r="G24">
        <v>-2.58</v>
      </c>
      <c r="H24">
        <f t="shared" si="0"/>
        <v>2.7091760316522408E-2</v>
      </c>
      <c r="I24" t="str">
        <f t="shared" si="2"/>
        <v>0.170222550366405j</v>
      </c>
      <c r="J24" t="str">
        <f t="shared" si="1"/>
        <v>7.41772844012692E-06+0.00272354060322803j</v>
      </c>
      <c r="K24">
        <f t="shared" si="3"/>
        <v>-51.297290700520534</v>
      </c>
      <c r="L24">
        <f t="shared" si="4"/>
        <v>89.84395184641987</v>
      </c>
      <c r="M24">
        <f t="shared" si="5"/>
        <v>7.4177284401269202E-6</v>
      </c>
      <c r="N24">
        <f t="shared" si="6"/>
        <v>2.72354060322803E-3</v>
      </c>
    </row>
    <row r="25" spans="1:14" x14ac:dyDescent="0.25">
      <c r="A25" s="6"/>
      <c r="G25">
        <v>-2.56</v>
      </c>
      <c r="H25">
        <f t="shared" si="0"/>
        <v>2.8368555644383103E-2</v>
      </c>
      <c r="I25" t="str">
        <f t="shared" si="2"/>
        <v>0.178244892010694j</v>
      </c>
      <c r="J25" t="str">
        <f t="shared" si="1"/>
        <v>8.13337167887048E-06+0.00285189507645979j</v>
      </c>
      <c r="K25">
        <f t="shared" si="3"/>
        <v>-50.897293808543857</v>
      </c>
      <c r="L25">
        <f t="shared" si="4"/>
        <v>89.836597562495257</v>
      </c>
      <c r="M25">
        <f t="shared" si="5"/>
        <v>8.1333716788704796E-6</v>
      </c>
      <c r="N25">
        <f t="shared" si="6"/>
        <v>2.85189507645979E-3</v>
      </c>
    </row>
    <row r="26" spans="1:14" x14ac:dyDescent="0.25">
      <c r="A26" s="6"/>
      <c r="G26">
        <v>-2.54</v>
      </c>
      <c r="H26">
        <f t="shared" si="0"/>
        <v>2.9705524482204024E-2</v>
      </c>
      <c r="I26" t="str">
        <f t="shared" si="2"/>
        <v>0.186645314968648j</v>
      </c>
      <c r="J26" t="str">
        <f t="shared" si="1"/>
        <v>8.91805770907236E-06+0.00298629840727933j</v>
      </c>
      <c r="K26">
        <f t="shared" si="3"/>
        <v>-50.497297216420975</v>
      </c>
      <c r="L26">
        <f t="shared" si="4"/>
        <v>89.828896687622247</v>
      </c>
      <c r="M26">
        <f t="shared" si="5"/>
        <v>8.9180577090723603E-6</v>
      </c>
      <c r="N26">
        <f t="shared" si="6"/>
        <v>2.9862984072793301E-3</v>
      </c>
    </row>
    <row r="27" spans="1:14" x14ac:dyDescent="0.25">
      <c r="A27" s="6"/>
      <c r="G27">
        <v>-2.52</v>
      </c>
      <c r="H27">
        <f t="shared" si="0"/>
        <v>3.1105502720140742E-2</v>
      </c>
      <c r="I27" t="str">
        <f t="shared" si="2"/>
        <v>0.195441637663623j</v>
      </c>
      <c r="J27" t="str">
        <f t="shared" si="1"/>
        <v>9.77844741658669E-06+0.00312703562476554j</v>
      </c>
      <c r="K27">
        <f t="shared" si="3"/>
        <v>-50.097300953080939</v>
      </c>
      <c r="L27">
        <f t="shared" si="4"/>
        <v>89.820832888328241</v>
      </c>
      <c r="M27">
        <f t="shared" si="5"/>
        <v>9.7784474165866901E-6</v>
      </c>
      <c r="N27">
        <f t="shared" si="6"/>
        <v>3.1270356247655399E-3</v>
      </c>
    </row>
    <row r="28" spans="1:14" x14ac:dyDescent="0.25">
      <c r="A28" s="6"/>
      <c r="G28">
        <v>-2.5</v>
      </c>
      <c r="H28">
        <f t="shared" si="0"/>
        <v>3.2571459899734277E-2</v>
      </c>
      <c r="I28" t="str">
        <f t="shared" si="2"/>
        <v>0.204652518275399j</v>
      </c>
      <c r="J28" t="str">
        <f t="shared" si="1"/>
        <v>0.0000107218442693573+0.0032744051843675j</v>
      </c>
      <c r="K28">
        <f t="shared" si="3"/>
        <v>-49.697305050243436</v>
      </c>
      <c r="L28">
        <f t="shared" si="4"/>
        <v>89.812389061494571</v>
      </c>
      <c r="M28">
        <f t="shared" si="5"/>
        <v>1.07218442693573E-5</v>
      </c>
      <c r="N28">
        <f t="shared" si="6"/>
        <v>3.2744051843675002E-3</v>
      </c>
    </row>
    <row r="29" spans="1:14" x14ac:dyDescent="0.25">
      <c r="D29" s="11"/>
      <c r="G29">
        <v>-2.48</v>
      </c>
      <c r="H29">
        <f t="shared" si="0"/>
        <v>3.4106505512706879E-2</v>
      </c>
      <c r="I29" t="str">
        <f t="shared" si="2"/>
        <v>0.214297494316679j</v>
      </c>
      <c r="J29" t="str">
        <f t="shared" si="1"/>
        <v>0.0000117562563028371+0.00342871959968657j</v>
      </c>
      <c r="K29">
        <f t="shared" si="3"/>
        <v>-49.297309542688303</v>
      </c>
      <c r="L29">
        <f t="shared" si="4"/>
        <v>89.803547298102885</v>
      </c>
      <c r="M29">
        <f t="shared" si="5"/>
        <v>1.17562563028371E-5</v>
      </c>
      <c r="N29">
        <f t="shared" si="6"/>
        <v>3.4287195996865701E-3</v>
      </c>
    </row>
    <row r="30" spans="1:14" x14ac:dyDescent="0.25">
      <c r="G30">
        <v>-2.46</v>
      </c>
      <c r="H30">
        <f t="shared" si="0"/>
        <v>3.5713895596610749E-2</v>
      </c>
      <c r="I30" t="str">
        <f t="shared" si="2"/>
        <v>0.22439702407477j</v>
      </c>
      <c r="J30" t="str">
        <f t="shared" si="1"/>
        <v>0.0000128904640836787+0.00359030610388785j</v>
      </c>
      <c r="K30">
        <f t="shared" si="3"/>
        <v>-48.89731446855081</v>
      </c>
      <c r="L30">
        <f t="shared" si="4"/>
        <v>89.794288845275958</v>
      </c>
      <c r="M30">
        <f t="shared" si="5"/>
        <v>1.2890464083678699E-5</v>
      </c>
      <c r="N30">
        <f t="shared" si="6"/>
        <v>3.5903061038878499E-3</v>
      </c>
    </row>
    <row r="31" spans="1:14" x14ac:dyDescent="0.25">
      <c r="B31" s="12"/>
      <c r="G31">
        <v>-2.44</v>
      </c>
      <c r="H31">
        <f t="shared" si="0"/>
        <v>3.7397039641320413E-2</v>
      </c>
      <c r="I31" t="str">
        <f t="shared" si="2"/>
        <v>0.234972530006357j</v>
      </c>
      <c r="J31" t="str">
        <f t="shared" si="1"/>
        <v>0.000014134095228071+0.00375950734211587j</v>
      </c>
      <c r="K31">
        <f t="shared" si="3"/>
        <v>-48.49731986964521</v>
      </c>
      <c r="L31">
        <f t="shared" si="4"/>
        <v>89.784594066532506</v>
      </c>
      <c r="M31">
        <f t="shared" si="5"/>
        <v>1.4134095228071001E-5</v>
      </c>
      <c r="N31">
        <f t="shared" si="6"/>
        <v>3.75950734211587E-3</v>
      </c>
    </row>
    <row r="32" spans="1:14" x14ac:dyDescent="0.25">
      <c r="B32" s="12"/>
      <c r="G32">
        <v>-2.42</v>
      </c>
      <c r="H32">
        <f t="shared" si="0"/>
        <v>3.9159507821017812E-2</v>
      </c>
      <c r="I32" t="str">
        <f t="shared" si="2"/>
        <v>0.246046444177403j</v>
      </c>
      <c r="J32" t="str">
        <f t="shared" si="1"/>
        <v>0.0000154977061066232+0.00393668209635076j</v>
      </c>
      <c r="K32">
        <f t="shared" si="3"/>
        <v>-48.097325791819756</v>
      </c>
      <c r="L32">
        <f t="shared" si="4"/>
        <v>89.774442400172646</v>
      </c>
      <c r="M32">
        <f t="shared" si="5"/>
        <v>1.5497706106623198E-5</v>
      </c>
      <c r="N32">
        <f t="shared" si="6"/>
        <v>3.9366820963507602E-3</v>
      </c>
    </row>
    <row r="33" spans="7:14" x14ac:dyDescent="0.25">
      <c r="G33">
        <v>-2.4</v>
      </c>
      <c r="H33">
        <f t="shared" si="0"/>
        <v>4.100503856701021E-2</v>
      </c>
      <c r="I33" t="str">
        <f t="shared" si="2"/>
        <v>0.257642255844571j</v>
      </c>
      <c r="J33" t="str">
        <f t="shared" si="1"/>
        <v>0.0000169928714285637+0.00412220604420549j</v>
      </c>
      <c r="K33">
        <f t="shared" si="3"/>
        <v>-47.697332285345709</v>
      </c>
      <c r="L33">
        <f t="shared" si="4"/>
        <v>89.763812315706346</v>
      </c>
      <c r="M33">
        <f t="shared" si="5"/>
        <v>1.6992871428563701E-5</v>
      </c>
      <c r="N33">
        <f t="shared" si="6"/>
        <v>4.1222060442054897E-3</v>
      </c>
    </row>
    <row r="34" spans="7:14" x14ac:dyDescent="0.25">
      <c r="G34">
        <v>-2.38</v>
      </c>
      <c r="H34">
        <f t="shared" si="0"/>
        <v>4.2937546497444537E-2</v>
      </c>
      <c r="I34" t="str">
        <f t="shared" si="2"/>
        <v>0.269784561279084j</v>
      </c>
      <c r="J34" t="str">
        <f t="shared" si="1"/>
        <v>0.0000186322824647458+0.00431647255323093j</v>
      </c>
      <c r="K34">
        <f t="shared" si="3"/>
        <v>-47.297339405344232</v>
      </c>
      <c r="L34">
        <f t="shared" si="4"/>
        <v>89.752681268233204</v>
      </c>
      <c r="M34">
        <f t="shared" si="5"/>
        <v>1.8632282464745801E-5</v>
      </c>
      <c r="N34">
        <f t="shared" si="6"/>
        <v>4.3164725532309298E-3</v>
      </c>
    </row>
    <row r="35" spans="7:14" x14ac:dyDescent="0.25">
      <c r="G35">
        <v>-2.36</v>
      </c>
      <c r="H35">
        <f t="shared" si="0"/>
        <v>4.4961130720737069E-2</v>
      </c>
      <c r="I35" t="str">
        <f t="shared" si="2"/>
        <v>0.282499115938716j</v>
      </c>
      <c r="J35" t="str">
        <f t="shared" si="1"/>
        <v>0.0000204298547420841+0.00451989351236501j</v>
      </c>
      <c r="K35">
        <f t="shared" si="3"/>
        <v>-46.897347212253891</v>
      </c>
      <c r="L35">
        <f t="shared" si="4"/>
        <v>89.741025650677756</v>
      </c>
      <c r="M35">
        <f t="shared" si="5"/>
        <v>2.0429854742084101E-5</v>
      </c>
      <c r="N35">
        <f t="shared" si="6"/>
        <v>4.5198935123650103E-3</v>
      </c>
    </row>
    <row r="36" spans="7:14" x14ac:dyDescent="0.25">
      <c r="G36">
        <v>-2.34</v>
      </c>
      <c r="H36">
        <f t="shared" si="0"/>
        <v>4.7080083530332134E-2</v>
      </c>
      <c r="I36" t="str">
        <f t="shared" si="2"/>
        <v>0.295812889098571j</v>
      </c>
      <c r="J36" t="str">
        <f t="shared" si="1"/>
        <v>0.000022400846122204+0.00473290020223299j</v>
      </c>
      <c r="K36">
        <f t="shared" si="3"/>
        <v>-46.497355772343994</v>
      </c>
      <c r="L36">
        <f t="shared" si="4"/>
        <v>89.728820743780147</v>
      </c>
      <c r="M36">
        <f t="shared" si="5"/>
        <v>2.2400846122204001E-5</v>
      </c>
      <c r="N36">
        <f t="shared" si="6"/>
        <v>4.7329002022329899E-3</v>
      </c>
    </row>
    <row r="37" spans="7:14" x14ac:dyDescent="0.25">
      <c r="G37">
        <v>-2.3199999999999998</v>
      </c>
      <c r="H37">
        <f t="shared" si="0"/>
        <v>4.9298899509231754E-2</v>
      </c>
      <c r="I37" t="str">
        <f t="shared" si="2"/>
        <v>0.309754121056528j</v>
      </c>
      <c r="J37" t="str">
        <f t="shared" si="1"/>
        <v>0.0000245619862649569+0.00495594420608098j</v>
      </c>
      <c r="K37">
        <f t="shared" si="3"/>
        <v>-46.097365158276801</v>
      </c>
      <c r="L37">
        <f t="shared" si="4"/>
        <v>89.716040663737147</v>
      </c>
      <c r="M37">
        <f t="shared" si="5"/>
        <v>2.4561986264956901E-5</v>
      </c>
      <c r="N37">
        <f t="shared" si="6"/>
        <v>4.9559442060809799E-3</v>
      </c>
    </row>
    <row r="38" spans="7:14" x14ac:dyDescent="0.25">
      <c r="G38">
        <v>-2.2999999999999998</v>
      </c>
      <c r="H38">
        <f t="shared" si="0"/>
        <v>5.1622285063609032E-2</v>
      </c>
      <c r="I38" t="str">
        <f t="shared" si="2"/>
        <v>0.324352383034704j</v>
      </c>
      <c r="J38" t="str">
        <f t="shared" si="1"/>
        <v>0.0000269316185737412+0.00518949836320065j</v>
      </c>
      <c r="K38">
        <f t="shared" si="3"/>
        <v>-45.697375449724156</v>
      </c>
      <c r="L38">
        <f t="shared" si="4"/>
        <v>89.702658307384013</v>
      </c>
      <c r="M38">
        <f t="shared" si="5"/>
        <v>2.69316185737412E-5</v>
      </c>
      <c r="N38">
        <f t="shared" si="6"/>
        <v>5.18949836320065E-3</v>
      </c>
    </row>
    <row r="39" spans="7:14" x14ac:dyDescent="0.25">
      <c r="G39">
        <v>-2.2799999999999998</v>
      </c>
      <c r="H39">
        <f t="shared" si="0"/>
        <v>5.4055168405726557E-2</v>
      </c>
      <c r="I39" t="str">
        <f t="shared" si="2"/>
        <v>0.339638639903979j</v>
      </c>
      <c r="J39" t="str">
        <f t="shared" si="1"/>
        <v>0.0000295298558251149+0.00543405776678256j</v>
      </c>
      <c r="K39">
        <f t="shared" si="3"/>
        <v>-45.297386734043727</v>
      </c>
      <c r="L39">
        <f t="shared" si="4"/>
        <v>89.688645294802583</v>
      </c>
      <c r="M39">
        <f t="shared" si="5"/>
        <v>2.9529855825114899E-5</v>
      </c>
      <c r="N39">
        <f t="shared" si="6"/>
        <v>5.4340577667825601E-3</v>
      </c>
    </row>
    <row r="40" spans="7:14" x14ac:dyDescent="0.25">
      <c r="G40">
        <v>-2.2599999999999998</v>
      </c>
      <c r="H40">
        <f t="shared" si="0"/>
        <v>5.6602710007335348E-2</v>
      </c>
      <c r="I40" t="str">
        <f t="shared" si="2"/>
        <v>0.355645315864636j</v>
      </c>
      <c r="J40" t="str">
        <f t="shared" si="1"/>
        <v>0.0000323787508008431+0.00569014080821729j</v>
      </c>
      <c r="K40">
        <f t="shared" si="3"/>
        <v>-44.897399107020377</v>
      </c>
      <c r="L40">
        <f t="shared" si="4"/>
        <v>89.673971909235405</v>
      </c>
      <c r="M40">
        <f t="shared" si="5"/>
        <v>3.2378750800843101E-5</v>
      </c>
      <c r="N40">
        <f t="shared" si="6"/>
        <v>5.6901408082172898E-3</v>
      </c>
    </row>
    <row r="41" spans="7:14" x14ac:dyDescent="0.25">
      <c r="G41">
        <v>-2.2400000000000002</v>
      </c>
      <c r="H41">
        <f t="shared" si="0"/>
        <v>5.9270313545727121E-2</v>
      </c>
      <c r="I41" t="str">
        <f t="shared" si="2"/>
        <v>0.37240636322244j</v>
      </c>
      <c r="J41" t="str">
        <f t="shared" si="1"/>
        <v>0.0000355024833672773+0.00595829026994758j</v>
      </c>
      <c r="K41">
        <f t="shared" si="3"/>
        <v>-44.497412673679015</v>
      </c>
      <c r="L41">
        <f t="shared" si="4"/>
        <v>89.658607034181159</v>
      </c>
      <c r="M41">
        <f t="shared" si="5"/>
        <v>3.5502483367277302E-5</v>
      </c>
      <c r="N41">
        <f t="shared" si="6"/>
        <v>5.9582902699475797E-3</v>
      </c>
    </row>
    <row r="42" spans="7:14" x14ac:dyDescent="0.25">
      <c r="G42">
        <v>-2.2200000000000002</v>
      </c>
      <c r="H42">
        <f t="shared" si="0"/>
        <v>6.2063637365658793E-2</v>
      </c>
      <c r="I42" t="str">
        <f t="shared" si="2"/>
        <v>0.389957334406029j</v>
      </c>
      <c r="J42" t="str">
        <f t="shared" si="1"/>
        <v>0.0000389275655858523+0.00623907446906109j</v>
      </c>
      <c r="K42">
        <f t="shared" si="3"/>
        <v>-44.097427549175691</v>
      </c>
      <c r="L42">
        <f t="shared" si="4"/>
        <v>89.642518087539756</v>
      </c>
      <c r="M42">
        <f t="shared" si="5"/>
        <v>3.8927565585852297E-5</v>
      </c>
      <c r="N42">
        <f t="shared" si="6"/>
        <v>6.2390744690610902E-3</v>
      </c>
    </row>
    <row r="43" spans="7:14" x14ac:dyDescent="0.25">
      <c r="G43">
        <v>-2.2000000000000002</v>
      </c>
      <c r="H43">
        <f t="shared" si="0"/>
        <v>6.4988606481459835E-2</v>
      </c>
      <c r="I43" t="str">
        <f t="shared" si="2"/>
        <v>0.408335457378384j</v>
      </c>
      <c r="J43" t="str">
        <f t="shared" si="1"/>
        <v>0.0000426830665906791+0.00653308845390184j</v>
      </c>
      <c r="K43">
        <f t="shared" si="3"/>
        <v>-43.6974438597749</v>
      </c>
      <c r="L43">
        <f t="shared" si="4"/>
        <v>89.625670952670717</v>
      </c>
      <c r="M43">
        <f t="shared" si="5"/>
        <v>4.2683066590679102E-5</v>
      </c>
      <c r="N43">
        <f t="shared" si="6"/>
        <v>6.53308845390184E-3</v>
      </c>
    </row>
    <row r="44" spans="7:14" x14ac:dyDescent="0.25">
      <c r="G44">
        <v>-2.1800000000000002</v>
      </c>
      <c r="H44">
        <f t="shared" si="0"/>
        <v>6.8051425144782351E-2</v>
      </c>
      <c r="I44" t="str">
        <f t="shared" si="2"/>
        <v>0.427579714602328j</v>
      </c>
      <c r="J44" t="str">
        <f t="shared" si="1"/>
        <v>0.000046800859135959+0.00684095525606937j</v>
      </c>
      <c r="K44">
        <f t="shared" si="3"/>
        <v>-43.297461743920842</v>
      </c>
      <c r="L44">
        <f t="shared" si="4"/>
        <v>89.608029906221645</v>
      </c>
      <c r="M44">
        <f t="shared" si="5"/>
        <v>4.6800859135959002E-5</v>
      </c>
      <c r="N44">
        <f t="shared" si="6"/>
        <v>6.8409552560693698E-3</v>
      </c>
    </row>
    <row r="45" spans="7:14" x14ac:dyDescent="0.25">
      <c r="G45">
        <v>-2.16</v>
      </c>
      <c r="H45">
        <f t="shared" si="0"/>
        <v>7.1258590004650416E-2</v>
      </c>
      <c r="I45" t="str">
        <f t="shared" si="2"/>
        <v>0.447730925727554j</v>
      </c>
      <c r="J45" t="str">
        <f t="shared" si="1"/>
        <v>0.000051315889898636+0.00716332720026664j</v>
      </c>
      <c r="K45">
        <f t="shared" si="3"/>
        <v>-42.89748135341231</v>
      </c>
      <c r="L45">
        <f t="shared" si="4"/>
        <v>89.589557542577424</v>
      </c>
      <c r="M45">
        <f t="shared" si="5"/>
        <v>5.1315889898636001E-5</v>
      </c>
      <c r="N45">
        <f t="shared" si="6"/>
        <v>7.1633272002666398E-3</v>
      </c>
    </row>
    <row r="46" spans="7:14" x14ac:dyDescent="0.25">
      <c r="G46">
        <v>-2.14</v>
      </c>
      <c r="H46">
        <f t="shared" si="0"/>
        <v>7.4616903887723907E-2</v>
      </c>
      <c r="I46" t="str">
        <f t="shared" si="2"/>
        <v>0.468831834174578j</v>
      </c>
      <c r="J46" t="str">
        <f t="shared" si="1"/>
        <v>0.0000562664758218414+0.00750088727455226j</v>
      </c>
      <c r="K46">
        <f t="shared" si="3"/>
        <v>-42.497502854690381</v>
      </c>
      <c r="L46">
        <f t="shared" si="4"/>
        <v>89.570214694774165</v>
      </c>
      <c r="M46">
        <f t="shared" si="5"/>
        <v>5.62664758218414E-5</v>
      </c>
      <c r="N46">
        <f t="shared" si="6"/>
        <v>7.5008872745522598E-3</v>
      </c>
    </row>
    <row r="47" spans="7:14" x14ac:dyDescent="0.25">
      <c r="G47">
        <v>-2.12</v>
      </c>
      <c r="H47">
        <f t="shared" si="0"/>
        <v>7.813349022800585E-2</v>
      </c>
      <c r="I47" t="str">
        <f t="shared" si="2"/>
        <v>0.490927197799266j</v>
      </c>
      <c r="J47" t="str">
        <f t="shared" si="1"/>
        <v>0.000061694629003908+0.00785435056364688j</v>
      </c>
      <c r="K47">
        <f t="shared" si="3"/>
        <v>-42.097526430250618</v>
      </c>
      <c r="L47">
        <f t="shared" si="4"/>
        <v>89.549960351715143</v>
      </c>
      <c r="M47">
        <f t="shared" si="5"/>
        <v>6.1694629003907996E-5</v>
      </c>
      <c r="N47">
        <f t="shared" si="6"/>
        <v>7.8543505636468804E-3</v>
      </c>
    </row>
    <row r="48" spans="7:14" x14ac:dyDescent="0.25">
      <c r="G48">
        <v>-2.1</v>
      </c>
      <c r="H48">
        <f t="shared" si="0"/>
        <v>8.1815808176600974E-2</v>
      </c>
      <c r="I48" t="str">
        <f t="shared" si="2"/>
        <v>0.514063883830243j</v>
      </c>
      <c r="J48" t="str">
        <f t="shared" si="1"/>
        <v>0.0000676464128778615+0.00822446574804019j</v>
      </c>
      <c r="K48">
        <f t="shared" si="3"/>
        <v>-41.697552280191275</v>
      </c>
      <c r="L48">
        <f t="shared" si="4"/>
        <v>89.528751571518526</v>
      </c>
      <c r="M48">
        <f t="shared" si="5"/>
        <v>6.7646412877861494E-5</v>
      </c>
      <c r="N48">
        <f t="shared" si="6"/>
        <v>8.2244657480401908E-3</v>
      </c>
    </row>
    <row r="49" spans="7:14" x14ac:dyDescent="0.25">
      <c r="G49">
        <v>-2.08</v>
      </c>
      <c r="H49">
        <f t="shared" si="0"/>
        <v>8.567166842357507E-2</v>
      </c>
      <c r="I49" t="str">
        <f t="shared" si="2"/>
        <v>0.538290968280568j</v>
      </c>
      <c r="J49" t="str">
        <f t="shared" si="1"/>
        <v>0.000074172332689274+0.00861201667174056j</v>
      </c>
      <c r="K49">
        <f t="shared" si="3"/>
        <v>-41.297580623910761</v>
      </c>
      <c r="L49">
        <f t="shared" si="4"/>
        <v>89.506543390819786</v>
      </c>
      <c r="M49">
        <f t="shared" si="5"/>
        <v>7.4172332689274005E-5</v>
      </c>
      <c r="N49">
        <f t="shared" si="6"/>
        <v>8.6120166717405609E-3</v>
      </c>
    </row>
    <row r="50" spans="7:14" x14ac:dyDescent="0.25">
      <c r="G50">
        <v>-2.06</v>
      </c>
      <c r="H50">
        <f t="shared" si="0"/>
        <v>8.9709249765476257E-2</v>
      </c>
      <c r="I50" t="str">
        <f t="shared" si="2"/>
        <v>0.563659840044544j</v>
      </c>
      <c r="J50" t="str">
        <f t="shared" si="1"/>
        <v>0.0000813277635683451+0.00901782398160544j</v>
      </c>
      <c r="K50">
        <f t="shared" si="3"/>
        <v>-40.897611701968543</v>
      </c>
      <c r="L50">
        <f t="shared" si="4"/>
        <v>89.483288729843679</v>
      </c>
      <c r="M50">
        <f t="shared" si="5"/>
        <v>8.1327763568345097E-5</v>
      </c>
      <c r="N50">
        <f t="shared" si="6"/>
        <v>9.0178239816054405E-3</v>
      </c>
    </row>
    <row r="51" spans="7:14" x14ac:dyDescent="0.25">
      <c r="G51">
        <v>-2.04</v>
      </c>
      <c r="H51">
        <f t="shared" si="0"/>
        <v>9.3937116453658612E-2</v>
      </c>
      <c r="I51" t="str">
        <f t="shared" si="2"/>
        <v>0.590224309900445j</v>
      </c>
      <c r="J51" t="str">
        <f t="shared" si="1"/>
        <v>0.0000891734198073875+0.00944274684128445j</v>
      </c>
      <c r="K51">
        <f t="shared" si="3"/>
        <v>-40.497645778125673</v>
      </c>
      <c r="L51">
        <f t="shared" si="4"/>
        <v>89.458938293052967</v>
      </c>
      <c r="M51">
        <f t="shared" si="5"/>
        <v>8.9173419807387497E-5</v>
      </c>
      <c r="N51">
        <f t="shared" si="6"/>
        <v>9.4427468412844502E-3</v>
      </c>
    </row>
    <row r="52" spans="7:14" x14ac:dyDescent="0.25">
      <c r="G52">
        <v>-2.02</v>
      </c>
      <c r="H52">
        <f t="shared" si="0"/>
        <v>9.8364236360207885E-2</v>
      </c>
      <c r="I52" t="str">
        <f t="shared" si="2"/>
        <v>0.618040724650398j</v>
      </c>
      <c r="J52" t="str">
        <f t="shared" si="1"/>
        <v>0.0000977758693000977+0.00988768472290052j</v>
      </c>
      <c r="K52">
        <f t="shared" si="3"/>
        <v>-40.097683141581655</v>
      </c>
      <c r="L52">
        <f t="shared" si="4"/>
        <v>89.433440465172993</v>
      </c>
      <c r="M52">
        <f t="shared" si="5"/>
        <v>9.7775869300097704E-5</v>
      </c>
      <c r="N52">
        <f t="shared" si="6"/>
        <v>9.8876847229005197E-3</v>
      </c>
    </row>
    <row r="53" spans="7:14" x14ac:dyDescent="0.25">
      <c r="G53">
        <v>-2</v>
      </c>
      <c r="H53">
        <f t="shared" si="0"/>
        <v>0.10300000000000001</v>
      </c>
      <c r="I53" t="str">
        <f t="shared" si="2"/>
        <v>0.647168086639497j</v>
      </c>
      <c r="J53" t="str">
        <f t="shared" si="1"/>
        <v>0.000107208097476844+0.0103535792796829j</v>
      </c>
      <c r="K53">
        <f t="shared" si="3"/>
        <v>-39.697724109427021</v>
      </c>
      <c r="L53">
        <f t="shared" si="4"/>
        <v>89.406741202382605</v>
      </c>
      <c r="M53">
        <f t="shared" si="5"/>
        <v>1.07208097476844E-4</v>
      </c>
      <c r="N53">
        <f t="shared" si="6"/>
        <v>1.03535792796829E-2</v>
      </c>
    </row>
    <row r="54" spans="7:14" x14ac:dyDescent="0.25">
      <c r="G54">
        <v>-1.98</v>
      </c>
      <c r="H54">
        <f t="shared" si="0"/>
        <v>0.10785424044924259</v>
      </c>
      <c r="I54" t="str">
        <f t="shared" si="2"/>
        <v>0.677668178907695j</v>
      </c>
      <c r="J54" t="str">
        <f t="shared" si="1"/>
        <v>0.000117550125483738+0.0108414163028516j</v>
      </c>
      <c r="K54">
        <f t="shared" si="3"/>
        <v>-39.29776902933208</v>
      </c>
      <c r="L54">
        <f t="shared" si="4"/>
        <v>89.378783918453664</v>
      </c>
      <c r="M54">
        <f t="shared" si="5"/>
        <v>1.17550125483738E-4</v>
      </c>
      <c r="N54">
        <f t="shared" si="6"/>
        <v>1.0841416302851599E-2</v>
      </c>
    </row>
    <row r="55" spans="7:14" x14ac:dyDescent="0.25">
      <c r="G55">
        <v>-1.96</v>
      </c>
      <c r="H55">
        <f t="shared" si="0"/>
        <v>0.11293725420274807</v>
      </c>
      <c r="I55" t="str">
        <f t="shared" si="2"/>
        <v>0.709605696239913j</v>
      </c>
      <c r="J55" t="str">
        <f t="shared" si="1"/>
        <v>0.000128889687805764+0.0113522277661321j</v>
      </c>
      <c r="K55">
        <f t="shared" si="3"/>
        <v>-38.897818282494477</v>
      </c>
      <c r="L55">
        <f t="shared" si="4"/>
        <v>89.349509365612263</v>
      </c>
      <c r="M55">
        <f t="shared" si="5"/>
        <v>1.2888968780576401E-4</v>
      </c>
      <c r="N55">
        <f t="shared" si="6"/>
        <v>1.13522277661321E-2</v>
      </c>
    </row>
    <row r="56" spans="7:14" x14ac:dyDescent="0.25">
      <c r="G56">
        <v>-1.94</v>
      </c>
      <c r="H56">
        <f t="shared" si="0"/>
        <v>0.11825982301417892</v>
      </c>
      <c r="I56" t="str">
        <f t="shared" si="2"/>
        <v>0.743048382392347j</v>
      </c>
      <c r="J56" t="str">
        <f t="shared" si="1"/>
        <v>0.000141322975029229+0.0118870939613498j</v>
      </c>
      <c r="K56">
        <f t="shared" si="3"/>
        <v>-38.497872286871043</v>
      </c>
      <c r="L56">
        <f t="shared" si="4"/>
        <v>89.318855509886049</v>
      </c>
      <c r="M56">
        <f t="shared" si="5"/>
        <v>1.41322975029229E-4</v>
      </c>
      <c r="N56">
        <f t="shared" si="6"/>
        <v>1.18870939613498E-2</v>
      </c>
    </row>
    <row r="57" spans="7:14" x14ac:dyDescent="0.25">
      <c r="G57">
        <v>-1.92</v>
      </c>
      <c r="H57">
        <f t="shared" si="0"/>
        <v>0.12383323676559349</v>
      </c>
      <c r="I57" t="str">
        <f t="shared" si="2"/>
        <v>0.778067173786068j</v>
      </c>
      <c r="J57" t="str">
        <f t="shared" si="1"/>
        <v>0.000154955447980301+0.0124471457286175j</v>
      </c>
      <c r="K57">
        <f t="shared" si="3"/>
        <v>-38.09793150072079</v>
      </c>
      <c r="L57">
        <f t="shared" si="4"/>
        <v>89.286757400692522</v>
      </c>
      <c r="M57">
        <f t="shared" si="5"/>
        <v>1.5495544798030099E-4</v>
      </c>
      <c r="N57">
        <f t="shared" si="6"/>
        <v>1.2447145728617499E-2</v>
      </c>
    </row>
    <row r="58" spans="7:14" x14ac:dyDescent="0.25">
      <c r="G58">
        <v>-1.9</v>
      </c>
      <c r="H58">
        <f t="shared" si="0"/>
        <v>0.12966931741479915</v>
      </c>
      <c r="I58" t="str">
        <f t="shared" si="2"/>
        <v>0.814736349972672j</v>
      </c>
      <c r="J58" t="str">
        <f t="shared" si="1"/>
        <v>0.00016990273006841+0.0130335667846805j</v>
      </c>
      <c r="K58">
        <f t="shared" si="3"/>
        <v>-37.697996426487855</v>
      </c>
      <c r="L58">
        <f t="shared" si="4"/>
        <v>89.25314703441417</v>
      </c>
      <c r="M58">
        <f t="shared" si="5"/>
        <v>1.6990273006841001E-4</v>
      </c>
      <c r="N58">
        <f t="shared" si="6"/>
        <v>1.3033566784680499E-2</v>
      </c>
    </row>
    <row r="59" spans="7:14" x14ac:dyDescent="0.25">
      <c r="G59">
        <v>-1.88</v>
      </c>
      <c r="H59">
        <f t="shared" si="0"/>
        <v>0.13578044407130999</v>
      </c>
      <c r="I59" t="str">
        <f t="shared" si="2"/>
        <v>0.853133691191174j</v>
      </c>
      <c r="J59" t="str">
        <f t="shared" si="1"/>
        <v>0.000186291585310514+0.0136475961530138j</v>
      </c>
      <c r="K59">
        <f t="shared" si="3"/>
        <v>-37.29806761506034</v>
      </c>
      <c r="L59">
        <f t="shared" si="4"/>
        <v>89.217953211696639</v>
      </c>
      <c r="M59">
        <f t="shared" si="5"/>
        <v>1.86291585310514E-4</v>
      </c>
      <c r="N59">
        <f t="shared" si="6"/>
        <v>1.3647596153013799E-2</v>
      </c>
    </row>
    <row r="60" spans="7:14" x14ac:dyDescent="0.25">
      <c r="G60">
        <v>-1.86</v>
      </c>
      <c r="H60">
        <f t="shared" si="0"/>
        <v>0.14217957925409702</v>
      </c>
      <c r="I60" t="str">
        <f t="shared" si="2"/>
        <v>0.893340643350318j</v>
      </c>
      <c r="J60" t="str">
        <f t="shared" si="1"/>
        <v>0.000204260990219603+0.0142905306992945j</v>
      </c>
      <c r="K60">
        <f t="shared" si="3"/>
        <v>-36.898145670436655</v>
      </c>
      <c r="L60">
        <f t="shared" si="4"/>
        <v>89.181101388196751</v>
      </c>
      <c r="M60">
        <f t="shared" si="5"/>
        <v>2.0426099021960301E-4</v>
      </c>
      <c r="N60">
        <f t="shared" si="6"/>
        <v>1.42905306992945E-2</v>
      </c>
    </row>
    <row r="61" spans="7:14" x14ac:dyDescent="0.25">
      <c r="G61">
        <v>-1.84</v>
      </c>
      <c r="H61">
        <f t="shared" si="0"/>
        <v>0.14888029638683051</v>
      </c>
      <c r="I61" t="str">
        <f t="shared" si="2"/>
        <v>0.935442490786276j</v>
      </c>
      <c r="J61" t="str">
        <f t="shared" si="1"/>
        <v>0.000223963308513539+0.0149637277758578j</v>
      </c>
      <c r="K61">
        <f t="shared" si="3"/>
        <v>-36.498231254842523</v>
      </c>
      <c r="L61">
        <f t="shared" si="4"/>
        <v>89.142513518497452</v>
      </c>
      <c r="M61">
        <f t="shared" si="5"/>
        <v>2.23963308513539E-4</v>
      </c>
      <c r="N61">
        <f t="shared" si="6"/>
        <v>1.4963727775857799E-2</v>
      </c>
    </row>
    <row r="62" spans="7:14" x14ac:dyDescent="0.25">
      <c r="G62">
        <v>-1.82</v>
      </c>
      <c r="H62">
        <f t="shared" si="0"/>
        <v>0.1558968085889294</v>
      </c>
      <c r="I62" t="str">
        <f t="shared" si="2"/>
        <v>0.97952853716215j</v>
      </c>
      <c r="J62" t="str">
        <f t="shared" si="1"/>
        <v>0.000245565578444285+0.0156686079787251j</v>
      </c>
      <c r="K62">
        <f t="shared" si="3"/>
        <v>-36.098325094338946</v>
      </c>
      <c r="L62">
        <f t="shared" si="4"/>
        <v>89.102107892897479</v>
      </c>
      <c r="M62">
        <f t="shared" si="5"/>
        <v>2.4556557844428498E-4</v>
      </c>
      <c r="N62">
        <f t="shared" si="6"/>
        <v>1.5668607978725099E-2</v>
      </c>
    </row>
    <row r="63" spans="7:14" x14ac:dyDescent="0.25">
      <c r="G63">
        <v>-1.8</v>
      </c>
      <c r="H63">
        <f t="shared" si="0"/>
        <v>0.16324399882349458</v>
      </c>
      <c r="I63" t="str">
        <f t="shared" si="2"/>
        <v>1.02569229489302j</v>
      </c>
      <c r="J63" t="str">
        <f t="shared" si="1"/>
        <v>0.000269250923468867+0.0164066580207268j</v>
      </c>
      <c r="K63">
        <f t="shared" si="3"/>
        <v>-35.698427984970344</v>
      </c>
      <c r="L63">
        <f t="shared" si="4"/>
        <v>89.059798966774082</v>
      </c>
      <c r="M63">
        <f t="shared" si="5"/>
        <v>2.6925092346886698E-4</v>
      </c>
      <c r="N63">
        <f t="shared" si="6"/>
        <v>1.64066580207268E-2</v>
      </c>
    </row>
    <row r="64" spans="7:14" x14ac:dyDescent="0.25">
      <c r="G64">
        <v>-1.78</v>
      </c>
      <c r="H64">
        <f t="shared" si="0"/>
        <v>0.17093745146606862</v>
      </c>
      <c r="I64" t="str">
        <f t="shared" si="2"/>
        <v>1.07403168349833j</v>
      </c>
      <c r="J64" t="str">
        <f t="shared" si="1"/>
        <v>0.00029522009798878+0.0171794337241518j</v>
      </c>
      <c r="K64">
        <f t="shared" si="3"/>
        <v>-35.298540799502476</v>
      </c>
      <c r="L64">
        <f t="shared" si="4"/>
        <v>89.015497182207724</v>
      </c>
      <c r="M64">
        <f t="shared" si="5"/>
        <v>2.9522009798878002E-4</v>
      </c>
      <c r="N64">
        <f t="shared" si="6"/>
        <v>1.7179433724151798E-2</v>
      </c>
    </row>
    <row r="65" spans="7:14" x14ac:dyDescent="0.25">
      <c r="G65">
        <v>-1.76</v>
      </c>
      <c r="H65">
        <f t="shared" si="0"/>
        <v>0.1789934853611857</v>
      </c>
      <c r="I65" t="str">
        <f t="shared" si="2"/>
        <v>1.12464923730227j</v>
      </c>
      <c r="J65" t="str">
        <f t="shared" si="1"/>
        <v>0.000323693180980846+0.0179885631362105j</v>
      </c>
      <c r="K65">
        <f t="shared" si="3"/>
        <v>-34.898664494809132</v>
      </c>
      <c r="L65">
        <f t="shared" si="4"/>
        <v>88.969108781549309</v>
      </c>
      <c r="M65">
        <f t="shared" si="5"/>
        <v>3.2369318098084598E-4</v>
      </c>
      <c r="N65">
        <f t="shared" si="6"/>
        <v>1.79885631362105E-2</v>
      </c>
    </row>
    <row r="66" spans="7:14" x14ac:dyDescent="0.25">
      <c r="G66">
        <v>-1.74</v>
      </c>
      <c r="H66">
        <f t="shared" si="0"/>
        <v>0.18742918843682826</v>
      </c>
      <c r="I66" t="str">
        <f t="shared" si="2"/>
        <v>1.17765232292287j</v>
      </c>
      <c r="J66" t="str">
        <f t="shared" si="1"/>
        <v>0.000354911431538015+0.0188357497704174j</v>
      </c>
      <c r="K66">
        <f t="shared" si="3"/>
        <v>-34.49880011996661</v>
      </c>
      <c r="L66">
        <f t="shared" si="4"/>
        <v>88.920535612601483</v>
      </c>
      <c r="M66">
        <f t="shared" si="5"/>
        <v>3.5491143153801498E-4</v>
      </c>
      <c r="N66">
        <f t="shared" si="6"/>
        <v>1.8835749770417399E-2</v>
      </c>
    </row>
    <row r="67" spans="7:14" x14ac:dyDescent="0.25">
      <c r="G67">
        <v>-1.72</v>
      </c>
      <c r="H67">
        <f t="shared" ref="H67:H130" si="7">$B$3*10^G67</f>
        <v>0.19626245395021438</v>
      </c>
      <c r="I67" t="str">
        <f t="shared" si="2"/>
        <v>1.233153367011j</v>
      </c>
      <c r="J67" t="str">
        <f t="shared" ref="J67:J130" si="8">IMDIV(IMPRODUCT(I67,($B$7*$B$4)),IMSUM(1,IMPRODUCT(I67,($B$7*$B$4))))</f>
        <v>0.00038913932164034+0.0197227759767405j</v>
      </c>
      <c r="K67">
        <f t="shared" si="3"/>
        <v>-34.098948825126676</v>
      </c>
      <c r="L67">
        <f t="shared" si="4"/>
        <v>88.869674925078058</v>
      </c>
      <c r="M67">
        <f t="shared" si="5"/>
        <v>3.8913932164034E-4</v>
      </c>
      <c r="N67">
        <f t="shared" si="6"/>
        <v>1.9722775976740499E-2</v>
      </c>
    </row>
    <row r="68" spans="7:14" x14ac:dyDescent="0.25">
      <c r="G68">
        <v>-1.7</v>
      </c>
      <c r="H68">
        <f t="shared" si="7"/>
        <v>0.20551201844179456</v>
      </c>
      <c r="I68" t="str">
        <f t="shared" ref="I68:I131" si="9">COMPLEX(0,H68*2*PI(),"j")</f>
        <v>1.2912700947223j</v>
      </c>
      <c r="J68" t="str">
        <f t="shared" si="8"/>
        <v>0.000426666762894118+0.0206515064430554j</v>
      </c>
      <c r="K68">
        <f t="shared" ref="K68:K131" si="10">20*LOG(IMABS(J68))</f>
        <v>-33.699111871240298</v>
      </c>
      <c r="L68">
        <f t="shared" ref="L68:L131" si="11">DEGREES(IMARGUMENT(J68))</f>
        <v>88.816419157998425</v>
      </c>
      <c r="M68">
        <f t="shared" ref="M68:M131" si="12">IMREAL(J68)</f>
        <v>4.2666676289411802E-4</v>
      </c>
      <c r="N68">
        <f t="shared" ref="N68:N131" si="13">IMAGINARY(J68)</f>
        <v>2.0651506443055401E-2</v>
      </c>
    </row>
    <row r="69" spans="7:14" x14ac:dyDescent="0.25">
      <c r="G69">
        <v>-1.68</v>
      </c>
      <c r="H69">
        <f t="shared" si="7"/>
        <v>0.21519750147796599</v>
      </c>
      <c r="I69" t="str">
        <f t="shared" si="9"/>
        <v>1.35212577942811j</v>
      </c>
      <c r="J69" t="str">
        <f t="shared" si="8"/>
        <v>0.000467811545519393+0.02162389183004j</v>
      </c>
      <c r="K69">
        <f t="shared" si="10"/>
        <v>-33.299290640713551</v>
      </c>
      <c r="L69">
        <f t="shared" si="11"/>
        <v>88.760655717667362</v>
      </c>
      <c r="M69">
        <f t="shared" si="12"/>
        <v>4.67811545519393E-4</v>
      </c>
      <c r="N69">
        <f t="shared" si="13"/>
        <v>2.1623891830040001E-2</v>
      </c>
    </row>
    <row r="70" spans="7:14" x14ac:dyDescent="0.25">
      <c r="G70">
        <v>-1.66</v>
      </c>
      <c r="H70">
        <f t="shared" si="7"/>
        <v>0.22533944726680391</v>
      </c>
      <c r="I70" t="str">
        <f t="shared" si="9"/>
        <v>1.41584950419475j</v>
      </c>
      <c r="J70" t="str">
        <f t="shared" si="8"/>
        <v>0.000512922009542045+0.0226419725411496j</v>
      </c>
      <c r="K70">
        <f t="shared" si="10"/>
        <v>-32.899486649085581</v>
      </c>
      <c r="L70">
        <f t="shared" si="11"/>
        <v>88.702266745886192</v>
      </c>
      <c r="M70">
        <f t="shared" si="12"/>
        <v>5.1292200954204496E-4</v>
      </c>
      <c r="N70">
        <f t="shared" si="13"/>
        <v>2.2641972541149601E-2</v>
      </c>
    </row>
    <row r="71" spans="7:14" x14ac:dyDescent="0.25">
      <c r="G71">
        <v>-1.64</v>
      </c>
      <c r="H71">
        <f t="shared" si="7"/>
        <v>0.23595936823508057</v>
      </c>
      <c r="I71" t="str">
        <f t="shared" si="9"/>
        <v>1.48257643558604j</v>
      </c>
      <c r="J71" t="str">
        <f t="shared" si="8"/>
        <v>0.00056237996996757+0.0237078826287155j</v>
      </c>
      <c r="K71">
        <f t="shared" si="10"/>
        <v>-32.499701557824487</v>
      </c>
      <c r="L71">
        <f t="shared" si="11"/>
        <v>88.641128878037065</v>
      </c>
      <c r="M71">
        <f t="shared" si="12"/>
        <v>5.6237996996757003E-4</v>
      </c>
      <c r="N71">
        <f t="shared" si="13"/>
        <v>2.3707882628715499E-2</v>
      </c>
    </row>
    <row r="72" spans="7:14" x14ac:dyDescent="0.25">
      <c r="G72">
        <v>-1.62</v>
      </c>
      <c r="H72">
        <f t="shared" si="7"/>
        <v>0.24707979065900743</v>
      </c>
      <c r="I72" t="str">
        <f t="shared" si="9"/>
        <v>1.55244811036968j</v>
      </c>
      <c r="J72" t="str">
        <f t="shared" si="8"/>
        <v>0.000616603919688471+0.0248238538364754j</v>
      </c>
      <c r="K72">
        <f t="shared" si="10"/>
        <v>-32.099937188348392</v>
      </c>
      <c r="L72">
        <f t="shared" si="11"/>
        <v>88.577112990680746</v>
      </c>
      <c r="M72">
        <f t="shared" si="12"/>
        <v>6.1660391968847096E-4</v>
      </c>
      <c r="N72">
        <f t="shared" si="13"/>
        <v>2.4823853836475399E-2</v>
      </c>
    </row>
    <row r="73" spans="7:14" x14ac:dyDescent="0.25">
      <c r="G73">
        <v>-1.6</v>
      </c>
      <c r="H73">
        <f t="shared" si="7"/>
        <v>0.25872430244548655</v>
      </c>
      <c r="I73" t="str">
        <f t="shared" si="9"/>
        <v>1.62561273573577j</v>
      </c>
      <c r="J73" t="str">
        <f t="shared" si="8"/>
        <v>0.000676052536017807+0.0259922197779711j</v>
      </c>
      <c r="K73">
        <f t="shared" si="10"/>
        <v>-31.700195537386996</v>
      </c>
      <c r="L73">
        <f t="shared" si="11"/>
        <v>88.510083938308398</v>
      </c>
      <c r="M73">
        <f t="shared" si="12"/>
        <v>6.7605253601780697E-4</v>
      </c>
      <c r="N73">
        <f t="shared" si="13"/>
        <v>2.5992219777971101E-2</v>
      </c>
    </row>
    <row r="74" spans="7:14" x14ac:dyDescent="0.25">
      <c r="G74">
        <v>-1.58</v>
      </c>
      <c r="H74">
        <f t="shared" si="7"/>
        <v>0.27091760316522423</v>
      </c>
      <c r="I74" t="str">
        <f t="shared" si="9"/>
        <v>1.70222550366405j</v>
      </c>
      <c r="J74" t="str">
        <f t="shared" si="8"/>
        <v>0.000741228519057914+0.0272154202491979j</v>
      </c>
      <c r="K74">
        <f t="shared" si="10"/>
        <v>-31.30047879381193</v>
      </c>
      <c r="L74">
        <f t="shared" si="11"/>
        <v>88.439900278890875</v>
      </c>
      <c r="M74">
        <f t="shared" si="12"/>
        <v>7.4122851905791397E-4</v>
      </c>
      <c r="N74">
        <f t="shared" si="13"/>
        <v>2.7215420249197899E-2</v>
      </c>
    </row>
    <row r="75" spans="7:14" x14ac:dyDescent="0.25">
      <c r="G75">
        <v>-1.56</v>
      </c>
      <c r="H75">
        <f t="shared" si="7"/>
        <v>0.28368555644383098</v>
      </c>
      <c r="I75" t="str">
        <f t="shared" si="9"/>
        <v>1.78244892010694j</v>
      </c>
      <c r="J75" t="str">
        <f t="shared" si="8"/>
        <v>0.00081268279261732+0.0284960056726536j</v>
      </c>
      <c r="K75">
        <f t="shared" si="10"/>
        <v>-30.900789357073144</v>
      </c>
      <c r="L75">
        <f t="shared" si="11"/>
        <v>88.366413987874566</v>
      </c>
      <c r="M75">
        <f t="shared" si="12"/>
        <v>8.1268279261731999E-4</v>
      </c>
      <c r="N75">
        <f t="shared" si="13"/>
        <v>2.8496005672653601E-2</v>
      </c>
    </row>
    <row r="76" spans="7:14" x14ac:dyDescent="0.25">
      <c r="G76">
        <v>-1.54</v>
      </c>
      <c r="H76">
        <f t="shared" si="7"/>
        <v>0.29705524482204032</v>
      </c>
      <c r="I76" t="str">
        <f t="shared" si="9"/>
        <v>1.86645314968648j</v>
      </c>
      <c r="J76" t="str">
        <f t="shared" si="8"/>
        <v>0.000891019101090658+0.0298366416684611j</v>
      </c>
      <c r="K76">
        <f t="shared" si="10"/>
        <v>-30.501129857393838</v>
      </c>
      <c r="L76">
        <f t="shared" si="11"/>
        <v>88.289470160282505</v>
      </c>
      <c r="M76">
        <f t="shared" si="12"/>
        <v>8.9101910109065804E-4</v>
      </c>
      <c r="N76">
        <f t="shared" si="13"/>
        <v>2.98366416684611E-2</v>
      </c>
    </row>
    <row r="77" spans="7:14" x14ac:dyDescent="0.25">
      <c r="G77">
        <v>-1.52</v>
      </c>
      <c r="H77">
        <f t="shared" si="7"/>
        <v>0.31105502720140754</v>
      </c>
      <c r="I77" t="str">
        <f t="shared" si="9"/>
        <v>1.95441637663623j</v>
      </c>
      <c r="J77" t="str">
        <f t="shared" si="8"/>
        <v>0.000976899038626497+0.0312401137465091j</v>
      </c>
      <c r="K77">
        <f t="shared" si="10"/>
        <v>-30.101503177889917</v>
      </c>
      <c r="L77">
        <f t="shared" si="11"/>
        <v>88.208906700593303</v>
      </c>
      <c r="M77">
        <f t="shared" si="12"/>
        <v>9.7689903862649701E-4</v>
      </c>
      <c r="N77">
        <f t="shared" si="13"/>
        <v>3.1240113746509101E-2</v>
      </c>
    </row>
    <row r="78" spans="7:14" x14ac:dyDescent="0.25">
      <c r="G78">
        <v>-1.5</v>
      </c>
      <c r="H78">
        <f t="shared" si="7"/>
        <v>0.32571459899734301</v>
      </c>
      <c r="I78" t="str">
        <f t="shared" si="9"/>
        <v>2.046525182754j</v>
      </c>
      <c r="J78" t="str">
        <f t="shared" si="8"/>
        <v>0.00107104755003712+0.0327093321115347j</v>
      </c>
      <c r="K78">
        <f t="shared" si="10"/>
        <v>-29.701912478793268</v>
      </c>
      <c r="L78">
        <f t="shared" si="11"/>
        <v>88.124554000088139</v>
      </c>
      <c r="M78">
        <f t="shared" si="12"/>
        <v>1.0710475500371199E-3</v>
      </c>
      <c r="N78">
        <f t="shared" si="13"/>
        <v>3.2709332111534699E-2</v>
      </c>
    </row>
    <row r="79" spans="7:14" x14ac:dyDescent="0.25">
      <c r="G79">
        <v>-1.48</v>
      </c>
      <c r="H79">
        <f t="shared" si="7"/>
        <v>0.34106505512706881</v>
      </c>
      <c r="I79" t="str">
        <f t="shared" si="9"/>
        <v>2.14297494316679j</v>
      </c>
      <c r="J79" t="str">
        <f t="shared" si="8"/>
        <v>0.00117425894625903+0.0342473365706906j</v>
      </c>
      <c r="K79">
        <f t="shared" si="10"/>
        <v>-29.302361223977424</v>
      </c>
      <c r="L79">
        <f t="shared" si="11"/>
        <v>88.036234601381821</v>
      </c>
      <c r="M79">
        <f t="shared" si="12"/>
        <v>1.17425894625903E-3</v>
      </c>
      <c r="N79">
        <f t="shared" si="13"/>
        <v>3.4247336570690602E-2</v>
      </c>
    </row>
    <row r="80" spans="7:14" x14ac:dyDescent="0.25">
      <c r="G80">
        <v>-1.46</v>
      </c>
      <c r="H80">
        <f t="shared" si="7"/>
        <v>0.35713895596610756</v>
      </c>
      <c r="I80" t="str">
        <f t="shared" si="9"/>
        <v>2.2439702407477j</v>
      </c>
      <c r="J80" t="str">
        <f t="shared" si="8"/>
        <v>0.0012874034807632+0.0358573015303845j</v>
      </c>
      <c r="K80">
        <f t="shared" si="10"/>
        <v>-28.902853209999613</v>
      </c>
      <c r="L80">
        <f t="shared" si="11"/>
        <v>87.943762849883484</v>
      </c>
      <c r="M80">
        <f t="shared" si="12"/>
        <v>1.2874034807632E-3</v>
      </c>
      <c r="N80">
        <f t="shared" si="13"/>
        <v>3.5857301530384501E-2</v>
      </c>
    </row>
    <row r="81" spans="7:14" x14ac:dyDescent="0.25">
      <c r="G81">
        <v>-1.44</v>
      </c>
      <c r="H81">
        <f t="shared" si="7"/>
        <v>0.3739703964132044</v>
      </c>
      <c r="I81" t="str">
        <f t="shared" si="9"/>
        <v>2.34972530006357j</v>
      </c>
      <c r="J81" t="str">
        <f t="shared" si="8"/>
        <v>0.00141143453714165+0.0375425410659562j</v>
      </c>
      <c r="K81">
        <f t="shared" si="10"/>
        <v>-28.503392597894276</v>
      </c>
      <c r="L81">
        <f t="shared" si="11"/>
        <v>87.846944531973108</v>
      </c>
      <c r="M81">
        <f t="shared" si="12"/>
        <v>1.41143453714165E-3</v>
      </c>
      <c r="N81">
        <f t="shared" si="13"/>
        <v>3.7542541065956198E-2</v>
      </c>
    </row>
    <row r="82" spans="7:14" x14ac:dyDescent="0.25">
      <c r="G82">
        <v>-1.42</v>
      </c>
      <c r="H82">
        <f t="shared" si="7"/>
        <v>0.39159507821017797</v>
      </c>
      <c r="I82" t="str">
        <f t="shared" si="9"/>
        <v>2.46046444177403j</v>
      </c>
      <c r="J82" t="str">
        <f t="shared" si="8"/>
        <v>0.00154739648216713+0.0393065140440373j</v>
      </c>
      <c r="K82">
        <f t="shared" si="10"/>
        <v>-28.103983947972392</v>
      </c>
      <c r="L82">
        <f t="shared" si="11"/>
        <v>87.745576499726639</v>
      </c>
      <c r="M82">
        <f t="shared" si="12"/>
        <v>1.5473964821671299E-3</v>
      </c>
      <c r="N82">
        <f t="shared" si="13"/>
        <v>3.9306514044037302E-2</v>
      </c>
    </row>
    <row r="83" spans="7:14" x14ac:dyDescent="0.25">
      <c r="G83">
        <v>-1.4</v>
      </c>
      <c r="H83">
        <f t="shared" si="7"/>
        <v>0.41005038567010221</v>
      </c>
      <c r="I83" t="str">
        <f t="shared" si="9"/>
        <v>2.57642255844571j</v>
      </c>
      <c r="J83" t="str">
        <f t="shared" si="8"/>
        <v>0.00169643324292993+0.0411528292731157j</v>
      </c>
      <c r="K83">
        <f t="shared" si="10"/>
        <v>-27.704632257905089</v>
      </c>
      <c r="L83">
        <f t="shared" si="11"/>
        <v>87.639446282082389</v>
      </c>
      <c r="M83">
        <f t="shared" si="12"/>
        <v>1.6964332429299301E-3</v>
      </c>
      <c r="N83">
        <f t="shared" si="13"/>
        <v>4.1152829273115699E-2</v>
      </c>
    </row>
    <row r="84" spans="7:14" x14ac:dyDescent="0.25">
      <c r="G84">
        <v>-1.38</v>
      </c>
      <c r="H84">
        <f t="shared" si="7"/>
        <v>0.42937546497444545</v>
      </c>
      <c r="I84" t="str">
        <f t="shared" si="9"/>
        <v>2.69784561279084j</v>
      </c>
      <c r="J84" t="str">
        <f t="shared" si="8"/>
        <v>0.00185979767119642+0.0430852506528467j</v>
      </c>
      <c r="K84">
        <f t="shared" si="10"/>
        <v>-27.305343004393372</v>
      </c>
      <c r="L84">
        <f t="shared" si="11"/>
        <v>87.528331682412073</v>
      </c>
      <c r="M84">
        <f t="shared" si="12"/>
        <v>1.8597976711964199E-3</v>
      </c>
      <c r="N84">
        <f t="shared" si="13"/>
        <v>4.3085250652846699E-2</v>
      </c>
    </row>
    <row r="85" spans="7:14" x14ac:dyDescent="0.25">
      <c r="G85">
        <v>-1.36</v>
      </c>
      <c r="H85">
        <f t="shared" si="7"/>
        <v>0.44961130720737086</v>
      </c>
      <c r="I85" t="str">
        <f t="shared" si="9"/>
        <v>2.82499115938716j</v>
      </c>
      <c r="J85" t="str">
        <f t="shared" si="8"/>
        <v>0.00203886176289255+0.0451077022869085j</v>
      </c>
      <c r="K85">
        <f t="shared" si="10"/>
        <v>-26.906122188751958</v>
      </c>
      <c r="L85">
        <f t="shared" si="11"/>
        <v>87.412000362544347</v>
      </c>
      <c r="M85">
        <f t="shared" si="12"/>
        <v>2.0388617628925498E-3</v>
      </c>
      <c r="N85">
        <f t="shared" si="13"/>
        <v>4.5107702286908503E-2</v>
      </c>
    </row>
    <row r="86" spans="7:14" x14ac:dyDescent="0.25">
      <c r="G86">
        <v>-1.34</v>
      </c>
      <c r="H86">
        <f t="shared" si="7"/>
        <v>0.47080083530332106</v>
      </c>
      <c r="I86" t="str">
        <f t="shared" si="9"/>
        <v>2.9581288909857j</v>
      </c>
      <c r="J86" t="str">
        <f t="shared" si="8"/>
        <v>0.00223512780557081+0.0472242735175839j</v>
      </c>
      <c r="K86">
        <f t="shared" si="10"/>
        <v>-26.506976386764642</v>
      </c>
      <c r="L86">
        <f t="shared" si="11"/>
        <v>87.290209413391395</v>
      </c>
      <c r="M86">
        <f t="shared" si="12"/>
        <v>2.2351278055708101E-3</v>
      </c>
      <c r="N86">
        <f t="shared" si="13"/>
        <v>4.7224273517583903E-2</v>
      </c>
    </row>
    <row r="87" spans="7:14" x14ac:dyDescent="0.25">
      <c r="G87">
        <v>-1.32</v>
      </c>
      <c r="H87">
        <f t="shared" si="7"/>
        <v>0.49298899509231742</v>
      </c>
      <c r="I87" t="str">
        <f t="shared" si="9"/>
        <v>3.09754121056528j</v>
      </c>
      <c r="J87" t="str">
        <f t="shared" si="8"/>
        <v>0.00245024053184109+0.0494392238326737j</v>
      </c>
      <c r="K87">
        <f t="shared" si="10"/>
        <v>-26.107912803196246</v>
      </c>
      <c r="L87">
        <f t="shared" si="11"/>
        <v>87.162704912447836</v>
      </c>
      <c r="M87">
        <f t="shared" si="12"/>
        <v>2.4502405318410901E-3</v>
      </c>
      <c r="N87">
        <f t="shared" si="13"/>
        <v>4.9439223832673698E-2</v>
      </c>
    </row>
    <row r="88" spans="7:14" x14ac:dyDescent="0.25">
      <c r="G88">
        <v>-1.3</v>
      </c>
      <c r="H88">
        <f t="shared" si="7"/>
        <v>0.5162228506360903</v>
      </c>
      <c r="I88" t="str">
        <f t="shared" si="9"/>
        <v>3.24352383034704j</v>
      </c>
      <c r="J88" t="str">
        <f t="shared" si="8"/>
        <v>0.00268600036198756+0.0517569875866338j</v>
      </c>
      <c r="K88">
        <f t="shared" si="10"/>
        <v>-25.708939331381934</v>
      </c>
      <c r="L88">
        <f t="shared" si="11"/>
        <v>87.029221468573766</v>
      </c>
      <c r="M88">
        <f t="shared" si="12"/>
        <v>2.6860003619875602E-3</v>
      </c>
      <c r="N88">
        <f t="shared" si="13"/>
        <v>5.1756987586633801E-2</v>
      </c>
    </row>
    <row r="89" spans="7:14" x14ac:dyDescent="0.25">
      <c r="G89">
        <v>-1.28</v>
      </c>
      <c r="H89">
        <f t="shared" si="7"/>
        <v>0.54055168405726561</v>
      </c>
      <c r="I89" t="str">
        <f t="shared" si="9"/>
        <v>3.39638639903979j</v>
      </c>
      <c r="J89" t="str">
        <f t="shared" si="8"/>
        <v>0.00294437782429951+0.0541821784678992j</v>
      </c>
      <c r="K89">
        <f t="shared" si="10"/>
        <v>-25.310064618345102</v>
      </c>
      <c r="L89">
        <f t="shared" si="11"/>
        <v>86.889481754639434</v>
      </c>
      <c r="M89">
        <f t="shared" si="12"/>
        <v>2.9443778242995099E-3</v>
      </c>
      <c r="N89">
        <f t="shared" si="13"/>
        <v>5.4182178467899203E-2</v>
      </c>
    </row>
    <row r="90" spans="7:14" x14ac:dyDescent="0.25">
      <c r="G90">
        <v>-1.26</v>
      </c>
      <c r="H90">
        <f t="shared" si="7"/>
        <v>0.56602710007335311</v>
      </c>
      <c r="I90" t="str">
        <f t="shared" si="9"/>
        <v>3.55645315864636j</v>
      </c>
      <c r="J90" t="str">
        <f t="shared" si="8"/>
        <v>0.00322752924693062+0.0567195936329839j</v>
      </c>
      <c r="K90">
        <f t="shared" si="10"/>
        <v>-24.911298135935233</v>
      </c>
      <c r="L90">
        <f t="shared" si="11"/>
        <v>86.743196028803411</v>
      </c>
      <c r="M90">
        <f t="shared" si="12"/>
        <v>3.2275292469306199E-3</v>
      </c>
      <c r="N90">
        <f t="shared" si="13"/>
        <v>5.67195936329839E-2</v>
      </c>
    </row>
    <row r="91" spans="7:14" x14ac:dyDescent="0.25">
      <c r="G91">
        <v>-1.24</v>
      </c>
      <c r="H91">
        <f t="shared" si="7"/>
        <v>0.5927031354572716</v>
      </c>
      <c r="I91" t="str">
        <f t="shared" si="9"/>
        <v>3.7240636322244j</v>
      </c>
      <c r="J91" t="str">
        <f t="shared" si="8"/>
        <v>0.00353781382027296+0.0593742174150199j</v>
      </c>
      <c r="K91">
        <f t="shared" si="10"/>
        <v>-24.512650258512888</v>
      </c>
      <c r="L91">
        <f t="shared" si="11"/>
        <v>86.590061645422281</v>
      </c>
      <c r="M91">
        <f t="shared" si="12"/>
        <v>3.5378138202729601E-3</v>
      </c>
      <c r="N91">
        <f t="shared" si="13"/>
        <v>5.93742174150199E-2</v>
      </c>
    </row>
    <row r="92" spans="7:14" x14ac:dyDescent="0.25">
      <c r="G92">
        <v>-1.22</v>
      </c>
      <c r="H92">
        <f t="shared" si="7"/>
        <v>0.62063637365658819</v>
      </c>
      <c r="I92" t="str">
        <f t="shared" si="9"/>
        <v>3.89957334406029j</v>
      </c>
      <c r="J92" t="str">
        <f t="shared" si="8"/>
        <v>0.00387781213375477+0.0621512244996836j</v>
      </c>
      <c r="K92">
        <f t="shared" si="10"/>
        <v>-24.114132347750971</v>
      </c>
      <c r="L92">
        <f t="shared" si="11"/>
        <v>86.429762556852339</v>
      </c>
      <c r="M92">
        <f t="shared" si="12"/>
        <v>3.8778121337547699E-3</v>
      </c>
      <c r="N92">
        <f t="shared" si="13"/>
        <v>6.2151224499683598E-2</v>
      </c>
    </row>
    <row r="93" spans="7:14" x14ac:dyDescent="0.25">
      <c r="G93">
        <v>-1.2</v>
      </c>
      <c r="H93">
        <f t="shared" si="7"/>
        <v>0.64988606481459898</v>
      </c>
      <c r="I93" t="str">
        <f t="shared" si="9"/>
        <v>4.08335457378385j</v>
      </c>
      <c r="J93" t="str">
        <f t="shared" si="8"/>
        <v>0.00425034629548554+0.0650559824447682j</v>
      </c>
      <c r="K93">
        <f t="shared" si="10"/>
        <v>-23.715756845163583</v>
      </c>
      <c r="L93">
        <f t="shared" si="11"/>
        <v>86.261968807708215</v>
      </c>
      <c r="M93">
        <f t="shared" si="12"/>
        <v>4.25034629548554E-3</v>
      </c>
      <c r="N93">
        <f t="shared" si="13"/>
        <v>6.5055982444768207E-2</v>
      </c>
    </row>
    <row r="94" spans="7:14" x14ac:dyDescent="0.25">
      <c r="G94">
        <v>-1.18</v>
      </c>
      <c r="H94">
        <f t="shared" si="7"/>
        <v>0.68051425144782374</v>
      </c>
      <c r="I94" t="str">
        <f t="shared" si="9"/>
        <v>4.27579714602328j</v>
      </c>
      <c r="J94" t="str">
        <f t="shared" si="8"/>
        <v>0.004658501747075+0.0680940534007743j</v>
      </c>
      <c r="K94">
        <f t="shared" si="10"/>
        <v>-23.317537373018304</v>
      </c>
      <c r="L94">
        <f t="shared" si="11"/>
        <v>86.086336023494013</v>
      </c>
      <c r="M94">
        <f t="shared" si="12"/>
        <v>4.6585017470749997E-3</v>
      </c>
      <c r="N94">
        <f t="shared" si="13"/>
        <v>6.8094053400774304E-2</v>
      </c>
    </row>
    <row r="95" spans="7:14" x14ac:dyDescent="0.25">
      <c r="G95">
        <v>-1.1599999999999999</v>
      </c>
      <c r="H95">
        <f t="shared" si="7"/>
        <v>0.71258590004650457</v>
      </c>
      <c r="I95" t="str">
        <f t="shared" si="9"/>
        <v>4.47730925727554j</v>
      </c>
      <c r="J95" t="str">
        <f t="shared" si="8"/>
        <v>0.00510565088899444+0.0712711948685733j</v>
      </c>
      <c r="K95">
        <f t="shared" si="10"/>
        <v>-22.919488844332086</v>
      </c>
      <c r="L95">
        <f t="shared" si="11"/>
        <v>85.902504895926128</v>
      </c>
      <c r="M95">
        <f t="shared" si="12"/>
        <v>5.1056508889944403E-3</v>
      </c>
      <c r="N95">
        <f t="shared" si="13"/>
        <v>7.1271194868573307E-2</v>
      </c>
    </row>
    <row r="96" spans="7:14" x14ac:dyDescent="0.25">
      <c r="G96">
        <v>-1.1399999999999999</v>
      </c>
      <c r="H96">
        <f t="shared" si="7"/>
        <v>0.74616903887723962</v>
      </c>
      <c r="I96" t="str">
        <f t="shared" si="9"/>
        <v>4.68831834174579j</v>
      </c>
      <c r="J96" t="str">
        <f t="shared" si="8"/>
        <v>0.00559547863372182+0.0745933593061834j</v>
      </c>
      <c r="K96">
        <f t="shared" si="10"/>
        <v>-22.521627582699413</v>
      </c>
      <c r="L96">
        <f t="shared" si="11"/>
        <v>85.710100667731282</v>
      </c>
      <c r="M96">
        <f t="shared" si="12"/>
        <v>5.5954786337218199E-3</v>
      </c>
      <c r="N96">
        <f t="shared" si="13"/>
        <v>7.4593359306183396E-2</v>
      </c>
    </row>
    <row r="97" spans="7:14" x14ac:dyDescent="0.25">
      <c r="G97">
        <v>-1.1200000000000001</v>
      </c>
      <c r="H97">
        <f t="shared" si="7"/>
        <v>0.78133490228005908</v>
      </c>
      <c r="I97" t="str">
        <f t="shared" si="9"/>
        <v>4.90927197799267j</v>
      </c>
      <c r="J97" t="str">
        <f t="shared" si="8"/>
        <v>0.00613201000424705+0.0780666923697608j</v>
      </c>
      <c r="K97">
        <f t="shared" si="10"/>
        <v>-22.123971452746506</v>
      </c>
      <c r="L97">
        <f t="shared" si="11"/>
        <v>85.508732620233459</v>
      </c>
      <c r="M97">
        <f t="shared" si="12"/>
        <v>6.13201000424705E-3</v>
      </c>
      <c r="N97">
        <f t="shared" si="13"/>
        <v>7.8066692369760798E-2</v>
      </c>
    </row>
    <row r="98" spans="7:14" x14ac:dyDescent="0.25">
      <c r="G98">
        <v>-1.1000000000000001</v>
      </c>
      <c r="H98">
        <f t="shared" si="7"/>
        <v>0.81815808176600946</v>
      </c>
      <c r="I98" t="str">
        <f t="shared" si="9"/>
        <v>5.14063883830242j</v>
      </c>
      <c r="J98" t="str">
        <f t="shared" si="8"/>
        <v>0.00671963989385574+0.0816975295437545j</v>
      </c>
      <c r="K98">
        <f t="shared" si="10"/>
        <v>-21.726540002053728</v>
      </c>
      <c r="L98">
        <f t="shared" si="11"/>
        <v>85.297993567649783</v>
      </c>
      <c r="M98">
        <f t="shared" si="12"/>
        <v>6.7196398938557398E-3</v>
      </c>
      <c r="N98">
        <f t="shared" si="13"/>
        <v>8.1697529543754505E-2</v>
      </c>
    </row>
    <row r="99" spans="7:14" x14ac:dyDescent="0.25">
      <c r="G99">
        <v>-1.08</v>
      </c>
      <c r="H99">
        <f t="shared" si="7"/>
        <v>0.85671668423575098</v>
      </c>
      <c r="I99" t="str">
        <f t="shared" si="9"/>
        <v>5.38290968280568j</v>
      </c>
      <c r="J99" t="str">
        <f t="shared" si="8"/>
        <v>0.00736316509892243+0.0854923908815775j</v>
      </c>
      <c r="K99">
        <f t="shared" si="10"/>
        <v>-21.329354615432475</v>
      </c>
      <c r="L99">
        <f t="shared" si="11"/>
        <v>85.077459362705639</v>
      </c>
      <c r="M99">
        <f t="shared" si="12"/>
        <v>7.3631650989224298E-3</v>
      </c>
      <c r="N99">
        <f t="shared" si="13"/>
        <v>8.5492390881577507E-2</v>
      </c>
    </row>
    <row r="100" spans="7:14" x14ac:dyDescent="0.25">
      <c r="G100">
        <v>-1.06</v>
      </c>
      <c r="H100">
        <f t="shared" si="7"/>
        <v>0.89709249765476262</v>
      </c>
      <c r="I100" t="str">
        <f t="shared" si="9"/>
        <v>5.63659840044544j</v>
      </c>
      <c r="J100" t="str">
        <f t="shared" si="8"/>
        <v>0.00806781872907755+0.0894579735408326j</v>
      </c>
      <c r="K100">
        <f t="shared" si="10"/>
        <v>-20.932438682487803</v>
      </c>
      <c r="L100">
        <f t="shared" si="11"/>
        <v>84.846688418962572</v>
      </c>
      <c r="M100">
        <f t="shared" si="12"/>
        <v>8.0678187290775492E-3</v>
      </c>
      <c r="N100">
        <f t="shared" si="13"/>
        <v>8.9457973540832597E-2</v>
      </c>
    </row>
    <row r="101" spans="7:14" x14ac:dyDescent="0.25">
      <c r="G101">
        <v>-1.04</v>
      </c>
      <c r="H101">
        <f t="shared" si="7"/>
        <v>0.93937116453658676</v>
      </c>
      <c r="I101" t="str">
        <f t="shared" si="9"/>
        <v>5.90224309900446j</v>
      </c>
      <c r="J101" t="str">
        <f t="shared" si="8"/>
        <v>0.0088393070878058+0.0936011417559277j</v>
      </c>
      <c r="K101">
        <f t="shared" si="10"/>
        <v>-20.535817779435924</v>
      </c>
      <c r="L101">
        <f t="shared" si="11"/>
        <v>84.605221256139856</v>
      </c>
      <c r="M101">
        <f t="shared" si="12"/>
        <v>8.8393070878058002E-3</v>
      </c>
      <c r="N101">
        <f t="shared" si="13"/>
        <v>9.3601141755927694E-2</v>
      </c>
    </row>
    <row r="102" spans="7:14" x14ac:dyDescent="0.25">
      <c r="G102">
        <v>-1.02</v>
      </c>
      <c r="H102">
        <f t="shared" si="7"/>
        <v>0.9836423636020788</v>
      </c>
      <c r="I102" t="str">
        <f t="shared" si="9"/>
        <v>6.18040724650398j</v>
      </c>
      <c r="J102" t="str">
        <f t="shared" si="8"/>
        <v>0.0096838491003777+0.0979289138455993j</v>
      </c>
      <c r="K102">
        <f t="shared" si="10"/>
        <v>-20.139519866181494</v>
      </c>
      <c r="L102">
        <f t="shared" si="11"/>
        <v>84.352580075712353</v>
      </c>
      <c r="M102">
        <f t="shared" si="12"/>
        <v>9.6838491003777005E-3</v>
      </c>
      <c r="N102">
        <f t="shared" si="13"/>
        <v>9.7928913845599305E-2</v>
      </c>
    </row>
    <row r="103" spans="7:14" x14ac:dyDescent="0.25">
      <c r="G103">
        <v>-1</v>
      </c>
      <c r="H103">
        <f t="shared" si="7"/>
        <v>1.03</v>
      </c>
      <c r="I103" t="str">
        <f t="shared" si="9"/>
        <v>6.47168086639497j</v>
      </c>
      <c r="J103" t="str">
        <f t="shared" si="8"/>
        <v>0.0106082183439632+0.102448445803389j</v>
      </c>
      <c r="K103">
        <f t="shared" si="10"/>
        <v>-19.743575499684816</v>
      </c>
      <c r="L103">
        <f t="shared" si="11"/>
        <v>84.088268375192428</v>
      </c>
      <c r="M103">
        <f t="shared" si="12"/>
        <v>1.0608218343963201E-2</v>
      </c>
      <c r="N103">
        <f t="shared" si="13"/>
        <v>0.10244844580338899</v>
      </c>
    </row>
    <row r="104" spans="7:14" x14ac:dyDescent="0.25">
      <c r="G104">
        <v>-0.98</v>
      </c>
      <c r="H104">
        <f t="shared" si="7"/>
        <v>1.0785424044924268</v>
      </c>
      <c r="I104" t="str">
        <f t="shared" si="9"/>
        <v>6.77668178907696j</v>
      </c>
      <c r="J104" t="str">
        <f t="shared" si="8"/>
        <v>0.0116197877055881+0.107167010965433j</v>
      </c>
      <c r="K104">
        <f t="shared" si="10"/>
        <v>-19.348018064666711</v>
      </c>
      <c r="L104">
        <f t="shared" si="11"/>
        <v>83.811770610767809</v>
      </c>
      <c r="M104">
        <f t="shared" si="12"/>
        <v>1.16197877055881E-2</v>
      </c>
      <c r="N104">
        <f t="shared" si="13"/>
        <v>0.107167010965433</v>
      </c>
    </row>
    <row r="105" spans="7:14" x14ac:dyDescent="0.25">
      <c r="G105">
        <v>-0.96</v>
      </c>
      <c r="H105">
        <f t="shared" si="7"/>
        <v>1.1293725420274805</v>
      </c>
      <c r="I105" t="str">
        <f t="shared" si="9"/>
        <v>7.09605696239913j</v>
      </c>
      <c r="J105" t="str">
        <f t="shared" si="8"/>
        <v>0.0127265766558673+0.112091975192204j</v>
      </c>
      <c r="K105">
        <f t="shared" si="10"/>
        <v>-18.952884022700577</v>
      </c>
      <c r="L105">
        <f t="shared" si="11"/>
        <v>83.522551919374393</v>
      </c>
      <c r="M105">
        <f t="shared" si="12"/>
        <v>1.27265766558673E-2</v>
      </c>
      <c r="N105">
        <f t="shared" si="13"/>
        <v>0.112091975192204</v>
      </c>
    </row>
    <row r="106" spans="7:14" x14ac:dyDescent="0.25">
      <c r="G106">
        <v>-0.94</v>
      </c>
      <c r="H106">
        <f t="shared" si="7"/>
        <v>1.1825982301417894</v>
      </c>
      <c r="I106" t="str">
        <f t="shared" si="9"/>
        <v>7.43048382392347j</v>
      </c>
      <c r="J106" t="str">
        <f t="shared" si="8"/>
        <v>0.0139373010785454+0.117230766939363j</v>
      </c>
      <c r="K106">
        <f t="shared" si="10"/>
        <v>-18.558213180728139</v>
      </c>
      <c r="L106">
        <f t="shared" si="11"/>
        <v>83.220057912853179</v>
      </c>
      <c r="M106">
        <f t="shared" si="12"/>
        <v>1.39373010785454E-2</v>
      </c>
      <c r="N106">
        <f t="shared" si="13"/>
        <v>0.117230766939363</v>
      </c>
    </row>
    <row r="107" spans="7:14" x14ac:dyDescent="0.25">
      <c r="G107">
        <v>-0.92</v>
      </c>
      <c r="H107">
        <f t="shared" si="7"/>
        <v>1.2383323676559352</v>
      </c>
      <c r="I107" t="str">
        <f t="shared" si="9"/>
        <v>7.78067173786068j</v>
      </c>
      <c r="J107" t="str">
        <f t="shared" si="8"/>
        <v>0.0152614255359861+0.122590841528214j</v>
      </c>
      <c r="K107">
        <f t="shared" si="10"/>
        <v>-18.164048979999365</v>
      </c>
      <c r="L107">
        <f t="shared" si="11"/>
        <v>82.903714558570158</v>
      </c>
      <c r="M107">
        <f t="shared" si="12"/>
        <v>1.52614255359861E-2</v>
      </c>
      <c r="N107">
        <f t="shared" si="13"/>
        <v>0.12259084152821401</v>
      </c>
    </row>
    <row r="108" spans="7:14" x14ac:dyDescent="0.25">
      <c r="G108">
        <v>-0.9</v>
      </c>
      <c r="H108">
        <f t="shared" si="7"/>
        <v>1.2966931741479919</v>
      </c>
      <c r="I108" t="str">
        <f t="shared" si="9"/>
        <v>8.14736349972672j</v>
      </c>
      <c r="J108" t="str">
        <f t="shared" si="8"/>
        <v>0.0167092177768+0.128179638859249j</v>
      </c>
      <c r="K108">
        <f t="shared" si="10"/>
        <v>-17.770438806374845</v>
      </c>
      <c r="L108">
        <f t="shared" si="11"/>
        <v>82.572928162787008</v>
      </c>
      <c r="M108">
        <f t="shared" si="12"/>
        <v>1.6709217776800001E-2</v>
      </c>
      <c r="N108">
        <f t="shared" si="13"/>
        <v>0.12817963885924899</v>
      </c>
    </row>
    <row r="109" spans="7:14" x14ac:dyDescent="0.25">
      <c r="G109">
        <v>-0.88</v>
      </c>
      <c r="H109">
        <f t="shared" si="7"/>
        <v>1.3578044407130994</v>
      </c>
      <c r="I109" t="str">
        <f t="shared" si="9"/>
        <v>8.53133691191174j</v>
      </c>
      <c r="J109" t="str">
        <f t="shared" si="8"/>
        <v>0.0182918052015223+0.134004533744168j</v>
      </c>
      <c r="K109">
        <f t="shared" si="10"/>
        <v>-17.37743432283397</v>
      </c>
      <c r="L109">
        <f t="shared" si="11"/>
        <v>82.227085475158489</v>
      </c>
      <c r="M109">
        <f t="shared" si="12"/>
        <v>1.82918052015223E-2</v>
      </c>
      <c r="N109">
        <f t="shared" si="13"/>
        <v>0.13400453374416799</v>
      </c>
    </row>
    <row r="110" spans="7:14" x14ac:dyDescent="0.25">
      <c r="G110">
        <v>-0.86</v>
      </c>
      <c r="H110">
        <f t="shared" si="7"/>
        <v>1.421795792540971</v>
      </c>
      <c r="I110" t="str">
        <f t="shared" si="9"/>
        <v>8.93340643350318j</v>
      </c>
      <c r="J110" t="str">
        <f t="shared" si="8"/>
        <v>0.0200212328931983+0.140072777964295j</v>
      </c>
      <c r="K110">
        <f t="shared" si="10"/>
        <v>-16.98509182489741</v>
      </c>
      <c r="L110">
        <f t="shared" si="11"/>
        <v>81.865553934992775</v>
      </c>
      <c r="M110">
        <f t="shared" si="12"/>
        <v>2.00212328931983E-2</v>
      </c>
      <c r="N110">
        <f t="shared" si="13"/>
        <v>0.14007277796429499</v>
      </c>
    </row>
    <row r="111" spans="7:14" x14ac:dyDescent="0.25">
      <c r="G111">
        <v>-0.84</v>
      </c>
      <c r="H111">
        <f t="shared" si="7"/>
        <v>1.4888029638683051</v>
      </c>
      <c r="I111" t="str">
        <f t="shared" si="9"/>
        <v>9.35442490786276j</v>
      </c>
      <c r="J111" t="str">
        <f t="shared" si="8"/>
        <v>0.0219105226892325+0.146391433098789j</v>
      </c>
      <c r="K111">
        <f t="shared" si="10"/>
        <v>-16.59347261949025</v>
      </c>
      <c r="L111">
        <f t="shared" si="11"/>
        <v>81.48768208235532</v>
      </c>
      <c r="M111">
        <f t="shared" si="12"/>
        <v>2.1910522689232499E-2</v>
      </c>
      <c r="N111">
        <f t="shared" si="13"/>
        <v>0.14639143309878899</v>
      </c>
    </row>
    <row r="112" spans="7:14" x14ac:dyDescent="0.25">
      <c r="G112">
        <v>-0.82</v>
      </c>
      <c r="H112">
        <f t="shared" si="7"/>
        <v>1.5589680858892943</v>
      </c>
      <c r="I112" t="str">
        <f t="shared" si="9"/>
        <v>9.7952853716215j</v>
      </c>
      <c r="J112" t="str">
        <f t="shared" si="8"/>
        <v>0.023973732616209+0.152967293107565j</v>
      </c>
      <c r="K112">
        <f t="shared" si="10"/>
        <v>-16.202643427531534</v>
      </c>
      <c r="L112">
        <f t="shared" si="11"/>
        <v>81.092800159697333</v>
      </c>
      <c r="M112">
        <f t="shared" si="12"/>
        <v>2.3973732616209002E-2</v>
      </c>
      <c r="N112">
        <f t="shared" si="13"/>
        <v>0.15296729310756499</v>
      </c>
    </row>
    <row r="113" spans="7:14" x14ac:dyDescent="0.25">
      <c r="G113">
        <v>-0.8</v>
      </c>
      <c r="H113">
        <f t="shared" si="7"/>
        <v>1.6324399882349467</v>
      </c>
      <c r="I113" t="str">
        <f t="shared" si="9"/>
        <v>10.2569229489302j</v>
      </c>
      <c r="J113" t="str">
        <f t="shared" si="8"/>
        <v>0.0262260158278125+0.15980679560523j</v>
      </c>
      <c r="K113">
        <f t="shared" si="10"/>
        <v>-15.812676810230844</v>
      </c>
      <c r="L113">
        <f t="shared" si="11"/>
        <v>80.680220932436001</v>
      </c>
      <c r="M113">
        <f t="shared" si="12"/>
        <v>2.6226015827812501E-2</v>
      </c>
      <c r="N113">
        <f t="shared" si="13"/>
        <v>0.15980679560523001</v>
      </c>
    </row>
    <row r="114" spans="7:14" x14ac:dyDescent="0.25">
      <c r="G114">
        <v>-0.78</v>
      </c>
      <c r="H114">
        <f t="shared" si="7"/>
        <v>1.7093745146606869</v>
      </c>
      <c r="I114" t="str">
        <f t="shared" si="9"/>
        <v>10.7403168349833j</v>
      </c>
      <c r="J114" t="str">
        <f t="shared" si="8"/>
        <v>0.0286836779748588+0.166915920728651j</v>
      </c>
      <c r="K114">
        <f t="shared" si="10"/>
        <v>-15.42365161868512</v>
      </c>
      <c r="L114">
        <f t="shared" si="11"/>
        <v>80.249240759768313</v>
      </c>
      <c r="M114">
        <f t="shared" si="12"/>
        <v>2.8683677974858799E-2</v>
      </c>
      <c r="N114">
        <f t="shared" si="13"/>
        <v>0.166915920728651</v>
      </c>
    </row>
    <row r="115" spans="7:14" x14ac:dyDescent="0.25">
      <c r="G115">
        <v>-0.76</v>
      </c>
      <c r="H115">
        <f t="shared" si="7"/>
        <v>1.7899348536118562</v>
      </c>
      <c r="I115" t="str">
        <f t="shared" si="9"/>
        <v>11.2464923730227j</v>
      </c>
      <c r="J115" t="str">
        <f t="shared" si="8"/>
        <v>0.031364231693424+0.17430007648795j</v>
      </c>
      <c r="K115">
        <f t="shared" si="10"/>
        <v>-15.035653465896846</v>
      </c>
      <c r="L115">
        <f t="shared" si="11"/>
        <v>79.799140949918495</v>
      </c>
      <c r="M115">
        <f t="shared" si="12"/>
        <v>3.1364231693423998E-2</v>
      </c>
      <c r="N115">
        <f t="shared" si="13"/>
        <v>0.17430007648795001</v>
      </c>
    </row>
    <row r="116" spans="7:14" x14ac:dyDescent="0.25">
      <c r="G116">
        <v>-0.74</v>
      </c>
      <c r="H116">
        <f t="shared" si="7"/>
        <v>1.874291884368283</v>
      </c>
      <c r="I116" t="str">
        <f t="shared" si="9"/>
        <v>11.7765232292287j</v>
      </c>
      <c r="J116" t="str">
        <f t="shared" si="8"/>
        <v>0.0342864466204136+0.181963969506491j</v>
      </c>
      <c r="K116">
        <f t="shared" si="10"/>
        <v>-14.648775219749208</v>
      </c>
      <c r="L116">
        <f t="shared" si="11"/>
        <v>79.329189436933291</v>
      </c>
      <c r="M116">
        <f t="shared" si="12"/>
        <v>3.4286446620413601E-2</v>
      </c>
      <c r="N116">
        <f t="shared" si="13"/>
        <v>0.18196396950649099</v>
      </c>
    </row>
    <row r="117" spans="7:14" x14ac:dyDescent="0.25">
      <c r="G117">
        <v>-0.72</v>
      </c>
      <c r="H117">
        <f t="shared" si="7"/>
        <v>1.9626245395021447</v>
      </c>
      <c r="I117" t="str">
        <f t="shared" si="9"/>
        <v>12.33153367011j</v>
      </c>
      <c r="J117" t="str">
        <f t="shared" si="8"/>
        <v>0.037470393034651+0.189911460108335j</v>
      </c>
      <c r="K117">
        <f t="shared" si="10"/>
        <v>-14.263117514782628</v>
      </c>
      <c r="L117">
        <f t="shared" si="11"/>
        <v>78.838642818969561</v>
      </c>
      <c r="M117">
        <f t="shared" si="12"/>
        <v>3.7470393034651002E-2</v>
      </c>
      <c r="N117">
        <f t="shared" si="13"/>
        <v>0.18991146010833501</v>
      </c>
    </row>
    <row r="118" spans="7:14" x14ac:dyDescent="0.25">
      <c r="G118">
        <v>-0.7</v>
      </c>
      <c r="H118">
        <f t="shared" si="7"/>
        <v>2.0551201844179459</v>
      </c>
      <c r="I118" t="str">
        <f t="shared" si="9"/>
        <v>12.912700947223j</v>
      </c>
      <c r="J118" t="str">
        <f t="shared" si="8"/>
        <v>0.0409374768761707+0.198145400812594j</v>
      </c>
      <c r="K118">
        <f t="shared" si="10"/>
        <v>-13.878789279784471</v>
      </c>
      <c r="L118">
        <f t="shared" si="11"/>
        <v>78.326748800642932</v>
      </c>
      <c r="M118">
        <f t="shared" si="12"/>
        <v>4.0937476876170699E-2</v>
      </c>
      <c r="N118">
        <f t="shared" si="13"/>
        <v>0.19814540081259399</v>
      </c>
    </row>
    <row r="119" spans="7:14" x14ac:dyDescent="0.25">
      <c r="G119">
        <v>-0.68</v>
      </c>
      <c r="H119">
        <f t="shared" si="7"/>
        <v>2.1519750147796604</v>
      </c>
      <c r="I119" t="str">
        <f t="shared" si="9"/>
        <v>13.5212577942811j</v>
      </c>
      <c r="J119" t="str">
        <f t="shared" si="8"/>
        <v>0.0447104635190075+0.206667457455021j</v>
      </c>
      <c r="K119">
        <f t="shared" si="10"/>
        <v>-13.495908277230281</v>
      </c>
      <c r="L119">
        <f t="shared" si="11"/>
        <v>77.792749084289397</v>
      </c>
      <c r="M119">
        <f t="shared" si="12"/>
        <v>4.4710463519007503E-2</v>
      </c>
      <c r="N119">
        <f t="shared" si="13"/>
        <v>0.20666745745502099</v>
      </c>
    </row>
    <row r="120" spans="7:14" x14ac:dyDescent="0.25">
      <c r="G120">
        <v>-0.66</v>
      </c>
      <c r="H120">
        <f t="shared" si="7"/>
        <v>2.2533944726680391</v>
      </c>
      <c r="I120" t="str">
        <f t="shared" si="9"/>
        <v>14.1584950419475j</v>
      </c>
      <c r="J120" t="str">
        <f t="shared" si="8"/>
        <v>0.0488134872679628+0.215477912391742j</v>
      </c>
      <c r="K120">
        <f t="shared" si="10"/>
        <v>-13.114601649488179</v>
      </c>
      <c r="L120">
        <f t="shared" si="11"/>
        <v>77.23588275676201</v>
      </c>
      <c r="M120">
        <f t="shared" si="12"/>
        <v>4.88134872679628E-2</v>
      </c>
      <c r="N120">
        <f t="shared" si="13"/>
        <v>0.21547791239174199</v>
      </c>
    </row>
    <row r="121" spans="7:14" x14ac:dyDescent="0.25">
      <c r="G121">
        <v>-0.64</v>
      </c>
      <c r="H121">
        <f t="shared" si="7"/>
        <v>2.3595936823508064</v>
      </c>
      <c r="I121" t="str">
        <f t="shared" si="9"/>
        <v>14.8257643558604j</v>
      </c>
      <c r="J121" t="str">
        <f t="shared" si="8"/>
        <v>0.0532720431254688+0.224575449563631j</v>
      </c>
      <c r="K121">
        <f t="shared" si="10"/>
        <v>-12.735006465397207</v>
      </c>
      <c r="L121">
        <f t="shared" si="11"/>
        <v>76.655390219411501</v>
      </c>
      <c r="M121">
        <f t="shared" si="12"/>
        <v>5.32720431254688E-2</v>
      </c>
      <c r="N121">
        <f t="shared" si="13"/>
        <v>0.22457544956363101</v>
      </c>
    </row>
    <row r="122" spans="7:14" x14ac:dyDescent="0.25">
      <c r="G122">
        <v>-0.62</v>
      </c>
      <c r="H122">
        <f t="shared" si="7"/>
        <v>2.4707979065900751</v>
      </c>
      <c r="I122" t="str">
        <f t="shared" si="9"/>
        <v>15.5244811036968j</v>
      </c>
      <c r="J122" t="str">
        <f t="shared" si="8"/>
        <v>0.0581129569423485+0.233956921628246j</v>
      </c>
      <c r="K122">
        <f t="shared" si="10"/>
        <v>-12.357270259366636</v>
      </c>
      <c r="L122">
        <f t="shared" si="11"/>
        <v>76.050517708948789</v>
      </c>
      <c r="M122">
        <f t="shared" si="12"/>
        <v>5.8112956942348498E-2</v>
      </c>
      <c r="N122">
        <f t="shared" si="13"/>
        <v>0.233956921628246</v>
      </c>
    </row>
    <row r="123" spans="7:14" x14ac:dyDescent="0.25">
      <c r="G123">
        <v>-0.6</v>
      </c>
      <c r="H123">
        <f t="shared" si="7"/>
        <v>2.5872430244548679</v>
      </c>
      <c r="I123" t="str">
        <f t="shared" si="9"/>
        <v>16.2561273573577j</v>
      </c>
      <c r="J123" t="str">
        <f t="shared" si="8"/>
        <v>0.0633643296427254+0.243617099916351j</v>
      </c>
      <c r="K123">
        <f t="shared" si="10"/>
        <v>-11.981551553500406</v>
      </c>
      <c r="L123">
        <f t="shared" si="11"/>
        <v>75.420522455640409</v>
      </c>
      <c r="M123">
        <f t="shared" si="12"/>
        <v>6.3364329642725398E-2</v>
      </c>
      <c r="N123">
        <f t="shared" si="13"/>
        <v>0.243617099916351</v>
      </c>
    </row>
    <row r="124" spans="7:14" x14ac:dyDescent="0.25">
      <c r="G124">
        <v>-0.57999999999999996</v>
      </c>
      <c r="H124">
        <f t="shared" si="7"/>
        <v>2.7091760316522437</v>
      </c>
      <c r="I124" t="str">
        <f t="shared" si="9"/>
        <v>17.0222550366405j</v>
      </c>
      <c r="J124" t="str">
        <f t="shared" si="8"/>
        <v>0.0690554508208544+0.253548408657564j</v>
      </c>
      <c r="K124">
        <f t="shared" si="10"/>
        <v>-11.608020351449033</v>
      </c>
      <c r="L124">
        <f t="shared" si="11"/>
        <v>74.764678522418492</v>
      </c>
      <c r="M124">
        <f t="shared" si="12"/>
        <v>6.9055450820854403E-2</v>
      </c>
      <c r="N124">
        <f t="shared" si="13"/>
        <v>0.25354840865756401</v>
      </c>
    </row>
    <row r="125" spans="7:14" x14ac:dyDescent="0.25">
      <c r="G125">
        <v>-0.56000000000000005</v>
      </c>
      <c r="H125">
        <f t="shared" si="7"/>
        <v>2.8368555644383115</v>
      </c>
      <c r="I125" t="str">
        <f t="shared" si="9"/>
        <v>17.8244892010695j</v>
      </c>
      <c r="J125" t="str">
        <f t="shared" si="8"/>
        <v>0.07521667667539+0.263740645758859j</v>
      </c>
      <c r="K125">
        <f t="shared" si="10"/>
        <v>-11.236858590740045</v>
      </c>
      <c r="L125">
        <f t="shared" si="11"/>
        <v>74.082283363600013</v>
      </c>
      <c r="M125">
        <f t="shared" si="12"/>
        <v>7.5216676675390004E-2</v>
      </c>
      <c r="N125">
        <f t="shared" si="13"/>
        <v>0.26374064575885903</v>
      </c>
    </row>
    <row r="126" spans="7:14" x14ac:dyDescent="0.25">
      <c r="G126">
        <v>-0.54</v>
      </c>
      <c r="H126">
        <f t="shared" si="7"/>
        <v>2.970552448220404</v>
      </c>
      <c r="I126" t="str">
        <f t="shared" si="9"/>
        <v>18.6645314968648j</v>
      </c>
      <c r="J126" t="str">
        <f t="shared" si="8"/>
        <v>0.08187926701095+0.27418069342078j</v>
      </c>
      <c r="K126">
        <f t="shared" si="10"/>
        <v>-10.868260538273688</v>
      </c>
      <c r="L126">
        <f t="shared" si="11"/>
        <v>73.372665134602244</v>
      </c>
      <c r="M126">
        <f t="shared" si="12"/>
        <v>8.1879267010949996E-2</v>
      </c>
      <c r="N126">
        <f t="shared" si="13"/>
        <v>0.27418069342078</v>
      </c>
    </row>
    <row r="127" spans="7:14" x14ac:dyDescent="0.25">
      <c r="G127">
        <v>-0.52</v>
      </c>
      <c r="H127">
        <f t="shared" si="7"/>
        <v>3.1105502720140761</v>
      </c>
      <c r="I127" t="str">
        <f t="shared" si="9"/>
        <v>19.5441637663623j</v>
      </c>
      <c r="J127" t="str">
        <f t="shared" si="8"/>
        <v>0.0890751759420641+0.284852223043729j</v>
      </c>
      <c r="K127">
        <f t="shared" si="10"/>
        <v>-10.502433111538533</v>
      </c>
      <c r="L127">
        <f t="shared" si="11"/>
        <v>72.635190773868501</v>
      </c>
      <c r="M127">
        <f t="shared" si="12"/>
        <v>8.90751759420641E-2</v>
      </c>
      <c r="N127">
        <f t="shared" si="13"/>
        <v>0.28485222304372898</v>
      </c>
    </row>
    <row r="128" spans="7:14" x14ac:dyDescent="0.25">
      <c r="G128">
        <v>-0.5</v>
      </c>
      <c r="H128">
        <f t="shared" si="7"/>
        <v>3.2571459899734312</v>
      </c>
      <c r="I128" t="str">
        <f t="shared" si="9"/>
        <v>20.46525182754j</v>
      </c>
      <c r="J128" t="str">
        <f t="shared" si="8"/>
        <v>0.0968367910326077+0.295735400206189j</v>
      </c>
      <c r="K128">
        <f t="shared" si="10"/>
        <v>-10.139596105967021</v>
      </c>
      <c r="L128">
        <f t="shared" si="11"/>
        <v>71.869274864752626</v>
      </c>
      <c r="M128">
        <f t="shared" si="12"/>
        <v>9.68367910326077E-2</v>
      </c>
      <c r="N128">
        <f t="shared" si="13"/>
        <v>0.29573540020618899</v>
      </c>
    </row>
    <row r="129" spans="7:14" x14ac:dyDescent="0.25">
      <c r="G129">
        <v>-0.48</v>
      </c>
      <c r="H129">
        <f t="shared" si="7"/>
        <v>3.4106505512706882</v>
      </c>
      <c r="I129" t="str">
        <f t="shared" si="9"/>
        <v>21.4297494316679j</v>
      </c>
      <c r="J129" t="str">
        <f t="shared" si="8"/>
        <v>0.105196615953362+0.306806596971647j</v>
      </c>
      <c r="K129">
        <f t="shared" si="10"/>
        <v>-9.7799823068056906</v>
      </c>
      <c r="L129">
        <f t="shared" si="11"/>
        <v>71.074389267935828</v>
      </c>
      <c r="M129">
        <f t="shared" si="12"/>
        <v>0.10519661595336199</v>
      </c>
      <c r="N129">
        <f t="shared" si="13"/>
        <v>0.30680659697164703</v>
      </c>
    </row>
    <row r="130" spans="7:14" x14ac:dyDescent="0.25">
      <c r="G130">
        <v>-0.46</v>
      </c>
      <c r="H130">
        <f t="shared" si="7"/>
        <v>3.5713895596610765</v>
      </c>
      <c r="I130" t="str">
        <f t="shared" si="9"/>
        <v>22.439702407477j</v>
      </c>
      <c r="J130" t="str">
        <f t="shared" si="8"/>
        <v>0.114186892405077+0.31803812036916j</v>
      </c>
      <c r="K130">
        <f t="shared" si="10"/>
        <v>-9.4238374620277927</v>
      </c>
      <c r="L130">
        <f t="shared" si="11"/>
        <v>70.250073493728706</v>
      </c>
      <c r="M130">
        <f t="shared" si="12"/>
        <v>0.114186892405077</v>
      </c>
      <c r="N130">
        <f t="shared" si="13"/>
        <v>0.31803812036916002</v>
      </c>
    </row>
    <row r="131" spans="7:14" x14ac:dyDescent="0.25">
      <c r="G131">
        <v>-0.44</v>
      </c>
      <c r="H131">
        <f t="shared" ref="H131:H194" si="14">$B$3*10^G131</f>
        <v>3.7397039641320444</v>
      </c>
      <c r="I131" t="str">
        <f t="shared" si="9"/>
        <v>23.4972530006357j</v>
      </c>
      <c r="J131" t="str">
        <f t="shared" ref="J131:J194" si="15">IMDIV(IMPRODUCT(I131,($B$7*$B$4)),IMSUM(1,IMPRODUCT(I131,($B$7*$B$4))))</f>
        <v>0.12383915809971+0.329397967542097j</v>
      </c>
      <c r="K131">
        <f t="shared" si="10"/>
        <v>-9.0714200913125183</v>
      </c>
      <c r="L131">
        <f t="shared" si="11"/>
        <v>69.39594575810321</v>
      </c>
      <c r="M131">
        <f t="shared" si="12"/>
        <v>0.12383915809970999</v>
      </c>
      <c r="N131">
        <f t="shared" si="13"/>
        <v>0.32939796754209699</v>
      </c>
    </row>
    <row r="132" spans="7:14" x14ac:dyDescent="0.25">
      <c r="G132">
        <v>-0.42</v>
      </c>
      <c r="H132">
        <f t="shared" si="14"/>
        <v>3.9159507821017803</v>
      </c>
      <c r="I132" t="str">
        <f t="shared" ref="I132:I195" si="16">COMPLEX(0,H132*2*PI(),"j")</f>
        <v>24.6046444177403j</v>
      </c>
      <c r="J132" t="str">
        <f t="shared" si="15"/>
        <v>0.134183739080769+0.340849619696242j</v>
      </c>
      <c r="K132">
        <f t="shared" ref="K132:K195" si="17">20*LOG(IMABS(J132))</f>
        <v>-8.7230011051112371</v>
      </c>
      <c r="L132">
        <f t="shared" ref="L132:L195" si="18">DEGREES(IMARGUMENT(J132))</f>
        <v>68.511714636435585</v>
      </c>
      <c r="M132">
        <f t="shared" ref="M132:M195" si="19">IMREAL(J132)</f>
        <v>0.134183739080769</v>
      </c>
      <c r="N132">
        <f t="shared" ref="N132:N195" si="20">IMAGINARY(J132)</f>
        <v>0.340849619696242</v>
      </c>
    </row>
    <row r="133" spans="7:14" x14ac:dyDescent="0.25">
      <c r="G133">
        <v>-0.4</v>
      </c>
      <c r="H133">
        <f t="shared" si="14"/>
        <v>4.1005038567010219</v>
      </c>
      <c r="I133" t="str">
        <f t="shared" si="16"/>
        <v>25.7642255844571j</v>
      </c>
      <c r="J133" t="str">
        <f t="shared" si="15"/>
        <v>0.145249176647469+0.352351888501681j</v>
      </c>
      <c r="K133">
        <f t="shared" si="17"/>
        <v>-8.3788632075156961</v>
      </c>
      <c r="L133">
        <f t="shared" si="18"/>
        <v>67.597191194884886</v>
      </c>
      <c r="M133">
        <f t="shared" si="19"/>
        <v>0.145249176647469</v>
      </c>
      <c r="N133">
        <f t="shared" si="20"/>
        <v>0.35235188850168098</v>
      </c>
    </row>
    <row r="134" spans="7:14" x14ac:dyDescent="0.25">
      <c r="G134">
        <v>-0.38</v>
      </c>
      <c r="H134">
        <f t="shared" si="14"/>
        <v>4.2937546497444545</v>
      </c>
      <c r="I134" t="str">
        <f t="shared" si="16"/>
        <v>26.9784561279084j</v>
      </c>
      <c r="J134" t="str">
        <f t="shared" si="15"/>
        <v>0.157061591661417+0.363858829886262j</v>
      </c>
      <c r="K134">
        <f t="shared" si="17"/>
        <v>-8.0393000572319657</v>
      </c>
      <c r="L134">
        <f t="shared" si="18"/>
        <v>66.652301441545475</v>
      </c>
      <c r="M134">
        <f t="shared" si="19"/>
        <v>0.157061591661417</v>
      </c>
      <c r="N134">
        <f t="shared" si="20"/>
        <v>0.363858829886262</v>
      </c>
    </row>
    <row r="135" spans="7:14" x14ac:dyDescent="0.25">
      <c r="G135">
        <v>-0.36</v>
      </c>
      <c r="H135">
        <f t="shared" si="14"/>
        <v>4.496113072073709</v>
      </c>
      <c r="I135" t="str">
        <f t="shared" si="16"/>
        <v>28.2499115938716j</v>
      </c>
      <c r="J135" t="str">
        <f t="shared" si="15"/>
        <v>0.169643992065336+0.375319741049511j</v>
      </c>
      <c r="K135">
        <f t="shared" si="17"/>
        <v>-7.7046151626687021</v>
      </c>
      <c r="L135">
        <f t="shared" si="18"/>
        <v>65.677098898810243</v>
      </c>
      <c r="M135">
        <f t="shared" si="19"/>
        <v>0.16964399206533601</v>
      </c>
      <c r="N135">
        <f t="shared" si="20"/>
        <v>0.37531974104951099</v>
      </c>
    </row>
    <row r="136" spans="7:14" x14ac:dyDescent="0.25">
      <c r="G136">
        <v>-0.34</v>
      </c>
      <c r="H136">
        <f t="shared" si="14"/>
        <v>4.7080083530332129</v>
      </c>
      <c r="I136" t="str">
        <f t="shared" si="16"/>
        <v>29.581288909857j</v>
      </c>
      <c r="J136" t="str">
        <f t="shared" si="15"/>
        <v>0.183015532998178+0.386679256851943j</v>
      </c>
      <c r="K136">
        <f t="shared" si="17"/>
        <v>-7.3751204901756342</v>
      </c>
      <c r="L136">
        <f t="shared" si="18"/>
        <v>64.671777056051127</v>
      </c>
      <c r="M136">
        <f t="shared" si="19"/>
        <v>0.18301553299817799</v>
      </c>
      <c r="N136">
        <f t="shared" si="20"/>
        <v>0.38667925685194299</v>
      </c>
    </row>
    <row r="137" spans="7:14" x14ac:dyDescent="0.25">
      <c r="G137">
        <v>-0.32</v>
      </c>
      <c r="H137">
        <f t="shared" si="14"/>
        <v>4.9298899509231751</v>
      </c>
      <c r="I137" t="str">
        <f t="shared" si="16"/>
        <v>30.9754121056528j</v>
      </c>
      <c r="J137" t="str">
        <f t="shared" si="15"/>
        <v>0.197190742867103+0.397877561310792j</v>
      </c>
      <c r="K137">
        <f t="shared" si="17"/>
        <v>-7.0511347690039115</v>
      </c>
      <c r="L137">
        <f t="shared" si="18"/>
        <v>63.636681419459023</v>
      </c>
      <c r="M137">
        <f t="shared" si="19"/>
        <v>0.197190742867103</v>
      </c>
      <c r="N137">
        <f t="shared" si="20"/>
        <v>0.39787756131079199</v>
      </c>
    </row>
    <row r="138" spans="7:14" x14ac:dyDescent="0.25">
      <c r="G138">
        <v>-0.3</v>
      </c>
      <c r="H138">
        <f t="shared" si="14"/>
        <v>5.1622285063609041</v>
      </c>
      <c r="I138" t="str">
        <f t="shared" si="16"/>
        <v>32.4352383034705j</v>
      </c>
      <c r="J138" t="str">
        <f t="shared" si="15"/>
        <v>0.212178732990517+0.408850728575914j</v>
      </c>
      <c r="K138">
        <f t="shared" si="17"/>
        <v>-6.7329814827504748</v>
      </c>
      <c r="L138">
        <f t="shared" si="18"/>
        <v>62.57232083595801</v>
      </c>
      <c r="M138">
        <f t="shared" si="19"/>
        <v>0.21217873299051701</v>
      </c>
      <c r="N138">
        <f t="shared" si="20"/>
        <v>0.40885072857591398</v>
      </c>
    </row>
    <row r="139" spans="7:14" x14ac:dyDescent="0.25">
      <c r="G139">
        <v>-0.28000000000000003</v>
      </c>
      <c r="H139">
        <f t="shared" si="14"/>
        <v>5.4055168405726572</v>
      </c>
      <c r="I139" t="str">
        <f t="shared" si="16"/>
        <v>33.9638639903979j</v>
      </c>
      <c r="J139" t="str">
        <f t="shared" si="15"/>
        <v>0.227982412747865+0.419531205306026j</v>
      </c>
      <c r="K139">
        <f t="shared" si="17"/>
        <v>-6.4209865449585131</v>
      </c>
      <c r="L139">
        <f t="shared" si="18"/>
        <v>61.479377733149938</v>
      </c>
      <c r="M139">
        <f t="shared" si="19"/>
        <v>0.22798241274786499</v>
      </c>
      <c r="N139">
        <f t="shared" si="20"/>
        <v>0.419531205306026</v>
      </c>
    </row>
    <row r="140" spans="7:14" x14ac:dyDescent="0.25">
      <c r="G140">
        <v>-0.26</v>
      </c>
      <c r="H140">
        <f t="shared" si="14"/>
        <v>5.6602710007335331</v>
      </c>
      <c r="I140" t="str">
        <f t="shared" si="16"/>
        <v>35.5645315864636j</v>
      </c>
      <c r="J140" t="str">
        <f t="shared" si="15"/>
        <v>0.244597736282248+0.429848442695618j</v>
      </c>
      <c r="K140">
        <f t="shared" si="17"/>
        <v>-6.1154756661566765</v>
      </c>
      <c r="L140">
        <f t="shared" si="18"/>
        <v>60.358716890368179</v>
      </c>
      <c r="M140">
        <f t="shared" si="19"/>
        <v>0.24459773628224801</v>
      </c>
      <c r="N140">
        <f t="shared" si="20"/>
        <v>0.429848442695618</v>
      </c>
    </row>
    <row r="141" spans="7:14" x14ac:dyDescent="0.25">
      <c r="G141">
        <v>-0.24</v>
      </c>
      <c r="H141">
        <f t="shared" si="14"/>
        <v>5.9270313545727165</v>
      </c>
      <c r="I141" t="str">
        <f t="shared" si="16"/>
        <v>37.240636322244j</v>
      </c>
      <c r="J141" t="str">
        <f t="shared" si="15"/>
        <v>0.262013010361589+0.439729681466747j</v>
      </c>
      <c r="K141">
        <f t="shared" si="17"/>
        <v>-5.8167714307735885</v>
      </c>
      <c r="L141">
        <f t="shared" si="18"/>
        <v>59.211392340380371</v>
      </c>
      <c r="M141">
        <f t="shared" si="19"/>
        <v>0.26201301036158903</v>
      </c>
      <c r="N141">
        <f t="shared" si="20"/>
        <v>0.43972968146674701</v>
      </c>
    </row>
    <row r="142" spans="7:14" x14ac:dyDescent="0.25">
      <c r="G142">
        <v>-0.22</v>
      </c>
      <c r="H142">
        <f t="shared" si="14"/>
        <v>6.2063637365658852</v>
      </c>
      <c r="I142" t="str">
        <f t="shared" si="16"/>
        <v>38.995733440603j</v>
      </c>
      <c r="J142" t="str">
        <f t="shared" si="15"/>
        <v>0.280208295627814+0.449100886983281j</v>
      </c>
      <c r="K142">
        <f t="shared" si="17"/>
        <v>-5.5251901147689297</v>
      </c>
      <c r="L142">
        <f t="shared" si="18"/>
        <v>58.038652000401363</v>
      </c>
      <c r="M142">
        <f t="shared" si="19"/>
        <v>0.28020829562781402</v>
      </c>
      <c r="N142">
        <f t="shared" si="20"/>
        <v>0.44910088698328099</v>
      </c>
    </row>
    <row r="143" spans="7:14" x14ac:dyDescent="0.25">
      <c r="G143">
        <v>-0.2</v>
      </c>
      <c r="H143">
        <f t="shared" si="14"/>
        <v>6.4988606481459907</v>
      </c>
      <c r="I143" t="str">
        <f t="shared" si="16"/>
        <v>40.8335457378385j</v>
      </c>
      <c r="J143" t="str">
        <f t="shared" si="15"/>
        <v>0.299154934748703+0.457887824433236j</v>
      </c>
      <c r="K143">
        <f t="shared" si="17"/>
        <v>-5.2410382880236295</v>
      </c>
      <c r="L143">
        <f t="shared" si="18"/>
        <v>56.841939647890868</v>
      </c>
      <c r="M143">
        <f t="shared" si="19"/>
        <v>0.29915493474870303</v>
      </c>
      <c r="N143">
        <f t="shared" si="20"/>
        <v>0.457887824433236</v>
      </c>
    </row>
    <row r="144" spans="7:14" x14ac:dyDescent="0.25">
      <c r="G144">
        <v>-0.18</v>
      </c>
      <c r="H144">
        <f t="shared" si="14"/>
        <v>6.8051425144782396</v>
      </c>
      <c r="I144" t="str">
        <f t="shared" si="16"/>
        <v>42.7579714602328j</v>
      </c>
      <c r="J144" t="str">
        <f t="shared" si="15"/>
        <v>0.318815240552029+0.46601725605795j</v>
      </c>
      <c r="K144">
        <f t="shared" si="17"/>
        <v>-4.9646092589122901</v>
      </c>
      <c r="L144">
        <f t="shared" si="18"/>
        <v>55.622893893523646</v>
      </c>
      <c r="M144">
        <f t="shared" si="19"/>
        <v>0.31881524055202898</v>
      </c>
      <c r="N144">
        <f t="shared" si="20"/>
        <v>0.46601725605795002</v>
      </c>
    </row>
    <row r="145" spans="7:14" x14ac:dyDescent="0.25">
      <c r="G145">
        <v>-0.16</v>
      </c>
      <c r="H145">
        <f t="shared" si="14"/>
        <v>7.1258590004650468</v>
      </c>
      <c r="I145" t="str">
        <f t="shared" si="16"/>
        <v>44.7730925727554j</v>
      </c>
      <c r="J145" t="str">
        <f t="shared" si="15"/>
        <v>0.339142374751846+0.47341823412235j</v>
      </c>
      <c r="K145">
        <f t="shared" si="17"/>
        <v>-4.6961794312918208</v>
      </c>
      <c r="L145">
        <f t="shared" si="18"/>
        <v>54.383343862187999</v>
      </c>
      <c r="M145">
        <f t="shared" si="19"/>
        <v>0.339142374751846</v>
      </c>
      <c r="N145">
        <f t="shared" si="20"/>
        <v>0.47341823412235001</v>
      </c>
    </row>
    <row r="146" spans="7:14" x14ac:dyDescent="0.25">
      <c r="G146">
        <v>-0.14000000000000001</v>
      </c>
      <c r="H146">
        <f t="shared" si="14"/>
        <v>7.4616903887723973</v>
      </c>
      <c r="I146" t="str">
        <f t="shared" si="16"/>
        <v>46.8831834174579j</v>
      </c>
      <c r="J146" t="str">
        <f t="shared" si="15"/>
        <v>0.360080443176743+0.48002345527941j</v>
      </c>
      <c r="K146">
        <f t="shared" si="17"/>
        <v>-4.4360046555198229</v>
      </c>
      <c r="L146">
        <f t="shared" si="18"/>
        <v>53.125301373011361</v>
      </c>
      <c r="M146">
        <f t="shared" si="19"/>
        <v>0.36008044317674298</v>
      </c>
      <c r="N146">
        <f t="shared" si="20"/>
        <v>0.48002345527940998</v>
      </c>
    </row>
    <row r="147" spans="7:14" x14ac:dyDescent="0.25">
      <c r="G147">
        <v>-0.12</v>
      </c>
      <c r="H147">
        <f t="shared" si="14"/>
        <v>7.8133490228005922</v>
      </c>
      <c r="I147" t="str">
        <f t="shared" si="16"/>
        <v>49.0927197799267j</v>
      </c>
      <c r="J147" t="str">
        <f t="shared" si="15"/>
        <v>0.381564826451087+0.485770634833394j</v>
      </c>
      <c r="K147">
        <f t="shared" si="17"/>
        <v>-4.184316664161984</v>
      </c>
      <c r="L147">
        <f t="shared" si="18"/>
        <v>51.850949509735145</v>
      </c>
      <c r="M147">
        <f t="shared" si="19"/>
        <v>0.38156482645108702</v>
      </c>
      <c r="N147">
        <f t="shared" si="20"/>
        <v>0.485770634833394</v>
      </c>
    </row>
    <row r="148" spans="7:14" x14ac:dyDescent="0.25">
      <c r="G148">
        <v>-0.1</v>
      </c>
      <c r="H148">
        <f t="shared" si="14"/>
        <v>8.1815808176600999</v>
      </c>
      <c r="I148" t="str">
        <f t="shared" si="16"/>
        <v>51.4063883830243j</v>
      </c>
      <c r="J148" t="str">
        <f t="shared" si="15"/>
        <v>0.403522756039184+0.490603853834971j</v>
      </c>
      <c r="K148">
        <f t="shared" si="17"/>
        <v>-3.9413196888843052</v>
      </c>
      <c r="L148">
        <f t="shared" si="18"/>
        <v>50.562627590027887</v>
      </c>
      <c r="M148">
        <f t="shared" si="19"/>
        <v>0.40352275603918403</v>
      </c>
      <c r="N148">
        <f t="shared" si="20"/>
        <v>0.49060385383497102</v>
      </c>
    </row>
    <row r="149" spans="7:14" x14ac:dyDescent="0.25">
      <c r="G149">
        <v>-8.0000000000000099E-2</v>
      </c>
      <c r="H149">
        <f t="shared" si="14"/>
        <v>8.5671668423575102</v>
      </c>
      <c r="I149" t="str">
        <f t="shared" si="16"/>
        <v>53.8290968280568j</v>
      </c>
      <c r="J149" t="str">
        <f t="shared" si="15"/>
        <v>0.425874134839805+0.4944748285952j</v>
      </c>
      <c r="K149">
        <f t="shared" si="17"/>
        <v>-3.707187356892387</v>
      </c>
      <c r="L149">
        <f t="shared" si="18"/>
        <v>49.262812671476574</v>
      </c>
      <c r="M149">
        <f t="shared" si="19"/>
        <v>0.42587413483980502</v>
      </c>
      <c r="N149">
        <f t="shared" si="20"/>
        <v>0.49447482859519998</v>
      </c>
    </row>
    <row r="150" spans="7:14" x14ac:dyDescent="0.25">
      <c r="G150">
        <v>-6.0000000000000102E-2</v>
      </c>
      <c r="H150">
        <f t="shared" si="14"/>
        <v>8.9709249765476287</v>
      </c>
      <c r="I150" t="str">
        <f t="shared" si="16"/>
        <v>56.3659840044544j</v>
      </c>
      <c r="J150" t="str">
        <f t="shared" si="15"/>
        <v>0.448532589731804+0.49734405161848j</v>
      </c>
      <c r="K150">
        <f t="shared" si="17"/>
        <v>-3.4820599626205433</v>
      </c>
      <c r="L150">
        <f t="shared" si="18"/>
        <v>47.954097866448478</v>
      </c>
      <c r="M150">
        <f t="shared" si="19"/>
        <v>0.44853258973180399</v>
      </c>
      <c r="N150">
        <f t="shared" si="20"/>
        <v>0.49734405161848</v>
      </c>
    </row>
    <row r="151" spans="7:14" x14ac:dyDescent="0.25">
      <c r="G151">
        <v>-0.04</v>
      </c>
      <c r="H151">
        <f t="shared" si="14"/>
        <v>9.3937116453658707</v>
      </c>
      <c r="I151" t="str">
        <f t="shared" si="16"/>
        <v>59.0224309900446j</v>
      </c>
      <c r="J151" t="str">
        <f t="shared" si="15"/>
        <v>0.47140673141725+0.49918175546764j</v>
      </c>
      <c r="K151">
        <f t="shared" si="17"/>
        <v>-3.2660422029176575</v>
      </c>
      <c r="L151">
        <f t="shared" si="18"/>
        <v>46.639167869963984</v>
      </c>
      <c r="M151">
        <f t="shared" si="19"/>
        <v>0.47140673141724998</v>
      </c>
      <c r="N151">
        <f t="shared" si="20"/>
        <v>0.49918175546763999</v>
      </c>
    </row>
    <row r="152" spans="7:14" x14ac:dyDescent="0.25">
      <c r="G152">
        <v>-0.02</v>
      </c>
      <c r="H152">
        <f t="shared" si="14"/>
        <v>9.8364236360207897</v>
      </c>
      <c r="I152" t="str">
        <f t="shared" si="16"/>
        <v>61.8040724650398j</v>
      </c>
      <c r="J152" t="str">
        <f t="shared" si="15"/>
        <v>0.494401585494788+0.49996865677263j</v>
      </c>
      <c r="K152">
        <f t="shared" si="17"/>
        <v>-3.0592014517948845</v>
      </c>
      <c r="L152">
        <f t="shared" si="18"/>
        <v>45.320772225832691</v>
      </c>
      <c r="M152">
        <f t="shared" si="19"/>
        <v>0.49440158549478802</v>
      </c>
      <c r="N152">
        <f t="shared" si="20"/>
        <v>0.49996865677263003</v>
      </c>
    </row>
    <row r="153" spans="7:14" x14ac:dyDescent="0.25">
      <c r="G153">
        <v>0</v>
      </c>
      <c r="H153">
        <f t="shared" si="14"/>
        <v>10.3</v>
      </c>
      <c r="I153" t="str">
        <f t="shared" si="16"/>
        <v>64.7168086639497j</v>
      </c>
      <c r="J153" t="str">
        <f t="shared" si="15"/>
        <v>0.517420148852055+0.499696446269105j</v>
      </c>
      <c r="K153">
        <f t="shared" si="17"/>
        <v>-2.8615666343376827</v>
      </c>
      <c r="L153">
        <f t="shared" si="18"/>
        <v>44.001696958367759</v>
      </c>
      <c r="M153">
        <f t="shared" si="19"/>
        <v>0.51742014885205501</v>
      </c>
      <c r="N153">
        <f t="shared" si="20"/>
        <v>0.49969644626910498</v>
      </c>
    </row>
    <row r="154" spans="7:14" x14ac:dyDescent="0.25">
      <c r="G154">
        <v>0.02</v>
      </c>
      <c r="H154">
        <f t="shared" si="14"/>
        <v>10.785424044924266</v>
      </c>
      <c r="I154" t="str">
        <f t="shared" si="16"/>
        <v>67.7668178907696j</v>
      </c>
      <c r="J154" t="str">
        <f t="shared" si="15"/>
        <v>0.540365018038536+0.498368001900953j</v>
      </c>
      <c r="K154">
        <f t="shared" si="17"/>
        <v>-2.6731277394420028</v>
      </c>
      <c r="L154">
        <f t="shared" si="18"/>
        <v>42.684735272772073</v>
      </c>
      <c r="M154">
        <f t="shared" si="19"/>
        <v>0.54036501803853598</v>
      </c>
      <c r="N154">
        <f t="shared" si="20"/>
        <v>0.49836800190095298</v>
      </c>
    </row>
    <row r="155" spans="7:14" x14ac:dyDescent="0.25">
      <c r="G155">
        <v>0.04</v>
      </c>
      <c r="H155">
        <f t="shared" si="14"/>
        <v>11.293725420274807</v>
      </c>
      <c r="I155" t="str">
        <f t="shared" si="16"/>
        <v>70.9605696239913j</v>
      </c>
      <c r="J155" t="str">
        <f t="shared" si="15"/>
        <v>0.563140031932923+0.495997314879334j</v>
      </c>
      <c r="K155">
        <f t="shared" si="17"/>
        <v>-2.4938359887172981</v>
      </c>
      <c r="L155">
        <f t="shared" si="18"/>
        <v>41.372658071193023</v>
      </c>
      <c r="M155">
        <f t="shared" si="19"/>
        <v>0.56314003193292295</v>
      </c>
      <c r="N155">
        <f t="shared" si="20"/>
        <v>0.49599731487933402</v>
      </c>
    </row>
    <row r="156" spans="7:14" x14ac:dyDescent="0.25">
      <c r="G156">
        <v>6.0000000000000102E-2</v>
      </c>
      <c r="H156">
        <f t="shared" si="14"/>
        <v>11.825982301417897</v>
      </c>
      <c r="I156" t="str">
        <f t="shared" si="16"/>
        <v>74.3048382392348j</v>
      </c>
      <c r="J156" t="str">
        <f t="shared" si="15"/>
        <v>0.585651870148597+0.492609132213409j</v>
      </c>
      <c r="K156">
        <f t="shared" si="17"/>
        <v>-2.3236046555332392</v>
      </c>
      <c r="L156">
        <f t="shared" si="18"/>
        <v>40.068185040206245</v>
      </c>
      <c r="M156">
        <f t="shared" si="19"/>
        <v>0.58565187014859699</v>
      </c>
      <c r="N156">
        <f t="shared" si="20"/>
        <v>0.49260913221340902</v>
      </c>
    </row>
    <row r="157" spans="7:14" x14ac:dyDescent="0.25">
      <c r="G157">
        <v>8.0000000000000099E-2</v>
      </c>
      <c r="H157">
        <f t="shared" si="14"/>
        <v>12.383323676559357</v>
      </c>
      <c r="I157" t="str">
        <f t="shared" si="16"/>
        <v>77.8067173786068j</v>
      </c>
      <c r="J157" t="str">
        <f t="shared" si="15"/>
        <v>0.607811551308353+0.488238332584084j</v>
      </c>
      <c r="K157">
        <f t="shared" si="17"/>
        <v>-2.1623105051832345</v>
      </c>
      <c r="L157">
        <f t="shared" si="18"/>
        <v>38.773957038409158</v>
      </c>
      <c r="M157">
        <f t="shared" si="19"/>
        <v>0.60781155130835296</v>
      </c>
      <c r="N157">
        <f t="shared" si="20"/>
        <v>0.488238332584084</v>
      </c>
    </row>
    <row r="158" spans="7:14" x14ac:dyDescent="0.25">
      <c r="G158">
        <v>0.1</v>
      </c>
      <c r="H158">
        <f t="shared" si="14"/>
        <v>12.966931741479923</v>
      </c>
      <c r="I158" t="str">
        <f t="shared" si="16"/>
        <v>81.4736349972673j</v>
      </c>
      <c r="J158" t="str">
        <f t="shared" si="15"/>
        <v>0.62953578131698+0.482929064520453j</v>
      </c>
      <c r="K158">
        <f t="shared" si="17"/>
        <v>-2.009795805888531</v>
      </c>
      <c r="L158">
        <f t="shared" si="18"/>
        <v>37.492510451967384</v>
      </c>
      <c r="M158">
        <f t="shared" si="19"/>
        <v>0.62953578131697996</v>
      </c>
      <c r="N158">
        <f t="shared" si="20"/>
        <v>0.48292906452045298</v>
      </c>
    </row>
    <row r="159" spans="7:14" x14ac:dyDescent="0.25">
      <c r="G159">
        <v>0.12</v>
      </c>
      <c r="H159">
        <f t="shared" si="14"/>
        <v>13.578044407130996</v>
      </c>
      <c r="I159" t="str">
        <f t="shared" si="16"/>
        <v>85.3133691191174j</v>
      </c>
      <c r="J159" t="str">
        <f t="shared" si="15"/>
        <v>0.650748110525716+0.476733685796301j</v>
      </c>
      <c r="K159">
        <f t="shared" si="17"/>
        <v>-1.8658708420904047</v>
      </c>
      <c r="L159">
        <f t="shared" si="18"/>
        <v>36.226254095860064</v>
      </c>
      <c r="M159">
        <f t="shared" si="19"/>
        <v>0.65074811052571602</v>
      </c>
      <c r="N159">
        <f t="shared" si="20"/>
        <v>0.47673368579630099</v>
      </c>
    </row>
    <row r="160" spans="7:14" x14ac:dyDescent="0.25">
      <c r="G160">
        <v>0.14000000000000001</v>
      </c>
      <c r="H160">
        <f t="shared" si="14"/>
        <v>14.217957925409717</v>
      </c>
      <c r="I160" t="str">
        <f t="shared" si="16"/>
        <v>89.3340643350319j</v>
      </c>
      <c r="J160" t="str">
        <f t="shared" si="15"/>
        <v>0.671379869446493+0.469711550154457j</v>
      </c>
      <c r="K160">
        <f t="shared" si="17"/>
        <v>-1.7303168471352417</v>
      </c>
      <c r="L160">
        <f t="shared" si="18"/>
        <v>34.97744912572972</v>
      </c>
      <c r="M160">
        <f t="shared" si="19"/>
        <v>0.67137986944649297</v>
      </c>
      <c r="N160">
        <f t="shared" si="20"/>
        <v>0.46971155015445698</v>
      </c>
    </row>
    <row r="161" spans="7:14" x14ac:dyDescent="0.25">
      <c r="G161">
        <v>0.16</v>
      </c>
      <c r="H161">
        <f t="shared" si="14"/>
        <v>14.888029638683054</v>
      </c>
      <c r="I161" t="str">
        <f t="shared" si="16"/>
        <v>93.5442490786276j</v>
      </c>
      <c r="J161" t="str">
        <f t="shared" si="15"/>
        <v>0.691370864533573+0.461927691535886j</v>
      </c>
      <c r="K161">
        <f t="shared" si="17"/>
        <v>-1.6028892626730302</v>
      </c>
      <c r="L161">
        <f t="shared" si="18"/>
        <v>33.748192297521626</v>
      </c>
      <c r="M161">
        <f t="shared" si="19"/>
        <v>0.69137086453357299</v>
      </c>
      <c r="N161">
        <f t="shared" si="20"/>
        <v>0.46192769153588598</v>
      </c>
    </row>
    <row r="162" spans="7:14" x14ac:dyDescent="0.25">
      <c r="G162">
        <v>0.18</v>
      </c>
      <c r="H162">
        <f t="shared" si="14"/>
        <v>15.589680858892946</v>
      </c>
      <c r="I162" t="str">
        <f t="shared" si="16"/>
        <v>97.952853716215j</v>
      </c>
      <c r="J162" t="str">
        <f t="shared" si="15"/>
        <v>0.71066982757546+0.453451456883012j</v>
      </c>
      <c r="K162">
        <f t="shared" si="17"/>
        <v>-1.4833212271100882</v>
      </c>
      <c r="L162">
        <f t="shared" si="18"/>
        <v>32.540402777833187</v>
      </c>
      <c r="M162">
        <f t="shared" si="19"/>
        <v>0.71066982757546004</v>
      </c>
      <c r="N162">
        <f t="shared" si="20"/>
        <v>0.45345145688301203</v>
      </c>
    </row>
    <row r="163" spans="7:14" x14ac:dyDescent="0.25">
      <c r="G163">
        <v>0.2</v>
      </c>
      <c r="H163">
        <f t="shared" si="14"/>
        <v>16.324399882349471</v>
      </c>
      <c r="I163" t="str">
        <f t="shared" si="16"/>
        <v>102.569229489302j</v>
      </c>
      <c r="J163" t="str">
        <f t="shared" si="15"/>
        <v>0.729234623569337+0.444355136525982j</v>
      </c>
      <c r="K163">
        <f t="shared" si="17"/>
        <v>-1.3713271951770334</v>
      </c>
      <c r="L163">
        <f t="shared" si="18"/>
        <v>31.355812575257957</v>
      </c>
      <c r="M163">
        <f t="shared" si="19"/>
        <v>0.72923462356933699</v>
      </c>
      <c r="N163">
        <f t="shared" si="20"/>
        <v>0.44435513652598202</v>
      </c>
    </row>
    <row r="164" spans="7:14" x14ac:dyDescent="0.25">
      <c r="G164">
        <v>0.22</v>
      </c>
      <c r="H164">
        <f t="shared" si="14"/>
        <v>17.093745146606874</v>
      </c>
      <c r="I164" t="str">
        <f t="shared" si="16"/>
        <v>107.403168349833j</v>
      </c>
      <c r="J164" t="str">
        <f t="shared" si="15"/>
        <v>0.747032231873064+0.434712636595502j</v>
      </c>
      <c r="K164">
        <f t="shared" si="17"/>
        <v>-1.2666065946622986</v>
      </c>
      <c r="L164">
        <f t="shared" si="18"/>
        <v>30.195960539227492</v>
      </c>
      <c r="M164">
        <f t="shared" si="19"/>
        <v>0.747032231873064</v>
      </c>
      <c r="N164">
        <f t="shared" si="20"/>
        <v>0.43471263659550202</v>
      </c>
    </row>
    <row r="165" spans="7:14" x14ac:dyDescent="0.25">
      <c r="G165">
        <v>0.24</v>
      </c>
      <c r="H165">
        <f t="shared" si="14"/>
        <v>17.89934853611857</v>
      </c>
      <c r="I165" t="str">
        <f t="shared" si="16"/>
        <v>112.464923730227j</v>
      </c>
      <c r="J165" t="str">
        <f t="shared" si="15"/>
        <v>0.764038523436809+0.424598231439215j</v>
      </c>
      <c r="K165">
        <f t="shared" si="17"/>
        <v>-1.1688474339520041</v>
      </c>
      <c r="L165">
        <f t="shared" si="18"/>
        <v>29.0621897637775</v>
      </c>
      <c r="M165">
        <f t="shared" si="19"/>
        <v>0.764038523436809</v>
      </c>
      <c r="N165">
        <f t="shared" si="20"/>
        <v>0.42459823143921499</v>
      </c>
    </row>
    <row r="166" spans="7:14" x14ac:dyDescent="0.25">
      <c r="G166">
        <v>0.26</v>
      </c>
      <c r="H166">
        <f t="shared" si="14"/>
        <v>18.742918843682833</v>
      </c>
      <c r="I166" t="str">
        <f t="shared" si="16"/>
        <v>117.765232292287j</v>
      </c>
      <c r="J166" t="str">
        <f t="shared" si="15"/>
        <v>0.78023786272347+0.41408542632672j</v>
      </c>
      <c r="K166">
        <f t="shared" si="17"/>
        <v>-1.0777297843734388</v>
      </c>
      <c r="L166">
        <f t="shared" si="18"/>
        <v>27.955648143405629</v>
      </c>
      <c r="M166">
        <f t="shared" si="19"/>
        <v>0.78023786272346995</v>
      </c>
      <c r="N166">
        <f t="shared" si="20"/>
        <v>0.41408542632672002</v>
      </c>
    </row>
    <row r="167" spans="7:14" x14ac:dyDescent="0.25">
      <c r="G167">
        <v>0.28000000000000003</v>
      </c>
      <c r="H167">
        <f t="shared" si="14"/>
        <v>19.626245395021449</v>
      </c>
      <c r="I167" t="str">
        <f t="shared" si="16"/>
        <v>123.3153367011j</v>
      </c>
      <c r="J167" t="str">
        <f t="shared" si="15"/>
        <v>0.795622566465988+0.403245952485654j</v>
      </c>
      <c r="K167">
        <f t="shared" si="17"/>
        <v>-0.99292907356719484</v>
      </c>
      <c r="L167">
        <f t="shared" si="18"/>
        <v>26.877291759112246</v>
      </c>
      <c r="M167">
        <f t="shared" si="19"/>
        <v>0.79562256646598795</v>
      </c>
      <c r="N167">
        <f t="shared" si="20"/>
        <v>0.40324595248565398</v>
      </c>
    </row>
    <row r="168" spans="7:14" x14ac:dyDescent="0.25">
      <c r="G168">
        <v>0.3</v>
      </c>
      <c r="H168">
        <f t="shared" si="14"/>
        <v>20.551201844179463</v>
      </c>
      <c r="I168" t="str">
        <f t="shared" si="16"/>
        <v>129.12700947223j</v>
      </c>
      <c r="J168" t="str">
        <f t="shared" si="15"/>
        <v>0.810192252801199+0.392148908327076j</v>
      </c>
      <c r="K168">
        <f t="shared" si="17"/>
        <v>-0.9141191393171415</v>
      </c>
      <c r="L168">
        <f t="shared" si="18"/>
        <v>25.82789072542079</v>
      </c>
      <c r="M168">
        <f t="shared" si="19"/>
        <v>0.810192252801199</v>
      </c>
      <c r="N168">
        <f t="shared" si="20"/>
        <v>0.392148908327076</v>
      </c>
    </row>
    <row r="169" spans="7:14" x14ac:dyDescent="0.25">
      <c r="G169">
        <v>0.32</v>
      </c>
      <c r="H169">
        <f t="shared" si="14"/>
        <v>21.519750147796611</v>
      </c>
      <c r="I169" t="str">
        <f t="shared" si="16"/>
        <v>135.212577942811j</v>
      </c>
      <c r="J169" t="str">
        <f t="shared" si="15"/>
        <v>0.823953113826523+0.380860053093127j</v>
      </c>
      <c r="K169">
        <f t="shared" si="17"/>
        <v>-0.84097500664241331</v>
      </c>
      <c r="L169">
        <f t="shared" si="18"/>
        <v>24.808037102832589</v>
      </c>
      <c r="M169">
        <f t="shared" si="19"/>
        <v>0.82395311382652303</v>
      </c>
      <c r="N169">
        <f t="shared" si="20"/>
        <v>0.38086005309312698</v>
      </c>
    </row>
    <row r="170" spans="7:14" x14ac:dyDescent="0.25">
      <c r="G170">
        <v>0.34</v>
      </c>
      <c r="H170">
        <f t="shared" si="14"/>
        <v>22.533944726680392</v>
      </c>
      <c r="I170" t="str">
        <f t="shared" si="16"/>
        <v>141.584950419475j</v>
      </c>
      <c r="J170" t="str">
        <f t="shared" si="15"/>
        <v>0.836917142602818+0.369441252461542j</v>
      </c>
      <c r="K170">
        <f t="shared" si="17"/>
        <v>-0.77317536381424867</v>
      </c>
      <c r="L170">
        <f t="shared" si="18"/>
        <v>23.818154472809137</v>
      </c>
      <c r="M170">
        <f t="shared" si="19"/>
        <v>0.83691714260281802</v>
      </c>
      <c r="N170">
        <f t="shared" si="20"/>
        <v>0.36944125246154202</v>
      </c>
    </row>
    <row r="171" spans="7:14" x14ac:dyDescent="0.25">
      <c r="G171">
        <v>0.36</v>
      </c>
      <c r="H171">
        <f t="shared" si="14"/>
        <v>23.595936823508065</v>
      </c>
      <c r="I171" t="str">
        <f t="shared" si="16"/>
        <v>148.257643558604j</v>
      </c>
      <c r="J171" t="str">
        <f t="shared" si="15"/>
        <v>0.84910134247244+0.357950070099086j</v>
      </c>
      <c r="K171">
        <f t="shared" si="17"/>
        <v>-0.71040472476946515</v>
      </c>
      <c r="L171">
        <f t="shared" si="18"/>
        <v>22.858508781169569</v>
      </c>
      <c r="M171">
        <f t="shared" si="19"/>
        <v>0.84910134247243996</v>
      </c>
      <c r="N171">
        <f t="shared" si="20"/>
        <v>0.35795007009908603</v>
      </c>
    </row>
    <row r="172" spans="7:14" x14ac:dyDescent="0.25">
      <c r="G172">
        <v>0.38</v>
      </c>
      <c r="H172">
        <f t="shared" si="14"/>
        <v>24.707979065900759</v>
      </c>
      <c r="I172" t="str">
        <f t="shared" si="16"/>
        <v>155.244811036968j</v>
      </c>
      <c r="J172" t="str">
        <f t="shared" si="15"/>
        <v>0.860526942673067+0.346439494871487j</v>
      </c>
      <c r="K172">
        <f t="shared" si="17"/>
        <v>-0.65235527578069286</v>
      </c>
      <c r="L172">
        <f t="shared" si="18"/>
        <v>21.929220077589335</v>
      </c>
      <c r="M172">
        <f t="shared" si="19"/>
        <v>0.86052694267306695</v>
      </c>
      <c r="N172">
        <f t="shared" si="20"/>
        <v>0.34643949487148701</v>
      </c>
    </row>
    <row r="173" spans="7:14" x14ac:dyDescent="0.25">
      <c r="G173">
        <v>0.4</v>
      </c>
      <c r="H173">
        <f t="shared" si="14"/>
        <v>25.872430244548681</v>
      </c>
      <c r="I173" t="str">
        <f t="shared" si="16"/>
        <v>162.561273573577j</v>
      </c>
      <c r="J173" t="str">
        <f t="shared" si="15"/>
        <v>0.87121863997026+0.334957790383551j</v>
      </c>
      <c r="K173">
        <f t="shared" si="17"/>
        <v>-0.59872841299083257</v>
      </c>
      <c r="L173">
        <f t="shared" si="18"/>
        <v>21.030274810303883</v>
      </c>
      <c r="M173">
        <f t="shared" si="19"/>
        <v>0.87121863997025994</v>
      </c>
      <c r="N173">
        <f t="shared" si="20"/>
        <v>0.334957790383551</v>
      </c>
    </row>
    <row r="174" spans="7:14" x14ac:dyDescent="0.25">
      <c r="G174">
        <v>0.42</v>
      </c>
      <c r="H174">
        <f t="shared" si="14"/>
        <v>27.091760316522439</v>
      </c>
      <c r="I174" t="str">
        <f t="shared" si="16"/>
        <v>170.222550366405j</v>
      </c>
      <c r="J174" t="str">
        <f t="shared" si="15"/>
        <v>0.881203881714456+0.323548451651111j</v>
      </c>
      <c r="K174">
        <f t="shared" si="17"/>
        <v>-0.54923598444266319</v>
      </c>
      <c r="L174">
        <f t="shared" si="18"/>
        <v>20.161538373001509</v>
      </c>
      <c r="M174">
        <f t="shared" si="19"/>
        <v>0.88120388171445596</v>
      </c>
      <c r="N174">
        <f t="shared" si="20"/>
        <v>0.32354845165111101</v>
      </c>
    </row>
    <row r="175" spans="7:14" x14ac:dyDescent="0.25">
      <c r="G175">
        <v>0.44</v>
      </c>
      <c r="H175">
        <f t="shared" si="14"/>
        <v>28.368555644383115</v>
      </c>
      <c r="I175" t="str">
        <f t="shared" si="16"/>
        <v>178.244892010695j</v>
      </c>
      <c r="J175" t="str">
        <f t="shared" si="15"/>
        <v>0.890512201595092+0.312250252850745j</v>
      </c>
      <c r="K175">
        <f t="shared" si="17"/>
        <v>-0.50360125556026414</v>
      </c>
      <c r="L175">
        <f t="shared" si="18"/>
        <v>19.322767642319974</v>
      </c>
      <c r="M175">
        <f t="shared" si="19"/>
        <v>0.89051220159509203</v>
      </c>
      <c r="N175">
        <f t="shared" si="20"/>
        <v>0.31225025285074498</v>
      </c>
    </row>
    <row r="176" spans="7:14" x14ac:dyDescent="0.25">
      <c r="G176">
        <v>0.46</v>
      </c>
      <c r="H176">
        <f t="shared" si="14"/>
        <v>29.705524482204044</v>
      </c>
      <c r="I176" t="str">
        <f t="shared" si="16"/>
        <v>186.645314968648j</v>
      </c>
      <c r="J176" t="str">
        <f t="shared" si="15"/>
        <v>0.899174615590897+0.301097370077953j</v>
      </c>
      <c r="K176">
        <f t="shared" si="17"/>
        <v>-0.46155962077962015</v>
      </c>
      <c r="L176">
        <f t="shared" si="18"/>
        <v>18.513623286909837</v>
      </c>
      <c r="M176">
        <f t="shared" si="19"/>
        <v>0.89917461559089695</v>
      </c>
      <c r="N176">
        <f t="shared" si="20"/>
        <v>0.30109737007795301</v>
      </c>
    </row>
    <row r="177" spans="7:14" x14ac:dyDescent="0.25">
      <c r="G177">
        <v>0.48</v>
      </c>
      <c r="H177">
        <f t="shared" si="14"/>
        <v>31.105502720140773</v>
      </c>
      <c r="I177" t="str">
        <f t="shared" si="16"/>
        <v>195.441637663623j</v>
      </c>
      <c r="J177" t="str">
        <f t="shared" si="15"/>
        <v>0.907223082312585+0.290119563683385j</v>
      </c>
      <c r="K177">
        <f t="shared" si="17"/>
        <v>-0.4228590863474655</v>
      </c>
      <c r="L177">
        <f t="shared" si="18"/>
        <v>17.73368167070451</v>
      </c>
      <c r="M177">
        <f t="shared" si="19"/>
        <v>0.90722308231258497</v>
      </c>
      <c r="N177">
        <f t="shared" si="20"/>
        <v>0.29011956368338498</v>
      </c>
    </row>
    <row r="178" spans="7:14" x14ac:dyDescent="0.25">
      <c r="G178">
        <v>0.5</v>
      </c>
      <c r="H178">
        <f t="shared" si="14"/>
        <v>32.571459899734315</v>
      </c>
      <c r="I178" t="str">
        <f t="shared" si="16"/>
        <v>204.6525182754j</v>
      </c>
      <c r="J178" t="str">
        <f t="shared" si="15"/>
        <v>0.914690029157778+0.279342405869788j</v>
      </c>
      <c r="K178">
        <f t="shared" si="17"/>
        <v>-0.38726055041291868</v>
      </c>
      <c r="L178">
        <f t="shared" si="18"/>
        <v>16.982446212372047</v>
      </c>
      <c r="M178">
        <f t="shared" si="19"/>
        <v>0.91469002915777797</v>
      </c>
      <c r="N178">
        <f t="shared" si="20"/>
        <v>0.27934240586978798</v>
      </c>
    </row>
    <row r="179" spans="7:14" x14ac:dyDescent="0.25">
      <c r="G179">
        <v>0.52</v>
      </c>
      <c r="H179">
        <f t="shared" si="14"/>
        <v>34.106505512706889</v>
      </c>
      <c r="I179" t="str">
        <f t="shared" si="16"/>
        <v>214.297494316679j</v>
      </c>
      <c r="J179" t="str">
        <f t="shared" si="15"/>
        <v>0.92160794345921+0.268787540656361j</v>
      </c>
      <c r="K179">
        <f t="shared" si="17"/>
        <v>-0.35453790663881224</v>
      </c>
      <c r="L179">
        <f t="shared" si="18"/>
        <v>16.259358098870607</v>
      </c>
      <c r="M179">
        <f t="shared" si="19"/>
        <v>0.92160794345921004</v>
      </c>
      <c r="N179">
        <f t="shared" si="20"/>
        <v>0.26878754065636101</v>
      </c>
    </row>
    <row r="180" spans="7:14" x14ac:dyDescent="0.25">
      <c r="G180">
        <v>0.54</v>
      </c>
      <c r="H180">
        <f t="shared" si="14"/>
        <v>35.713895596610769</v>
      </c>
      <c r="I180" t="str">
        <f t="shared" si="16"/>
        <v>224.397024074771j</v>
      </c>
      <c r="J180" t="str">
        <f t="shared" si="15"/>
        <v>0.928009026083732+0.258472964912881j</v>
      </c>
      <c r="K180">
        <f t="shared" si="17"/>
        <v>-0.32447799687070517</v>
      </c>
      <c r="L180">
        <f t="shared" si="18"/>
        <v>15.563806282969731</v>
      </c>
      <c r="M180">
        <f t="shared" si="19"/>
        <v>0.92800902608373204</v>
      </c>
      <c r="N180">
        <f t="shared" si="20"/>
        <v>0.25847296491288102</v>
      </c>
    </row>
    <row r="181" spans="7:14" x14ac:dyDescent="0.25">
      <c r="G181">
        <v>0.56000000000000005</v>
      </c>
      <c r="H181">
        <f t="shared" si="14"/>
        <v>37.397039641320447</v>
      </c>
      <c r="I181" t="str">
        <f t="shared" si="16"/>
        <v>234.972530006357j</v>
      </c>
      <c r="J181" t="str">
        <f t="shared" si="15"/>
        <v>0.933924903686236+0.248413320820143j</v>
      </c>
      <c r="K181">
        <f t="shared" si="17"/>
        <v>-0.2968804371195769</v>
      </c>
      <c r="L181">
        <f t="shared" si="18"/>
        <v>14.895136722232367</v>
      </c>
      <c r="M181">
        <f t="shared" si="19"/>
        <v>0.93392490368623604</v>
      </c>
      <c r="N181">
        <f t="shared" si="20"/>
        <v>0.248413320820143</v>
      </c>
    </row>
    <row r="182" spans="7:14" x14ac:dyDescent="0.25">
      <c r="G182">
        <v>0.57999999999999996</v>
      </c>
      <c r="H182">
        <f t="shared" si="14"/>
        <v>39.159507821017804</v>
      </c>
      <c r="I182" t="str">
        <f t="shared" si="16"/>
        <v>246.046444177403j</v>
      </c>
      <c r="J182" t="str">
        <f t="shared" si="15"/>
        <v>0.939386394981041+0.238620191739016j</v>
      </c>
      <c r="K182">
        <f t="shared" si="17"/>
        <v>-0.27155733941407878</v>
      </c>
      <c r="L182">
        <f t="shared" si="18"/>
        <v>14.252660840231044</v>
      </c>
      <c r="M182">
        <f t="shared" si="19"/>
        <v>0.93938639498104104</v>
      </c>
      <c r="N182">
        <f t="shared" si="20"/>
        <v>0.238620191739016</v>
      </c>
    </row>
    <row r="183" spans="7:14" x14ac:dyDescent="0.25">
      <c r="G183">
        <v>0.6</v>
      </c>
      <c r="H183">
        <f t="shared" si="14"/>
        <v>41.005038567010224</v>
      </c>
      <c r="I183" t="str">
        <f t="shared" si="16"/>
        <v>257.642255844571j</v>
      </c>
      <c r="J183" t="str">
        <f t="shared" si="15"/>
        <v>0.944423325898479+0.22910239500567j</v>
      </c>
      <c r="K183">
        <f t="shared" si="17"/>
        <v>-0.24833295011468448</v>
      </c>
      <c r="L183">
        <f t="shared" si="18"/>
        <v>13.635663209885797</v>
      </c>
      <c r="M183">
        <f t="shared" si="19"/>
        <v>0.94442332589847899</v>
      </c>
      <c r="N183">
        <f t="shared" si="20"/>
        <v>0.22910239500567001</v>
      </c>
    </row>
    <row r="184" spans="7:14" x14ac:dyDescent="0.25">
      <c r="G184">
        <v>0.62</v>
      </c>
      <c r="H184">
        <f t="shared" si="14"/>
        <v>42.937546497444558</v>
      </c>
      <c r="I184" t="str">
        <f t="shared" si="16"/>
        <v>269.784561279084j</v>
      </c>
      <c r="J184" t="str">
        <f t="shared" si="15"/>
        <v>0.949064388281906+0.219866266573564j</v>
      </c>
      <c r="K184">
        <f t="shared" si="17"/>
        <v>-0.2270432231777248</v>
      </c>
      <c r="L184">
        <f t="shared" si="18"/>
        <v>13.043408474023757</v>
      </c>
      <c r="M184">
        <f t="shared" si="19"/>
        <v>0.94906438828190598</v>
      </c>
      <c r="N184">
        <f t="shared" si="20"/>
        <v>0.21986626657356401</v>
      </c>
    </row>
    <row r="185" spans="7:14" x14ac:dyDescent="0.25">
      <c r="G185">
        <v>0.64</v>
      </c>
      <c r="H185">
        <f t="shared" si="14"/>
        <v>44.961130720737103</v>
      </c>
      <c r="I185" t="str">
        <f t="shared" si="16"/>
        <v>282.499115938716j</v>
      </c>
      <c r="J185" t="str">
        <f t="shared" si="15"/>
        <v>0.953337036788259+0.210915933670362j</v>
      </c>
      <c r="K185">
        <f t="shared" si="17"/>
        <v>-0.20753534471478971</v>
      </c>
      <c r="L185">
        <f t="shared" si="18"/>
        <v>12.475147529986698</v>
      </c>
      <c r="M185">
        <f t="shared" si="19"/>
        <v>0.95333703678825898</v>
      </c>
      <c r="N185">
        <f t="shared" si="20"/>
        <v>0.21091593367036199</v>
      </c>
    </row>
    <row r="186" spans="7:14" x14ac:dyDescent="0.25">
      <c r="G186">
        <v>0.66</v>
      </c>
      <c r="H186">
        <f t="shared" si="14"/>
        <v>47.080083530332139</v>
      </c>
      <c r="I186" t="str">
        <f t="shared" si="16"/>
        <v>295.812889098571j</v>
      </c>
      <c r="J186" t="str">
        <f t="shared" si="15"/>
        <v>0.957267418828458+0.20225357271989j</v>
      </c>
      <c r="K186">
        <f t="shared" si="17"/>
        <v>-0.18966722308816775</v>
      </c>
      <c r="L186">
        <f t="shared" si="18"/>
        <v>11.930123013757326</v>
      </c>
      <c r="M186">
        <f t="shared" si="19"/>
        <v>0.95726741882845801</v>
      </c>
      <c r="N186">
        <f t="shared" si="20"/>
        <v>0.20225357271989</v>
      </c>
    </row>
    <row r="187" spans="7:14" x14ac:dyDescent="0.25">
      <c r="G187">
        <v>0.68</v>
      </c>
      <c r="H187">
        <f t="shared" si="14"/>
        <v>49.298899509231759</v>
      </c>
      <c r="I187" t="str">
        <f t="shared" si="16"/>
        <v>309.754121056528j</v>
      </c>
      <c r="J187" t="str">
        <f t="shared" si="15"/>
        <v>0.960880332674251+0.193879650696176j</v>
      </c>
      <c r="K187">
        <f t="shared" si="17"/>
        <v>-0.17330695677249666</v>
      </c>
      <c r="L187">
        <f t="shared" si="18"/>
        <v>11.407574125085032</v>
      </c>
      <c r="M187">
        <f t="shared" si="19"/>
        <v>0.96088033267425099</v>
      </c>
      <c r="N187">
        <f t="shared" si="20"/>
        <v>0.19387965069617599</v>
      </c>
    </row>
    <row r="188" spans="7:14" x14ac:dyDescent="0.25">
      <c r="G188">
        <v>0.7</v>
      </c>
      <c r="H188">
        <f t="shared" si="14"/>
        <v>51.622285063609048</v>
      </c>
      <c r="I188" t="str">
        <f t="shared" si="16"/>
        <v>324.352383034705j</v>
      </c>
      <c r="J188" t="str">
        <f t="shared" si="15"/>
        <v>0.964199209225392+0.185793148836335j</v>
      </c>
      <c r="K188">
        <f t="shared" si="17"/>
        <v>-0.1583322903346164</v>
      </c>
      <c r="L188">
        <f t="shared" si="18"/>
        <v>10.906740838893285</v>
      </c>
      <c r="M188">
        <f t="shared" si="19"/>
        <v>0.96419920922539204</v>
      </c>
      <c r="N188">
        <f t="shared" si="20"/>
        <v>0.18579314883633499</v>
      </c>
    </row>
    <row r="189" spans="7:14" x14ac:dyDescent="0.25">
      <c r="G189">
        <v>0.72</v>
      </c>
      <c r="H189">
        <f t="shared" si="14"/>
        <v>54.055168405726583</v>
      </c>
      <c r="I189" t="str">
        <f t="shared" si="16"/>
        <v>339.638639903979j</v>
      </c>
      <c r="J189" t="str">
        <f t="shared" si="15"/>
        <v>0.967246113342628+0.177991768254063j</v>
      </c>
      <c r="K189">
        <f t="shared" si="17"/>
        <v>-0.14463006716297108</v>
      </c>
      <c r="L189">
        <f t="shared" si="18"/>
        <v>10.426867550241592</v>
      </c>
      <c r="M189">
        <f t="shared" si="19"/>
        <v>0.967246113342628</v>
      </c>
      <c r="N189">
        <f t="shared" si="20"/>
        <v>0.17799176825406299</v>
      </c>
    </row>
    <row r="190" spans="7:14" x14ac:dyDescent="0.25">
      <c r="G190">
        <v>0.74</v>
      </c>
      <c r="H190">
        <f t="shared" si="14"/>
        <v>56.602710007335332</v>
      </c>
      <c r="I190" t="str">
        <f t="shared" si="16"/>
        <v>355.645315864636j</v>
      </c>
      <c r="J190" t="str">
        <f t="shared" si="15"/>
        <v>0.970041761082494+0.170472117481034j</v>
      </c>
      <c r="K190">
        <f t="shared" si="17"/>
        <v>-0.13209568602536736</v>
      </c>
      <c r="L190">
        <f t="shared" si="18"/>
        <v>9.9672062006549211</v>
      </c>
      <c r="M190">
        <f t="shared" si="19"/>
        <v>0.97004176108249396</v>
      </c>
      <c r="N190">
        <f t="shared" si="20"/>
        <v>0.170472117481034</v>
      </c>
    </row>
    <row r="191" spans="7:14" x14ac:dyDescent="0.25">
      <c r="G191">
        <v>0.76</v>
      </c>
      <c r="H191">
        <f t="shared" si="14"/>
        <v>59.270313545727191</v>
      </c>
      <c r="I191" t="str">
        <f t="shared" si="16"/>
        <v>372.40636322244j</v>
      </c>
      <c r="J191" t="str">
        <f t="shared" si="15"/>
        <v>0.972605549599837+0.163229882336036j</v>
      </c>
      <c r="K191">
        <f t="shared" si="17"/>
        <v>-0.12063256715497217</v>
      </c>
      <c r="L191">
        <f t="shared" si="18"/>
        <v>9.5270189330497868</v>
      </c>
      <c r="M191">
        <f t="shared" si="19"/>
        <v>0.97260554959983703</v>
      </c>
      <c r="N191">
        <f t="shared" si="20"/>
        <v>0.163229882336036</v>
      </c>
    </row>
    <row r="192" spans="7:14" x14ac:dyDescent="0.25">
      <c r="G192">
        <v>0.78</v>
      </c>
      <c r="H192">
        <f t="shared" si="14"/>
        <v>62.06363736565887</v>
      </c>
      <c r="I192" t="str">
        <f t="shared" si="16"/>
        <v>389.95733440603j</v>
      </c>
      <c r="J192" t="str">
        <f t="shared" si="15"/>
        <v>0.974955596899542+0.156259978797514j</v>
      </c>
      <c r="K192">
        <f t="shared" si="17"/>
        <v>-0.1101516323544752</v>
      </c>
      <c r="L192">
        <f t="shared" si="18"/>
        <v>9.1055803210443216</v>
      </c>
      <c r="M192">
        <f t="shared" si="19"/>
        <v>0.97495559689954203</v>
      </c>
      <c r="N192">
        <f t="shared" si="20"/>
        <v>0.15625997879751399</v>
      </c>
    </row>
    <row r="193" spans="7:14" x14ac:dyDescent="0.25">
      <c r="G193">
        <v>0.8</v>
      </c>
      <c r="H193">
        <f t="shared" si="14"/>
        <v>64.988606481459925</v>
      </c>
      <c r="I193" t="str">
        <f t="shared" si="16"/>
        <v>408.335457378385j</v>
      </c>
      <c r="J193" t="str">
        <f t="shared" si="15"/>
        <v>0.977108789010389+0.14955668975021j</v>
      </c>
      <c r="K193">
        <f t="shared" si="17"/>
        <v>-0.10057080255995983</v>
      </c>
      <c r="L193">
        <f t="shared" si="18"/>
        <v>8.7021792163874956</v>
      </c>
      <c r="M193">
        <f t="shared" si="19"/>
        <v>0.977108789010389</v>
      </c>
      <c r="N193">
        <f t="shared" si="20"/>
        <v>0.14955668975021</v>
      </c>
    </row>
    <row r="194" spans="7:14" x14ac:dyDescent="0.25">
      <c r="G194">
        <v>0.82</v>
      </c>
      <c r="H194">
        <f t="shared" si="14"/>
        <v>68.051425144782399</v>
      </c>
      <c r="I194" t="str">
        <f t="shared" si="16"/>
        <v>427.579714602328j</v>
      </c>
      <c r="J194" t="str">
        <f t="shared" si="15"/>
        <v>0.979080832515338+0.143113786604963j</v>
      </c>
      <c r="K194">
        <f t="shared" si="17"/>
        <v>-9.1814515408889796E-2</v>
      </c>
      <c r="L194">
        <f t="shared" si="18"/>
        <v>8.3161202557583618</v>
      </c>
      <c r="M194">
        <f t="shared" si="19"/>
        <v>0.97908083251533795</v>
      </c>
      <c r="N194">
        <f t="shared" si="20"/>
        <v>0.14311378660496299</v>
      </c>
    </row>
    <row r="195" spans="7:14" x14ac:dyDescent="0.25">
      <c r="G195">
        <v>0.84</v>
      </c>
      <c r="H195">
        <f t="shared" ref="H195:H203" si="21">$B$3*10^G195</f>
        <v>71.258590004650486</v>
      </c>
      <c r="I195" t="str">
        <f t="shared" si="16"/>
        <v>447.730925727554j</v>
      </c>
      <c r="J195" t="str">
        <f t="shared" ref="J195:J203" si="22">IMDIV(IMPRODUCT(I195,($B$7*$B$4)),IMSUM(1,IMPRODUCT(I195,($B$7*$B$4))))</f>
        <v>0.980886310700563+0.136924636865692j</v>
      </c>
      <c r="K195">
        <f t="shared" si="17"/>
        <v>-8.3813264596659123E-2</v>
      </c>
      <c r="L195">
        <f t="shared" si="18"/>
        <v>7.9467250654447632</v>
      </c>
      <c r="M195">
        <f t="shared" si="19"/>
        <v>0.98088631070056298</v>
      </c>
      <c r="N195">
        <f t="shared" si="20"/>
        <v>0.13692463686569201</v>
      </c>
    </row>
    <row r="196" spans="7:14" x14ac:dyDescent="0.25">
      <c r="G196">
        <v>0.86</v>
      </c>
      <c r="H196">
        <f t="shared" si="21"/>
        <v>74.616903887724007</v>
      </c>
      <c r="I196" t="str">
        <f t="shared" ref="I196:I259" si="23">COMPLEX(0,H196*2*PI(),"j")</f>
        <v>468.831834174579j</v>
      </c>
      <c r="J196" t="str">
        <f t="shared" si="22"/>
        <v>0.982538741878957+0.130982298750149j</v>
      </c>
      <c r="K196">
        <f t="shared" ref="K196:K203" si="24">20*LOG(IMABS(J196))</f>
        <v>-7.6503162171367073E-2</v>
      </c>
      <c r="L196">
        <f t="shared" ref="L196:L203" si="25">DEGREES(IMARGUMENT(J196))</f>
        <v>7.5933331995230429</v>
      </c>
      <c r="M196">
        <f t="shared" ref="M196:M203" si="26">IMREAL(J196)</f>
        <v>0.98253874187895696</v>
      </c>
      <c r="N196">
        <f t="shared" ref="N196:N203" si="27">IMAGINARY(J196)</f>
        <v>0.130982298750149</v>
      </c>
    </row>
    <row r="197" spans="7:14" x14ac:dyDescent="0.25">
      <c r="G197">
        <v>0.88</v>
      </c>
      <c r="H197">
        <f t="shared" si="21"/>
        <v>78.133490228005925</v>
      </c>
      <c r="I197" t="str">
        <f t="shared" si="23"/>
        <v>490.927197799267j</v>
      </c>
      <c r="J197" t="str">
        <f t="shared" si="22"/>
        <v>0.98405063870306+0.125279603971115j</v>
      </c>
      <c r="K197">
        <f t="shared" si="24"/>
        <v>-6.9825524391372823E-2</v>
      </c>
      <c r="L197">
        <f t="shared" si="25"/>
        <v>7.2553028442360921</v>
      </c>
      <c r="M197">
        <f t="shared" si="26"/>
        <v>0.98405063870305998</v>
      </c>
      <c r="N197">
        <f t="shared" si="27"/>
        <v>0.12527960397111501</v>
      </c>
    </row>
    <row r="198" spans="7:14" x14ac:dyDescent="0.25">
      <c r="G198">
        <v>0.9</v>
      </c>
      <c r="H198">
        <f t="shared" si="21"/>
        <v>81.815808176601024</v>
      </c>
      <c r="I198" t="str">
        <f t="shared" si="23"/>
        <v>514.063883830243j</v>
      </c>
      <c r="J198" t="str">
        <f t="shared" si="22"/>
        <v>0.985433567508718+0.11980922976031j</v>
      </c>
      <c r="K198">
        <f t="shared" si="24"/>
        <v>-6.3726481342665883E-2</v>
      </c>
      <c r="L198">
        <f t="shared" si="25"/>
        <v>6.932011318372969</v>
      </c>
      <c r="M198">
        <f t="shared" si="26"/>
        <v>0.98543356750871802</v>
      </c>
      <c r="N198">
        <f t="shared" si="27"/>
        <v>0.11980922976031</v>
      </c>
    </row>
    <row r="199" spans="7:14" x14ac:dyDescent="0.25">
      <c r="G199">
        <v>0.92</v>
      </c>
      <c r="H199">
        <f t="shared" si="21"/>
        <v>85.671668423575127</v>
      </c>
      <c r="I199" t="str">
        <f t="shared" si="23"/>
        <v>538.290968280569j</v>
      </c>
      <c r="J199" t="str">
        <f t="shared" si="22"/>
        <v>0.986698206926403+0.11456376117527j</v>
      </c>
      <c r="K199">
        <f t="shared" si="24"/>
        <v>-5.8156610169759024E-2</v>
      </c>
      <c r="L199">
        <f t="shared" si="25"/>
        <v>6.6228553966515191</v>
      </c>
      <c r="M199">
        <f t="shared" si="26"/>
        <v>0.98669820692640298</v>
      </c>
      <c r="N199">
        <f t="shared" si="27"/>
        <v>0.11456376117527001</v>
      </c>
    </row>
    <row r="200" spans="7:14" x14ac:dyDescent="0.25">
      <c r="G200">
        <v>0.94</v>
      </c>
      <c r="H200">
        <f t="shared" si="21"/>
        <v>89.709249765476301</v>
      </c>
      <c r="I200" t="str">
        <f t="shared" si="23"/>
        <v>563.659840044544j</v>
      </c>
      <c r="J200" t="str">
        <f t="shared" si="22"/>
        <v>0.987854405164542+0.109535744675201j</v>
      </c>
      <c r="K200">
        <f t="shared" si="24"/>
        <v>-5.307059150281189E-2</v>
      </c>
      <c r="L200">
        <f t="shared" si="25"/>
        <v>6.3272514804289441</v>
      </c>
      <c r="M200">
        <f t="shared" si="26"/>
        <v>0.98785440516454204</v>
      </c>
      <c r="N200">
        <f t="shared" si="27"/>
        <v>0.109535744675201</v>
      </c>
    </row>
    <row r="201" spans="7:14" x14ac:dyDescent="0.25">
      <c r="G201">
        <v>0.96</v>
      </c>
      <c r="H201">
        <f t="shared" si="21"/>
        <v>93.937116453658717</v>
      </c>
      <c r="I201" t="str">
        <f t="shared" si="23"/>
        <v>590.224309900446j</v>
      </c>
      <c r="J201" t="str">
        <f t="shared" si="22"/>
        <v>0.988911235511095+0.104717733889796j</v>
      </c>
      <c r="K201">
        <f t="shared" si="24"/>
        <v>-4.8426888454758198E-2</v>
      </c>
      <c r="L201">
        <f t="shared" si="25"/>
        <v>6.0446356375442178</v>
      </c>
      <c r="M201">
        <f t="shared" si="26"/>
        <v>0.98891123551109505</v>
      </c>
      <c r="N201">
        <f t="shared" si="27"/>
        <v>0.10471773388979599</v>
      </c>
    </row>
    <row r="202" spans="7:14" x14ac:dyDescent="0.25">
      <c r="G202">
        <v>0.98</v>
      </c>
      <c r="H202">
        <f t="shared" si="21"/>
        <v>98.364236360207897</v>
      </c>
      <c r="I202" t="str">
        <f t="shared" si="23"/>
        <v>618.040724650398j</v>
      </c>
      <c r="J202" t="str">
        <f t="shared" si="22"/>
        <v>0.989877049718762+0.100102328438662j</v>
      </c>
      <c r="K202">
        <f t="shared" si="24"/>
        <v>-4.4187447405178853E-2</v>
      </c>
      <c r="L202">
        <f t="shared" si="25"/>
        <v>5.774463530746238</v>
      </c>
      <c r="M202">
        <f t="shared" si="26"/>
        <v>0.989877049718762</v>
      </c>
      <c r="N202">
        <f t="shared" si="27"/>
        <v>0.100102328438662</v>
      </c>
    </row>
    <row r="203" spans="7:14" x14ac:dyDescent="0.25">
      <c r="G203">
        <v>1</v>
      </c>
      <c r="H203">
        <f t="shared" si="21"/>
        <v>103</v>
      </c>
      <c r="I203" t="str">
        <f t="shared" si="23"/>
        <v>647.168086639497j</v>
      </c>
      <c r="J203" t="str">
        <f t="shared" si="22"/>
        <v>0.990759529038298+0.0956822065909239j</v>
      </c>
      <c r="K203">
        <f t="shared" si="24"/>
        <v>-4.0317419674298006E-2</v>
      </c>
      <c r="L203">
        <f t="shared" si="25"/>
        <v>5.5162102519863598</v>
      </c>
      <c r="M203">
        <f t="shared" si="26"/>
        <v>0.990759529038298</v>
      </c>
      <c r="N203">
        <f t="shared" si="27"/>
        <v>9.5682206590923899E-2</v>
      </c>
    </row>
    <row r="204" spans="7:14" x14ac:dyDescent="0.25">
      <c r="G204">
        <v>1.02</v>
      </c>
      <c r="H204">
        <f t="shared" ref="H204:H267" si="28">$B$3*10^G204</f>
        <v>107.85424044924271</v>
      </c>
      <c r="I204" t="str">
        <f t="shared" si="23"/>
        <v>677.668178907696j</v>
      </c>
      <c r="J204" t="str">
        <f t="shared" ref="J204:J267" si="29">IMDIV(IMPRODUCT(I204,($B$7*$B$4)),IMSUM(1,IMPRODUCT(I204,($B$7*$B$4))))</f>
        <v>0.991565732746012+0.091450152486896j</v>
      </c>
      <c r="K204">
        <f t="shared" ref="K204:K253" si="30">20*LOG(IMABS(J204))</f>
        <v>-3.6784903113024563E-2</v>
      </c>
      <c r="L204">
        <f t="shared" ref="L204:L253" si="31">DEGREES(IMARGUMENT(J204))</f>
        <v>5.2693700778625878</v>
      </c>
      <c r="M204">
        <f t="shared" ref="M204:M253" si="32">IMREAL(J204)</f>
        <v>0.99156573274601201</v>
      </c>
      <c r="N204">
        <f t="shared" ref="N204:N253" si="33">IMAGINARY(J204)</f>
        <v>9.1450152486896003E-2</v>
      </c>
    </row>
    <row r="205" spans="7:14" x14ac:dyDescent="0.25">
      <c r="G205">
        <v>1.04</v>
      </c>
      <c r="H205">
        <f t="shared" si="28"/>
        <v>112.93725420274809</v>
      </c>
      <c r="I205" t="str">
        <f t="shared" si="23"/>
        <v>709.605696239913j</v>
      </c>
      <c r="J205" t="str">
        <f t="shared" si="29"/>
        <v>0.992302144077968+0.0873990785777245j</v>
      </c>
      <c r="K205">
        <f t="shared" si="30"/>
        <v>-3.3560702587328288E-2</v>
      </c>
      <c r="L205">
        <f t="shared" si="31"/>
        <v>5.0334561596826086</v>
      </c>
      <c r="M205">
        <f t="shared" si="32"/>
        <v>0.99230214407796802</v>
      </c>
      <c r="N205">
        <f t="shared" si="33"/>
        <v>8.7399078577724498E-2</v>
      </c>
    </row>
    <row r="206" spans="7:14" x14ac:dyDescent="0.25">
      <c r="G206">
        <v>1.06</v>
      </c>
      <c r="H206">
        <f t="shared" si="28"/>
        <v>118.25982301417901</v>
      </c>
      <c r="I206" t="str">
        <f t="shared" si="23"/>
        <v>743.048382392348j</v>
      </c>
      <c r="J206" t="str">
        <f t="shared" si="29"/>
        <v>0.992974713536911+0.083522043875855j</v>
      </c>
      <c r="K206">
        <f t="shared" si="30"/>
        <v>-3.0618108311169324E-2</v>
      </c>
      <c r="L206">
        <f t="shared" si="31"/>
        <v>4.8080001599696418</v>
      </c>
      <c r="M206">
        <f t="shared" si="32"/>
        <v>0.99297471353691102</v>
      </c>
      <c r="N206">
        <f t="shared" si="33"/>
        <v>8.3522043875855004E-2</v>
      </c>
    </row>
    <row r="207" spans="7:14" x14ac:dyDescent="0.25">
      <c r="G207">
        <v>1.08</v>
      </c>
      <c r="H207">
        <f t="shared" si="28"/>
        <v>123.83323676559357</v>
      </c>
      <c r="I207" t="str">
        <f t="shared" si="23"/>
        <v>778.067173786068j</v>
      </c>
      <c r="J207" t="str">
        <f t="shared" si="29"/>
        <v>0.99358889958039+0.0798122685495131j</v>
      </c>
      <c r="K207">
        <f t="shared" si="30"/>
        <v>-2.7932690977614021E-2</v>
      </c>
      <c r="L207">
        <f t="shared" si="31"/>
        <v>4.5925518457468204</v>
      </c>
      <c r="M207">
        <f t="shared" si="32"/>
        <v>0.99358889958038998</v>
      </c>
      <c r="N207">
        <f t="shared" si="33"/>
        <v>7.9812268549513093E-2</v>
      </c>
    </row>
    <row r="208" spans="7:14" x14ac:dyDescent="0.25">
      <c r="G208">
        <v>1.1000000000000001</v>
      </c>
      <c r="H208">
        <f t="shared" si="28"/>
        <v>129.66931741479931</v>
      </c>
      <c r="I208" t="str">
        <f t="shared" si="23"/>
        <v>814.736349972673j</v>
      </c>
      <c r="J208" t="str">
        <f t="shared" si="29"/>
        <v>0.994149706731715+0.0762631453387542j</v>
      </c>
      <c r="K208">
        <f t="shared" si="30"/>
        <v>-2.5482112647837098E-2</v>
      </c>
      <c r="L208">
        <f t="shared" si="31"/>
        <v>4.3866786476055157</v>
      </c>
      <c r="M208">
        <f t="shared" si="32"/>
        <v>0.99414970673171499</v>
      </c>
      <c r="N208">
        <f t="shared" si="33"/>
        <v>7.6263145338754196E-2</v>
      </c>
    </row>
    <row r="209" spans="7:14" x14ac:dyDescent="0.25">
      <c r="G209">
        <v>1.1200000000000001</v>
      </c>
      <c r="H209">
        <f t="shared" si="28"/>
        <v>135.78044407131</v>
      </c>
      <c r="I209" t="str">
        <f t="shared" si="23"/>
        <v>853.133691191175j</v>
      </c>
      <c r="J209" t="str">
        <f t="shared" si="29"/>
        <v>0.994661721180727+0.0728682482190999j</v>
      </c>
      <c r="K209">
        <f t="shared" si="30"/>
        <v>-2.3245952379924287E-2</v>
      </c>
      <c r="L209">
        <f t="shared" si="31"/>
        <v>4.1899651923714574</v>
      </c>
      <c r="M209">
        <f t="shared" si="32"/>
        <v>0.99466172118072704</v>
      </c>
      <c r="N209">
        <f t="shared" si="33"/>
        <v>7.2868248219099901E-2</v>
      </c>
    </row>
    <row r="210" spans="7:14" x14ac:dyDescent="0.25">
      <c r="G210">
        <v>1.1399999999999999</v>
      </c>
      <c r="H210">
        <f t="shared" si="28"/>
        <v>142.17957925409718</v>
      </c>
      <c r="I210" t="str">
        <f t="shared" si="23"/>
        <v>893.340643350319j</v>
      </c>
      <c r="J210" t="str">
        <f t="shared" si="29"/>
        <v>0.995129143960253+0.0696213386914337j</v>
      </c>
      <c r="K210">
        <f t="shared" si="30"/>
        <v>-2.120554561000234E-2</v>
      </c>
      <c r="L210">
        <f t="shared" si="31"/>
        <v>4.0020128161208861</v>
      </c>
      <c r="M210">
        <f t="shared" si="32"/>
        <v>0.99512914396025298</v>
      </c>
      <c r="N210">
        <f t="shared" si="33"/>
        <v>6.9621338691433707E-2</v>
      </c>
    </row>
    <row r="211" spans="7:14" x14ac:dyDescent="0.25">
      <c r="G211">
        <v>1.1599999999999999</v>
      </c>
      <c r="H211">
        <f t="shared" si="28"/>
        <v>148.88029638683054</v>
      </c>
      <c r="I211" t="str">
        <f t="shared" si="23"/>
        <v>935.442490786276j</v>
      </c>
      <c r="J211" t="str">
        <f t="shared" si="29"/>
        <v>0.99555582179765+0.066516370033665j</v>
      </c>
      <c r="K211">
        <f t="shared" si="30"/>
        <v>-1.9343836335486832E-2</v>
      </c>
      <c r="L211">
        <f t="shared" si="31"/>
        <v>3.8224390633589502</v>
      </c>
      <c r="M211">
        <f t="shared" si="32"/>
        <v>0.99555582179765001</v>
      </c>
      <c r="N211">
        <f t="shared" si="33"/>
        <v>6.6516370033665007E-2</v>
      </c>
    </row>
    <row r="212" spans="7:14" x14ac:dyDescent="0.25">
      <c r="G212">
        <v>1.18</v>
      </c>
      <c r="H212">
        <f t="shared" si="28"/>
        <v>155.8968085889295</v>
      </c>
      <c r="I212" t="str">
        <f t="shared" si="23"/>
        <v>979.52853716215j</v>
      </c>
      <c r="J212" t="str">
        <f t="shared" si="29"/>
        <v>0.995945275750045+0.0635474898104715j</v>
      </c>
      <c r="K212">
        <f t="shared" si="30"/>
        <v>-1.764524119190301E-2</v>
      </c>
      <c r="L212">
        <f t="shared" si="31"/>
        <v>3.6508771773388786</v>
      </c>
      <c r="M212">
        <f t="shared" si="32"/>
        <v>0.99594527575004499</v>
      </c>
      <c r="N212">
        <f t="shared" si="33"/>
        <v>6.3547489810471494E-2</v>
      </c>
    </row>
    <row r="213" spans="7:14" x14ac:dyDescent="0.25">
      <c r="G213">
        <v>1.2</v>
      </c>
      <c r="H213">
        <f t="shared" si="28"/>
        <v>163.24399882349471</v>
      </c>
      <c r="I213" t="str">
        <f t="shared" si="23"/>
        <v>1025.69229489302j</v>
      </c>
      <c r="J213" t="str">
        <f t="shared" si="29"/>
        <v>0.996300727737479+0.0607090409020643j</v>
      </c>
      <c r="K213">
        <f t="shared" si="30"/>
        <v>-1.6095524559602736E-2</v>
      </c>
      <c r="L213">
        <f t="shared" si="31"/>
        <v>3.4869755857666891</v>
      </c>
      <c r="M213">
        <f t="shared" si="32"/>
        <v>0.99630072773747902</v>
      </c>
      <c r="N213">
        <f t="shared" si="33"/>
        <v>6.0709040902064297E-2</v>
      </c>
    </row>
    <row r="214" spans="7:14" x14ac:dyDescent="0.25">
      <c r="G214">
        <v>1.22</v>
      </c>
      <c r="H214">
        <f t="shared" si="28"/>
        <v>170.93745146606884</v>
      </c>
      <c r="I214" t="str">
        <f t="shared" si="23"/>
        <v>1074.03168349833j</v>
      </c>
      <c r="J214" t="str">
        <f t="shared" si="29"/>
        <v>0.996625125091037+0.057995561281118j</v>
      </c>
      <c r="K214">
        <f t="shared" si="30"/>
        <v>-1.4681683882705028E-2</v>
      </c>
      <c r="L214">
        <f t="shared" si="31"/>
        <v>3.3303973854898667</v>
      </c>
      <c r="M214">
        <f t="shared" si="32"/>
        <v>0.99662512509103696</v>
      </c>
      <c r="N214">
        <f t="shared" si="33"/>
        <v>5.7995561281117998E-2</v>
      </c>
    </row>
    <row r="215" spans="7:14" x14ac:dyDescent="0.25">
      <c r="G215">
        <v>1.24</v>
      </c>
      <c r="H215">
        <f t="shared" si="28"/>
        <v>178.99348536118569</v>
      </c>
      <c r="I215" t="str">
        <f t="shared" si="23"/>
        <v>1124.64923730227j</v>
      </c>
      <c r="J215" t="str">
        <f t="shared" si="29"/>
        <v>0.996921163233556+0.0554017827385509j</v>
      </c>
      <c r="K215">
        <f t="shared" si="30"/>
        <v>-1.3391844429997003E-2</v>
      </c>
      <c r="L215">
        <f t="shared" si="31"/>
        <v>3.1808198292030538</v>
      </c>
      <c r="M215">
        <f t="shared" si="32"/>
        <v>0.99692116323355595</v>
      </c>
      <c r="N215">
        <f t="shared" si="33"/>
        <v>5.5401782738550898E-2</v>
      </c>
    </row>
    <row r="216" spans="7:14" x14ac:dyDescent="0.25">
      <c r="G216">
        <v>1.26</v>
      </c>
      <c r="H216">
        <f t="shared" si="28"/>
        <v>187.42918843682838</v>
      </c>
      <c r="I216" t="str">
        <f t="shared" si="23"/>
        <v>1177.65232292287j</v>
      </c>
      <c r="J216" t="str">
        <f t="shared" si="29"/>
        <v>0.997191306609383+0.0529226287334114j</v>
      </c>
      <c r="K216">
        <f t="shared" si="30"/>
        <v>-1.221516277400915E-2</v>
      </c>
      <c r="L216">
        <f t="shared" si="31"/>
        <v>3.0379338167067749</v>
      </c>
      <c r="M216">
        <f t="shared" si="32"/>
        <v>0.99719130660938304</v>
      </c>
      <c r="N216">
        <f t="shared" si="33"/>
        <v>5.29226287334114E-2</v>
      </c>
    </row>
    <row r="217" spans="7:14" x14ac:dyDescent="0.25">
      <c r="G217">
        <v>1.28</v>
      </c>
      <c r="H217">
        <f t="shared" si="28"/>
        <v>196.26245395021454</v>
      </c>
      <c r="I217" t="str">
        <f t="shared" si="23"/>
        <v>1233.153367011j</v>
      </c>
      <c r="J217" t="str">
        <f t="shared" si="29"/>
        <v>0.997437807977096+0.0505532115195631j</v>
      </c>
      <c r="K217">
        <f t="shared" si="30"/>
        <v>-1.1141738310869001E-2</v>
      </c>
      <c r="L217">
        <f t="shared" si="31"/>
        <v>2.9014433928251449</v>
      </c>
      <c r="M217">
        <f t="shared" si="32"/>
        <v>0.99743780797709602</v>
      </c>
      <c r="N217">
        <f t="shared" si="33"/>
        <v>5.0553211519563102E-2</v>
      </c>
    </row>
    <row r="218" spans="7:14" x14ac:dyDescent="0.25">
      <c r="G218">
        <v>1.3</v>
      </c>
      <c r="H218">
        <f t="shared" si="28"/>
        <v>205.51201844179471</v>
      </c>
      <c r="I218" t="str">
        <f t="shared" si="23"/>
        <v>1291.2700947223j</v>
      </c>
      <c r="J218" t="str">
        <f t="shared" si="29"/>
        <v>0.99766272617561+0.0482888286817991j</v>
      </c>
      <c r="K218">
        <f t="shared" si="30"/>
        <v>-1.0162532188307774E-2</v>
      </c>
      <c r="L218">
        <f t="shared" si="31"/>
        <v>2.7710652537113378</v>
      </c>
      <c r="M218">
        <f t="shared" si="32"/>
        <v>0.99766272617561003</v>
      </c>
      <c r="N218">
        <f t="shared" si="33"/>
        <v>4.8288828681799102E-2</v>
      </c>
    </row>
    <row r="219" spans="7:14" x14ac:dyDescent="0.25">
      <c r="G219">
        <v>1.32</v>
      </c>
      <c r="H219">
        <f t="shared" si="28"/>
        <v>215.19750147796614</v>
      </c>
      <c r="I219" t="str">
        <f t="shared" si="23"/>
        <v>1352.12577942811j</v>
      </c>
      <c r="J219" t="str">
        <f t="shared" si="29"/>
        <v>0.997867942469829+0.0461249591962832j</v>
      </c>
      <c r="K219">
        <f t="shared" si="30"/>
        <v>-9.2692930525730115E-3</v>
      </c>
      <c r="L219">
        <f t="shared" si="31"/>
        <v>2.6465282629433462</v>
      </c>
      <c r="M219">
        <f t="shared" si="32"/>
        <v>0.99786794246982902</v>
      </c>
      <c r="N219">
        <f t="shared" si="33"/>
        <v>4.6124959196283198E-2</v>
      </c>
    </row>
    <row r="220" spans="7:14" x14ac:dyDescent="0.25">
      <c r="G220">
        <v>1.34</v>
      </c>
      <c r="H220">
        <f t="shared" si="28"/>
        <v>225.33944726680406</v>
      </c>
      <c r="I220" t="str">
        <f t="shared" si="23"/>
        <v>1415.84950419475j</v>
      </c>
      <c r="J220" t="str">
        <f t="shared" si="29"/>
        <v>0.998055175577274+0.0440572591145955j</v>
      </c>
      <c r="K220">
        <f t="shared" si="30"/>
        <v>-8.4544890664241673E-3</v>
      </c>
      <c r="L220">
        <f t="shared" si="31"/>
        <v>2.5275729785318317</v>
      </c>
      <c r="M220">
        <f t="shared" si="32"/>
        <v>0.99805517557727397</v>
      </c>
      <c r="N220">
        <f t="shared" si="33"/>
        <v>4.4057259114595501E-2</v>
      </c>
    </row>
    <row r="221" spans="7:14" x14ac:dyDescent="0.25">
      <c r="G221">
        <v>1.36</v>
      </c>
      <c r="H221">
        <f t="shared" si="28"/>
        <v>235.95936823508072</v>
      </c>
      <c r="I221" t="str">
        <f t="shared" si="23"/>
        <v>1482.57643558604j</v>
      </c>
      <c r="J221" t="str">
        <f t="shared" si="29"/>
        <v>0.998225995472022+0.0420815569568526j</v>
      </c>
      <c r="K221">
        <f t="shared" si="30"/>
        <v>-7.7112456902368124E-3</v>
      </c>
      <c r="L221">
        <f t="shared" si="31"/>
        <v>2.4139511917167682</v>
      </c>
      <c r="M221">
        <f t="shared" si="32"/>
        <v>0.99822599547202195</v>
      </c>
      <c r="N221">
        <f t="shared" si="33"/>
        <v>4.2081556956852603E-2</v>
      </c>
    </row>
    <row r="222" spans="7:14" x14ac:dyDescent="0.25">
      <c r="G222">
        <v>1.38</v>
      </c>
      <c r="H222">
        <f t="shared" si="28"/>
        <v>247.07979065900756</v>
      </c>
      <c r="I222" t="str">
        <f t="shared" si="23"/>
        <v>1552.44811036968j</v>
      </c>
      <c r="J222" t="str">
        <f t="shared" si="29"/>
        <v>0.998381836057079+0.0401938488872962j</v>
      </c>
      <c r="K222">
        <f t="shared" si="30"/>
        <v>-7.0332887553245611E-3</v>
      </c>
      <c r="L222">
        <f t="shared" si="31"/>
        <v>2.3054254782217956</v>
      </c>
      <c r="M222">
        <f t="shared" si="32"/>
        <v>0.99838183605707898</v>
      </c>
      <c r="N222">
        <f t="shared" si="33"/>
        <v>4.0193848887296199E-2</v>
      </c>
    </row>
    <row r="223" spans="7:14" x14ac:dyDescent="0.25">
      <c r="G223">
        <v>1.4</v>
      </c>
      <c r="H223">
        <f t="shared" si="28"/>
        <v>258.72430244548673</v>
      </c>
      <c r="I223" t="str">
        <f t="shared" si="23"/>
        <v>1625.61273573577j</v>
      </c>
      <c r="J223" t="str">
        <f t="shared" si="29"/>
        <v>0.998524006790979+0.0383902937351126j</v>
      </c>
      <c r="K223">
        <f t="shared" si="30"/>
        <v>-6.4148923943085634E-3</v>
      </c>
      <c r="L223">
        <f t="shared" si="31"/>
        <v>2.2017687624548099</v>
      </c>
      <c r="M223">
        <f t="shared" si="32"/>
        <v>0.99852400679097897</v>
      </c>
      <c r="N223">
        <f t="shared" si="33"/>
        <v>3.8390293735112602E-2</v>
      </c>
    </row>
    <row r="224" spans="7:14" x14ac:dyDescent="0.25">
      <c r="G224">
        <v>1.42</v>
      </c>
      <c r="H224">
        <f t="shared" si="28"/>
        <v>270.91760316522442</v>
      </c>
      <c r="I224" t="str">
        <f t="shared" si="23"/>
        <v>1702.22550366405j</v>
      </c>
      <c r="J224" t="str">
        <f t="shared" si="29"/>
        <v>0.998653703349121+0.0366672079139747j</v>
      </c>
      <c r="K224">
        <f t="shared" si="30"/>
        <v>-5.8508314265158902E-3</v>
      </c>
      <c r="L224">
        <f t="shared" si="31"/>
        <v>2.102763894991126</v>
      </c>
      <c r="M224">
        <f t="shared" si="32"/>
        <v>0.99865370334912096</v>
      </c>
      <c r="N224">
        <f t="shared" si="33"/>
        <v>3.6667207913974702E-2</v>
      </c>
    </row>
    <row r="225" spans="7:14" x14ac:dyDescent="0.25">
      <c r="G225">
        <v>1.44</v>
      </c>
      <c r="H225">
        <f t="shared" si="28"/>
        <v>283.68555644383116</v>
      </c>
      <c r="I225" t="str">
        <f t="shared" si="23"/>
        <v>1782.44892010695j</v>
      </c>
      <c r="J225" t="str">
        <f t="shared" si="29"/>
        <v>0.99877201739519+0.0350210602856736j</v>
      </c>
      <c r="K225">
        <f t="shared" si="30"/>
        <v>-5.3363378274176986E-3</v>
      </c>
      <c r="L225">
        <f t="shared" si="31"/>
        <v>2.0082032435445099</v>
      </c>
      <c r="M225">
        <f t="shared" si="32"/>
        <v>0.99877201739518995</v>
      </c>
      <c r="N225">
        <f t="shared" si="33"/>
        <v>3.5021060285673603E-2</v>
      </c>
    </row>
    <row r="226" spans="7:14" x14ac:dyDescent="0.25">
      <c r="G226">
        <v>1.46</v>
      </c>
      <c r="H226">
        <f t="shared" si="28"/>
        <v>297.05524482204049</v>
      </c>
      <c r="I226" t="str">
        <f t="shared" si="23"/>
        <v>1866.45314968648j</v>
      </c>
      <c r="J226" t="str">
        <f t="shared" si="29"/>
        <v>0.998879945532929+0.0334484670061474j</v>
      </c>
      <c r="K226">
        <f t="shared" si="30"/>
        <v>-4.8670609405802919E-3</v>
      </c>
      <c r="L226">
        <f t="shared" si="31"/>
        <v>1.9178882975219069</v>
      </c>
      <c r="M226">
        <f t="shared" si="32"/>
        <v>0.99887994553292903</v>
      </c>
      <c r="N226">
        <f t="shared" si="33"/>
        <v>3.3448467006147398E-2</v>
      </c>
    </row>
    <row r="227" spans="7:14" x14ac:dyDescent="0.25">
      <c r="G227">
        <v>1.48</v>
      </c>
      <c r="H227">
        <f t="shared" si="28"/>
        <v>311.05502720140771</v>
      </c>
      <c r="I227" t="str">
        <f t="shared" si="23"/>
        <v>1954.41637663623j</v>
      </c>
      <c r="J227" t="str">
        <f t="shared" si="29"/>
        <v>0.998978397503727+0.0319461863860569j</v>
      </c>
      <c r="K227">
        <f t="shared" si="30"/>
        <v>-4.4390311172046275E-3</v>
      </c>
      <c r="L227">
        <f t="shared" si="31"/>
        <v>1.8316292861644654</v>
      </c>
      <c r="M227">
        <f t="shared" si="32"/>
        <v>0.99897839750372697</v>
      </c>
      <c r="N227">
        <f t="shared" si="33"/>
        <v>3.1946186386056903E-2</v>
      </c>
    </row>
    <row r="228" spans="7:14" x14ac:dyDescent="0.25">
      <c r="G228">
        <v>1.5</v>
      </c>
      <c r="H228">
        <f t="shared" si="28"/>
        <v>325.71459899734322</v>
      </c>
      <c r="I228" t="str">
        <f t="shared" si="23"/>
        <v>2046.525182754j</v>
      </c>
      <c r="J228" t="str">
        <f t="shared" si="29"/>
        <v>0.999068203690766+0.0305111137927193j</v>
      </c>
      <c r="K228">
        <f t="shared" si="30"/>
        <v>-4.0486264942637849E-3</v>
      </c>
      <c r="L228">
        <f t="shared" si="31"/>
        <v>1.7492448102001574</v>
      </c>
      <c r="M228">
        <f t="shared" si="32"/>
        <v>0.99906820369076599</v>
      </c>
      <c r="N228">
        <f t="shared" si="33"/>
        <v>3.0511113792719299E-2</v>
      </c>
    </row>
    <row r="229" spans="7:14" x14ac:dyDescent="0.25">
      <c r="G229">
        <v>1.52</v>
      </c>
      <c r="H229">
        <f t="shared" si="28"/>
        <v>341.06505512706906</v>
      </c>
      <c r="I229" t="str">
        <f t="shared" si="23"/>
        <v>2142.9749431668j</v>
      </c>
      <c r="J229" t="str">
        <f t="shared" si="29"/>
        <v>0.999150121986129+0.029140276615578j</v>
      </c>
      <c r="K229">
        <f t="shared" si="30"/>
        <v>-3.6925426449091279E-3</v>
      </c>
      <c r="L229">
        <f t="shared" si="31"/>
        <v>1.6705614868685341</v>
      </c>
      <c r="M229">
        <f t="shared" si="32"/>
        <v>0.99915012198612896</v>
      </c>
      <c r="N229">
        <f t="shared" si="33"/>
        <v>2.9140276615578001E-2</v>
      </c>
    </row>
    <row r="230" spans="7:14" x14ac:dyDescent="0.25">
      <c r="G230">
        <v>1.54</v>
      </c>
      <c r="H230">
        <f t="shared" si="28"/>
        <v>357.1389559661078</v>
      </c>
      <c r="I230" t="str">
        <f t="shared" si="23"/>
        <v>2243.97024074771j</v>
      </c>
      <c r="J230" t="str">
        <f t="shared" si="29"/>
        <v>0.999224844073018+0.0278308293133844j</v>
      </c>
      <c r="K230">
        <f t="shared" si="30"/>
        <v>-3.3677648571715573E-3</v>
      </c>
      <c r="L230">
        <f t="shared" si="31"/>
        <v>1.5954136081252246</v>
      </c>
      <c r="M230">
        <f t="shared" si="32"/>
        <v>0.99922484407301804</v>
      </c>
      <c r="N230">
        <f t="shared" si="33"/>
        <v>2.78308293133844E-2</v>
      </c>
    </row>
    <row r="231" spans="7:14" x14ac:dyDescent="0.25">
      <c r="G231">
        <v>1.56</v>
      </c>
      <c r="H231">
        <f t="shared" si="28"/>
        <v>373.97039641320464</v>
      </c>
      <c r="I231" t="str">
        <f t="shared" si="23"/>
        <v>2349.72530006357j</v>
      </c>
      <c r="J231" t="str">
        <f t="shared" si="29"/>
        <v>0.999293001171321+0.0265800485578114j</v>
      </c>
      <c r="K231">
        <f t="shared" si="30"/>
        <v>-3.0715428166449795E-3</v>
      </c>
      <c r="L231">
        <f t="shared" si="31"/>
        <v>1.5236428117904752</v>
      </c>
      <c r="M231">
        <f t="shared" si="32"/>
        <v>0.99929300117132103</v>
      </c>
      <c r="N231">
        <f t="shared" si="33"/>
        <v>2.65800485578114E-2</v>
      </c>
    </row>
    <row r="232" spans="7:14" x14ac:dyDescent="0.25">
      <c r="G232">
        <v>1.58</v>
      </c>
      <c r="H232">
        <f t="shared" si="28"/>
        <v>391.59507821017826</v>
      </c>
      <c r="I232" t="str">
        <f t="shared" si="23"/>
        <v>2460.46444177403j</v>
      </c>
      <c r="J232" t="str">
        <f t="shared" si="29"/>
        <v>0.999355169291053+0.0253853284852418j</v>
      </c>
      <c r="K232">
        <f t="shared" si="30"/>
        <v>-2.8013674875668128E-3</v>
      </c>
      <c r="L232">
        <f t="shared" si="31"/>
        <v>1.4550977653711299</v>
      </c>
      <c r="M232">
        <f t="shared" si="32"/>
        <v>0.99935516929105295</v>
      </c>
      <c r="N232">
        <f t="shared" si="33"/>
        <v>2.53853284852418E-2</v>
      </c>
    </row>
    <row r="233" spans="7:14" x14ac:dyDescent="0.25">
      <c r="G233">
        <v>1.6</v>
      </c>
      <c r="H233">
        <f t="shared" si="28"/>
        <v>410.05038567010251</v>
      </c>
      <c r="I233" t="str">
        <f t="shared" si="23"/>
        <v>2576.42255844571j</v>
      </c>
      <c r="J233" t="str">
        <f t="shared" si="29"/>
        <v>0.999411874034734+0.0242441760659219j</v>
      </c>
      <c r="K233">
        <f t="shared" si="30"/>
        <v>-2.5549500036750111E-3</v>
      </c>
      <c r="L233">
        <f t="shared" si="31"/>
        <v>1.3896338622580895</v>
      </c>
      <c r="M233">
        <f t="shared" si="32"/>
        <v>0.99941187403473397</v>
      </c>
      <c r="N233">
        <f t="shared" si="33"/>
        <v>2.4244176065921899E-2</v>
      </c>
    </row>
    <row r="234" spans="7:14" x14ac:dyDescent="0.25">
      <c r="G234">
        <v>1.62</v>
      </c>
      <c r="H234">
        <f t="shared" si="28"/>
        <v>429.37546497444572</v>
      </c>
      <c r="I234" t="str">
        <f t="shared" si="23"/>
        <v>2697.84561279084j</v>
      </c>
      <c r="J234" t="str">
        <f t="shared" si="29"/>
        <v>0.999463594986503+0.0231542065974772j</v>
      </c>
      <c r="K234">
        <f t="shared" si="30"/>
        <v>-2.3302023962813523E-3</v>
      </c>
      <c r="L234">
        <f t="shared" si="31"/>
        <v>1.3271129299797746</v>
      </c>
      <c r="M234">
        <f t="shared" si="32"/>
        <v>0.99946359498650295</v>
      </c>
      <c r="N234">
        <f t="shared" si="33"/>
        <v>2.31542065974772E-2</v>
      </c>
    </row>
    <row r="235" spans="7:14" x14ac:dyDescent="0.25">
      <c r="G235">
        <v>1.64</v>
      </c>
      <c r="H235">
        <f t="shared" si="28"/>
        <v>449.61130720737111</v>
      </c>
      <c r="I235" t="str">
        <f t="shared" si="23"/>
        <v>2824.99115938716j</v>
      </c>
      <c r="J235" t="str">
        <f t="shared" si="29"/>
        <v>0.9995107697228+0.0221131393279216j</v>
      </c>
      <c r="K235">
        <f t="shared" si="30"/>
        <v>-2.125220001062916E-3</v>
      </c>
      <c r="L235">
        <f t="shared" si="31"/>
        <v>1.2674029501763227</v>
      </c>
      <c r="M235">
        <f t="shared" si="32"/>
        <v>0.99951076972279995</v>
      </c>
      <c r="N235">
        <f t="shared" si="33"/>
        <v>2.21131393279216E-2</v>
      </c>
    </row>
    <row r="236" spans="7:14" x14ac:dyDescent="0.25">
      <c r="G236">
        <v>1.66</v>
      </c>
      <c r="H236">
        <f t="shared" si="28"/>
        <v>470.80083530332138</v>
      </c>
      <c r="I236" t="str">
        <f t="shared" si="23"/>
        <v>2958.12889098571j</v>
      </c>
      <c r="J236" t="str">
        <f t="shared" si="29"/>
        <v>0.999553797476589+0.0211187932117014j</v>
      </c>
      <c r="K236">
        <f t="shared" si="30"/>
        <v>-1.9382653989093264E-3</v>
      </c>
      <c r="L236">
        <f t="shared" si="31"/>
        <v>1.2103777899479875</v>
      </c>
      <c r="M236">
        <f t="shared" si="32"/>
        <v>0.99955379747658901</v>
      </c>
      <c r="N236">
        <f t="shared" si="33"/>
        <v>2.11187932117014E-2</v>
      </c>
    </row>
    <row r="237" spans="7:14" x14ac:dyDescent="0.25">
      <c r="G237">
        <v>1.68</v>
      </c>
      <c r="H237">
        <f t="shared" si="28"/>
        <v>492.98899509231774</v>
      </c>
      <c r="I237" t="str">
        <f t="shared" si="23"/>
        <v>3097.54121056528j</v>
      </c>
      <c r="J237" t="str">
        <f t="shared" si="29"/>
        <v>0.999593042484548+0.0201690828009623j</v>
      </c>
      <c r="K237">
        <f t="shared" si="30"/>
        <v>-1.7677537580403386E-3</v>
      </c>
      <c r="L237">
        <f t="shared" si="31"/>
        <v>1.1559169442233745</v>
      </c>
      <c r="M237">
        <f t="shared" si="32"/>
        <v>0.99959304248454806</v>
      </c>
      <c r="N237">
        <f t="shared" si="33"/>
        <v>2.0169082800962301E-2</v>
      </c>
    </row>
    <row r="238" spans="7:14" x14ac:dyDescent="0.25">
      <c r="G238">
        <v>1.7</v>
      </c>
      <c r="H238">
        <f t="shared" si="28"/>
        <v>516.22285063609058</v>
      </c>
      <c r="I238" t="str">
        <f t="shared" si="23"/>
        <v>3243.52383034705j</v>
      </c>
      <c r="J238" t="str">
        <f t="shared" si="29"/>
        <v>0.999628837044203+0.0192620142730932j</v>
      </c>
      <c r="K238">
        <f t="shared" si="30"/>
        <v>-1.6122394561897957E-3</v>
      </c>
      <c r="L238">
        <f t="shared" si="31"/>
        <v>1.1039052887891989</v>
      </c>
      <c r="M238">
        <f t="shared" si="32"/>
        <v>0.99962883704420302</v>
      </c>
      <c r="N238">
        <f t="shared" si="33"/>
        <v>1.9262014273093198E-2</v>
      </c>
    </row>
    <row r="239" spans="7:14" x14ac:dyDescent="0.25">
      <c r="G239">
        <v>1.72</v>
      </c>
      <c r="H239">
        <f t="shared" si="28"/>
        <v>540.55168405726613</v>
      </c>
      <c r="I239" t="str">
        <f t="shared" si="23"/>
        <v>3396.3863990398j</v>
      </c>
      <c r="J239" t="str">
        <f t="shared" si="29"/>
        <v>0.999661484305793+0.0183956815946429j</v>
      </c>
      <c r="K239">
        <f t="shared" si="30"/>
        <v>-1.4704038717555006E-3</v>
      </c>
      <c r="L239">
        <f t="shared" si="31"/>
        <v>1.0542328436216515</v>
      </c>
      <c r="M239">
        <f t="shared" si="32"/>
        <v>0.99966148430579305</v>
      </c>
      <c r="N239">
        <f t="shared" si="33"/>
        <v>1.8395681594642901E-2</v>
      </c>
    </row>
    <row r="240" spans="7:14" x14ac:dyDescent="0.25">
      <c r="G240">
        <v>1.74</v>
      </c>
      <c r="H240">
        <f t="shared" si="28"/>
        <v>566.02710007335349</v>
      </c>
      <c r="I240" t="str">
        <f t="shared" si="23"/>
        <v>3556.45315864636j</v>
      </c>
      <c r="J240" t="str">
        <f t="shared" si="29"/>
        <v>0.999691260821575+0.0175682628209082j</v>
      </c>
      <c r="K240">
        <f t="shared" si="30"/>
        <v>-1.3410442424778733E-3</v>
      </c>
      <c r="L240">
        <f t="shared" si="31"/>
        <v>1.0067945461603562</v>
      </c>
      <c r="M240">
        <f t="shared" si="32"/>
        <v>0.999691260821575</v>
      </c>
      <c r="N240">
        <f t="shared" si="33"/>
        <v>1.75682628209082E-2</v>
      </c>
    </row>
    <row r="241" spans="7:14" x14ac:dyDescent="0.25">
      <c r="G241">
        <v>1.76</v>
      </c>
      <c r="H241">
        <f t="shared" si="28"/>
        <v>592.70313545727174</v>
      </c>
      <c r="I241" t="str">
        <f t="shared" si="23"/>
        <v>3724.0636322244j</v>
      </c>
      <c r="J241" t="str">
        <f t="shared" si="29"/>
        <v>0.999718418873394+0.0167780165298266j</v>
      </c>
      <c r="K241">
        <f t="shared" si="30"/>
        <v>-1.2230634988131615E-3</v>
      </c>
      <c r="L241">
        <f t="shared" si="31"/>
        <v>0.96149003416847012</v>
      </c>
      <c r="M241">
        <f t="shared" si="32"/>
        <v>0.99971841887339397</v>
      </c>
      <c r="N241">
        <f t="shared" si="33"/>
        <v>1.6778016529826599E-2</v>
      </c>
    </row>
    <row r="242" spans="7:14" x14ac:dyDescent="0.25">
      <c r="G242">
        <v>1.78</v>
      </c>
      <c r="H242">
        <f t="shared" si="28"/>
        <v>620.63637365658906</v>
      </c>
      <c r="I242" t="str">
        <f t="shared" si="23"/>
        <v>3899.5733440603j</v>
      </c>
      <c r="J242" t="str">
        <f t="shared" si="29"/>
        <v>0.999743188597596+0.0160232783882686j</v>
      </c>
      <c r="K242">
        <f t="shared" si="30"/>
        <v>-1.1154609872179185E-3</v>
      </c>
      <c r="L242">
        <f t="shared" si="31"/>
        <v>0.91822343782715976</v>
      </c>
      <c r="M242">
        <f t="shared" si="32"/>
        <v>0.99974318859759603</v>
      </c>
      <c r="N242">
        <f t="shared" si="33"/>
        <v>1.60232783882686E-2</v>
      </c>
    </row>
    <row r="243" spans="7:14" x14ac:dyDescent="0.25">
      <c r="G243">
        <v>1.8</v>
      </c>
      <c r="H243">
        <f t="shared" si="28"/>
        <v>649.88606481459954</v>
      </c>
      <c r="I243" t="str">
        <f t="shared" si="23"/>
        <v>4083.35457378385j</v>
      </c>
      <c r="J243" t="str">
        <f t="shared" si="29"/>
        <v>0.999765779924755+0.0153024578483751j</v>
      </c>
      <c r="K243">
        <f t="shared" si="30"/>
        <v>-1.0173240058029334E-3</v>
      </c>
      <c r="L243">
        <f t="shared" si="31"/>
        <v>0.87690318071795481</v>
      </c>
      <c r="M243">
        <f t="shared" si="32"/>
        <v>0.99976577992475502</v>
      </c>
      <c r="N243">
        <f t="shared" si="33"/>
        <v>1.53024578483751E-2</v>
      </c>
    </row>
    <row r="244" spans="7:14" x14ac:dyDescent="0.25">
      <c r="G244">
        <v>1.82</v>
      </c>
      <c r="H244">
        <f t="shared" si="28"/>
        <v>680.51425144782422</v>
      </c>
      <c r="I244" t="str">
        <f t="shared" si="23"/>
        <v>4275.79714602328j</v>
      </c>
      <c r="J244" t="str">
        <f t="shared" si="29"/>
        <v>0.999786384350214+0.0146140349712344j</v>
      </c>
      <c r="K244">
        <f t="shared" si="30"/>
        <v>-9.2782008147407661E-4</v>
      </c>
      <c r="L244">
        <f t="shared" si="31"/>
        <v>0.83744178935344615</v>
      </c>
      <c r="M244">
        <f t="shared" si="32"/>
        <v>0.99978638435021405</v>
      </c>
      <c r="N244">
        <f t="shared" si="33"/>
        <v>1.46140349712344E-2</v>
      </c>
    </row>
    <row r="245" spans="7:14" x14ac:dyDescent="0.25">
      <c r="G245">
        <v>1.84</v>
      </c>
      <c r="H245">
        <f t="shared" si="28"/>
        <v>712.58590004650466</v>
      </c>
      <c r="I245" t="str">
        <f t="shared" si="23"/>
        <v>4477.30925727554j</v>
      </c>
      <c r="J245" t="str">
        <f t="shared" si="29"/>
        <v>0.999805176550064+0.0139565573749094j</v>
      </c>
      <c r="K245">
        <f t="shared" si="30"/>
        <v>-8.4618992402450471E-4</v>
      </c>
      <c r="L245">
        <f t="shared" si="31"/>
        <v>0.79975571092416309</v>
      </c>
      <c r="M245">
        <f t="shared" si="32"/>
        <v>0.99980517655006396</v>
      </c>
      <c r="N245">
        <f t="shared" si="33"/>
        <v>1.39565573749094E-2</v>
      </c>
    </row>
    <row r="246" spans="7:14" x14ac:dyDescent="0.25">
      <c r="G246">
        <v>1.86</v>
      </c>
      <c r="H246">
        <f t="shared" si="28"/>
        <v>746.1690388772405</v>
      </c>
      <c r="I246" t="str">
        <f t="shared" si="23"/>
        <v>4688.31834174579j</v>
      </c>
      <c r="J246" t="str">
        <f t="shared" si="29"/>
        <v>0.999822315855974+0.0133286373036114j</v>
      </c>
      <c r="K246">
        <f t="shared" si="30"/>
        <v>-7.7174099781994465E-4</v>
      </c>
      <c r="L246">
        <f t="shared" si="31"/>
        <v>0.76376513893778397</v>
      </c>
      <c r="M246">
        <f t="shared" si="32"/>
        <v>0.99982231585597403</v>
      </c>
      <c r="N246">
        <f t="shared" si="33"/>
        <v>1.3328637303611401E-2</v>
      </c>
    </row>
    <row r="247" spans="7:14" x14ac:dyDescent="0.25">
      <c r="G247">
        <v>1.88</v>
      </c>
      <c r="H247">
        <f t="shared" si="28"/>
        <v>781.33490228005917</v>
      </c>
      <c r="I247" t="str">
        <f t="shared" si="23"/>
        <v>4909.27197799267j</v>
      </c>
      <c r="J247" t="str">
        <f t="shared" si="29"/>
        <v>0.999837947601094+0.0127289488146508j</v>
      </c>
      <c r="K247">
        <f t="shared" si="30"/>
        <v>-7.0384165739607624E-4</v>
      </c>
      <c r="L247">
        <f t="shared" si="31"/>
        <v>0.72939384643534655</v>
      </c>
      <c r="M247">
        <f t="shared" si="32"/>
        <v>0.99983794760109401</v>
      </c>
      <c r="N247">
        <f t="shared" si="33"/>
        <v>1.27289488146508E-2</v>
      </c>
    </row>
    <row r="248" spans="7:14" x14ac:dyDescent="0.25">
      <c r="G248">
        <v>1.9</v>
      </c>
      <c r="H248">
        <f t="shared" si="28"/>
        <v>818.15808176601047</v>
      </c>
      <c r="I248" t="str">
        <f t="shared" si="23"/>
        <v>5140.63883830243j</v>
      </c>
      <c r="J248" t="str">
        <f t="shared" si="29"/>
        <v>0.999852204348257+0.0121562250796833j</v>
      </c>
      <c r="K248">
        <f t="shared" si="30"/>
        <v>-6.4191579736557597E-4</v>
      </c>
      <c r="L248">
        <f t="shared" si="31"/>
        <v>0.69656902647835894</v>
      </c>
      <c r="M248">
        <f t="shared" si="32"/>
        <v>0.99985220434825695</v>
      </c>
      <c r="N248">
        <f t="shared" si="33"/>
        <v>1.21562250796833E-2</v>
      </c>
    </row>
    <row r="249" spans="7:14" x14ac:dyDescent="0.25">
      <c r="G249">
        <v>1.92</v>
      </c>
      <c r="H249">
        <f t="shared" si="28"/>
        <v>856.71668423575147</v>
      </c>
      <c r="I249" t="str">
        <f t="shared" si="23"/>
        <v>5382.90968280569j</v>
      </c>
      <c r="J249" t="str">
        <f t="shared" si="29"/>
        <v>0.999865207010697+0.0116092557966896j</v>
      </c>
      <c r="K249">
        <f t="shared" si="30"/>
        <v>-5.8543797188876593E-4</v>
      </c>
      <c r="L249">
        <f t="shared" si="31"/>
        <v>0.66522113960982865</v>
      </c>
      <c r="M249">
        <f t="shared" si="32"/>
        <v>0.99986520701069703</v>
      </c>
      <c r="N249">
        <f t="shared" si="33"/>
        <v>1.16092557966896E-2</v>
      </c>
    </row>
    <row r="250" spans="7:14" x14ac:dyDescent="0.25">
      <c r="G250">
        <v>1.94</v>
      </c>
      <c r="H250">
        <f t="shared" si="28"/>
        <v>897.09249765476318</v>
      </c>
      <c r="I250" t="str">
        <f t="shared" si="23"/>
        <v>5636.59840044545j</v>
      </c>
      <c r="J250" t="str">
        <f t="shared" si="29"/>
        <v>0.999877065874648+0.0110868847090875j</v>
      </c>
      <c r="K250">
        <f t="shared" si="30"/>
        <v>-5.3392894249837679E-4</v>
      </c>
      <c r="L250">
        <f t="shared" si="31"/>
        <v>0.6352837680018858</v>
      </c>
      <c r="M250">
        <f t="shared" si="32"/>
        <v>0.99987706587464797</v>
      </c>
      <c r="N250">
        <f t="shared" si="33"/>
        <v>1.10868847090875E-2</v>
      </c>
    </row>
    <row r="251" spans="7:14" x14ac:dyDescent="0.25">
      <c r="G251">
        <v>1.96</v>
      </c>
      <c r="H251">
        <f t="shared" si="28"/>
        <v>939.37116453658712</v>
      </c>
      <c r="I251" t="str">
        <f t="shared" si="23"/>
        <v>5902.24309900446j</v>
      </c>
      <c r="J251" t="str">
        <f t="shared" si="29"/>
        <v>0.999887881532382+0.010588007228356j</v>
      </c>
      <c r="K251">
        <f t="shared" si="30"/>
        <v>-4.8695161670200262E-4</v>
      </c>
      <c r="L251">
        <f t="shared" si="31"/>
        <v>0.60669347601198154</v>
      </c>
      <c r="M251">
        <f t="shared" si="32"/>
        <v>0.99988788153238195</v>
      </c>
      <c r="N251">
        <f t="shared" si="33"/>
        <v>1.0588007228356001E-2</v>
      </c>
    </row>
    <row r="252" spans="7:14" x14ac:dyDescent="0.25">
      <c r="G252">
        <v>1.98</v>
      </c>
      <c r="H252">
        <f t="shared" si="28"/>
        <v>983.64236360207974</v>
      </c>
      <c r="I252" t="str">
        <f t="shared" si="23"/>
        <v>6180.40724650399j</v>
      </c>
      <c r="J252" t="str">
        <f t="shared" si="29"/>
        <v>0.99989774573348+0.0101115681565633j</v>
      </c>
      <c r="K252">
        <f t="shared" si="30"/>
        <v>-4.4410734333055887E-4</v>
      </c>
      <c r="L252">
        <f t="shared" si="31"/>
        <v>0.57938967687943477</v>
      </c>
      <c r="M252">
        <f t="shared" si="32"/>
        <v>0.99989774573348</v>
      </c>
      <c r="N252">
        <f t="shared" si="33"/>
        <v>1.01115681565633E-2</v>
      </c>
    </row>
    <row r="253" spans="7:14" x14ac:dyDescent="0.25">
      <c r="G253">
        <v>2</v>
      </c>
      <c r="H253">
        <f t="shared" si="28"/>
        <v>1030</v>
      </c>
      <c r="I253" t="str">
        <f t="shared" si="23"/>
        <v>6471.68086639497j</v>
      </c>
      <c r="J253" t="str">
        <f t="shared" si="29"/>
        <v>0.999906742161498+0.00965655950521329j</v>
      </c>
      <c r="K253">
        <f t="shared" si="30"/>
        <v>-4.0503253307868449E-4</v>
      </c>
      <c r="L253">
        <f t="shared" si="31"/>
        <v>0.55331450530328008</v>
      </c>
      <c r="M253">
        <f t="shared" si="32"/>
        <v>0.999906742161498</v>
      </c>
      <c r="N253">
        <f t="shared" si="33"/>
        <v>9.6565595052132899E-3</v>
      </c>
    </row>
    <row r="254" spans="7:14" x14ac:dyDescent="0.25">
      <c r="G254">
        <v>2.02</v>
      </c>
      <c r="H254">
        <f t="shared" si="28"/>
        <v>1078.5424044924268</v>
      </c>
      <c r="I254" t="str">
        <f t="shared" si="23"/>
        <v>6776.68178907696j</v>
      </c>
      <c r="J254" t="str">
        <f t="shared" si="29"/>
        <v>0.999914947142515+0.00922201840687575j</v>
      </c>
      <c r="K254">
        <f t="shared" ref="K254:K303" si="34">20*LOG(IMABS(J254))</f>
        <v>-3.6939557605507182E-4</v>
      </c>
      <c r="L254">
        <f t="shared" ref="L254:L303" si="35">DEGREES(IMARGUMENT(J254))</f>
        <v>0.52841269565219828</v>
      </c>
      <c r="M254">
        <f t="shared" ref="M254:M303" si="36">IMREAL(J254)</f>
        <v>0.99991494714251505</v>
      </c>
      <c r="N254">
        <f t="shared" ref="N254:N303" si="37">IMAGINARY(J254)</f>
        <v>9.2220184068757503E-3</v>
      </c>
    </row>
    <row r="255" spans="7:14" x14ac:dyDescent="0.25">
      <c r="G255">
        <v>2.04</v>
      </c>
      <c r="H255">
        <f t="shared" si="28"/>
        <v>1129.3725420274818</v>
      </c>
      <c r="I255" t="str">
        <f t="shared" si="23"/>
        <v>7096.05696239913j</v>
      </c>
      <c r="J255" t="str">
        <f t="shared" si="29"/>
        <v>0.999922430291544+0.00880702511611355j</v>
      </c>
      <c r="K255">
        <f t="shared" si="34"/>
        <v>-3.3689403000920017E-4</v>
      </c>
      <c r="L255">
        <f t="shared" si="35"/>
        <v>0.5046314655660401</v>
      </c>
      <c r="M255">
        <f t="shared" si="36"/>
        <v>0.99992243029154404</v>
      </c>
      <c r="N255">
        <f t="shared" si="37"/>
        <v>8.8070251161135506E-3</v>
      </c>
    </row>
    <row r="256" spans="7:14" x14ac:dyDescent="0.25">
      <c r="G256">
        <v>2.06</v>
      </c>
      <c r="H256">
        <f t="shared" si="28"/>
        <v>1182.5982301417901</v>
      </c>
      <c r="I256" t="str">
        <f t="shared" si="23"/>
        <v>7430.48382392348j</v>
      </c>
      <c r="J256" t="str">
        <f t="shared" si="29"/>
        <v>0.999929255102228+0.00841070109629683j</v>
      </c>
      <c r="K256">
        <f t="shared" si="34"/>
        <v>-3.0725205563941657E-4</v>
      </c>
      <c r="L256">
        <f t="shared" si="35"/>
        <v>0.48192040471810837</v>
      </c>
      <c r="M256">
        <f t="shared" si="36"/>
        <v>0.99992925510222797</v>
      </c>
      <c r="N256">
        <f t="shared" si="37"/>
        <v>8.4107010962968295E-3</v>
      </c>
    </row>
    <row r="257" spans="7:14" x14ac:dyDescent="0.25">
      <c r="G257">
        <v>2.08</v>
      </c>
      <c r="H257">
        <f t="shared" si="28"/>
        <v>1238.332367655936</v>
      </c>
      <c r="I257" t="str">
        <f t="shared" si="23"/>
        <v>7780.67173786069j</v>
      </c>
      <c r="J257" t="str">
        <f t="shared" si="29"/>
        <v>0.999935479484777+0.00803220718896206j</v>
      </c>
      <c r="K257">
        <f t="shared" si="34"/>
        <v>-2.8021807731121965E-4</v>
      </c>
      <c r="L257">
        <f t="shared" si="35"/>
        <v>0.46023136851581764</v>
      </c>
      <c r="M257">
        <f t="shared" si="36"/>
        <v>0.99993547948477701</v>
      </c>
      <c r="N257">
        <f t="shared" si="37"/>
        <v>8.0322071889620608E-3</v>
      </c>
    </row>
    <row r="258" spans="7:14" x14ac:dyDescent="0.25">
      <c r="G258">
        <v>2.1</v>
      </c>
      <c r="H258">
        <f t="shared" si="28"/>
        <v>1296.6931741479927</v>
      </c>
      <c r="I258" t="str">
        <f t="shared" si="23"/>
        <v>8147.36349972673j</v>
      </c>
      <c r="J258" t="str">
        <f t="shared" si="29"/>
        <v>0.999941156256693+0.00767074186246132j</v>
      </c>
      <c r="K258">
        <f t="shared" si="34"/>
        <v>-2.5556264933514829E-4</v>
      </c>
      <c r="L258">
        <f t="shared" si="35"/>
        <v>0.43951837652632014</v>
      </c>
      <c r="M258">
        <f t="shared" si="36"/>
        <v>0.999941156256693</v>
      </c>
      <c r="N258">
        <f t="shared" si="37"/>
        <v>7.6707418624613203E-3</v>
      </c>
    </row>
    <row r="259" spans="7:14" x14ac:dyDescent="0.25">
      <c r="G259">
        <v>2.12</v>
      </c>
      <c r="H259">
        <f t="shared" si="28"/>
        <v>1357.8044407131008</v>
      </c>
      <c r="I259" t="str">
        <f t="shared" si="23"/>
        <v>8531.33691191175j</v>
      </c>
      <c r="J259" t="str">
        <f t="shared" si="29"/>
        <v>0.999946333590412+0.00732553953673319j</v>
      </c>
      <c r="K259">
        <f t="shared" si="34"/>
        <v>-2.3307650972328312E-4</v>
      </c>
      <c r="L259">
        <f t="shared" si="35"/>
        <v>0.41973751542210552</v>
      </c>
      <c r="M259">
        <f t="shared" si="36"/>
        <v>0.99994633359041196</v>
      </c>
      <c r="N259">
        <f t="shared" si="37"/>
        <v>7.3255395367331898E-3</v>
      </c>
    </row>
    <row r="260" spans="7:14" x14ac:dyDescent="0.25">
      <c r="G260">
        <v>2.14</v>
      </c>
      <c r="H260">
        <f t="shared" si="28"/>
        <v>1421.7957925409728</v>
      </c>
      <c r="I260" t="str">
        <f t="shared" ref="I260:I303" si="38">COMPLEX(0,H260*2*PI(),"j")</f>
        <v>8933.4064335032j</v>
      </c>
      <c r="J260" t="str">
        <f t="shared" si="29"/>
        <v>0.999951055421627+0.00699586898111652j</v>
      </c>
      <c r="K260">
        <f t="shared" si="34"/>
        <v>-2.1256880515489984E-4</v>
      </c>
      <c r="L260">
        <f t="shared" si="35"/>
        <v>0.40084684624974348</v>
      </c>
      <c r="M260">
        <f t="shared" si="36"/>
        <v>0.99995105542162699</v>
      </c>
      <c r="N260">
        <f t="shared" si="37"/>
        <v>6.9958689811165202E-3</v>
      </c>
    </row>
    <row r="261" spans="7:14" x14ac:dyDescent="0.25">
      <c r="G261">
        <v>2.16</v>
      </c>
      <c r="H261">
        <f t="shared" si="28"/>
        <v>1488.8029638683065</v>
      </c>
      <c r="I261" t="str">
        <f t="shared" si="38"/>
        <v>9354.42490786276j</v>
      </c>
      <c r="J261" t="str">
        <f t="shared" si="29"/>
        <v>0.999955361821758+0.00668103178222411j</v>
      </c>
      <c r="K261">
        <f t="shared" si="34"/>
        <v>-1.9386547185989365E-4</v>
      </c>
      <c r="L261">
        <f t="shared" si="35"/>
        <v>0.38280631583304986</v>
      </c>
      <c r="M261">
        <f t="shared" si="36"/>
        <v>0.99995536182175804</v>
      </c>
      <c r="N261">
        <f t="shared" si="37"/>
        <v>6.6810317822241097E-3</v>
      </c>
    </row>
    <row r="262" spans="7:14" x14ac:dyDescent="0.25">
      <c r="G262">
        <v>2.1800000000000002</v>
      </c>
      <c r="H262">
        <f t="shared" si="28"/>
        <v>1558.9680858892955</v>
      </c>
      <c r="I262" t="str">
        <f t="shared" si="38"/>
        <v>9795.2853716215j</v>
      </c>
      <c r="J262" t="str">
        <f t="shared" si="29"/>
        <v>0.999959289337696+0.00638036087898685j</v>
      </c>
      <c r="K262">
        <f t="shared" si="34"/>
        <v>-1.768077589378948E-4</v>
      </c>
      <c r="L262">
        <f t="shared" si="35"/>
        <v>0.36557767212962217</v>
      </c>
      <c r="M262">
        <f t="shared" si="36"/>
        <v>0.99995928933769596</v>
      </c>
      <c r="N262">
        <f t="shared" si="37"/>
        <v>6.3803608789868502E-3</v>
      </c>
    </row>
    <row r="263" spans="7:14" x14ac:dyDescent="0.25">
      <c r="G263">
        <v>2.2000000000000002</v>
      </c>
      <c r="H263">
        <f t="shared" si="28"/>
        <v>1632.4399882349489</v>
      </c>
      <c r="I263" t="str">
        <f t="shared" si="38"/>
        <v>10256.9229489302j</v>
      </c>
      <c r="J263" t="str">
        <f t="shared" si="29"/>
        <v>0.999962871301703+0.0060932191620758j</v>
      </c>
      <c r="K263">
        <f t="shared" si="34"/>
        <v>-1.6125088144038657E-4</v>
      </c>
      <c r="L263">
        <f t="shared" si="35"/>
        <v>0.34912438336723006</v>
      </c>
      <c r="M263">
        <f t="shared" si="36"/>
        <v>0.99996287130170303</v>
      </c>
      <c r="N263">
        <f t="shared" si="37"/>
        <v>6.0932191620758002E-3</v>
      </c>
    </row>
    <row r="264" spans="7:14" x14ac:dyDescent="0.25">
      <c r="G264">
        <v>2.2200000000000002</v>
      </c>
      <c r="H264">
        <f t="shared" si="28"/>
        <v>1709.3745146606891</v>
      </c>
      <c r="I264" t="str">
        <f t="shared" si="38"/>
        <v>10740.3168349833j</v>
      </c>
      <c r="J264" t="str">
        <f t="shared" si="29"/>
        <v>0.999966138114077+0.00581899813500492j</v>
      </c>
      <c r="K264">
        <f t="shared" si="34"/>
        <v>-1.4706279196129317E-4</v>
      </c>
      <c r="L264">
        <f t="shared" si="35"/>
        <v>0.33341156079375323</v>
      </c>
      <c r="M264">
        <f t="shared" si="36"/>
        <v>0.99996613811407697</v>
      </c>
      <c r="N264">
        <f t="shared" si="37"/>
        <v>5.8189981350049201E-3</v>
      </c>
    </row>
    <row r="265" spans="7:14" x14ac:dyDescent="0.25">
      <c r="G265">
        <v>2.2400000000000002</v>
      </c>
      <c r="H265">
        <f t="shared" si="28"/>
        <v>1789.9348536118582</v>
      </c>
      <c r="I265" t="str">
        <f t="shared" si="38"/>
        <v>11246.4923730227j</v>
      </c>
      <c r="J265" t="str">
        <f t="shared" si="29"/>
        <v>0.999969117500984+0.00555711663431414j</v>
      </c>
      <c r="K265">
        <f t="shared" si="34"/>
        <v>-1.341230601372466E-4</v>
      </c>
      <c r="L265">
        <f t="shared" si="35"/>
        <v>0.31840588488142296</v>
      </c>
      <c r="M265">
        <f t="shared" si="36"/>
        <v>0.99996911750098405</v>
      </c>
      <c r="N265">
        <f t="shared" si="37"/>
        <v>5.5571166343141402E-3</v>
      </c>
    </row>
    <row r="266" spans="7:14" x14ac:dyDescent="0.25">
      <c r="G266">
        <v>2.2599999999999998</v>
      </c>
      <c r="H266">
        <f t="shared" si="28"/>
        <v>1874.2918843682826</v>
      </c>
      <c r="I266" t="str">
        <f t="shared" si="38"/>
        <v>11776.5232292287j</v>
      </c>
      <c r="J266" t="str">
        <f t="shared" si="29"/>
        <v>0.999971834749617+0.00530701960632437j</v>
      </c>
      <c r="K266">
        <f t="shared" si="34"/>
        <v>-1.2232185084689793E-4</v>
      </c>
      <c r="L266">
        <f t="shared" si="35"/>
        <v>0.30407553483272376</v>
      </c>
      <c r="M266">
        <f t="shared" si="36"/>
        <v>0.99997183474961704</v>
      </c>
      <c r="N266">
        <f t="shared" si="37"/>
        <v>5.3070196063243697E-3</v>
      </c>
    </row>
    <row r="267" spans="7:14" x14ac:dyDescent="0.25">
      <c r="G267">
        <v>2.2799999999999998</v>
      </c>
      <c r="H267">
        <f t="shared" si="28"/>
        <v>1962.6245395021456</v>
      </c>
      <c r="I267" t="str">
        <f t="shared" si="38"/>
        <v>12331.53367011j</v>
      </c>
      <c r="J267" t="str">
        <f t="shared" si="29"/>
        <v>0.999974312922699+0.00506817693805244j</v>
      </c>
      <c r="K267">
        <f t="shared" si="34"/>
        <v>-1.1155899209735424E-4</v>
      </c>
      <c r="L267">
        <f t="shared" si="35"/>
        <v>0.29039012124196772</v>
      </c>
      <c r="M267">
        <f t="shared" si="36"/>
        <v>0.999974312922699</v>
      </c>
      <c r="N267">
        <f t="shared" si="37"/>
        <v>5.0681769380524402E-3</v>
      </c>
    </row>
    <row r="268" spans="7:14" x14ac:dyDescent="0.25">
      <c r="G268">
        <v>2.2999999999999998</v>
      </c>
      <c r="H268">
        <f t="shared" ref="H268:H303" si="39">$B$3*10^G268</f>
        <v>2055.1201844179468</v>
      </c>
      <c r="I268" t="str">
        <f t="shared" si="38"/>
        <v>12912.700947223j</v>
      </c>
      <c r="J268" t="str">
        <f t="shared" ref="J268:J303" si="40">IMDIV(IMPRODUCT(I268,($B$7*$B$4)),IMSUM(1,IMPRODUCT(I268,($B$7*$B$4))))</f>
        <v>0.999976573054121+0.00484008233996339j</v>
      </c>
      <c r="K268">
        <f t="shared" si="34"/>
        <v>-1.0174312499927786E-4</v>
      </c>
      <c r="L268">
        <f t="shared" si="35"/>
        <v>0.27732062177269984</v>
      </c>
      <c r="M268">
        <f t="shared" si="36"/>
        <v>0.99997657305412102</v>
      </c>
      <c r="N268">
        <f t="shared" si="37"/>
        <v>4.8400823399633898E-3</v>
      </c>
    </row>
    <row r="269" spans="7:14" x14ac:dyDescent="0.25">
      <c r="G269">
        <v>2.3199999999999998</v>
      </c>
      <c r="H269">
        <f t="shared" si="39"/>
        <v>2151.9750147796608</v>
      </c>
      <c r="I269" t="str">
        <f t="shared" si="38"/>
        <v>13521.2577942811j</v>
      </c>
      <c r="J269" t="str">
        <f t="shared" si="40"/>
        <v>0.999978634327384+0.00462225227832691j</v>
      </c>
      <c r="K269">
        <f t="shared" si="34"/>
        <v>-9.2790928465001372E-5</v>
      </c>
      <c r="L269">
        <f t="shared" si="35"/>
        <v>0.26483931971707481</v>
      </c>
      <c r="M269">
        <f t="shared" si="36"/>
        <v>0.99997863432738399</v>
      </c>
      <c r="N269">
        <f t="shared" si="37"/>
        <v>4.6222522783269096E-3</v>
      </c>
    </row>
    <row r="270" spans="7:14" x14ac:dyDescent="0.25">
      <c r="G270">
        <v>2.34</v>
      </c>
      <c r="H270">
        <f t="shared" si="39"/>
        <v>2253.3944726680393</v>
      </c>
      <c r="I270" t="str">
        <f t="shared" si="38"/>
        <v>14158.4950419475j</v>
      </c>
      <c r="J270" t="str">
        <f t="shared" si="40"/>
        <v>0.999980514238351+0.0044142249550345j</v>
      </c>
      <c r="K270">
        <f t="shared" si="34"/>
        <v>-8.4626412107992235E-5</v>
      </c>
      <c r="L270">
        <f t="shared" si="35"/>
        <v>0.25291974530925437</v>
      </c>
      <c r="M270">
        <f t="shared" si="36"/>
        <v>0.99998051423835099</v>
      </c>
      <c r="N270">
        <f t="shared" si="37"/>
        <v>4.4142249550344998E-3</v>
      </c>
    </row>
    <row r="271" spans="7:14" x14ac:dyDescent="0.25">
      <c r="G271">
        <v>2.36</v>
      </c>
      <c r="H271">
        <f t="shared" si="39"/>
        <v>2359.5936823508077</v>
      </c>
      <c r="I271" t="str">
        <f t="shared" si="38"/>
        <v>14825.7643558604j</v>
      </c>
      <c r="J271" t="str">
        <f t="shared" si="40"/>
        <v>0.999982228743694+0.00421555933281619j</v>
      </c>
      <c r="K271">
        <f t="shared" si="34"/>
        <v>-7.7180271299336705E-5</v>
      </c>
      <c r="L271">
        <f t="shared" si="35"/>
        <v>0.24153661967025045</v>
      </c>
      <c r="M271">
        <f t="shared" si="36"/>
        <v>0.99998222874369402</v>
      </c>
      <c r="N271">
        <f t="shared" si="37"/>
        <v>4.2155593328161902E-3</v>
      </c>
    </row>
    <row r="272" spans="7:14" x14ac:dyDescent="0.25">
      <c r="G272">
        <v>2.38</v>
      </c>
      <c r="H272">
        <f t="shared" si="39"/>
        <v>2470.7979065900763</v>
      </c>
      <c r="I272" t="str">
        <f t="shared" si="38"/>
        <v>15524.4811036968j</v>
      </c>
      <c r="J272" t="str">
        <f t="shared" si="40"/>
        <v>0.999983792396276+0.00402583420388102j</v>
      </c>
      <c r="K272">
        <f t="shared" si="34"/>
        <v>-7.0389299046493711E-5</v>
      </c>
      <c r="L272">
        <f t="shared" si="35"/>
        <v>0.23066580126711142</v>
      </c>
      <c r="M272">
        <f t="shared" si="36"/>
        <v>0.99998379239627599</v>
      </c>
      <c r="N272">
        <f t="shared" si="37"/>
        <v>4.0258342038810204E-3</v>
      </c>
    </row>
    <row r="273" spans="7:14" x14ac:dyDescent="0.25">
      <c r="G273">
        <v>2.4</v>
      </c>
      <c r="H273">
        <f t="shared" si="39"/>
        <v>2587.2430244548682</v>
      </c>
      <c r="I273" t="str">
        <f t="shared" si="38"/>
        <v>16256.1273573577j</v>
      </c>
      <c r="J273" t="str">
        <f t="shared" si="40"/>
        <v>0.999985218468644+0.00384464730008421j</v>
      </c>
      <c r="K273">
        <f t="shared" si="34"/>
        <v>-6.4195849479806679E-5</v>
      </c>
      <c r="L273">
        <f t="shared" si="35"/>
        <v>0.22028423477435288</v>
      </c>
      <c r="M273">
        <f t="shared" si="36"/>
        <v>0.99998521846864397</v>
      </c>
      <c r="N273">
        <f t="shared" si="37"/>
        <v>3.8446473000842102E-3</v>
      </c>
    </row>
    <row r="274" spans="7:14" x14ac:dyDescent="0.25">
      <c r="G274">
        <v>2.42</v>
      </c>
      <c r="H274">
        <f t="shared" si="39"/>
        <v>2709.1760316522432</v>
      </c>
      <c r="I274" t="str">
        <f t="shared" si="38"/>
        <v>17022.2550366405j</v>
      </c>
      <c r="J274" t="str">
        <f t="shared" si="40"/>
        <v>0.999986519065648+0.00367161444280286j</v>
      </c>
      <c r="K274">
        <f t="shared" si="34"/>
        <v>-5.8547348637357428E-5</v>
      </c>
      <c r="L274">
        <f t="shared" si="35"/>
        <v>0.21036990223050739</v>
      </c>
      <c r="M274">
        <f t="shared" si="36"/>
        <v>0.99998651906564795</v>
      </c>
      <c r="N274">
        <f t="shared" si="37"/>
        <v>3.67161444280286E-3</v>
      </c>
    </row>
    <row r="275" spans="7:14" x14ac:dyDescent="0.25">
      <c r="G275">
        <v>2.44</v>
      </c>
      <c r="H275">
        <f t="shared" si="39"/>
        <v>2836.8555644383136</v>
      </c>
      <c r="I275" t="str">
        <f t="shared" si="38"/>
        <v>17824.4892010695j</v>
      </c>
      <c r="J275" t="str">
        <f t="shared" si="40"/>
        <v>0.999987705227162+0.00350636873077673j</v>
      </c>
      <c r="K275">
        <f t="shared" si="34"/>
        <v>-5.3395848244987732E-5</v>
      </c>
      <c r="L275">
        <f t="shared" si="35"/>
        <v>0.20090177638731829</v>
      </c>
      <c r="M275">
        <f t="shared" si="36"/>
        <v>0.99998770522716196</v>
      </c>
      <c r="N275">
        <f t="shared" si="37"/>
        <v>3.5063687307767301E-3</v>
      </c>
    </row>
    <row r="276" spans="7:14" x14ac:dyDescent="0.25">
      <c r="G276">
        <v>2.46</v>
      </c>
      <c r="H276">
        <f t="shared" si="39"/>
        <v>2970.5524482204055</v>
      </c>
      <c r="I276" t="str">
        <f t="shared" si="38"/>
        <v>18664.5314968648j</v>
      </c>
      <c r="J276" t="str">
        <f t="shared" si="40"/>
        <v>0.999988787021775+0.00334855976424371j</v>
      </c>
      <c r="K276">
        <f t="shared" si="34"/>
        <v>-4.8697618708470699E-5</v>
      </c>
      <c r="L276">
        <f t="shared" si="35"/>
        <v>0.19185977615362559</v>
      </c>
      <c r="M276">
        <f t="shared" si="36"/>
        <v>0.99998878702177496</v>
      </c>
      <c r="N276">
        <f t="shared" si="37"/>
        <v>3.3485597642437101E-3</v>
      </c>
    </row>
    <row r="277" spans="7:14" x14ac:dyDescent="0.25">
      <c r="G277">
        <v>2.48</v>
      </c>
      <c r="H277">
        <f t="shared" si="39"/>
        <v>3110.5502720140776</v>
      </c>
      <c r="I277" t="str">
        <f t="shared" si="38"/>
        <v>19544.1637663623j</v>
      </c>
      <c r="J277" t="str">
        <f t="shared" si="40"/>
        <v>0.999989773632227+0.0031978529037698j</v>
      </c>
      <c r="K277">
        <f t="shared" si="34"/>
        <v>-4.4412778028868593E-5</v>
      </c>
      <c r="L277">
        <f t="shared" si="35"/>
        <v>0.1832247240403099</v>
      </c>
      <c r="M277">
        <f t="shared" si="36"/>
        <v>0.99998977363222696</v>
      </c>
      <c r="N277">
        <f t="shared" si="37"/>
        <v>3.1978529037698E-3</v>
      </c>
    </row>
    <row r="278" spans="7:14" x14ac:dyDescent="0.25">
      <c r="G278">
        <v>2.5</v>
      </c>
      <c r="H278">
        <f t="shared" si="39"/>
        <v>3257.1459899734341</v>
      </c>
      <c r="I278" t="str">
        <f t="shared" si="38"/>
        <v>20465.25182754j</v>
      </c>
      <c r="J278" t="str">
        <f t="shared" si="40"/>
        <v>0.999990673433352+0.00305392856224126j</v>
      </c>
      <c r="K278">
        <f t="shared" si="34"/>
        <v>-4.050495318940391E-5</v>
      </c>
      <c r="L278">
        <f t="shared" si="35"/>
        <v>0.17497830551678492</v>
      </c>
      <c r="M278">
        <f t="shared" si="36"/>
        <v>0.99999067343335202</v>
      </c>
      <c r="N278">
        <f t="shared" si="37"/>
        <v>3.0539285622412601E-3</v>
      </c>
    </row>
    <row r="279" spans="7:14" x14ac:dyDescent="0.25">
      <c r="G279">
        <v>2.52</v>
      </c>
      <c r="H279">
        <f t="shared" si="39"/>
        <v>3410.6505512706913</v>
      </c>
      <c r="I279" t="str">
        <f t="shared" si="38"/>
        <v>21429.749431668j</v>
      </c>
      <c r="J279" t="str">
        <f t="shared" si="40"/>
        <v>0.999991494063143+0.00291648152855149j</v>
      </c>
      <c r="K279">
        <f t="shared" si="34"/>
        <v>-3.6940971510328187E-5</v>
      </c>
      <c r="L279">
        <f t="shared" si="35"/>
        <v>0.1671030301934871</v>
      </c>
      <c r="M279">
        <f t="shared" si="36"/>
        <v>0.99999149406314303</v>
      </c>
      <c r="N279">
        <f t="shared" si="37"/>
        <v>2.9164815285514902E-3</v>
      </c>
    </row>
    <row r="280" spans="7:14" x14ac:dyDescent="0.25">
      <c r="G280">
        <v>2.54</v>
      </c>
      <c r="H280">
        <f t="shared" si="39"/>
        <v>3571.3895596610782</v>
      </c>
      <c r="I280" t="str">
        <f t="shared" si="38"/>
        <v>22439.7024074771j</v>
      </c>
      <c r="J280" t="str">
        <f t="shared" si="40"/>
        <v>0.999992242487581+0.00278522032157826j</v>
      </c>
      <c r="K280">
        <f t="shared" si="34"/>
        <v>-3.369057904800577E-5</v>
      </c>
      <c r="L280">
        <f t="shared" si="35"/>
        <v>0.15958219474859628</v>
      </c>
      <c r="M280">
        <f t="shared" si="36"/>
        <v>0.99999224248758101</v>
      </c>
      <c r="N280">
        <f t="shared" si="37"/>
        <v>2.7852203215782598E-3</v>
      </c>
    </row>
    <row r="281" spans="7:14" x14ac:dyDescent="0.25">
      <c r="G281">
        <v>2.56</v>
      </c>
      <c r="H281">
        <f t="shared" si="39"/>
        <v>3739.7039641320457</v>
      </c>
      <c r="I281" t="str">
        <f t="shared" si="38"/>
        <v>23497.2530006357j</v>
      </c>
      <c r="J281" t="str">
        <f t="shared" si="40"/>
        <v>0.999992925059758+0.00265986657310725j</v>
      </c>
      <c r="K281">
        <f t="shared" si="34"/>
        <v>-3.0726183764540785E-5</v>
      </c>
      <c r="L281">
        <f t="shared" si="35"/>
        <v>0.15239984752085833</v>
      </c>
      <c r="M281">
        <f t="shared" si="36"/>
        <v>0.99999292505975801</v>
      </c>
      <c r="N281">
        <f t="shared" si="37"/>
        <v>2.6598665731072499E-3</v>
      </c>
    </row>
    <row r="282" spans="7:14" x14ac:dyDescent="0.25">
      <c r="G282">
        <v>2.58</v>
      </c>
      <c r="H282">
        <f t="shared" si="39"/>
        <v>3915.9507821017851</v>
      </c>
      <c r="I282" t="str">
        <f t="shared" si="38"/>
        <v>24604.6444177403j</v>
      </c>
      <c r="J282" t="str">
        <f t="shared" si="40"/>
        <v>0.999993547573795+0.00254015443841566j</v>
      </c>
      <c r="K282">
        <f t="shared" si="34"/>
        <v>-2.8022621364123329E-5</v>
      </c>
      <c r="L282">
        <f t="shared" si="35"/>
        <v>0.14554075469383271</v>
      </c>
      <c r="M282">
        <f t="shared" si="36"/>
        <v>0.99999354757379499</v>
      </c>
      <c r="N282">
        <f t="shared" si="37"/>
        <v>2.5401544384156599E-3</v>
      </c>
    </row>
    <row r="283" spans="7:14" x14ac:dyDescent="0.25">
      <c r="G283">
        <v>2.6</v>
      </c>
      <c r="H283">
        <f t="shared" si="39"/>
        <v>4100.5038567010261</v>
      </c>
      <c r="I283" t="str">
        <f t="shared" si="38"/>
        <v>25764.2255844571j</v>
      </c>
      <c r="J283" t="str">
        <f t="shared" si="40"/>
        <v>0.99999411531402+0.00242583003328579j</v>
      </c>
      <c r="K283">
        <f t="shared" si="34"/>
        <v>-2.5556941684661066E-5</v>
      </c>
      <c r="L283">
        <f t="shared" si="35"/>
        <v>0.13899036800023021</v>
      </c>
      <c r="M283">
        <f t="shared" si="36"/>
        <v>0.99999411531402005</v>
      </c>
      <c r="N283">
        <f t="shared" si="37"/>
        <v>2.4258300332857898E-3</v>
      </c>
    </row>
    <row r="284" spans="7:14" x14ac:dyDescent="0.25">
      <c r="G284">
        <v>2.62</v>
      </c>
      <c r="H284">
        <f t="shared" si="39"/>
        <v>4293.7546497444582</v>
      </c>
      <c r="I284" t="str">
        <f t="shared" si="38"/>
        <v>26978.4561279084j</v>
      </c>
      <c r="J284" t="str">
        <f t="shared" si="40"/>
        <v>0.999994633099821+0.00231665089627145j</v>
      </c>
      <c r="K284">
        <f t="shared" si="34"/>
        <v>-2.3308213873757972E-5</v>
      </c>
      <c r="L284">
        <f t="shared" si="35"/>
        <v>0.13273479387815273</v>
      </c>
      <c r="M284">
        <f t="shared" si="36"/>
        <v>0.99999463309982095</v>
      </c>
      <c r="N284">
        <f t="shared" si="37"/>
        <v>2.3166508962714498E-3</v>
      </c>
    </row>
    <row r="285" spans="7:14" x14ac:dyDescent="0.25">
      <c r="G285">
        <v>2.64</v>
      </c>
      <c r="H285">
        <f t="shared" si="39"/>
        <v>4496.1130720737119</v>
      </c>
      <c r="I285" t="str">
        <f t="shared" si="38"/>
        <v>28249.9115938716j</v>
      </c>
      <c r="J285" t="str">
        <f t="shared" si="40"/>
        <v>0.999995105326552+0.00221238547509182j</v>
      </c>
      <c r="K285">
        <f t="shared" si="34"/>
        <v>-2.1257348715109479E-5</v>
      </c>
      <c r="L285">
        <f t="shared" si="35"/>
        <v>0.12676076401410732</v>
      </c>
      <c r="M285">
        <f t="shared" si="36"/>
        <v>0.999995105326552</v>
      </c>
      <c r="N285">
        <f t="shared" si="37"/>
        <v>2.2123854750918199E-3</v>
      </c>
    </row>
    <row r="286" spans="7:14" x14ac:dyDescent="0.25">
      <c r="G286">
        <v>2.66</v>
      </c>
      <c r="H286">
        <f t="shared" si="39"/>
        <v>4708.0083530332195</v>
      </c>
      <c r="I286" t="str">
        <f t="shared" si="38"/>
        <v>29581.2889098571j</v>
      </c>
      <c r="J286" t="str">
        <f t="shared" si="40"/>
        <v>0.999995536002838+0.00211281263607655j</v>
      </c>
      <c r="K286">
        <f t="shared" si="34"/>
        <v>-1.9386936617057089E-5</v>
      </c>
      <c r="L286">
        <f t="shared" si="35"/>
        <v>0.12105560721056867</v>
      </c>
      <c r="M286">
        <f t="shared" si="36"/>
        <v>0.99999553600283797</v>
      </c>
      <c r="N286">
        <f t="shared" si="37"/>
        <v>2.1128126360765499E-3</v>
      </c>
    </row>
    <row r="287" spans="7:14" x14ac:dyDescent="0.25">
      <c r="G287">
        <v>2.68</v>
      </c>
      <c r="H287">
        <f t="shared" si="39"/>
        <v>4929.8899509231805</v>
      </c>
      <c r="I287" t="str">
        <f t="shared" si="38"/>
        <v>30975.4121056528j</v>
      </c>
      <c r="J287" t="str">
        <f t="shared" si="40"/>
        <v>0.999995928784602+0.00201772119563284j</v>
      </c>
      <c r="K287">
        <f t="shared" si="34"/>
        <v>-1.7681099811740218E-5</v>
      </c>
      <c r="L287">
        <f t="shared" si="35"/>
        <v>0.1156072225186253</v>
      </c>
      <c r="M287">
        <f t="shared" si="36"/>
        <v>0.99999592878460197</v>
      </c>
      <c r="N287">
        <f t="shared" si="37"/>
        <v>2.0177211956328399E-3</v>
      </c>
    </row>
    <row r="288" spans="7:14" x14ac:dyDescent="0.25">
      <c r="G288">
        <v>2.7</v>
      </c>
      <c r="H288">
        <f t="shared" si="39"/>
        <v>5162.2285063609088</v>
      </c>
      <c r="I288" t="str">
        <f t="shared" si="38"/>
        <v>32435.2383034705j</v>
      </c>
      <c r="J288" t="str">
        <f t="shared" si="40"/>
        <v>0.999996287006098+0.00192690947275062j</v>
      </c>
      <c r="K288">
        <f t="shared" si="34"/>
        <v>-1.6125357564050473E-5</v>
      </c>
      <c r="L288">
        <f t="shared" si="35"/>
        <v>0.11040405357890963</v>
      </c>
      <c r="M288">
        <f t="shared" si="36"/>
        <v>0.99999628700609799</v>
      </c>
      <c r="N288">
        <f t="shared" si="37"/>
        <v>1.92690947275062E-3</v>
      </c>
    </row>
    <row r="289" spans="7:14" x14ac:dyDescent="0.25">
      <c r="G289">
        <v>2.72</v>
      </c>
      <c r="H289">
        <f t="shared" si="39"/>
        <v>5405.5168405726617</v>
      </c>
      <c r="I289" t="str">
        <f t="shared" si="38"/>
        <v>33963.863990398j</v>
      </c>
      <c r="J289" t="str">
        <f t="shared" si="40"/>
        <v>0.999996613708208+0.00184018486160563j</v>
      </c>
      <c r="K289">
        <f t="shared" si="34"/>
        <v>-1.4706503294740004E-5</v>
      </c>
      <c r="L289">
        <f t="shared" si="35"/>
        <v>0.10543506411657036</v>
      </c>
      <c r="M289">
        <f t="shared" si="36"/>
        <v>0.99999661370820803</v>
      </c>
      <c r="N289">
        <f t="shared" si="37"/>
        <v>1.8401848616056301E-3</v>
      </c>
    </row>
    <row r="290" spans="7:14" x14ac:dyDescent="0.25">
      <c r="G290">
        <v>2.74</v>
      </c>
      <c r="H290">
        <f t="shared" si="39"/>
        <v>5660.2710007335418</v>
      </c>
      <c r="I290" t="str">
        <f t="shared" si="38"/>
        <v>35564.5315864637j</v>
      </c>
      <c r="J290" t="str">
        <f t="shared" si="40"/>
        <v>0.99999691166426+0.00175736342336094j</v>
      </c>
      <c r="K290">
        <f t="shared" si="34"/>
        <v>-1.3412492415023846E-5</v>
      </c>
      <c r="L290">
        <f t="shared" si="35"/>
        <v>0.10068971453842537</v>
      </c>
      <c r="M290">
        <f t="shared" si="36"/>
        <v>0.99999691166425997</v>
      </c>
      <c r="N290">
        <f t="shared" si="37"/>
        <v>1.7573634233609399E-3</v>
      </c>
    </row>
    <row r="291" spans="7:14" x14ac:dyDescent="0.25">
      <c r="G291">
        <v>2.76</v>
      </c>
      <c r="H291">
        <f t="shared" si="39"/>
        <v>5927.0313545727186</v>
      </c>
      <c r="I291" t="str">
        <f t="shared" si="38"/>
        <v>37240.636322244j</v>
      </c>
      <c r="J291" t="str">
        <f t="shared" si="40"/>
        <v>0.999997183403565+0.00167826949630803j</v>
      </c>
      <c r="K291">
        <f t="shared" si="34"/>
        <v>-1.2232340120381975E-5</v>
      </c>
      <c r="L291">
        <f t="shared" si="35"/>
        <v>9.6157939582804303E-2</v>
      </c>
      <c r="M291">
        <f t="shared" si="36"/>
        <v>0.99999718340356503</v>
      </c>
      <c r="N291">
        <f t="shared" si="37"/>
        <v>1.6782694963080301E-3</v>
      </c>
    </row>
    <row r="292" spans="7:14" x14ac:dyDescent="0.25">
      <c r="G292">
        <v>2.78</v>
      </c>
      <c r="H292">
        <f t="shared" si="39"/>
        <v>6206.3637365658851</v>
      </c>
      <c r="I292" t="str">
        <f t="shared" si="38"/>
        <v>38995.733440603j</v>
      </c>
      <c r="J292" t="str">
        <f t="shared" si="40"/>
        <v>0.999997431232884+0.00160273532352592j</v>
      </c>
      <c r="K292">
        <f t="shared" si="34"/>
        <v>-1.115602816659786E-5</v>
      </c>
      <c r="L292">
        <f t="shared" si="35"/>
        <v>9.1830126974763934E-2</v>
      </c>
      <c r="M292">
        <f t="shared" si="36"/>
        <v>0.99999743123288398</v>
      </c>
      <c r="N292">
        <f t="shared" si="37"/>
        <v>1.6027353235259199E-3</v>
      </c>
    </row>
    <row r="293" spans="7:14" x14ac:dyDescent="0.25">
      <c r="G293">
        <v>2.8</v>
      </c>
      <c r="H293">
        <f t="shared" si="39"/>
        <v>6498.860648145991</v>
      </c>
      <c r="I293" t="str">
        <f t="shared" si="38"/>
        <v>40833.5457378385j</v>
      </c>
      <c r="J293" t="str">
        <f t="shared" si="40"/>
        <v>0.999997657256017+0.00153060069727389j</v>
      </c>
      <c r="K293">
        <f t="shared" si="34"/>
        <v>-1.0174419762949202E-5</v>
      </c>
      <c r="L293">
        <f t="shared" si="35"/>
        <v>8.7697097041515265E-2</v>
      </c>
      <c r="M293">
        <f t="shared" si="36"/>
        <v>0.99999765725601697</v>
      </c>
      <c r="N293">
        <f t="shared" si="37"/>
        <v>1.5306006972738899E-3</v>
      </c>
    </row>
    <row r="294" spans="7:14" x14ac:dyDescent="0.25">
      <c r="G294">
        <v>2.82</v>
      </c>
      <c r="H294">
        <f t="shared" si="39"/>
        <v>6805.1425144782434</v>
      </c>
      <c r="I294" t="str">
        <f t="shared" si="38"/>
        <v>42757.9714602328j</v>
      </c>
      <c r="J294" t="str">
        <f t="shared" si="40"/>
        <v>0.999997863391653+0.00146171261936751j</v>
      </c>
      <c r="K294">
        <f t="shared" si="34"/>
        <v>-9.2791820646386563E-6</v>
      </c>
      <c r="L294">
        <f t="shared" si="35"/>
        <v>8.3750083244889501E-2</v>
      </c>
      <c r="M294">
        <f t="shared" si="36"/>
        <v>0.99999786339165297</v>
      </c>
      <c r="N294">
        <f t="shared" si="37"/>
        <v>1.46171261936751E-3</v>
      </c>
    </row>
    <row r="295" spans="7:14" x14ac:dyDescent="0.25">
      <c r="G295">
        <v>2.84</v>
      </c>
      <c r="H295">
        <f t="shared" si="39"/>
        <v>7125.8590004650487</v>
      </c>
      <c r="I295" t="str">
        <f t="shared" si="38"/>
        <v>44773.0925727554j</v>
      </c>
      <c r="J295" t="str">
        <f t="shared" si="40"/>
        <v>0.999998051389662+0.00139592497682158j</v>
      </c>
      <c r="K295">
        <f t="shared" si="34"/>
        <v>-8.4627154167633125E-6</v>
      </c>
      <c r="L295">
        <f t="shared" si="35"/>
        <v>7.998071358963102E-2</v>
      </c>
      <c r="M295">
        <f t="shared" si="36"/>
        <v>0.99999805138966202</v>
      </c>
      <c r="N295">
        <f t="shared" si="37"/>
        <v>1.39592497682158E-3</v>
      </c>
    </row>
    <row r="296" spans="7:14" x14ac:dyDescent="0.25">
      <c r="G296">
        <v>2.86</v>
      </c>
      <c r="H296">
        <f t="shared" si="39"/>
        <v>7461.6903887724002</v>
      </c>
      <c r="I296" t="str">
        <f t="shared" si="38"/>
        <v>46883.1834174579j</v>
      </c>
      <c r="J296" t="str">
        <f t="shared" si="40"/>
        <v>0.999998222845945+0.00133309823207522j</v>
      </c>
      <c r="K296">
        <f t="shared" si="34"/>
        <v>-7.718088856039947E-6</v>
      </c>
      <c r="L296">
        <f t="shared" si="35"/>
        <v>7.6380992868143899E-2</v>
      </c>
      <c r="M296">
        <f t="shared" si="36"/>
        <v>0.99999822284594497</v>
      </c>
      <c r="N296">
        <f t="shared" si="37"/>
        <v>1.3330982320752199E-3</v>
      </c>
    </row>
    <row r="297" spans="7:14" x14ac:dyDescent="0.25">
      <c r="G297">
        <v>2.88</v>
      </c>
      <c r="H297">
        <f t="shared" si="39"/>
        <v>7813.349022800593</v>
      </c>
      <c r="I297" t="str">
        <f t="shared" si="38"/>
        <v>49092.7197799267j</v>
      </c>
      <c r="J297" t="str">
        <f t="shared" si="40"/>
        <v>0.999998379215986+0.00127309912714501j</v>
      </c>
      <c r="K297">
        <f t="shared" si="34"/>
        <v>-7.038981239576279E-6</v>
      </c>
      <c r="L297">
        <f t="shared" si="35"/>
        <v>7.2943285704089325E-2</v>
      </c>
      <c r="M297">
        <f t="shared" si="36"/>
        <v>0.999998379215986</v>
      </c>
      <c r="N297">
        <f t="shared" si="37"/>
        <v>1.27309912714501E-3</v>
      </c>
    </row>
    <row r="298" spans="7:14" x14ac:dyDescent="0.25">
      <c r="G298">
        <v>2.9</v>
      </c>
      <c r="H298">
        <f t="shared" si="39"/>
        <v>8181.5808176601058</v>
      </c>
      <c r="I298" t="str">
        <f t="shared" si="38"/>
        <v>51406.3883830243j</v>
      </c>
      <c r="J298" t="str">
        <f t="shared" si="40"/>
        <v>0.9999985218272+0.00121580040108087j</v>
      </c>
      <c r="K298">
        <f t="shared" si="34"/>
        <v>-6.4196276477116715E-6</v>
      </c>
      <c r="L298">
        <f t="shared" si="35"/>
        <v>6.9660300358900931E-2</v>
      </c>
      <c r="M298">
        <f t="shared" si="36"/>
        <v>0.99999852182719995</v>
      </c>
      <c r="N298">
        <f t="shared" si="37"/>
        <v>1.2158004010808701E-3</v>
      </c>
    </row>
    <row r="299" spans="7:14" x14ac:dyDescent="0.25">
      <c r="G299">
        <v>2.92</v>
      </c>
      <c r="H299">
        <f t="shared" si="39"/>
        <v>8567.1668423575156</v>
      </c>
      <c r="I299" t="str">
        <f t="shared" si="38"/>
        <v>53829.0968280569j</v>
      </c>
      <c r="J299" t="str">
        <f t="shared" si="40"/>
        <v>0.999998651890208+0.00116108052012795j</v>
      </c>
      <c r="K299">
        <f t="shared" si="34"/>
        <v>-5.8547703849061859E-6</v>
      </c>
      <c r="L299">
        <f t="shared" si="35"/>
        <v>6.6525073266931856E-2</v>
      </c>
      <c r="M299">
        <f t="shared" si="36"/>
        <v>0.99999865189020798</v>
      </c>
      <c r="N299">
        <f t="shared" si="37"/>
        <v>1.1610805201279499E-3</v>
      </c>
    </row>
    <row r="300" spans="7:14" x14ac:dyDescent="0.25">
      <c r="G300">
        <v>2.94</v>
      </c>
      <c r="H300">
        <f t="shared" si="39"/>
        <v>8970.9249765476343</v>
      </c>
      <c r="I300" t="str">
        <f t="shared" si="38"/>
        <v>56365.9840044545j</v>
      </c>
      <c r="J300" t="str">
        <f t="shared" si="40"/>
        <v>0.999998770509112+0.00110882342002368j</v>
      </c>
      <c r="K300">
        <f t="shared" si="34"/>
        <v>-5.3396143616817713E-6</v>
      </c>
      <c r="L300">
        <f t="shared" si="35"/>
        <v>6.3530954266446754E-2</v>
      </c>
      <c r="M300">
        <f t="shared" si="36"/>
        <v>0.99999877050911201</v>
      </c>
      <c r="N300">
        <f t="shared" si="37"/>
        <v>1.10882342002368E-3</v>
      </c>
    </row>
    <row r="301" spans="7:14" x14ac:dyDescent="0.25">
      <c r="G301">
        <v>2.96</v>
      </c>
      <c r="H301">
        <f t="shared" si="39"/>
        <v>9393.7116453658728</v>
      </c>
      <c r="I301" t="str">
        <f t="shared" si="38"/>
        <v>59022.4309900446j</v>
      </c>
      <c r="J301" t="str">
        <f t="shared" si="40"/>
        <v>0.999998878690862+0.00105891825988531j</v>
      </c>
      <c r="K301">
        <f t="shared" si="34"/>
        <v>-4.8697864390784954E-6</v>
      </c>
      <c r="L301">
        <f t="shared" si="35"/>
        <v>6.0671592495179678E-2</v>
      </c>
      <c r="M301">
        <f t="shared" si="36"/>
        <v>0.99999887869086201</v>
      </c>
      <c r="N301">
        <f t="shared" si="37"/>
        <v>1.0589182598853099E-3</v>
      </c>
    </row>
    <row r="302" spans="7:14" x14ac:dyDescent="0.25">
      <c r="G302">
        <v>2.98</v>
      </c>
      <c r="H302">
        <f t="shared" si="39"/>
        <v>9836.4236360207997</v>
      </c>
      <c r="I302" t="str">
        <f t="shared" si="38"/>
        <v>61804.0724650399j</v>
      </c>
      <c r="J302" t="str">
        <f t="shared" si="40"/>
        <v>0.999998977353811+0.00101125918716711j</v>
      </c>
      <c r="K302">
        <f t="shared" si="34"/>
        <v>-4.4412982370527164E-6</v>
      </c>
      <c r="L302">
        <f t="shared" si="35"/>
        <v>5.7940922920553632E-2</v>
      </c>
      <c r="M302">
        <f t="shared" si="36"/>
        <v>0.99999897735381105</v>
      </c>
      <c r="N302">
        <f t="shared" si="37"/>
        <v>1.01125918716711E-3</v>
      </c>
    </row>
    <row r="303" spans="7:14" x14ac:dyDescent="0.25">
      <c r="G303">
        <v>3</v>
      </c>
      <c r="H303">
        <f t="shared" si="39"/>
        <v>10300</v>
      </c>
      <c r="I303" t="str">
        <f t="shared" si="38"/>
        <v>64716.8086639497j</v>
      </c>
      <c r="J303" t="str">
        <f t="shared" si="40"/>
        <v>0.999999067335506+0.000965745113190111j</v>
      </c>
      <c r="K303">
        <f t="shared" si="34"/>
        <v>-4.0505123229077491E-6</v>
      </c>
      <c r="L303">
        <f t="shared" si="35"/>
        <v>5.5333153476026672E-2</v>
      </c>
      <c r="M303">
        <f t="shared" si="36"/>
        <v>0.99999906733550603</v>
      </c>
      <c r="N303">
        <f t="shared" si="37"/>
        <v>9.6574511319011099E-4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FCB57-29F3-47FC-8954-AA1A5730FB34}">
  <sheetPr codeName="Sheet3"/>
  <dimension ref="A1:N303"/>
  <sheetViews>
    <sheetView showGridLines="0" zoomScale="90" zoomScaleNormal="90" workbookViewId="0">
      <selection activeCell="B10" sqref="B10"/>
    </sheetView>
  </sheetViews>
  <sheetFormatPr defaultRowHeight="15" x14ac:dyDescent="0.25"/>
  <cols>
    <col min="1" max="1" width="20.7109375" customWidth="1"/>
    <col min="2" max="2" width="22.140625" bestFit="1" customWidth="1"/>
    <col min="3" max="3" width="5.7109375" customWidth="1"/>
    <col min="4" max="4" width="98.5703125" customWidth="1"/>
    <col min="5" max="5" width="11.140625" customWidth="1"/>
    <col min="6" max="6" width="8" customWidth="1"/>
    <col min="7" max="7" width="12" bestFit="1" customWidth="1"/>
    <col min="8" max="8" width="17.140625" customWidth="1"/>
    <col min="9" max="9" width="21.42578125" customWidth="1"/>
    <col min="10" max="10" width="43.5703125" customWidth="1"/>
  </cols>
  <sheetData>
    <row r="1" spans="1:14" ht="15.75" x14ac:dyDescent="0.25">
      <c r="A1" s="1" t="s">
        <v>31</v>
      </c>
    </row>
    <row r="2" spans="1:14" x14ac:dyDescent="0.25">
      <c r="B2" s="2" t="s">
        <v>0</v>
      </c>
      <c r="G2" s="3" t="s">
        <v>1</v>
      </c>
      <c r="H2" s="3" t="s">
        <v>4</v>
      </c>
      <c r="I2" s="3" t="s">
        <v>2</v>
      </c>
      <c r="J2" s="3" t="s">
        <v>3</v>
      </c>
      <c r="K2" s="3" t="s">
        <v>5</v>
      </c>
      <c r="L2" s="4" t="s">
        <v>6</v>
      </c>
      <c r="M2" s="3" t="s">
        <v>7</v>
      </c>
      <c r="N2" s="3" t="s">
        <v>8</v>
      </c>
    </row>
    <row r="3" spans="1:14" ht="15.75" customHeight="1" x14ac:dyDescent="0.35">
      <c r="A3" s="6" t="s">
        <v>9</v>
      </c>
      <c r="B3" s="5">
        <v>10.3</v>
      </c>
      <c r="C3" t="s">
        <v>10</v>
      </c>
      <c r="G3">
        <v>-3</v>
      </c>
      <c r="H3">
        <f t="shared" ref="H3:H66" si="0">$B$3*10^G3</f>
        <v>1.03E-2</v>
      </c>
      <c r="I3" t="str">
        <f>COMPLEX(0,H3*2*PI(),"j")</f>
        <v>0.0647168086639497j</v>
      </c>
      <c r="J3" t="str">
        <f t="shared" ref="J3:J66" si="1">IMDIV(IMSUM(1,IMPRODUCT(I3,Cg,(Rg+Rf))),IMSUM(1,IMPRODUCT(I3,Cg,Rg)))</f>
        <v>1.00010721947733+0.103546782839881j</v>
      </c>
      <c r="K3">
        <f>20*LOG(IMABS(J3))</f>
        <v>4.7238284100565645E-2</v>
      </c>
      <c r="L3">
        <f>DEGREES(IMARGUMENT(J3))</f>
        <v>5.9110960348848476</v>
      </c>
      <c r="M3">
        <f>IMREAL(J3)</f>
        <v>1.0001072194773299</v>
      </c>
      <c r="N3">
        <f>IMAGINARY(J3)</f>
        <v>0.103546782839881</v>
      </c>
    </row>
    <row r="4" spans="1:14" x14ac:dyDescent="0.25">
      <c r="A4" s="7" t="s">
        <v>17</v>
      </c>
      <c r="B4" s="16">
        <v>100000</v>
      </c>
      <c r="C4" t="s">
        <v>12</v>
      </c>
      <c r="G4">
        <v>-2.98</v>
      </c>
      <c r="H4">
        <f t="shared" si="0"/>
        <v>1.0785424044924257E-2</v>
      </c>
      <c r="I4" t="str">
        <f t="shared" ref="I4:I67" si="2">COMPLEX(0,H4*2*PI(),"j")</f>
        <v>0.0677668178907695j</v>
      </c>
      <c r="J4" t="str">
        <f t="shared" si="1"/>
        <v>1.00011756380693+0.10842678115443j</v>
      </c>
      <c r="K4">
        <f t="shared" ref="K4:K67" si="3">20*LOG(IMABS(J4))</f>
        <v>5.1768683229007767E-2</v>
      </c>
      <c r="L4">
        <f t="shared" ref="L4:L67" si="4">DEGREES(IMARGUMENT(J4))</f>
        <v>6.1875003879206529</v>
      </c>
      <c r="M4">
        <f t="shared" ref="M4:M67" si="5">IMREAL(J4)</f>
        <v>1.00011756380693</v>
      </c>
      <c r="N4">
        <f t="shared" ref="N4:N67" si="6">IMAGINARY(J4)</f>
        <v>0.10842678115443</v>
      </c>
    </row>
    <row r="5" spans="1:14" ht="14.25" customHeight="1" x14ac:dyDescent="0.25">
      <c r="A5" s="6" t="s">
        <v>18</v>
      </c>
      <c r="B5" s="15">
        <v>100</v>
      </c>
      <c r="C5" t="s">
        <v>19</v>
      </c>
      <c r="G5">
        <v>-2.96</v>
      </c>
      <c r="H5">
        <f t="shared" si="0"/>
        <v>1.1293725420274806E-2</v>
      </c>
      <c r="I5" t="str">
        <f t="shared" si="2"/>
        <v>0.0709605696239912j</v>
      </c>
      <c r="J5" t="str">
        <f t="shared" si="1"/>
        <v>1.00012890613633+0.11353676504234j</v>
      </c>
      <c r="K5">
        <f t="shared" si="3"/>
        <v>5.6730740176107158E-2</v>
      </c>
      <c r="L5">
        <f t="shared" si="4"/>
        <v>6.4766120217539376</v>
      </c>
      <c r="M5">
        <f t="shared" si="5"/>
        <v>1.0001289061363301</v>
      </c>
      <c r="N5">
        <f t="shared" si="6"/>
        <v>0.11353676504234</v>
      </c>
    </row>
    <row r="6" spans="1:14" ht="15" customHeight="1" x14ac:dyDescent="0.25">
      <c r="G6">
        <v>-2.94</v>
      </c>
      <c r="H6">
        <f t="shared" si="0"/>
        <v>1.1825982301417889E-2</v>
      </c>
      <c r="I6" t="str">
        <f t="shared" si="2"/>
        <v>0.0743048382392347j</v>
      </c>
      <c r="J6" t="str">
        <f t="shared" si="1"/>
        <v>1.00014134275026+0.118887573143572j</v>
      </c>
      <c r="K6">
        <f t="shared" si="3"/>
        <v>6.2165017771963753E-2</v>
      </c>
      <c r="L6">
        <f t="shared" si="4"/>
        <v>6.7789833520326299</v>
      </c>
      <c r="M6">
        <f t="shared" si="5"/>
        <v>1.0001413427502599</v>
      </c>
      <c r="N6">
        <f t="shared" si="6"/>
        <v>0.118887573143572</v>
      </c>
    </row>
    <row r="7" spans="1:14" x14ac:dyDescent="0.25">
      <c r="G7">
        <v>-2.92</v>
      </c>
      <c r="H7">
        <f t="shared" si="0"/>
        <v>1.2383323676559348E-2</v>
      </c>
      <c r="I7" t="str">
        <f t="shared" si="2"/>
        <v>0.0778067173786068j</v>
      </c>
      <c r="J7" t="str">
        <f t="shared" si="1"/>
        <v>1.00015497922271+0.124490554870978j</v>
      </c>
      <c r="K7">
        <f t="shared" si="3"/>
        <v>6.811577795811255E-2</v>
      </c>
      <c r="L7">
        <f t="shared" si="4"/>
        <v>7.0951861591009324</v>
      </c>
      <c r="M7">
        <f t="shared" si="5"/>
        <v>1.00015497922271</v>
      </c>
      <c r="N7">
        <f t="shared" si="6"/>
        <v>0.124490554870978</v>
      </c>
    </row>
    <row r="8" spans="1:14" x14ac:dyDescent="0.25">
      <c r="B8" s="2" t="s">
        <v>13</v>
      </c>
      <c r="C8" s="9"/>
      <c r="G8">
        <v>-2.9</v>
      </c>
      <c r="H8">
        <f t="shared" si="0"/>
        <v>1.2966931741479913E-2</v>
      </c>
      <c r="I8" t="str">
        <f t="shared" si="2"/>
        <v>0.0814736349972672j</v>
      </c>
      <c r="J8" t="str">
        <f t="shared" si="1"/>
        <v>1.00016993131314+0.130357594476879j</v>
      </c>
      <c r="K8">
        <f t="shared" si="3"/>
        <v>7.4631296781612039E-2</v>
      </c>
      <c r="L8">
        <f t="shared" si="4"/>
        <v>7.4258115662952902</v>
      </c>
      <c r="M8">
        <f t="shared" si="5"/>
        <v>1.00016993131314</v>
      </c>
      <c r="N8">
        <f t="shared" si="6"/>
        <v>0.130357594476879</v>
      </c>
    </row>
    <row r="9" spans="1:14" ht="14.25" customHeight="1" x14ac:dyDescent="0.25">
      <c r="A9" s="6" t="s">
        <v>15</v>
      </c>
      <c r="B9" s="14" cm="1">
        <f t="array" ref="B9">[1]!Eseries(1/(2*PI()*fc*Rg),4)</f>
        <v>1.6000000000000003E-5</v>
      </c>
      <c r="C9" s="10" t="s">
        <v>11</v>
      </c>
      <c r="G9">
        <v>-2.88</v>
      </c>
      <c r="H9">
        <f t="shared" si="0"/>
        <v>1.3578044407130993E-2</v>
      </c>
      <c r="I9" t="str">
        <f t="shared" si="2"/>
        <v>0.0853133691191174j</v>
      </c>
      <c r="J9" t="str">
        <f t="shared" si="1"/>
        <v>1.00018632594916+0.136501136253076j</v>
      </c>
      <c r="K9">
        <f t="shared" si="3"/>
        <v>8.1764201757368232E-2</v>
      </c>
      <c r="L9">
        <f t="shared" si="4"/>
        <v>7.7714698922042524</v>
      </c>
      <c r="M9">
        <f t="shared" si="5"/>
        <v>1.0001863259491599</v>
      </c>
      <c r="N9">
        <f t="shared" si="6"/>
        <v>0.136501136253076</v>
      </c>
    </row>
    <row r="10" spans="1:14" x14ac:dyDescent="0.25">
      <c r="A10" s="6" t="s">
        <v>20</v>
      </c>
      <c r="B10" s="18" cm="1">
        <f t="array" ref="B10">[1]!Eseries(B4/(B5-1))</f>
        <v>1000</v>
      </c>
      <c r="C10" t="s">
        <v>12</v>
      </c>
      <c r="G10">
        <v>-2.86</v>
      </c>
      <c r="H10">
        <f t="shared" si="0"/>
        <v>1.421795792540971E-2</v>
      </c>
      <c r="I10" t="str">
        <f t="shared" si="2"/>
        <v>0.0893340643350318j</v>
      </c>
      <c r="J10" t="str">
        <f t="shared" si="1"/>
        <v>1.0002043023039+0.142934210917568j</v>
      </c>
      <c r="K10">
        <f t="shared" si="3"/>
        <v>8.9571832270714719E-2</v>
      </c>
      <c r="L10">
        <f t="shared" si="4"/>
        <v>8.1327903557096359</v>
      </c>
      <c r="M10">
        <f t="shared" si="5"/>
        <v>1.0002043023039</v>
      </c>
      <c r="N10">
        <f t="shared" si="6"/>
        <v>0.142934210917568</v>
      </c>
    </row>
    <row r="11" spans="1:14" ht="17.25" customHeight="1" x14ac:dyDescent="0.25">
      <c r="G11">
        <v>-2.84</v>
      </c>
      <c r="H11">
        <f t="shared" si="0"/>
        <v>1.488802963868305E-2</v>
      </c>
      <c r="I11" t="str">
        <f t="shared" si="2"/>
        <v>0.0935442490786275j</v>
      </c>
      <c r="J11" t="str">
        <f t="shared" si="1"/>
        <v>1.00022401297749+0.149670463243792j</v>
      </c>
      <c r="K11">
        <f t="shared" si="3"/>
        <v>9.8116623501536257E-2</v>
      </c>
      <c r="L11">
        <f t="shared" si="4"/>
        <v>8.5104206101481967</v>
      </c>
      <c r="M11">
        <f t="shared" si="5"/>
        <v>1.00022401297749</v>
      </c>
      <c r="N11">
        <f t="shared" si="6"/>
        <v>0.14967046324379199</v>
      </c>
    </row>
    <row r="12" spans="1:14" x14ac:dyDescent="0.25">
      <c r="A12" s="6"/>
      <c r="C12" s="9"/>
      <c r="G12">
        <v>-2.82</v>
      </c>
      <c r="H12">
        <f t="shared" si="0"/>
        <v>1.5589680858892936E-2</v>
      </c>
      <c r="I12" t="str">
        <f t="shared" si="2"/>
        <v>0.0979528537162149j</v>
      </c>
      <c r="J12" t="str">
        <f t="shared" si="1"/>
        <v>1.00024562529239+0.15672418099077j</v>
      </c>
      <c r="K12">
        <f t="shared" si="3"/>
        <v>0.10746651409335888</v>
      </c>
      <c r="L12">
        <f t="shared" si="4"/>
        <v>8.9050260802976524</v>
      </c>
      <c r="M12">
        <f t="shared" si="5"/>
        <v>1.0002456252923899</v>
      </c>
      <c r="N12">
        <f t="shared" si="6"/>
        <v>0.15672418099077001</v>
      </c>
    </row>
    <row r="13" spans="1:14" x14ac:dyDescent="0.25">
      <c r="A13" s="6"/>
      <c r="C13" s="9"/>
      <c r="G13">
        <v>-2.8</v>
      </c>
      <c r="H13">
        <f t="shared" si="0"/>
        <v>1.6324399882349471E-2</v>
      </c>
      <c r="I13" t="str">
        <f t="shared" si="2"/>
        <v>0.102569229489302j</v>
      </c>
      <c r="J13" t="str">
        <f t="shared" si="1"/>
        <v>1.0002693227137+0.164110325195311j</v>
      </c>
      <c r="K13">
        <f t="shared" si="3"/>
        <v>0.11769537747158632</v>
      </c>
      <c r="L13">
        <f t="shared" si="4"/>
        <v>9.3172890731160862</v>
      </c>
      <c r="M13">
        <f t="shared" si="5"/>
        <v>1.0002693227137001</v>
      </c>
      <c r="N13">
        <f t="shared" si="6"/>
        <v>0.16411032519531099</v>
      </c>
    </row>
    <row r="14" spans="1:14" x14ac:dyDescent="0.25">
      <c r="A14" s="6"/>
      <c r="C14" s="10"/>
      <c r="G14">
        <v>-2.78</v>
      </c>
      <c r="H14">
        <f t="shared" si="0"/>
        <v>1.7093745146606876E-2</v>
      </c>
      <c r="I14" t="str">
        <f t="shared" si="2"/>
        <v>0.107403168349833j</v>
      </c>
      <c r="J14" t="str">
        <f t="shared" si="1"/>
        <v>1.00029530640657+0.171844561890233j</v>
      </c>
      <c r="K14">
        <f t="shared" si="3"/>
        <v>0.12888347631085198</v>
      </c>
      <c r="L14">
        <f t="shared" si="4"/>
        <v>9.7479076302872123</v>
      </c>
      <c r="M14">
        <f t="shared" si="5"/>
        <v>1.0002953064065701</v>
      </c>
      <c r="N14">
        <f t="shared" si="6"/>
        <v>0.17184456189023301</v>
      </c>
    </row>
    <row r="15" spans="1:14" x14ac:dyDescent="0.25">
      <c r="A15" s="6"/>
      <c r="C15" s="10"/>
      <c r="G15">
        <v>-2.76</v>
      </c>
      <c r="H15">
        <f t="shared" si="0"/>
        <v>1.7899348536118562E-2</v>
      </c>
      <c r="I15" t="str">
        <f t="shared" si="2"/>
        <v>0.112464923730227j</v>
      </c>
      <c r="J15" t="str">
        <f t="shared" si="1"/>
        <v>1.00032379694374+0.179943295315586j</v>
      </c>
      <c r="K15">
        <f t="shared" si="3"/>
        <v>0.14111793915197585</v>
      </c>
      <c r="L15">
        <f t="shared" si="4"/>
        <v>10.197594087702786</v>
      </c>
      <c r="M15">
        <f t="shared" si="5"/>
        <v>1.00032379694374</v>
      </c>
      <c r="N15">
        <f t="shared" si="6"/>
        <v>0.179943295315586</v>
      </c>
    </row>
    <row r="16" spans="1:14" ht="14.25" customHeight="1" x14ac:dyDescent="0.25">
      <c r="A16" s="6"/>
      <c r="C16" s="10"/>
      <c r="G16">
        <v>-2.74</v>
      </c>
      <c r="H16">
        <f t="shared" si="0"/>
        <v>1.8742918843682805E-2</v>
      </c>
      <c r="I16" t="str">
        <f t="shared" si="2"/>
        <v>0.117765232292287j</v>
      </c>
      <c r="J16" t="str">
        <f t="shared" si="1"/>
        <v>1.00035503617787+0.188423702692972j</v>
      </c>
      <c r="K16">
        <f t="shared" si="3"/>
        <v>0.15449325756803239</v>
      </c>
      <c r="L16">
        <f t="shared" si="4"/>
        <v>10.667073304103399</v>
      </c>
      <c r="M16">
        <f t="shared" si="5"/>
        <v>1.0003550361778699</v>
      </c>
      <c r="N16">
        <f t="shared" si="6"/>
        <v>0.18842370269297201</v>
      </c>
    </row>
    <row r="17" spans="1:14" x14ac:dyDescent="0.25">
      <c r="A17" s="6"/>
      <c r="C17" s="10"/>
      <c r="G17">
        <v>-2.72</v>
      </c>
      <c r="H17">
        <f t="shared" si="0"/>
        <v>1.9626245395021436E-2</v>
      </c>
      <c r="I17" t="str">
        <f t="shared" si="2"/>
        <v>0.1233153367011j</v>
      </c>
      <c r="J17" t="str">
        <f t="shared" si="1"/>
        <v>1.00038928929453+0.197303770636314j</v>
      </c>
      <c r="K17">
        <f t="shared" si="3"/>
        <v>0.16911180155266339</v>
      </c>
      <c r="L17">
        <f t="shared" si="4"/>
        <v>11.157080518303843</v>
      </c>
      <c r="M17">
        <f t="shared" si="5"/>
        <v>1.0003892892945301</v>
      </c>
      <c r="N17">
        <f t="shared" si="6"/>
        <v>0.19730377063631399</v>
      </c>
    </row>
    <row r="18" spans="1:14" x14ac:dyDescent="0.25">
      <c r="A18" s="6"/>
      <c r="C18" s="10"/>
      <c r="G18">
        <v>-2.7</v>
      </c>
      <c r="H18">
        <f t="shared" si="0"/>
        <v>2.0551201844179447E-2</v>
      </c>
      <c r="I18" t="str">
        <f t="shared" si="2"/>
        <v>0.12912700947223j</v>
      </c>
      <c r="J18" t="str">
        <f t="shared" si="1"/>
        <v>1.00042684706313+0.206602333275812j</v>
      </c>
      <c r="K18">
        <f t="shared" si="3"/>
        <v>0.18508434994390549</v>
      </c>
      <c r="L18">
        <f t="shared" si="4"/>
        <v>11.66835879186133</v>
      </c>
      <c r="M18">
        <f t="shared" si="5"/>
        <v>1.0004268470631299</v>
      </c>
      <c r="N18">
        <f t="shared" si="6"/>
        <v>0.20660233327581201</v>
      </c>
    </row>
    <row r="19" spans="1:14" x14ac:dyDescent="0.25">
      <c r="G19">
        <v>-2.68</v>
      </c>
      <c r="H19">
        <f t="shared" si="0"/>
        <v>2.1519750147796585E-2</v>
      </c>
      <c r="I19" t="str">
        <f t="shared" si="2"/>
        <v>0.135212577942811j</v>
      </c>
      <c r="J19" t="str">
        <f t="shared" si="1"/>
        <v>1.00046802830507+0.216339112175479j</v>
      </c>
      <c r="K19">
        <f t="shared" si="3"/>
        <v>0.20253063169314173</v>
      </c>
      <c r="L19">
        <f t="shared" si="4"/>
        <v>12.201655991856359</v>
      </c>
      <c r="M19">
        <f t="shared" si="5"/>
        <v>1.00046802830507</v>
      </c>
      <c r="N19">
        <f t="shared" si="6"/>
        <v>0.21633911217547899</v>
      </c>
    </row>
    <row r="20" spans="1:14" x14ac:dyDescent="0.25">
      <c r="A20" s="10"/>
      <c r="G20">
        <v>-2.66</v>
      </c>
      <c r="H20">
        <f t="shared" si="0"/>
        <v>2.2533944726680365E-2</v>
      </c>
      <c r="I20" t="str">
        <f t="shared" si="2"/>
        <v>0.141584950419475j</v>
      </c>
      <c r="J20" t="str">
        <f t="shared" si="1"/>
        <v>1.00051318259997+0.226534758128233j</v>
      </c>
      <c r="K20">
        <f t="shared" si="3"/>
        <v>0.22157987262104925</v>
      </c>
      <c r="L20">
        <f t="shared" si="4"/>
        <v>12.757721266821946</v>
      </c>
      <c r="M20">
        <f t="shared" si="5"/>
        <v>1.00051318259997</v>
      </c>
      <c r="N20">
        <f t="shared" si="6"/>
        <v>0.22653475812823301</v>
      </c>
    </row>
    <row r="21" spans="1:14" x14ac:dyDescent="0.25">
      <c r="A21" s="10"/>
      <c r="G21">
        <v>-2.64</v>
      </c>
      <c r="H21">
        <f t="shared" si="0"/>
        <v>2.3595936823508048E-2</v>
      </c>
      <c r="I21" t="str">
        <f t="shared" si="2"/>
        <v>0.148257643558604j</v>
      </c>
      <c r="J21" t="str">
        <f t="shared" si="1"/>
        <v>1.00056269325291+0.237210894916555j</v>
      </c>
      <c r="K21">
        <f t="shared" si="3"/>
        <v>0.24237134097004706</v>
      </c>
      <c r="L21">
        <f t="shared" si="4"/>
        <v>13.337300968019774</v>
      </c>
      <c r="M21">
        <f t="shared" si="5"/>
        <v>1.0005626932529099</v>
      </c>
      <c r="N21">
        <f t="shared" si="6"/>
        <v>0.237210894916555</v>
      </c>
    </row>
    <row r="22" spans="1:14" x14ac:dyDescent="0.25">
      <c r="G22">
        <v>-2.62</v>
      </c>
      <c r="H22">
        <f t="shared" si="0"/>
        <v>2.4707979065900734E-2</v>
      </c>
      <c r="I22" t="str">
        <f t="shared" si="2"/>
        <v>0.155244811036968j</v>
      </c>
      <c r="J22" t="str">
        <f t="shared" si="1"/>
        <v>1.00061698054799+0.248390165130691j</v>
      </c>
      <c r="K22">
        <f t="shared" si="3"/>
        <v>0.26505488355847218</v>
      </c>
      <c r="L22">
        <f t="shared" si="4"/>
        <v>13.941133968459573</v>
      </c>
      <c r="M22">
        <f t="shared" si="5"/>
        <v>1.0006169805479901</v>
      </c>
      <c r="N22">
        <f t="shared" si="6"/>
        <v>0.24839016513069101</v>
      </c>
    </row>
    <row r="23" spans="1:14" x14ac:dyDescent="0.25">
      <c r="A23" s="6"/>
      <c r="G23">
        <v>-2.6</v>
      </c>
      <c r="H23">
        <f t="shared" si="0"/>
        <v>2.5872430244548651E-2</v>
      </c>
      <c r="I23" t="str">
        <f t="shared" si="2"/>
        <v>0.162561273573577j</v>
      </c>
      <c r="J23" t="str">
        <f t="shared" si="1"/>
        <v>1.00067650531562+0.260096278140672j</v>
      </c>
      <c r="K23">
        <f t="shared" si="3"/>
        <v>0.28979144266271445</v>
      </c>
      <c r="L23">
        <f t="shared" si="4"/>
        <v>14.569946333627028</v>
      </c>
      <c r="M23">
        <f t="shared" si="5"/>
        <v>1.0006765053156199</v>
      </c>
      <c r="N23">
        <f t="shared" si="6"/>
        <v>0.26009627814067199</v>
      </c>
    </row>
    <row r="24" spans="1:14" x14ac:dyDescent="0.25">
      <c r="A24" s="6"/>
      <c r="G24">
        <v>-2.58</v>
      </c>
      <c r="H24">
        <f t="shared" si="0"/>
        <v>2.7091760316522408E-2</v>
      </c>
      <c r="I24" t="str">
        <f t="shared" si="2"/>
        <v>0.170222550366405j</v>
      </c>
      <c r="J24" t="str">
        <f t="shared" si="1"/>
        <v>1.00074177284401+0.272354060322803j</v>
      </c>
      <c r="K24">
        <f t="shared" si="3"/>
        <v>0.3167535419193524</v>
      </c>
      <c r="L24">
        <f t="shared" si="4"/>
        <v>15.224445301148668</v>
      </c>
      <c r="M24">
        <f t="shared" si="5"/>
        <v>1.00074177284401</v>
      </c>
      <c r="N24">
        <f t="shared" si="6"/>
        <v>0.27235406032280302</v>
      </c>
    </row>
    <row r="25" spans="1:14" x14ac:dyDescent="0.25">
      <c r="A25" s="6"/>
      <c r="G25">
        <v>-2.56</v>
      </c>
      <c r="H25">
        <f t="shared" si="0"/>
        <v>2.8368555644383103E-2</v>
      </c>
      <c r="I25" t="str">
        <f t="shared" si="2"/>
        <v>0.178244892010694j</v>
      </c>
      <c r="J25" t="str">
        <f t="shared" si="1"/>
        <v>1.00081333716789+0.28518950764598j</v>
      </c>
      <c r="K25">
        <f t="shared" si="3"/>
        <v>0.34612572755843296</v>
      </c>
      <c r="L25">
        <f t="shared" si="4"/>
        <v>15.905312532000883</v>
      </c>
      <c r="M25">
        <f t="shared" si="5"/>
        <v>1.00081333716789</v>
      </c>
      <c r="N25">
        <f t="shared" si="6"/>
        <v>0.28518950764598</v>
      </c>
    </row>
    <row r="26" spans="1:14" x14ac:dyDescent="0.25">
      <c r="A26" s="6"/>
      <c r="G26">
        <v>-2.54</v>
      </c>
      <c r="H26">
        <f t="shared" si="0"/>
        <v>2.9705524482204024E-2</v>
      </c>
      <c r="I26" t="str">
        <f t="shared" si="2"/>
        <v>0.186645314968648j</v>
      </c>
      <c r="J26" t="str">
        <f t="shared" si="1"/>
        <v>1.00089180577091+0.298629840727933j</v>
      </c>
      <c r="K26">
        <f t="shared" si="3"/>
        <v>0.37810494919657467</v>
      </c>
      <c r="L26">
        <f t="shared" si="4"/>
        <v>16.61319660375084</v>
      </c>
      <c r="M26">
        <f t="shared" si="5"/>
        <v>1.00089180577091</v>
      </c>
      <c r="N26">
        <f t="shared" si="6"/>
        <v>0.29862984072793303</v>
      </c>
    </row>
    <row r="27" spans="1:14" x14ac:dyDescent="0.25">
      <c r="A27" s="6"/>
      <c r="G27">
        <v>-2.52</v>
      </c>
      <c r="H27">
        <f t="shared" si="0"/>
        <v>3.1105502720140742E-2</v>
      </c>
      <c r="I27" t="str">
        <f t="shared" si="2"/>
        <v>0.195441637663623j</v>
      </c>
      <c r="J27" t="str">
        <f t="shared" si="1"/>
        <v>1.00097784474166+0.312703562476554j</v>
      </c>
      <c r="K27">
        <f t="shared" si="3"/>
        <v>0.4129008622790985</v>
      </c>
      <c r="L27">
        <f t="shared" si="4"/>
        <v>17.34870472716295</v>
      </c>
      <c r="M27">
        <f t="shared" si="5"/>
        <v>1.00097784474166</v>
      </c>
      <c r="N27">
        <f t="shared" si="6"/>
        <v>0.31270356247655401</v>
      </c>
    </row>
    <row r="28" spans="1:14" x14ac:dyDescent="0.25">
      <c r="A28" s="6"/>
      <c r="G28">
        <v>-2.5</v>
      </c>
      <c r="H28">
        <f t="shared" si="0"/>
        <v>3.2571459899734277E-2</v>
      </c>
      <c r="I28" t="str">
        <f t="shared" si="2"/>
        <v>0.204652518275399j</v>
      </c>
      <c r="J28" t="str">
        <f t="shared" si="1"/>
        <v>1.00107218442694+0.32744051843675j</v>
      </c>
      <c r="K28">
        <f t="shared" si="3"/>
        <v>0.45073603213598989</v>
      </c>
      <c r="L28">
        <f t="shared" si="4"/>
        <v>18.112393681740585</v>
      </c>
      <c r="M28">
        <f t="shared" si="5"/>
        <v>1.0010721844269399</v>
      </c>
      <c r="N28">
        <f t="shared" si="6"/>
        <v>0.32744051843674998</v>
      </c>
    </row>
    <row r="29" spans="1:14" x14ac:dyDescent="0.25">
      <c r="D29" s="11"/>
      <c r="G29">
        <v>-2.48</v>
      </c>
      <c r="H29">
        <f t="shared" si="0"/>
        <v>3.4106505512706879E-2</v>
      </c>
      <c r="I29" t="str">
        <f t="shared" si="2"/>
        <v>0.214297494316679j</v>
      </c>
      <c r="J29" t="str">
        <f t="shared" si="1"/>
        <v>1.00117562563028+0.342871959968657j</v>
      </c>
      <c r="K29">
        <f t="shared" si="3"/>
        <v>0.49184601760398344</v>
      </c>
      <c r="L29">
        <f t="shared" si="4"/>
        <v>18.904759983785112</v>
      </c>
      <c r="M29">
        <f t="shared" si="5"/>
        <v>1.00117562563028</v>
      </c>
      <c r="N29">
        <f t="shared" si="6"/>
        <v>0.34287195996865699</v>
      </c>
    </row>
    <row r="30" spans="1:14" x14ac:dyDescent="0.25">
      <c r="G30">
        <v>-2.46</v>
      </c>
      <c r="H30">
        <f t="shared" si="0"/>
        <v>3.5713895596610749E-2</v>
      </c>
      <c r="I30" t="str">
        <f t="shared" si="2"/>
        <v>0.22439702407477j</v>
      </c>
      <c r="J30" t="str">
        <f t="shared" si="1"/>
        <v>1.00128904640837+0.359030610388785j</v>
      </c>
      <c r="K30">
        <f t="shared" si="3"/>
        <v>0.5364793103824137</v>
      </c>
      <c r="L30">
        <f t="shared" si="4"/>
        <v>19.726229322685867</v>
      </c>
      <c r="M30">
        <f t="shared" si="5"/>
        <v>1.0012890464083699</v>
      </c>
      <c r="N30">
        <f t="shared" si="6"/>
        <v>0.35903061038878498</v>
      </c>
    </row>
    <row r="31" spans="1:14" x14ac:dyDescent="0.25">
      <c r="B31" s="12"/>
      <c r="G31">
        <v>-2.44</v>
      </c>
      <c r="H31">
        <f t="shared" si="0"/>
        <v>3.7397039641320413E-2</v>
      </c>
      <c r="I31" t="str">
        <f t="shared" si="2"/>
        <v>0.234972530006357j</v>
      </c>
      <c r="J31" t="str">
        <f t="shared" si="1"/>
        <v>1.00141340952281+0.375950734211587j</v>
      </c>
      <c r="K31">
        <f t="shared" si="3"/>
        <v>0.58489710487628321</v>
      </c>
      <c r="L31">
        <f t="shared" si="4"/>
        <v>20.577145327606377</v>
      </c>
      <c r="M31">
        <f t="shared" si="5"/>
        <v>1.00141340952281</v>
      </c>
      <c r="N31">
        <f t="shared" si="6"/>
        <v>0.37595073421158698</v>
      </c>
    </row>
    <row r="32" spans="1:14" x14ac:dyDescent="0.25">
      <c r="B32" s="12"/>
      <c r="G32">
        <v>-2.42</v>
      </c>
      <c r="H32">
        <f t="shared" si="0"/>
        <v>3.9159507821017812E-2</v>
      </c>
      <c r="I32" t="str">
        <f t="shared" si="2"/>
        <v>0.246046444177403j</v>
      </c>
      <c r="J32" t="str">
        <f t="shared" si="1"/>
        <v>1.00154977061066+0.393668209635076j</v>
      </c>
      <c r="K32">
        <f t="shared" si="3"/>
        <v>0.63737287241579355</v>
      </c>
      <c r="L32">
        <f t="shared" si="4"/>
        <v>21.457757757509704</v>
      </c>
      <c r="M32">
        <f t="shared" si="5"/>
        <v>1.00154977061066</v>
      </c>
      <c r="N32">
        <f t="shared" si="6"/>
        <v>0.39366820963507598</v>
      </c>
    </row>
    <row r="33" spans="7:14" x14ac:dyDescent="0.25">
      <c r="G33">
        <v>-2.4</v>
      </c>
      <c r="H33">
        <f t="shared" si="0"/>
        <v>4.100503856701021E-2</v>
      </c>
      <c r="I33" t="str">
        <f t="shared" si="2"/>
        <v>0.257642255844571j</v>
      </c>
      <c r="J33" t="str">
        <f t="shared" si="1"/>
        <v>1.00169928714286+0.412220604420549j</v>
      </c>
      <c r="K33">
        <f t="shared" si="3"/>
        <v>0.69419171360571064</v>
      </c>
      <c r="L33">
        <f t="shared" si="4"/>
        <v>22.368210242385477</v>
      </c>
      <c r="M33">
        <f t="shared" si="5"/>
        <v>1.0016992871428601</v>
      </c>
      <c r="N33">
        <f t="shared" si="6"/>
        <v>0.41222060442054897</v>
      </c>
    </row>
    <row r="34" spans="7:14" x14ac:dyDescent="0.25">
      <c r="G34">
        <v>-2.38</v>
      </c>
      <c r="H34">
        <f t="shared" si="0"/>
        <v>4.2937546497444537E-2</v>
      </c>
      <c r="I34" t="str">
        <f t="shared" si="2"/>
        <v>0.269784561279084j</v>
      </c>
      <c r="J34" t="str">
        <f t="shared" si="1"/>
        <v>1.00186322824647+0.431647255323094j</v>
      </c>
      <c r="K34">
        <f t="shared" si="3"/>
        <v>0.7556494633722044</v>
      </c>
      <c r="L34">
        <f t="shared" si="4"/>
        <v>23.308527742033998</v>
      </c>
      <c r="M34">
        <f t="shared" si="5"/>
        <v>1.0018632282464699</v>
      </c>
      <c r="N34">
        <f t="shared" si="6"/>
        <v>0.431647255323094</v>
      </c>
    </row>
    <row r="35" spans="7:14" x14ac:dyDescent="0.25">
      <c r="G35">
        <v>-2.36</v>
      </c>
      <c r="H35">
        <f t="shared" si="0"/>
        <v>4.4961130720737069E-2</v>
      </c>
      <c r="I35" t="str">
        <f t="shared" si="2"/>
        <v>0.282499115938716j</v>
      </c>
      <c r="J35" t="str">
        <f t="shared" si="1"/>
        <v>1.00204298547421+0.4519893512365j</v>
      </c>
      <c r="K35">
        <f t="shared" si="3"/>
        <v>0.82205152524883973</v>
      </c>
      <c r="L35">
        <f t="shared" si="4"/>
        <v>24.278603929928185</v>
      </c>
      <c r="M35">
        <f t="shared" si="5"/>
        <v>1.0020429854742099</v>
      </c>
      <c r="N35">
        <f t="shared" si="6"/>
        <v>0.45198935123650003</v>
      </c>
    </row>
    <row r="36" spans="7:14" x14ac:dyDescent="0.25">
      <c r="G36">
        <v>-2.34</v>
      </c>
      <c r="H36">
        <f t="shared" si="0"/>
        <v>4.7080083530332134E-2</v>
      </c>
      <c r="I36" t="str">
        <f t="shared" si="2"/>
        <v>0.295812889098571j</v>
      </c>
      <c r="J36" t="str">
        <f t="shared" si="1"/>
        <v>1.00224008461222+0.473290020223298j</v>
      </c>
      <c r="K36">
        <f t="shared" si="3"/>
        <v>0.8937114147771561</v>
      </c>
      <c r="L36">
        <f t="shared" si="4"/>
        <v>25.27818875216407</v>
      </c>
      <c r="M36">
        <f t="shared" si="5"/>
        <v>1.0022400846122199</v>
      </c>
      <c r="N36">
        <f t="shared" si="6"/>
        <v>0.47329002022329802</v>
      </c>
    </row>
    <row r="37" spans="7:14" x14ac:dyDescent="0.25">
      <c r="G37">
        <v>-2.3199999999999998</v>
      </c>
      <c r="H37">
        <f t="shared" si="0"/>
        <v>4.9298899509231754E-2</v>
      </c>
      <c r="I37" t="str">
        <f t="shared" si="2"/>
        <v>0.309754121056528j</v>
      </c>
      <c r="J37" t="str">
        <f t="shared" si="1"/>
        <v>1.0024561986265+0.495594420608097j</v>
      </c>
      <c r="K37">
        <f t="shared" si="3"/>
        <v>0.97094899678643654</v>
      </c>
      <c r="L37">
        <f t="shared" si="4"/>
        <v>26.306876453449341</v>
      </c>
      <c r="M37">
        <f t="shared" si="5"/>
        <v>1.0024561986264999</v>
      </c>
      <c r="N37">
        <f t="shared" si="6"/>
        <v>0.495594420608097</v>
      </c>
    </row>
    <row r="38" spans="7:14" x14ac:dyDescent="0.25">
      <c r="G38">
        <v>-2.2999999999999998</v>
      </c>
      <c r="H38">
        <f t="shared" si="0"/>
        <v>5.1622285063609032E-2</v>
      </c>
      <c r="I38" t="str">
        <f t="shared" si="2"/>
        <v>0.324352383034704j</v>
      </c>
      <c r="J38" t="str">
        <f t="shared" si="1"/>
        <v>1.00269316185737+0.518949836320065j</v>
      </c>
      <c r="K38">
        <f t="shared" si="3"/>
        <v>1.0540884078693604</v>
      </c>
      <c r="L38">
        <f t="shared" si="4"/>
        <v>27.364094401194976</v>
      </c>
      <c r="M38">
        <f t="shared" si="5"/>
        <v>1.00269316185737</v>
      </c>
      <c r="N38">
        <f t="shared" si="6"/>
        <v>0.51894983632006497</v>
      </c>
    </row>
    <row r="39" spans="7:14" x14ac:dyDescent="0.25">
      <c r="G39">
        <v>-2.2799999999999998</v>
      </c>
      <c r="H39">
        <f t="shared" si="0"/>
        <v>5.4055168405726557E-2</v>
      </c>
      <c r="I39" t="str">
        <f t="shared" si="2"/>
        <v>0.339638639903979j</v>
      </c>
      <c r="J39" t="str">
        <f t="shared" si="1"/>
        <v>1.00295298558251+0.543405776678256j</v>
      </c>
      <c r="K39">
        <f t="shared" si="3"/>
        <v>1.143455663659064</v>
      </c>
      <c r="L39">
        <f t="shared" si="4"/>
        <v>28.449093072227289</v>
      </c>
      <c r="M39">
        <f t="shared" si="5"/>
        <v>1.0029529855825099</v>
      </c>
      <c r="N39">
        <f t="shared" si="6"/>
        <v>0.54340577667825596</v>
      </c>
    </row>
    <row r="40" spans="7:14" x14ac:dyDescent="0.25">
      <c r="G40">
        <v>-2.2599999999999998</v>
      </c>
      <c r="H40">
        <f t="shared" si="0"/>
        <v>5.6602710007335348E-2</v>
      </c>
      <c r="I40" t="str">
        <f t="shared" si="2"/>
        <v>0.355645315864636j</v>
      </c>
      <c r="J40" t="str">
        <f t="shared" si="1"/>
        <v>1.00323787508008+0.569014080821728j</v>
      </c>
      <c r="K40">
        <f t="shared" si="3"/>
        <v>1.2393759604687486</v>
      </c>
      <c r="L40">
        <f t="shared" si="4"/>
        <v>29.560937591366979</v>
      </c>
      <c r="M40">
        <f t="shared" si="5"/>
        <v>1.0032378750800801</v>
      </c>
      <c r="N40">
        <f t="shared" si="6"/>
        <v>0.569014080821728</v>
      </c>
    </row>
    <row r="41" spans="7:14" x14ac:dyDescent="0.25">
      <c r="G41">
        <v>-2.2400000000000002</v>
      </c>
      <c r="H41">
        <f t="shared" si="0"/>
        <v>5.9270313545727121E-2</v>
      </c>
      <c r="I41" t="str">
        <f t="shared" si="2"/>
        <v>0.37240636322244j</v>
      </c>
      <c r="J41" t="str">
        <f t="shared" si="1"/>
        <v>1.00355024833673+0.595829026994758j</v>
      </c>
      <c r="K41">
        <f t="shared" si="3"/>
        <v>1.3421706923140533</v>
      </c>
      <c r="L41">
        <f t="shared" si="4"/>
        <v>30.698501223742841</v>
      </c>
      <c r="M41">
        <f t="shared" si="5"/>
        <v>1.00355024833673</v>
      </c>
      <c r="N41">
        <f t="shared" si="6"/>
        <v>0.59582902699475804</v>
      </c>
    </row>
    <row r="42" spans="7:14" x14ac:dyDescent="0.25">
      <c r="G42">
        <v>-2.2200000000000002</v>
      </c>
      <c r="H42">
        <f t="shared" si="0"/>
        <v>6.2063637365658793E-2</v>
      </c>
      <c r="I42" t="str">
        <f t="shared" si="2"/>
        <v>0.389957334406029j</v>
      </c>
      <c r="J42" t="str">
        <f t="shared" si="1"/>
        <v>1.00389275655859+0.623907446906109j</v>
      </c>
      <c r="K42">
        <f t="shared" si="3"/>
        <v>1.4521542169545187</v>
      </c>
      <c r="L42">
        <f t="shared" si="4"/>
        <v>31.860461220013732</v>
      </c>
      <c r="M42">
        <f t="shared" si="5"/>
        <v>1.00389275655859</v>
      </c>
      <c r="N42">
        <f t="shared" si="6"/>
        <v>0.623907446906109</v>
      </c>
    </row>
    <row r="43" spans="7:14" x14ac:dyDescent="0.25">
      <c r="G43">
        <v>-2.2000000000000002</v>
      </c>
      <c r="H43">
        <f t="shared" si="0"/>
        <v>6.4988606481459835E-2</v>
      </c>
      <c r="I43" t="str">
        <f t="shared" si="2"/>
        <v>0.408335457378384j</v>
      </c>
      <c r="J43" t="str">
        <f t="shared" si="1"/>
        <v>1.00426830665907+0.653308845390185j</v>
      </c>
      <c r="K43">
        <f t="shared" si="3"/>
        <v>1.5696304178899219</v>
      </c>
      <c r="L43">
        <f t="shared" si="4"/>
        <v>33.045297392677853</v>
      </c>
      <c r="M43">
        <f t="shared" si="5"/>
        <v>1.0042683066590701</v>
      </c>
      <c r="N43">
        <f t="shared" si="6"/>
        <v>0.65330884539018497</v>
      </c>
    </row>
    <row r="44" spans="7:14" x14ac:dyDescent="0.25">
      <c r="G44">
        <v>-2.1800000000000002</v>
      </c>
      <c r="H44">
        <f t="shared" si="0"/>
        <v>6.8051425144782351E-2</v>
      </c>
      <c r="I44" t="str">
        <f t="shared" si="2"/>
        <v>0.427579714602328j</v>
      </c>
      <c r="J44" t="str">
        <f t="shared" si="1"/>
        <v>1.0046800859136+0.684095525606937j</v>
      </c>
      <c r="K44">
        <f t="shared" si="3"/>
        <v>1.6948891225703728</v>
      </c>
      <c r="L44">
        <f t="shared" si="4"/>
        <v>34.251293760158823</v>
      </c>
      <c r="M44">
        <f t="shared" si="5"/>
        <v>1.0046800859136</v>
      </c>
      <c r="N44">
        <f t="shared" si="6"/>
        <v>0.68409552560693698</v>
      </c>
    </row>
    <row r="45" spans="7:14" x14ac:dyDescent="0.25">
      <c r="G45">
        <v>-2.16</v>
      </c>
      <c r="H45">
        <f t="shared" si="0"/>
        <v>7.1258590004650416E-2</v>
      </c>
      <c r="I45" t="str">
        <f t="shared" si="2"/>
        <v>0.447730925727554j</v>
      </c>
      <c r="J45" t="str">
        <f t="shared" si="1"/>
        <v>1.00513158898986+0.716332720026664j</v>
      </c>
      <c r="K45">
        <f t="shared" si="3"/>
        <v>1.8282024496556648</v>
      </c>
      <c r="L45">
        <f t="shared" si="4"/>
        <v>35.476543532158409</v>
      </c>
      <c r="M45">
        <f t="shared" si="5"/>
        <v>1.00513158898986</v>
      </c>
      <c r="N45">
        <f t="shared" si="6"/>
        <v>0.71633272002666404</v>
      </c>
    </row>
    <row r="46" spans="7:14" x14ac:dyDescent="0.25">
      <c r="G46">
        <v>-2.14</v>
      </c>
      <c r="H46">
        <f t="shared" si="0"/>
        <v>7.4616903887723907E-2</v>
      </c>
      <c r="I46" t="str">
        <f t="shared" si="2"/>
        <v>0.468831834174578j</v>
      </c>
      <c r="J46" t="str">
        <f t="shared" si="1"/>
        <v>1.00562664758218+0.750088727455225j</v>
      </c>
      <c r="K46">
        <f t="shared" si="3"/>
        <v>1.9698211691114449</v>
      </c>
      <c r="L46">
        <f t="shared" si="4"/>
        <v>36.718957625067887</v>
      </c>
      <c r="M46">
        <f t="shared" si="5"/>
        <v>1.00562664758218</v>
      </c>
      <c r="N46">
        <f t="shared" si="6"/>
        <v>0.75008872745522504</v>
      </c>
    </row>
    <row r="47" spans="7:14" x14ac:dyDescent="0.25">
      <c r="G47">
        <v>-2.12</v>
      </c>
      <c r="H47">
        <f t="shared" si="0"/>
        <v>7.813349022800585E-2</v>
      </c>
      <c r="I47" t="str">
        <f t="shared" si="2"/>
        <v>0.490927197799266j</v>
      </c>
      <c r="J47" t="str">
        <f t="shared" si="1"/>
        <v>1.00616946290039+0.785435056364688j</v>
      </c>
      <c r="K47">
        <f t="shared" si="3"/>
        <v>2.1199711673508563</v>
      </c>
      <c r="L47">
        <f t="shared" si="4"/>
        <v>37.976276791905988</v>
      </c>
      <c r="M47">
        <f t="shared" si="5"/>
        <v>1.0061694629003901</v>
      </c>
      <c r="N47">
        <f t="shared" si="6"/>
        <v>0.78543505636468802</v>
      </c>
    </row>
    <row r="48" spans="7:14" x14ac:dyDescent="0.25">
      <c r="G48">
        <v>-2.1</v>
      </c>
      <c r="H48">
        <f t="shared" si="0"/>
        <v>8.1815808176600974E-2</v>
      </c>
      <c r="I48" t="str">
        <f t="shared" si="2"/>
        <v>0.514063883830243j</v>
      </c>
      <c r="J48" t="str">
        <f t="shared" si="1"/>
        <v>1.00676464128779+0.822446574804019j</v>
      </c>
      <c r="K48">
        <f t="shared" si="3"/>
        <v>2.2788501146687237</v>
      </c>
      <c r="L48">
        <f t="shared" si="4"/>
        <v>39.24608733091867</v>
      </c>
      <c r="M48">
        <f t="shared" si="5"/>
        <v>1.00676464128779</v>
      </c>
      <c r="N48">
        <f t="shared" si="6"/>
        <v>0.82244657480401895</v>
      </c>
    </row>
    <row r="49" spans="7:14" x14ac:dyDescent="0.25">
      <c r="G49">
        <v>-2.08</v>
      </c>
      <c r="H49">
        <f t="shared" si="0"/>
        <v>8.567166842357507E-2</v>
      </c>
      <c r="I49" t="str">
        <f t="shared" si="2"/>
        <v>0.538290968280568j</v>
      </c>
      <c r="J49" t="str">
        <f t="shared" si="1"/>
        <v>1.00741723326893+0.861201667174056j</v>
      </c>
      <c r="K49">
        <f t="shared" si="3"/>
        <v>2.4466244331397737</v>
      </c>
      <c r="L49">
        <f t="shared" si="4"/>
        <v>40.525840206069304</v>
      </c>
      <c r="M49">
        <f t="shared" si="5"/>
        <v>1.00741723326893</v>
      </c>
      <c r="N49">
        <f t="shared" si="6"/>
        <v>0.861201667174056</v>
      </c>
    </row>
    <row r="50" spans="7:14" x14ac:dyDescent="0.25">
      <c r="G50">
        <v>-2.06</v>
      </c>
      <c r="H50">
        <f t="shared" si="0"/>
        <v>8.9709249765476257E-2</v>
      </c>
      <c r="I50" t="str">
        <f t="shared" si="2"/>
        <v>0.563659840044544j</v>
      </c>
      <c r="J50" t="str">
        <f t="shared" si="1"/>
        <v>1.00813277635683+0.901782398160544j</v>
      </c>
      <c r="K50">
        <f t="shared" si="3"/>
        <v>2.6234266594679267</v>
      </c>
      <c r="L50">
        <f t="shared" si="4"/>
        <v>41.812873278038566</v>
      </c>
      <c r="M50">
        <f t="shared" si="5"/>
        <v>1.00813277635683</v>
      </c>
      <c r="N50">
        <f t="shared" si="6"/>
        <v>0.90178239816054395</v>
      </c>
    </row>
    <row r="51" spans="7:14" x14ac:dyDescent="0.25">
      <c r="G51">
        <v>-2.04</v>
      </c>
      <c r="H51">
        <f t="shared" si="0"/>
        <v>9.3937116453658612E-2</v>
      </c>
      <c r="I51" t="str">
        <f t="shared" si="2"/>
        <v>0.590224309900445j</v>
      </c>
      <c r="J51" t="str">
        <f t="shared" si="1"/>
        <v>1.00891734198074+0.944274684128444j</v>
      </c>
      <c r="K51">
        <f t="shared" si="3"/>
        <v>2.8093532887760109</v>
      </c>
      <c r="L51">
        <f t="shared" si="4"/>
        <v>43.104436214022968</v>
      </c>
      <c r="M51">
        <f t="shared" si="5"/>
        <v>1.00891734198074</v>
      </c>
      <c r="N51">
        <f t="shared" si="6"/>
        <v>0.94427468412844395</v>
      </c>
    </row>
    <row r="52" spans="7:14" x14ac:dyDescent="0.25">
      <c r="G52">
        <v>-2.02</v>
      </c>
      <c r="H52">
        <f t="shared" si="0"/>
        <v>9.8364236360207885E-2</v>
      </c>
      <c r="I52" t="str">
        <f t="shared" si="2"/>
        <v>0.618040724650398j</v>
      </c>
      <c r="J52" t="str">
        <f t="shared" si="1"/>
        <v>1.00977758693001+0.988768472290052j</v>
      </c>
      <c r="K52">
        <f t="shared" si="3"/>
        <v>3.0044631721671622</v>
      </c>
      <c r="L52">
        <f t="shared" si="4"/>
        <v>44.397717526949371</v>
      </c>
      <c r="M52">
        <f t="shared" si="5"/>
        <v>1.0097775869300101</v>
      </c>
      <c r="N52">
        <f t="shared" si="6"/>
        <v>0.98876847229005205</v>
      </c>
    </row>
    <row r="53" spans="7:14" x14ac:dyDescent="0.25">
      <c r="G53">
        <v>-2</v>
      </c>
      <c r="H53">
        <f t="shared" si="0"/>
        <v>0.10300000000000001</v>
      </c>
      <c r="I53" t="str">
        <f t="shared" si="2"/>
        <v>0.647168086639497j</v>
      </c>
      <c r="J53" t="str">
        <f t="shared" si="1"/>
        <v>1.01072080974768+1.03535792796829j</v>
      </c>
      <c r="K53">
        <f t="shared" si="3"/>
        <v>3.2087765235939099</v>
      </c>
      <c r="L53">
        <f t="shared" si="4"/>
        <v>45.689873097751153</v>
      </c>
      <c r="M53">
        <f t="shared" si="5"/>
        <v>1.0107208097476801</v>
      </c>
      <c r="N53">
        <f t="shared" si="6"/>
        <v>1.0353579279682901</v>
      </c>
    </row>
    <row r="54" spans="7:14" x14ac:dyDescent="0.25">
      <c r="G54">
        <v>-1.98</v>
      </c>
      <c r="H54">
        <f t="shared" si="0"/>
        <v>0.10785424044924259</v>
      </c>
      <c r="I54" t="str">
        <f t="shared" si="2"/>
        <v>0.677668178907695j</v>
      </c>
      <c r="J54" t="str">
        <f t="shared" si="1"/>
        <v>1.01175501254837+1.08414163028517j</v>
      </c>
      <c r="K54">
        <f t="shared" si="3"/>
        <v>3.4222745710093965</v>
      </c>
      <c r="L54">
        <f t="shared" si="4"/>
        <v>46.978055465067861</v>
      </c>
      <c r="M54">
        <f t="shared" si="5"/>
        <v>1.0117550125483701</v>
      </c>
      <c r="N54">
        <f t="shared" si="6"/>
        <v>1.0841416302851701</v>
      </c>
    </row>
    <row r="55" spans="7:14" x14ac:dyDescent="0.25">
      <c r="G55">
        <v>-1.96</v>
      </c>
      <c r="H55">
        <f t="shared" si="0"/>
        <v>0.11293725420274807</v>
      </c>
      <c r="I55" t="str">
        <f t="shared" si="2"/>
        <v>0.709605696239913j</v>
      </c>
      <c r="J55" t="str">
        <f t="shared" si="1"/>
        <v>1.01288896878058+1.13522277661322j</v>
      </c>
      <c r="K55">
        <f t="shared" si="3"/>
        <v>3.6448998641135439</v>
      </c>
      <c r="L55">
        <f t="shared" si="4"/>
        <v>48.259443130202364</v>
      </c>
      <c r="M55">
        <f t="shared" si="5"/>
        <v>1.01288896878058</v>
      </c>
      <c r="N55">
        <f t="shared" si="6"/>
        <v>1.1352227766132199</v>
      </c>
    </row>
    <row r="56" spans="7:14" x14ac:dyDescent="0.25">
      <c r="G56">
        <v>-1.94</v>
      </c>
      <c r="H56">
        <f t="shared" si="0"/>
        <v>0.11825982301417892</v>
      </c>
      <c r="I56" t="str">
        <f t="shared" si="2"/>
        <v>0.743048382392347j</v>
      </c>
      <c r="J56" t="str">
        <f t="shared" si="1"/>
        <v>1.01413229750292+1.18870939613497j</v>
      </c>
      <c r="K56">
        <f t="shared" si="3"/>
        <v>3.8765572275953666</v>
      </c>
      <c r="L56">
        <f t="shared" si="4"/>
        <v>49.531269124191752</v>
      </c>
      <c r="M56">
        <f t="shared" si="5"/>
        <v>1.0141322975029201</v>
      </c>
      <c r="N56">
        <f t="shared" si="6"/>
        <v>1.18870939613497</v>
      </c>
    </row>
    <row r="57" spans="7:14" x14ac:dyDescent="0.25">
      <c r="G57">
        <v>-1.92</v>
      </c>
      <c r="H57">
        <f t="shared" si="0"/>
        <v>0.12383323676559349</v>
      </c>
      <c r="I57" t="str">
        <f t="shared" si="2"/>
        <v>0.778067173786068j</v>
      </c>
      <c r="J57" t="str">
        <f t="shared" si="1"/>
        <v>1.01549554479803+1.24471457286176j</v>
      </c>
      <c r="K57">
        <f t="shared" si="3"/>
        <v>4.117115326033451</v>
      </c>
      <c r="L57">
        <f t="shared" si="4"/>
        <v>50.790848118463714</v>
      </c>
      <c r="M57">
        <f t="shared" si="5"/>
        <v>1.0154955447980301</v>
      </c>
      <c r="N57">
        <f t="shared" si="6"/>
        <v>1.2447145728617599</v>
      </c>
    </row>
    <row r="58" spans="7:14" x14ac:dyDescent="0.25">
      <c r="G58">
        <v>-1.9</v>
      </c>
      <c r="H58">
        <f t="shared" si="0"/>
        <v>0.12966931741479915</v>
      </c>
      <c r="I58" t="str">
        <f t="shared" si="2"/>
        <v>0.814736349972672j</v>
      </c>
      <c r="J58" t="str">
        <f t="shared" si="1"/>
        <v>1.01699027300684+1.30335667846804j</v>
      </c>
      <c r="K58">
        <f t="shared" si="3"/>
        <v>4.3664087859081295</v>
      </c>
      <c r="L58">
        <f t="shared" si="4"/>
        <v>52.035601428173585</v>
      </c>
      <c r="M58">
        <f t="shared" si="5"/>
        <v>1.0169902730068401</v>
      </c>
      <c r="N58">
        <f t="shared" si="6"/>
        <v>1.3033566784680399</v>
      </c>
    </row>
    <row r="59" spans="7:14" x14ac:dyDescent="0.25">
      <c r="G59">
        <v>-1.88</v>
      </c>
      <c r="H59">
        <f t="shared" si="0"/>
        <v>0.13578044407130999</v>
      </c>
      <c r="I59" t="str">
        <f t="shared" si="2"/>
        <v>0.853133691191174j</v>
      </c>
      <c r="J59" t="str">
        <f t="shared" si="1"/>
        <v>1.01862915853105+1.36475961530138j</v>
      </c>
      <c r="K59">
        <f t="shared" si="3"/>
        <v>4.6242408026833006</v>
      </c>
      <c r="L59">
        <f t="shared" si="4"/>
        <v>53.263079352923022</v>
      </c>
      <c r="M59">
        <f t="shared" si="5"/>
        <v>1.0186291585310501</v>
      </c>
      <c r="N59">
        <f t="shared" si="6"/>
        <v>1.3647596153013799</v>
      </c>
    </row>
    <row r="60" spans="7:14" x14ac:dyDescent="0.25">
      <c r="G60">
        <v>-1.86</v>
      </c>
      <c r="H60">
        <f t="shared" si="0"/>
        <v>0.14217957925409702</v>
      </c>
      <c r="I60" t="str">
        <f t="shared" si="2"/>
        <v>0.893340643350318j</v>
      </c>
      <c r="J60" t="str">
        <f t="shared" si="1"/>
        <v>1.02042609902196+1.42905306992944j</v>
      </c>
      <c r="K60">
        <f t="shared" si="3"/>
        <v>4.8903861475103181</v>
      </c>
      <c r="L60">
        <f t="shared" si="4"/>
        <v>54.470980416292527</v>
      </c>
      <c r="M60">
        <f t="shared" si="5"/>
        <v>1.02042609902196</v>
      </c>
      <c r="N60">
        <f t="shared" si="6"/>
        <v>1.4290530699294399</v>
      </c>
    </row>
    <row r="61" spans="7:14" x14ac:dyDescent="0.25">
      <c r="G61">
        <v>-1.84</v>
      </c>
      <c r="H61">
        <f t="shared" si="0"/>
        <v>0.14888029638683051</v>
      </c>
      <c r="I61" t="str">
        <f t="shared" si="2"/>
        <v>0.935442490786276j</v>
      </c>
      <c r="J61" t="str">
        <f t="shared" si="1"/>
        <v>1.02239633085135+1.49637277758578j</v>
      </c>
      <c r="K61">
        <f t="shared" si="3"/>
        <v>5.1645944793524201</v>
      </c>
      <c r="L61">
        <f t="shared" si="4"/>
        <v>55.65716719547757</v>
      </c>
      <c r="M61">
        <f t="shared" si="5"/>
        <v>1.02239633085135</v>
      </c>
      <c r="N61">
        <f t="shared" si="6"/>
        <v>1.49637277758578</v>
      </c>
    </row>
    <row r="62" spans="7:14" x14ac:dyDescent="0.25">
      <c r="G62">
        <v>-1.82</v>
      </c>
      <c r="H62">
        <f t="shared" si="0"/>
        <v>0.1558968085889294</v>
      </c>
      <c r="I62" t="str">
        <f t="shared" si="2"/>
        <v>0.97952853716215j</v>
      </c>
      <c r="J62" t="str">
        <f t="shared" si="1"/>
        <v>1.02455655784443+1.56686079787251j</v>
      </c>
      <c r="K62">
        <f t="shared" si="3"/>
        <v>5.4465938643777667</v>
      </c>
      <c r="L62">
        <f t="shared" si="4"/>
        <v>56.819678566865342</v>
      </c>
      <c r="M62">
        <f t="shared" si="5"/>
        <v>1.02455655784443</v>
      </c>
      <c r="N62">
        <f t="shared" si="6"/>
        <v>1.56686079787251</v>
      </c>
    </row>
    <row r="63" spans="7:14" x14ac:dyDescent="0.25">
      <c r="G63">
        <v>-1.8</v>
      </c>
      <c r="H63">
        <f t="shared" si="0"/>
        <v>0.16324399882349458</v>
      </c>
      <c r="I63" t="str">
        <f t="shared" si="2"/>
        <v>1.02569229489302j</v>
      </c>
      <c r="J63" t="str">
        <f t="shared" si="1"/>
        <v>1.02692509234689+1.64066580207268j</v>
      </c>
      <c r="K63">
        <f t="shared" si="3"/>
        <v>5.7360944051560967</v>
      </c>
      <c r="L63">
        <f t="shared" si="4"/>
        <v>57.956738324696893</v>
      </c>
      <c r="M63">
        <f t="shared" si="5"/>
        <v>1.02692509234689</v>
      </c>
      <c r="N63">
        <f t="shared" si="6"/>
        <v>1.6406658020726801</v>
      </c>
    </row>
    <row r="64" spans="7:14" x14ac:dyDescent="0.25">
      <c r="G64">
        <v>-1.78</v>
      </c>
      <c r="H64">
        <f t="shared" si="0"/>
        <v>0.17093745146606862</v>
      </c>
      <c r="I64" t="str">
        <f t="shared" si="2"/>
        <v>1.07403168349833j</v>
      </c>
      <c r="J64" t="str">
        <f t="shared" si="1"/>
        <v>1.02952200979888+1.71794337241517j</v>
      </c>
      <c r="K64">
        <f t="shared" si="3"/>
        <v>6.0327918870195409</v>
      </c>
      <c r="L64">
        <f t="shared" si="4"/>
        <v>59.066760250974468</v>
      </c>
      <c r="M64">
        <f t="shared" si="5"/>
        <v>1.02952200979888</v>
      </c>
      <c r="N64">
        <f t="shared" si="6"/>
        <v>1.71794337241517</v>
      </c>
    </row>
    <row r="65" spans="7:14" x14ac:dyDescent="0.25">
      <c r="G65">
        <v>-1.76</v>
      </c>
      <c r="H65">
        <f t="shared" si="0"/>
        <v>0.1789934853611857</v>
      </c>
      <c r="I65" t="str">
        <f t="shared" si="2"/>
        <v>1.12464923730227j</v>
      </c>
      <c r="J65" t="str">
        <f t="shared" si="1"/>
        <v>1.03236931809808+1.79885631362106j</v>
      </c>
      <c r="K65">
        <f t="shared" si="3"/>
        <v>6.3363713572045182</v>
      </c>
      <c r="L65">
        <f t="shared" si="4"/>
        <v>60.148349820077129</v>
      </c>
      <c r="M65">
        <f t="shared" si="5"/>
        <v>1.03236931809808</v>
      </c>
      <c r="N65">
        <f t="shared" si="6"/>
        <v>1.79885631362106</v>
      </c>
    </row>
    <row r="66" spans="7:14" x14ac:dyDescent="0.25">
      <c r="G66">
        <v>-1.74</v>
      </c>
      <c r="H66">
        <f t="shared" si="0"/>
        <v>0.18742918843682826</v>
      </c>
      <c r="I66" t="str">
        <f t="shared" si="2"/>
        <v>1.17765232292287j</v>
      </c>
      <c r="J66" t="str">
        <f t="shared" si="1"/>
        <v>1.0354911431538+1.88357497704174j</v>
      </c>
      <c r="K66">
        <f t="shared" si="3"/>
        <v>6.6465105632264656</v>
      </c>
      <c r="L66">
        <f t="shared" si="4"/>
        <v>61.200302807349971</v>
      </c>
      <c r="M66">
        <f t="shared" si="5"/>
        <v>1.0354911431538001</v>
      </c>
      <c r="N66">
        <f t="shared" si="6"/>
        <v>1.88357497704174</v>
      </c>
    </row>
    <row r="67" spans="7:14" x14ac:dyDescent="0.25">
      <c r="G67">
        <v>-1.72</v>
      </c>
      <c r="H67">
        <f t="shared" ref="H67:H130" si="7">$B$3*10^G67</f>
        <v>0.19626245395021438</v>
      </c>
      <c r="I67" t="str">
        <f t="shared" si="2"/>
        <v>1.233153367011j</v>
      </c>
      <c r="J67" t="str">
        <f t="shared" ref="J67:J130" si="8">IMDIV(IMSUM(1,IMPRODUCT(I67,Cg,(Rg+Rf))),IMSUM(1,IMPRODUCT(I67,Cg,Rg)))</f>
        <v>1.03891393216403+1.97227759767406j</v>
      </c>
      <c r="K67">
        <f t="shared" si="3"/>
        <v>6.962883189443402</v>
      </c>
      <c r="L67">
        <f t="shared" si="4"/>
        <v>62.221601135302187</v>
      </c>
      <c r="M67">
        <f t="shared" si="5"/>
        <v>1.0389139321640299</v>
      </c>
      <c r="N67">
        <f t="shared" si="6"/>
        <v>1.9722775976740601</v>
      </c>
    </row>
    <row r="68" spans="7:14" x14ac:dyDescent="0.25">
      <c r="G68">
        <v>-1.7</v>
      </c>
      <c r="H68">
        <f t="shared" si="7"/>
        <v>0.20551201844179456</v>
      </c>
      <c r="I68" t="str">
        <f t="shared" ref="I68:I131" si="9">COMPLEX(0,H68*2*PI(),"j")</f>
        <v>1.2912700947223j</v>
      </c>
      <c r="J68" t="str">
        <f t="shared" si="8"/>
        <v>1.04266667628941+2.06515064430554j</v>
      </c>
      <c r="K68">
        <f t="shared" ref="K68:K131" si="10">20*LOG(IMABS(J68))</f>
        <v>7.2851618440638068</v>
      </c>
      <c r="L68">
        <f t="shared" ref="L68:L131" si="11">DEGREES(IMARGUMENT(J68))</f>
        <v>63.211406333676472</v>
      </c>
      <c r="M68">
        <f t="shared" ref="M68:M131" si="12">IMREAL(J68)</f>
        <v>1.0426666762894099</v>
      </c>
      <c r="N68">
        <f t="shared" ref="N68:N131" si="13">IMAGINARY(J68)</f>
        <v>2.0651506443055401</v>
      </c>
    </row>
    <row r="69" spans="7:14" x14ac:dyDescent="0.25">
      <c r="G69">
        <v>-1.68</v>
      </c>
      <c r="H69">
        <f t="shared" si="7"/>
        <v>0.21519750147796599</v>
      </c>
      <c r="I69" t="str">
        <f t="shared" si="9"/>
        <v>1.35212577942811j</v>
      </c>
      <c r="J69" t="str">
        <f t="shared" si="8"/>
        <v>1.04678115455194+2.162389183004j</v>
      </c>
      <c r="K69">
        <f t="shared" si="10"/>
        <v>7.6130207621669719</v>
      </c>
      <c r="L69">
        <f t="shared" si="11"/>
        <v>64.169051011708774</v>
      </c>
      <c r="M69">
        <f t="shared" si="12"/>
        <v>1.0467811545519401</v>
      </c>
      <c r="N69">
        <f t="shared" si="13"/>
        <v>2.1623891830040001</v>
      </c>
    </row>
    <row r="70" spans="7:14" x14ac:dyDescent="0.25">
      <c r="G70">
        <v>-1.66</v>
      </c>
      <c r="H70">
        <f t="shared" si="7"/>
        <v>0.22533944726680391</v>
      </c>
      <c r="I70" t="str">
        <f t="shared" si="9"/>
        <v>1.41584950419475j</v>
      </c>
      <c r="J70" t="str">
        <f t="shared" si="8"/>
        <v>1.0512922009542+2.26419725411496j</v>
      </c>
      <c r="K70">
        <f t="shared" si="10"/>
        <v>7.9461382029623397</v>
      </c>
      <c r="L70">
        <f t="shared" si="11"/>
        <v>65.094028744485541</v>
      </c>
      <c r="M70">
        <f t="shared" si="12"/>
        <v>1.0512922009542001</v>
      </c>
      <c r="N70">
        <f t="shared" si="13"/>
        <v>2.26419725411496</v>
      </c>
    </row>
    <row r="71" spans="7:14" x14ac:dyDescent="0.25">
      <c r="G71">
        <v>-1.64</v>
      </c>
      <c r="H71">
        <f t="shared" si="7"/>
        <v>0.23595936823508057</v>
      </c>
      <c r="I71" t="str">
        <f t="shared" si="9"/>
        <v>1.48257643558604j</v>
      </c>
      <c r="J71" t="str">
        <f t="shared" si="8"/>
        <v>1.05623799699676+2.37078826287155j</v>
      </c>
      <c r="K71">
        <f t="shared" si="10"/>
        <v>8.2841985310398698</v>
      </c>
      <c r="L71">
        <f t="shared" si="11"/>
        <v>65.985982763432034</v>
      </c>
      <c r="M71">
        <f t="shared" si="12"/>
        <v>1.0562379969967599</v>
      </c>
      <c r="N71">
        <f t="shared" si="13"/>
        <v>2.37078826287155</v>
      </c>
    </row>
    <row r="72" spans="7:14" x14ac:dyDescent="0.25">
      <c r="G72">
        <v>-1.62</v>
      </c>
      <c r="H72">
        <f t="shared" si="7"/>
        <v>0.24707979065900743</v>
      </c>
      <c r="I72" t="str">
        <f t="shared" si="9"/>
        <v>1.55244811036968j</v>
      </c>
      <c r="J72" t="str">
        <f t="shared" si="8"/>
        <v>1.06166039196885+2.48238538364754j</v>
      </c>
      <c r="K72">
        <f t="shared" si="10"/>
        <v>8.6268939813973784</v>
      </c>
      <c r="L72">
        <f t="shared" si="11"/>
        <v>66.844693816802234</v>
      </c>
      <c r="M72">
        <f t="shared" si="12"/>
        <v>1.0616603919688501</v>
      </c>
      <c r="N72">
        <f t="shared" si="13"/>
        <v>2.4823853836475398</v>
      </c>
    </row>
    <row r="73" spans="7:14" x14ac:dyDescent="0.25">
      <c r="G73">
        <v>-1.6</v>
      </c>
      <c r="H73">
        <f t="shared" si="7"/>
        <v>0.25872430244548655</v>
      </c>
      <c r="I73" t="str">
        <f t="shared" si="9"/>
        <v>1.62561273573577j</v>
      </c>
      <c r="J73" t="str">
        <f t="shared" si="8"/>
        <v>1.06760525360178+2.5992219777971j</v>
      </c>
      <c r="K73">
        <f t="shared" si="10"/>
        <v>8.9739261164013424</v>
      </c>
      <c r="L73">
        <f t="shared" si="11"/>
        <v>67.67006753295847</v>
      </c>
      <c r="M73">
        <f t="shared" si="12"/>
        <v>1.0676052536017799</v>
      </c>
      <c r="N73">
        <f t="shared" si="13"/>
        <v>2.5992219777971002</v>
      </c>
    </row>
    <row r="74" spans="7:14" x14ac:dyDescent="0.25">
      <c r="G74">
        <v>-1.58</v>
      </c>
      <c r="H74">
        <f t="shared" si="7"/>
        <v>0.27091760316522423</v>
      </c>
      <c r="I74" t="str">
        <f t="shared" si="9"/>
        <v>1.70222550366405j</v>
      </c>
      <c r="J74" t="str">
        <f t="shared" si="8"/>
        <v>1.07412285190579+2.72154202491979j</v>
      </c>
      <c r="K74">
        <f t="shared" si="10"/>
        <v>9.3250069894757601</v>
      </c>
      <c r="L74">
        <f t="shared" si="11"/>
        <v>68.462121580363004</v>
      </c>
      <c r="M74">
        <f t="shared" si="12"/>
        <v>1.0741228519057899</v>
      </c>
      <c r="N74">
        <f t="shared" si="13"/>
        <v>2.7215420249197901</v>
      </c>
    </row>
    <row r="75" spans="7:14" x14ac:dyDescent="0.25">
      <c r="G75">
        <v>-1.56</v>
      </c>
      <c r="H75">
        <f t="shared" si="7"/>
        <v>0.28368555644383098</v>
      </c>
      <c r="I75" t="str">
        <f t="shared" si="9"/>
        <v>1.78244892010694j</v>
      </c>
      <c r="J75" t="str">
        <f t="shared" si="8"/>
        <v>1.08126827926173+2.84960056726536j</v>
      </c>
      <c r="K75">
        <f t="shared" si="10"/>
        <v>9.6798600352752455</v>
      </c>
      <c r="L75">
        <f t="shared" si="11"/>
        <v>69.220972876339388</v>
      </c>
      <c r="M75">
        <f t="shared" si="12"/>
        <v>1.0812682792617301</v>
      </c>
      <c r="N75">
        <f t="shared" si="13"/>
        <v>2.8496005672653602</v>
      </c>
    </row>
    <row r="76" spans="7:14" x14ac:dyDescent="0.25">
      <c r="G76">
        <v>-1.54</v>
      </c>
      <c r="H76">
        <f t="shared" si="7"/>
        <v>0.29705524482204032</v>
      </c>
      <c r="I76" t="str">
        <f t="shared" si="9"/>
        <v>1.86645314968648j</v>
      </c>
      <c r="J76" t="str">
        <f t="shared" si="8"/>
        <v>1.08910191010907+2.98366416684611j</v>
      </c>
      <c r="K76">
        <f t="shared" si="10"/>
        <v>10.038220709503562</v>
      </c>
      <c r="L76">
        <f t="shared" si="11"/>
        <v>69.946825054164151</v>
      </c>
      <c r="M76">
        <f t="shared" si="12"/>
        <v>1.08910191010907</v>
      </c>
      <c r="N76">
        <f t="shared" si="13"/>
        <v>2.9836641668461099</v>
      </c>
    </row>
    <row r="77" spans="7:14" x14ac:dyDescent="0.25">
      <c r="G77">
        <v>-1.52</v>
      </c>
      <c r="H77">
        <f t="shared" si="7"/>
        <v>0.31105502720140754</v>
      </c>
      <c r="I77" t="str">
        <f t="shared" si="9"/>
        <v>1.95441637663623j</v>
      </c>
      <c r="J77" t="str">
        <f t="shared" si="8"/>
        <v>1.09768990386265+3.12401137465091j</v>
      </c>
      <c r="K77">
        <f t="shared" si="10"/>
        <v>10.399836903564294</v>
      </c>
      <c r="L77">
        <f t="shared" si="11"/>
        <v>70.639956356778399</v>
      </c>
      <c r="M77">
        <f t="shared" si="12"/>
        <v>1.09768990386265</v>
      </c>
      <c r="N77">
        <f t="shared" si="13"/>
        <v>3.1240113746509102</v>
      </c>
    </row>
    <row r="78" spans="7:14" x14ac:dyDescent="0.25">
      <c r="G78">
        <v>-1.5</v>
      </c>
      <c r="H78">
        <f t="shared" si="7"/>
        <v>0.32571459899734301</v>
      </c>
      <c r="I78" t="str">
        <f t="shared" si="9"/>
        <v>2.046525182754j</v>
      </c>
      <c r="J78" t="str">
        <f t="shared" si="8"/>
        <v>1.10710475500371+3.27093321115347j</v>
      </c>
      <c r="K78">
        <f t="shared" si="10"/>
        <v>10.764469160089078</v>
      </c>
      <c r="L78">
        <f t="shared" si="11"/>
        <v>71.300708086757325</v>
      </c>
      <c r="M78">
        <f t="shared" si="12"/>
        <v>1.1071047550037101</v>
      </c>
      <c r="N78">
        <f t="shared" si="13"/>
        <v>3.2709332111534701</v>
      </c>
    </row>
    <row r="79" spans="7:14" x14ac:dyDescent="0.25">
      <c r="G79">
        <v>-1.48</v>
      </c>
      <c r="H79">
        <f t="shared" si="7"/>
        <v>0.34106505512706881</v>
      </c>
      <c r="I79" t="str">
        <f t="shared" si="9"/>
        <v>2.14297494316679j</v>
      </c>
      <c r="J79" t="str">
        <f t="shared" si="8"/>
        <v>1.1174258946259+3.42473365706907j</v>
      </c>
      <c r="K79">
        <f t="shared" si="10"/>
        <v>11.131890715282697</v>
      </c>
      <c r="L79">
        <f t="shared" si="11"/>
        <v>71.929473707073853</v>
      </c>
      <c r="M79">
        <f t="shared" si="12"/>
        <v>1.1174258946258999</v>
      </c>
      <c r="N79">
        <f t="shared" si="13"/>
        <v>3.4247336570690701</v>
      </c>
    </row>
    <row r="80" spans="7:14" x14ac:dyDescent="0.25">
      <c r="G80">
        <v>-1.46</v>
      </c>
      <c r="H80">
        <f t="shared" si="7"/>
        <v>0.35713895596610756</v>
      </c>
      <c r="I80" t="str">
        <f t="shared" si="9"/>
        <v>2.2439702407477j</v>
      </c>
      <c r="J80" t="str">
        <f t="shared" si="8"/>
        <v>1.12874034807632+3.58573015303845j</v>
      </c>
      <c r="K80">
        <f t="shared" si="10"/>
        <v>11.501887393175904</v>
      </c>
      <c r="L80">
        <f t="shared" si="11"/>
        <v>72.526688656199511</v>
      </c>
      <c r="M80">
        <f t="shared" si="12"/>
        <v>1.1287403480763201</v>
      </c>
      <c r="N80">
        <f t="shared" si="13"/>
        <v>3.5857301530384502</v>
      </c>
    </row>
    <row r="81" spans="7:14" x14ac:dyDescent="0.25">
      <c r="G81">
        <v>-1.44</v>
      </c>
      <c r="H81">
        <f t="shared" si="7"/>
        <v>0.3739703964132044</v>
      </c>
      <c r="I81" t="str">
        <f t="shared" si="9"/>
        <v>2.34972530006357j</v>
      </c>
      <c r="J81" t="str">
        <f t="shared" si="8"/>
        <v>1.14114345371416+3.75425410659562j</v>
      </c>
      <c r="K81">
        <f t="shared" si="10"/>
        <v>11.874257375469334</v>
      </c>
      <c r="L81">
        <f t="shared" si="11"/>
        <v>73.092820914441049</v>
      </c>
      <c r="M81">
        <f t="shared" si="12"/>
        <v>1.14114345371416</v>
      </c>
      <c r="N81">
        <f t="shared" si="13"/>
        <v>3.7542541065956199</v>
      </c>
    </row>
    <row r="82" spans="7:14" x14ac:dyDescent="0.25">
      <c r="G82">
        <v>-1.42</v>
      </c>
      <c r="H82">
        <f t="shared" si="7"/>
        <v>0.39159507821017797</v>
      </c>
      <c r="I82" t="str">
        <f t="shared" si="9"/>
        <v>2.46046444177403j</v>
      </c>
      <c r="J82" t="str">
        <f t="shared" si="8"/>
        <v>1.15473964821671+3.93065140440373j</v>
      </c>
      <c r="K82">
        <f t="shared" si="10"/>
        <v>12.248810868863245</v>
      </c>
      <c r="L82">
        <f t="shared" si="11"/>
        <v>73.628362336092565</v>
      </c>
      <c r="M82">
        <f t="shared" si="12"/>
        <v>1.15473964821671</v>
      </c>
      <c r="N82">
        <f t="shared" si="13"/>
        <v>3.9306514044037302</v>
      </c>
    </row>
    <row r="83" spans="7:14" x14ac:dyDescent="0.25">
      <c r="G83">
        <v>-1.4</v>
      </c>
      <c r="H83">
        <f t="shared" si="7"/>
        <v>0.41005038567010221</v>
      </c>
      <c r="I83" t="str">
        <f t="shared" si="9"/>
        <v>2.57642255844571j</v>
      </c>
      <c r="J83" t="str">
        <f t="shared" si="8"/>
        <v>1.16964332429299+4.11528292731157j</v>
      </c>
      <c r="K83">
        <f t="shared" si="10"/>
        <v>12.625369689740593</v>
      </c>
      <c r="L83">
        <f t="shared" si="11"/>
        <v>74.133820743810489</v>
      </c>
      <c r="M83">
        <f t="shared" si="12"/>
        <v>1.16964332429299</v>
      </c>
      <c r="N83">
        <f t="shared" si="13"/>
        <v>4.1152829273115703</v>
      </c>
    </row>
    <row r="84" spans="7:14" x14ac:dyDescent="0.25">
      <c r="G84">
        <v>-1.38</v>
      </c>
      <c r="H84">
        <f t="shared" si="7"/>
        <v>0.42937546497444545</v>
      </c>
      <c r="I84" t="str">
        <f t="shared" si="9"/>
        <v>2.69784561279084j</v>
      </c>
      <c r="J84" t="str">
        <f t="shared" si="8"/>
        <v>1.18597976711964+4.30852506528468j</v>
      </c>
      <c r="K84">
        <f t="shared" si="10"/>
        <v>13.003766783926752</v>
      </c>
      <c r="L84">
        <f t="shared" si="11"/>
        <v>74.609712767252745</v>
      </c>
      <c r="M84">
        <f t="shared" si="12"/>
        <v>1.1859797671196399</v>
      </c>
      <c r="N84">
        <f t="shared" si="13"/>
        <v>4.3085250652846803</v>
      </c>
    </row>
    <row r="85" spans="7:14" x14ac:dyDescent="0.25">
      <c r="G85">
        <v>-1.36</v>
      </c>
      <c r="H85">
        <f t="shared" si="7"/>
        <v>0.44961130720737086</v>
      </c>
      <c r="I85" t="str">
        <f t="shared" si="9"/>
        <v>2.82499115938716j</v>
      </c>
      <c r="J85" t="str">
        <f t="shared" si="8"/>
        <v>1.20388617628925+4.51077022869084j</v>
      </c>
      <c r="K85">
        <f t="shared" si="10"/>
        <v>13.383845697083077</v>
      </c>
      <c r="L85">
        <f t="shared" si="11"/>
        <v>75.056557397095361</v>
      </c>
      <c r="M85">
        <f t="shared" si="12"/>
        <v>1.2038861762892501</v>
      </c>
      <c r="N85">
        <f t="shared" si="13"/>
        <v>4.5107702286908404</v>
      </c>
    </row>
    <row r="86" spans="7:14" x14ac:dyDescent="0.25">
      <c r="G86">
        <v>-1.34</v>
      </c>
      <c r="H86">
        <f t="shared" si="7"/>
        <v>0.47080083530332106</v>
      </c>
      <c r="I86" t="str">
        <f t="shared" si="9"/>
        <v>2.9581288909857j</v>
      </c>
      <c r="J86" t="str">
        <f t="shared" si="8"/>
        <v>1.22351278055708+4.72242735175839j</v>
      </c>
      <c r="K86">
        <f t="shared" si="10"/>
        <v>13.765460009174227</v>
      </c>
      <c r="L86">
        <f t="shared" si="11"/>
        <v>75.474870217596219</v>
      </c>
      <c r="M86">
        <f t="shared" si="12"/>
        <v>1.22351278055708</v>
      </c>
      <c r="N86">
        <f t="shared" si="13"/>
        <v>4.7224273517583901</v>
      </c>
    </row>
    <row r="87" spans="7:14" x14ac:dyDescent="0.25">
      <c r="G87">
        <v>-1.32</v>
      </c>
      <c r="H87">
        <f t="shared" si="7"/>
        <v>0.49298899509231742</v>
      </c>
      <c r="I87" t="str">
        <f t="shared" si="9"/>
        <v>3.09754121056528j</v>
      </c>
      <c r="J87" t="str">
        <f t="shared" si="8"/>
        <v>1.24502405318411+4.94392238326737j</v>
      </c>
      <c r="K87">
        <f t="shared" si="10"/>
        <v>14.148472744434951</v>
      </c>
      <c r="L87">
        <f t="shared" si="11"/>
        <v>75.865158275502594</v>
      </c>
      <c r="M87">
        <f t="shared" si="12"/>
        <v>1.2450240531841099</v>
      </c>
      <c r="N87">
        <f t="shared" si="13"/>
        <v>4.9439223832673704</v>
      </c>
    </row>
    <row r="88" spans="7:14" x14ac:dyDescent="0.25">
      <c r="G88">
        <v>-1.3</v>
      </c>
      <c r="H88">
        <f t="shared" si="7"/>
        <v>0.5162228506360903</v>
      </c>
      <c r="I88" t="str">
        <f t="shared" si="9"/>
        <v>3.24352383034704j</v>
      </c>
      <c r="J88" t="str">
        <f t="shared" si="8"/>
        <v>1.26860003619876+5.17569875866338j</v>
      </c>
      <c r="K88">
        <f t="shared" si="10"/>
        <v>14.532755766383659</v>
      </c>
      <c r="L88">
        <f t="shared" si="11"/>
        <v>76.227915539859296</v>
      </c>
      <c r="M88">
        <f t="shared" si="12"/>
        <v>1.2686000361987599</v>
      </c>
      <c r="N88">
        <f t="shared" si="13"/>
        <v>5.1756987586633798</v>
      </c>
    </row>
    <row r="89" spans="7:14" x14ac:dyDescent="0.25">
      <c r="G89">
        <v>-1.28</v>
      </c>
      <c r="H89">
        <f t="shared" si="7"/>
        <v>0.54055168405726561</v>
      </c>
      <c r="I89" t="str">
        <f t="shared" si="9"/>
        <v>3.39638639903979j</v>
      </c>
      <c r="J89" t="str">
        <f t="shared" si="8"/>
        <v>1.29443778242995+5.41821784678993j</v>
      </c>
      <c r="K89">
        <f t="shared" si="10"/>
        <v>14.918189165711356</v>
      </c>
      <c r="L89">
        <f t="shared" si="11"/>
        <v>76.563618905796901</v>
      </c>
      <c r="M89">
        <f t="shared" si="12"/>
        <v>1.29443778242995</v>
      </c>
      <c r="N89">
        <f t="shared" si="13"/>
        <v>5.41821784678993</v>
      </c>
    </row>
    <row r="90" spans="7:14" x14ac:dyDescent="0.25">
      <c r="G90">
        <v>-1.26</v>
      </c>
      <c r="H90">
        <f t="shared" si="7"/>
        <v>0.56602710007335311</v>
      </c>
      <c r="I90" t="str">
        <f t="shared" si="9"/>
        <v>3.55645315864636j</v>
      </c>
      <c r="J90" t="str">
        <f t="shared" si="8"/>
        <v>1.32275292469306+5.67195936329839j</v>
      </c>
      <c r="K90">
        <f t="shared" si="10"/>
        <v>15.304660647321711</v>
      </c>
      <c r="L90">
        <f t="shared" si="11"/>
        <v>76.872724695296938</v>
      </c>
      <c r="M90">
        <f t="shared" si="12"/>
        <v>1.3227529246930601</v>
      </c>
      <c r="N90">
        <f t="shared" si="13"/>
        <v>5.6719593632983898</v>
      </c>
    </row>
    <row r="91" spans="7:14" x14ac:dyDescent="0.25">
      <c r="G91">
        <v>-1.24</v>
      </c>
      <c r="H91">
        <f t="shared" si="7"/>
        <v>0.5927031354572716</v>
      </c>
      <c r="I91" t="str">
        <f t="shared" si="9"/>
        <v>3.7240636322244j</v>
      </c>
      <c r="J91" t="str">
        <f t="shared" si="8"/>
        <v>1.3537813820273+5.93742174150198j</v>
      </c>
      <c r="K91">
        <f t="shared" si="10"/>
        <v>15.692064921419167</v>
      </c>
      <c r="L91">
        <f t="shared" si="11"/>
        <v>77.155665608953811</v>
      </c>
      <c r="M91">
        <f t="shared" si="12"/>
        <v>1.3537813820272999</v>
      </c>
      <c r="N91">
        <f t="shared" si="13"/>
        <v>5.9374217415019803</v>
      </c>
    </row>
    <row r="92" spans="7:14" x14ac:dyDescent="0.25">
      <c r="G92">
        <v>-1.22</v>
      </c>
      <c r="H92">
        <f t="shared" si="7"/>
        <v>0.62063637365658819</v>
      </c>
      <c r="I92" t="str">
        <f t="shared" si="9"/>
        <v>3.89957334406029j</v>
      </c>
      <c r="J92" t="str">
        <f t="shared" si="8"/>
        <v>1.38778121337548+6.21512244996836j</v>
      </c>
      <c r="K92">
        <f t="shared" si="10"/>
        <v>16.080303102325825</v>
      </c>
      <c r="L92">
        <f t="shared" si="11"/>
        <v>77.412848084602757</v>
      </c>
      <c r="M92">
        <f t="shared" si="12"/>
        <v>1.3877812133754801</v>
      </c>
      <c r="N92">
        <f t="shared" si="13"/>
        <v>6.2151224499683604</v>
      </c>
    </row>
    <row r="93" spans="7:14" x14ac:dyDescent="0.25">
      <c r="G93">
        <v>-1.2</v>
      </c>
      <c r="H93">
        <f t="shared" si="7"/>
        <v>0.64988606481459898</v>
      </c>
      <c r="I93" t="str">
        <f t="shared" si="9"/>
        <v>4.08335457378385j</v>
      </c>
      <c r="J93" t="str">
        <f t="shared" si="8"/>
        <v>1.42503462954855+6.50559824447682j</v>
      </c>
      <c r="K93">
        <f t="shared" si="10"/>
        <v>16.469282117651268</v>
      </c>
      <c r="L93">
        <f t="shared" si="11"/>
        <v>77.644650021151392</v>
      </c>
      <c r="M93">
        <f t="shared" si="12"/>
        <v>1.4250346295485501</v>
      </c>
      <c r="N93">
        <f t="shared" si="13"/>
        <v>6.5055982444768201</v>
      </c>
    </row>
    <row r="94" spans="7:14" x14ac:dyDescent="0.25">
      <c r="G94">
        <v>-1.18</v>
      </c>
      <c r="H94">
        <f t="shared" si="7"/>
        <v>0.68051425144782374</v>
      </c>
      <c r="I94" t="str">
        <f t="shared" si="9"/>
        <v>4.27579714602328j</v>
      </c>
      <c r="J94" t="str">
        <f t="shared" si="8"/>
        <v>1.4658501747075+6.80940534007743j</v>
      </c>
      <c r="K94">
        <f t="shared" si="10"/>
        <v>16.858914129528728</v>
      </c>
      <c r="L94">
        <f t="shared" si="11"/>
        <v>77.851418828853539</v>
      </c>
      <c r="M94">
        <f t="shared" si="12"/>
        <v>1.4658501747074999</v>
      </c>
      <c r="N94">
        <f t="shared" si="13"/>
        <v>6.8094053400774301</v>
      </c>
    </row>
    <row r="95" spans="7:14" x14ac:dyDescent="0.25">
      <c r="G95">
        <v>-1.1599999999999999</v>
      </c>
      <c r="H95">
        <f t="shared" si="7"/>
        <v>0.71258590004650457</v>
      </c>
      <c r="I95" t="str">
        <f t="shared" si="9"/>
        <v>4.47730925727554j</v>
      </c>
      <c r="J95" t="str">
        <f t="shared" si="8"/>
        <v>1.51056508889944+7.12711948685732j</v>
      </c>
      <c r="K95">
        <f t="shared" si="10"/>
        <v>17.249115968854102</v>
      </c>
      <c r="L95">
        <f t="shared" si="11"/>
        <v>78.033469770452783</v>
      </c>
      <c r="M95">
        <f t="shared" si="12"/>
        <v>1.51056508889944</v>
      </c>
      <c r="N95">
        <f t="shared" si="13"/>
        <v>7.1271194868573202</v>
      </c>
    </row>
    <row r="96" spans="7:14" x14ac:dyDescent="0.25">
      <c r="G96">
        <v>-1.1399999999999999</v>
      </c>
      <c r="H96">
        <f t="shared" si="7"/>
        <v>0.74616903887723962</v>
      </c>
      <c r="I96" t="str">
        <f t="shared" si="9"/>
        <v>4.68831834174579j</v>
      </c>
      <c r="J96" t="str">
        <f t="shared" si="8"/>
        <v>1.55954786337218+7.45933593061835j</v>
      </c>
      <c r="K96">
        <f t="shared" si="10"/>
        <v>17.639808582807067</v>
      </c>
      <c r="L96">
        <f t="shared" si="11"/>
        <v>78.191084560986127</v>
      </c>
      <c r="M96">
        <f t="shared" si="12"/>
        <v>1.55954786337218</v>
      </c>
      <c r="N96">
        <f t="shared" si="13"/>
        <v>7.4593359306183498</v>
      </c>
    </row>
    <row r="97" spans="7:14" x14ac:dyDescent="0.25">
      <c r="G97">
        <v>-1.1200000000000001</v>
      </c>
      <c r="H97">
        <f t="shared" si="7"/>
        <v>0.78133490228005908</v>
      </c>
      <c r="I97" t="str">
        <f t="shared" si="9"/>
        <v>4.90927197799267j</v>
      </c>
      <c r="J97" t="str">
        <f t="shared" si="8"/>
        <v>1.61320100042471+7.80666923697608j</v>
      </c>
      <c r="K97">
        <f t="shared" si="10"/>
        <v>18.030916495384236</v>
      </c>
      <c r="L97">
        <f t="shared" si="11"/>
        <v>78.324510197497261</v>
      </c>
      <c r="M97">
        <f t="shared" si="12"/>
        <v>1.6132010004247099</v>
      </c>
      <c r="N97">
        <f t="shared" si="13"/>
        <v>7.80666923697608</v>
      </c>
    </row>
    <row r="98" spans="7:14" x14ac:dyDescent="0.25">
      <c r="G98">
        <v>-1.1000000000000001</v>
      </c>
      <c r="H98">
        <f t="shared" si="7"/>
        <v>0.81815808176600946</v>
      </c>
      <c r="I98" t="str">
        <f t="shared" si="9"/>
        <v>5.14063883830242j</v>
      </c>
      <c r="J98" t="str">
        <f t="shared" si="8"/>
        <v>1.67196398938557+8.16975295437545j</v>
      </c>
      <c r="K98">
        <f t="shared" si="10"/>
        <v>18.422367280219316</v>
      </c>
      <c r="L98">
        <f t="shared" si="11"/>
        <v>78.433957993389058</v>
      </c>
      <c r="M98">
        <f t="shared" si="12"/>
        <v>1.67196398938557</v>
      </c>
      <c r="N98">
        <f t="shared" si="13"/>
        <v>8.1697529543754506</v>
      </c>
    </row>
    <row r="99" spans="7:14" x14ac:dyDescent="0.25">
      <c r="G99">
        <v>-1.08</v>
      </c>
      <c r="H99">
        <f t="shared" si="7"/>
        <v>0.85671668423575098</v>
      </c>
      <c r="I99" t="str">
        <f t="shared" si="9"/>
        <v>5.38290968280568j</v>
      </c>
      <c r="J99" t="str">
        <f t="shared" si="8"/>
        <v>1.73631650989224+8.54923908815775j</v>
      </c>
      <c r="K99">
        <f t="shared" si="10"/>
        <v>18.814091044592239</v>
      </c>
      <c r="L99">
        <f t="shared" si="11"/>
        <v>78.519602795614361</v>
      </c>
      <c r="M99">
        <f t="shared" si="12"/>
        <v>1.73631650989224</v>
      </c>
      <c r="N99">
        <f t="shared" si="13"/>
        <v>8.5492390881577496</v>
      </c>
    </row>
    <row r="100" spans="7:14" x14ac:dyDescent="0.25">
      <c r="G100">
        <v>-1.06</v>
      </c>
      <c r="H100">
        <f t="shared" si="7"/>
        <v>0.89709249765476262</v>
      </c>
      <c r="I100" t="str">
        <f t="shared" si="9"/>
        <v>5.63659840044544j</v>
      </c>
      <c r="J100" t="str">
        <f t="shared" si="8"/>
        <v>1.80678187290776+8.94579735408326j</v>
      </c>
      <c r="K100">
        <f t="shared" si="10"/>
        <v>19.206019923229579</v>
      </c>
      <c r="L100">
        <f t="shared" si="11"/>
        <v>78.581582366333507</v>
      </c>
      <c r="M100">
        <f t="shared" si="12"/>
        <v>1.80678187290776</v>
      </c>
      <c r="N100">
        <f t="shared" si="13"/>
        <v>8.9457973540832594</v>
      </c>
    </row>
    <row r="101" spans="7:14" x14ac:dyDescent="0.25">
      <c r="G101">
        <v>-1.04</v>
      </c>
      <c r="H101">
        <f t="shared" si="7"/>
        <v>0.93937116453658676</v>
      </c>
      <c r="I101" t="str">
        <f t="shared" si="9"/>
        <v>5.90224309900446j</v>
      </c>
      <c r="J101" t="str">
        <f t="shared" si="8"/>
        <v>1.88393070878058+9.36011417559276j</v>
      </c>
      <c r="K101">
        <f t="shared" si="10"/>
        <v>19.598087580262455</v>
      </c>
      <c r="L101">
        <f t="shared" si="11"/>
        <v>78.619996914036676</v>
      </c>
      <c r="M101">
        <f t="shared" si="12"/>
        <v>1.8839307087805801</v>
      </c>
      <c r="N101">
        <f t="shared" si="13"/>
        <v>9.3601141755927593</v>
      </c>
    </row>
    <row r="102" spans="7:14" x14ac:dyDescent="0.25">
      <c r="G102">
        <v>-1.02</v>
      </c>
      <c r="H102">
        <f t="shared" si="7"/>
        <v>0.9836423636020788</v>
      </c>
      <c r="I102" t="str">
        <f t="shared" si="9"/>
        <v>6.18040724650398j</v>
      </c>
      <c r="J102" t="str">
        <f t="shared" si="8"/>
        <v>1.96838491003777+9.79289138455993j</v>
      </c>
      <c r="K102">
        <f t="shared" si="10"/>
        <v>19.990228717525962</v>
      </c>
      <c r="L102">
        <f t="shared" si="11"/>
        <v>78.634908762445392</v>
      </c>
      <c r="M102">
        <f t="shared" si="12"/>
        <v>1.9683849100377699</v>
      </c>
      <c r="N102">
        <f t="shared" si="13"/>
        <v>9.7928913845599297</v>
      </c>
    </row>
    <row r="103" spans="7:14" x14ac:dyDescent="0.25">
      <c r="G103">
        <v>-1</v>
      </c>
      <c r="H103">
        <f t="shared" si="7"/>
        <v>1.03</v>
      </c>
      <c r="I103" t="str">
        <f t="shared" si="9"/>
        <v>6.47168086639497j</v>
      </c>
      <c r="J103" t="str">
        <f t="shared" si="8"/>
        <v>2.06082183439632+10.2448445803389j</v>
      </c>
      <c r="K103">
        <f t="shared" si="10"/>
        <v>20.382378587253612</v>
      </c>
      <c r="L103">
        <f t="shared" si="11"/>
        <v>78.626342148768316</v>
      </c>
      <c r="M103">
        <f t="shared" si="12"/>
        <v>2.0608218343963198</v>
      </c>
      <c r="N103">
        <f t="shared" si="13"/>
        <v>10.244844580338899</v>
      </c>
    </row>
    <row r="104" spans="7:14" x14ac:dyDescent="0.25">
      <c r="G104">
        <v>-0.98</v>
      </c>
      <c r="H104">
        <f t="shared" si="7"/>
        <v>1.0785424044924268</v>
      </c>
      <c r="I104" t="str">
        <f t="shared" si="9"/>
        <v>6.77668178907696j</v>
      </c>
      <c r="J104" t="str">
        <f t="shared" si="8"/>
        <v>2.16197877055882+10.7167010965433j</v>
      </c>
      <c r="K104">
        <f t="shared" si="10"/>
        <v>20.774472507132785</v>
      </c>
      <c r="L104">
        <f t="shared" si="11"/>
        <v>78.594283146103365</v>
      </c>
      <c r="M104">
        <f t="shared" si="12"/>
        <v>2.1619787705588198</v>
      </c>
      <c r="N104">
        <f t="shared" si="13"/>
        <v>10.7167010965433</v>
      </c>
    </row>
    <row r="105" spans="7:14" x14ac:dyDescent="0.25">
      <c r="G105">
        <v>-0.96</v>
      </c>
      <c r="H105">
        <f t="shared" si="7"/>
        <v>1.1293725420274805</v>
      </c>
      <c r="I105" t="str">
        <f t="shared" si="9"/>
        <v>7.09605696239913j</v>
      </c>
      <c r="J105" t="str">
        <f t="shared" si="8"/>
        <v>2.27265766558674+11.2091975192204j</v>
      </c>
      <c r="K105">
        <f t="shared" si="10"/>
        <v>21.166445375642521</v>
      </c>
      <c r="L105">
        <f t="shared" si="11"/>
        <v>78.538679707967233</v>
      </c>
      <c r="M105">
        <f t="shared" si="12"/>
        <v>2.2726576655867401</v>
      </c>
      <c r="N105">
        <f t="shared" si="13"/>
        <v>11.2091975192204</v>
      </c>
    </row>
    <row r="106" spans="7:14" x14ac:dyDescent="0.25">
      <c r="G106">
        <v>-0.94</v>
      </c>
      <c r="H106">
        <f t="shared" si="7"/>
        <v>1.1825982301417894</v>
      </c>
      <c r="I106" t="str">
        <f t="shared" si="9"/>
        <v>7.43048382392347j</v>
      </c>
      <c r="J106" t="str">
        <f t="shared" si="8"/>
        <v>2.39373010785453+11.7230766939363j</v>
      </c>
      <c r="K106">
        <f t="shared" si="10"/>
        <v>21.558231185589069</v>
      </c>
      <c r="L106">
        <f t="shared" si="11"/>
        <v>78.459441836112859</v>
      </c>
      <c r="M106">
        <f t="shared" si="12"/>
        <v>2.3937301078545299</v>
      </c>
      <c r="N106">
        <f t="shared" si="13"/>
        <v>11.723076693936299</v>
      </c>
    </row>
    <row r="107" spans="7:14" x14ac:dyDescent="0.25">
      <c r="G107">
        <v>-0.92</v>
      </c>
      <c r="H107">
        <f t="shared" si="7"/>
        <v>1.2383323676559352</v>
      </c>
      <c r="I107" t="str">
        <f t="shared" si="9"/>
        <v>7.78067173786068j</v>
      </c>
      <c r="J107" t="str">
        <f t="shared" si="8"/>
        <v>2.52614255359862+12.2590841528214j</v>
      </c>
      <c r="K107">
        <f t="shared" si="10"/>
        <v>21.949762533789347</v>
      </c>
      <c r="L107">
        <f t="shared" si="11"/>
        <v>78.356441875977211</v>
      </c>
      <c r="M107">
        <f t="shared" si="12"/>
        <v>2.5261425535986199</v>
      </c>
      <c r="N107">
        <f t="shared" si="13"/>
        <v>12.2590841528214</v>
      </c>
    </row>
    <row r="108" spans="7:14" x14ac:dyDescent="0.25">
      <c r="G108">
        <v>-0.9</v>
      </c>
      <c r="H108">
        <f t="shared" si="7"/>
        <v>1.2966931741479919</v>
      </c>
      <c r="I108" t="str">
        <f t="shared" si="9"/>
        <v>8.14736349972672j</v>
      </c>
      <c r="J108" t="str">
        <f t="shared" si="8"/>
        <v>2.67092177768+12.8179638859249j</v>
      </c>
      <c r="K108">
        <f t="shared" si="10"/>
        <v>22.340970124927718</v>
      </c>
      <c r="L108">
        <f t="shared" si="11"/>
        <v>78.229514947312623</v>
      </c>
      <c r="M108">
        <f t="shared" si="12"/>
        <v>2.6709217776799998</v>
      </c>
      <c r="N108">
        <f t="shared" si="13"/>
        <v>12.8179638859249</v>
      </c>
    </row>
    <row r="109" spans="7:14" x14ac:dyDescent="0.25">
      <c r="G109">
        <v>-0.88</v>
      </c>
      <c r="H109">
        <f t="shared" si="7"/>
        <v>1.3578044407130994</v>
      </c>
      <c r="I109" t="str">
        <f t="shared" si="9"/>
        <v>8.53133691191174j</v>
      </c>
      <c r="J109" t="str">
        <f t="shared" si="8"/>
        <v>2.82918052015223+13.4004533744168j</v>
      </c>
      <c r="K109">
        <f t="shared" si="10"/>
        <v>22.731782267730445</v>
      </c>
      <c r="L109">
        <f t="shared" si="11"/>
        <v>78.078459520800649</v>
      </c>
      <c r="M109">
        <f t="shared" si="12"/>
        <v>2.8291805201522302</v>
      </c>
      <c r="N109">
        <f t="shared" si="13"/>
        <v>13.4004533744168</v>
      </c>
    </row>
    <row r="110" spans="7:14" x14ac:dyDescent="0.25">
      <c r="G110">
        <v>-0.86</v>
      </c>
      <c r="H110">
        <f t="shared" si="7"/>
        <v>1.421795792540971</v>
      </c>
      <c r="I110" t="str">
        <f t="shared" si="9"/>
        <v>8.93340643350318j</v>
      </c>
      <c r="J110" t="str">
        <f t="shared" si="8"/>
        <v>3.00212328931982+14.0072777964294j</v>
      </c>
      <c r="K110">
        <f t="shared" si="10"/>
        <v>23.122124361769565</v>
      </c>
      <c r="L110">
        <f t="shared" si="11"/>
        <v>77.903038154748856</v>
      </c>
      <c r="M110">
        <f t="shared" si="12"/>
        <v>3.0021232893198202</v>
      </c>
      <c r="N110">
        <f t="shared" si="13"/>
        <v>14.007277796429401</v>
      </c>
    </row>
    <row r="111" spans="7:14" x14ac:dyDescent="0.25">
      <c r="G111">
        <v>-0.84</v>
      </c>
      <c r="H111">
        <f t="shared" si="7"/>
        <v>1.4888029638683051</v>
      </c>
      <c r="I111" t="str">
        <f t="shared" si="9"/>
        <v>9.35442490786276j</v>
      </c>
      <c r="J111" t="str">
        <f t="shared" si="8"/>
        <v>3.19105226892325+14.6391433098789j</v>
      </c>
      <c r="K111">
        <f t="shared" si="10"/>
        <v>23.511918373428529</v>
      </c>
      <c r="L111">
        <f t="shared" si="11"/>
        <v>77.702978409325283</v>
      </c>
      <c r="M111">
        <f t="shared" si="12"/>
        <v>3.1910522689232499</v>
      </c>
      <c r="N111">
        <f t="shared" si="13"/>
        <v>14.6391433098789</v>
      </c>
    </row>
    <row r="112" spans="7:14" x14ac:dyDescent="0.25">
      <c r="G112">
        <v>-0.82</v>
      </c>
      <c r="H112">
        <f t="shared" si="7"/>
        <v>1.5589680858892943</v>
      </c>
      <c r="I112" t="str">
        <f t="shared" si="9"/>
        <v>9.7952853716215j</v>
      </c>
      <c r="J112" t="str">
        <f t="shared" si="8"/>
        <v>3.3973732616209+15.2967293107564j</v>
      </c>
      <c r="K112">
        <f t="shared" si="10"/>
        <v>23.901082299843658</v>
      </c>
      <c r="L112">
        <f t="shared" si="11"/>
        <v>77.477973959200611</v>
      </c>
      <c r="M112">
        <f t="shared" si="12"/>
        <v>3.3973732616209</v>
      </c>
      <c r="N112">
        <f t="shared" si="13"/>
        <v>15.296729310756399</v>
      </c>
    </row>
    <row r="113" spans="7:14" x14ac:dyDescent="0.25">
      <c r="G113">
        <v>-0.8</v>
      </c>
      <c r="H113">
        <f t="shared" si="7"/>
        <v>1.6324399882349467</v>
      </c>
      <c r="I113" t="str">
        <f t="shared" si="9"/>
        <v>10.2569229489302j</v>
      </c>
      <c r="J113" t="str">
        <f t="shared" si="8"/>
        <v>3.62260158278125+15.980679560523j</v>
      </c>
      <c r="K113">
        <f t="shared" si="10"/>
        <v>24.289529619989306</v>
      </c>
      <c r="L113">
        <f t="shared" si="11"/>
        <v>77.227685928927997</v>
      </c>
      <c r="M113">
        <f t="shared" si="12"/>
        <v>3.6226015827812499</v>
      </c>
      <c r="N113">
        <f t="shared" si="13"/>
        <v>15.980679560523001</v>
      </c>
    </row>
    <row r="114" spans="7:14" x14ac:dyDescent="0.25">
      <c r="G114">
        <v>-0.78</v>
      </c>
      <c r="H114">
        <f t="shared" si="7"/>
        <v>1.7093745146606869</v>
      </c>
      <c r="I114" t="str">
        <f t="shared" si="9"/>
        <v>10.7403168349833j</v>
      </c>
      <c r="J114" t="str">
        <f t="shared" si="8"/>
        <v>3.86836779748587+16.6915920728651j</v>
      </c>
      <c r="K114">
        <f t="shared" si="10"/>
        <v>24.677168732502892</v>
      </c>
      <c r="L114">
        <f t="shared" si="11"/>
        <v>76.951744478870339</v>
      </c>
      <c r="M114">
        <f t="shared" si="12"/>
        <v>3.8683677974858699</v>
      </c>
      <c r="N114">
        <f t="shared" si="13"/>
        <v>16.691592072865099</v>
      </c>
    </row>
    <row r="115" spans="7:14" x14ac:dyDescent="0.25">
      <c r="G115">
        <v>-0.76</v>
      </c>
      <c r="H115">
        <f t="shared" si="7"/>
        <v>1.7899348536118562</v>
      </c>
      <c r="I115" t="str">
        <f t="shared" si="9"/>
        <v>11.2464923730227j</v>
      </c>
      <c r="J115" t="str">
        <f t="shared" si="8"/>
        <v>4.13642316934241+17.430007648795j</v>
      </c>
      <c r="K115">
        <f t="shared" si="10"/>
        <v>25.063902380371612</v>
      </c>
      <c r="L115">
        <f t="shared" si="11"/>
        <v>76.649750672957907</v>
      </c>
      <c r="M115">
        <f t="shared" si="12"/>
        <v>4.1364231693424101</v>
      </c>
      <c r="N115">
        <f t="shared" si="13"/>
        <v>17.430007648795002</v>
      </c>
    </row>
    <row r="116" spans="7:14" x14ac:dyDescent="0.25">
      <c r="G116">
        <v>-0.74</v>
      </c>
      <c r="H116">
        <f t="shared" si="7"/>
        <v>1.874291884368283</v>
      </c>
      <c r="I116" t="str">
        <f t="shared" si="9"/>
        <v>11.7765232292287j</v>
      </c>
      <c r="J116" t="str">
        <f t="shared" si="8"/>
        <v>4.42864466204137+18.1963969506491j</v>
      </c>
      <c r="K116">
        <f t="shared" si="10"/>
        <v>25.449627063229276</v>
      </c>
      <c r="L116">
        <f t="shared" si="11"/>
        <v>76.321278662950803</v>
      </c>
      <c r="M116">
        <f t="shared" si="12"/>
        <v>4.4286446620413704</v>
      </c>
      <c r="N116">
        <f t="shared" si="13"/>
        <v>18.196396950649099</v>
      </c>
    </row>
    <row r="117" spans="7:14" x14ac:dyDescent="0.25">
      <c r="G117">
        <v>-0.72</v>
      </c>
      <c r="H117">
        <f t="shared" si="7"/>
        <v>1.9626245395021447</v>
      </c>
      <c r="I117" t="str">
        <f t="shared" si="9"/>
        <v>12.33153367011j</v>
      </c>
      <c r="J117" t="str">
        <f t="shared" si="8"/>
        <v>4.74703930346511+18.9911460108335j</v>
      </c>
      <c r="K117">
        <f t="shared" si="10"/>
        <v>25.834232438752416</v>
      </c>
      <c r="L117">
        <f t="shared" si="11"/>
        <v>75.96587822713056</v>
      </c>
      <c r="M117">
        <f t="shared" si="12"/>
        <v>4.7470393034651099</v>
      </c>
      <c r="N117">
        <f t="shared" si="13"/>
        <v>18.9911460108335</v>
      </c>
    </row>
    <row r="118" spans="7:14" x14ac:dyDescent="0.25">
      <c r="G118">
        <v>-0.7</v>
      </c>
      <c r="H118">
        <f t="shared" si="7"/>
        <v>2.0551201844179459</v>
      </c>
      <c r="I118" t="str">
        <f t="shared" si="9"/>
        <v>12.912700947223j</v>
      </c>
      <c r="J118" t="str">
        <f t="shared" si="8"/>
        <v>5.09374768761708+19.8145400812595j</v>
      </c>
      <c r="K118">
        <f t="shared" si="10"/>
        <v>26.217600715520412</v>
      </c>
      <c r="L118">
        <f t="shared" si="11"/>
        <v>75.583077704336787</v>
      </c>
      <c r="M118">
        <f t="shared" si="12"/>
        <v>5.0937476876170802</v>
      </c>
      <c r="N118">
        <f t="shared" si="13"/>
        <v>19.814540081259501</v>
      </c>
    </row>
    <row r="119" spans="7:14" x14ac:dyDescent="0.25">
      <c r="G119">
        <v>-0.68</v>
      </c>
      <c r="H119">
        <f t="shared" si="7"/>
        <v>2.1519750147796604</v>
      </c>
      <c r="I119" t="str">
        <f t="shared" si="9"/>
        <v>13.5212577942811j</v>
      </c>
      <c r="J119" t="str">
        <f t="shared" si="8"/>
        <v>5.47104635190075+20.6667457455021j</v>
      </c>
      <c r="K119">
        <f t="shared" si="10"/>
        <v>26.599606040720953</v>
      </c>
      <c r="L119">
        <f t="shared" si="11"/>
        <v>75.172387366860988</v>
      </c>
      <c r="M119">
        <f t="shared" si="12"/>
        <v>5.4710463519007497</v>
      </c>
      <c r="N119">
        <f t="shared" si="13"/>
        <v>20.666745745502102</v>
      </c>
    </row>
    <row r="120" spans="7:14" x14ac:dyDescent="0.25">
      <c r="G120">
        <v>-0.66</v>
      </c>
      <c r="H120">
        <f t="shared" si="7"/>
        <v>2.2533944726680391</v>
      </c>
      <c r="I120" t="str">
        <f t="shared" si="9"/>
        <v>14.1584950419475j</v>
      </c>
      <c r="J120" t="str">
        <f t="shared" si="8"/>
        <v>5.88134872679629+21.5477912391742j</v>
      </c>
      <c r="K120">
        <f t="shared" si="10"/>
        <v>26.980113887251029</v>
      </c>
      <c r="L120">
        <f t="shared" si="11"/>
        <v>74.733303277755255</v>
      </c>
      <c r="M120">
        <f t="shared" si="12"/>
        <v>5.8813487267962898</v>
      </c>
      <c r="N120">
        <f t="shared" si="13"/>
        <v>21.547791239174199</v>
      </c>
    </row>
    <row r="121" spans="7:14" x14ac:dyDescent="0.25">
      <c r="G121">
        <v>-0.64</v>
      </c>
      <c r="H121">
        <f t="shared" si="7"/>
        <v>2.3595936823508064</v>
      </c>
      <c r="I121" t="str">
        <f t="shared" si="9"/>
        <v>14.8257643558604j</v>
      </c>
      <c r="J121" t="str">
        <f t="shared" si="8"/>
        <v>6.32720431254689+22.4575449563631j</v>
      </c>
      <c r="K121">
        <f t="shared" si="10"/>
        <v>27.358980446101313</v>
      </c>
      <c r="L121">
        <f t="shared" si="11"/>
        <v>74.265311679374264</v>
      </c>
      <c r="M121">
        <f t="shared" si="12"/>
        <v>6.3272043125468898</v>
      </c>
      <c r="N121">
        <f t="shared" si="13"/>
        <v>22.457544956363101</v>
      </c>
    </row>
    <row r="122" spans="7:14" x14ac:dyDescent="0.25">
      <c r="G122">
        <v>-0.62</v>
      </c>
      <c r="H122">
        <f t="shared" si="7"/>
        <v>2.4707979065900751</v>
      </c>
      <c r="I122" t="str">
        <f t="shared" si="9"/>
        <v>15.5244811036968j</v>
      </c>
      <c r="J122" t="str">
        <f t="shared" si="8"/>
        <v>6.81129569423484+23.3956921628246j</v>
      </c>
      <c r="K122">
        <f t="shared" si="10"/>
        <v>27.736052031415561</v>
      </c>
      <c r="L122">
        <f t="shared" si="11"/>
        <v>73.767893960221954</v>
      </c>
      <c r="M122">
        <f t="shared" si="12"/>
        <v>6.8112956942348397</v>
      </c>
      <c r="N122">
        <f t="shared" si="13"/>
        <v>23.395692162824599</v>
      </c>
    </row>
    <row r="123" spans="7:14" x14ac:dyDescent="0.25">
      <c r="G123">
        <v>-0.6</v>
      </c>
      <c r="H123">
        <f t="shared" si="7"/>
        <v>2.5872430244548679</v>
      </c>
      <c r="I123" t="str">
        <f t="shared" si="9"/>
        <v>16.2561273573577j</v>
      </c>
      <c r="J123" t="str">
        <f t="shared" si="8"/>
        <v>7.33643296427254+24.3617099916351j</v>
      </c>
      <c r="K123">
        <f t="shared" si="10"/>
        <v>28.111164507292052</v>
      </c>
      <c r="L123">
        <f t="shared" si="11"/>
        <v>73.24053224609996</v>
      </c>
      <c r="M123">
        <f t="shared" si="12"/>
        <v>7.3364329642725403</v>
      </c>
      <c r="N123">
        <f t="shared" si="13"/>
        <v>24.361709991635099</v>
      </c>
    </row>
    <row r="124" spans="7:14" x14ac:dyDescent="0.25">
      <c r="G124">
        <v>-0.57999999999999996</v>
      </c>
      <c r="H124">
        <f t="shared" si="7"/>
        <v>2.7091760316522437</v>
      </c>
      <c r="I124" t="str">
        <f t="shared" si="9"/>
        <v>17.0222550366405j</v>
      </c>
      <c r="J124" t="str">
        <f t="shared" si="8"/>
        <v>7.90554508208545+25.3548408657564j</v>
      </c>
      <c r="K124">
        <f t="shared" si="10"/>
        <v>28.484142747229871</v>
      </c>
      <c r="L124">
        <f t="shared" si="11"/>
        <v>72.682715658833871</v>
      </c>
      <c r="M124">
        <f t="shared" si="12"/>
        <v>7.9055450820854496</v>
      </c>
      <c r="N124">
        <f t="shared" si="13"/>
        <v>25.354840865756401</v>
      </c>
    </row>
    <row r="125" spans="7:14" x14ac:dyDescent="0.25">
      <c r="G125">
        <v>-0.56000000000000005</v>
      </c>
      <c r="H125">
        <f t="shared" si="7"/>
        <v>2.8368555644383115</v>
      </c>
      <c r="I125" t="str">
        <f t="shared" si="9"/>
        <v>17.8244892010695j</v>
      </c>
      <c r="J125" t="str">
        <f t="shared" si="8"/>
        <v>8.521667667539+26.3740645758859j</v>
      </c>
      <c r="K125">
        <f t="shared" si="10"/>
        <v>28.854800139104544</v>
      </c>
      <c r="L125">
        <f t="shared" si="11"/>
        <v>72.093947281090664</v>
      </c>
      <c r="M125">
        <f t="shared" si="12"/>
        <v>8.5216676675390008</v>
      </c>
      <c r="N125">
        <f t="shared" si="13"/>
        <v>26.3740645758859</v>
      </c>
    </row>
    <row r="126" spans="7:14" x14ac:dyDescent="0.25">
      <c r="G126">
        <v>-0.54</v>
      </c>
      <c r="H126">
        <f t="shared" si="7"/>
        <v>2.970552448220404</v>
      </c>
      <c r="I126" t="str">
        <f t="shared" si="9"/>
        <v>18.6645314968648j</v>
      </c>
      <c r="J126" t="str">
        <f t="shared" si="8"/>
        <v>9.18792670109499+27.4180693420779j</v>
      </c>
      <c r="K126">
        <f t="shared" si="10"/>
        <v>29.22293815065057</v>
      </c>
      <c r="L126">
        <f t="shared" si="11"/>
        <v>71.473751858601361</v>
      </c>
      <c r="M126">
        <f t="shared" si="12"/>
        <v>9.1879267010949892</v>
      </c>
      <c r="N126">
        <f t="shared" si="13"/>
        <v>27.418069342077899</v>
      </c>
    </row>
    <row r="127" spans="7:14" x14ac:dyDescent="0.25">
      <c r="G127">
        <v>-0.52</v>
      </c>
      <c r="H127">
        <f t="shared" si="7"/>
        <v>3.1105502720140761</v>
      </c>
      <c r="I127" t="str">
        <f t="shared" si="9"/>
        <v>19.5441637663623j</v>
      </c>
      <c r="J127" t="str">
        <f t="shared" si="8"/>
        <v>9.90751759420641+28.4852223043729j</v>
      </c>
      <c r="K127">
        <f t="shared" si="10"/>
        <v>29.588345972587401</v>
      </c>
      <c r="L127">
        <f t="shared" si="11"/>
        <v>70.821684261017779</v>
      </c>
      <c r="M127">
        <f t="shared" si="12"/>
        <v>9.9075175942064106</v>
      </c>
      <c r="N127">
        <f t="shared" si="13"/>
        <v>28.4852223043729</v>
      </c>
    </row>
    <row r="128" spans="7:14" x14ac:dyDescent="0.25">
      <c r="G128">
        <v>-0.5</v>
      </c>
      <c r="H128">
        <f t="shared" si="7"/>
        <v>3.2571459899734312</v>
      </c>
      <c r="I128" t="str">
        <f t="shared" si="9"/>
        <v>20.46525182754j</v>
      </c>
      <c r="J128" t="str">
        <f t="shared" si="8"/>
        <v>10.6836791032608+29.5735400206189j</v>
      </c>
      <c r="K128">
        <f t="shared" si="10"/>
        <v>29.950800258683998</v>
      </c>
      <c r="L128">
        <f t="shared" si="11"/>
        <v>70.137338709240822</v>
      </c>
      <c r="M128">
        <f t="shared" si="12"/>
        <v>10.683679103260801</v>
      </c>
      <c r="N128">
        <f t="shared" si="13"/>
        <v>29.5735400206189</v>
      </c>
    </row>
    <row r="129" spans="7:14" x14ac:dyDescent="0.25">
      <c r="G129">
        <v>-0.48</v>
      </c>
      <c r="H129">
        <f t="shared" si="7"/>
        <v>3.4106505512706882</v>
      </c>
      <c r="I129" t="str">
        <f t="shared" si="9"/>
        <v>21.4297494316679j</v>
      </c>
      <c r="J129" t="str">
        <f t="shared" si="8"/>
        <v>11.5196615953362+30.6806596971647j</v>
      </c>
      <c r="K129">
        <f t="shared" si="10"/>
        <v>30.310064984127241</v>
      </c>
      <c r="L129">
        <f t="shared" si="11"/>
        <v>69.420358759947504</v>
      </c>
      <c r="M129">
        <f t="shared" si="12"/>
        <v>11.519661595336199</v>
      </c>
      <c r="N129">
        <f t="shared" si="13"/>
        <v>30.6806596971647</v>
      </c>
    </row>
    <row r="130" spans="7:14" x14ac:dyDescent="0.25">
      <c r="G130">
        <v>-0.46</v>
      </c>
      <c r="H130">
        <f t="shared" si="7"/>
        <v>3.5713895596610765</v>
      </c>
      <c r="I130" t="str">
        <f t="shared" si="9"/>
        <v>22.439702407477j</v>
      </c>
      <c r="J130" t="str">
        <f t="shared" si="8"/>
        <v>12.4186892405077+31.8038120369159j</v>
      </c>
      <c r="K130">
        <f t="shared" si="10"/>
        <v>30.665891445425601</v>
      </c>
      <c r="L130">
        <f t="shared" si="11"/>
        <v>68.670448016869841</v>
      </c>
      <c r="M130">
        <f t="shared" si="12"/>
        <v>12.4186892405077</v>
      </c>
      <c r="N130">
        <f t="shared" si="13"/>
        <v>31.8038120369159</v>
      </c>
    </row>
    <row r="131" spans="7:14" x14ac:dyDescent="0.25">
      <c r="G131">
        <v>-0.44</v>
      </c>
      <c r="H131">
        <f t="shared" ref="H131:H194" si="14">$B$3*10^G131</f>
        <v>3.7397039641320444</v>
      </c>
      <c r="I131" t="str">
        <f t="shared" si="9"/>
        <v>23.4972530006357j</v>
      </c>
      <c r="J131" t="str">
        <f t="shared" ref="J131:J194" si="15">IMDIV(IMSUM(1,IMPRODUCT(I131,Cg,(Rg+Rf))),IMSUM(1,IMPRODUCT(I131,Cg,Rg)))</f>
        <v>13.383915809971+32.9397967542098j</v>
      </c>
      <c r="K131">
        <f t="shared" si="10"/>
        <v>31.018018426604538</v>
      </c>
      <c r="L131">
        <f t="shared" si="11"/>
        <v>67.887381512916619</v>
      </c>
      <c r="M131">
        <f t="shared" si="12"/>
        <v>13.383915809971</v>
      </c>
      <c r="N131">
        <f t="shared" si="13"/>
        <v>32.939796754209802</v>
      </c>
    </row>
    <row r="132" spans="7:14" x14ac:dyDescent="0.25">
      <c r="G132">
        <v>-0.42</v>
      </c>
      <c r="H132">
        <f t="shared" si="14"/>
        <v>3.9159507821017803</v>
      </c>
      <c r="I132" t="str">
        <f t="shared" ref="I132:I195" si="16">COMPLEX(0,H132*2*PI(),"j")</f>
        <v>24.6046444177403j</v>
      </c>
      <c r="J132" t="str">
        <f t="shared" si="15"/>
        <v>14.4183739080769+34.0849619696242j</v>
      </c>
      <c r="K132">
        <f t="shared" ref="K132:K195" si="17">20*LOG(IMABS(J132))</f>
        <v>31.366172557470655</v>
      </c>
      <c r="L132">
        <f t="shared" ref="L132:L195" si="18">DEGREES(IMARGUMENT(J132))</f>
        <v>67.071017677393272</v>
      </c>
      <c r="M132">
        <f t="shared" ref="M132:M195" si="19">IMREAL(J132)</f>
        <v>14.4183739080769</v>
      </c>
      <c r="N132">
        <f t="shared" ref="N132:N195" si="20">IMAGINARY(J132)</f>
        <v>34.084961969624203</v>
      </c>
    </row>
    <row r="133" spans="7:14" x14ac:dyDescent="0.25">
      <c r="G133">
        <v>-0.4</v>
      </c>
      <c r="H133">
        <f t="shared" si="14"/>
        <v>4.1005038567010219</v>
      </c>
      <c r="I133" t="str">
        <f t="shared" si="16"/>
        <v>25.7642255844571j</v>
      </c>
      <c r="J133" t="str">
        <f t="shared" si="15"/>
        <v>15.5249176647469+35.2351888501681j</v>
      </c>
      <c r="K133">
        <f t="shared" si="17"/>
        <v>31.710068890045932</v>
      </c>
      <c r="L133">
        <f t="shared" si="18"/>
        <v>66.22131076855176</v>
      </c>
      <c r="M133">
        <f t="shared" si="19"/>
        <v>15.5249176647469</v>
      </c>
      <c r="N133">
        <f t="shared" si="20"/>
        <v>35.2351888501681</v>
      </c>
    </row>
    <row r="134" spans="7:14" x14ac:dyDescent="0.25">
      <c r="G134">
        <v>-0.38</v>
      </c>
      <c r="H134">
        <f t="shared" si="14"/>
        <v>4.2937546497444545</v>
      </c>
      <c r="I134" t="str">
        <f t="shared" si="16"/>
        <v>26.9784561279084j</v>
      </c>
      <c r="J134" t="str">
        <f t="shared" si="15"/>
        <v>16.7061591661418+36.3858829886262j</v>
      </c>
      <c r="K134">
        <f t="shared" si="17"/>
        <v>32.049411718697115</v>
      </c>
      <c r="L134">
        <f t="shared" si="18"/>
        <v>65.338323613926988</v>
      </c>
      <c r="M134">
        <f t="shared" si="19"/>
        <v>16.706159166141799</v>
      </c>
      <c r="N134">
        <f t="shared" si="20"/>
        <v>36.3858829886262</v>
      </c>
    </row>
    <row r="135" spans="7:14" x14ac:dyDescent="0.25">
      <c r="G135">
        <v>-0.36</v>
      </c>
      <c r="H135">
        <f t="shared" si="14"/>
        <v>4.496113072073709</v>
      </c>
      <c r="I135" t="str">
        <f t="shared" si="16"/>
        <v>28.2499115938716j</v>
      </c>
      <c r="J135" t="str">
        <f t="shared" si="15"/>
        <v>17.9643992065335+37.5319741049511j</v>
      </c>
      <c r="K135">
        <f t="shared" si="17"/>
        <v>32.383895667797667</v>
      </c>
      <c r="L135">
        <f t="shared" si="18"/>
        <v>64.42224046023982</v>
      </c>
      <c r="M135">
        <f t="shared" si="19"/>
        <v>17.9643992065335</v>
      </c>
      <c r="N135">
        <f t="shared" si="20"/>
        <v>37.531974104951097</v>
      </c>
    </row>
    <row r="136" spans="7:14" x14ac:dyDescent="0.25">
      <c r="G136">
        <v>-0.34</v>
      </c>
      <c r="H136">
        <f t="shared" si="14"/>
        <v>4.7080083530332129</v>
      </c>
      <c r="I136" t="str">
        <f t="shared" si="16"/>
        <v>29.581288909857j</v>
      </c>
      <c r="J136" t="str">
        <f t="shared" si="15"/>
        <v>19.3015532998178+38.6679256851943j</v>
      </c>
      <c r="K136">
        <f t="shared" si="17"/>
        <v>32.713207067743816</v>
      </c>
      <c r="L136">
        <f t="shared" si="18"/>
        <v>63.473379692316016</v>
      </c>
      <c r="M136">
        <f t="shared" si="19"/>
        <v>19.301553299817801</v>
      </c>
      <c r="N136">
        <f t="shared" si="20"/>
        <v>38.667925685194298</v>
      </c>
    </row>
    <row r="137" spans="7:14" x14ac:dyDescent="0.25">
      <c r="G137">
        <v>-0.32</v>
      </c>
      <c r="H137">
        <f t="shared" si="14"/>
        <v>4.9298899509231751</v>
      </c>
      <c r="I137" t="str">
        <f t="shared" si="16"/>
        <v>30.9754121056528j</v>
      </c>
      <c r="J137" t="str">
        <f t="shared" si="15"/>
        <v>20.7190742867103+39.7877561310791j</v>
      </c>
      <c r="K137">
        <f t="shared" si="17"/>
        <v>33.037025635622626</v>
      </c>
      <c r="L137">
        <f t="shared" si="18"/>
        <v>62.49220613822623</v>
      </c>
      <c r="M137">
        <f t="shared" si="19"/>
        <v>20.719074286710299</v>
      </c>
      <c r="N137">
        <f t="shared" si="20"/>
        <v>39.787756131079099</v>
      </c>
    </row>
    <row r="138" spans="7:14" x14ac:dyDescent="0.25">
      <c r="G138">
        <v>-0.3</v>
      </c>
      <c r="H138">
        <f t="shared" si="14"/>
        <v>5.1622285063609041</v>
      </c>
      <c r="I138" t="str">
        <f t="shared" si="16"/>
        <v>32.4352383034705j</v>
      </c>
      <c r="J138" t="str">
        <f t="shared" si="15"/>
        <v>22.2178732990517+40.8850728575914j</v>
      </c>
      <c r="K138">
        <f t="shared" si="17"/>
        <v>33.355026470651651</v>
      </c>
      <c r="L138">
        <f t="shared" si="18"/>
        <v>61.47934263791258</v>
      </c>
      <c r="M138">
        <f t="shared" si="19"/>
        <v>22.2178732990517</v>
      </c>
      <c r="N138">
        <f t="shared" si="20"/>
        <v>40.885072857591403</v>
      </c>
    </row>
    <row r="139" spans="7:14" x14ac:dyDescent="0.25">
      <c r="G139">
        <v>-0.28000000000000003</v>
      </c>
      <c r="H139">
        <f t="shared" si="14"/>
        <v>5.4055168405726572</v>
      </c>
      <c r="I139" t="str">
        <f t="shared" si="16"/>
        <v>33.9638639903979j</v>
      </c>
      <c r="J139" t="str">
        <f t="shared" si="15"/>
        <v>23.7982412747865+41.9531205306026j</v>
      </c>
      <c r="K139">
        <f t="shared" si="17"/>
        <v>33.666882366608384</v>
      </c>
      <c r="L139">
        <f t="shared" si="18"/>
        <v>60.435580517623414</v>
      </c>
      <c r="M139">
        <f t="shared" si="19"/>
        <v>23.798241274786498</v>
      </c>
      <c r="N139">
        <f t="shared" si="20"/>
        <v>41.953120530602597</v>
      </c>
    </row>
    <row r="140" spans="7:14" x14ac:dyDescent="0.25">
      <c r="G140">
        <v>-0.26</v>
      </c>
      <c r="H140">
        <f t="shared" si="14"/>
        <v>5.6602710007335331</v>
      </c>
      <c r="I140" t="str">
        <f t="shared" si="16"/>
        <v>35.5645315864636j</v>
      </c>
      <c r="J140" t="str">
        <f t="shared" si="15"/>
        <v>25.4597736282248+42.9848442695618j</v>
      </c>
      <c r="K140">
        <f t="shared" si="17"/>
        <v>33.972266433868043</v>
      </c>
      <c r="L140">
        <f t="shared" si="18"/>
        <v>59.361888585592297</v>
      </c>
      <c r="M140">
        <f t="shared" si="19"/>
        <v>25.459773628224799</v>
      </c>
      <c r="N140">
        <f t="shared" si="20"/>
        <v>42.984844269561798</v>
      </c>
    </row>
    <row r="141" spans="7:14" x14ac:dyDescent="0.25">
      <c r="G141">
        <v>-0.24</v>
      </c>
      <c r="H141">
        <f t="shared" si="14"/>
        <v>5.9270313545727165</v>
      </c>
      <c r="I141" t="str">
        <f t="shared" si="16"/>
        <v>37.240636322244j</v>
      </c>
      <c r="J141" t="str">
        <f t="shared" si="15"/>
        <v>27.2013010361589+43.9729681466747j</v>
      </c>
      <c r="K141">
        <f t="shared" si="17"/>
        <v>34.270855012521572</v>
      </c>
      <c r="L141">
        <f t="shared" si="18"/>
        <v>58.259420248855363</v>
      </c>
      <c r="M141">
        <f t="shared" si="19"/>
        <v>27.201301036158899</v>
      </c>
      <c r="N141">
        <f t="shared" si="20"/>
        <v>43.972968146674702</v>
      </c>
    </row>
    <row r="142" spans="7:14" x14ac:dyDescent="0.25">
      <c r="G142">
        <v>-0.22</v>
      </c>
      <c r="H142">
        <f t="shared" si="14"/>
        <v>6.2063637365658852</v>
      </c>
      <c r="I142" t="str">
        <f t="shared" si="16"/>
        <v>38.995733440603j</v>
      </c>
      <c r="J142" t="str">
        <f t="shared" si="15"/>
        <v>29.0208295627815+44.9100886983281j</v>
      </c>
      <c r="K142">
        <f t="shared" si="17"/>
        <v>34.562330845649718</v>
      </c>
      <c r="L142">
        <f t="shared" si="18"/>
        <v>57.129518350220359</v>
      </c>
      <c r="M142">
        <f t="shared" si="19"/>
        <v>29.0208295627815</v>
      </c>
      <c r="N142">
        <f t="shared" si="20"/>
        <v>44.910088698328103</v>
      </c>
    </row>
    <row r="143" spans="7:14" x14ac:dyDescent="0.25">
      <c r="G143">
        <v>-0.2</v>
      </c>
      <c r="H143">
        <f t="shared" si="14"/>
        <v>6.4988606481459907</v>
      </c>
      <c r="I143" t="str">
        <f t="shared" si="16"/>
        <v>40.8335457378385j</v>
      </c>
      <c r="J143" t="str">
        <f t="shared" si="15"/>
        <v>30.9154934748703+45.7887824433236j</v>
      </c>
      <c r="K143">
        <f t="shared" si="17"/>
        <v>34.846386468634421</v>
      </c>
      <c r="L143">
        <f t="shared" si="18"/>
        <v>55.973717341206729</v>
      </c>
      <c r="M143">
        <f t="shared" si="19"/>
        <v>30.915493474870299</v>
      </c>
      <c r="N143">
        <f t="shared" si="20"/>
        <v>45.788782443323598</v>
      </c>
    </row>
    <row r="144" spans="7:14" x14ac:dyDescent="0.25">
      <c r="G144">
        <v>-0.18</v>
      </c>
      <c r="H144">
        <f t="shared" si="14"/>
        <v>6.8051425144782396</v>
      </c>
      <c r="I144" t="str">
        <f t="shared" si="16"/>
        <v>42.7579714602328j</v>
      </c>
      <c r="J144" t="str">
        <f t="shared" si="15"/>
        <v>32.8815240552029+46.601725605795j</v>
      </c>
      <c r="K144">
        <f t="shared" si="17"/>
        <v>35.122727757015227</v>
      </c>
      <c r="L144">
        <f t="shared" si="18"/>
        <v>54.793742443681197</v>
      </c>
      <c r="M144">
        <f t="shared" si="19"/>
        <v>32.881524055202902</v>
      </c>
      <c r="N144">
        <f t="shared" si="20"/>
        <v>46.601725605794996</v>
      </c>
    </row>
    <row r="145" spans="7:14" x14ac:dyDescent="0.25">
      <c r="G145">
        <v>-0.16</v>
      </c>
      <c r="H145">
        <f t="shared" si="14"/>
        <v>7.1258590004650468</v>
      </c>
      <c r="I145" t="str">
        <f t="shared" si="16"/>
        <v>44.7730925727554j</v>
      </c>
      <c r="J145" t="str">
        <f t="shared" si="15"/>
        <v>34.9142374751846+47.341823412235j</v>
      </c>
      <c r="K145">
        <f t="shared" si="17"/>
        <v>35.391077562592827</v>
      </c>
      <c r="L145">
        <f t="shared" si="18"/>
        <v>53.591505511377818</v>
      </c>
      <c r="M145">
        <f t="shared" si="19"/>
        <v>34.914237475184599</v>
      </c>
      <c r="N145">
        <f t="shared" si="20"/>
        <v>47.341823412235001</v>
      </c>
    </row>
    <row r="146" spans="7:14" x14ac:dyDescent="0.25">
      <c r="G146">
        <v>-0.14000000000000001</v>
      </c>
      <c r="H146">
        <f t="shared" si="14"/>
        <v>7.4616903887723973</v>
      </c>
      <c r="I146" t="str">
        <f t="shared" si="16"/>
        <v>46.8831834174579j</v>
      </c>
      <c r="J146" t="str">
        <f t="shared" si="15"/>
        <v>37.0080443176744+48.002345527941j</v>
      </c>
      <c r="K146">
        <f t="shared" si="17"/>
        <v>35.651179356108756</v>
      </c>
      <c r="L146">
        <f t="shared" si="18"/>
        <v>52.36909738262024</v>
      </c>
      <c r="M146">
        <f t="shared" si="19"/>
        <v>37.008044317674397</v>
      </c>
      <c r="N146">
        <f t="shared" si="20"/>
        <v>48.002345527941003</v>
      </c>
    </row>
    <row r="147" spans="7:14" x14ac:dyDescent="0.25">
      <c r="G147">
        <v>-0.12</v>
      </c>
      <c r="H147">
        <f t="shared" si="14"/>
        <v>7.8133490228005922</v>
      </c>
      <c r="I147" t="str">
        <f t="shared" si="16"/>
        <v>49.0927197799267j</v>
      </c>
      <c r="J147" t="str">
        <f t="shared" si="15"/>
        <v>39.1564826451087+48.5770634833395j</v>
      </c>
      <c r="K147">
        <f t="shared" si="17"/>
        <v>35.902800785788635</v>
      </c>
      <c r="L147">
        <f t="shared" si="18"/>
        <v>51.128776615884298</v>
      </c>
      <c r="M147">
        <f t="shared" si="19"/>
        <v>39.156482645108703</v>
      </c>
      <c r="N147">
        <f t="shared" si="20"/>
        <v>48.577063483339501</v>
      </c>
    </row>
    <row r="148" spans="7:14" x14ac:dyDescent="0.25">
      <c r="G148">
        <v>-0.1</v>
      </c>
      <c r="H148">
        <f t="shared" si="14"/>
        <v>8.1815808176600999</v>
      </c>
      <c r="I148" t="str">
        <f t="shared" si="16"/>
        <v>51.4063883830243j</v>
      </c>
      <c r="J148" t="str">
        <f t="shared" si="15"/>
        <v>41.3522756039184+49.0603853834971j</v>
      </c>
      <c r="K148">
        <f t="shared" si="17"/>
        <v>36.145737055205046</v>
      </c>
      <c r="L148">
        <f t="shared" si="18"/>
        <v>49.872954617091317</v>
      </c>
      <c r="M148">
        <f t="shared" si="19"/>
        <v>41.3522756039184</v>
      </c>
      <c r="N148">
        <f t="shared" si="20"/>
        <v>49.060385383497099</v>
      </c>
    </row>
    <row r="149" spans="7:14" x14ac:dyDescent="0.25">
      <c r="G149">
        <v>-8.0000000000000099E-2</v>
      </c>
      <c r="H149">
        <f t="shared" si="14"/>
        <v>8.5671668423575102</v>
      </c>
      <c r="I149" t="str">
        <f t="shared" si="16"/>
        <v>53.8290968280568j</v>
      </c>
      <c r="J149" t="str">
        <f t="shared" si="15"/>
        <v>43.5874134839805+49.44748285952j</v>
      </c>
      <c r="K149">
        <f t="shared" si="17"/>
        <v>36.37981402205363</v>
      </c>
      <c r="L149">
        <f t="shared" si="18"/>
        <v>48.604177296670947</v>
      </c>
      <c r="M149">
        <f t="shared" si="19"/>
        <v>43.587413483980498</v>
      </c>
      <c r="N149">
        <f t="shared" si="20"/>
        <v>49.447482859520001</v>
      </c>
    </row>
    <row r="150" spans="7:14" x14ac:dyDescent="0.25">
      <c r="G150">
        <v>-6.0000000000000102E-2</v>
      </c>
      <c r="H150">
        <f t="shared" si="14"/>
        <v>8.9709249765476287</v>
      </c>
      <c r="I150" t="str">
        <f t="shared" si="16"/>
        <v>56.3659840044544j</v>
      </c>
      <c r="J150" t="str">
        <f t="shared" si="15"/>
        <v>45.8532589731805+49.734405161848j</v>
      </c>
      <c r="K150">
        <f t="shared" si="17"/>
        <v>36.604890922099244</v>
      </c>
      <c r="L150">
        <f t="shared" si="18"/>
        <v>47.325103528866464</v>
      </c>
      <c r="M150">
        <f t="shared" si="19"/>
        <v>45.853258973180502</v>
      </c>
      <c r="N150">
        <f t="shared" si="20"/>
        <v>49.734405161848002</v>
      </c>
    </row>
    <row r="151" spans="7:14" x14ac:dyDescent="0.25">
      <c r="G151">
        <v>-0.04</v>
      </c>
      <c r="H151">
        <f t="shared" si="14"/>
        <v>9.3937116453658707</v>
      </c>
      <c r="I151" t="str">
        <f t="shared" si="16"/>
        <v>59.0224309900446j</v>
      </c>
      <c r="J151" t="str">
        <f t="shared" si="15"/>
        <v>48.140673141725+49.918175546764j</v>
      </c>
      <c r="K151">
        <f t="shared" si="17"/>
        <v>36.820862630008598</v>
      </c>
      <c r="L151">
        <f t="shared" si="18"/>
        <v>46.038480817702961</v>
      </c>
      <c r="M151">
        <f t="shared" si="19"/>
        <v>48.140673141725003</v>
      </c>
      <c r="N151">
        <f t="shared" si="20"/>
        <v>49.918175546763997</v>
      </c>
    </row>
    <row r="152" spans="7:14" x14ac:dyDescent="0.25">
      <c r="G152">
        <v>-0.02</v>
      </c>
      <c r="H152">
        <f t="shared" si="14"/>
        <v>9.8364236360207897</v>
      </c>
      <c r="I152" t="str">
        <f t="shared" si="16"/>
        <v>61.8040724650398j</v>
      </c>
      <c r="J152" t="str">
        <f t="shared" si="15"/>
        <v>50.4401585494788+49.996865677263j</v>
      </c>
      <c r="K152">
        <f t="shared" si="17"/>
        <v>37.027661380970734</v>
      </c>
      <c r="L152">
        <f t="shared" si="18"/>
        <v>44.74711869513385</v>
      </c>
      <c r="M152">
        <f t="shared" si="19"/>
        <v>50.440158549478802</v>
      </c>
      <c r="N152">
        <f t="shared" si="20"/>
        <v>49.996865677263003</v>
      </c>
    </row>
    <row r="153" spans="7:14" x14ac:dyDescent="0.25">
      <c r="G153">
        <v>0</v>
      </c>
      <c r="H153">
        <f t="shared" si="14"/>
        <v>10.3</v>
      </c>
      <c r="I153" t="str">
        <f t="shared" si="16"/>
        <v>64.7168086639497j</v>
      </c>
      <c r="J153" t="str">
        <f t="shared" si="15"/>
        <v>52.7420148852054+49.9696446269104j</v>
      </c>
      <c r="K153">
        <f t="shared" si="17"/>
        <v>37.225257893472019</v>
      </c>
      <c r="L153">
        <f t="shared" si="18"/>
        <v>43.453860478940207</v>
      </c>
      <c r="M153">
        <f t="shared" si="19"/>
        <v>52.7420148852054</v>
      </c>
      <c r="N153">
        <f t="shared" si="20"/>
        <v>49.969644626910402</v>
      </c>
    </row>
    <row r="154" spans="7:14" x14ac:dyDescent="0.25">
      <c r="G154">
        <v>0.02</v>
      </c>
      <c r="H154">
        <f t="shared" si="14"/>
        <v>10.785424044924266</v>
      </c>
      <c r="I154" t="str">
        <f t="shared" si="16"/>
        <v>67.7668178907696j</v>
      </c>
      <c r="J154" t="str">
        <f t="shared" si="15"/>
        <v>55.036501803854+49.8368001900956j</v>
      </c>
      <c r="K154">
        <f t="shared" si="17"/>
        <v>37.413661853538223</v>
      </c>
      <c r="L154">
        <f t="shared" si="18"/>
        <v>42.161554093721755</v>
      </c>
      <c r="M154">
        <f t="shared" si="19"/>
        <v>55.036501803854001</v>
      </c>
      <c r="N154">
        <f t="shared" si="20"/>
        <v>49.836800190095602</v>
      </c>
    </row>
    <row r="155" spans="7:14" x14ac:dyDescent="0.25">
      <c r="G155">
        <v>0.04</v>
      </c>
      <c r="H155">
        <f t="shared" si="14"/>
        <v>11.293725420274807</v>
      </c>
      <c r="I155" t="str">
        <f t="shared" si="16"/>
        <v>70.9605696239913j</v>
      </c>
      <c r="J155" t="str">
        <f t="shared" si="15"/>
        <v>57.3140031932924+49.5997314879335j</v>
      </c>
      <c r="K155">
        <f t="shared" si="17"/>
        <v>37.592921743074641</v>
      </c>
      <c r="L155">
        <f t="shared" si="18"/>
        <v>40.873022702215955</v>
      </c>
      <c r="M155">
        <f t="shared" si="19"/>
        <v>57.3140031932924</v>
      </c>
      <c r="N155">
        <f t="shared" si="20"/>
        <v>49.599731487933497</v>
      </c>
    </row>
    <row r="156" spans="7:14" x14ac:dyDescent="0.25">
      <c r="G156">
        <v>6.0000000000000102E-2</v>
      </c>
      <c r="H156">
        <f t="shared" si="14"/>
        <v>11.825982301417897</v>
      </c>
      <c r="I156" t="str">
        <f t="shared" si="16"/>
        <v>74.3048382392348j</v>
      </c>
      <c r="J156" t="str">
        <f t="shared" si="15"/>
        <v>59.5651870148593+49.2609132213406j</v>
      </c>
      <c r="K156">
        <f t="shared" si="17"/>
        <v>37.763124018305795</v>
      </c>
      <c r="L156">
        <f t="shared" si="18"/>
        <v>39.591035902933626</v>
      </c>
      <c r="M156">
        <f t="shared" si="19"/>
        <v>59.565187014859298</v>
      </c>
      <c r="N156">
        <f t="shared" si="20"/>
        <v>49.260913221340601</v>
      </c>
    </row>
    <row r="157" spans="7:14" x14ac:dyDescent="0.25">
      <c r="G157">
        <v>8.0000000000000099E-2</v>
      </c>
      <c r="H157">
        <f t="shared" si="14"/>
        <v>12.383323676559357</v>
      </c>
      <c r="I157" t="str">
        <f t="shared" si="16"/>
        <v>77.8067173786068j</v>
      </c>
      <c r="J157" t="str">
        <f t="shared" si="15"/>
        <v>61.7811551308355+48.8238332584085j</v>
      </c>
      <c r="K157">
        <f t="shared" si="17"/>
        <v>37.924391667318417</v>
      </c>
      <c r="L157">
        <f t="shared" si="18"/>
        <v>38.318282223013334</v>
      </c>
      <c r="M157">
        <f t="shared" si="19"/>
        <v>61.781155130835501</v>
      </c>
      <c r="N157">
        <f t="shared" si="20"/>
        <v>48.823833258408499</v>
      </c>
    </row>
    <row r="158" spans="7:14" x14ac:dyDescent="0.25">
      <c r="G158">
        <v>0.1</v>
      </c>
      <c r="H158">
        <f t="shared" si="14"/>
        <v>12.966931741479923</v>
      </c>
      <c r="I158" t="str">
        <f t="shared" si="16"/>
        <v>81.4736349972673j</v>
      </c>
      <c r="J158" t="str">
        <f t="shared" si="15"/>
        <v>63.9535781316978+48.2929064520452j</v>
      </c>
      <c r="K158">
        <f t="shared" si="17"/>
        <v>38.076882196965052</v>
      </c>
      <c r="L158">
        <f t="shared" si="18"/>
        <v>37.057343574348678</v>
      </c>
      <c r="M158">
        <f t="shared" si="19"/>
        <v>63.953578131697803</v>
      </c>
      <c r="N158">
        <f t="shared" si="20"/>
        <v>48.292906452045202</v>
      </c>
    </row>
    <row r="159" spans="7:14" x14ac:dyDescent="0.25">
      <c r="G159">
        <v>0.12</v>
      </c>
      <c r="H159">
        <f t="shared" si="14"/>
        <v>13.578044407130996</v>
      </c>
      <c r="I159" t="str">
        <f t="shared" si="16"/>
        <v>85.3133691191174j</v>
      </c>
      <c r="J159" t="str">
        <f t="shared" si="15"/>
        <v>66.0748110525716+47.6733685796302j</v>
      </c>
      <c r="K159">
        <f t="shared" si="17"/>
        <v>38.220785117664946</v>
      </c>
      <c r="L159">
        <f t="shared" si="18"/>
        <v>35.810672250936975</v>
      </c>
      <c r="M159">
        <f t="shared" si="19"/>
        <v>66.074811052571604</v>
      </c>
      <c r="N159">
        <f t="shared" si="20"/>
        <v>47.6733685796302</v>
      </c>
    </row>
    <row r="160" spans="7:14" x14ac:dyDescent="0.25">
      <c r="G160">
        <v>0.14000000000000001</v>
      </c>
      <c r="H160">
        <f t="shared" si="14"/>
        <v>14.217957925409717</v>
      </c>
      <c r="I160" t="str">
        <f t="shared" si="16"/>
        <v>89.3340643350319j</v>
      </c>
      <c r="J160" t="str">
        <f t="shared" si="15"/>
        <v>68.1379869446495+46.9711550154459j</v>
      </c>
      <c r="K160">
        <f t="shared" si="17"/>
        <v>38.356319008978033</v>
      </c>
      <c r="L160">
        <f t="shared" si="18"/>
        <v>34.580570932551773</v>
      </c>
      <c r="M160">
        <f t="shared" si="19"/>
        <v>68.137986944649498</v>
      </c>
      <c r="N160">
        <f t="shared" si="20"/>
        <v>46.971155015445902</v>
      </c>
    </row>
    <row r="161" spans="7:14" x14ac:dyDescent="0.25">
      <c r="G161">
        <v>0.16</v>
      </c>
      <c r="H161">
        <f t="shared" si="14"/>
        <v>14.888029638683054</v>
      </c>
      <c r="I161" t="str">
        <f t="shared" si="16"/>
        <v>93.5442490786276j</v>
      </c>
      <c r="J161" t="str">
        <f t="shared" si="15"/>
        <v>70.1370864533573+46.1927691535886j</v>
      </c>
      <c r="K161">
        <f t="shared" si="17"/>
        <v>38.483728258619578</v>
      </c>
      <c r="L161">
        <f t="shared" si="18"/>
        <v>33.369176032109735</v>
      </c>
      <c r="M161">
        <f t="shared" si="19"/>
        <v>70.137086453357298</v>
      </c>
      <c r="N161">
        <f t="shared" si="20"/>
        <v>46.1927691535886</v>
      </c>
    </row>
    <row r="162" spans="7:14" x14ac:dyDescent="0.25">
      <c r="G162">
        <v>0.18</v>
      </c>
      <c r="H162">
        <f t="shared" si="14"/>
        <v>15.589680858892946</v>
      </c>
      <c r="I162" t="str">
        <f t="shared" si="16"/>
        <v>97.952853716215j</v>
      </c>
      <c r="J162" t="str">
        <f t="shared" si="15"/>
        <v>72.0669827575458+45.3451456883011j</v>
      </c>
      <c r="K162">
        <f t="shared" si="17"/>
        <v>38.603279572559849</v>
      </c>
      <c r="L162">
        <f t="shared" si="18"/>
        <v>32.17844458983231</v>
      </c>
      <c r="M162">
        <f t="shared" si="19"/>
        <v>72.066982757545802</v>
      </c>
      <c r="N162">
        <f t="shared" si="20"/>
        <v>45.345145688301102</v>
      </c>
    </row>
    <row r="163" spans="7:14" x14ac:dyDescent="0.25">
      <c r="G163">
        <v>0.2</v>
      </c>
      <c r="H163">
        <f t="shared" si="14"/>
        <v>16.324399882349471</v>
      </c>
      <c r="I163" t="str">
        <f t="shared" si="16"/>
        <v>102.569229489302j</v>
      </c>
      <c r="J163" t="str">
        <f t="shared" si="15"/>
        <v>73.9234623569338+44.4355136525983j</v>
      </c>
      <c r="K163">
        <f t="shared" si="17"/>
        <v>38.715258354135699</v>
      </c>
      <c r="L163">
        <f t="shared" si="18"/>
        <v>31.010144784658578</v>
      </c>
      <c r="M163">
        <f t="shared" si="19"/>
        <v>73.923462356933797</v>
      </c>
      <c r="N163">
        <f t="shared" si="20"/>
        <v>44.435513652598303</v>
      </c>
    </row>
    <row r="164" spans="7:14" x14ac:dyDescent="0.25">
      <c r="G164">
        <v>0.22</v>
      </c>
      <c r="H164">
        <f t="shared" si="14"/>
        <v>17.093745146606874</v>
      </c>
      <c r="I164" t="str">
        <f t="shared" si="16"/>
        <v>107.403168349833j</v>
      </c>
      <c r="J164" t="str">
        <f t="shared" si="15"/>
        <v>75.7032231873063+43.4712636595501j</v>
      </c>
      <c r="K164">
        <f t="shared" si="17"/>
        <v>38.8199650461126</v>
      </c>
      <c r="L164">
        <f t="shared" si="18"/>
        <v>29.865850009577677</v>
      </c>
      <c r="M164">
        <f t="shared" si="19"/>
        <v>75.703223187306307</v>
      </c>
      <c r="N164">
        <f t="shared" si="20"/>
        <v>43.471263659550097</v>
      </c>
    </row>
    <row r="165" spans="7:14" x14ac:dyDescent="0.25">
      <c r="G165">
        <v>0.24</v>
      </c>
      <c r="H165">
        <f t="shared" si="14"/>
        <v>17.89934853611857</v>
      </c>
      <c r="I165" t="str">
        <f t="shared" si="16"/>
        <v>112.464923730227j</v>
      </c>
      <c r="J165" t="str">
        <f t="shared" si="15"/>
        <v>77.4038523436811+42.4598231439216j</v>
      </c>
      <c r="K165">
        <f t="shared" si="17"/>
        <v>38.917711522046858</v>
      </c>
      <c r="L165">
        <f t="shared" si="18"/>
        <v>28.746936348464818</v>
      </c>
      <c r="M165">
        <f t="shared" si="19"/>
        <v>77.403852343681095</v>
      </c>
      <c r="N165">
        <f t="shared" si="20"/>
        <v>42.459823143921597</v>
      </c>
    </row>
    <row r="166" spans="7:14" x14ac:dyDescent="0.25">
      <c r="G166">
        <v>0.26</v>
      </c>
      <c r="H166">
        <f t="shared" si="14"/>
        <v>18.742918843682833</v>
      </c>
      <c r="I166" t="str">
        <f t="shared" si="16"/>
        <v>117.765232292287j</v>
      </c>
      <c r="J166" t="str">
        <f t="shared" si="15"/>
        <v>79.0237862723471+41.4085426326721j</v>
      </c>
      <c r="K166">
        <f t="shared" si="17"/>
        <v>39.008817602939843</v>
      </c>
      <c r="L166">
        <f t="shared" si="18"/>
        <v>27.654583201738774</v>
      </c>
      <c r="M166">
        <f t="shared" si="19"/>
        <v>79.023786272347095</v>
      </c>
      <c r="N166">
        <f t="shared" si="20"/>
        <v>41.408542632672102</v>
      </c>
    </row>
    <row r="167" spans="7:14" x14ac:dyDescent="0.25">
      <c r="G167">
        <v>0.28000000000000003</v>
      </c>
      <c r="H167">
        <f t="shared" si="14"/>
        <v>19.626245395021449</v>
      </c>
      <c r="I167" t="str">
        <f t="shared" si="16"/>
        <v>123.3153367011j</v>
      </c>
      <c r="J167" t="str">
        <f t="shared" si="15"/>
        <v>80.562256646599+40.3245952485655j</v>
      </c>
      <c r="K167">
        <f t="shared" si="17"/>
        <v>39.093607762952587</v>
      </c>
      <c r="L167">
        <f t="shared" si="18"/>
        <v>26.589776739078051</v>
      </c>
      <c r="M167">
        <f t="shared" si="19"/>
        <v>80.562256646598996</v>
      </c>
      <c r="N167">
        <f t="shared" si="20"/>
        <v>40.324595248565501</v>
      </c>
    </row>
    <row r="168" spans="7:14" x14ac:dyDescent="0.25">
      <c r="G168">
        <v>0.3</v>
      </c>
      <c r="H168">
        <f t="shared" si="14"/>
        <v>20.551201844179463</v>
      </c>
      <c r="I168" t="str">
        <f t="shared" si="16"/>
        <v>129.12700947223j</v>
      </c>
      <c r="J168" t="str">
        <f t="shared" si="15"/>
        <v>82.01922528012+39.2148908327076j</v>
      </c>
      <c r="K168">
        <f t="shared" si="17"/>
        <v>39.172408074742229</v>
      </c>
      <c r="L168">
        <f t="shared" si="18"/>
        <v>25.553315810130112</v>
      </c>
      <c r="M168">
        <f t="shared" si="19"/>
        <v>82.019225280119997</v>
      </c>
      <c r="N168">
        <f t="shared" si="20"/>
        <v>39.214890832707603</v>
      </c>
    </row>
    <row r="169" spans="7:14" x14ac:dyDescent="0.25">
      <c r="G169">
        <v>0.32</v>
      </c>
      <c r="H169">
        <f t="shared" si="14"/>
        <v>21.519750147796611</v>
      </c>
      <c r="I169" t="str">
        <f t="shared" si="16"/>
        <v>135.212577942811j</v>
      </c>
      <c r="J169" t="str">
        <f t="shared" si="15"/>
        <v>83.3953113826523+38.0860053093127j</v>
      </c>
      <c r="K169">
        <f t="shared" si="17"/>
        <v>39.245543431610187</v>
      </c>
      <c r="L169">
        <f t="shared" si="18"/>
        <v>24.545819917800973</v>
      </c>
      <c r="M169">
        <f t="shared" si="19"/>
        <v>83.395311382652295</v>
      </c>
      <c r="N169">
        <f t="shared" si="20"/>
        <v>38.086005309312696</v>
      </c>
    </row>
    <row r="170" spans="7:14" x14ac:dyDescent="0.25">
      <c r="G170">
        <v>0.34</v>
      </c>
      <c r="H170">
        <f t="shared" si="14"/>
        <v>22.533944726680392</v>
      </c>
      <c r="I170" t="str">
        <f t="shared" si="16"/>
        <v>141.584950419475j</v>
      </c>
      <c r="J170" t="str">
        <f t="shared" si="15"/>
        <v>84.6917142602819+36.9441252461542j</v>
      </c>
      <c r="K170">
        <f t="shared" si="17"/>
        <v>39.313335070792</v>
      </c>
      <c r="L170">
        <f t="shared" si="18"/>
        <v>23.567738851345194</v>
      </c>
      <c r="M170">
        <f t="shared" si="19"/>
        <v>84.691714260281898</v>
      </c>
      <c r="N170">
        <f t="shared" si="20"/>
        <v>36.944125246154201</v>
      </c>
    </row>
    <row r="171" spans="7:14" x14ac:dyDescent="0.25">
      <c r="G171">
        <v>0.36</v>
      </c>
      <c r="H171">
        <f t="shared" si="14"/>
        <v>23.595936823508065</v>
      </c>
      <c r="I171" t="str">
        <f t="shared" si="16"/>
        <v>148.257643558604j</v>
      </c>
      <c r="J171" t="str">
        <f t="shared" si="15"/>
        <v>85.9101342472441+35.7950070099086j</v>
      </c>
      <c r="K171">
        <f t="shared" si="17"/>
        <v>39.376098410411686</v>
      </c>
      <c r="L171">
        <f t="shared" si="18"/>
        <v>22.619363585265788</v>
      </c>
      <c r="M171">
        <f t="shared" si="19"/>
        <v>85.910134247244102</v>
      </c>
      <c r="N171">
        <f t="shared" si="20"/>
        <v>35.795007009908602</v>
      </c>
    </row>
    <row r="172" spans="7:14" x14ac:dyDescent="0.25">
      <c r="G172">
        <v>0.38</v>
      </c>
      <c r="H172">
        <f t="shared" si="14"/>
        <v>24.707979065900759</v>
      </c>
      <c r="I172" t="str">
        <f t="shared" si="16"/>
        <v>155.244811036968j</v>
      </c>
      <c r="J172" t="str">
        <f t="shared" si="15"/>
        <v>87.0526942673065+34.6439494871486j</v>
      </c>
      <c r="K172">
        <f t="shared" si="17"/>
        <v>39.434141202234933</v>
      </c>
      <c r="L172">
        <f t="shared" si="18"/>
        <v>21.700838071825125</v>
      </c>
      <c r="M172">
        <f t="shared" si="19"/>
        <v>87.052694267306507</v>
      </c>
      <c r="N172">
        <f t="shared" si="20"/>
        <v>34.643949487148603</v>
      </c>
    </row>
    <row r="173" spans="7:14" x14ac:dyDescent="0.25">
      <c r="G173">
        <v>0.4</v>
      </c>
      <c r="H173">
        <f t="shared" si="14"/>
        <v>25.872430244548681</v>
      </c>
      <c r="I173" t="str">
        <f t="shared" si="16"/>
        <v>162.561273573577j</v>
      </c>
      <c r="J173" t="str">
        <f t="shared" si="15"/>
        <v>88.1218639970262+33.4957790383552j</v>
      </c>
      <c r="K173">
        <f t="shared" si="17"/>
        <v>39.487761993608835</v>
      </c>
      <c r="L173">
        <f t="shared" si="18"/>
        <v>20.812171586382451</v>
      </c>
      <c r="M173">
        <f t="shared" si="19"/>
        <v>88.121863997026196</v>
      </c>
      <c r="N173">
        <f t="shared" si="20"/>
        <v>33.495779038355202</v>
      </c>
    </row>
    <row r="174" spans="7:14" x14ac:dyDescent="0.25">
      <c r="G174">
        <v>0.42</v>
      </c>
      <c r="H174">
        <f t="shared" si="14"/>
        <v>27.091760316522439</v>
      </c>
      <c r="I174" t="str">
        <f t="shared" si="16"/>
        <v>170.222550366405j</v>
      </c>
      <c r="J174" t="str">
        <f t="shared" si="15"/>
        <v>89.1203881714455+32.354845165111j</v>
      </c>
      <c r="K174">
        <f t="shared" si="17"/>
        <v>39.537248884952369</v>
      </c>
      <c r="L174">
        <f t="shared" si="18"/>
        <v>19.953251322647777</v>
      </c>
      <c r="M174">
        <f t="shared" si="19"/>
        <v>89.120388171445498</v>
      </c>
      <c r="N174">
        <f t="shared" si="20"/>
        <v>32.354845165111001</v>
      </c>
    </row>
    <row r="175" spans="7:14" x14ac:dyDescent="0.25">
      <c r="G175">
        <v>0.44</v>
      </c>
      <c r="H175">
        <f t="shared" si="14"/>
        <v>28.368555644383115</v>
      </c>
      <c r="I175" t="str">
        <f t="shared" si="16"/>
        <v>178.244892010695j</v>
      </c>
      <c r="J175" t="str">
        <f t="shared" si="15"/>
        <v>90.0512201595092+31.2250252850745j</v>
      </c>
      <c r="K175">
        <f t="shared" si="17"/>
        <v>39.582878563838015</v>
      </c>
      <c r="L175">
        <f t="shared" si="18"/>
        <v>19.123854976368946</v>
      </c>
      <c r="M175">
        <f t="shared" si="19"/>
        <v>90.051220159509199</v>
      </c>
      <c r="N175">
        <f t="shared" si="20"/>
        <v>31.225025285074501</v>
      </c>
    </row>
    <row r="176" spans="7:14" x14ac:dyDescent="0.25">
      <c r="G176">
        <v>0.46</v>
      </c>
      <c r="H176">
        <f t="shared" si="14"/>
        <v>29.705524482204044</v>
      </c>
      <c r="I176" t="str">
        <f t="shared" si="16"/>
        <v>186.645314968648j</v>
      </c>
      <c r="J176" t="str">
        <f t="shared" si="15"/>
        <v>90.9174615590896+30.1097370077952j</v>
      </c>
      <c r="K176">
        <f t="shared" si="17"/>
        <v>39.624915592961734</v>
      </c>
      <c r="L176">
        <f t="shared" si="18"/>
        <v>18.323663098510313</v>
      </c>
      <c r="M176">
        <f t="shared" si="19"/>
        <v>90.917461559089602</v>
      </c>
      <c r="N176">
        <f t="shared" si="20"/>
        <v>30.1097370077952</v>
      </c>
    </row>
    <row r="177" spans="7:14" x14ac:dyDescent="0.25">
      <c r="G177">
        <v>0.48</v>
      </c>
      <c r="H177">
        <f t="shared" si="14"/>
        <v>31.105502720140773</v>
      </c>
      <c r="I177" t="str">
        <f t="shared" si="16"/>
        <v>195.441637663623j</v>
      </c>
      <c r="J177" t="str">
        <f t="shared" si="15"/>
        <v>91.7223082312585+29.0119563683385j</v>
      </c>
      <c r="K177">
        <f t="shared" si="17"/>
        <v>39.663611926980614</v>
      </c>
      <c r="L177">
        <f t="shared" si="18"/>
        <v>17.552271040658063</v>
      </c>
      <c r="M177">
        <f t="shared" si="19"/>
        <v>91.722308231258495</v>
      </c>
      <c r="N177">
        <f t="shared" si="20"/>
        <v>29.011956368338499</v>
      </c>
    </row>
    <row r="178" spans="7:14" x14ac:dyDescent="0.25">
      <c r="G178">
        <v>0.5</v>
      </c>
      <c r="H178">
        <f t="shared" si="14"/>
        <v>32.571459899734315</v>
      </c>
      <c r="I178" t="str">
        <f t="shared" si="16"/>
        <v>204.6525182754j</v>
      </c>
      <c r="J178" t="str">
        <f t="shared" si="15"/>
        <v>92.4690029157776+27.9342405869788j</v>
      </c>
      <c r="K178">
        <f t="shared" si="17"/>
        <v>39.699206632089158</v>
      </c>
      <c r="L178">
        <f t="shared" si="18"/>
        <v>16.809200354713273</v>
      </c>
      <c r="M178">
        <f t="shared" si="19"/>
        <v>92.469002915777594</v>
      </c>
      <c r="N178">
        <f t="shared" si="20"/>
        <v>27.934240586978799</v>
      </c>
    </row>
    <row r="179" spans="7:14" x14ac:dyDescent="0.25">
      <c r="G179">
        <v>0.52</v>
      </c>
      <c r="H179">
        <f t="shared" si="14"/>
        <v>34.106505512706889</v>
      </c>
      <c r="I179" t="str">
        <f t="shared" si="16"/>
        <v>214.297494316679j</v>
      </c>
      <c r="J179" t="str">
        <f t="shared" si="15"/>
        <v>93.1607943459211+26.8787540656361j</v>
      </c>
      <c r="K179">
        <f t="shared" si="17"/>
        <v>39.73192578210552</v>
      </c>
      <c r="L179">
        <f t="shared" si="18"/>
        <v>16.093909544881459</v>
      </c>
      <c r="M179">
        <f t="shared" si="19"/>
        <v>93.160794345921104</v>
      </c>
      <c r="N179">
        <f t="shared" si="20"/>
        <v>26.878754065636102</v>
      </c>
    </row>
    <row r="180" spans="7:14" x14ac:dyDescent="0.25">
      <c r="G180">
        <v>0.54</v>
      </c>
      <c r="H180">
        <f t="shared" si="14"/>
        <v>35.713895596610769</v>
      </c>
      <c r="I180" t="str">
        <f t="shared" si="16"/>
        <v>224.397024074771j</v>
      </c>
      <c r="J180" t="str">
        <f t="shared" si="15"/>
        <v>93.8009026083731+25.8472964912881j</v>
      </c>
      <c r="K180">
        <f t="shared" si="17"/>
        <v>39.761982505526198</v>
      </c>
      <c r="L180">
        <f t="shared" si="18"/>
        <v>15.405804101900921</v>
      </c>
      <c r="M180">
        <f t="shared" si="19"/>
        <v>93.800902608373093</v>
      </c>
      <c r="N180">
        <f t="shared" si="20"/>
        <v>25.847296491288098</v>
      </c>
    </row>
    <row r="181" spans="7:14" x14ac:dyDescent="0.25">
      <c r="G181">
        <v>0.56000000000000005</v>
      </c>
      <c r="H181">
        <f t="shared" si="14"/>
        <v>37.397039641320447</v>
      </c>
      <c r="I181" t="str">
        <f t="shared" si="16"/>
        <v>234.972530006357j</v>
      </c>
      <c r="J181" t="str">
        <f t="shared" si="15"/>
        <v>94.3924903686236+24.8413320820143j</v>
      </c>
      <c r="K181">
        <f t="shared" si="17"/>
        <v>39.789577159291923</v>
      </c>
      <c r="L181">
        <f t="shared" si="18"/>
        <v>14.74424577708128</v>
      </c>
      <c r="M181">
        <f t="shared" si="19"/>
        <v>94.392490368623598</v>
      </c>
      <c r="N181">
        <f t="shared" si="20"/>
        <v>24.841332082014301</v>
      </c>
    </row>
    <row r="182" spans="7:14" x14ac:dyDescent="0.25">
      <c r="G182">
        <v>0.57999999999999996</v>
      </c>
      <c r="H182">
        <f t="shared" si="14"/>
        <v>39.159507821017804</v>
      </c>
      <c r="I182" t="str">
        <f t="shared" si="16"/>
        <v>246.046444177403j</v>
      </c>
      <c r="J182" t="str">
        <f t="shared" si="15"/>
        <v>94.938639498104+23.8620191739016j</v>
      </c>
      <c r="K182">
        <f t="shared" si="17"/>
        <v>39.814897606705529</v>
      </c>
      <c r="L182">
        <f t="shared" si="18"/>
        <v>14.108561077001582</v>
      </c>
      <c r="M182">
        <f t="shared" si="19"/>
        <v>94.938639498103996</v>
      </c>
      <c r="N182">
        <f t="shared" si="20"/>
        <v>23.862019173901601</v>
      </c>
    </row>
    <row r="183" spans="7:14" x14ac:dyDescent="0.25">
      <c r="G183">
        <v>0.6</v>
      </c>
      <c r="H183">
        <f t="shared" si="14"/>
        <v>41.005038567010224</v>
      </c>
      <c r="I183" t="str">
        <f t="shared" si="16"/>
        <v>257.642255844571j</v>
      </c>
      <c r="J183" t="str">
        <f t="shared" si="15"/>
        <v>95.4423325898479+22.910239500567j</v>
      </c>
      <c r="K183">
        <f t="shared" si="17"/>
        <v>39.838119578908589</v>
      </c>
      <c r="L183">
        <f t="shared" si="18"/>
        <v>13.498048978824128</v>
      </c>
      <c r="M183">
        <f t="shared" si="19"/>
        <v>95.442332589847894</v>
      </c>
      <c r="N183">
        <f t="shared" si="20"/>
        <v>22.910239500566998</v>
      </c>
    </row>
    <row r="184" spans="7:14" x14ac:dyDescent="0.25">
      <c r="G184">
        <v>0.62</v>
      </c>
      <c r="H184">
        <f t="shared" si="14"/>
        <v>42.937546497444558</v>
      </c>
      <c r="I184" t="str">
        <f t="shared" si="16"/>
        <v>269.784561279084j</v>
      </c>
      <c r="J184" t="str">
        <f t="shared" si="15"/>
        <v>95.9064388281905+21.9866266573564j</v>
      </c>
      <c r="K184">
        <f t="shared" si="17"/>
        <v>39.859407101426306</v>
      </c>
      <c r="L184">
        <f t="shared" si="18"/>
        <v>12.911987881393056</v>
      </c>
      <c r="M184">
        <f t="shared" si="19"/>
        <v>95.906438828190502</v>
      </c>
      <c r="N184">
        <f t="shared" si="20"/>
        <v>21.9866266573564</v>
      </c>
    </row>
    <row r="185" spans="7:14" x14ac:dyDescent="0.25">
      <c r="G185">
        <v>0.64</v>
      </c>
      <c r="H185">
        <f t="shared" si="14"/>
        <v>44.961130720737103</v>
      </c>
      <c r="I185" t="str">
        <f t="shared" si="16"/>
        <v>282.499115938716j</v>
      </c>
      <c r="J185" t="str">
        <f t="shared" si="15"/>
        <v>96.3337036788258+21.0915933670362j</v>
      </c>
      <c r="K185">
        <f t="shared" si="17"/>
        <v>39.878912969434026</v>
      </c>
      <c r="L185">
        <f t="shared" si="18"/>
        <v>12.349641819007275</v>
      </c>
      <c r="M185">
        <f t="shared" si="19"/>
        <v>96.333703678825799</v>
      </c>
      <c r="N185">
        <f t="shared" si="20"/>
        <v>21.0915933670362</v>
      </c>
    </row>
    <row r="186" spans="7:14" x14ac:dyDescent="0.25">
      <c r="G186">
        <v>0.66</v>
      </c>
      <c r="H186">
        <f t="shared" si="14"/>
        <v>47.080083530332139</v>
      </c>
      <c r="I186" t="str">
        <f t="shared" si="16"/>
        <v>295.812889098571j</v>
      </c>
      <c r="J186" t="str">
        <f t="shared" si="15"/>
        <v>96.7267418828458+20.225357271989j</v>
      </c>
      <c r="K186">
        <f t="shared" si="17"/>
        <v>39.896779257502899</v>
      </c>
      <c r="L186">
        <f t="shared" si="18"/>
        <v>11.810265973401034</v>
      </c>
      <c r="M186">
        <f t="shared" si="19"/>
        <v>96.726741882845801</v>
      </c>
      <c r="N186">
        <f t="shared" si="20"/>
        <v>20.225357271989001</v>
      </c>
    </row>
    <row r="187" spans="7:14" x14ac:dyDescent="0.25">
      <c r="G187">
        <v>0.68</v>
      </c>
      <c r="H187">
        <f t="shared" si="14"/>
        <v>49.298899509231759</v>
      </c>
      <c r="I187" t="str">
        <f t="shared" si="16"/>
        <v>309.754121056528j</v>
      </c>
      <c r="J187" t="str">
        <f t="shared" si="15"/>
        <v>97.0880332674251+19.3879650696176j</v>
      </c>
      <c r="K187">
        <f t="shared" si="17"/>
        <v>39.913137851593348</v>
      </c>
      <c r="L187">
        <f t="shared" si="18"/>
        <v>11.293111525471243</v>
      </c>
      <c r="M187">
        <f t="shared" si="19"/>
        <v>97.088033267425104</v>
      </c>
      <c r="N187">
        <f t="shared" si="20"/>
        <v>19.3879650696176</v>
      </c>
    </row>
    <row r="188" spans="7:14" x14ac:dyDescent="0.25">
      <c r="G188">
        <v>0.7</v>
      </c>
      <c r="H188">
        <f t="shared" si="14"/>
        <v>51.622285063609048</v>
      </c>
      <c r="I188" t="str">
        <f t="shared" si="16"/>
        <v>324.352383034705j</v>
      </c>
      <c r="J188" t="str">
        <f t="shared" si="15"/>
        <v>97.4199209225392+18.5793148836335j</v>
      </c>
      <c r="K188">
        <f t="shared" si="17"/>
        <v>39.928110992943132</v>
      </c>
      <c r="L188">
        <f t="shared" si="18"/>
        <v>10.797429892089998</v>
      </c>
      <c r="M188">
        <f t="shared" si="19"/>
        <v>97.419920922539205</v>
      </c>
      <c r="N188">
        <f t="shared" si="20"/>
        <v>18.579314883633501</v>
      </c>
    </row>
    <row r="189" spans="7:14" x14ac:dyDescent="0.25">
      <c r="G189">
        <v>0.72</v>
      </c>
      <c r="H189">
        <f t="shared" si="14"/>
        <v>54.055168405726583</v>
      </c>
      <c r="I189" t="str">
        <f t="shared" si="16"/>
        <v>339.638639903979j</v>
      </c>
      <c r="J189" t="str">
        <f t="shared" si="15"/>
        <v>97.7246113342627+17.7991768254063j</v>
      </c>
      <c r="K189">
        <f t="shared" si="17"/>
        <v>39.941811825217435</v>
      </c>
      <c r="L189">
        <f t="shared" si="18"/>
        <v>10.322476395329163</v>
      </c>
      <c r="M189">
        <f t="shared" si="19"/>
        <v>97.724611334262704</v>
      </c>
      <c r="N189">
        <f t="shared" si="20"/>
        <v>17.799176825406299</v>
      </c>
    </row>
    <row r="190" spans="7:14" x14ac:dyDescent="0.25">
      <c r="G190">
        <v>0.74</v>
      </c>
      <c r="H190">
        <f t="shared" si="14"/>
        <v>56.602710007335332</v>
      </c>
      <c r="I190" t="str">
        <f t="shared" si="16"/>
        <v>355.645315864636j</v>
      </c>
      <c r="J190" t="str">
        <f t="shared" si="15"/>
        <v>98.0041761082494+17.0472117481034j</v>
      </c>
      <c r="K190">
        <f t="shared" si="17"/>
        <v>39.954344937841206</v>
      </c>
      <c r="L190">
        <f t="shared" si="18"/>
        <v>9.8675134119610313</v>
      </c>
      <c r="M190">
        <f t="shared" si="19"/>
        <v>98.004176108249396</v>
      </c>
      <c r="N190">
        <f t="shared" si="20"/>
        <v>17.0472117481034</v>
      </c>
    </row>
    <row r="191" spans="7:14" x14ac:dyDescent="0.25">
      <c r="G191">
        <v>0.76</v>
      </c>
      <c r="H191">
        <f t="shared" si="14"/>
        <v>59.270313545727191</v>
      </c>
      <c r="I191" t="str">
        <f t="shared" si="16"/>
        <v>372.40636322244j</v>
      </c>
      <c r="J191" t="str">
        <f t="shared" si="15"/>
        <v>98.2605549599837+16.3229882336036j</v>
      </c>
      <c r="K191">
        <f t="shared" si="17"/>
        <v>39.965806899812911</v>
      </c>
      <c r="L191">
        <f t="shared" si="18"/>
        <v>9.431813050513485</v>
      </c>
      <c r="M191">
        <f t="shared" si="19"/>
        <v>98.260554959983693</v>
      </c>
      <c r="N191">
        <f t="shared" si="20"/>
        <v>16.322988233603599</v>
      </c>
    </row>
    <row r="192" spans="7:14" x14ac:dyDescent="0.25">
      <c r="G192">
        <v>0.78</v>
      </c>
      <c r="H192">
        <f t="shared" si="14"/>
        <v>62.06363736565887</v>
      </c>
      <c r="I192" t="str">
        <f t="shared" si="16"/>
        <v>389.95733440603j</v>
      </c>
      <c r="J192" t="str">
        <f t="shared" si="15"/>
        <v>98.4955596899543+15.6259978797514j</v>
      </c>
      <c r="K192">
        <f t="shared" si="17"/>
        <v>39.976286779509003</v>
      </c>
      <c r="L192">
        <f t="shared" si="18"/>
        <v>9.0146594017135335</v>
      </c>
      <c r="M192">
        <f t="shared" si="19"/>
        <v>98.495559689954305</v>
      </c>
      <c r="N192">
        <f t="shared" si="20"/>
        <v>15.625997879751401</v>
      </c>
    </row>
    <row r="193" spans="7:14" x14ac:dyDescent="0.25">
      <c r="G193">
        <v>0.8</v>
      </c>
      <c r="H193">
        <f t="shared" si="14"/>
        <v>64.988606481459925</v>
      </c>
      <c r="I193" t="str">
        <f t="shared" si="16"/>
        <v>408.335457378385j</v>
      </c>
      <c r="J193" t="str">
        <f t="shared" si="15"/>
        <v>98.7108789010388+14.955668975021j</v>
      </c>
      <c r="K193">
        <f t="shared" si="17"/>
        <v>39.985866647036609</v>
      </c>
      <c r="L193">
        <f t="shared" si="18"/>
        <v>8.6153504060994663</v>
      </c>
      <c r="M193">
        <f t="shared" si="19"/>
        <v>98.710878901038797</v>
      </c>
      <c r="N193">
        <f t="shared" si="20"/>
        <v>14.955668975021</v>
      </c>
    </row>
    <row r="194" spans="7:14" x14ac:dyDescent="0.25">
      <c r="G194">
        <v>0.82</v>
      </c>
      <c r="H194">
        <f t="shared" si="14"/>
        <v>68.051425144782399</v>
      </c>
      <c r="I194" t="str">
        <f t="shared" si="16"/>
        <v>427.579714602328j</v>
      </c>
      <c r="J194" t="str">
        <f t="shared" si="15"/>
        <v>98.9080832515337+14.3113786604963j</v>
      </c>
      <c r="K194">
        <f t="shared" si="17"/>
        <v>39.994622056589662</v>
      </c>
      <c r="L194">
        <f t="shared" si="18"/>
        <v>8.2331993800948347</v>
      </c>
      <c r="M194">
        <f t="shared" si="19"/>
        <v>98.908083251533697</v>
      </c>
      <c r="N194">
        <f t="shared" si="20"/>
        <v>14.311378660496301</v>
      </c>
    </row>
    <row r="195" spans="7:14" x14ac:dyDescent="0.25">
      <c r="G195">
        <v>0.84</v>
      </c>
      <c r="H195">
        <f t="shared" ref="H195:H203" si="21">$B$3*10^G195</f>
        <v>71.258590004650486</v>
      </c>
      <c r="I195" t="str">
        <f t="shared" si="16"/>
        <v>447.730925727554j</v>
      </c>
      <c r="J195" t="str">
        <f t="shared" ref="J195:J258" si="22">IMDIV(IMSUM(1,IMPRODUCT(I195,Cg,(Rg+Rf))),IMSUM(1,IMPRODUCT(I195,Cg,Rg)))</f>
        <v>99.0886310700563+13.6924636865692j</v>
      </c>
      <c r="K195">
        <f t="shared" si="17"/>
        <v>40.002622507022842</v>
      </c>
      <c r="L195">
        <f t="shared" si="18"/>
        <v>7.867536239095001</v>
      </c>
      <c r="M195">
        <f t="shared" si="19"/>
        <v>99.088631070056294</v>
      </c>
      <c r="N195">
        <f t="shared" si="20"/>
        <v>13.6924636865692</v>
      </c>
    </row>
    <row r="196" spans="7:14" x14ac:dyDescent="0.25">
      <c r="G196">
        <v>0.86</v>
      </c>
      <c r="H196">
        <f t="shared" si="21"/>
        <v>74.616903887724007</v>
      </c>
      <c r="I196" t="str">
        <f t="shared" ref="I196:I259" si="23">COMPLEX(0,H196*2*PI(),"j")</f>
        <v>468.831834174579j</v>
      </c>
      <c r="J196" t="str">
        <f t="shared" si="22"/>
        <v>99.2538741878957+13.0982298750148j</v>
      </c>
      <c r="K196">
        <f t="shared" ref="K196:K203" si="24">20*LOG(IMABS(J196))</f>
        <v>40.009931879493628</v>
      </c>
      <c r="L196">
        <f t="shared" ref="L196:L203" si="25">DEGREES(IMARGUMENT(J196))</f>
        <v>7.517708453226267</v>
      </c>
      <c r="M196">
        <f t="shared" ref="M196:M203" si="26">IMREAL(J196)</f>
        <v>99.253874187895704</v>
      </c>
      <c r="N196">
        <f t="shared" ref="N196:N203" si="27">IMAGINARY(J196)</f>
        <v>13.0982298750148</v>
      </c>
    </row>
    <row r="197" spans="7:14" x14ac:dyDescent="0.25">
      <c r="G197">
        <v>0.88</v>
      </c>
      <c r="H197">
        <f t="shared" si="21"/>
        <v>78.133490228005925</v>
      </c>
      <c r="I197" t="str">
        <f t="shared" si="23"/>
        <v>490.927197799267j</v>
      </c>
      <c r="J197" t="str">
        <f t="shared" si="22"/>
        <v>99.4050638703061+12.5279603971115j</v>
      </c>
      <c r="K197">
        <f t="shared" si="24"/>
        <v>40.016608851547097</v>
      </c>
      <c r="L197">
        <f t="shared" si="25"/>
        <v>7.1830817685127251</v>
      </c>
      <c r="M197">
        <f t="shared" si="26"/>
        <v>99.405063870306094</v>
      </c>
      <c r="N197">
        <f t="shared" si="27"/>
        <v>12.527960397111499</v>
      </c>
    </row>
    <row r="198" spans="7:14" x14ac:dyDescent="0.25">
      <c r="G198">
        <v>0.9</v>
      </c>
      <c r="H198">
        <f t="shared" si="21"/>
        <v>81.815808176601024</v>
      </c>
      <c r="I198" t="str">
        <f t="shared" si="23"/>
        <v>514.063883830243j</v>
      </c>
      <c r="J198" t="str">
        <f t="shared" si="22"/>
        <v>99.5433567508718+11.980922976031j</v>
      </c>
      <c r="K198">
        <f t="shared" si="24"/>
        <v>40.022707287445904</v>
      </c>
      <c r="L198">
        <f t="shared" si="25"/>
        <v>6.8630407232886075</v>
      </c>
      <c r="M198">
        <f t="shared" si="26"/>
        <v>99.543356750871794</v>
      </c>
      <c r="N198">
        <f t="shared" si="27"/>
        <v>11.980922976031</v>
      </c>
    </row>
    <row r="199" spans="7:14" x14ac:dyDescent="0.25">
      <c r="G199">
        <v>0.92</v>
      </c>
      <c r="H199">
        <f t="shared" si="21"/>
        <v>85.671668423575127</v>
      </c>
      <c r="I199" t="str">
        <f t="shared" si="23"/>
        <v>538.290968280569j</v>
      </c>
      <c r="J199" t="str">
        <f t="shared" si="22"/>
        <v>99.6698206926403+11.456376117527j</v>
      </c>
      <c r="K199">
        <f t="shared" si="24"/>
        <v>40.028276604891445</v>
      </c>
      <c r="L199">
        <f t="shared" si="25"/>
        <v>6.556988986893133</v>
      </c>
      <c r="M199">
        <f t="shared" si="26"/>
        <v>99.6698206926403</v>
      </c>
      <c r="N199">
        <f t="shared" si="27"/>
        <v>11.456376117527</v>
      </c>
    </row>
    <row r="200" spans="7:14" x14ac:dyDescent="0.25">
      <c r="G200">
        <v>0.94</v>
      </c>
      <c r="H200">
        <f t="shared" si="21"/>
        <v>89.709249765476301</v>
      </c>
      <c r="I200" t="str">
        <f t="shared" si="23"/>
        <v>563.659840044544j</v>
      </c>
      <c r="J200" t="str">
        <f t="shared" si="22"/>
        <v>99.7854405164541+10.9535744675201j</v>
      </c>
      <c r="K200">
        <f t="shared" si="24"/>
        <v>40.033362118552972</v>
      </c>
      <c r="L200">
        <f t="shared" si="25"/>
        <v>6.2643495450037259</v>
      </c>
      <c r="M200">
        <f t="shared" si="26"/>
        <v>99.785440516454102</v>
      </c>
      <c r="N200">
        <f t="shared" si="27"/>
        <v>10.953574467520101</v>
      </c>
    </row>
    <row r="201" spans="7:14" x14ac:dyDescent="0.25">
      <c r="G201">
        <v>0.96</v>
      </c>
      <c r="H201">
        <f t="shared" si="21"/>
        <v>93.937116453658717</v>
      </c>
      <c r="I201" t="str">
        <f t="shared" si="23"/>
        <v>590.224309900446j</v>
      </c>
      <c r="J201" t="str">
        <f t="shared" si="22"/>
        <v>99.8911235511095+10.4717733889796j</v>
      </c>
      <c r="K201">
        <f t="shared" si="24"/>
        <v>40.038005361030564</v>
      </c>
      <c r="L201">
        <f t="shared" si="25"/>
        <v>5.9845647534432169</v>
      </c>
      <c r="M201">
        <f t="shared" si="26"/>
        <v>99.891123551109501</v>
      </c>
      <c r="N201">
        <f t="shared" si="27"/>
        <v>10.471773388979599</v>
      </c>
    </row>
    <row r="202" spans="7:14" x14ac:dyDescent="0.25">
      <c r="G202">
        <v>0.98</v>
      </c>
      <c r="H202">
        <f t="shared" si="21"/>
        <v>98.364236360207897</v>
      </c>
      <c r="I202" t="str">
        <f t="shared" si="23"/>
        <v>618.040724650398j</v>
      </c>
      <c r="J202" t="str">
        <f t="shared" si="22"/>
        <v>99.9877049718761+10.0102328438662j</v>
      </c>
      <c r="K202">
        <f t="shared" si="24"/>
        <v>40.042244382034831</v>
      </c>
      <c r="L202">
        <f t="shared" si="25"/>
        <v>5.7170962799445331</v>
      </c>
      <c r="M202">
        <f t="shared" si="26"/>
        <v>99.987704971876099</v>
      </c>
      <c r="N202">
        <f t="shared" si="27"/>
        <v>10.0102328438662</v>
      </c>
    </row>
    <row r="203" spans="7:14" x14ac:dyDescent="0.25">
      <c r="G203">
        <v>1</v>
      </c>
      <c r="H203">
        <f t="shared" si="21"/>
        <v>103</v>
      </c>
      <c r="I203" t="str">
        <f t="shared" si="23"/>
        <v>647.168086639497j</v>
      </c>
      <c r="J203" t="str">
        <f t="shared" si="22"/>
        <v>100.07595290383+9.56822065909238j</v>
      </c>
      <c r="K203">
        <f t="shared" si="24"/>
        <v>40.046114026679831</v>
      </c>
      <c r="L203">
        <f t="shared" si="25"/>
        <v>5.4614249511794313</v>
      </c>
      <c r="M203">
        <f t="shared" si="26"/>
        <v>100.07595290383</v>
      </c>
      <c r="N203">
        <f t="shared" si="27"/>
        <v>9.5682206590923808</v>
      </c>
    </row>
    <row r="204" spans="7:14" x14ac:dyDescent="0.25">
      <c r="G204">
        <v>1.02</v>
      </c>
      <c r="H204">
        <f t="shared" ref="H204:H267" si="28">$B$3*10^G204</f>
        <v>107.85424044924271</v>
      </c>
      <c r="I204" t="str">
        <f t="shared" si="23"/>
        <v>677.668178907696j</v>
      </c>
      <c r="J204" t="str">
        <f t="shared" si="22"/>
        <v>100.156573274602+9.14501524868966j</v>
      </c>
      <c r="K204">
        <f t="shared" ref="K204:K267" si="29">20*LOG(IMABS(J204))</f>
        <v>40.049646193862635</v>
      </c>
      <c r="L204">
        <f t="shared" ref="L204:L267" si="30">DEGREES(IMARGUMENT(J204))</f>
        <v>5.2170505203660342</v>
      </c>
      <c r="M204">
        <f t="shared" ref="M204:M267" si="31">IMREAL(J204)</f>
        <v>100.156573274602</v>
      </c>
      <c r="N204">
        <f t="shared" ref="N204:N267" si="32">IMAGINARY(J204)</f>
        <v>9.1450152486896599</v>
      </c>
    </row>
    <row r="205" spans="7:14" x14ac:dyDescent="0.25">
      <c r="G205">
        <v>1.04</v>
      </c>
      <c r="H205">
        <f t="shared" si="28"/>
        <v>112.93725420274809</v>
      </c>
      <c r="I205" t="str">
        <f t="shared" si="23"/>
        <v>709.605696239913j</v>
      </c>
      <c r="J205" t="str">
        <f t="shared" si="22"/>
        <v>100.230214407797+8.73990785777246j</v>
      </c>
      <c r="K205">
        <f t="shared" si="29"/>
        <v>40.052870075751244</v>
      </c>
      <c r="L205">
        <f t="shared" si="30"/>
        <v>4.9834913689475258</v>
      </c>
      <c r="M205">
        <f t="shared" si="31"/>
        <v>100.23021440779701</v>
      </c>
      <c r="N205">
        <f t="shared" si="32"/>
        <v>8.7399078577724598</v>
      </c>
    </row>
    <row r="206" spans="7:14" x14ac:dyDescent="0.25">
      <c r="G206">
        <v>1.06</v>
      </c>
      <c r="H206">
        <f t="shared" si="28"/>
        <v>118.25982301417901</v>
      </c>
      <c r="I206" t="str">
        <f t="shared" si="23"/>
        <v>743.048382392348j</v>
      </c>
      <c r="J206" t="str">
        <f t="shared" si="22"/>
        <v>100.29747135369+8.35220438758545j</v>
      </c>
      <c r="K206">
        <f t="shared" si="29"/>
        <v>40.055812379426854</v>
      </c>
      <c r="L206">
        <f t="shared" si="30"/>
        <v>4.7602841541912753</v>
      </c>
      <c r="M206">
        <f t="shared" si="31"/>
        <v>100.29747135369</v>
      </c>
      <c r="N206">
        <f t="shared" si="32"/>
        <v>8.3522043875854504</v>
      </c>
    </row>
    <row r="207" spans="7:14" x14ac:dyDescent="0.25">
      <c r="G207">
        <v>1.08</v>
      </c>
      <c r="H207">
        <f t="shared" si="28"/>
        <v>123.83323676559357</v>
      </c>
      <c r="I207" t="str">
        <f t="shared" si="23"/>
        <v>778.067173786068j</v>
      </c>
      <c r="J207" t="str">
        <f t="shared" si="22"/>
        <v>100.358889958039+7.98122685495133j</v>
      </c>
      <c r="K207">
        <f t="shared" si="29"/>
        <v>40.058497531729735</v>
      </c>
      <c r="L207">
        <f t="shared" si="30"/>
        <v>4.5469834130669664</v>
      </c>
      <c r="M207">
        <f t="shared" si="31"/>
        <v>100.358889958039</v>
      </c>
      <c r="N207">
        <f t="shared" si="32"/>
        <v>7.9812268549513297</v>
      </c>
    </row>
    <row r="208" spans="7:14" x14ac:dyDescent="0.25">
      <c r="G208">
        <v>1.1000000000000001</v>
      </c>
      <c r="H208">
        <f t="shared" si="28"/>
        <v>129.66931741479931</v>
      </c>
      <c r="I208" t="str">
        <f t="shared" si="23"/>
        <v>814.736349972673j</v>
      </c>
      <c r="J208" t="str">
        <f t="shared" si="22"/>
        <v>100.414970673171+7.6263145338754j</v>
      </c>
      <c r="K208">
        <f t="shared" si="29"/>
        <v>40.060947868348514</v>
      </c>
      <c r="L208">
        <f t="shared" si="30"/>
        <v>4.3431611314323</v>
      </c>
      <c r="M208">
        <f t="shared" si="31"/>
        <v>100.414970673171</v>
      </c>
      <c r="N208">
        <f t="shared" si="32"/>
        <v>7.6263145338753997</v>
      </c>
    </row>
    <row r="209" spans="7:14" x14ac:dyDescent="0.25">
      <c r="G209">
        <v>1.1200000000000001</v>
      </c>
      <c r="H209">
        <f t="shared" si="28"/>
        <v>135.78044407131</v>
      </c>
      <c r="I209" t="str">
        <f t="shared" si="23"/>
        <v>853.133691191175j</v>
      </c>
      <c r="J209" t="str">
        <f t="shared" si="22"/>
        <v>100.466172118073+7.28682482191j</v>
      </c>
      <c r="K209">
        <f t="shared" si="29"/>
        <v>40.063183808173477</v>
      </c>
      <c r="L209">
        <f t="shared" si="30"/>
        <v>4.1484062863607924</v>
      </c>
      <c r="M209">
        <f t="shared" si="31"/>
        <v>100.466172118073</v>
      </c>
      <c r="N209">
        <f t="shared" si="32"/>
        <v>7.2868248219099998</v>
      </c>
    </row>
    <row r="210" spans="7:14" x14ac:dyDescent="0.25">
      <c r="G210">
        <v>1.1399999999999999</v>
      </c>
      <c r="H210">
        <f t="shared" si="28"/>
        <v>142.17957925409718</v>
      </c>
      <c r="I210" t="str">
        <f t="shared" si="23"/>
        <v>893.340643350319j</v>
      </c>
      <c r="J210" t="str">
        <f t="shared" si="22"/>
        <v>100.512914396026+6.96213386914339j</v>
      </c>
      <c r="K210">
        <f t="shared" si="29"/>
        <v>40.065224013897009</v>
      </c>
      <c r="L210">
        <f t="shared" si="30"/>
        <v>3.9623243683850995</v>
      </c>
      <c r="M210">
        <f t="shared" si="31"/>
        <v>100.51291439602601</v>
      </c>
      <c r="N210">
        <f t="shared" si="32"/>
        <v>6.9621338691433898</v>
      </c>
    </row>
    <row r="211" spans="7:14" x14ac:dyDescent="0.25">
      <c r="G211">
        <v>1.1599999999999999</v>
      </c>
      <c r="H211">
        <f t="shared" si="28"/>
        <v>148.88029638683054</v>
      </c>
      <c r="I211" t="str">
        <f t="shared" si="23"/>
        <v>935.442490786276j</v>
      </c>
      <c r="J211" t="str">
        <f t="shared" si="22"/>
        <v>100.555582179765+6.6516370033665j</v>
      </c>
      <c r="K211">
        <f t="shared" si="29"/>
        <v>40.067085539814926</v>
      </c>
      <c r="L211">
        <f t="shared" si="30"/>
        <v>3.7845368894871889</v>
      </c>
      <c r="M211">
        <f t="shared" si="31"/>
        <v>100.555582179765</v>
      </c>
      <c r="N211">
        <f t="shared" si="32"/>
        <v>6.6516370033665</v>
      </c>
    </row>
    <row r="212" spans="7:14" x14ac:dyDescent="0.25">
      <c r="G212">
        <v>1.18</v>
      </c>
      <c r="H212">
        <f t="shared" si="28"/>
        <v>155.8968085889295</v>
      </c>
      <c r="I212" t="str">
        <f t="shared" si="23"/>
        <v>979.52853716215j</v>
      </c>
      <c r="J212" t="str">
        <f t="shared" si="22"/>
        <v>100.594527575004+6.35474898104713j</v>
      </c>
      <c r="K212">
        <f t="shared" si="29"/>
        <v>40.068783967735314</v>
      </c>
      <c r="L212">
        <f t="shared" si="30"/>
        <v>3.6146808818326841</v>
      </c>
      <c r="M212">
        <f t="shared" si="31"/>
        <v>100.59452757500399</v>
      </c>
      <c r="N212">
        <f t="shared" si="32"/>
        <v>6.3547489810471296</v>
      </c>
    </row>
    <row r="213" spans="7:14" x14ac:dyDescent="0.25">
      <c r="G213">
        <v>1.2</v>
      </c>
      <c r="H213">
        <f t="shared" si="28"/>
        <v>163.24399882349471</v>
      </c>
      <c r="I213" t="str">
        <f t="shared" si="23"/>
        <v>1025.69229489302j</v>
      </c>
      <c r="J213" t="str">
        <f t="shared" si="22"/>
        <v>100.630072773748+6.07090409020643j</v>
      </c>
      <c r="K213">
        <f t="shared" si="29"/>
        <v>40.070333531858331</v>
      </c>
      <c r="L213">
        <f t="shared" si="30"/>
        <v>3.4524083915121957</v>
      </c>
      <c r="M213">
        <f t="shared" si="31"/>
        <v>100.630072773748</v>
      </c>
      <c r="N213">
        <f t="shared" si="32"/>
        <v>6.0709040902064304</v>
      </c>
    </row>
    <row r="214" spans="7:14" x14ac:dyDescent="0.25">
      <c r="G214">
        <v>1.22</v>
      </c>
      <c r="H214">
        <f t="shared" si="28"/>
        <v>170.93745146606884</v>
      </c>
      <c r="I214" t="str">
        <f t="shared" si="23"/>
        <v>1074.03168349833j</v>
      </c>
      <c r="J214" t="str">
        <f t="shared" si="22"/>
        <v>100.662512509103+5.79955612811179j</v>
      </c>
      <c r="K214">
        <f t="shared" si="29"/>
        <v>40.071747233444995</v>
      </c>
      <c r="L214">
        <f t="shared" si="30"/>
        <v>3.2973859709048678</v>
      </c>
      <c r="M214">
        <f t="shared" si="31"/>
        <v>100.662512509103</v>
      </c>
      <c r="N214">
        <f t="shared" si="32"/>
        <v>5.7995561281117904</v>
      </c>
    </row>
    <row r="215" spans="7:14" x14ac:dyDescent="0.25">
      <c r="G215">
        <v>1.24</v>
      </c>
      <c r="H215">
        <f t="shared" si="28"/>
        <v>178.99348536118569</v>
      </c>
      <c r="I215" t="str">
        <f t="shared" si="23"/>
        <v>1124.64923730227j</v>
      </c>
      <c r="J215" t="str">
        <f t="shared" si="22"/>
        <v>100.692116323356+5.5401782738551j</v>
      </c>
      <c r="K215">
        <f t="shared" si="29"/>
        <v>40.073036946046052</v>
      </c>
      <c r="L215">
        <f t="shared" si="30"/>
        <v>3.149294172713335</v>
      </c>
      <c r="M215">
        <f t="shared" si="31"/>
        <v>100.692116323356</v>
      </c>
      <c r="N215">
        <f t="shared" si="32"/>
        <v>5.5401782738551004</v>
      </c>
    </row>
    <row r="216" spans="7:14" x14ac:dyDescent="0.25">
      <c r="G216">
        <v>1.26</v>
      </c>
      <c r="H216">
        <f t="shared" si="28"/>
        <v>187.42918843682838</v>
      </c>
      <c r="I216" t="str">
        <f t="shared" si="23"/>
        <v>1177.65232292287j</v>
      </c>
      <c r="J216" t="str">
        <f t="shared" si="22"/>
        <v>100.719130660939+5.29226287334115j</v>
      </c>
      <c r="K216">
        <f t="shared" si="29"/>
        <v>40.074213512011895</v>
      </c>
      <c r="L216">
        <f t="shared" si="30"/>
        <v>3.0078270482222913</v>
      </c>
      <c r="M216">
        <f t="shared" si="31"/>
        <v>100.719130660939</v>
      </c>
      <c r="N216">
        <f t="shared" si="32"/>
        <v>5.2922628733411496</v>
      </c>
    </row>
    <row r="217" spans="7:14" x14ac:dyDescent="0.25">
      <c r="G217">
        <v>1.28</v>
      </c>
      <c r="H217">
        <f t="shared" si="28"/>
        <v>196.26245395021454</v>
      </c>
      <c r="I217" t="str">
        <f t="shared" si="23"/>
        <v>1233.153367011j</v>
      </c>
      <c r="J217" t="str">
        <f t="shared" si="22"/>
        <v>100.74378079771+5.05532115195632j</v>
      </c>
      <c r="K217">
        <f t="shared" si="29"/>
        <v>40.075286830964316</v>
      </c>
      <c r="L217">
        <f t="shared" si="30"/>
        <v>2.8726916519005696</v>
      </c>
      <c r="M217">
        <f t="shared" si="31"/>
        <v>100.74378079771</v>
      </c>
      <c r="N217">
        <f t="shared" si="32"/>
        <v>5.0553211519563197</v>
      </c>
    </row>
    <row r="218" spans="7:14" x14ac:dyDescent="0.25">
      <c r="G218">
        <v>1.3</v>
      </c>
      <c r="H218">
        <f t="shared" si="28"/>
        <v>205.51201844179471</v>
      </c>
      <c r="I218" t="str">
        <f t="shared" si="23"/>
        <v>1291.2700947223j</v>
      </c>
      <c r="J218" t="str">
        <f t="shared" si="22"/>
        <v>100.766272617561+4.82888286817991j</v>
      </c>
      <c r="K218">
        <f t="shared" si="29"/>
        <v>40.076265940859948</v>
      </c>
      <c r="L218">
        <f t="shared" si="30"/>
        <v>2.7436075540903708</v>
      </c>
      <c r="M218">
        <f t="shared" si="31"/>
        <v>100.766272617561</v>
      </c>
      <c r="N218">
        <f t="shared" si="32"/>
        <v>4.8288828681799103</v>
      </c>
    </row>
    <row r="219" spans="7:14" x14ac:dyDescent="0.25">
      <c r="G219">
        <v>1.32</v>
      </c>
      <c r="H219">
        <f t="shared" si="28"/>
        <v>215.19750147796614</v>
      </c>
      <c r="I219" t="str">
        <f t="shared" si="23"/>
        <v>1352.12577942811j</v>
      </c>
      <c r="J219" t="str">
        <f t="shared" si="22"/>
        <v>100.786794246983+4.61249591962832j</v>
      </c>
      <c r="K219">
        <f t="shared" si="29"/>
        <v>40.077159092235711</v>
      </c>
      <c r="L219">
        <f t="shared" si="30"/>
        <v>2.6203063631994907</v>
      </c>
      <c r="M219">
        <f t="shared" si="31"/>
        <v>100.78679424698301</v>
      </c>
      <c r="N219">
        <f t="shared" si="32"/>
        <v>4.6124959196283202</v>
      </c>
    </row>
    <row r="220" spans="7:14" x14ac:dyDescent="0.25">
      <c r="G220">
        <v>1.34</v>
      </c>
      <c r="H220">
        <f t="shared" si="28"/>
        <v>225.33944726680406</v>
      </c>
      <c r="I220" t="str">
        <f t="shared" si="23"/>
        <v>1415.84950419475j</v>
      </c>
      <c r="J220" t="str">
        <f t="shared" si="22"/>
        <v>100.805517557728+4.40572591145956j</v>
      </c>
      <c r="K220">
        <f t="shared" si="29"/>
        <v>40.077973816183857</v>
      </c>
      <c r="L220">
        <f t="shared" si="30"/>
        <v>2.5025312585312101</v>
      </c>
      <c r="M220">
        <f t="shared" si="31"/>
        <v>100.805517557728</v>
      </c>
      <c r="N220">
        <f t="shared" si="32"/>
        <v>4.4057259114595597</v>
      </c>
    </row>
    <row r="221" spans="7:14" x14ac:dyDescent="0.25">
      <c r="G221">
        <v>1.36</v>
      </c>
      <c r="H221">
        <f t="shared" si="28"/>
        <v>235.95936823508072</v>
      </c>
      <c r="I221" t="str">
        <f t="shared" si="23"/>
        <v>1482.57643558604j</v>
      </c>
      <c r="J221" t="str">
        <f t="shared" si="22"/>
        <v>100.822599547202+4.20815569568527j</v>
      </c>
      <c r="K221">
        <f t="shared" si="29"/>
        <v>40.078716986564409</v>
      </c>
      <c r="L221">
        <f t="shared" si="30"/>
        <v>2.3900365346409842</v>
      </c>
      <c r="M221">
        <f t="shared" si="31"/>
        <v>100.822599547202</v>
      </c>
      <c r="N221">
        <f t="shared" si="32"/>
        <v>4.2081556956852699</v>
      </c>
    </row>
    <row r="222" spans="7:14" x14ac:dyDescent="0.25">
      <c r="G222">
        <v>1.38</v>
      </c>
      <c r="H222">
        <f t="shared" si="28"/>
        <v>247.07979065900756</v>
      </c>
      <c r="I222" t="str">
        <f t="shared" si="23"/>
        <v>1552.44811036968j</v>
      </c>
      <c r="J222" t="str">
        <f t="shared" si="22"/>
        <v>100.838183605708+4.01938488872961j</v>
      </c>
      <c r="K222">
        <f t="shared" si="29"/>
        <v>40.079394876926592</v>
      </c>
      <c r="L222">
        <f t="shared" si="30"/>
        <v>2.2825871579004637</v>
      </c>
      <c r="M222">
        <f t="shared" si="31"/>
        <v>100.838183605708</v>
      </c>
      <c r="N222">
        <f t="shared" si="32"/>
        <v>4.0193848887296104</v>
      </c>
    </row>
    <row r="223" spans="7:14" x14ac:dyDescent="0.25">
      <c r="G223">
        <v>1.4</v>
      </c>
      <c r="H223">
        <f t="shared" si="28"/>
        <v>258.72430244548673</v>
      </c>
      <c r="I223" t="str">
        <f t="shared" si="23"/>
        <v>1625.61273573577j</v>
      </c>
      <c r="J223" t="str">
        <f t="shared" si="22"/>
        <v>100.852400679098+3.83902937351126j</v>
      </c>
      <c r="K223">
        <f t="shared" si="29"/>
        <v>40.080013212572531</v>
      </c>
      <c r="L223">
        <f t="shared" si="30"/>
        <v>2.1799583357691232</v>
      </c>
      <c r="M223">
        <f t="shared" si="31"/>
        <v>100.852400679098</v>
      </c>
      <c r="N223">
        <f t="shared" si="32"/>
        <v>3.8390293735112602</v>
      </c>
    </row>
    <row r="224" spans="7:14" x14ac:dyDescent="0.25">
      <c r="G224">
        <v>1.42</v>
      </c>
      <c r="H224">
        <f t="shared" si="28"/>
        <v>270.91760316522442</v>
      </c>
      <c r="I224" t="str">
        <f t="shared" si="23"/>
        <v>1702.22550366405j</v>
      </c>
      <c r="J224" t="str">
        <f t="shared" si="22"/>
        <v>100.865370334912+3.66672079139748j</v>
      </c>
      <c r="K224">
        <f t="shared" si="29"/>
        <v>40.080577218167505</v>
      </c>
      <c r="L224">
        <f t="shared" si="30"/>
        <v>2.0819350991198173</v>
      </c>
      <c r="M224">
        <f t="shared" si="31"/>
        <v>100.865370334912</v>
      </c>
      <c r="N224">
        <f t="shared" si="32"/>
        <v>3.6667207913974802</v>
      </c>
    </row>
    <row r="225" spans="7:14" x14ac:dyDescent="0.25">
      <c r="G225">
        <v>1.44</v>
      </c>
      <c r="H225">
        <f t="shared" si="28"/>
        <v>283.68555644383116</v>
      </c>
      <c r="I225" t="str">
        <f t="shared" si="23"/>
        <v>1782.44892010695j</v>
      </c>
      <c r="J225" t="str">
        <f t="shared" si="22"/>
        <v>100.877201739519+3.50210602856736j</v>
      </c>
      <c r="K225">
        <f t="shared" si="29"/>
        <v>40.081091661266008</v>
      </c>
      <c r="L225">
        <f t="shared" si="30"/>
        <v>1.9883118978345484</v>
      </c>
      <c r="M225">
        <f t="shared" si="31"/>
        <v>100.87720173951899</v>
      </c>
      <c r="N225">
        <f t="shared" si="32"/>
        <v>3.50210602856736</v>
      </c>
    </row>
    <row r="226" spans="7:14" x14ac:dyDescent="0.25">
      <c r="G226">
        <v>1.46</v>
      </c>
      <c r="H226">
        <f t="shared" si="28"/>
        <v>297.05524482204049</v>
      </c>
      <c r="I226" t="str">
        <f t="shared" si="23"/>
        <v>1866.45314968648j</v>
      </c>
      <c r="J226" t="str">
        <f t="shared" si="22"/>
        <v>100.887994553293+3.34484670061473j</v>
      </c>
      <c r="K226">
        <f t="shared" si="29"/>
        <v>40.081560892095766</v>
      </c>
      <c r="L226">
        <f t="shared" si="30"/>
        <v>1.8988922097757466</v>
      </c>
      <c r="M226">
        <f t="shared" si="31"/>
        <v>100.887994553293</v>
      </c>
      <c r="N226">
        <f t="shared" si="32"/>
        <v>3.3448467006147302</v>
      </c>
    </row>
    <row r="227" spans="7:14" x14ac:dyDescent="0.25">
      <c r="G227">
        <v>1.48</v>
      </c>
      <c r="H227">
        <f t="shared" si="28"/>
        <v>311.05502720140771</v>
      </c>
      <c r="I227" t="str">
        <f t="shared" si="23"/>
        <v>1954.41637663623j</v>
      </c>
      <c r="J227" t="str">
        <f t="shared" si="22"/>
        <v>100.897839750373+3.19461863860569j</v>
      </c>
      <c r="K227">
        <f t="shared" si="29"/>
        <v>40.081988879914583</v>
      </c>
      <c r="L227">
        <f t="shared" si="30"/>
        <v>1.8134881631449837</v>
      </c>
      <c r="M227">
        <f t="shared" si="31"/>
        <v>100.897839750373</v>
      </c>
      <c r="N227">
        <f t="shared" si="32"/>
        <v>3.1946186386056898</v>
      </c>
    </row>
    <row r="228" spans="7:14" x14ac:dyDescent="0.25">
      <c r="G228">
        <v>1.5</v>
      </c>
      <c r="H228">
        <f t="shared" si="28"/>
        <v>325.71459899734322</v>
      </c>
      <c r="I228" t="str">
        <f t="shared" si="23"/>
        <v>2046.525182754j</v>
      </c>
      <c r="J228" t="str">
        <f t="shared" si="22"/>
        <v>100.906820369076+3.05111137927192j</v>
      </c>
      <c r="K228">
        <f t="shared" si="29"/>
        <v>40.082379246228825</v>
      </c>
      <c r="L228">
        <f t="shared" si="30"/>
        <v>1.7319201721635207</v>
      </c>
      <c r="M228">
        <f t="shared" si="31"/>
        <v>100.906820369076</v>
      </c>
      <c r="N228">
        <f t="shared" si="32"/>
        <v>3.0511113792719202</v>
      </c>
    </row>
    <row r="229" spans="7:14" x14ac:dyDescent="0.25">
      <c r="G229">
        <v>1.52</v>
      </c>
      <c r="H229">
        <f t="shared" si="28"/>
        <v>341.06505512706906</v>
      </c>
      <c r="I229" t="str">
        <f t="shared" si="23"/>
        <v>2142.9749431668j</v>
      </c>
      <c r="J229" t="str">
        <f t="shared" si="22"/>
        <v>100.915012198613+2.9140276615578j</v>
      </c>
      <c r="K229">
        <f t="shared" si="29"/>
        <v>40.08273529514036</v>
      </c>
      <c r="L229">
        <f t="shared" si="30"/>
        <v>1.6540165859436686</v>
      </c>
      <c r="M229">
        <f t="shared" si="31"/>
        <v>100.915012198613</v>
      </c>
      <c r="N229">
        <f t="shared" si="32"/>
        <v>2.9140276615578</v>
      </c>
    </row>
    <row r="230" spans="7:14" x14ac:dyDescent="0.25">
      <c r="G230">
        <v>1.54</v>
      </c>
      <c r="H230">
        <f t="shared" si="28"/>
        <v>357.1389559661078</v>
      </c>
      <c r="I230" t="str">
        <f t="shared" si="23"/>
        <v>2243.97024074771j</v>
      </c>
      <c r="J230" t="str">
        <f t="shared" si="22"/>
        <v>100.922484407302+2.78308293133843j</v>
      </c>
      <c r="K230">
        <f t="shared" si="29"/>
        <v>40.083060041064378</v>
      </c>
      <c r="L230">
        <f t="shared" si="30"/>
        <v>1.5796133503668701</v>
      </c>
      <c r="M230">
        <f t="shared" si="31"/>
        <v>100.92248440730199</v>
      </c>
      <c r="N230">
        <f t="shared" si="32"/>
        <v>2.7830829313384302</v>
      </c>
    </row>
    <row r="231" spans="7:14" x14ac:dyDescent="0.25">
      <c r="G231">
        <v>1.56</v>
      </c>
      <c r="H231">
        <f t="shared" si="28"/>
        <v>373.97039641320464</v>
      </c>
      <c r="I231" t="str">
        <f t="shared" si="23"/>
        <v>2349.72530006357j</v>
      </c>
      <c r="J231" t="str">
        <f t="shared" si="22"/>
        <v>100.929300117132+2.65800485578114j</v>
      </c>
      <c r="K231">
        <f t="shared" si="29"/>
        <v>40.083356234044814</v>
      </c>
      <c r="L231">
        <f t="shared" si="30"/>
        <v>1.5085536827403734</v>
      </c>
      <c r="M231">
        <f t="shared" si="31"/>
        <v>100.929300117132</v>
      </c>
      <c r="N231">
        <f t="shared" si="32"/>
        <v>2.6580048557811402</v>
      </c>
    </row>
    <row r="232" spans="7:14" x14ac:dyDescent="0.25">
      <c r="G232">
        <v>1.58</v>
      </c>
      <c r="H232">
        <f t="shared" si="28"/>
        <v>391.59507821017826</v>
      </c>
      <c r="I232" t="str">
        <f t="shared" si="23"/>
        <v>2460.46444177403j</v>
      </c>
      <c r="J232" t="str">
        <f t="shared" si="22"/>
        <v>100.935516929105+2.53853284852417j</v>
      </c>
      <c r="K232">
        <f t="shared" si="29"/>
        <v>40.08362638287079</v>
      </c>
      <c r="L232">
        <f t="shared" si="30"/>
        <v>1.4406877589694465</v>
      </c>
      <c r="M232">
        <f t="shared" si="31"/>
        <v>100.93551692910501</v>
      </c>
      <c r="N232">
        <f t="shared" si="32"/>
        <v>2.53853284852417</v>
      </c>
    </row>
    <row r="233" spans="7:14" x14ac:dyDescent="0.25">
      <c r="G233">
        <v>1.6</v>
      </c>
      <c r="H233">
        <f t="shared" si="28"/>
        <v>410.05038567010251</v>
      </c>
      <c r="I233" t="str">
        <f t="shared" si="23"/>
        <v>2576.42255844571j</v>
      </c>
      <c r="J233" t="str">
        <f t="shared" si="22"/>
        <v>100.941187403473+2.42441760659219j</v>
      </c>
      <c r="K233">
        <f t="shared" si="29"/>
        <v>40.083872776183568</v>
      </c>
      <c r="L233">
        <f t="shared" si="30"/>
        <v>1.3758724129544366</v>
      </c>
      <c r="M233">
        <f t="shared" si="31"/>
        <v>100.94118740347299</v>
      </c>
      <c r="N233">
        <f t="shared" si="32"/>
        <v>2.4244176065921899</v>
      </c>
    </row>
    <row r="234" spans="7:14" x14ac:dyDescent="0.25">
      <c r="G234">
        <v>1.62</v>
      </c>
      <c r="H234">
        <f t="shared" si="28"/>
        <v>429.37546497444572</v>
      </c>
      <c r="I234" t="str">
        <f t="shared" si="23"/>
        <v>2697.84561279084j</v>
      </c>
      <c r="J234" t="str">
        <f t="shared" si="22"/>
        <v>100.94635949865+2.31542065974772j</v>
      </c>
      <c r="K234">
        <f t="shared" si="29"/>
        <v>40.084097501746648</v>
      </c>
      <c r="L234">
        <f t="shared" si="30"/>
        <v>1.313970847899639</v>
      </c>
      <c r="M234">
        <f t="shared" si="31"/>
        <v>100.94635949865</v>
      </c>
      <c r="N234">
        <f t="shared" si="32"/>
        <v>2.31542065974772</v>
      </c>
    </row>
    <row r="235" spans="7:14" x14ac:dyDescent="0.25">
      <c r="G235">
        <v>1.64</v>
      </c>
      <c r="H235">
        <f t="shared" si="28"/>
        <v>449.61130720737111</v>
      </c>
      <c r="I235" t="str">
        <f t="shared" si="23"/>
        <v>2824.99115938716j</v>
      </c>
      <c r="J235" t="str">
        <f t="shared" si="22"/>
        <v>100.95107697228+2.21131393279215j</v>
      </c>
      <c r="K235">
        <f t="shared" si="29"/>
        <v>40.084302464037251</v>
      </c>
      <c r="L235">
        <f t="shared" si="30"/>
        <v>1.2548523592055318</v>
      </c>
      <c r="M235">
        <f t="shared" si="31"/>
        <v>100.95107697228001</v>
      </c>
      <c r="N235">
        <f t="shared" si="32"/>
        <v>2.2113139327921498</v>
      </c>
    </row>
    <row r="236" spans="7:14" x14ac:dyDescent="0.25">
      <c r="G236">
        <v>1.66</v>
      </c>
      <c r="H236">
        <f t="shared" si="28"/>
        <v>470.80083530332138</v>
      </c>
      <c r="I236" t="str">
        <f t="shared" si="23"/>
        <v>2958.12889098571j</v>
      </c>
      <c r="J236" t="str">
        <f t="shared" si="22"/>
        <v>100.955379747659+2.11187932117014j</v>
      </c>
      <c r="K236">
        <f t="shared" si="29"/>
        <v>40.084489400303738</v>
      </c>
      <c r="L236">
        <f t="shared" si="30"/>
        <v>1.1983920686038316</v>
      </c>
      <c r="M236">
        <f t="shared" si="31"/>
        <v>100.95537974765899</v>
      </c>
      <c r="N236">
        <f t="shared" si="32"/>
        <v>2.1118793211701399</v>
      </c>
    </row>
    <row r="237" spans="7:14" x14ac:dyDescent="0.25">
      <c r="G237">
        <v>1.68</v>
      </c>
      <c r="H237">
        <f t="shared" si="28"/>
        <v>492.98899509231774</v>
      </c>
      <c r="I237" t="str">
        <f t="shared" si="23"/>
        <v>3097.54121056528j</v>
      </c>
      <c r="J237" t="str">
        <f t="shared" si="22"/>
        <v>100.959304248455+2.01690828009623j</v>
      </c>
      <c r="K237">
        <f t="shared" si="29"/>
        <v>40.084659895222295</v>
      </c>
      <c r="L237">
        <f t="shared" si="30"/>
        <v>1.1444706691868947</v>
      </c>
      <c r="M237">
        <f t="shared" si="31"/>
        <v>100.959304248455</v>
      </c>
      <c r="N237">
        <f t="shared" si="32"/>
        <v>2.0169082800962301</v>
      </c>
    </row>
    <row r="238" spans="7:14" x14ac:dyDescent="0.25">
      <c r="G238">
        <v>1.7</v>
      </c>
      <c r="H238">
        <f t="shared" si="28"/>
        <v>516.22285063609058</v>
      </c>
      <c r="I238" t="str">
        <f t="shared" si="23"/>
        <v>3243.52383034705j</v>
      </c>
      <c r="J238" t="str">
        <f t="shared" si="22"/>
        <v>100.96288370442+1.92620142730932j</v>
      </c>
      <c r="K238">
        <f t="shared" si="29"/>
        <v>40.084815394273164</v>
      </c>
      <c r="L238">
        <f t="shared" si="30"/>
        <v>1.0929741809790083</v>
      </c>
      <c r="M238">
        <f t="shared" si="31"/>
        <v>100.96288370441999</v>
      </c>
      <c r="N238">
        <f t="shared" si="32"/>
        <v>1.92620142730932</v>
      </c>
    </row>
    <row r="239" spans="7:14" x14ac:dyDescent="0.25">
      <c r="G239">
        <v>1.72</v>
      </c>
      <c r="H239">
        <f t="shared" si="28"/>
        <v>540.55168405726613</v>
      </c>
      <c r="I239" t="str">
        <f t="shared" si="23"/>
        <v>3396.3863990398j</v>
      </c>
      <c r="J239" t="str">
        <f t="shared" si="22"/>
        <v>100.966148430579+1.8395681594643j</v>
      </c>
      <c r="K239">
        <f t="shared" si="29"/>
        <v>40.084957215948585</v>
      </c>
      <c r="L239">
        <f t="shared" si="30"/>
        <v>1.0437937166947797</v>
      </c>
      <c r="M239">
        <f t="shared" si="31"/>
        <v>100.966148430579</v>
      </c>
      <c r="N239">
        <f t="shared" si="32"/>
        <v>1.8395681594643001</v>
      </c>
    </row>
    <row r="240" spans="7:14" x14ac:dyDescent="0.25">
      <c r="G240">
        <v>1.74</v>
      </c>
      <c r="H240">
        <f t="shared" si="28"/>
        <v>566.02710007335349</v>
      </c>
      <c r="I240" t="str">
        <f t="shared" si="23"/>
        <v>3556.45315864636j</v>
      </c>
      <c r="J240" t="str">
        <f t="shared" si="22"/>
        <v>100.969126082157+1.75682628209082j</v>
      </c>
      <c r="K240">
        <f t="shared" si="29"/>
        <v>40.085086562892663</v>
      </c>
      <c r="L240">
        <f t="shared" si="30"/>
        <v>0.99682525733094685</v>
      </c>
      <c r="M240">
        <f t="shared" si="31"/>
        <v>100.969126082157</v>
      </c>
      <c r="N240">
        <f t="shared" si="32"/>
        <v>1.75682628209082</v>
      </c>
    </row>
    <row r="241" spans="7:14" x14ac:dyDescent="0.25">
      <c r="G241">
        <v>1.76</v>
      </c>
      <c r="H241">
        <f t="shared" si="28"/>
        <v>592.70313545727174</v>
      </c>
      <c r="I241" t="str">
        <f t="shared" si="23"/>
        <v>3724.0636322244j</v>
      </c>
      <c r="J241" t="str">
        <f t="shared" si="22"/>
        <v>100.971841887339+1.67780165298266j</v>
      </c>
      <c r="K241">
        <f t="shared" si="29"/>
        <v>40.085204532067316</v>
      </c>
      <c r="L241">
        <f t="shared" si="30"/>
        <v>0.95196943724002336</v>
      </c>
      <c r="M241">
        <f t="shared" si="31"/>
        <v>100.971841887339</v>
      </c>
      <c r="N241">
        <f t="shared" si="32"/>
        <v>1.67780165298266</v>
      </c>
    </row>
    <row r="242" spans="7:14" x14ac:dyDescent="0.25">
      <c r="G242">
        <v>1.78</v>
      </c>
      <c r="H242">
        <f t="shared" si="28"/>
        <v>620.63637365658906</v>
      </c>
      <c r="I242" t="str">
        <f t="shared" si="23"/>
        <v>3899.5733440603j</v>
      </c>
      <c r="J242" t="str">
        <f t="shared" si="22"/>
        <v>100.97431885976+1.60232783882686j</v>
      </c>
      <c r="K242">
        <f t="shared" si="29"/>
        <v>40.085312124027908</v>
      </c>
      <c r="L242">
        <f t="shared" si="30"/>
        <v>0.90913133833862436</v>
      </c>
      <c r="M242">
        <f t="shared" si="31"/>
        <v>100.97431885976</v>
      </c>
      <c r="N242">
        <f t="shared" si="32"/>
        <v>1.60232783882686</v>
      </c>
    </row>
    <row r="243" spans="7:14" x14ac:dyDescent="0.25">
      <c r="G243">
        <v>1.8</v>
      </c>
      <c r="H243">
        <f t="shared" si="28"/>
        <v>649.88606481459954</v>
      </c>
      <c r="I243" t="str">
        <f t="shared" si="23"/>
        <v>4083.35457378385j</v>
      </c>
      <c r="J243" t="str">
        <f t="shared" si="22"/>
        <v>100.976577992476+1.53024578483751j</v>
      </c>
      <c r="K243">
        <f t="shared" si="29"/>
        <v>40.085410251386648</v>
      </c>
      <c r="L243">
        <f t="shared" si="30"/>
        <v>0.86822029310862037</v>
      </c>
      <c r="M243">
        <f t="shared" si="31"/>
        <v>100.976577992476</v>
      </c>
      <c r="N243">
        <f t="shared" si="32"/>
        <v>1.5302457848375099</v>
      </c>
    </row>
    <row r="244" spans="7:14" x14ac:dyDescent="0.25">
      <c r="G244">
        <v>1.82</v>
      </c>
      <c r="H244">
        <f t="shared" si="28"/>
        <v>680.51425144782422</v>
      </c>
      <c r="I244" t="str">
        <f t="shared" si="23"/>
        <v>4275.79714602328j</v>
      </c>
      <c r="J244" t="str">
        <f t="shared" si="22"/>
        <v>100.978638435021+1.46140349712344j</v>
      </c>
      <c r="K244">
        <f t="shared" si="29"/>
        <v>40.085499746534893</v>
      </c>
      <c r="L244">
        <f t="shared" si="30"/>
        <v>0.82914969605569644</v>
      </c>
      <c r="M244">
        <f t="shared" si="31"/>
        <v>100.978638435021</v>
      </c>
      <c r="N244">
        <f t="shared" si="32"/>
        <v>1.46140349712344</v>
      </c>
    </row>
    <row r="245" spans="7:14" x14ac:dyDescent="0.25">
      <c r="G245">
        <v>1.84</v>
      </c>
      <c r="H245">
        <f t="shared" si="28"/>
        <v>712.58590004650466</v>
      </c>
      <c r="I245" t="str">
        <f t="shared" si="23"/>
        <v>4477.30925727554j</v>
      </c>
      <c r="J245" t="str">
        <f t="shared" si="22"/>
        <v>100.980517655006+1.39565573749094j</v>
      </c>
      <c r="K245">
        <f t="shared" si="29"/>
        <v>40.085581368688537</v>
      </c>
      <c r="L245">
        <f t="shared" si="30"/>
        <v>0.79183682329734917</v>
      </c>
      <c r="M245">
        <f t="shared" si="31"/>
        <v>100.980517655006</v>
      </c>
      <c r="N245">
        <f t="shared" si="32"/>
        <v>1.39565573749094</v>
      </c>
    </row>
    <row r="246" spans="7:14" x14ac:dyDescent="0.25">
      <c r="G246">
        <v>1.86</v>
      </c>
      <c r="H246">
        <f t="shared" si="28"/>
        <v>746.1690388772405</v>
      </c>
      <c r="I246" t="str">
        <f t="shared" si="23"/>
        <v>4688.31834174579j</v>
      </c>
      <c r="J246" t="str">
        <f t="shared" si="22"/>
        <v>100.982231585597+1.33286373036114j</v>
      </c>
      <c r="K246">
        <f t="shared" si="29"/>
        <v>40.085655810315181</v>
      </c>
      <c r="L246">
        <f t="shared" si="30"/>
        <v>0.75620265996040281</v>
      </c>
      <c r="M246">
        <f t="shared" si="31"/>
        <v>100.98223158559701</v>
      </c>
      <c r="N246">
        <f t="shared" si="32"/>
        <v>1.3328637303611399</v>
      </c>
    </row>
    <row r="247" spans="7:14" x14ac:dyDescent="0.25">
      <c r="G247">
        <v>1.88</v>
      </c>
      <c r="H247">
        <f t="shared" si="28"/>
        <v>781.33490228005917</v>
      </c>
      <c r="I247" t="str">
        <f t="shared" si="23"/>
        <v>4909.27197799267j</v>
      </c>
      <c r="J247" t="str">
        <f t="shared" si="22"/>
        <v>100.98379476011+1.27289488146509j</v>
      </c>
      <c r="K247">
        <f t="shared" si="29"/>
        <v>40.085723702998415</v>
      </c>
      <c r="L247">
        <f t="shared" si="30"/>
        <v>0.72217173507631294</v>
      </c>
      <c r="M247">
        <f t="shared" si="31"/>
        <v>100.98379476011</v>
      </c>
      <c r="N247">
        <f t="shared" si="32"/>
        <v>1.27289488146509</v>
      </c>
    </row>
    <row r="248" spans="7:14" x14ac:dyDescent="0.25">
      <c r="G248">
        <v>1.9</v>
      </c>
      <c r="H248">
        <f t="shared" si="28"/>
        <v>818.15808176601047</v>
      </c>
      <c r="I248" t="str">
        <f t="shared" si="23"/>
        <v>5140.63883830243j</v>
      </c>
      <c r="J248" t="str">
        <f t="shared" si="22"/>
        <v>100.985220434826+1.21562250796833j</v>
      </c>
      <c r="K248">
        <f t="shared" si="29"/>
        <v>40.085785622786915</v>
      </c>
      <c r="L248">
        <f t="shared" si="30"/>
        <v>0.68967196367184314</v>
      </c>
      <c r="M248">
        <f t="shared" si="31"/>
        <v>100.985220434826</v>
      </c>
      <c r="N248">
        <f t="shared" si="32"/>
        <v>1.21562250796833</v>
      </c>
    </row>
    <row r="249" spans="7:14" x14ac:dyDescent="0.25">
      <c r="G249">
        <v>1.92</v>
      </c>
      <c r="H249">
        <f t="shared" si="28"/>
        <v>856.71668423575147</v>
      </c>
      <c r="I249" t="str">
        <f t="shared" si="23"/>
        <v>5382.90968280569j</v>
      </c>
      <c r="J249" t="str">
        <f t="shared" si="22"/>
        <v>100.98652070107+1.16092557966896j</v>
      </c>
      <c r="K249">
        <f t="shared" si="29"/>
        <v>40.085842095075108</v>
      </c>
      <c r="L249">
        <f t="shared" si="30"/>
        <v>0.65863449576148259</v>
      </c>
      <c r="M249">
        <f t="shared" si="31"/>
        <v>100.98652070107001</v>
      </c>
      <c r="N249">
        <f t="shared" si="32"/>
        <v>1.1609255796689599</v>
      </c>
    </row>
    <row r="250" spans="7:14" x14ac:dyDescent="0.25">
      <c r="G250">
        <v>1.94</v>
      </c>
      <c r="H250">
        <f t="shared" si="28"/>
        <v>897.09249765476318</v>
      </c>
      <c r="I250" t="str">
        <f t="shared" si="23"/>
        <v>5636.59840044545j</v>
      </c>
      <c r="J250" t="str">
        <f t="shared" si="22"/>
        <v>100.987706587465+1.10868847090875j</v>
      </c>
      <c r="K250">
        <f t="shared" si="29"/>
        <v>40.08589359905443</v>
      </c>
      <c r="L250">
        <f t="shared" si="30"/>
        <v>0.62899357195751415</v>
      </c>
      <c r="M250">
        <f t="shared" si="31"/>
        <v>100.987706587465</v>
      </c>
      <c r="N250">
        <f t="shared" si="32"/>
        <v>1.1086884709087499</v>
      </c>
    </row>
    <row r="251" spans="7:14" x14ac:dyDescent="0.25">
      <c r="G251">
        <v>1.96</v>
      </c>
      <c r="H251">
        <f t="shared" si="28"/>
        <v>939.37116453658712</v>
      </c>
      <c r="I251" t="str">
        <f t="shared" si="23"/>
        <v>5902.24309900446j</v>
      </c>
      <c r="J251" t="str">
        <f t="shared" si="22"/>
        <v>100.988788153238+1.0588007228356j</v>
      </c>
      <c r="K251">
        <f t="shared" si="29"/>
        <v>40.085940571774479</v>
      </c>
      <c r="L251">
        <f t="shared" si="30"/>
        <v>0.60068638542286401</v>
      </c>
      <c r="M251">
        <f t="shared" si="31"/>
        <v>100.988788153238</v>
      </c>
      <c r="N251">
        <f t="shared" si="32"/>
        <v>1.0588007228356</v>
      </c>
    </row>
    <row r="252" spans="7:14" x14ac:dyDescent="0.25">
      <c r="G252">
        <v>1.98</v>
      </c>
      <c r="H252">
        <f t="shared" si="28"/>
        <v>983.64236360207974</v>
      </c>
      <c r="I252" t="str">
        <f t="shared" si="23"/>
        <v>6180.40724650399j</v>
      </c>
      <c r="J252" t="str">
        <f t="shared" si="22"/>
        <v>100.989774573348+1.01115681565633j</v>
      </c>
      <c r="K252">
        <f t="shared" si="29"/>
        <v>40.085983411847408</v>
      </c>
      <c r="L252">
        <f t="shared" si="30"/>
        <v>0.57365294990141769</v>
      </c>
      <c r="M252">
        <f t="shared" si="31"/>
        <v>100.989774573348</v>
      </c>
      <c r="N252">
        <f t="shared" si="32"/>
        <v>1.01115681565633</v>
      </c>
    </row>
    <row r="253" spans="7:14" x14ac:dyDescent="0.25">
      <c r="G253">
        <v>2</v>
      </c>
      <c r="H253">
        <f t="shared" si="28"/>
        <v>1030</v>
      </c>
      <c r="I253" t="str">
        <f t="shared" si="23"/>
        <v>6471.68086639497j</v>
      </c>
      <c r="J253" t="str">
        <f t="shared" si="22"/>
        <v>100.99067421615+0.965655950521327j</v>
      </c>
      <c r="K253">
        <f t="shared" si="29"/>
        <v>40.08602248282682</v>
      </c>
      <c r="L253">
        <f t="shared" si="30"/>
        <v>0.54783597356963176</v>
      </c>
      <c r="M253">
        <f t="shared" si="31"/>
        <v>100.99067421615</v>
      </c>
      <c r="N253">
        <f t="shared" si="32"/>
        <v>0.96565595052132702</v>
      </c>
    </row>
    <row r="254" spans="7:14" x14ac:dyDescent="0.25">
      <c r="G254">
        <v>2.02</v>
      </c>
      <c r="H254">
        <f t="shared" si="28"/>
        <v>1078.5424044924268</v>
      </c>
      <c r="I254" t="str">
        <f t="shared" si="23"/>
        <v>6776.68178907696j</v>
      </c>
      <c r="J254" t="str">
        <f t="shared" si="22"/>
        <v>100.991494714252+0.92220184068758j</v>
      </c>
      <c r="K254">
        <f t="shared" si="29"/>
        <v>40.08605811629009</v>
      </c>
      <c r="L254">
        <f t="shared" si="30"/>
        <v>0.52318073846288038</v>
      </c>
      <c r="M254">
        <f t="shared" si="31"/>
        <v>100.991494714252</v>
      </c>
      <c r="N254">
        <f t="shared" si="32"/>
        <v>0.92220184068758004</v>
      </c>
    </row>
    <row r="255" spans="7:14" x14ac:dyDescent="0.25">
      <c r="G255">
        <v>2.04</v>
      </c>
      <c r="H255">
        <f t="shared" si="28"/>
        <v>1129.3725420274818</v>
      </c>
      <c r="I255" t="str">
        <f t="shared" si="23"/>
        <v>7096.05696239913j</v>
      </c>
      <c r="J255" t="str">
        <f t="shared" si="22"/>
        <v>100.992243029155+0.880702511611356j</v>
      </c>
      <c r="K255">
        <f t="shared" si="29"/>
        <v>40.086090614649763</v>
      </c>
      <c r="L255">
        <f t="shared" si="30"/>
        <v>0.4996349852386352</v>
      </c>
      <c r="M255">
        <f t="shared" si="31"/>
        <v>100.99224302915501</v>
      </c>
      <c r="N255">
        <f t="shared" si="32"/>
        <v>0.88070251161135604</v>
      </c>
    </row>
    <row r="256" spans="7:14" x14ac:dyDescent="0.25">
      <c r="G256">
        <v>2.06</v>
      </c>
      <c r="H256">
        <f t="shared" si="28"/>
        <v>1182.5982301417901</v>
      </c>
      <c r="I256" t="str">
        <f t="shared" si="23"/>
        <v>7430.48382392348j</v>
      </c>
      <c r="J256" t="str">
        <f t="shared" si="22"/>
        <v>100.992925510222+0.841070109629678j</v>
      </c>
      <c r="K256">
        <f t="shared" si="29"/>
        <v>40.086120253718001</v>
      </c>
      <c r="L256">
        <f t="shared" si="30"/>
        <v>0.47714880304817381</v>
      </c>
      <c r="M256">
        <f t="shared" si="31"/>
        <v>100.99292551022199</v>
      </c>
      <c r="N256">
        <f t="shared" si="32"/>
        <v>0.84107010962967799</v>
      </c>
    </row>
    <row r="257" spans="7:14" x14ac:dyDescent="0.25">
      <c r="G257">
        <v>2.08</v>
      </c>
      <c r="H257">
        <f t="shared" si="28"/>
        <v>1238.332367655936</v>
      </c>
      <c r="I257" t="str">
        <f t="shared" si="23"/>
        <v>7780.67173786069j</v>
      </c>
      <c r="J257" t="str">
        <f t="shared" si="22"/>
        <v>100.993547948478+0.803220718896208j</v>
      </c>
      <c r="K257">
        <f t="shared" si="29"/>
        <v>40.086147285046117</v>
      </c>
      <c r="L257">
        <f t="shared" si="30"/>
        <v>0.45567452429665461</v>
      </c>
      <c r="M257">
        <f t="shared" si="31"/>
        <v>100.993547948478</v>
      </c>
      <c r="N257">
        <f t="shared" si="32"/>
        <v>0.80322071889620805</v>
      </c>
    </row>
    <row r="258" spans="7:14" x14ac:dyDescent="0.25">
      <c r="G258">
        <v>2.1</v>
      </c>
      <c r="H258">
        <f t="shared" si="28"/>
        <v>1296.6931741479927</v>
      </c>
      <c r="I258" t="str">
        <f t="shared" si="23"/>
        <v>8147.36349972673j</v>
      </c>
      <c r="J258" t="str">
        <f t="shared" si="22"/>
        <v>100.994115625669+0.76707418624613j</v>
      </c>
      <c r="K258">
        <f t="shared" si="29"/>
        <v>40.086171938056935</v>
      </c>
      <c r="L258">
        <f t="shared" si="30"/>
        <v>0.43516662408055778</v>
      </c>
      <c r="M258">
        <f t="shared" si="31"/>
        <v>100.994115625669</v>
      </c>
      <c r="N258">
        <f t="shared" si="32"/>
        <v>0.76707418624613</v>
      </c>
    </row>
    <row r="259" spans="7:14" x14ac:dyDescent="0.25">
      <c r="G259">
        <v>2.12</v>
      </c>
      <c r="H259">
        <f t="shared" si="28"/>
        <v>1357.8044407131008</v>
      </c>
      <c r="I259" t="str">
        <f t="shared" si="23"/>
        <v>8531.33691191175j</v>
      </c>
      <c r="J259" t="str">
        <f t="shared" ref="J259:J303" si="33">IMDIV(IMSUM(1,IMPRODUCT(I259,Cg,(Rg+Rf))),IMSUM(1,IMPRODUCT(I259,Cg,Rg)))</f>
        <v>100.994633359041+0.73255395367332j</v>
      </c>
      <c r="K259">
        <f t="shared" si="29"/>
        <v>40.086194421992118</v>
      </c>
      <c r="L259">
        <f t="shared" si="30"/>
        <v>0.41558162409949984</v>
      </c>
      <c r="M259">
        <f t="shared" si="31"/>
        <v>100.994633359041</v>
      </c>
      <c r="N259">
        <f t="shared" si="32"/>
        <v>0.73255395367331999</v>
      </c>
    </row>
    <row r="260" spans="7:14" x14ac:dyDescent="0.25">
      <c r="G260">
        <v>2.14</v>
      </c>
      <c r="H260">
        <f t="shared" si="28"/>
        <v>1421.7957925409728</v>
      </c>
      <c r="I260" t="str">
        <f t="shared" ref="I260:I303" si="34">COMPLEX(0,H260*2*PI(),"j")</f>
        <v>8933.4064335032j</v>
      </c>
      <c r="J260" t="str">
        <f t="shared" si="33"/>
        <v>100.995105542163+0.699586898111655j</v>
      </c>
      <c r="K260">
        <f t="shared" si="29"/>
        <v>40.086214927686264</v>
      </c>
      <c r="L260">
        <f t="shared" si="30"/>
        <v>0.39687800084773101</v>
      </c>
      <c r="M260">
        <f t="shared" si="31"/>
        <v>100.995105542163</v>
      </c>
      <c r="N260">
        <f t="shared" si="32"/>
        <v>0.69958689811165498</v>
      </c>
    </row>
    <row r="261" spans="7:14" x14ac:dyDescent="0.25">
      <c r="G261">
        <v>2.16</v>
      </c>
      <c r="H261">
        <f t="shared" si="28"/>
        <v>1488.8029638683065</v>
      </c>
      <c r="I261" t="str">
        <f t="shared" si="34"/>
        <v>9354.42490786276j</v>
      </c>
      <c r="J261" t="str">
        <f t="shared" si="33"/>
        <v>100.995536182176+0.668103178222411j</v>
      </c>
      <c r="K261">
        <f t="shared" si="29"/>
        <v>40.08623362918599</v>
      </c>
      <c r="L261">
        <f t="shared" si="30"/>
        <v>0.37901609789852814</v>
      </c>
      <c r="M261">
        <f t="shared" si="31"/>
        <v>100.995536182176</v>
      </c>
      <c r="N261">
        <f t="shared" si="32"/>
        <v>0.66810317822241105</v>
      </c>
    </row>
    <row r="262" spans="7:14" x14ac:dyDescent="0.25">
      <c r="G262">
        <v>2.1800000000000002</v>
      </c>
      <c r="H262">
        <f t="shared" si="28"/>
        <v>1558.9680858892955</v>
      </c>
      <c r="I262" t="str">
        <f t="shared" si="34"/>
        <v>9795.2853716215j</v>
      </c>
      <c r="J262" t="str">
        <f t="shared" si="33"/>
        <v>100.995928933769+0.638036087898683j</v>
      </c>
      <c r="K262">
        <f t="shared" si="29"/>
        <v>40.086250685226609</v>
      </c>
      <c r="L262">
        <f t="shared" si="30"/>
        <v>0.36195804210228555</v>
      </c>
      <c r="M262">
        <f t="shared" si="31"/>
        <v>100.99592893376899</v>
      </c>
      <c r="N262">
        <f t="shared" si="32"/>
        <v>0.63803608789868305</v>
      </c>
    </row>
    <row r="263" spans="7:14" x14ac:dyDescent="0.25">
      <c r="G263">
        <v>2.2000000000000002</v>
      </c>
      <c r="H263">
        <f t="shared" si="28"/>
        <v>1632.4399882349489</v>
      </c>
      <c r="I263" t="str">
        <f t="shared" si="34"/>
        <v>10256.9229489302j</v>
      </c>
      <c r="J263" t="str">
        <f t="shared" si="33"/>
        <v>100.99628713017+0.60932191620758j</v>
      </c>
      <c r="K263">
        <f t="shared" si="29"/>
        <v>40.086266240579036</v>
      </c>
      <c r="L263">
        <f t="shared" si="30"/>
        <v>0.34566766352657841</v>
      </c>
      <c r="M263">
        <f t="shared" si="31"/>
        <v>100.99628713017</v>
      </c>
      <c r="N263">
        <f t="shared" si="32"/>
        <v>0.60932191620758003</v>
      </c>
    </row>
    <row r="264" spans="7:14" x14ac:dyDescent="0.25">
      <c r="G264">
        <v>2.2200000000000002</v>
      </c>
      <c r="H264">
        <f t="shared" si="28"/>
        <v>1709.3745146606891</v>
      </c>
      <c r="I264" t="str">
        <f t="shared" si="34"/>
        <v>10740.3168349833j</v>
      </c>
      <c r="J264" t="str">
        <f t="shared" si="33"/>
        <v>100.996613811408+0.581899813500491j</v>
      </c>
      <c r="K264">
        <f t="shared" si="29"/>
        <v>40.086280427277671</v>
      </c>
      <c r="L264">
        <f t="shared" si="30"/>
        <v>0.33011041897362275</v>
      </c>
      <c r="M264">
        <f t="shared" si="31"/>
        <v>100.996613811408</v>
      </c>
      <c r="N264">
        <f t="shared" si="32"/>
        <v>0.58189981350049103</v>
      </c>
    </row>
    <row r="265" spans="7:14" x14ac:dyDescent="0.25">
      <c r="G265">
        <v>2.2400000000000002</v>
      </c>
      <c r="H265">
        <f t="shared" si="28"/>
        <v>1789.9348536118582</v>
      </c>
      <c r="I265" t="str">
        <f t="shared" si="34"/>
        <v>11246.4923730227j</v>
      </c>
      <c r="J265" t="str">
        <f t="shared" si="33"/>
        <v>100.996911750099+0.555711663431415j</v>
      </c>
      <c r="K265">
        <f t="shared" si="29"/>
        <v>40.086293365741</v>
      </c>
      <c r="L265">
        <f t="shared" si="30"/>
        <v>0.31525331891748631</v>
      </c>
      <c r="M265">
        <f t="shared" si="31"/>
        <v>100.996911750099</v>
      </c>
      <c r="N265">
        <f t="shared" si="32"/>
        <v>0.55571166343141498</v>
      </c>
    </row>
    <row r="266" spans="7:14" x14ac:dyDescent="0.25">
      <c r="G266">
        <v>2.2599999999999998</v>
      </c>
      <c r="H266">
        <f t="shared" si="28"/>
        <v>1874.2918843682826</v>
      </c>
      <c r="I266" t="str">
        <f t="shared" si="34"/>
        <v>11776.5232292287j</v>
      </c>
      <c r="J266" t="str">
        <f t="shared" si="33"/>
        <v>100.997183474962+0.530701960632438j</v>
      </c>
      <c r="K266">
        <f t="shared" si="29"/>
        <v>40.086305165793362</v>
      </c>
      <c r="L266">
        <f t="shared" si="30"/>
        <v>0.30106485770995434</v>
      </c>
      <c r="M266">
        <f t="shared" si="31"/>
        <v>100.997183474962</v>
      </c>
      <c r="N266">
        <f t="shared" si="32"/>
        <v>0.53070196063243802</v>
      </c>
    </row>
    <row r="267" spans="7:14" x14ac:dyDescent="0.25">
      <c r="G267">
        <v>2.2799999999999998</v>
      </c>
      <c r="H267">
        <f t="shared" si="28"/>
        <v>1962.6245395021456</v>
      </c>
      <c r="I267" t="str">
        <f t="shared" si="34"/>
        <v>12331.53367011j</v>
      </c>
      <c r="J267" t="str">
        <f t="shared" si="33"/>
        <v>100.99743129227+0.506817693805245j</v>
      </c>
      <c r="K267">
        <f t="shared" si="29"/>
        <v>40.086315927596985</v>
      </c>
      <c r="L267">
        <f t="shared" si="30"/>
        <v>0.28751494691058632</v>
      </c>
      <c r="M267">
        <f t="shared" si="31"/>
        <v>100.99743129226999</v>
      </c>
      <c r="N267">
        <f t="shared" si="32"/>
        <v>0.506817693805245</v>
      </c>
    </row>
    <row r="268" spans="7:14" x14ac:dyDescent="0.25">
      <c r="G268">
        <v>2.2999999999999998</v>
      </c>
      <c r="H268">
        <f t="shared" ref="H268:H303" si="35">$B$3*10^G268</f>
        <v>2055.1201844179468</v>
      </c>
      <c r="I268" t="str">
        <f t="shared" si="34"/>
        <v>12912.700947223j</v>
      </c>
      <c r="J268" t="str">
        <f t="shared" si="33"/>
        <v>100.997657305412+0.484008233996339j</v>
      </c>
      <c r="K268">
        <f t="shared" ref="K268:K303" si="36">20*LOG(IMABS(J268))</f>
        <v>40.086325742501799</v>
      </c>
      <c r="L268">
        <f t="shared" ref="L268:L303" si="37">DEGREES(IMARGUMENT(J268))</f>
        <v>0.27457485160250866</v>
      </c>
      <c r="M268">
        <f t="shared" ref="M268:M303" si="38">IMREAL(J268)</f>
        <v>100.99765730541201</v>
      </c>
      <c r="N268">
        <f t="shared" ref="N268:N303" si="39">IMAGINARY(J268)</f>
        <v>0.48400823399633902</v>
      </c>
    </row>
    <row r="269" spans="7:14" x14ac:dyDescent="0.25">
      <c r="G269">
        <v>2.3199999999999998</v>
      </c>
      <c r="H269">
        <f t="shared" si="35"/>
        <v>2151.9750147796608</v>
      </c>
      <c r="I269" t="str">
        <f t="shared" si="34"/>
        <v>13521.2577942811j</v>
      </c>
      <c r="J269" t="str">
        <f t="shared" si="33"/>
        <v>100.997863432738+0.462225227832691j</v>
      </c>
      <c r="K269">
        <f t="shared" si="36"/>
        <v>40.086334693820703</v>
      </c>
      <c r="L269">
        <f t="shared" si="37"/>
        <v>0.26221712956144755</v>
      </c>
      <c r="M269">
        <f t="shared" si="38"/>
        <v>100.997863432738</v>
      </c>
      <c r="N269">
        <f t="shared" si="39"/>
        <v>0.46222522783269099</v>
      </c>
    </row>
    <row r="270" spans="7:14" x14ac:dyDescent="0.25">
      <c r="G270">
        <v>2.34</v>
      </c>
      <c r="H270">
        <f t="shared" si="35"/>
        <v>2253.3944726680393</v>
      </c>
      <c r="I270" t="str">
        <f t="shared" si="34"/>
        <v>14158.4950419475j</v>
      </c>
      <c r="J270" t="str">
        <f t="shared" si="33"/>
        <v>100.998051423835+0.441422495503451j</v>
      </c>
      <c r="K270">
        <f t="shared" si="36"/>
        <v>40.086342857536714</v>
      </c>
      <c r="L270">
        <f t="shared" si="37"/>
        <v>0.25041557315133794</v>
      </c>
      <c r="M270">
        <f t="shared" si="38"/>
        <v>100.99805142383499</v>
      </c>
      <c r="N270">
        <f t="shared" si="39"/>
        <v>0.44142249550345097</v>
      </c>
    </row>
    <row r="271" spans="7:14" x14ac:dyDescent="0.25">
      <c r="G271">
        <v>2.36</v>
      </c>
      <c r="H271">
        <f t="shared" si="35"/>
        <v>2359.5936823508077</v>
      </c>
      <c r="I271" t="str">
        <f t="shared" si="34"/>
        <v>14825.7643558604j</v>
      </c>
      <c r="J271" t="str">
        <f t="shared" si="33"/>
        <v>100.99822287437+0.42155593328162j</v>
      </c>
      <c r="K271">
        <f t="shared" si="36"/>
        <v>40.086350302947622</v>
      </c>
      <c r="L271">
        <f t="shared" si="37"/>
        <v>0.23914515382518334</v>
      </c>
      <c r="M271">
        <f t="shared" si="38"/>
        <v>100.99822287437</v>
      </c>
      <c r="N271">
        <f t="shared" si="39"/>
        <v>0.42155593328162</v>
      </c>
    </row>
    <row r="272" spans="7:14" x14ac:dyDescent="0.25">
      <c r="G272">
        <v>2.38</v>
      </c>
      <c r="H272">
        <f t="shared" si="35"/>
        <v>2470.7979065900763</v>
      </c>
      <c r="I272" t="str">
        <f t="shared" si="34"/>
        <v>15524.4811036968j</v>
      </c>
      <c r="J272" t="str">
        <f t="shared" si="33"/>
        <v>100.998379239627+0.402583420388102j</v>
      </c>
      <c r="K272">
        <f t="shared" si="36"/>
        <v>40.086357093254044</v>
      </c>
      <c r="L272">
        <f t="shared" si="37"/>
        <v>0.22838196911523431</v>
      </c>
      <c r="M272">
        <f t="shared" si="38"/>
        <v>100.998379239627</v>
      </c>
      <c r="N272">
        <f t="shared" si="39"/>
        <v>0.40258342038810202</v>
      </c>
    </row>
    <row r="273" spans="7:14" x14ac:dyDescent="0.25">
      <c r="G273">
        <v>2.4</v>
      </c>
      <c r="H273">
        <f t="shared" si="35"/>
        <v>2587.2430244548682</v>
      </c>
      <c r="I273" t="str">
        <f t="shared" si="34"/>
        <v>16256.1273573577j</v>
      </c>
      <c r="J273" t="str">
        <f t="shared" si="33"/>
        <v>100.998521846864+0.38446473000842j</v>
      </c>
      <c r="K273">
        <f t="shared" si="36"/>
        <v>40.086363286096478</v>
      </c>
      <c r="L273">
        <f t="shared" si="37"/>
        <v>0.21810319200149023</v>
      </c>
      <c r="M273">
        <f t="shared" si="38"/>
        <v>100.99852184686399</v>
      </c>
      <c r="N273">
        <f t="shared" si="39"/>
        <v>0.38446473000842002</v>
      </c>
    </row>
    <row r="274" spans="7:14" x14ac:dyDescent="0.25">
      <c r="G274">
        <v>2.42</v>
      </c>
      <c r="H274">
        <f t="shared" si="35"/>
        <v>2709.1760316522432</v>
      </c>
      <c r="I274" t="str">
        <f t="shared" si="34"/>
        <v>17022.2550366405j</v>
      </c>
      <c r="J274" t="str">
        <f t="shared" si="33"/>
        <v>100.998651906565+0.367161444280287j</v>
      </c>
      <c r="K274">
        <f t="shared" si="36"/>
        <v>40.086368934043648</v>
      </c>
      <c r="L274">
        <f t="shared" si="37"/>
        <v>0.20828702255253928</v>
      </c>
      <c r="M274">
        <f t="shared" si="38"/>
        <v>100.998651906565</v>
      </c>
      <c r="N274">
        <f t="shared" si="39"/>
        <v>0.36716144428028702</v>
      </c>
    </row>
    <row r="275" spans="7:14" x14ac:dyDescent="0.25">
      <c r="G275">
        <v>2.44</v>
      </c>
      <c r="H275">
        <f t="shared" si="35"/>
        <v>2836.8555644383136</v>
      </c>
      <c r="I275" t="str">
        <f t="shared" si="34"/>
        <v>17824.4892010695j</v>
      </c>
      <c r="J275" t="str">
        <f t="shared" si="33"/>
        <v>100.998770522716+0.350636873077673j</v>
      </c>
      <c r="K275">
        <f t="shared" si="36"/>
        <v>40.086374085038997</v>
      </c>
      <c r="L275">
        <f t="shared" si="37"/>
        <v>0.19891264173720716</v>
      </c>
      <c r="M275">
        <f t="shared" si="38"/>
        <v>100.998770522716</v>
      </c>
      <c r="N275">
        <f t="shared" si="39"/>
        <v>0.35063687307767299</v>
      </c>
    </row>
    <row r="276" spans="7:14" x14ac:dyDescent="0.25">
      <c r="G276">
        <v>2.46</v>
      </c>
      <c r="H276">
        <f t="shared" si="35"/>
        <v>2970.5524482204055</v>
      </c>
      <c r="I276" t="str">
        <f t="shared" si="34"/>
        <v>18664.5314968648j</v>
      </c>
      <c r="J276" t="str">
        <f t="shared" si="33"/>
        <v>100.998878702177+0.33485597642437j</v>
      </c>
      <c r="K276">
        <f t="shared" si="36"/>
        <v>40.086378782807934</v>
      </c>
      <c r="L276">
        <f t="shared" si="37"/>
        <v>0.18996016731010396</v>
      </c>
      <c r="M276">
        <f t="shared" si="38"/>
        <v>100.998878702177</v>
      </c>
      <c r="N276">
        <f t="shared" si="39"/>
        <v>0.33485597642436998</v>
      </c>
    </row>
    <row r="277" spans="7:14" x14ac:dyDescent="0.25">
      <c r="G277">
        <v>2.48</v>
      </c>
      <c r="H277">
        <f t="shared" si="35"/>
        <v>3110.5502720140776</v>
      </c>
      <c r="I277" t="str">
        <f t="shared" si="34"/>
        <v>19544.1637663623j</v>
      </c>
      <c r="J277" t="str">
        <f t="shared" si="33"/>
        <v>100.998977363223+0.31978529037698j</v>
      </c>
      <c r="K277">
        <f t="shared" si="36"/>
        <v>40.086383067228638</v>
      </c>
      <c r="L277">
        <f t="shared" si="37"/>
        <v>0.18141061167834657</v>
      </c>
      <c r="M277">
        <f t="shared" si="38"/>
        <v>100.99897736322301</v>
      </c>
      <c r="N277">
        <f t="shared" si="39"/>
        <v>0.31978529037698</v>
      </c>
    </row>
    <row r="278" spans="7:14" x14ac:dyDescent="0.25">
      <c r="G278">
        <v>2.5</v>
      </c>
      <c r="H278">
        <f t="shared" si="35"/>
        <v>3257.1459899734341</v>
      </c>
      <c r="I278" t="str">
        <f t="shared" si="34"/>
        <v>20465.25182754j</v>
      </c>
      <c r="J278" t="str">
        <f t="shared" si="33"/>
        <v>100.999067343335+0.305392856224125j</v>
      </c>
      <c r="K278">
        <f t="shared" si="36"/>
        <v>40.086386974670347</v>
      </c>
      <c r="L278">
        <f t="shared" si="37"/>
        <v>0.17324584166084947</v>
      </c>
      <c r="M278">
        <f t="shared" si="38"/>
        <v>100.999067343335</v>
      </c>
      <c r="N278">
        <f t="shared" si="39"/>
        <v>0.30539285622412499</v>
      </c>
    </row>
    <row r="279" spans="7:14" x14ac:dyDescent="0.25">
      <c r="G279">
        <v>2.52</v>
      </c>
      <c r="H279">
        <f t="shared" si="35"/>
        <v>3410.6505512706913</v>
      </c>
      <c r="I279" t="str">
        <f t="shared" si="34"/>
        <v>21429.749431668j</v>
      </c>
      <c r="J279" t="str">
        <f t="shared" si="33"/>
        <v>100.999149406314+0.291648152855149j</v>
      </c>
      <c r="K279">
        <f t="shared" si="36"/>
        <v>40.086390538302638</v>
      </c>
      <c r="L279">
        <f t="shared" si="37"/>
        <v>0.16544854005547499</v>
      </c>
      <c r="M279">
        <f t="shared" si="38"/>
        <v>100.999149406314</v>
      </c>
      <c r="N279">
        <f t="shared" si="39"/>
        <v>0.291648152855149</v>
      </c>
    </row>
    <row r="280" spans="7:14" x14ac:dyDescent="0.25">
      <c r="G280">
        <v>2.54</v>
      </c>
      <c r="H280">
        <f t="shared" si="35"/>
        <v>3571.3895596610782</v>
      </c>
      <c r="I280" t="str">
        <f t="shared" si="34"/>
        <v>22439.7024074771j</v>
      </c>
      <c r="J280" t="str">
        <f t="shared" si="33"/>
        <v>100.999224248758+0.278522032157826j</v>
      </c>
      <c r="K280">
        <f t="shared" si="36"/>
        <v>40.086393788376483</v>
      </c>
      <c r="L280">
        <f t="shared" si="37"/>
        <v>0.15800216893311023</v>
      </c>
      <c r="M280">
        <f t="shared" si="38"/>
        <v>100.999224248758</v>
      </c>
      <c r="N280">
        <f t="shared" si="39"/>
        <v>0.278522032157826</v>
      </c>
    </row>
    <row r="281" spans="7:14" x14ac:dyDescent="0.25">
      <c r="G281">
        <v>2.56</v>
      </c>
      <c r="H281">
        <f t="shared" si="35"/>
        <v>3739.7039641320457</v>
      </c>
      <c r="I281" t="str">
        <f t="shared" si="34"/>
        <v>23497.2530006357j</v>
      </c>
      <c r="J281" t="str">
        <f t="shared" si="33"/>
        <v>100.999292505976+0.265986657310725j</v>
      </c>
      <c r="K281">
        <f t="shared" si="36"/>
        <v>40.086396752481193</v>
      </c>
      <c r="L281">
        <f t="shared" si="37"/>
        <v>0.15089093458131256</v>
      </c>
      <c r="M281">
        <f t="shared" si="38"/>
        <v>100.999292505976</v>
      </c>
      <c r="N281">
        <f t="shared" si="39"/>
        <v>0.26598665731072502</v>
      </c>
    </row>
    <row r="282" spans="7:14" x14ac:dyDescent="0.25">
      <c r="G282">
        <v>2.58</v>
      </c>
      <c r="H282">
        <f t="shared" si="35"/>
        <v>3915.9507821017851</v>
      </c>
      <c r="I282" t="str">
        <f t="shared" si="34"/>
        <v>24604.6444177403j</v>
      </c>
      <c r="J282" t="str">
        <f t="shared" si="33"/>
        <v>100.999354757379+0.254015443841566j</v>
      </c>
      <c r="K282">
        <f t="shared" si="36"/>
        <v>40.086399455778505</v>
      </c>
      <c r="L282">
        <f t="shared" si="37"/>
        <v>0.14409975402358635</v>
      </c>
      <c r="M282">
        <f t="shared" si="38"/>
        <v>100.999354757379</v>
      </c>
      <c r="N282">
        <f t="shared" si="39"/>
        <v>0.25401544384156599</v>
      </c>
    </row>
    <row r="283" spans="7:14" x14ac:dyDescent="0.25">
      <c r="G283">
        <v>2.6</v>
      </c>
      <c r="H283">
        <f t="shared" si="35"/>
        <v>4100.5038567010261</v>
      </c>
      <c r="I283" t="str">
        <f t="shared" si="34"/>
        <v>25764.2255844571j</v>
      </c>
      <c r="J283" t="str">
        <f t="shared" si="33"/>
        <v>100.999411531402+0.242583003328579j</v>
      </c>
      <c r="K283">
        <f t="shared" si="36"/>
        <v>40.086401921216506</v>
      </c>
      <c r="L283">
        <f t="shared" si="37"/>
        <v>0.13761422304366683</v>
      </c>
      <c r="M283">
        <f t="shared" si="38"/>
        <v>100.999411531402</v>
      </c>
      <c r="N283">
        <f t="shared" si="39"/>
        <v>0.24258300332857899</v>
      </c>
    </row>
    <row r="284" spans="7:14" x14ac:dyDescent="0.25">
      <c r="G284">
        <v>2.62</v>
      </c>
      <c r="H284">
        <f t="shared" si="35"/>
        <v>4293.7546497444582</v>
      </c>
      <c r="I284" t="str">
        <f t="shared" si="34"/>
        <v>26978.4561279084j</v>
      </c>
      <c r="J284" t="str">
        <f t="shared" si="33"/>
        <v>100.999463309982+0.231665089627145j</v>
      </c>
      <c r="K284">
        <f t="shared" si="36"/>
        <v>40.08640416972387</v>
      </c>
      <c r="L284">
        <f t="shared" si="37"/>
        <v>0.13142058564732179</v>
      </c>
      <c r="M284">
        <f t="shared" si="38"/>
        <v>100.999463309982</v>
      </c>
      <c r="N284">
        <f t="shared" si="39"/>
        <v>0.23166508962714499</v>
      </c>
    </row>
    <row r="285" spans="7:14" x14ac:dyDescent="0.25">
      <c r="G285">
        <v>2.64</v>
      </c>
      <c r="H285">
        <f t="shared" si="35"/>
        <v>4496.1130720737119</v>
      </c>
      <c r="I285" t="str">
        <f t="shared" si="34"/>
        <v>28249.9115938716j</v>
      </c>
      <c r="J285" t="str">
        <f t="shared" si="33"/>
        <v>100.999510532655+0.221238547509181j</v>
      </c>
      <c r="K285">
        <f t="shared" si="36"/>
        <v>40.086406220387971</v>
      </c>
      <c r="L285">
        <f t="shared" si="37"/>
        <v>0.1255057048971556</v>
      </c>
      <c r="M285">
        <f t="shared" si="38"/>
        <v>100.99951053265499</v>
      </c>
      <c r="N285">
        <f t="shared" si="39"/>
        <v>0.22123854750918101</v>
      </c>
    </row>
    <row r="286" spans="7:14" x14ac:dyDescent="0.25">
      <c r="G286">
        <v>2.66</v>
      </c>
      <c r="H286">
        <f t="shared" si="35"/>
        <v>4708.0083530332195</v>
      </c>
      <c r="I286" t="str">
        <f t="shared" si="34"/>
        <v>29581.2889098571j</v>
      </c>
      <c r="J286" t="str">
        <f t="shared" si="33"/>
        <v>100.999553600284+0.211281263607655j</v>
      </c>
      <c r="K286">
        <f t="shared" si="36"/>
        <v>40.08640809061675</v>
      </c>
      <c r="L286">
        <f t="shared" si="37"/>
        <v>0.1198570350588444</v>
      </c>
      <c r="M286">
        <f t="shared" si="38"/>
        <v>100.999553600284</v>
      </c>
      <c r="N286">
        <f t="shared" si="39"/>
        <v>0.21128126360765501</v>
      </c>
    </row>
    <row r="287" spans="7:14" x14ac:dyDescent="0.25">
      <c r="G287">
        <v>2.68</v>
      </c>
      <c r="H287">
        <f t="shared" si="35"/>
        <v>4929.8899509231805</v>
      </c>
      <c r="I287" t="str">
        <f t="shared" si="34"/>
        <v>30975.4121056528j</v>
      </c>
      <c r="J287" t="str">
        <f t="shared" si="33"/>
        <v>100.99959287846+0.201772119563283j</v>
      </c>
      <c r="K287">
        <f t="shared" si="36"/>
        <v>40.086409796286297</v>
      </c>
      <c r="L287">
        <f t="shared" si="37"/>
        <v>0.11446259499990204</v>
      </c>
      <c r="M287">
        <f t="shared" si="38"/>
        <v>100.99959287846001</v>
      </c>
      <c r="N287">
        <f t="shared" si="39"/>
        <v>0.201772119563283</v>
      </c>
    </row>
    <row r="288" spans="7:14" x14ac:dyDescent="0.25">
      <c r="G288">
        <v>2.7</v>
      </c>
      <c r="H288">
        <f t="shared" si="35"/>
        <v>5162.2285063609088</v>
      </c>
      <c r="I288" t="str">
        <f t="shared" si="34"/>
        <v>32435.2383034705j</v>
      </c>
      <c r="J288" t="str">
        <f t="shared" si="33"/>
        <v>100.99962870061+0.192690947275062j</v>
      </c>
      <c r="K288">
        <f t="shared" si="36"/>
        <v>40.086411351876066</v>
      </c>
      <c r="L288">
        <f t="shared" si="37"/>
        <v>0.10931094278476011</v>
      </c>
      <c r="M288">
        <f t="shared" si="38"/>
        <v>100.99962870061</v>
      </c>
      <c r="N288">
        <f t="shared" si="39"/>
        <v>0.192690947275062</v>
      </c>
    </row>
    <row r="289" spans="7:14" x14ac:dyDescent="0.25">
      <c r="G289">
        <v>2.72</v>
      </c>
      <c r="H289">
        <f t="shared" si="35"/>
        <v>5405.5168405726617</v>
      </c>
      <c r="I289" t="str">
        <f t="shared" si="34"/>
        <v>33963.863990398j</v>
      </c>
      <c r="J289" t="str">
        <f t="shared" si="33"/>
        <v>100.999661370821+0.184018486160563j</v>
      </c>
      <c r="K289">
        <f t="shared" si="36"/>
        <v>40.086412770591252</v>
      </c>
      <c r="L289">
        <f t="shared" si="37"/>
        <v>0.10439115141244641</v>
      </c>
      <c r="M289">
        <f t="shared" si="38"/>
        <v>100.999661370821</v>
      </c>
      <c r="N289">
        <f t="shared" si="39"/>
        <v>0.18401848616056299</v>
      </c>
    </row>
    <row r="290" spans="7:14" x14ac:dyDescent="0.25">
      <c r="G290">
        <v>2.74</v>
      </c>
      <c r="H290">
        <f t="shared" si="35"/>
        <v>5660.2710007335418</v>
      </c>
      <c r="I290" t="str">
        <f t="shared" si="34"/>
        <v>35564.5315864637j</v>
      </c>
      <c r="J290" t="str">
        <f t="shared" si="33"/>
        <v>100.999691166426+0.175736342336095j</v>
      </c>
      <c r="K290">
        <f t="shared" si="36"/>
        <v>40.086414064475264</v>
      </c>
      <c r="L290">
        <f t="shared" si="37"/>
        <v>9.9692785645524487E-2</v>
      </c>
      <c r="M290">
        <f t="shared" si="38"/>
        <v>100.999691166426</v>
      </c>
      <c r="N290">
        <f t="shared" si="39"/>
        <v>0.175736342336095</v>
      </c>
    </row>
    <row r="291" spans="7:14" x14ac:dyDescent="0.25">
      <c r="G291">
        <v>2.76</v>
      </c>
      <c r="H291">
        <f t="shared" si="35"/>
        <v>5927.0313545727186</v>
      </c>
      <c r="I291" t="str">
        <f t="shared" si="34"/>
        <v>37240.636322244j</v>
      </c>
      <c r="J291" t="str">
        <f t="shared" si="33"/>
        <v>100.999718340356+0.167826949630803j</v>
      </c>
      <c r="K291">
        <f t="shared" si="36"/>
        <v>40.086415244511819</v>
      </c>
      <c r="L291">
        <f t="shared" si="37"/>
        <v>9.5205879881284858E-2</v>
      </c>
      <c r="M291">
        <f t="shared" si="38"/>
        <v>100.999718340356</v>
      </c>
      <c r="N291">
        <f t="shared" si="39"/>
        <v>0.167826949630803</v>
      </c>
    </row>
    <row r="292" spans="7:14" x14ac:dyDescent="0.25">
      <c r="G292">
        <v>2.78</v>
      </c>
      <c r="H292">
        <f t="shared" si="35"/>
        <v>6206.3637365658851</v>
      </c>
      <c r="I292" t="str">
        <f t="shared" si="34"/>
        <v>38995.733440603j</v>
      </c>
      <c r="J292" t="str">
        <f t="shared" si="33"/>
        <v>100.999743123288+0.160273532352592j</v>
      </c>
      <c r="K292">
        <f t="shared" si="36"/>
        <v>40.086416320718278</v>
      </c>
      <c r="L292">
        <f t="shared" si="37"/>
        <v>9.092091701835564E-2</v>
      </c>
      <c r="M292">
        <f t="shared" si="38"/>
        <v>100.999743123288</v>
      </c>
      <c r="N292">
        <f t="shared" si="39"/>
        <v>0.16027353235259201</v>
      </c>
    </row>
    <row r="293" spans="7:14" x14ac:dyDescent="0.25">
      <c r="G293">
        <v>2.8</v>
      </c>
      <c r="H293">
        <f t="shared" si="35"/>
        <v>6498.860648145991</v>
      </c>
      <c r="I293" t="str">
        <f t="shared" si="34"/>
        <v>40833.5457378385j</v>
      </c>
      <c r="J293" t="str">
        <f t="shared" si="33"/>
        <v>100.999765725602+0.153060069727389j</v>
      </c>
      <c r="K293">
        <f t="shared" si="36"/>
        <v>40.086417302230508</v>
      </c>
      <c r="L293">
        <f t="shared" si="37"/>
        <v>8.6828808274001454E-2</v>
      </c>
      <c r="M293">
        <f t="shared" si="38"/>
        <v>100.999765725602</v>
      </c>
      <c r="N293">
        <f t="shared" si="39"/>
        <v>0.153060069727389</v>
      </c>
    </row>
    <row r="294" spans="7:14" x14ac:dyDescent="0.25">
      <c r="G294">
        <v>2.82</v>
      </c>
      <c r="H294">
        <f t="shared" si="35"/>
        <v>6805.1425144782434</v>
      </c>
      <c r="I294" t="str">
        <f t="shared" si="34"/>
        <v>42757.9714602328j</v>
      </c>
      <c r="J294" t="str">
        <f t="shared" si="33"/>
        <v>100.999786339165+0.146171261936751j</v>
      </c>
      <c r="K294">
        <f t="shared" si="36"/>
        <v>40.086418197380389</v>
      </c>
      <c r="L294">
        <f t="shared" si="37"/>
        <v>8.2920873909383033E-2</v>
      </c>
      <c r="M294">
        <f t="shared" si="38"/>
        <v>100.999786339165</v>
      </c>
      <c r="N294">
        <f t="shared" si="39"/>
        <v>0.14617126193675101</v>
      </c>
    </row>
    <row r="295" spans="7:14" x14ac:dyDescent="0.25">
      <c r="G295">
        <v>2.84</v>
      </c>
      <c r="H295">
        <f t="shared" si="35"/>
        <v>7125.8590004650487</v>
      </c>
      <c r="I295" t="str">
        <f t="shared" si="34"/>
        <v>44773.0925727554j</v>
      </c>
      <c r="J295" t="str">
        <f t="shared" si="33"/>
        <v>100.999805138966+0.139592497682157j</v>
      </c>
      <c r="K295">
        <f t="shared" si="36"/>
        <v>40.086419013767014</v>
      </c>
      <c r="L295">
        <f t="shared" si="37"/>
        <v>7.9188824821957077E-2</v>
      </c>
      <c r="M295">
        <f t="shared" si="38"/>
        <v>100.999805138966</v>
      </c>
      <c r="N295">
        <f t="shared" si="39"/>
        <v>0.13959249768215701</v>
      </c>
    </row>
    <row r="296" spans="7:14" x14ac:dyDescent="0.25">
      <c r="G296">
        <v>2.86</v>
      </c>
      <c r="H296">
        <f t="shared" si="35"/>
        <v>7461.6903887724002</v>
      </c>
      <c r="I296" t="str">
        <f t="shared" si="34"/>
        <v>46883.1834174579j</v>
      </c>
      <c r="J296" t="str">
        <f t="shared" si="33"/>
        <v>100.999822284595+0.133309823207523j</v>
      </c>
      <c r="K296">
        <f t="shared" si="36"/>
        <v>40.086419758320638</v>
      </c>
      <c r="L296">
        <f t="shared" si="37"/>
        <v>7.5624744966057977E-2</v>
      </c>
      <c r="M296">
        <f t="shared" si="38"/>
        <v>100.999822284595</v>
      </c>
      <c r="N296">
        <f t="shared" si="39"/>
        <v>0.13330982320752299</v>
      </c>
    </row>
    <row r="297" spans="7:14" x14ac:dyDescent="0.25">
      <c r="G297">
        <v>2.88</v>
      </c>
      <c r="H297">
        <f t="shared" si="35"/>
        <v>7813.349022800593</v>
      </c>
      <c r="I297" t="str">
        <f t="shared" si="34"/>
        <v>49092.7197799267j</v>
      </c>
      <c r="J297" t="str">
        <f t="shared" si="33"/>
        <v>100.999837921599+0.127309912714501j</v>
      </c>
      <c r="K297">
        <f t="shared" si="36"/>
        <v>40.086420437361674</v>
      </c>
      <c r="L297">
        <f t="shared" si="37"/>
        <v>7.2221074564398857E-2</v>
      </c>
      <c r="M297">
        <f t="shared" si="38"/>
        <v>100.999837921599</v>
      </c>
      <c r="N297">
        <f t="shared" si="39"/>
        <v>0.12730991271450101</v>
      </c>
    </row>
    <row r="298" spans="7:14" x14ac:dyDescent="0.25">
      <c r="G298">
        <v>2.9</v>
      </c>
      <c r="H298">
        <f t="shared" si="35"/>
        <v>8181.5808176601058</v>
      </c>
      <c r="I298" t="str">
        <f t="shared" si="34"/>
        <v>51406.3883830243j</v>
      </c>
      <c r="J298" t="str">
        <f t="shared" si="33"/>
        <v>100.99985218272+0.121580040108087j</v>
      </c>
      <c r="K298">
        <f t="shared" si="36"/>
        <v>40.086421056654515</v>
      </c>
      <c r="L298">
        <f t="shared" si="37"/>
        <v>6.8970594074951472E-2</v>
      </c>
      <c r="M298">
        <f t="shared" si="38"/>
        <v>100.99985218272001</v>
      </c>
      <c r="N298">
        <f t="shared" si="39"/>
        <v>0.121580040108087</v>
      </c>
    </row>
    <row r="299" spans="7:14" x14ac:dyDescent="0.25">
      <c r="G299">
        <v>2.92</v>
      </c>
      <c r="H299">
        <f t="shared" si="35"/>
        <v>8567.1668423575156</v>
      </c>
      <c r="I299" t="str">
        <f t="shared" si="34"/>
        <v>53829.0968280569j</v>
      </c>
      <c r="J299" t="str">
        <f t="shared" si="33"/>
        <v>100.999865189021+0.116108052012795j</v>
      </c>
      <c r="K299">
        <f t="shared" si="36"/>
        <v>40.086421621456424</v>
      </c>
      <c r="L299">
        <f t="shared" si="37"/>
        <v>6.5866408879224805E-2</v>
      </c>
      <c r="M299">
        <f t="shared" si="38"/>
        <v>100.99986518902099</v>
      </c>
      <c r="N299">
        <f t="shared" si="39"/>
        <v>0.116108052012795</v>
      </c>
    </row>
    <row r="300" spans="7:14" x14ac:dyDescent="0.25">
      <c r="G300">
        <v>2.94</v>
      </c>
      <c r="H300">
        <f t="shared" si="35"/>
        <v>8970.9249765476343</v>
      </c>
      <c r="I300" t="str">
        <f t="shared" si="34"/>
        <v>56365.9840044545j</v>
      </c>
      <c r="J300" t="str">
        <f t="shared" si="33"/>
        <v>100.999877050911+0.110882342002368j</v>
      </c>
      <c r="K300">
        <f t="shared" si="36"/>
        <v>40.086422136561914</v>
      </c>
      <c r="L300">
        <f t="shared" si="37"/>
        <v>6.2901934659507996E-2</v>
      </c>
      <c r="M300">
        <f t="shared" si="38"/>
        <v>100.999877050911</v>
      </c>
      <c r="N300">
        <f t="shared" si="39"/>
        <v>0.110882342002368</v>
      </c>
    </row>
    <row r="301" spans="7:14" x14ac:dyDescent="0.25">
      <c r="G301">
        <v>2.96</v>
      </c>
      <c r="H301">
        <f t="shared" si="35"/>
        <v>9393.7116453658728</v>
      </c>
      <c r="I301" t="str">
        <f t="shared" si="34"/>
        <v>59022.4309900446j</v>
      </c>
      <c r="J301" t="str">
        <f t="shared" si="33"/>
        <v>100.999887869086+0.105891825988531j</v>
      </c>
      <c r="K301">
        <f t="shared" si="36"/>
        <v>40.086422606343781</v>
      </c>
      <c r="L301">
        <f t="shared" si="37"/>
        <v>6.0070883434088937E-2</v>
      </c>
      <c r="M301">
        <f t="shared" si="38"/>
        <v>100.999887869086</v>
      </c>
      <c r="N301">
        <f t="shared" si="39"/>
        <v>0.105891825988531</v>
      </c>
    </row>
    <row r="302" spans="7:14" x14ac:dyDescent="0.25">
      <c r="G302">
        <v>2.98</v>
      </c>
      <c r="H302">
        <f t="shared" si="35"/>
        <v>9836.4236360207997</v>
      </c>
      <c r="I302" t="str">
        <f t="shared" si="34"/>
        <v>61804.0724650399j</v>
      </c>
      <c r="J302" t="str">
        <f t="shared" si="33"/>
        <v>100.999897735381+0.10112591871671j</v>
      </c>
      <c r="K302">
        <f t="shared" si="36"/>
        <v>40.086423034789988</v>
      </c>
      <c r="L302">
        <f t="shared" si="37"/>
        <v>5.7367250220853594E-2</v>
      </c>
      <c r="M302">
        <f t="shared" si="38"/>
        <v>100.999897735381</v>
      </c>
      <c r="N302">
        <f t="shared" si="39"/>
        <v>0.10112591871671001</v>
      </c>
    </row>
    <row r="303" spans="7:14" x14ac:dyDescent="0.25">
      <c r="G303">
        <v>3</v>
      </c>
      <c r="H303">
        <f t="shared" si="35"/>
        <v>10300</v>
      </c>
      <c r="I303" t="str">
        <f t="shared" si="34"/>
        <v>64716.8086639497j</v>
      </c>
      <c r="J303" t="str">
        <f t="shared" si="33"/>
        <v>100.99990673355+0.0965745113190109j</v>
      </c>
      <c r="K303">
        <f t="shared" si="36"/>
        <v>40.086423425537554</v>
      </c>
      <c r="L303">
        <f t="shared" si="37"/>
        <v>5.478530030100931E-2</v>
      </c>
      <c r="M303">
        <f t="shared" si="38"/>
        <v>100.99990673355001</v>
      </c>
      <c r="N303">
        <f t="shared" si="39"/>
        <v>9.6574511319010903E-2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DAD7B-CD40-4F64-A0A6-45DAB088E3C6}">
  <dimension ref="A1:G302"/>
  <sheetViews>
    <sheetView showGridLines="0" zoomScale="85" zoomScaleNormal="85" workbookViewId="0">
      <selection activeCell="X25" sqref="X25"/>
    </sheetView>
  </sheetViews>
  <sheetFormatPr defaultRowHeight="15" x14ac:dyDescent="0.25"/>
  <cols>
    <col min="7" max="7" width="12.7109375" bestFit="1" customWidth="1"/>
  </cols>
  <sheetData>
    <row r="1" spans="1:7" x14ac:dyDescent="0.25">
      <c r="A1" t="s">
        <v>4</v>
      </c>
      <c r="B1" t="s">
        <v>23</v>
      </c>
      <c r="C1" t="s">
        <v>21</v>
      </c>
      <c r="D1" t="s">
        <v>22</v>
      </c>
      <c r="F1" t="s">
        <v>4</v>
      </c>
      <c r="G1" t="s">
        <v>30</v>
      </c>
    </row>
    <row r="2" spans="1:7" x14ac:dyDescent="0.25">
      <c r="A2">
        <f>'Input Stage'!H3</f>
        <v>1.03E-2</v>
      </c>
      <c r="B2">
        <f>'Input Stage'!K3</f>
        <v>-59.697263142100923</v>
      </c>
      <c r="C2">
        <f>'NI AC Coupled Amp'!K3</f>
        <v>4.7238284100565645E-2</v>
      </c>
      <c r="D2">
        <f>B2+C2</f>
        <v>-59.650024858000357</v>
      </c>
      <c r="F2">
        <f>'Bias Network'!H3</f>
        <v>1.6000000000000001E-3</v>
      </c>
      <c r="G2">
        <f>'Bias Network'!K3</f>
        <v>-6.020604069074647</v>
      </c>
    </row>
    <row r="3" spans="1:7" x14ac:dyDescent="0.25">
      <c r="A3">
        <f>'Input Stage'!H4</f>
        <v>1.0785424044924257E-2</v>
      </c>
      <c r="B3">
        <f>'Input Stage'!K4</f>
        <v>-59.297263591350088</v>
      </c>
      <c r="C3">
        <f>'NI AC Coupled Amp'!K4</f>
        <v>5.1768683229007767E-2</v>
      </c>
      <c r="D3">
        <f t="shared" ref="D3:D66" si="0">B3+C3</f>
        <v>-59.245494908121081</v>
      </c>
      <c r="F3">
        <f>'Bias Network'!H4</f>
        <v>1.6754056768814381E-3</v>
      </c>
      <c r="G3">
        <f>'Bias Network'!K4</f>
        <v>-6.0206044700180561</v>
      </c>
    </row>
    <row r="4" spans="1:7" x14ac:dyDescent="0.25">
      <c r="A4">
        <f>'Input Stage'!H5</f>
        <v>1.1293725420274806E-2</v>
      </c>
      <c r="B4">
        <f>'Input Stage'!K5</f>
        <v>-58.897264083941749</v>
      </c>
      <c r="C4">
        <f>'NI AC Coupled Amp'!K5</f>
        <v>5.6730740176107158E-2</v>
      </c>
      <c r="D4">
        <f t="shared" si="0"/>
        <v>-58.840533343765642</v>
      </c>
      <c r="F4">
        <f>'Bias Network'!H5</f>
        <v>1.754365113829096E-3</v>
      </c>
      <c r="G4">
        <f>'Bias Network'!K5</f>
        <v>-6.0206049096437102</v>
      </c>
    </row>
    <row r="5" spans="1:7" x14ac:dyDescent="0.25">
      <c r="A5">
        <f>'Input Stage'!H6</f>
        <v>1.1825982301417889E-2</v>
      </c>
      <c r="B5">
        <f>'Input Stage'!K6</f>
        <v>-58.497264624057706</v>
      </c>
      <c r="C5">
        <f>'NI AC Coupled Amp'!K6</f>
        <v>6.2165017771963753E-2</v>
      </c>
      <c r="D5">
        <f t="shared" si="0"/>
        <v>-58.435099606285739</v>
      </c>
      <c r="F5">
        <f>'Bias Network'!H6</f>
        <v>1.8370457943950121E-3</v>
      </c>
      <c r="G5">
        <f>'Bias Network'!K6</f>
        <v>-6.0206053916835955</v>
      </c>
    </row>
    <row r="6" spans="1:7" x14ac:dyDescent="0.25">
      <c r="A6">
        <f>'Input Stage'!H7</f>
        <v>1.2383323676559348E-2</v>
      </c>
      <c r="B6">
        <f>'Input Stage'!K7</f>
        <v>-58.09726521628307</v>
      </c>
      <c r="C6">
        <f>'NI AC Coupled Amp'!K7</f>
        <v>6.811577795811255E-2</v>
      </c>
      <c r="D6">
        <f t="shared" si="0"/>
        <v>-58.029149438324957</v>
      </c>
      <c r="F6">
        <f>'Bias Network'!H7</f>
        <v>1.9236230953878599E-3</v>
      </c>
      <c r="G6">
        <f>'Bias Network'!K7</f>
        <v>-6.0206059202297659</v>
      </c>
    </row>
    <row r="7" spans="1:7" x14ac:dyDescent="0.25">
      <c r="A7">
        <f>'Input Stage'!H8</f>
        <v>1.2966931741479913E-2</v>
      </c>
      <c r="B7">
        <f>'Input Stage'!K8</f>
        <v>-57.697265865645129</v>
      </c>
      <c r="C7">
        <f>'NI AC Coupled Amp'!K8</f>
        <v>7.4631296781612039E-2</v>
      </c>
      <c r="D7">
        <f t="shared" si="0"/>
        <v>-57.622634568863518</v>
      </c>
      <c r="F7">
        <f>'Bias Network'!H8</f>
        <v>2.0142806588706662E-3</v>
      </c>
      <c r="G7">
        <f>'Bias Network'!K8</f>
        <v>-6.0206064997690412</v>
      </c>
    </row>
    <row r="8" spans="1:7" x14ac:dyDescent="0.25">
      <c r="A8">
        <f>'Input Stage'!H9</f>
        <v>1.3578044407130993E-2</v>
      </c>
      <c r="B8">
        <f>'Input Stage'!K9</f>
        <v>-57.297266577656465</v>
      </c>
      <c r="C8">
        <f>'NI AC Coupled Amp'!K9</f>
        <v>8.1764201757368232E-2</v>
      </c>
      <c r="D8">
        <f t="shared" si="0"/>
        <v>-57.215502375899099</v>
      </c>
      <c r="F8">
        <f>'Bias Network'!H9</f>
        <v>2.1092107816902514E-3</v>
      </c>
      <c r="G8">
        <f>'Bias Network'!K9</f>
        <v>-6.0206071352211303</v>
      </c>
    </row>
    <row r="9" spans="1:7" x14ac:dyDescent="0.25">
      <c r="A9">
        <f>'Input Stage'!H10</f>
        <v>1.421795792540971E-2</v>
      </c>
      <c r="B9">
        <f>'Input Stage'!K10</f>
        <v>-56.897267358361169</v>
      </c>
      <c r="C9">
        <f>'NI AC Coupled Amp'!K10</f>
        <v>8.9571832270714719E-2</v>
      </c>
      <c r="D9">
        <f t="shared" si="0"/>
        <v>-56.807695526090455</v>
      </c>
      <c r="F9">
        <f>'Bias Network'!H10</f>
        <v>2.208614823364615E-3</v>
      </c>
      <c r="G9">
        <f>'Bias Network'!K10</f>
        <v>-6.02060783198037</v>
      </c>
    </row>
    <row r="10" spans="1:7" x14ac:dyDescent="0.25">
      <c r="A10">
        <f>'Input Stage'!H11</f>
        <v>1.488802963868305E-2</v>
      </c>
      <c r="B10">
        <f>'Input Stage'!K11</f>
        <v>-56.497268214386651</v>
      </c>
      <c r="C10">
        <f>'NI AC Coupled Amp'!K11</f>
        <v>9.8116623501536257E-2</v>
      </c>
      <c r="D10">
        <f t="shared" si="0"/>
        <v>-56.399151590885111</v>
      </c>
      <c r="F10">
        <f>'Bias Network'!H11</f>
        <v>2.3127036331934835E-3</v>
      </c>
      <c r="G10">
        <f>'Bias Network'!K11</f>
        <v>-6.0206085959615869</v>
      </c>
    </row>
    <row r="11" spans="1:7" x14ac:dyDescent="0.25">
      <c r="A11">
        <f>'Input Stage'!H12</f>
        <v>1.5589680858892936E-2</v>
      </c>
      <c r="B11">
        <f>'Input Stage'!K12</f>
        <v>-56.097269152999743</v>
      </c>
      <c r="C11">
        <f>'NI AC Coupled Amp'!K12</f>
        <v>0.10746651409335888</v>
      </c>
      <c r="D11">
        <f t="shared" si="0"/>
        <v>-55.989802638906383</v>
      </c>
      <c r="F11">
        <f>'Bias Network'!H12</f>
        <v>2.4216979974979319E-3</v>
      </c>
      <c r="G11">
        <f>'Bias Network'!K12</f>
        <v>-6.0206094336501597</v>
      </c>
    </row>
    <row r="12" spans="1:7" x14ac:dyDescent="0.25">
      <c r="A12">
        <f>'Input Stage'!H13</f>
        <v>1.6324399882349471E-2</v>
      </c>
      <c r="B12">
        <f>'Input Stage'!K13</f>
        <v>-55.69727018216841</v>
      </c>
      <c r="C12">
        <f>'NI AC Coupled Amp'!K13</f>
        <v>0.11769537747158632</v>
      </c>
      <c r="D12">
        <f t="shared" si="0"/>
        <v>-55.579574804696826</v>
      </c>
      <c r="F12">
        <f>'Bias Network'!H13</f>
        <v>2.5358291079377818E-3</v>
      </c>
      <c r="G12">
        <f>'Bias Network'!K13</f>
        <v>-6.0206103521572221</v>
      </c>
    </row>
    <row r="13" spans="1:7" x14ac:dyDescent="0.25">
      <c r="A13">
        <f>'Input Stage'!H14</f>
        <v>1.7093745146606876E-2</v>
      </c>
      <c r="B13">
        <f>'Input Stage'!K14</f>
        <v>-55.297271310628929</v>
      </c>
      <c r="C13">
        <f>'NI AC Coupled Amp'!K14</f>
        <v>0.12888347631085198</v>
      </c>
      <c r="D13">
        <f t="shared" si="0"/>
        <v>-55.168387834318075</v>
      </c>
      <c r="F13">
        <f>'Bias Network'!H14</f>
        <v>2.6553390519000971E-3</v>
      </c>
      <c r="G13">
        <f>'Bias Network'!K14</f>
        <v>-6.0206113592799779</v>
      </c>
    </row>
    <row r="14" spans="1:7" x14ac:dyDescent="0.25">
      <c r="A14">
        <f>'Input Stage'!H15</f>
        <v>1.7899348536118562E-2</v>
      </c>
      <c r="B14">
        <f>'Input Stage'!K15</f>
        <v>-54.897272547961087</v>
      </c>
      <c r="C14">
        <f>'NI AC Coupled Amp'!K15</f>
        <v>0.14111793915197585</v>
      </c>
      <c r="D14">
        <f t="shared" si="0"/>
        <v>-54.756154608809112</v>
      </c>
      <c r="F14">
        <f>'Bias Network'!H15</f>
        <v>2.7804813259989999E-3</v>
      </c>
      <c r="G14">
        <f>'Bias Network'!K15</f>
        <v>-6.0206124635678435</v>
      </c>
    </row>
    <row r="15" spans="1:7" x14ac:dyDescent="0.25">
      <c r="A15">
        <f>'Input Stage'!H16</f>
        <v>1.8742918843682805E-2</v>
      </c>
      <c r="B15">
        <f>'Input Stage'!K16</f>
        <v>-54.49727390466844</v>
      </c>
      <c r="C15">
        <f>'NI AC Coupled Amp'!K16</f>
        <v>0.15449325756803239</v>
      </c>
      <c r="D15">
        <f t="shared" si="0"/>
        <v>-54.342780647100405</v>
      </c>
      <c r="F15">
        <f>'Bias Network'!H16</f>
        <v>2.9115213737759696E-3</v>
      </c>
      <c r="G15">
        <f>'Bias Network'!K16</f>
        <v>-6.0206136743951033</v>
      </c>
    </row>
    <row r="16" spans="1:7" x14ac:dyDescent="0.25">
      <c r="A16">
        <f>'Input Stage'!H17</f>
        <v>1.9626245395021436E-2</v>
      </c>
      <c r="B16">
        <f>'Input Stage'!K17</f>
        <v>-54.097275392267903</v>
      </c>
      <c r="C16">
        <f>'NI AC Coupled Amp'!K17</f>
        <v>0.16911180155266339</v>
      </c>
      <c r="D16">
        <f t="shared" si="0"/>
        <v>-53.928163590715236</v>
      </c>
      <c r="F16">
        <f>'Bias Network'!H17</f>
        <v>3.048737148741194E-3</v>
      </c>
      <c r="G16">
        <f>'Bias Network'!K17</f>
        <v>-6.0206150020403895</v>
      </c>
    </row>
    <row r="17" spans="1:7" x14ac:dyDescent="0.25">
      <c r="A17">
        <f>'Input Stage'!H18</f>
        <v>2.0551201844179447E-2</v>
      </c>
      <c r="B17">
        <f>'Input Stage'!K18</f>
        <v>-53.697277023387755</v>
      </c>
      <c r="C17">
        <f>'NI AC Coupled Amp'!K18</f>
        <v>0.18508434994390549</v>
      </c>
      <c r="D17">
        <f t="shared" si="0"/>
        <v>-53.512192673443849</v>
      </c>
      <c r="F17">
        <f>'Bias Network'!H18</f>
        <v>3.1924197039502051E-3</v>
      </c>
      <c r="G17">
        <f>'Bias Network'!K18</f>
        <v>-6.0206164577740475</v>
      </c>
    </row>
    <row r="18" spans="1:7" x14ac:dyDescent="0.25">
      <c r="A18">
        <f>'Input Stage'!H19</f>
        <v>2.1519750147796585E-2</v>
      </c>
      <c r="B18">
        <f>'Input Stage'!K19</f>
        <v>-53.297278811874371</v>
      </c>
      <c r="C18">
        <f>'NI AC Coupled Amp'!K19</f>
        <v>0.20253063169314173</v>
      </c>
      <c r="D18">
        <f t="shared" si="0"/>
        <v>-53.094748180181227</v>
      </c>
      <c r="F18">
        <f>'Bias Network'!H19</f>
        <v>3.3428738093664598E-3</v>
      </c>
      <c r="G18">
        <f>'Bias Network'!K19</f>
        <v>-6.020618053953676</v>
      </c>
    </row>
    <row r="19" spans="1:7" x14ac:dyDescent="0.25">
      <c r="A19">
        <f>'Input Stage'!H20</f>
        <v>2.2533944726680365E-2</v>
      </c>
      <c r="B19">
        <f>'Input Stage'!K20</f>
        <v>-52.897280772910108</v>
      </c>
      <c r="C19">
        <f>'NI AC Coupled Amp'!K20</f>
        <v>0.22157987262104925</v>
      </c>
      <c r="D19">
        <f t="shared" si="0"/>
        <v>-52.675700900289058</v>
      </c>
      <c r="F19">
        <f>'Bias Network'!H20</f>
        <v>3.5004185983192799E-3</v>
      </c>
      <c r="G19">
        <f>'Bias Network'!K20</f>
        <v>-6.020619804129181</v>
      </c>
    </row>
    <row r="20" spans="1:7" x14ac:dyDescent="0.25">
      <c r="A20">
        <f>'Input Stage'!H21</f>
        <v>2.3595936823508048E-2</v>
      </c>
      <c r="B20">
        <f>'Input Stage'!K21</f>
        <v>-52.497282923141995</v>
      </c>
      <c r="C20">
        <f>'NI AC Coupled Amp'!K21</f>
        <v>0.24237134097004706</v>
      </c>
      <c r="D20">
        <f t="shared" si="0"/>
        <v>-52.25491158217195</v>
      </c>
      <c r="F20">
        <f>'Bias Network'!H21</f>
        <v>3.6653882444284344E-3</v>
      </c>
      <c r="G20">
        <f>'Bias Network'!K21</f>
        <v>-6.0206217231576611</v>
      </c>
    </row>
    <row r="21" spans="1:7" x14ac:dyDescent="0.25">
      <c r="A21">
        <f>'Input Stage'!H22</f>
        <v>2.4707979065900734E-2</v>
      </c>
      <c r="B21">
        <f>'Input Stage'!K22</f>
        <v>-52.097285280823165</v>
      </c>
      <c r="C21">
        <f>'NI AC Coupled Amp'!K22</f>
        <v>0.26505488355847218</v>
      </c>
      <c r="D21">
        <f t="shared" si="0"/>
        <v>-51.832230397264695</v>
      </c>
      <c r="F21">
        <f>'Bias Network'!H22</f>
        <v>3.8381326704311821E-3</v>
      </c>
      <c r="G21">
        <f>'Bias Network'!K22</f>
        <v>-6.0206238273295432</v>
      </c>
    </row>
    <row r="22" spans="1:7" x14ac:dyDescent="0.25">
      <c r="A22">
        <f>'Input Stage'!H23</f>
        <v>2.5872430244548651E-2</v>
      </c>
      <c r="B22">
        <f>'Input Stage'!K23</f>
        <v>-51.697287865967702</v>
      </c>
      <c r="C22">
        <f>'NI AC Coupled Amp'!K23</f>
        <v>0.28979144266271445</v>
      </c>
      <c r="D22">
        <f t="shared" si="0"/>
        <v>-51.407496423304991</v>
      </c>
      <c r="F22">
        <f>'Bias Network'!H23</f>
        <v>4.0190182904153247E-3</v>
      </c>
      <c r="G22">
        <f>'Bias Network'!K23</f>
        <v>-6.0206261345069887</v>
      </c>
    </row>
    <row r="23" spans="1:7" x14ac:dyDescent="0.25">
      <c r="A23">
        <f>'Input Stage'!H24</f>
        <v>2.7091760316522408E-2</v>
      </c>
      <c r="B23">
        <f>'Input Stage'!K24</f>
        <v>-51.297290700520534</v>
      </c>
      <c r="C23">
        <f>'NI AC Coupled Amp'!K24</f>
        <v>0.3167535419193524</v>
      </c>
      <c r="D23">
        <f t="shared" si="0"/>
        <v>-50.98053715860118</v>
      </c>
      <c r="F23">
        <f>'Bias Network'!H24</f>
        <v>4.2084287870326068E-3</v>
      </c>
      <c r="G23">
        <f>'Bias Network'!K24</f>
        <v>-6.0206286642753257</v>
      </c>
    </row>
    <row r="24" spans="1:7" x14ac:dyDescent="0.25">
      <c r="A24">
        <f>'Input Stage'!H25</f>
        <v>2.8368555644383103E-2</v>
      </c>
      <c r="B24">
        <f>'Input Stage'!K25</f>
        <v>-50.897293808543857</v>
      </c>
      <c r="C24">
        <f>'NI AC Coupled Amp'!K25</f>
        <v>0.34612572755843296</v>
      </c>
      <c r="D24">
        <f t="shared" si="0"/>
        <v>-50.551168080985427</v>
      </c>
      <c r="F24">
        <f>'Bias Network'!H25</f>
        <v>4.4067659253410642E-3</v>
      </c>
      <c r="G24">
        <f>'Bias Network'!K25</f>
        <v>-6.0206314381094552</v>
      </c>
    </row>
    <row r="25" spans="1:7" x14ac:dyDescent="0.25">
      <c r="A25">
        <f>'Input Stage'!H26</f>
        <v>2.9705524482204024E-2</v>
      </c>
      <c r="B25">
        <f>'Input Stage'!K26</f>
        <v>-50.497297216420975</v>
      </c>
      <c r="C25">
        <f>'NI AC Coupled Amp'!K26</f>
        <v>0.37810494919657467</v>
      </c>
      <c r="D25">
        <f t="shared" si="0"/>
        <v>-50.119192267224399</v>
      </c>
      <c r="F25">
        <f>'Bias Network'!H26</f>
        <v>4.614450405002567E-3</v>
      </c>
      <c r="G25">
        <f>'Bias Network'!K26</f>
        <v>-6.0206344795560796</v>
      </c>
    </row>
    <row r="26" spans="1:7" x14ac:dyDescent="0.25">
      <c r="A26">
        <f>'Input Stage'!H27</f>
        <v>3.1105502720140742E-2</v>
      </c>
      <c r="B26">
        <f>'Input Stage'!K27</f>
        <v>-50.097300953080939</v>
      </c>
      <c r="C26">
        <f>'NI AC Coupled Amp'!K27</f>
        <v>0.4129008622790985</v>
      </c>
      <c r="D26">
        <f t="shared" si="0"/>
        <v>-49.684400090801837</v>
      </c>
      <c r="F26">
        <f>'Bias Network'!H27</f>
        <v>4.8319227526432218E-3</v>
      </c>
      <c r="G26">
        <f>'Bias Network'!K27</f>
        <v>-6.0206378144335169</v>
      </c>
    </row>
    <row r="27" spans="1:7" x14ac:dyDescent="0.25">
      <c r="A27">
        <f>'Input Stage'!H28</f>
        <v>3.2571459899734277E-2</v>
      </c>
      <c r="B27">
        <f>'Input Stage'!K28</f>
        <v>-49.697305050243436</v>
      </c>
      <c r="C27">
        <f>'NI AC Coupled Amp'!K28</f>
        <v>0.45073603213598989</v>
      </c>
      <c r="D27">
        <f t="shared" si="0"/>
        <v>-49.246569018107444</v>
      </c>
      <c r="F27">
        <f>'Bias Network'!H28</f>
        <v>5.0596442562694027E-3</v>
      </c>
      <c r="G27">
        <f>'Bias Network'!K28</f>
        <v>-6.020641471050979</v>
      </c>
    </row>
    <row r="28" spans="1:7" x14ac:dyDescent="0.25">
      <c r="A28">
        <f>'Input Stage'!H29</f>
        <v>3.4106505512706879E-2</v>
      </c>
      <c r="B28">
        <f>'Input Stage'!K29</f>
        <v>-49.297309542688303</v>
      </c>
      <c r="C28">
        <f>'NI AC Coupled Amp'!K29</f>
        <v>0.49184601760398344</v>
      </c>
      <c r="D28">
        <f t="shared" si="0"/>
        <v>-48.805463525084321</v>
      </c>
      <c r="F28">
        <f>'Bias Network'!H29</f>
        <v>5.2980979437214568E-3</v>
      </c>
      <c r="G28">
        <f>'Bias Network'!K29</f>
        <v>-6.0206454804487759</v>
      </c>
    </row>
    <row r="29" spans="1:7" x14ac:dyDescent="0.25">
      <c r="A29">
        <f>'Input Stage'!H30</f>
        <v>3.5713895596610749E-2</v>
      </c>
      <c r="B29">
        <f>'Input Stage'!K30</f>
        <v>-48.89731446855081</v>
      </c>
      <c r="C29">
        <f>'NI AC Coupled Amp'!K30</f>
        <v>0.5364793103824137</v>
      </c>
      <c r="D29">
        <f t="shared" si="0"/>
        <v>-48.360835158168399</v>
      </c>
      <c r="F29">
        <f>'Bias Network'!H30</f>
        <v>5.5477896072405044E-3</v>
      </c>
      <c r="G29">
        <f>'Bias Network'!K30</f>
        <v>-6.0206498766617589</v>
      </c>
    </row>
    <row r="30" spans="1:7" x14ac:dyDescent="0.25">
      <c r="A30">
        <f>'Input Stage'!H31</f>
        <v>3.7397039641320413E-2</v>
      </c>
      <c r="B30">
        <f>'Input Stage'!K31</f>
        <v>-48.49731986964521</v>
      </c>
      <c r="C30">
        <f>'NI AC Coupled Amp'!K31</f>
        <v>0.58489710487628321</v>
      </c>
      <c r="D30">
        <f t="shared" si="0"/>
        <v>-47.912422764768927</v>
      </c>
      <c r="F30">
        <f>'Bias Network'!H31</f>
        <v>5.8092488763216181E-3</v>
      </c>
      <c r="G30">
        <f>'Bias Network'!K31</f>
        <v>-6.0206546970083483</v>
      </c>
    </row>
    <row r="31" spans="1:7" x14ac:dyDescent="0.25">
      <c r="A31">
        <f>'Input Stage'!H32</f>
        <v>3.9159507821017812E-2</v>
      </c>
      <c r="B31">
        <f>'Input Stage'!K32</f>
        <v>-48.097325791819756</v>
      </c>
      <c r="C31">
        <f>'NI AC Coupled Amp'!K32</f>
        <v>0.63737287241579355</v>
      </c>
      <c r="D31">
        <f t="shared" si="0"/>
        <v>-47.45995291940396</v>
      </c>
      <c r="F31">
        <f>'Bias Network'!H32</f>
        <v>6.0830303411289798E-3</v>
      </c>
      <c r="G31">
        <f>'Bias Network'!K32</f>
        <v>-6.0206599824071194</v>
      </c>
    </row>
    <row r="32" spans="1:7" x14ac:dyDescent="0.25">
      <c r="A32">
        <f>'Input Stage'!H33</f>
        <v>4.100503856701021E-2</v>
      </c>
      <c r="B32">
        <f>'Input Stage'!K33</f>
        <v>-47.697332285345709</v>
      </c>
      <c r="C32">
        <f>'NI AC Coupled Amp'!K33</f>
        <v>0.69419171360571064</v>
      </c>
      <c r="D32">
        <f t="shared" si="0"/>
        <v>-47.003140571739998</v>
      </c>
      <c r="F32">
        <f>'Bias Network'!H33</f>
        <v>6.369714728855955E-3</v>
      </c>
      <c r="G32">
        <f>'Bias Network'!K33</f>
        <v>-6.0206657777242425</v>
      </c>
    </row>
    <row r="33" spans="1:7" x14ac:dyDescent="0.25">
      <c r="A33">
        <f>'Input Stage'!H34</f>
        <v>4.2937546497444537E-2</v>
      </c>
      <c r="B33">
        <f>'Input Stage'!K34</f>
        <v>-47.297339405344232</v>
      </c>
      <c r="C33">
        <f>'NI AC Coupled Amp'!K34</f>
        <v>0.7556494633722044</v>
      </c>
      <c r="D33">
        <f t="shared" si="0"/>
        <v>-46.541689941972031</v>
      </c>
      <c r="F33">
        <f>'Bias Network'!H34</f>
        <v>6.6699101355253646E-3</v>
      </c>
      <c r="G33">
        <f>'Bias Network'!K34</f>
        <v>-6.0206721321542114</v>
      </c>
    </row>
    <row r="34" spans="1:7" x14ac:dyDescent="0.25">
      <c r="A34">
        <f>'Input Stage'!H35</f>
        <v>4.4961130720737069E-2</v>
      </c>
      <c r="B34">
        <f>'Input Stage'!K35</f>
        <v>-46.897347212253891</v>
      </c>
      <c r="C34">
        <f>'NI AC Coupled Amp'!K35</f>
        <v>0.82205152524883973</v>
      </c>
      <c r="D34">
        <f t="shared" si="0"/>
        <v>-46.075295687005053</v>
      </c>
      <c r="F34">
        <f>'Bias Network'!H35</f>
        <v>6.9842533158426508E-3</v>
      </c>
      <c r="G34">
        <f>'Bias Network'!K35</f>
        <v>-6.0206790996374329</v>
      </c>
    </row>
    <row r="35" spans="1:7" x14ac:dyDescent="0.25">
      <c r="A35">
        <f>'Input Stage'!H36</f>
        <v>4.7080083530332134E-2</v>
      </c>
      <c r="B35">
        <f>'Input Stage'!K36</f>
        <v>-46.497355772343994</v>
      </c>
      <c r="C35">
        <f>'NI AC Coupled Amp'!K36</f>
        <v>0.8937114147771561</v>
      </c>
      <c r="D35">
        <f t="shared" si="0"/>
        <v>-45.603644357566836</v>
      </c>
      <c r="F35">
        <f>'Bias Network'!H36</f>
        <v>7.3134110338380007E-3</v>
      </c>
      <c r="G35">
        <f>'Bias Network'!K36</f>
        <v>-6.0206867393180294</v>
      </c>
    </row>
    <row r="36" spans="1:7" x14ac:dyDescent="0.25">
      <c r="A36">
        <f>'Input Stage'!H37</f>
        <v>4.9298899509231754E-2</v>
      </c>
      <c r="B36">
        <f>'Input Stage'!K37</f>
        <v>-46.097365158276801</v>
      </c>
      <c r="C36">
        <f>'NI AC Coupled Amp'!K37</f>
        <v>0.97094899678643654</v>
      </c>
      <c r="D36">
        <f t="shared" si="0"/>
        <v>-45.126416161490361</v>
      </c>
      <c r="F36">
        <f>'Bias Network'!H37</f>
        <v>7.658081477162214E-3</v>
      </c>
      <c r="G36">
        <f>'Bias Network'!K37</f>
        <v>-6.020695116045772</v>
      </c>
    </row>
    <row r="37" spans="1:7" x14ac:dyDescent="0.25">
      <c r="A37">
        <f>'Input Stage'!H38</f>
        <v>5.1622285063609032E-2</v>
      </c>
      <c r="B37">
        <f>'Input Stage'!K38</f>
        <v>-45.697375449724156</v>
      </c>
      <c r="C37">
        <f>'NI AC Coupled Amp'!K38</f>
        <v>1.0540884078693604</v>
      </c>
      <c r="D37">
        <f t="shared" si="0"/>
        <v>-44.643287041854798</v>
      </c>
      <c r="F37">
        <f>'Bias Network'!H38</f>
        <v>8.0189957380363535E-3</v>
      </c>
      <c r="G37">
        <f>'Bias Network'!K38</f>
        <v>-6.0207043009265417</v>
      </c>
    </row>
    <row r="38" spans="1:7" x14ac:dyDescent="0.25">
      <c r="A38">
        <f>'Input Stage'!H39</f>
        <v>5.4055168405726557E-2</v>
      </c>
      <c r="B38">
        <f>'Input Stage'!K39</f>
        <v>-45.297386734043727</v>
      </c>
      <c r="C38">
        <f>'NI AC Coupled Amp'!K39</f>
        <v>1.143455663659064</v>
      </c>
      <c r="D38">
        <f t="shared" si="0"/>
        <v>-44.153931070384665</v>
      </c>
      <c r="F38">
        <f>'Bias Network'!H39</f>
        <v>8.3969193639963583E-3</v>
      </c>
      <c r="G38">
        <f>'Bias Network'!K39</f>
        <v>-6.0207143719257026</v>
      </c>
    </row>
    <row r="39" spans="1:7" x14ac:dyDescent="0.25">
      <c r="A39">
        <f>'Input Stage'!H40</f>
        <v>5.6602710007335348E-2</v>
      </c>
      <c r="B39">
        <f>'Input Stage'!K40</f>
        <v>-44.897399107020377</v>
      </c>
      <c r="C39">
        <f>'NI AC Coupled Amp'!K40</f>
        <v>1.2393759604687486</v>
      </c>
      <c r="D39">
        <f t="shared" si="0"/>
        <v>-43.658023146551628</v>
      </c>
      <c r="F39">
        <f>'Bias Network'!H40</f>
        <v>8.7926539817219963E-3</v>
      </c>
      <c r="G39">
        <f>'Bias Network'!K40</f>
        <v>-6.0207254145298421</v>
      </c>
    </row>
    <row r="40" spans="1:7" x14ac:dyDescent="0.25">
      <c r="A40">
        <f>'Input Stage'!H41</f>
        <v>5.9270313545727121E-2</v>
      </c>
      <c r="B40">
        <f>'Input Stage'!K41</f>
        <v>-44.497412673679015</v>
      </c>
      <c r="C40">
        <f>'NI AC Coupled Amp'!K41</f>
        <v>1.3421706923140533</v>
      </c>
      <c r="D40">
        <f t="shared" si="0"/>
        <v>-43.155241981364959</v>
      </c>
      <c r="F40">
        <f>'Bias Network'!H41</f>
        <v>9.2070389973945045E-3</v>
      </c>
      <c r="G40">
        <f>'Bias Network'!K41</f>
        <v>-6.020737522472257</v>
      </c>
    </row>
    <row r="41" spans="1:7" x14ac:dyDescent="0.25">
      <c r="A41">
        <f>'Input Stage'!H42</f>
        <v>6.2063637365658793E-2</v>
      </c>
      <c r="B41">
        <f>'Input Stage'!K42</f>
        <v>-44.097427549175691</v>
      </c>
      <c r="C41">
        <f>'NI AC Coupled Amp'!K42</f>
        <v>1.4521542169545187</v>
      </c>
      <c r="D41">
        <f t="shared" si="0"/>
        <v>-42.645273332221173</v>
      </c>
      <c r="F41">
        <f>'Bias Network'!H42</f>
        <v>9.6409533771897159E-3</v>
      </c>
      <c r="G41">
        <f>'Bias Network'!K42</f>
        <v>-6.0207507985283204</v>
      </c>
    </row>
    <row r="42" spans="1:7" x14ac:dyDescent="0.25">
      <c r="A42">
        <f>'Input Stage'!H43</f>
        <v>6.4988606481459835E-2</v>
      </c>
      <c r="B42">
        <f>'Input Stage'!K43</f>
        <v>-43.6974438597749</v>
      </c>
      <c r="C42">
        <f>'NI AC Coupled Amp'!K43</f>
        <v>1.5696304178899219</v>
      </c>
      <c r="D42">
        <f t="shared" si="0"/>
        <v>-42.127813441884982</v>
      </c>
      <c r="F42">
        <f>'Bias Network'!H43</f>
        <v>1.0095317511683081E-2</v>
      </c>
      <c r="G42">
        <f>'Bias Network'!K43</f>
        <v>-6.0207653553876614</v>
      </c>
    </row>
    <row r="43" spans="1:7" x14ac:dyDescent="0.25">
      <c r="A43">
        <f>'Input Stage'!H44</f>
        <v>6.8051425144782351E-2</v>
      </c>
      <c r="B43">
        <f>'Input Stage'!K44</f>
        <v>-43.297461743920842</v>
      </c>
      <c r="C43">
        <f>'NI AC Coupled Amp'!K44</f>
        <v>1.6948891225703728</v>
      </c>
      <c r="D43">
        <f t="shared" si="0"/>
        <v>-41.602572621350468</v>
      </c>
      <c r="F43">
        <f>'Bias Network'!H44</f>
        <v>1.0571095168121531E-2</v>
      </c>
      <c r="G43">
        <f>'Bias Network'!K44</f>
        <v>-6.0207813166104707</v>
      </c>
    </row>
    <row r="44" spans="1:7" x14ac:dyDescent="0.25">
      <c r="A44">
        <f>'Input Stage'!H45</f>
        <v>7.1258590004650416E-2</v>
      </c>
      <c r="B44">
        <f>'Input Stage'!K45</f>
        <v>-42.89748135341231</v>
      </c>
      <c r="C44">
        <f>'NI AC Coupled Amp'!K45</f>
        <v>1.8282024496556648</v>
      </c>
      <c r="D44">
        <f t="shared" si="0"/>
        <v>-41.069278903756647</v>
      </c>
      <c r="F44">
        <f>'Bias Network'!H45</f>
        <v>1.1069295534702976E-2</v>
      </c>
      <c r="G44">
        <f>'Bias Network'!K45</f>
        <v>-6.0207988176758196</v>
      </c>
    </row>
    <row r="45" spans="1:7" x14ac:dyDescent="0.25">
      <c r="A45">
        <f>'Input Stage'!H46</f>
        <v>7.4616903887723907E-2</v>
      </c>
      <c r="B45">
        <f>'Input Stage'!K46</f>
        <v>-42.497502854690381</v>
      </c>
      <c r="C45">
        <f>'NI AC Coupled Amp'!K46</f>
        <v>1.9698211691114449</v>
      </c>
      <c r="D45">
        <f t="shared" si="0"/>
        <v>-40.527681685578933</v>
      </c>
      <c r="F45">
        <f>'Bias Network'!H46</f>
        <v>1.159097536119983E-2</v>
      </c>
      <c r="G45">
        <f>'Bias Network'!K46</f>
        <v>-6.0208180071313491</v>
      </c>
    </row>
    <row r="46" spans="1:7" x14ac:dyDescent="0.25">
      <c r="A46">
        <f>'Input Stage'!H47</f>
        <v>7.813349022800585E-2</v>
      </c>
      <c r="B46">
        <f>'Input Stage'!K47</f>
        <v>-42.097526430250618</v>
      </c>
      <c r="C46">
        <f>'NI AC Coupled Amp'!K47</f>
        <v>2.1199711673508563</v>
      </c>
      <c r="D46">
        <f t="shared" si="0"/>
        <v>-39.977555262899763</v>
      </c>
      <c r="F46">
        <f>'Bias Network'!H47</f>
        <v>1.2137241200466928E-2</v>
      </c>
      <c r="G46">
        <f>'Bias Network'!K47</f>
        <v>-6.0208390478534692</v>
      </c>
    </row>
    <row r="47" spans="1:7" x14ac:dyDescent="0.25">
      <c r="A47">
        <f>'Input Stage'!H48</f>
        <v>8.1815808176600974E-2</v>
      </c>
      <c r="B47">
        <f>'Input Stage'!K48</f>
        <v>-41.697552280191275</v>
      </c>
      <c r="C47">
        <f>'NI AC Coupled Amp'!K48</f>
        <v>2.2788501146687237</v>
      </c>
      <c r="D47">
        <f t="shared" si="0"/>
        <v>-39.418702165522554</v>
      </c>
      <c r="F47">
        <f>'Bias Network'!H48</f>
        <v>1.2709251755588499E-2</v>
      </c>
      <c r="G47">
        <f>'Bias Network'!K48</f>
        <v>-6.0208621184293252</v>
      </c>
    </row>
    <row r="48" spans="1:7" x14ac:dyDescent="0.25">
      <c r="A48">
        <f>'Input Stage'!H49</f>
        <v>8.567166842357507E-2</v>
      </c>
      <c r="B48">
        <f>'Input Stage'!K49</f>
        <v>-41.297580623910761</v>
      </c>
      <c r="C48">
        <f>'NI AC Coupled Amp'!K49</f>
        <v>2.4466244331397737</v>
      </c>
      <c r="D48">
        <f t="shared" si="0"/>
        <v>-38.850956190770987</v>
      </c>
      <c r="F48">
        <f>'Bias Network'!H49</f>
        <v>1.3308220337642729E-2</v>
      </c>
      <c r="G48">
        <f>'Bias Network'!K49</f>
        <v>-6.0208874146718916</v>
      </c>
    </row>
    <row r="49" spans="1:7" x14ac:dyDescent="0.25">
      <c r="A49">
        <f>'Input Stage'!H50</f>
        <v>8.9709249765476257E-2</v>
      </c>
      <c r="B49">
        <f>'Input Stage'!K50</f>
        <v>-40.897611701968543</v>
      </c>
      <c r="C49">
        <f>'NI AC Coupled Amp'!K50</f>
        <v>2.6234266594679267</v>
      </c>
      <c r="D49">
        <f t="shared" si="0"/>
        <v>-38.274185042500619</v>
      </c>
      <c r="F49">
        <f>'Bias Network'!H50</f>
        <v>1.3935417439297283E-2</v>
      </c>
      <c r="G49">
        <f>'Bias Network'!K50</f>
        <v>-6.0209151512809385</v>
      </c>
    </row>
    <row r="50" spans="1:7" x14ac:dyDescent="0.25">
      <c r="A50">
        <f>'Input Stage'!H51</f>
        <v>9.3937116453658612E-2</v>
      </c>
      <c r="B50">
        <f>'Input Stage'!K51</f>
        <v>-40.497645778125673</v>
      </c>
      <c r="C50">
        <f>'NI AC Coupled Amp'!K51</f>
        <v>2.8093532887760109</v>
      </c>
      <c r="D50">
        <f t="shared" si="0"/>
        <v>-37.688292489349664</v>
      </c>
      <c r="F50">
        <f>'Bias Network'!H51</f>
        <v>1.4592173429694542E-2</v>
      </c>
      <c r="G50">
        <f>'Bias Network'!K51</f>
        <v>-6.0209455636643936</v>
      </c>
    </row>
    <row r="51" spans="1:7" x14ac:dyDescent="0.25">
      <c r="A51">
        <f>'Input Stage'!H52</f>
        <v>9.8364236360207885E-2</v>
      </c>
      <c r="B51">
        <f>'Input Stage'!K52</f>
        <v>-40.097683141581655</v>
      </c>
      <c r="C51">
        <f>'NI AC Coupled Amp'!K52</f>
        <v>3.0044631721671622</v>
      </c>
      <c r="D51">
        <f t="shared" si="0"/>
        <v>-37.093219969414491</v>
      </c>
      <c r="F51">
        <f>'Bias Network'!H52</f>
        <v>1.5279881376342973E-2</v>
      </c>
      <c r="G51">
        <f>'Bias Network'!K52</f>
        <v>-6.0209789099349695</v>
      </c>
    </row>
    <row r="52" spans="1:7" x14ac:dyDescent="0.25">
      <c r="A52">
        <f>'Input Stage'!H53</f>
        <v>0.10300000000000001</v>
      </c>
      <c r="B52">
        <f>'Input Stage'!K53</f>
        <v>-39.697724109427021</v>
      </c>
      <c r="C52">
        <f>'NI AC Coupled Amp'!K53</f>
        <v>3.2087765235939099</v>
      </c>
      <c r="D52">
        <f t="shared" si="0"/>
        <v>-36.48894758583311</v>
      </c>
      <c r="F52">
        <f>'Bias Network'!H53</f>
        <v>1.6E-2</v>
      </c>
      <c r="G52">
        <f>'Bias Network'!K53</f>
        <v>-6.0210154730992969</v>
      </c>
    </row>
    <row r="53" spans="1:7" x14ac:dyDescent="0.25">
      <c r="A53">
        <f>'Input Stage'!H54</f>
        <v>0.10785424044924259</v>
      </c>
      <c r="B53">
        <f>'Input Stage'!K54</f>
        <v>-39.29776902933208</v>
      </c>
      <c r="C53">
        <f>'NI AC Coupled Amp'!K54</f>
        <v>3.4222745710093965</v>
      </c>
      <c r="D53">
        <f t="shared" si="0"/>
        <v>-35.875494458322684</v>
      </c>
      <c r="F53">
        <f>'Bias Network'!H54</f>
        <v>1.6754056768814383E-2</v>
      </c>
      <c r="G53">
        <f>'Bias Network'!K54</f>
        <v>-6.0210555634579634</v>
      </c>
    </row>
    <row r="54" spans="1:7" x14ac:dyDescent="0.25">
      <c r="A54">
        <f>'Input Stage'!H55</f>
        <v>0.11293725420274807</v>
      </c>
      <c r="B54">
        <f>'Input Stage'!K55</f>
        <v>-38.897818282494477</v>
      </c>
      <c r="C54">
        <f>'NI AC Coupled Amp'!K55</f>
        <v>3.6448998641135439</v>
      </c>
      <c r="D54">
        <f t="shared" si="0"/>
        <v>-35.252918418380929</v>
      </c>
      <c r="F54">
        <f>'Bias Network'!H55</f>
        <v>1.7543651138290962E-2</v>
      </c>
      <c r="G54">
        <f>'Bias Network'!K55</f>
        <v>-6.0210995212367555</v>
      </c>
    </row>
    <row r="55" spans="1:7" x14ac:dyDescent="0.25">
      <c r="A55">
        <f>'Input Stage'!H56</f>
        <v>0.11825982301417892</v>
      </c>
      <c r="B55">
        <f>'Input Stage'!K56</f>
        <v>-38.497872286871043</v>
      </c>
      <c r="C55">
        <f>'NI AC Coupled Amp'!K56</f>
        <v>3.8765572275953666</v>
      </c>
      <c r="D55">
        <f t="shared" si="0"/>
        <v>-34.621315059275673</v>
      </c>
      <c r="F55">
        <f>'Bias Network'!H56</f>
        <v>1.8370457943950123E-2</v>
      </c>
      <c r="G55">
        <f>'Bias Network'!K56</f>
        <v>-6.0211477194713829</v>
      </c>
    </row>
    <row r="56" spans="1:7" x14ac:dyDescent="0.25">
      <c r="A56">
        <f>'Input Stage'!H57</f>
        <v>0.12383323676559349</v>
      </c>
      <c r="B56">
        <f>'Input Stage'!K57</f>
        <v>-38.09793150072079</v>
      </c>
      <c r="C56">
        <f>'NI AC Coupled Amp'!K57</f>
        <v>4.117115326033451</v>
      </c>
      <c r="D56">
        <f t="shared" si="0"/>
        <v>-33.980816174687341</v>
      </c>
      <c r="F56">
        <f>'Bias Network'!H57</f>
        <v>1.9236230953878601E-2</v>
      </c>
      <c r="G56">
        <f>'Bias Network'!K57</f>
        <v>-6.0212005671699478</v>
      </c>
    </row>
    <row r="57" spans="1:7" x14ac:dyDescent="0.25">
      <c r="A57">
        <f>'Input Stage'!H58</f>
        <v>0.12966931741479915</v>
      </c>
      <c r="B57">
        <f>'Input Stage'!K58</f>
        <v>-37.697996426487855</v>
      </c>
      <c r="C57">
        <f>'NI AC Coupled Amp'!K58</f>
        <v>4.3664087859081295</v>
      </c>
      <c r="D57">
        <f t="shared" si="0"/>
        <v>-33.331587640579727</v>
      </c>
      <c r="F57">
        <f>'Bias Network'!H58</f>
        <v>2.0142806588706666E-2</v>
      </c>
      <c r="G57">
        <f>'Bias Network'!K58</f>
        <v>-6.0212585127799869</v>
      </c>
    </row>
    <row r="58" spans="1:7" x14ac:dyDescent="0.25">
      <c r="A58">
        <f>'Input Stage'!H59</f>
        <v>0.13578044407130999</v>
      </c>
      <c r="B58">
        <f>'Input Stage'!K59</f>
        <v>-37.29806761506034</v>
      </c>
      <c r="C58">
        <f>'NI AC Coupled Amp'!K59</f>
        <v>4.6242408026833006</v>
      </c>
      <c r="D58">
        <f t="shared" si="0"/>
        <v>-32.673826812377037</v>
      </c>
      <c r="F58">
        <f>'Bias Network'!H59</f>
        <v>2.109210781690252E-2</v>
      </c>
      <c r="G58">
        <f>'Bias Network'!K59</f>
        <v>-6.0213220479893614</v>
      </c>
    </row>
    <row r="59" spans="1:7" x14ac:dyDescent="0.25">
      <c r="A59">
        <f>'Input Stage'!H60</f>
        <v>0.14217957925409702</v>
      </c>
      <c r="B59">
        <f>'Input Stage'!K60</f>
        <v>-36.898145670436655</v>
      </c>
      <c r="C59">
        <f>'NI AC Coupled Amp'!K60</f>
        <v>4.8903861475103181</v>
      </c>
      <c r="D59">
        <f t="shared" si="0"/>
        <v>-32.007759522926335</v>
      </c>
      <c r="F59">
        <f>'Bias Network'!H60</f>
        <v>2.2086148233646141E-2</v>
      </c>
      <c r="G59">
        <f>'Bias Network'!K60</f>
        <v>-6.0213917118928162</v>
      </c>
    </row>
    <row r="60" spans="1:7" x14ac:dyDescent="0.25">
      <c r="A60">
        <f>'Input Stage'!H61</f>
        <v>0.14888029638683051</v>
      </c>
      <c r="B60">
        <f>'Input Stage'!K61</f>
        <v>-36.498231254842523</v>
      </c>
      <c r="C60">
        <f>'NI AC Coupled Amp'!K61</f>
        <v>5.1645944793524201</v>
      </c>
      <c r="D60">
        <f t="shared" si="0"/>
        <v>-31.333636775490103</v>
      </c>
      <c r="F60">
        <f>'Bias Network'!H61</f>
        <v>2.3127036331934837E-2</v>
      </c>
      <c r="G60">
        <f>'Bias Network'!K61</f>
        <v>-6.0214680955596656</v>
      </c>
    </row>
    <row r="61" spans="1:7" x14ac:dyDescent="0.25">
      <c r="A61">
        <f>'Input Stage'!H62</f>
        <v>0.1558968085889294</v>
      </c>
      <c r="B61">
        <f>'Input Stage'!K62</f>
        <v>-36.098325094338946</v>
      </c>
      <c r="C61">
        <f>'NI AC Coupled Amp'!K62</f>
        <v>5.4465938643777667</v>
      </c>
      <c r="D61">
        <f t="shared" si="0"/>
        <v>-30.651731229961179</v>
      </c>
      <c r="F61">
        <f>'Bias Network'!H62</f>
        <v>2.4216979974979323E-2</v>
      </c>
      <c r="G61">
        <f>'Bias Network'!K62</f>
        <v>-6.0215518470408194</v>
      </c>
    </row>
    <row r="62" spans="1:7" x14ac:dyDescent="0.25">
      <c r="A62">
        <f>'Input Stage'!H63</f>
        <v>0.16324399882349458</v>
      </c>
      <c r="B62">
        <f>'Input Stage'!K63</f>
        <v>-35.698427984970344</v>
      </c>
      <c r="C62">
        <f>'NI AC Coupled Amp'!K63</f>
        <v>5.7360944051560967</v>
      </c>
      <c r="D62">
        <f t="shared" si="0"/>
        <v>-29.962333579814249</v>
      </c>
      <c r="F62">
        <f>'Bias Network'!H63</f>
        <v>2.5358291079377801E-2</v>
      </c>
      <c r="G62">
        <f>'Bias Network'!K63</f>
        <v>-6.021643676857483</v>
      </c>
    </row>
    <row r="63" spans="1:7" x14ac:dyDescent="0.25">
      <c r="A63">
        <f>'Input Stage'!H64</f>
        <v>0.17093745146606862</v>
      </c>
      <c r="B63">
        <f>'Input Stage'!K64</f>
        <v>-35.298540799502476</v>
      </c>
      <c r="C63">
        <f>'NI AC Coupled Amp'!K64</f>
        <v>6.0327918870195409</v>
      </c>
      <c r="D63">
        <f t="shared" si="0"/>
        <v>-29.265748912482934</v>
      </c>
      <c r="F63">
        <f>'Bias Network'!H64</f>
        <v>2.6553390519000949E-2</v>
      </c>
      <c r="G63">
        <f>'Bias Network'!K64</f>
        <v>-6.0217443640175308</v>
      </c>
    </row>
    <row r="64" spans="1:7" x14ac:dyDescent="0.25">
      <c r="A64">
        <f>'Input Stage'!H65</f>
        <v>0.1789934853611857</v>
      </c>
      <c r="B64">
        <f>'Input Stage'!K65</f>
        <v>-34.898664494809132</v>
      </c>
      <c r="C64">
        <f>'NI AC Coupled Amp'!K65</f>
        <v>6.3363713572045182</v>
      </c>
      <c r="D64">
        <f t="shared" si="0"/>
        <v>-28.562293137604613</v>
      </c>
      <c r="F64">
        <f>'Bias Network'!H65</f>
        <v>2.780481325999001E-2</v>
      </c>
      <c r="G64">
        <f>'Bias Network'!K65</f>
        <v>-6.0218547626102037</v>
      </c>
    </row>
    <row r="65" spans="1:7" x14ac:dyDescent="0.25">
      <c r="A65">
        <f>'Input Stage'!H66</f>
        <v>0.18742918843682826</v>
      </c>
      <c r="B65">
        <f>'Input Stage'!K66</f>
        <v>-34.49880011996661</v>
      </c>
      <c r="C65">
        <f>'NI AC Coupled Amp'!K66</f>
        <v>6.6465105632264656</v>
      </c>
      <c r="D65">
        <f t="shared" si="0"/>
        <v>-27.852289556740146</v>
      </c>
      <c r="F65">
        <f>'Bias Network'!H66</f>
        <v>2.9115213737759729E-2</v>
      </c>
      <c r="G65">
        <f>'Bias Network'!K66</f>
        <v>-6.0219758090344699</v>
      </c>
    </row>
    <row r="66" spans="1:7" x14ac:dyDescent="0.25">
      <c r="A66">
        <f>'Input Stage'!H67</f>
        <v>0.19626245395021438</v>
      </c>
      <c r="B66">
        <f>'Input Stage'!K67</f>
        <v>-34.098948825126676</v>
      </c>
      <c r="C66">
        <f>'NI AC Coupled Amp'!K67</f>
        <v>6.962883189443402</v>
      </c>
      <c r="D66">
        <f t="shared" si="0"/>
        <v>-27.136065635683273</v>
      </c>
      <c r="F66">
        <f>'Bias Network'!H67</f>
        <v>3.0487371487411943E-2</v>
      </c>
      <c r="G66">
        <f>'Bias Network'!K67</f>
        <v>-6.0221085299217894</v>
      </c>
    </row>
    <row r="67" spans="1:7" x14ac:dyDescent="0.25">
      <c r="A67">
        <f>'Input Stage'!H68</f>
        <v>0.20551201844179456</v>
      </c>
      <c r="B67">
        <f>'Input Stage'!K68</f>
        <v>-33.699111871240298</v>
      </c>
      <c r="C67">
        <f>'NI AC Coupled Amp'!K68</f>
        <v>7.2851618440638068</v>
      </c>
      <c r="D67">
        <f t="shared" ref="D67:D130" si="1">B67+C67</f>
        <v>-26.41395002717649</v>
      </c>
      <c r="F67">
        <f>'Bias Network'!H68</f>
        <v>3.192419703950207E-2</v>
      </c>
      <c r="G67">
        <f>'Bias Network'!K68</f>
        <v>-6.0222540508192353</v>
      </c>
    </row>
    <row r="68" spans="1:7" x14ac:dyDescent="0.25">
      <c r="A68">
        <f>'Input Stage'!H69</f>
        <v>0.21519750147796599</v>
      </c>
      <c r="B68">
        <f>'Input Stage'!K69</f>
        <v>-33.299290640713551</v>
      </c>
      <c r="C68">
        <f>'NI AC Coupled Amp'!K69</f>
        <v>7.6130207621669719</v>
      </c>
      <c r="D68">
        <f t="shared" si="1"/>
        <v>-25.686269878546579</v>
      </c>
      <c r="F68">
        <f>'Bias Network'!H69</f>
        <v>3.3428738093664617E-2</v>
      </c>
      <c r="G68">
        <f>'Bias Network'!K69</f>
        <v>-6.0224136057061983</v>
      </c>
    </row>
    <row r="69" spans="1:7" x14ac:dyDescent="0.25">
      <c r="A69">
        <f>'Input Stage'!H70</f>
        <v>0.22533944726680391</v>
      </c>
      <c r="B69">
        <f>'Input Stage'!K70</f>
        <v>-32.899486649085581</v>
      </c>
      <c r="C69">
        <f>'NI AC Coupled Amp'!K70</f>
        <v>7.9461382029623397</v>
      </c>
      <c r="D69">
        <f t="shared" si="1"/>
        <v>-24.953348446123243</v>
      </c>
      <c r="F69">
        <f>'Bias Network'!H70</f>
        <v>3.500418598319284E-2</v>
      </c>
      <c r="G69">
        <f>'Bias Network'!K70</f>
        <v>-6.0225885474236467</v>
      </c>
    </row>
    <row r="70" spans="1:7" x14ac:dyDescent="0.25">
      <c r="A70">
        <f>'Input Stage'!H71</f>
        <v>0.23595936823508057</v>
      </c>
      <c r="B70">
        <f>'Input Stage'!K71</f>
        <v>-32.499701557824487</v>
      </c>
      <c r="C70">
        <f>'NI AC Coupled Amp'!K71</f>
        <v>8.2841985310398698</v>
      </c>
      <c r="D70">
        <f t="shared" si="1"/>
        <v>-24.215503026784617</v>
      </c>
      <c r="F70">
        <f>'Bias Network'!H71</f>
        <v>3.6653882444284358E-2</v>
      </c>
      <c r="G70">
        <f>'Bias Network'!K71</f>
        <v>-6.0227803591031792</v>
      </c>
    </row>
    <row r="71" spans="1:7" x14ac:dyDescent="0.25">
      <c r="A71">
        <f>'Input Stage'!H72</f>
        <v>0.24707979065900743</v>
      </c>
      <c r="B71">
        <f>'Input Stage'!K72</f>
        <v>-32.099937188348392</v>
      </c>
      <c r="C71">
        <f>'NI AC Coupled Amp'!K72</f>
        <v>8.6268939813973784</v>
      </c>
      <c r="D71">
        <f t="shared" si="1"/>
        <v>-23.473043206951012</v>
      </c>
      <c r="F71">
        <f>'Bias Network'!H72</f>
        <v>3.8381326704311831E-2</v>
      </c>
      <c r="G71">
        <f>'Bias Network'!K72</f>
        <v>-6.0229906666910065</v>
      </c>
    </row>
    <row r="72" spans="1:7" x14ac:dyDescent="0.25">
      <c r="A72">
        <f>'Input Stage'!H73</f>
        <v>0.25872430244548655</v>
      </c>
      <c r="B72">
        <f>'Input Stage'!K73</f>
        <v>-31.700195537386996</v>
      </c>
      <c r="C72">
        <f>'NI AC Coupled Amp'!K73</f>
        <v>8.9739261164013424</v>
      </c>
      <c r="D72">
        <f t="shared" si="1"/>
        <v>-22.726269420985652</v>
      </c>
      <c r="F72">
        <f>'Bias Network'!H73</f>
        <v>4.019018290415325E-2</v>
      </c>
      <c r="G72">
        <f>'Bias Network'!K73</f>
        <v>-6.0232212526707478</v>
      </c>
    </row>
    <row r="73" spans="1:7" x14ac:dyDescent="0.25">
      <c r="A73">
        <f>'Input Stage'!H74</f>
        <v>0.27091760316522423</v>
      </c>
      <c r="B73">
        <f>'Input Stage'!K74</f>
        <v>-31.30047879381193</v>
      </c>
      <c r="C73">
        <f>'NI AC Coupled Amp'!K74</f>
        <v>9.3250069894757601</v>
      </c>
      <c r="D73">
        <f t="shared" si="1"/>
        <v>-21.97547180433617</v>
      </c>
      <c r="F73">
        <f>'Bias Network'!H74</f>
        <v>4.2084287870326087E-2</v>
      </c>
      <c r="G73">
        <f>'Bias Network'!K74</f>
        <v>-6.0234740710991144</v>
      </c>
    </row>
    <row r="74" spans="1:7" x14ac:dyDescent="0.25">
      <c r="A74">
        <f>'Input Stage'!H75</f>
        <v>0.28368555644383098</v>
      </c>
      <c r="B74">
        <f>'Input Stage'!K75</f>
        <v>-30.900789357073144</v>
      </c>
      <c r="C74">
        <f>'NI AC Coupled Amp'!K75</f>
        <v>9.6798600352752455</v>
      </c>
      <c r="D74">
        <f t="shared" si="1"/>
        <v>-21.220929321797897</v>
      </c>
      <c r="F74">
        <f>'Bias Network'!H75</f>
        <v>4.4067659253410635E-2</v>
      </c>
      <c r="G74">
        <f>'Bias Network'!K75</f>
        <v>-6.0237512640786086</v>
      </c>
    </row>
    <row r="75" spans="1:7" x14ac:dyDescent="0.25">
      <c r="A75">
        <f>'Input Stage'!H76</f>
        <v>0.29705524482204032</v>
      </c>
      <c r="B75">
        <f>'Input Stage'!K76</f>
        <v>-30.501129857393838</v>
      </c>
      <c r="C75">
        <f>'NI AC Coupled Amp'!K76</f>
        <v>10.038220709503562</v>
      </c>
      <c r="D75">
        <f t="shared" si="1"/>
        <v>-20.462909147890276</v>
      </c>
      <c r="F75">
        <f>'Bias Network'!H76</f>
        <v>4.6144504050025681E-2</v>
      </c>
      <c r="G75">
        <f>'Bias Network'!K76</f>
        <v>-6.0240551798032982</v>
      </c>
    </row>
    <row r="76" spans="1:7" x14ac:dyDescent="0.25">
      <c r="A76">
        <f>'Input Stage'!H77</f>
        <v>0.31105502720140754</v>
      </c>
      <c r="B76">
        <f>'Input Stage'!K77</f>
        <v>-30.101503177889917</v>
      </c>
      <c r="C76">
        <f>'NI AC Coupled Amp'!K77</f>
        <v>10.399836903564294</v>
      </c>
      <c r="D76">
        <f t="shared" si="1"/>
        <v>-19.701666274325625</v>
      </c>
      <c r="F76">
        <f>'Bias Network'!H77</f>
        <v>4.8319227526432237E-2</v>
      </c>
      <c r="G76">
        <f>'Bias Network'!K77</f>
        <v>-6.0243883923261512</v>
      </c>
    </row>
    <row r="77" spans="1:7" x14ac:dyDescent="0.25">
      <c r="A77">
        <f>'Input Stage'!H78</f>
        <v>0.32571459899734301</v>
      </c>
      <c r="B77">
        <f>'Input Stage'!K78</f>
        <v>-29.701912478793268</v>
      </c>
      <c r="C77">
        <f>'NI AC Coupled Amp'!K78</f>
        <v>10.764469160089078</v>
      </c>
      <c r="D77">
        <f t="shared" si="1"/>
        <v>-18.93744331870419</v>
      </c>
      <c r="F77">
        <f>'Bias Network'!H78</f>
        <v>5.0596442562694056E-2</v>
      </c>
      <c r="G77">
        <f>'Bias Network'!K78</f>
        <v>-6.0247537232100079</v>
      </c>
    </row>
    <row r="78" spans="1:7" x14ac:dyDescent="0.25">
      <c r="A78">
        <f>'Input Stage'!H79</f>
        <v>0.34106505512706881</v>
      </c>
      <c r="B78">
        <f>'Input Stage'!K79</f>
        <v>-29.302361223977424</v>
      </c>
      <c r="C78">
        <f>'NI AC Coupled Amp'!K79</f>
        <v>11.131890715282697</v>
      </c>
      <c r="D78">
        <f t="shared" si="1"/>
        <v>-18.170470508694727</v>
      </c>
      <c r="F78">
        <f>'Bias Network'!H79</f>
        <v>5.2980979437214575E-2</v>
      </c>
      <c r="G78">
        <f>'Bias Network'!K79</f>
        <v>-6.0251542652394026</v>
      </c>
    </row>
    <row r="79" spans="1:7" x14ac:dyDescent="0.25">
      <c r="A79">
        <f>'Input Stage'!H80</f>
        <v>0.35713895596610756</v>
      </c>
      <c r="B79">
        <f>'Input Stage'!K80</f>
        <v>-28.902853209999613</v>
      </c>
      <c r="C79">
        <f>'NI AC Coupled Amp'!K80</f>
        <v>11.501887393175904</v>
      </c>
      <c r="D79">
        <f t="shared" si="1"/>
        <v>-17.400965816823707</v>
      </c>
      <c r="F79">
        <f>'Bias Network'!H80</f>
        <v>5.5477896072405053E-2</v>
      </c>
      <c r="G79">
        <f>'Bias Network'!K80</f>
        <v>-6.0255934083862126</v>
      </c>
    </row>
    <row r="80" spans="1:7" x14ac:dyDescent="0.25">
      <c r="A80">
        <f>'Input Stage'!H81</f>
        <v>0.3739703964132044</v>
      </c>
      <c r="B80">
        <f>'Input Stage'!K81</f>
        <v>-28.503392597894276</v>
      </c>
      <c r="C80">
        <f>'NI AC Coupled Amp'!K81</f>
        <v>11.874257375469334</v>
      </c>
      <c r="D80">
        <f t="shared" si="1"/>
        <v>-16.629135222424942</v>
      </c>
      <c r="F80">
        <f>'Bias Network'!H81</f>
        <v>5.809248876321621E-2</v>
      </c>
      <c r="G80">
        <f>'Bias Network'!K81</f>
        <v>-6.0260748682397853</v>
      </c>
    </row>
    <row r="81" spans="1:7" x14ac:dyDescent="0.25">
      <c r="A81">
        <f>'Input Stage'!H82</f>
        <v>0.39159507821017797</v>
      </c>
      <c r="B81">
        <f>'Input Stage'!K82</f>
        <v>-28.103983947972392</v>
      </c>
      <c r="C81">
        <f>'NI AC Coupled Amp'!K82</f>
        <v>12.248810868863245</v>
      </c>
      <c r="D81">
        <f t="shared" si="1"/>
        <v>-15.855173079109147</v>
      </c>
      <c r="F81">
        <f>'Bias Network'!H82</f>
        <v>6.0830303411289782E-2</v>
      </c>
      <c r="G81">
        <f>'Bias Network'!K82</f>
        <v>-6.0266027171313983</v>
      </c>
    </row>
    <row r="82" spans="1:7" x14ac:dyDescent="0.25">
      <c r="A82">
        <f>'Input Stage'!H83</f>
        <v>0.41005038567010221</v>
      </c>
      <c r="B82">
        <f>'Input Stage'!K83</f>
        <v>-27.704632257905089</v>
      </c>
      <c r="C82">
        <f>'NI AC Coupled Amp'!K83</f>
        <v>12.625369689740593</v>
      </c>
      <c r="D82">
        <f t="shared" si="1"/>
        <v>-15.079262568164497</v>
      </c>
      <c r="F82">
        <f>'Bias Network'!H83</f>
        <v>6.3697147288559561E-2</v>
      </c>
      <c r="G82">
        <f>'Bias Network'!K83</f>
        <v>-6.0271814182027681</v>
      </c>
    </row>
    <row r="83" spans="1:7" x14ac:dyDescent="0.25">
      <c r="A83">
        <f>'Input Stage'!H84</f>
        <v>0.42937546497444545</v>
      </c>
      <c r="B83">
        <f>'Input Stage'!K84</f>
        <v>-27.305343004393372</v>
      </c>
      <c r="C83">
        <f>'NI AC Coupled Amp'!K84</f>
        <v>13.003766783926752</v>
      </c>
      <c r="D83">
        <f t="shared" si="1"/>
        <v>-14.30157622046662</v>
      </c>
      <c r="F83">
        <f>'Bias Network'!H84</f>
        <v>6.6699101355253657E-2</v>
      </c>
      <c r="G83">
        <f>'Bias Network'!K84</f>
        <v>-6.0278158626913907</v>
      </c>
    </row>
    <row r="84" spans="1:7" x14ac:dyDescent="0.25">
      <c r="A84">
        <f>'Input Stage'!H85</f>
        <v>0.44961130720737086</v>
      </c>
      <c r="B84">
        <f>'Input Stage'!K85</f>
        <v>-26.906122188751958</v>
      </c>
      <c r="C84">
        <f>'NI AC Coupled Amp'!K85</f>
        <v>13.383845697083077</v>
      </c>
      <c r="D84">
        <f t="shared" si="1"/>
        <v>-13.522276491668881</v>
      </c>
      <c r="F84">
        <f>'Bias Network'!H85</f>
        <v>6.9842533158426534E-2</v>
      </c>
      <c r="G84">
        <f>'Bias Network'!K85</f>
        <v>-6.0285114107285001</v>
      </c>
    </row>
    <row r="85" spans="1:7" x14ac:dyDescent="0.25">
      <c r="A85">
        <f>'Input Stage'!H86</f>
        <v>0.47080083530332106</v>
      </c>
      <c r="B85">
        <f>'Input Stage'!K86</f>
        <v>-26.506976386764642</v>
      </c>
      <c r="C85">
        <f>'NI AC Coupled Amp'!K86</f>
        <v>13.765460009174227</v>
      </c>
      <c r="D85">
        <f t="shared" si="1"/>
        <v>-12.741516377590415</v>
      </c>
      <c r="F85">
        <f>'Bias Network'!H86</f>
        <v>7.3134110338379965E-2</v>
      </c>
      <c r="G85">
        <f>'Bias Network'!K86</f>
        <v>-6.0292739359719105</v>
      </c>
    </row>
    <row r="86" spans="1:7" x14ac:dyDescent="0.25">
      <c r="A86">
        <f>'Input Stage'!H87</f>
        <v>0.49298899509231742</v>
      </c>
      <c r="B86">
        <f>'Input Stage'!K87</f>
        <v>-26.107912803196246</v>
      </c>
      <c r="C86">
        <f>'NI AC Coupled Amp'!K87</f>
        <v>14.148472744434951</v>
      </c>
      <c r="D86">
        <f t="shared" si="1"/>
        <v>-11.959440058761295</v>
      </c>
      <c r="F86">
        <f>'Bias Network'!H87</f>
        <v>7.6580814771622124E-2</v>
      </c>
      <c r="G86">
        <f>'Bias Network'!K87</f>
        <v>-6.0301098744232595</v>
      </c>
    </row>
    <row r="87" spans="1:7" x14ac:dyDescent="0.25">
      <c r="A87">
        <f>'Input Stage'!H88</f>
        <v>0.5162228506360903</v>
      </c>
      <c r="B87">
        <f>'Input Stage'!K88</f>
        <v>-25.708939331381934</v>
      </c>
      <c r="C87">
        <f>'NI AC Coupled Amp'!K88</f>
        <v>14.532755766383659</v>
      </c>
      <c r="D87">
        <f t="shared" si="1"/>
        <v>-11.176183564998276</v>
      </c>
      <c r="F87">
        <f>'Bias Network'!H88</f>
        <v>8.0189957380363538E-2</v>
      </c>
      <c r="G87">
        <f>'Bias Network'!K88</f>
        <v>-6.0310262778090014</v>
      </c>
    </row>
    <row r="88" spans="1:7" x14ac:dyDescent="0.25">
      <c r="A88">
        <f>'Input Stage'!H89</f>
        <v>0.54055168405726561</v>
      </c>
      <c r="B88">
        <f>'Input Stage'!K89</f>
        <v>-25.310064618345102</v>
      </c>
      <c r="C88">
        <f>'NI AC Coupled Amp'!K89</f>
        <v>14.918189165711356</v>
      </c>
      <c r="D88">
        <f t="shared" si="1"/>
        <v>-10.391875452633746</v>
      </c>
      <c r="F88">
        <f>'Bias Network'!H89</f>
        <v>8.3969193639963594E-2</v>
      </c>
      <c r="G88">
        <f>'Bias Network'!K89</f>
        <v>-6.0320308719363105</v>
      </c>
    </row>
    <row r="89" spans="1:7" x14ac:dyDescent="0.25">
      <c r="A89">
        <f>'Input Stage'!H90</f>
        <v>0.56602710007335311</v>
      </c>
      <c r="B89">
        <f>'Input Stage'!K90</f>
        <v>-24.911298135935233</v>
      </c>
      <c r="C89">
        <f>'NI AC Coupled Amp'!K90</f>
        <v>15.304660647321711</v>
      </c>
      <c r="D89">
        <f t="shared" si="1"/>
        <v>-9.6066374886135222</v>
      </c>
      <c r="F89">
        <f>'Bias Network'!H90</f>
        <v>8.7926539817219901E-2</v>
      </c>
      <c r="G89">
        <f>'Bias Network'!K90</f>
        <v>-6.0331321204688333</v>
      </c>
    </row>
    <row r="90" spans="1:7" x14ac:dyDescent="0.25">
      <c r="A90">
        <f>'Input Stage'!H91</f>
        <v>0.5927031354572716</v>
      </c>
      <c r="B90">
        <f>'Input Stage'!K91</f>
        <v>-24.512650258512888</v>
      </c>
      <c r="C90">
        <f>'NI AC Coupled Amp'!K91</f>
        <v>15.692064921419167</v>
      </c>
      <c r="D90">
        <f t="shared" si="1"/>
        <v>-8.8205853370937213</v>
      </c>
      <c r="F90">
        <f>'Bias Network'!H91</f>
        <v>9.2070389973945108E-2</v>
      </c>
      <c r="G90">
        <f>'Bias Network'!K91</f>
        <v>-6.0343392946029626</v>
      </c>
    </row>
    <row r="91" spans="1:7" x14ac:dyDescent="0.25">
      <c r="A91">
        <f>'Input Stage'!H92</f>
        <v>0.62063637365658819</v>
      </c>
      <c r="B91">
        <f>'Input Stage'!K92</f>
        <v>-24.114132347750971</v>
      </c>
      <c r="C91">
        <f>'NI AC Coupled Amp'!K92</f>
        <v>16.080303102325825</v>
      </c>
      <c r="D91">
        <f t="shared" si="1"/>
        <v>-8.0338292454251459</v>
      </c>
      <c r="F91">
        <f>'Bias Network'!H92</f>
        <v>9.6409533771897205E-2</v>
      </c>
      <c r="G91">
        <f>'Bias Network'!K92</f>
        <v>-6.0356625491640106</v>
      </c>
    </row>
    <row r="92" spans="1:7" x14ac:dyDescent="0.25">
      <c r="A92">
        <f>'Input Stage'!H93</f>
        <v>0.64988606481459898</v>
      </c>
      <c r="B92">
        <f>'Input Stage'!K93</f>
        <v>-23.715756845163583</v>
      </c>
      <c r="C92">
        <f>'NI AC Coupled Amp'!K93</f>
        <v>16.469282117651268</v>
      </c>
      <c r="D92">
        <f t="shared" si="1"/>
        <v>-7.2464747275123145</v>
      </c>
      <c r="F92">
        <f>'Bias Network'!H93</f>
        <v>0.10095317511683091</v>
      </c>
      <c r="G92">
        <f>'Bias Network'!K93</f>
        <v>-6.0371130056810909</v>
      </c>
    </row>
    <row r="93" spans="1:7" x14ac:dyDescent="0.25">
      <c r="A93">
        <f>'Input Stage'!H94</f>
        <v>0.68051425144782374</v>
      </c>
      <c r="B93">
        <f>'Input Stage'!K94</f>
        <v>-23.317537373018304</v>
      </c>
      <c r="C93">
        <f>'NI AC Coupled Amp'!K94</f>
        <v>16.858914129528728</v>
      </c>
      <c r="D93">
        <f t="shared" si="1"/>
        <v>-6.4586232434895763</v>
      </c>
      <c r="F93">
        <f>'Bias Network'!H94</f>
        <v>0.10571095168121535</v>
      </c>
      <c r="G93">
        <f>'Bias Network'!K94</f>
        <v>-6.0387028430420209</v>
      </c>
    </row>
    <row r="94" spans="1:7" x14ac:dyDescent="0.25">
      <c r="A94">
        <f>'Input Stage'!H95</f>
        <v>0.71258590004650457</v>
      </c>
      <c r="B94">
        <f>'Input Stage'!K95</f>
        <v>-22.919488844332086</v>
      </c>
      <c r="C94">
        <f>'NI AC Coupled Amp'!K95</f>
        <v>17.249115968854102</v>
      </c>
      <c r="D94">
        <f t="shared" si="1"/>
        <v>-5.6703728754779839</v>
      </c>
      <c r="F94">
        <f>'Bias Network'!H95</f>
        <v>0.11069295534702983</v>
      </c>
      <c r="G94">
        <f>'Bias Network'!K95</f>
        <v>-6.0404453963730118</v>
      </c>
    </row>
    <row r="95" spans="1:7" x14ac:dyDescent="0.25">
      <c r="A95">
        <f>'Input Stage'!H96</f>
        <v>0.74616903887723962</v>
      </c>
      <c r="B95">
        <f>'Input Stage'!K96</f>
        <v>-22.521627582699413</v>
      </c>
      <c r="C95">
        <f>'NI AC Coupled Amp'!K96</f>
        <v>17.639808582807067</v>
      </c>
      <c r="D95">
        <f t="shared" si="1"/>
        <v>-4.8818189998923458</v>
      </c>
      <c r="F95">
        <f>'Bias Network'!H96</f>
        <v>0.11590975361199839</v>
      </c>
      <c r="G95">
        <f>'Bias Network'!K96</f>
        <v>-6.042355264833791</v>
      </c>
    </row>
    <row r="96" spans="1:7" x14ac:dyDescent="0.25">
      <c r="A96">
        <f>'Input Stage'!H97</f>
        <v>0.78133490228005908</v>
      </c>
      <c r="B96">
        <f>'Input Stage'!K97</f>
        <v>-22.123971452746506</v>
      </c>
      <c r="C96">
        <f>'NI AC Coupled Amp'!K97</f>
        <v>18.030916495384236</v>
      </c>
      <c r="D96">
        <f t="shared" si="1"/>
        <v>-4.0930549573622699</v>
      </c>
      <c r="F96">
        <f>'Bias Network'!H97</f>
        <v>0.12137241200466937</v>
      </c>
      <c r="G96">
        <f>'Bias Network'!K97</f>
        <v>-6.0444484290642277</v>
      </c>
    </row>
    <row r="97" spans="1:7" x14ac:dyDescent="0.25">
      <c r="A97">
        <f>'Input Stage'!H98</f>
        <v>0.81815808176600946</v>
      </c>
      <c r="B97">
        <f>'Input Stage'!K98</f>
        <v>-21.726540002053728</v>
      </c>
      <c r="C97">
        <f>'NI AC Coupled Amp'!K98</f>
        <v>18.422367280219316</v>
      </c>
      <c r="D97">
        <f t="shared" si="1"/>
        <v>-3.3041727218344121</v>
      </c>
      <c r="F97">
        <f>'Bias Network'!H98</f>
        <v>0.12709251755588497</v>
      </c>
      <c r="G97">
        <f>'Bias Network'!K98</f>
        <v>-6.0467423790665382</v>
      </c>
    </row>
    <row r="98" spans="1:7" x14ac:dyDescent="0.25">
      <c r="A98">
        <f>'Input Stage'!H99</f>
        <v>0.85671668423575098</v>
      </c>
      <c r="B98">
        <f>'Input Stage'!K99</f>
        <v>-21.329354615432475</v>
      </c>
      <c r="C98">
        <f>'NI AC Coupled Amp'!K99</f>
        <v>18.814091044592239</v>
      </c>
      <c r="D98">
        <f t="shared" si="1"/>
        <v>-2.5152635708402364</v>
      </c>
      <c r="F98">
        <f>'Bias Network'!H99</f>
        <v>0.13308220337642734</v>
      </c>
      <c r="G98">
        <f>'Bias Network'!K99</f>
        <v>-6.0492562533532999</v>
      </c>
    </row>
    <row r="99" spans="1:7" x14ac:dyDescent="0.25">
      <c r="A99">
        <f>'Input Stage'!H100</f>
        <v>0.89709249765476262</v>
      </c>
      <c r="B99">
        <f>'Input Stage'!K100</f>
        <v>-20.932438682487803</v>
      </c>
      <c r="C99">
        <f>'NI AC Coupled Amp'!K100</f>
        <v>19.206019923229579</v>
      </c>
      <c r="D99">
        <f t="shared" si="1"/>
        <v>-1.7264187592582232</v>
      </c>
      <c r="F99">
        <f>'Bias Network'!H100</f>
        <v>0.13935417439297282</v>
      </c>
      <c r="G99">
        <f>'Bias Network'!K100</f>
        <v>-6.0520109902376884</v>
      </c>
    </row>
    <row r="100" spans="1:7" x14ac:dyDescent="0.25">
      <c r="A100">
        <f>'Input Stage'!H101</f>
        <v>0.93937116453658676</v>
      </c>
      <c r="B100">
        <f>'Input Stage'!K101</f>
        <v>-20.535817779435924</v>
      </c>
      <c r="C100">
        <f>'NI AC Coupled Amp'!K101</f>
        <v>19.598087580262455</v>
      </c>
      <c r="D100">
        <f t="shared" si="1"/>
        <v>-0.937730199173469</v>
      </c>
      <c r="F100">
        <f>'Bias Network'!H101</f>
        <v>0.14592173429694552</v>
      </c>
      <c r="G100">
        <f>'Bias Network'!K101</f>
        <v>-6.0550294921867582</v>
      </c>
    </row>
    <row r="101" spans="1:7" x14ac:dyDescent="0.25">
      <c r="A101">
        <f>'Input Stage'!H102</f>
        <v>0.9836423636020788</v>
      </c>
      <c r="B101">
        <f>'Input Stage'!K102</f>
        <v>-20.139519866181494</v>
      </c>
      <c r="C101">
        <f>'NI AC Coupled Amp'!K102</f>
        <v>19.990228717525962</v>
      </c>
      <c r="D101">
        <f t="shared" si="1"/>
        <v>-0.14929114865553217</v>
      </c>
      <c r="F101">
        <f>'Bias Network'!H102</f>
        <v>0.15279881376342971</v>
      </c>
      <c r="G101">
        <f>'Bias Network'!K102</f>
        <v>-6.0583368041983965</v>
      </c>
    </row>
    <row r="102" spans="1:7" x14ac:dyDescent="0.25">
      <c r="A102">
        <f>'Input Stage'!H103</f>
        <v>1.03</v>
      </c>
      <c r="B102">
        <f>'Input Stage'!K103</f>
        <v>-19.743575499684816</v>
      </c>
      <c r="C102">
        <f>'NI AC Coupled Amp'!K103</f>
        <v>20.382378587253612</v>
      </c>
      <c r="D102">
        <f t="shared" si="1"/>
        <v>0.638803087568796</v>
      </c>
      <c r="F102">
        <f>'Bias Network'!H103</f>
        <v>0.16000000000000003</v>
      </c>
      <c r="G102">
        <f>'Bias Network'!K103</f>
        <v>-6.0619603071991683</v>
      </c>
    </row>
    <row r="103" spans="1:7" x14ac:dyDescent="0.25">
      <c r="A103">
        <f>'Input Stage'!H104</f>
        <v>1.0785424044924268</v>
      </c>
      <c r="B103">
        <f>'Input Stage'!K104</f>
        <v>-19.348018064666711</v>
      </c>
      <c r="C103">
        <f>'NI AC Coupled Amp'!K104</f>
        <v>20.774472507132785</v>
      </c>
      <c r="D103">
        <f t="shared" si="1"/>
        <v>1.4264544424660741</v>
      </c>
      <c r="F103">
        <f>'Bias Network'!H104</f>
        <v>0.16754056768814396</v>
      </c>
      <c r="G103">
        <f>'Bias Network'!K104</f>
        <v>-6.0659299274880123</v>
      </c>
    </row>
    <row r="104" spans="1:7" x14ac:dyDescent="0.25">
      <c r="A104">
        <f>'Input Stage'!H105</f>
        <v>1.1293725420274805</v>
      </c>
      <c r="B104">
        <f>'Input Stage'!K105</f>
        <v>-18.952884022700577</v>
      </c>
      <c r="C104">
        <f>'NI AC Coupled Amp'!K105</f>
        <v>21.166445375642521</v>
      </c>
      <c r="D104">
        <f t="shared" si="1"/>
        <v>2.2135613529419444</v>
      </c>
      <c r="F104">
        <f>'Bias Network'!H105</f>
        <v>0.17543651138290961</v>
      </c>
      <c r="G104">
        <f>'Bias Network'!K105</f>
        <v>-6.0702783632703294</v>
      </c>
    </row>
    <row r="105" spans="1:7" x14ac:dyDescent="0.25">
      <c r="A105">
        <f>'Input Stage'!H106</f>
        <v>1.1825982301417894</v>
      </c>
      <c r="B105">
        <f>'Input Stage'!K106</f>
        <v>-18.558213180728139</v>
      </c>
      <c r="C105">
        <f>'NI AC Coupled Amp'!K106</f>
        <v>21.558231185589069</v>
      </c>
      <c r="D105">
        <f t="shared" si="1"/>
        <v>3.0000180048609302</v>
      </c>
      <c r="F105">
        <f>'Bias Network'!H106</f>
        <v>0.18370457943950128</v>
      </c>
      <c r="G105">
        <f>'Bias Network'!K106</f>
        <v>-6.0750413293332084</v>
      </c>
    </row>
    <row r="106" spans="1:7" x14ac:dyDescent="0.25">
      <c r="A106">
        <f>'Input Stage'!H107</f>
        <v>1.2383323676559352</v>
      </c>
      <c r="B106">
        <f>'Input Stage'!K107</f>
        <v>-18.164048979999365</v>
      </c>
      <c r="C106">
        <f>'NI AC Coupled Amp'!K107</f>
        <v>21.949762533789347</v>
      </c>
      <c r="D106">
        <f t="shared" si="1"/>
        <v>3.7857135537899822</v>
      </c>
      <c r="F106">
        <f>'Bias Network'!H107</f>
        <v>0.19236230953878608</v>
      </c>
      <c r="G106">
        <f>'Bias Network'!K107</f>
        <v>-6.0802578209028804</v>
      </c>
    </row>
    <row r="107" spans="1:7" x14ac:dyDescent="0.25">
      <c r="A107">
        <f>'Input Stage'!H108</f>
        <v>1.2966931741479919</v>
      </c>
      <c r="B107">
        <f>'Input Stage'!K108</f>
        <v>-17.770438806374845</v>
      </c>
      <c r="C107">
        <f>'NI AC Coupled Amp'!K108</f>
        <v>22.340970124927718</v>
      </c>
      <c r="D107">
        <f t="shared" si="1"/>
        <v>4.5705313185528738</v>
      </c>
      <c r="F107">
        <f>'Bias Network'!H108</f>
        <v>0.20142806588706669</v>
      </c>
      <c r="G107">
        <f>'Bias Network'!K108</f>
        <v>-6.0859703976957533</v>
      </c>
    </row>
    <row r="108" spans="1:7" x14ac:dyDescent="0.25">
      <c r="A108">
        <f>'Input Stage'!H109</f>
        <v>1.3578044407130994</v>
      </c>
      <c r="B108">
        <f>'Input Stage'!K109</f>
        <v>-17.37743432283397</v>
      </c>
      <c r="C108">
        <f>'NI AC Coupled Amp'!K109</f>
        <v>22.731782267730445</v>
      </c>
      <c r="D108">
        <f t="shared" si="1"/>
        <v>5.3543479448964746</v>
      </c>
      <c r="F108">
        <f>'Bias Network'!H109</f>
        <v>0.21092107816902514</v>
      </c>
      <c r="G108">
        <f>'Bias Network'!K109</f>
        <v>-6.0922254891183867</v>
      </c>
    </row>
    <row r="109" spans="1:7" x14ac:dyDescent="0.25">
      <c r="A109">
        <f>'Input Stage'!H110</f>
        <v>1.421795792540971</v>
      </c>
      <c r="B109">
        <f>'Input Stage'!K110</f>
        <v>-16.98509182489741</v>
      </c>
      <c r="C109">
        <f>'NI AC Coupled Amp'!K110</f>
        <v>23.122124361769565</v>
      </c>
      <c r="D109">
        <f t="shared" si="1"/>
        <v>6.1370325368721552</v>
      </c>
      <c r="F109">
        <f>'Bias Network'!H110</f>
        <v>0.22086148233646152</v>
      </c>
      <c r="G109">
        <f>'Bias Network'!K110</f>
        <v>-6.0990737214855715</v>
      </c>
    </row>
    <row r="110" spans="1:7" x14ac:dyDescent="0.25">
      <c r="A110">
        <f>'Input Stage'!H111</f>
        <v>1.4888029638683051</v>
      </c>
      <c r="B110">
        <f>'Input Stage'!K111</f>
        <v>-16.59347261949025</v>
      </c>
      <c r="C110">
        <f>'NI AC Coupled Amp'!K111</f>
        <v>23.511918373428529</v>
      </c>
      <c r="D110">
        <f t="shared" si="1"/>
        <v>6.9184457539382791</v>
      </c>
      <c r="F110">
        <f>'Bias Network'!H111</f>
        <v>0.23127036331934836</v>
      </c>
      <c r="G110">
        <f>'Bias Network'!K111</f>
        <v>-6.1065702680008354</v>
      </c>
    </row>
    <row r="111" spans="1:7" x14ac:dyDescent="0.25">
      <c r="A111">
        <f>'Input Stage'!H112</f>
        <v>1.5589680858892943</v>
      </c>
      <c r="B111">
        <f>'Input Stage'!K112</f>
        <v>-16.202643427531534</v>
      </c>
      <c r="C111">
        <f>'NI AC Coupled Amp'!K112</f>
        <v>23.901082299843658</v>
      </c>
      <c r="D111">
        <f t="shared" si="1"/>
        <v>7.6984388723121242</v>
      </c>
      <c r="F111">
        <f>'Bias Network'!H112</f>
        <v>0.24216979974979327</v>
      </c>
      <c r="G111">
        <f>'Bias Network'!K112</f>
        <v>-6.1147752220727263</v>
      </c>
    </row>
    <row r="112" spans="1:7" x14ac:dyDescent="0.25">
      <c r="A112">
        <f>'Input Stage'!H113</f>
        <v>1.6324399882349467</v>
      </c>
      <c r="B112">
        <f>'Input Stage'!K113</f>
        <v>-15.812676810230844</v>
      </c>
      <c r="C112">
        <f>'NI AC Coupled Amp'!K113</f>
        <v>24.289529619989306</v>
      </c>
      <c r="D112">
        <f t="shared" si="1"/>
        <v>8.4768528097584621</v>
      </c>
      <c r="F112">
        <f>'Bias Network'!H113</f>
        <v>0.25358291079377809</v>
      </c>
      <c r="G112">
        <f>'Bias Network'!K113</f>
        <v>-6.1237539943156776</v>
      </c>
    </row>
    <row r="113" spans="1:7" x14ac:dyDescent="0.25">
      <c r="A113">
        <f>'Input Stage'!H114</f>
        <v>1.7093745146606869</v>
      </c>
      <c r="B113">
        <f>'Input Stage'!K114</f>
        <v>-15.42365161868512</v>
      </c>
      <c r="C113">
        <f>'NI AC Coupled Amp'!K114</f>
        <v>24.677168732502892</v>
      </c>
      <c r="D113">
        <f t="shared" si="1"/>
        <v>9.2535171138177716</v>
      </c>
      <c r="F113">
        <f>'Bias Network'!H114</f>
        <v>0.26553390519000958</v>
      </c>
      <c r="G113">
        <f>'Bias Network'!K114</f>
        <v>-6.1335777332935848</v>
      </c>
    </row>
    <row r="114" spans="1:7" x14ac:dyDescent="0.25">
      <c r="A114">
        <f>'Input Stage'!H115</f>
        <v>1.7899348536118562</v>
      </c>
      <c r="B114">
        <f>'Input Stage'!K115</f>
        <v>-15.035653465896846</v>
      </c>
      <c r="C114">
        <f>'NI AC Coupled Amp'!K115</f>
        <v>25.063902380371612</v>
      </c>
      <c r="D114">
        <f t="shared" si="1"/>
        <v>10.028248914474766</v>
      </c>
      <c r="F114">
        <f>'Bias Network'!H115</f>
        <v>0.27804813259989997</v>
      </c>
      <c r="G114">
        <f>'Bias Network'!K115</f>
        <v>-6.1443237696990263</v>
      </c>
    </row>
    <row r="115" spans="1:7" x14ac:dyDescent="0.25">
      <c r="A115">
        <f>'Input Stage'!H116</f>
        <v>1.874291884368283</v>
      </c>
      <c r="B115">
        <f>'Input Stage'!K116</f>
        <v>-14.648775219749208</v>
      </c>
      <c r="C115">
        <f>'NI AC Coupled Amp'!K116</f>
        <v>25.449627063229276</v>
      </c>
      <c r="D115">
        <f t="shared" si="1"/>
        <v>10.800851843480068</v>
      </c>
      <c r="F115">
        <f>'Bias Network'!H116</f>
        <v>0.29115213737759732</v>
      </c>
      <c r="G115">
        <f>'Bias Network'!K116</f>
        <v>-6.1560760832076875</v>
      </c>
    </row>
    <row r="116" spans="1:7" x14ac:dyDescent="0.25">
      <c r="A116">
        <f>'Input Stage'!H117</f>
        <v>1.9626245395021447</v>
      </c>
      <c r="B116">
        <f>'Input Stage'!K117</f>
        <v>-14.263117514782628</v>
      </c>
      <c r="C116">
        <f>'NI AC Coupled Amp'!K117</f>
        <v>25.834232438752416</v>
      </c>
      <c r="D116">
        <f t="shared" si="1"/>
        <v>11.571114923969787</v>
      </c>
      <c r="F116">
        <f>'Bias Network'!H117</f>
        <v>0.30487371487411957</v>
      </c>
      <c r="G116">
        <f>'Bias Network'!K117</f>
        <v>-6.1689257906931108</v>
      </c>
    </row>
    <row r="117" spans="1:7" x14ac:dyDescent="0.25">
      <c r="A117">
        <f>'Input Stage'!H118</f>
        <v>2.0551201844179459</v>
      </c>
      <c r="B117">
        <f>'Input Stage'!K118</f>
        <v>-13.878789279784471</v>
      </c>
      <c r="C117">
        <f>'NI AC Coupled Amp'!K118</f>
        <v>26.217600715520412</v>
      </c>
      <c r="D117">
        <f t="shared" si="1"/>
        <v>12.338811435735941</v>
      </c>
      <c r="F117">
        <f>'Bias Network'!H118</f>
        <v>0.31924197039502072</v>
      </c>
      <c r="G117">
        <f>'Bias Network'!K118</f>
        <v>-6.1829716538185417</v>
      </c>
    </row>
    <row r="118" spans="1:7" x14ac:dyDescent="0.25">
      <c r="A118">
        <f>'Input Stage'!H119</f>
        <v>2.1519750147796604</v>
      </c>
      <c r="B118">
        <f>'Input Stage'!K119</f>
        <v>-13.495908277230281</v>
      </c>
      <c r="C118">
        <f>'NI AC Coupled Amp'!K119</f>
        <v>26.599606040720953</v>
      </c>
      <c r="D118">
        <f t="shared" si="1"/>
        <v>13.103697763490672</v>
      </c>
      <c r="F118">
        <f>'Bias Network'!H119</f>
        <v>0.33428738093664628</v>
      </c>
      <c r="G118">
        <f>'Bias Network'!K119</f>
        <v>-6.1983206032262554</v>
      </c>
    </row>
    <row r="119" spans="1:7" x14ac:dyDescent="0.25">
      <c r="A119">
        <f>'Input Stage'!H120</f>
        <v>2.2533944726680391</v>
      </c>
      <c r="B119">
        <f>'Input Stage'!K120</f>
        <v>-13.114601649488179</v>
      </c>
      <c r="C119">
        <f>'NI AC Coupled Amp'!K120</f>
        <v>26.980113887251029</v>
      </c>
      <c r="D119">
        <f t="shared" si="1"/>
        <v>13.86551223776285</v>
      </c>
      <c r="F119">
        <f>'Bias Network'!H120</f>
        <v>0.35004185983192837</v>
      </c>
      <c r="G119">
        <f>'Bias Network'!K120</f>
        <v>-6.2150882756060906</v>
      </c>
    </row>
    <row r="120" spans="1:7" x14ac:dyDescent="0.25">
      <c r="A120">
        <f>'Input Stage'!H121</f>
        <v>2.3595936823508064</v>
      </c>
      <c r="B120">
        <f>'Input Stage'!K121</f>
        <v>-12.735006465397207</v>
      </c>
      <c r="C120">
        <f>'NI AC Coupled Amp'!K121</f>
        <v>27.358980446101313</v>
      </c>
      <c r="D120">
        <f t="shared" si="1"/>
        <v>14.623973980704106</v>
      </c>
      <c r="F120">
        <f>'Bias Network'!H121</f>
        <v>0.36653882444284369</v>
      </c>
      <c r="G120">
        <f>'Bias Network'!K121</f>
        <v>-6.2333995588328994</v>
      </c>
    </row>
    <row r="121" spans="1:7" x14ac:dyDescent="0.25">
      <c r="A121">
        <f>'Input Stage'!H122</f>
        <v>2.4707979065900751</v>
      </c>
      <c r="B121">
        <f>'Input Stage'!K122</f>
        <v>-12.357270259366636</v>
      </c>
      <c r="C121">
        <f>'NI AC Coupled Amp'!K122</f>
        <v>27.736052031415561</v>
      </c>
      <c r="D121">
        <f t="shared" si="1"/>
        <v>15.378781772048924</v>
      </c>
      <c r="F121">
        <f>'Bias Network'!H122</f>
        <v>0.38381326704311847</v>
      </c>
      <c r="G121">
        <f>'Bias Network'!K122</f>
        <v>-6.2533891391063783</v>
      </c>
    </row>
    <row r="122" spans="1:7" x14ac:dyDescent="0.25">
      <c r="A122">
        <f>'Input Stage'!H123</f>
        <v>2.5872430244548679</v>
      </c>
      <c r="B122">
        <f>'Input Stage'!K123</f>
        <v>-11.981551553500406</v>
      </c>
      <c r="C122">
        <f>'NI AC Coupled Amp'!K123</f>
        <v>28.111164507292052</v>
      </c>
      <c r="D122">
        <f t="shared" si="1"/>
        <v>16.129612953791646</v>
      </c>
      <c r="F122">
        <f>'Bias Network'!H123</f>
        <v>0.40190182904153282</v>
      </c>
      <c r="G122">
        <f>'Bias Network'!K123</f>
        <v>-6.2752020425987673</v>
      </c>
    </row>
    <row r="123" spans="1:7" x14ac:dyDescent="0.25">
      <c r="A123">
        <f>'Input Stage'!H124</f>
        <v>2.7091760316522437</v>
      </c>
      <c r="B123">
        <f>'Input Stage'!K124</f>
        <v>-11.608020351449033</v>
      </c>
      <c r="C123">
        <f>'NI AC Coupled Amp'!K124</f>
        <v>28.484142747229871</v>
      </c>
      <c r="D123">
        <f t="shared" si="1"/>
        <v>16.87612239578084</v>
      </c>
      <c r="F123">
        <f>'Bias Network'!H124</f>
        <v>0.42084287870326115</v>
      </c>
      <c r="G123">
        <f>'Bias Network'!K124</f>
        <v>-6.2989941625168875</v>
      </c>
    </row>
    <row r="124" spans="1:7" x14ac:dyDescent="0.25">
      <c r="A124">
        <f>'Input Stage'!H125</f>
        <v>2.8368555644383115</v>
      </c>
      <c r="B124">
        <f>'Input Stage'!K125</f>
        <v>-11.236858590740045</v>
      </c>
      <c r="C124">
        <f>'NI AC Coupled Amp'!K125</f>
        <v>28.854800139104544</v>
      </c>
      <c r="D124">
        <f t="shared" si="1"/>
        <v>17.617941548364499</v>
      </c>
      <c r="F124">
        <f>'Bias Network'!H125</f>
        <v>0.44067659253410663</v>
      </c>
      <c r="G124">
        <f>'Bias Network'!K125</f>
        <v>-6.3249327607177968</v>
      </c>
    </row>
    <row r="125" spans="1:7" x14ac:dyDescent="0.25">
      <c r="A125">
        <f>'Input Stage'!H126</f>
        <v>2.970552448220404</v>
      </c>
      <c r="B125">
        <f>'Input Stage'!K126</f>
        <v>-10.868260538273688</v>
      </c>
      <c r="C125">
        <f>'NI AC Coupled Amp'!K126</f>
        <v>29.22293815065057</v>
      </c>
      <c r="D125">
        <f t="shared" si="1"/>
        <v>18.354677612376882</v>
      </c>
      <c r="F125">
        <f>'Bias Network'!H126</f>
        <v>0.46144504050025692</v>
      </c>
      <c r="G125">
        <f>'Bias Network'!K126</f>
        <v>-6.353196931099971</v>
      </c>
    </row>
    <row r="126" spans="1:7" x14ac:dyDescent="0.25">
      <c r="A126">
        <f>'Input Stage'!H127</f>
        <v>3.1105502720140761</v>
      </c>
      <c r="B126">
        <f>'Input Stage'!K127</f>
        <v>-10.502433111538533</v>
      </c>
      <c r="C126">
        <f>'NI AC Coupled Amp'!K127</f>
        <v>29.588345972587401</v>
      </c>
      <c r="D126">
        <f t="shared" si="1"/>
        <v>19.085912861048868</v>
      </c>
      <c r="F126">
        <f>'Bias Network'!H127</f>
        <v>0.48319227526432251</v>
      </c>
      <c r="G126">
        <f>'Bias Network'!K127</f>
        <v>-6.383978009950221</v>
      </c>
    </row>
    <row r="127" spans="1:7" x14ac:dyDescent="0.25">
      <c r="A127">
        <f>'Input Stage'!H128</f>
        <v>3.2571459899734312</v>
      </c>
      <c r="B127">
        <f>'Input Stage'!K128</f>
        <v>-10.139596105967021</v>
      </c>
      <c r="C127">
        <f>'NI AC Coupled Amp'!K128</f>
        <v>29.950800258683998</v>
      </c>
      <c r="D127">
        <f t="shared" si="1"/>
        <v>19.811204152716975</v>
      </c>
      <c r="F127">
        <f>'Bias Network'!H128</f>
        <v>0.50596442562694077</v>
      </c>
      <c r="G127">
        <f>'Bias Network'!K128</f>
        <v>-6.4174799163050809</v>
      </c>
    </row>
    <row r="128" spans="1:7" x14ac:dyDescent="0.25">
      <c r="A128">
        <f>'Input Stage'!H129</f>
        <v>3.4106505512706882</v>
      </c>
      <c r="B128">
        <f>'Input Stage'!K129</f>
        <v>-9.7799823068056906</v>
      </c>
      <c r="C128">
        <f>'NI AC Coupled Amp'!K129</f>
        <v>30.310064984127241</v>
      </c>
      <c r="D128">
        <f t="shared" si="1"/>
        <v>20.530082677321552</v>
      </c>
      <c r="F128">
        <f>'Bias Network'!H129</f>
        <v>0.5298097943721457</v>
      </c>
      <c r="G128">
        <f>'Bias Network'!K129</f>
        <v>-6.4539194032441554</v>
      </c>
    </row>
    <row r="129" spans="1:7" x14ac:dyDescent="0.25">
      <c r="A129">
        <f>'Input Stage'!H130</f>
        <v>3.5713895596610765</v>
      </c>
      <c r="B129">
        <f>'Input Stage'!K130</f>
        <v>-9.4238374620277927</v>
      </c>
      <c r="C129">
        <f>'NI AC Coupled Amp'!K130</f>
        <v>30.665891445425601</v>
      </c>
      <c r="D129">
        <f t="shared" si="1"/>
        <v>21.24205398339781</v>
      </c>
      <c r="F129">
        <f>'Bias Network'!H130</f>
        <v>0.55477896072405064</v>
      </c>
      <c r="G129">
        <f>'Bias Network'!K130</f>
        <v>-6.4935261989579089</v>
      </c>
    </row>
    <row r="130" spans="1:7" x14ac:dyDescent="0.25">
      <c r="A130">
        <f>'Input Stage'!H131</f>
        <v>3.7397039641320444</v>
      </c>
      <c r="B130">
        <f>'Input Stage'!K131</f>
        <v>-9.0714200913125183</v>
      </c>
      <c r="C130">
        <f>'NI AC Coupled Amp'!K131</f>
        <v>31.018018426604538</v>
      </c>
      <c r="D130">
        <f t="shared" si="1"/>
        <v>21.94659833529202</v>
      </c>
      <c r="F130">
        <f>'Bias Network'!H131</f>
        <v>0.58092488763216221</v>
      </c>
      <c r="G130">
        <f>'Bias Network'!K131</f>
        <v>-6.5365430145267851</v>
      </c>
    </row>
    <row r="131" spans="1:7" x14ac:dyDescent="0.25">
      <c r="A131">
        <f>'Input Stage'!H132</f>
        <v>3.9159507821017803</v>
      </c>
      <c r="B131">
        <f>'Input Stage'!K132</f>
        <v>-8.7230011051112371</v>
      </c>
      <c r="C131">
        <f>'NI AC Coupled Amp'!K132</f>
        <v>31.366172557470655</v>
      </c>
      <c r="D131">
        <f t="shared" ref="D131:D194" si="2">B131+C131</f>
        <v>22.643171452359418</v>
      </c>
      <c r="F131">
        <f>'Bias Network'!H132</f>
        <v>0.60830303411289788</v>
      </c>
      <c r="G131">
        <f>'Bias Network'!K132</f>
        <v>-6.5832253937502374</v>
      </c>
    </row>
    <row r="132" spans="1:7" x14ac:dyDescent="0.25">
      <c r="A132">
        <f>'Input Stage'!H133</f>
        <v>4.1005038567010219</v>
      </c>
      <c r="B132">
        <f>'Input Stage'!K133</f>
        <v>-8.3788632075156961</v>
      </c>
      <c r="C132">
        <f>'NI AC Coupled Amp'!K133</f>
        <v>31.710068890045932</v>
      </c>
      <c r="D132">
        <f t="shared" si="2"/>
        <v>23.331205682530236</v>
      </c>
      <c r="F132">
        <f>'Bias Network'!H133</f>
        <v>0.63697147288559552</v>
      </c>
      <c r="G132">
        <f>'Bias Network'!K133</f>
        <v>-6.6338413792275652</v>
      </c>
    </row>
    <row r="133" spans="1:7" x14ac:dyDescent="0.25">
      <c r="A133">
        <f>'Input Stage'!H134</f>
        <v>4.2937546497444545</v>
      </c>
      <c r="B133">
        <f>'Input Stage'!K134</f>
        <v>-8.0393000572319657</v>
      </c>
      <c r="C133">
        <f>'NI AC Coupled Amp'!K134</f>
        <v>32.049411718697115</v>
      </c>
      <c r="D133">
        <f t="shared" si="2"/>
        <v>24.01011166146515</v>
      </c>
      <c r="F133">
        <f>'Bias Network'!H134</f>
        <v>0.66699101355253665</v>
      </c>
      <c r="G133">
        <f>'Bias Network'!K134</f>
        <v>-6.6886709684037884</v>
      </c>
    </row>
    <row r="134" spans="1:7" x14ac:dyDescent="0.25">
      <c r="A134">
        <f>'Input Stage'!H135</f>
        <v>4.496113072073709</v>
      </c>
      <c r="B134">
        <f>'Input Stage'!K135</f>
        <v>-7.7046151626687021</v>
      </c>
      <c r="C134">
        <f>'NI AC Coupled Amp'!K135</f>
        <v>32.383895667797667</v>
      </c>
      <c r="D134">
        <f t="shared" si="2"/>
        <v>24.679280505128965</v>
      </c>
      <c r="F134">
        <f>'Bias Network'!H135</f>
        <v>0.69842533158426556</v>
      </c>
      <c r="G134">
        <f>'Bias Network'!K135</f>
        <v>-6.748005333654139</v>
      </c>
    </row>
    <row r="135" spans="1:7" x14ac:dyDescent="0.25">
      <c r="A135">
        <f>'Input Stage'!H136</f>
        <v>4.7080083530332129</v>
      </c>
      <c r="B135">
        <f>'Input Stage'!K136</f>
        <v>-7.3751204901756342</v>
      </c>
      <c r="C135">
        <f>'NI AC Coupled Amp'!K136</f>
        <v>32.713207067743816</v>
      </c>
      <c r="D135">
        <f t="shared" si="2"/>
        <v>25.338086577568184</v>
      </c>
      <c r="F135">
        <f>'Bias Network'!H136</f>
        <v>0.7313411033838001</v>
      </c>
      <c r="G135">
        <f>'Bias Network'!K136</f>
        <v>-6.8121457819034852</v>
      </c>
    </row>
    <row r="136" spans="1:7" x14ac:dyDescent="0.25">
      <c r="A136">
        <f>'Input Stage'!H137</f>
        <v>4.9298899509231751</v>
      </c>
      <c r="B136">
        <f>'Input Stage'!K137</f>
        <v>-7.0511347690039115</v>
      </c>
      <c r="C136">
        <f>'NI AC Coupled Amp'!K137</f>
        <v>33.037025635622626</v>
      </c>
      <c r="D136">
        <f t="shared" si="2"/>
        <v>25.985890866618714</v>
      </c>
      <c r="F136">
        <f>'Bias Network'!H137</f>
        <v>0.7658081477162213</v>
      </c>
      <c r="G136">
        <f>'Bias Network'!K137</f>
        <v>-6.8814024319753422</v>
      </c>
    </row>
    <row r="137" spans="1:7" x14ac:dyDescent="0.25">
      <c r="A137">
        <f>'Input Stage'!H138</f>
        <v>5.1622285063609041</v>
      </c>
      <c r="B137">
        <f>'Input Stage'!K138</f>
        <v>-6.7329814827504748</v>
      </c>
      <c r="C137">
        <f>'NI AC Coupled Amp'!K138</f>
        <v>33.355026470651651</v>
      </c>
      <c r="D137">
        <f t="shared" si="2"/>
        <v>26.622044987901177</v>
      </c>
      <c r="F137">
        <f>'Bias Network'!H138</f>
        <v>0.80189957380363563</v>
      </c>
      <c r="G137">
        <f>'Bias Network'!K138</f>
        <v>-6.9560925920315793</v>
      </c>
    </row>
    <row r="138" spans="1:7" x14ac:dyDescent="0.25">
      <c r="A138">
        <f>'Input Stage'!H139</f>
        <v>5.4055168405726572</v>
      </c>
      <c r="B138">
        <f>'Input Stage'!K139</f>
        <v>-6.4209865449585131</v>
      </c>
      <c r="C138">
        <f>'NI AC Coupled Amp'!K139</f>
        <v>33.666882366608384</v>
      </c>
      <c r="D138">
        <f t="shared" si="2"/>
        <v>27.245895821649871</v>
      </c>
      <c r="F138">
        <f>'Bias Network'!H139</f>
        <v>0.83969193639963613</v>
      </c>
      <c r="G138">
        <f>'Bias Network'!K139</f>
        <v>-7.0365388252557493</v>
      </c>
    </row>
    <row r="139" spans="1:7" x14ac:dyDescent="0.25">
      <c r="A139">
        <f>'Input Stage'!H140</f>
        <v>5.6602710007335331</v>
      </c>
      <c r="B139">
        <f>'Input Stage'!K140</f>
        <v>-6.1154756661566765</v>
      </c>
      <c r="C139">
        <f>'NI AC Coupled Amp'!K140</f>
        <v>33.972266433868043</v>
      </c>
      <c r="D139">
        <f t="shared" si="2"/>
        <v>27.856790767711367</v>
      </c>
      <c r="F139">
        <f>'Bias Network'!H140</f>
        <v>0.87926539817219929</v>
      </c>
      <c r="G139">
        <f>'Bias Network'!K140</f>
        <v>-7.1230666994373939</v>
      </c>
    </row>
    <row r="140" spans="1:7" x14ac:dyDescent="0.25">
      <c r="A140">
        <f>'Input Stage'!H141</f>
        <v>5.9270313545727165</v>
      </c>
      <c r="B140">
        <f>'Input Stage'!K141</f>
        <v>-5.8167714307735885</v>
      </c>
      <c r="C140">
        <f>'NI AC Coupled Amp'!K141</f>
        <v>34.270855012521572</v>
      </c>
      <c r="D140">
        <f t="shared" si="2"/>
        <v>28.454083581747984</v>
      </c>
      <c r="F140">
        <f>'Bias Network'!H141</f>
        <v>0.9207038997394511</v>
      </c>
      <c r="G140">
        <f>'Bias Network'!K141</f>
        <v>-7.2160022253333462</v>
      </c>
    </row>
    <row r="141" spans="1:7" x14ac:dyDescent="0.25">
      <c r="A141">
        <f>'Input Stage'!H142</f>
        <v>6.2063637365658852</v>
      </c>
      <c r="B141">
        <f>'Input Stage'!K142</f>
        <v>-5.5251901147689297</v>
      </c>
      <c r="C141">
        <f>'NI AC Coupled Amp'!K142</f>
        <v>34.562330845649718</v>
      </c>
      <c r="D141">
        <f t="shared" si="2"/>
        <v>29.03714073088079</v>
      </c>
      <c r="F141">
        <f>'Bias Network'!H142</f>
        <v>0.96409533771897249</v>
      </c>
      <c r="G141">
        <f>'Bias Network'!K142</f>
        <v>-7.3156689994943829</v>
      </c>
    </row>
    <row r="142" spans="1:7" x14ac:dyDescent="0.25">
      <c r="A142">
        <f>'Input Stage'!H143</f>
        <v>6.4988606481459907</v>
      </c>
      <c r="B142">
        <f>'Input Stage'!K143</f>
        <v>-5.2410382880236295</v>
      </c>
      <c r="C142">
        <f>'NI AC Coupled Amp'!K143</f>
        <v>34.846386468634421</v>
      </c>
      <c r="D142">
        <f t="shared" si="2"/>
        <v>29.60534818061079</v>
      </c>
      <c r="F142">
        <f>'Bias Network'!H143</f>
        <v>1.0095317511683093</v>
      </c>
      <c r="G142">
        <f>'Bias Network'!K143</f>
        <v>-7.4223850793913826</v>
      </c>
    </row>
    <row r="143" spans="1:7" x14ac:dyDescent="0.25">
      <c r="A143">
        <f>'Input Stage'!H144</f>
        <v>6.8051425144782396</v>
      </c>
      <c r="B143">
        <f>'Input Stage'!K144</f>
        <v>-4.9646092589122901</v>
      </c>
      <c r="C143">
        <f>'NI AC Coupled Amp'!K144</f>
        <v>35.122727757015227</v>
      </c>
      <c r="D143">
        <f t="shared" si="2"/>
        <v>30.158118498102937</v>
      </c>
      <c r="F143">
        <f>'Bias Network'!H144</f>
        <v>1.0571095168121536</v>
      </c>
      <c r="G143">
        <f>'Bias Network'!K144</f>
        <v>-7.536459631738083</v>
      </c>
    </row>
    <row r="144" spans="1:7" x14ac:dyDescent="0.25">
      <c r="A144">
        <f>'Input Stage'!H145</f>
        <v>7.1258590004650468</v>
      </c>
      <c r="B144">
        <f>'Input Stage'!K145</f>
        <v>-4.6961794312918208</v>
      </c>
      <c r="C144">
        <f>'NI AC Coupled Amp'!K145</f>
        <v>35.391077562592827</v>
      </c>
      <c r="D144">
        <f t="shared" si="2"/>
        <v>30.694898131301006</v>
      </c>
      <c r="F144">
        <f>'Bias Network'!H145</f>
        <v>1.1069295534702985</v>
      </c>
      <c r="G144">
        <f>'Bias Network'!K145</f>
        <v>-7.6581894083092514</v>
      </c>
    </row>
    <row r="145" spans="1:7" x14ac:dyDescent="0.25">
      <c r="A145">
        <f>'Input Stage'!H146</f>
        <v>7.4616903887723973</v>
      </c>
      <c r="B145">
        <f>'Input Stage'!K146</f>
        <v>-4.4360046555198229</v>
      </c>
      <c r="C145">
        <f>'NI AC Coupled Amp'!K146</f>
        <v>35.651179356108756</v>
      </c>
      <c r="D145">
        <f t="shared" si="2"/>
        <v>31.215174700588932</v>
      </c>
      <c r="F145">
        <f>'Bias Network'!H146</f>
        <v>1.159097536119984</v>
      </c>
      <c r="G145">
        <f>'Bias Network'!K146</f>
        <v>-7.7878551165721666</v>
      </c>
    </row>
    <row r="146" spans="1:7" x14ac:dyDescent="0.25">
      <c r="A146">
        <f>'Input Stage'!H147</f>
        <v>7.8133490228005922</v>
      </c>
      <c r="B146">
        <f>'Input Stage'!K147</f>
        <v>-4.184316664161984</v>
      </c>
      <c r="C146">
        <f>'NI AC Coupled Amp'!K147</f>
        <v>35.902800785788635</v>
      </c>
      <c r="D146">
        <f t="shared" si="2"/>
        <v>31.718484121626652</v>
      </c>
      <c r="F146">
        <f>'Bias Network'!H147</f>
        <v>1.2137241200466939</v>
      </c>
      <c r="G146">
        <f>'Bias Network'!K147</f>
        <v>-7.9257177642454764</v>
      </c>
    </row>
    <row r="147" spans="1:7" x14ac:dyDescent="0.25">
      <c r="A147">
        <f>'Input Stage'!H148</f>
        <v>8.1815808176600999</v>
      </c>
      <c r="B147">
        <f>'Input Stage'!K148</f>
        <v>-3.9413196888843052</v>
      </c>
      <c r="C147">
        <f>'NI AC Coupled Amp'!K148</f>
        <v>36.145737055205046</v>
      </c>
      <c r="D147">
        <f t="shared" si="2"/>
        <v>32.20441736632074</v>
      </c>
      <c r="F147">
        <f>'Bias Network'!H148</f>
        <v>1.2709251755588504</v>
      </c>
      <c r="G147">
        <f>'Bias Network'!K148</f>
        <v>-8.0720150665757977</v>
      </c>
    </row>
    <row r="148" spans="1:7" x14ac:dyDescent="0.25">
      <c r="A148">
        <f>'Input Stage'!H149</f>
        <v>8.5671668423575102</v>
      </c>
      <c r="B148">
        <f>'Input Stage'!K149</f>
        <v>-3.707187356892387</v>
      </c>
      <c r="C148">
        <f>'NI AC Coupled Amp'!K149</f>
        <v>36.37981402205363</v>
      </c>
      <c r="D148">
        <f t="shared" si="2"/>
        <v>32.672626665161246</v>
      </c>
      <c r="F148">
        <f>'Bias Network'!H149</f>
        <v>1.3308220337642735</v>
      </c>
      <c r="G148">
        <f>'Bias Network'!K149</f>
        <v>-8.2269580117868877</v>
      </c>
    </row>
    <row r="149" spans="1:7" x14ac:dyDescent="0.25">
      <c r="A149">
        <f>'Input Stage'!H150</f>
        <v>8.9709249765476287</v>
      </c>
      <c r="B149">
        <f>'Input Stage'!K150</f>
        <v>-3.4820599626205433</v>
      </c>
      <c r="C149">
        <f>'NI AC Coupled Amp'!K150</f>
        <v>36.604890922099244</v>
      </c>
      <c r="D149">
        <f t="shared" si="2"/>
        <v>33.122830959478698</v>
      </c>
      <c r="F149">
        <f>'Bias Network'!H150</f>
        <v>1.3935417439297286</v>
      </c>
      <c r="G149">
        <f>'Bias Network'!K150</f>
        <v>-8.3907276830154522</v>
      </c>
    </row>
    <row r="150" spans="1:7" x14ac:dyDescent="0.25">
      <c r="A150">
        <f>'Input Stage'!H151</f>
        <v>9.3937116453658707</v>
      </c>
      <c r="B150">
        <f>'Input Stage'!K151</f>
        <v>-3.2660422029176575</v>
      </c>
      <c r="C150">
        <f>'NI AC Coupled Amp'!K151</f>
        <v>36.820862630008598</v>
      </c>
      <c r="D150">
        <f t="shared" si="2"/>
        <v>33.554820427090938</v>
      </c>
      <c r="F150">
        <f>'Bias Network'!H151</f>
        <v>1.4592173429694555</v>
      </c>
      <c r="G150">
        <f>'Bias Network'!K151</f>
        <v>-8.5634724334882062</v>
      </c>
    </row>
    <row r="151" spans="1:7" x14ac:dyDescent="0.25">
      <c r="A151">
        <f>'Input Stage'!H152</f>
        <v>9.8364236360207897</v>
      </c>
      <c r="B151">
        <f>'Input Stage'!K152</f>
        <v>-3.0592014517948845</v>
      </c>
      <c r="C151">
        <f>'NI AC Coupled Amp'!K152</f>
        <v>37.027661380970734</v>
      </c>
      <c r="D151">
        <f t="shared" si="2"/>
        <v>33.96845992917585</v>
      </c>
      <c r="F151">
        <f>'Bias Network'!H152</f>
        <v>1.5279881376342974</v>
      </c>
      <c r="G151">
        <f>'Bias Network'!K152</f>
        <v>-8.7453055053732385</v>
      </c>
    </row>
    <row r="152" spans="1:7" x14ac:dyDescent="0.25">
      <c r="A152">
        <f>'Input Stage'!H153</f>
        <v>10.3</v>
      </c>
      <c r="B152">
        <f>'Input Stage'!K153</f>
        <v>-2.8615666343376827</v>
      </c>
      <c r="C152">
        <f>'NI AC Coupled Amp'!K153</f>
        <v>37.225257893472019</v>
      </c>
      <c r="D152">
        <f t="shared" si="2"/>
        <v>34.363691259134335</v>
      </c>
      <c r="F152">
        <f>'Bias Network'!H153</f>
        <v>1.6</v>
      </c>
      <c r="G152">
        <f>'Bias Network'!K153</f>
        <v>-8.936303171642404</v>
      </c>
    </row>
    <row r="153" spans="1:7" x14ac:dyDescent="0.25">
      <c r="A153">
        <f>'Input Stage'!H154</f>
        <v>10.785424044924266</v>
      </c>
      <c r="B153">
        <f>'Input Stage'!K154</f>
        <v>-2.6731277394420028</v>
      </c>
      <c r="C153">
        <f>'NI AC Coupled Amp'!K154</f>
        <v>37.413661853538223</v>
      </c>
      <c r="D153">
        <f t="shared" si="2"/>
        <v>34.740534114096221</v>
      </c>
      <c r="F153">
        <f>'Bias Network'!H154</f>
        <v>1.6754056768814394</v>
      </c>
      <c r="G153">
        <f>'Bias Network'!K154</f>
        <v>-9.1365034647661361</v>
      </c>
    </row>
    <row r="154" spans="1:7" x14ac:dyDescent="0.25">
      <c r="A154">
        <f>'Input Stage'!H155</f>
        <v>11.293725420274807</v>
      </c>
      <c r="B154">
        <f>'Input Stage'!K155</f>
        <v>-2.4938359887172981</v>
      </c>
      <c r="C154">
        <f>'NI AC Coupled Amp'!K155</f>
        <v>37.592921743074641</v>
      </c>
      <c r="D154">
        <f t="shared" si="2"/>
        <v>35.09908575435734</v>
      </c>
      <c r="F154">
        <f>'Bias Network'!H155</f>
        <v>1.7543651138290963</v>
      </c>
      <c r="G154">
        <f>'Bias Network'!K155</f>
        <v>-9.3459055368465513</v>
      </c>
    </row>
    <row r="155" spans="1:7" x14ac:dyDescent="0.25">
      <c r="A155">
        <f>'Input Stage'!H156</f>
        <v>11.825982301417897</v>
      </c>
      <c r="B155">
        <f>'Input Stage'!K156</f>
        <v>-2.3236046555332392</v>
      </c>
      <c r="C155">
        <f>'NI AC Coupled Amp'!K156</f>
        <v>37.763124018305795</v>
      </c>
      <c r="D155">
        <f t="shared" si="2"/>
        <v>35.439519362772558</v>
      </c>
      <c r="F155">
        <f>'Bias Network'!H156</f>
        <v>1.8370457943950129</v>
      </c>
      <c r="G155">
        <f>'Bias Network'!K156</f>
        <v>-9.564469673926153</v>
      </c>
    </row>
    <row r="156" spans="1:7" x14ac:dyDescent="0.25">
      <c r="A156">
        <f>'Input Stage'!H157</f>
        <v>12.383323676559357</v>
      </c>
      <c r="B156">
        <f>'Input Stage'!K157</f>
        <v>-2.1623105051832345</v>
      </c>
      <c r="C156">
        <f>'NI AC Coupled Amp'!K157</f>
        <v>37.924391667318417</v>
      </c>
      <c r="D156">
        <f t="shared" si="2"/>
        <v>35.762081162135182</v>
      </c>
      <c r="F156">
        <f>'Bias Network'!H157</f>
        <v>1.9236230953878612</v>
      </c>
      <c r="G156">
        <f>'Bias Network'!K157</f>
        <v>-9.7921179639603384</v>
      </c>
    </row>
    <row r="157" spans="1:7" x14ac:dyDescent="0.25">
      <c r="A157">
        <f>'Input Stage'!H158</f>
        <v>12.966931741479923</v>
      </c>
      <c r="B157">
        <f>'Input Stage'!K158</f>
        <v>-2.009795805888531</v>
      </c>
      <c r="C157">
        <f>'NI AC Coupled Amp'!K158</f>
        <v>38.076882196965052</v>
      </c>
      <c r="D157">
        <f t="shared" si="2"/>
        <v>36.067086391076522</v>
      </c>
      <c r="F157">
        <f>'Bias Network'!H158</f>
        <v>2.0142806588706677</v>
      </c>
      <c r="G157">
        <f>'Bias Network'!K158</f>
        <v>-10.028735594728857</v>
      </c>
    </row>
    <row r="158" spans="1:7" x14ac:dyDescent="0.25">
      <c r="A158">
        <f>'Input Stage'!H159</f>
        <v>13.578044407130996</v>
      </c>
      <c r="B158">
        <f>'Input Stage'!K159</f>
        <v>-1.8658708420904047</v>
      </c>
      <c r="C158">
        <f>'NI AC Coupled Amp'!K159</f>
        <v>38.220785117664946</v>
      </c>
      <c r="D158">
        <f t="shared" si="2"/>
        <v>36.354914275574544</v>
      </c>
      <c r="F158">
        <f>'Bias Network'!H159</f>
        <v>2.1092107816902517</v>
      </c>
      <c r="G158">
        <f>'Bias Network'!K159</f>
        <v>-10.274172736178848</v>
      </c>
    </row>
    <row r="159" spans="1:7" x14ac:dyDescent="0.25">
      <c r="A159">
        <f>'Input Stage'!H160</f>
        <v>14.217957925409717</v>
      </c>
      <c r="B159">
        <f>'Input Stage'!K160</f>
        <v>-1.7303168471352417</v>
      </c>
      <c r="C159">
        <f>'NI AC Coupled Amp'!K160</f>
        <v>38.356319008978033</v>
      </c>
      <c r="D159">
        <f t="shared" si="2"/>
        <v>36.626002161842791</v>
      </c>
      <c r="F159">
        <f>'Bias Network'!H160</f>
        <v>2.2086148233646159</v>
      </c>
      <c r="G159">
        <f>'Bias Network'!K160</f>
        <v>-10.52824694262126</v>
      </c>
    </row>
    <row r="160" spans="1:7" x14ac:dyDescent="0.25">
      <c r="A160">
        <f>'Input Stage'!H161</f>
        <v>14.888029638683054</v>
      </c>
      <c r="B160">
        <f>'Input Stage'!K161</f>
        <v>-1.6028892626730302</v>
      </c>
      <c r="C160">
        <f>'NI AC Coupled Amp'!K161</f>
        <v>38.483728258619578</v>
      </c>
      <c r="D160">
        <f t="shared" si="2"/>
        <v>36.880838995946547</v>
      </c>
      <c r="F160">
        <f>'Bias Network'!H161</f>
        <v>2.3127036331934838</v>
      </c>
      <c r="G160">
        <f>'Bias Network'!K161</f>
        <v>-10.790745994864146</v>
      </c>
    </row>
    <row r="161" spans="1:7" x14ac:dyDescent="0.25">
      <c r="A161">
        <f>'Input Stage'!H162</f>
        <v>15.589680858892946</v>
      </c>
      <c r="B161">
        <f>'Input Stage'!K162</f>
        <v>-1.4833212271100882</v>
      </c>
      <c r="C161">
        <f>'NI AC Coupled Amp'!K162</f>
        <v>38.603279572559849</v>
      </c>
      <c r="D161">
        <f t="shared" si="2"/>
        <v>37.11995834544976</v>
      </c>
      <c r="F161">
        <f>'Bias Network'!H162</f>
        <v>2.4216979974979331</v>
      </c>
      <c r="G161">
        <f>'Bias Network'!K162</f>
        <v>-11.061431091475018</v>
      </c>
    </row>
    <row r="162" spans="1:7" x14ac:dyDescent="0.25">
      <c r="A162">
        <f>'Input Stage'!H163</f>
        <v>16.324399882349471</v>
      </c>
      <c r="B162">
        <f>'Input Stage'!K163</f>
        <v>-1.3713271951770334</v>
      </c>
      <c r="C162">
        <f>'NI AC Coupled Amp'!K163</f>
        <v>38.715258354135699</v>
      </c>
      <c r="D162">
        <f t="shared" si="2"/>
        <v>37.343931158958668</v>
      </c>
      <c r="F162">
        <f>'Bias Network'!H163</f>
        <v>2.5358291079377819</v>
      </c>
      <c r="G162">
        <f>'Bias Network'!K163</f>
        <v>-11.340040292252041</v>
      </c>
    </row>
    <row r="163" spans="1:7" x14ac:dyDescent="0.25">
      <c r="A163">
        <f>'Input Stage'!H164</f>
        <v>17.093745146606874</v>
      </c>
      <c r="B163">
        <f>'Input Stage'!K164</f>
        <v>-1.2666065946622986</v>
      </c>
      <c r="C163">
        <f>'NI AC Coupled Amp'!K164</f>
        <v>38.8199650461126</v>
      </c>
      <c r="D163">
        <f t="shared" si="2"/>
        <v>37.5533584514503</v>
      </c>
      <c r="F163">
        <f>'Bias Network'!H164</f>
        <v>2.6553390519000972</v>
      </c>
      <c r="G163">
        <f>'Bias Network'!K164</f>
        <v>-11.62629211562551</v>
      </c>
    </row>
    <row r="164" spans="1:7" x14ac:dyDescent="0.25">
      <c r="A164">
        <f>'Input Stage'!H165</f>
        <v>17.89934853611857</v>
      </c>
      <c r="B164">
        <f>'Input Stage'!K165</f>
        <v>-1.1688474339520041</v>
      </c>
      <c r="C164">
        <f>'NI AC Coupled Amp'!K165</f>
        <v>38.917711522046858</v>
      </c>
      <c r="D164">
        <f t="shared" si="2"/>
        <v>37.748864088094855</v>
      </c>
      <c r="F164">
        <f>'Bias Network'!H165</f>
        <v>2.7804813259990011</v>
      </c>
      <c r="G164">
        <f>'Bias Network'!K165</f>
        <v>-11.919889194751557</v>
      </c>
    </row>
    <row r="165" spans="1:7" x14ac:dyDescent="0.25">
      <c r="A165">
        <f>'Input Stage'!H166</f>
        <v>18.742918843682833</v>
      </c>
      <c r="B165">
        <f>'Input Stage'!K166</f>
        <v>-1.0777297843734388</v>
      </c>
      <c r="C165">
        <f>'NI AC Coupled Amp'!K166</f>
        <v>39.008817602939843</v>
      </c>
      <c r="D165">
        <f t="shared" si="2"/>
        <v>37.931087818566404</v>
      </c>
      <c r="F165">
        <f>'Bias Network'!H166</f>
        <v>2.9115213737759742</v>
      </c>
      <c r="G165">
        <f>'Bias Network'!K166</f>
        <v>-12.220521903871902</v>
      </c>
    </row>
    <row r="166" spans="1:7" x14ac:dyDescent="0.25">
      <c r="A166">
        <f>'Input Stage'!H167</f>
        <v>19.626245395021449</v>
      </c>
      <c r="B166">
        <f>'Input Stage'!K167</f>
        <v>-0.99292907356719484</v>
      </c>
      <c r="C166">
        <f>'NI AC Coupled Amp'!K167</f>
        <v>39.093607762952587</v>
      </c>
      <c r="D166">
        <f t="shared" si="2"/>
        <v>38.10067868938539</v>
      </c>
      <c r="F166">
        <f>'Bias Network'!H167</f>
        <v>3.0487371487411963</v>
      </c>
      <c r="G166">
        <f>'Bias Network'!K167</f>
        <v>-12.527871876300464</v>
      </c>
    </row>
    <row r="167" spans="1:7" x14ac:dyDescent="0.25">
      <c r="A167">
        <f>'Input Stage'!H168</f>
        <v>20.551201844179463</v>
      </c>
      <c r="B167">
        <f>'Input Stage'!K168</f>
        <v>-0.9141191393171415</v>
      </c>
      <c r="C167">
        <f>'NI AC Coupled Amp'!K168</f>
        <v>39.172408074742229</v>
      </c>
      <c r="D167">
        <f t="shared" si="2"/>
        <v>38.258288935425085</v>
      </c>
      <c r="F167">
        <f>'Bias Network'!H168</f>
        <v>3.1924197039502076</v>
      </c>
      <c r="G167">
        <f>'Bias Network'!K168</f>
        <v>-12.841615347267721</v>
      </c>
    </row>
    <row r="168" spans="1:7" x14ac:dyDescent="0.25">
      <c r="A168">
        <f>'Input Stage'!H169</f>
        <v>21.519750147796611</v>
      </c>
      <c r="B168">
        <f>'Input Stage'!K169</f>
        <v>-0.84097500664241331</v>
      </c>
      <c r="C168">
        <f>'NI AC Coupled Amp'!K169</f>
        <v>39.245543431610187</v>
      </c>
      <c r="D168">
        <f t="shared" si="2"/>
        <v>38.404568424967771</v>
      </c>
      <c r="F168">
        <f>'Bias Network'!H169</f>
        <v>3.3428738093664636</v>
      </c>
      <c r="G168">
        <f>'Bias Network'!K169</f>
        <v>-13.161426267903398</v>
      </c>
    </row>
    <row r="169" spans="1:7" x14ac:dyDescent="0.25">
      <c r="A169">
        <f>'Input Stage'!H170</f>
        <v>22.533944726680392</v>
      </c>
      <c r="B169">
        <f>'Input Stage'!K170</f>
        <v>-0.77317536381424867</v>
      </c>
      <c r="C169">
        <f>'NI AC Coupled Amp'!K170</f>
        <v>39.313335070792</v>
      </c>
      <c r="D169">
        <f t="shared" si="2"/>
        <v>38.540159706977754</v>
      </c>
      <c r="F169">
        <f>'Bias Network'!H170</f>
        <v>3.5004185983192841</v>
      </c>
      <c r="G169">
        <f>'Bias Network'!K170</f>
        <v>-13.486979150041201</v>
      </c>
    </row>
    <row r="170" spans="1:7" x14ac:dyDescent="0.25">
      <c r="A170">
        <f>'Input Stage'!H171</f>
        <v>23.595936823508065</v>
      </c>
      <c r="B170">
        <f>'Input Stage'!K171</f>
        <v>-0.71040472476946515</v>
      </c>
      <c r="C170">
        <f>'NI AC Coupled Amp'!K171</f>
        <v>39.376098410411686</v>
      </c>
      <c r="D170">
        <f t="shared" si="2"/>
        <v>38.665693685642218</v>
      </c>
      <c r="F170">
        <f>'Bias Network'!H171</f>
        <v>3.6653882444284371</v>
      </c>
      <c r="G170">
        <f>'Bias Network'!K171</f>
        <v>-13.817951614561593</v>
      </c>
    </row>
    <row r="171" spans="1:7" x14ac:dyDescent="0.25">
      <c r="A171">
        <f>'Input Stage'!H172</f>
        <v>24.707979065900759</v>
      </c>
      <c r="B171">
        <f>'Input Stage'!K172</f>
        <v>-0.65235527578069286</v>
      </c>
      <c r="C171">
        <f>'NI AC Coupled Amp'!K172</f>
        <v>39.434141202234933</v>
      </c>
      <c r="D171">
        <f t="shared" si="2"/>
        <v>38.781785926454241</v>
      </c>
      <c r="F171">
        <f>'Bias Network'!H172</f>
        <v>3.8381326704311856</v>
      </c>
      <c r="G171">
        <f>'Bias Network'!K172</f>
        <v>-14.154026628086211</v>
      </c>
    </row>
    <row r="172" spans="1:7" x14ac:dyDescent="0.25">
      <c r="A172">
        <f>'Input Stage'!H173</f>
        <v>25.872430244548681</v>
      </c>
      <c r="B172">
        <f>'Input Stage'!K173</f>
        <v>-0.59872841299083257</v>
      </c>
      <c r="C172">
        <f>'NI AC Coupled Amp'!K173</f>
        <v>39.487761993608835</v>
      </c>
      <c r="D172">
        <f t="shared" si="2"/>
        <v>38.889033580618005</v>
      </c>
      <c r="F172">
        <f>'Bias Network'!H173</f>
        <v>4.0190182904153291</v>
      </c>
      <c r="G172">
        <f>'Bias Network'!K173</f>
        <v>-14.494894423581812</v>
      </c>
    </row>
    <row r="173" spans="1:7" x14ac:dyDescent="0.25">
      <c r="A173">
        <f>'Input Stage'!H174</f>
        <v>27.091760316522439</v>
      </c>
      <c r="B173">
        <f>'Input Stage'!K174</f>
        <v>-0.54923598444266319</v>
      </c>
      <c r="C173">
        <f>'NI AC Coupled Amp'!K174</f>
        <v>39.537248884952369</v>
      </c>
      <c r="D173">
        <f t="shared" si="2"/>
        <v>38.988012900509709</v>
      </c>
      <c r="F173">
        <f>'Bias Network'!H174</f>
        <v>4.208428787032612</v>
      </c>
      <c r="G173">
        <f>'Bias Network'!K174</f>
        <v>-14.840254109580037</v>
      </c>
    </row>
    <row r="174" spans="1:7" x14ac:dyDescent="0.25">
      <c r="A174">
        <f>'Input Stage'!H175</f>
        <v>28.368555644383115</v>
      </c>
      <c r="B174">
        <f>'Input Stage'!K175</f>
        <v>-0.50360125556026414</v>
      </c>
      <c r="C174">
        <f>'NI AC Coupled Amp'!K175</f>
        <v>39.582878563838015</v>
      </c>
      <c r="D174">
        <f t="shared" si="2"/>
        <v>39.079277308277753</v>
      </c>
      <c r="F174">
        <f>'Bias Network'!H175</f>
        <v>4.406765925341066</v>
      </c>
      <c r="G174">
        <f>'Bias Network'!K175</f>
        <v>-15.189814980146599</v>
      </c>
    </row>
    <row r="175" spans="1:7" x14ac:dyDescent="0.25">
      <c r="A175">
        <f>'Input Stage'!H176</f>
        <v>29.705524482204044</v>
      </c>
      <c r="B175">
        <f>'Input Stage'!K176</f>
        <v>-0.46155962077962015</v>
      </c>
      <c r="C175">
        <f>'NI AC Coupled Amp'!K176</f>
        <v>39.624915592961734</v>
      </c>
      <c r="D175">
        <f t="shared" si="2"/>
        <v>39.163355972182117</v>
      </c>
      <c r="F175">
        <f>'Bias Network'!H176</f>
        <v>4.6144504050025699</v>
      </c>
      <c r="G175">
        <f>'Bias Network'!K176</f>
        <v>-15.543297543453395</v>
      </c>
    </row>
    <row r="176" spans="1:7" x14ac:dyDescent="0.25">
      <c r="A176">
        <f>'Input Stage'!H177</f>
        <v>31.105502720140773</v>
      </c>
      <c r="B176">
        <f>'Input Stage'!K177</f>
        <v>-0.4228590863474655</v>
      </c>
      <c r="C176">
        <f>'NI AC Coupled Amp'!K177</f>
        <v>39.663611926980614</v>
      </c>
      <c r="D176">
        <f t="shared" si="2"/>
        <v>39.240752840633149</v>
      </c>
      <c r="F176">
        <f>'Bias Network'!H177</f>
        <v>4.8319227526432265</v>
      </c>
      <c r="G176">
        <f>'Bias Network'!K177</f>
        <v>-15.900434290905372</v>
      </c>
    </row>
    <row r="177" spans="1:7" x14ac:dyDescent="0.25">
      <c r="A177">
        <f>'Input Stage'!H178</f>
        <v>32.571459899734315</v>
      </c>
      <c r="B177">
        <f>'Input Stage'!K178</f>
        <v>-0.38726055041291868</v>
      </c>
      <c r="C177">
        <f>'NI AC Coupled Amp'!K178</f>
        <v>39.699206632089158</v>
      </c>
      <c r="D177">
        <f t="shared" si="2"/>
        <v>39.31194608167624</v>
      </c>
      <c r="F177">
        <f>'Bias Network'!H178</f>
        <v>5.0596442562694079</v>
      </c>
      <c r="G177">
        <f>'Bias Network'!K178</f>
        <v>-16.260970231412117</v>
      </c>
    </row>
    <row r="178" spans="1:7" x14ac:dyDescent="0.25">
      <c r="A178">
        <f>'Input Stage'!H179</f>
        <v>34.106505512706889</v>
      </c>
      <c r="B178">
        <f>'Input Stage'!K179</f>
        <v>-0.35453790663881224</v>
      </c>
      <c r="C178">
        <f>'NI AC Coupled Amp'!K179</f>
        <v>39.73192578210552</v>
      </c>
      <c r="D178">
        <f t="shared" si="2"/>
        <v>39.377387875466709</v>
      </c>
      <c r="F178">
        <f>'Bias Network'!H179</f>
        <v>5.2980979437214586</v>
      </c>
      <c r="G178">
        <f>'Bias Network'!K179</f>
        <v>-16.624663216768191</v>
      </c>
    </row>
    <row r="179" spans="1:7" x14ac:dyDescent="0.25">
      <c r="A179">
        <f>'Input Stage'!H180</f>
        <v>35.713895596610769</v>
      </c>
      <c r="B179">
        <f>'Input Stage'!K180</f>
        <v>-0.32447799687070517</v>
      </c>
      <c r="C179">
        <f>'NI AC Coupled Amp'!K180</f>
        <v>39.761982505526198</v>
      </c>
      <c r="D179">
        <f t="shared" si="2"/>
        <v>39.437504508655493</v>
      </c>
      <c r="F179">
        <f>'Bias Network'!H180</f>
        <v>5.5477896072405075</v>
      </c>
      <c r="G179">
        <f>'Bias Network'!K180</f>
        <v>-16.991284084422503</v>
      </c>
    </row>
    <row r="180" spans="1:7" x14ac:dyDescent="0.25">
      <c r="A180">
        <f>'Input Stage'!H181</f>
        <v>37.397039641320447</v>
      </c>
      <c r="B180">
        <f>'Input Stage'!K181</f>
        <v>-0.2968804371195769</v>
      </c>
      <c r="C180">
        <f>'NI AC Coupled Amp'!K181</f>
        <v>39.789577159291923</v>
      </c>
      <c r="D180">
        <f t="shared" si="2"/>
        <v>39.492696722172347</v>
      </c>
      <c r="F180">
        <f>'Bias Network'!H181</f>
        <v>5.8092488763216226</v>
      </c>
      <c r="G180">
        <f>'Bias Network'!K181</f>
        <v>-17.360616643397954</v>
      </c>
    </row>
    <row r="181" spans="1:7" x14ac:dyDescent="0.25">
      <c r="A181">
        <f>'Input Stage'!H182</f>
        <v>39.159507821017804</v>
      </c>
      <c r="B181">
        <f>'Input Stage'!K182</f>
        <v>-0.27155733941407878</v>
      </c>
      <c r="C181">
        <f>'NI AC Coupled Amp'!K182</f>
        <v>39.814897606705529</v>
      </c>
      <c r="D181">
        <f t="shared" si="2"/>
        <v>39.543340267291448</v>
      </c>
      <c r="F181">
        <f>'Bias Network'!H182</f>
        <v>6.0830303411289792</v>
      </c>
      <c r="G181">
        <f>'Bias Network'!K182</f>
        <v>-17.732457527962325</v>
      </c>
    </row>
    <row r="182" spans="1:7" x14ac:dyDescent="0.25">
      <c r="A182">
        <f>'Input Stage'!H183</f>
        <v>41.005038567010224</v>
      </c>
      <c r="B182">
        <f>'Input Stage'!K183</f>
        <v>-0.24833295011468448</v>
      </c>
      <c r="C182">
        <f>'NI AC Coupled Amp'!K183</f>
        <v>39.838119578908589</v>
      </c>
      <c r="D182">
        <f t="shared" si="2"/>
        <v>39.589786628793902</v>
      </c>
      <c r="F182">
        <f>'Bias Network'!H183</f>
        <v>6.369714728855957</v>
      </c>
      <c r="G182">
        <f>'Bias Network'!K183</f>
        <v>-18.106615942034235</v>
      </c>
    </row>
    <row r="183" spans="1:7" x14ac:dyDescent="0.25">
      <c r="A183">
        <f>'Input Stage'!H184</f>
        <v>42.937546497444558</v>
      </c>
      <c r="B183">
        <f>'Input Stage'!K184</f>
        <v>-0.2270432231777248</v>
      </c>
      <c r="C183">
        <f>'NI AC Coupled Amp'!K184</f>
        <v>39.859407101426306</v>
      </c>
      <c r="D183">
        <f t="shared" si="2"/>
        <v>39.632363878248583</v>
      </c>
      <c r="F183">
        <f>'Bias Network'!H184</f>
        <v>6.6699101355253676</v>
      </c>
      <c r="G183">
        <f>'Bias Network'!K184</f>
        <v>-18.482913315396182</v>
      </c>
    </row>
    <row r="184" spans="1:7" x14ac:dyDescent="0.25">
      <c r="A184">
        <f>'Input Stage'!H185</f>
        <v>44.961130720737103</v>
      </c>
      <c r="B184">
        <f>'Input Stage'!K185</f>
        <v>-0.20753534471478971</v>
      </c>
      <c r="C184">
        <f>'NI AC Coupled Amp'!K185</f>
        <v>39.878912969434026</v>
      </c>
      <c r="D184">
        <f t="shared" si="2"/>
        <v>39.671377624719234</v>
      </c>
      <c r="F184">
        <f>'Bias Network'!H185</f>
        <v>6.9842533158426567</v>
      </c>
      <c r="G184">
        <f>'Bias Network'!K185</f>
        <v>-18.861182890703066</v>
      </c>
    </row>
    <row r="185" spans="1:7" x14ac:dyDescent="0.25">
      <c r="A185">
        <f>'Input Stage'!H186</f>
        <v>47.080083530332139</v>
      </c>
      <c r="B185">
        <f>'Input Stage'!K186</f>
        <v>-0.18966722308816775</v>
      </c>
      <c r="C185">
        <f>'NI AC Coupled Amp'!K186</f>
        <v>39.896779257502899</v>
      </c>
      <c r="D185">
        <f t="shared" si="2"/>
        <v>39.707112034414735</v>
      </c>
      <c r="F185">
        <f>'Bias Network'!H186</f>
        <v>7.3134110338380012</v>
      </c>
      <c r="G185">
        <f>'Bias Network'!K186</f>
        <v>-19.241269258134942</v>
      </c>
    </row>
    <row r="186" spans="1:7" x14ac:dyDescent="0.25">
      <c r="A186">
        <f>'Input Stage'!H187</f>
        <v>49.298899509231759</v>
      </c>
      <c r="B186">
        <f>'Input Stage'!K187</f>
        <v>-0.17330695677249666</v>
      </c>
      <c r="C186">
        <f>'NI AC Coupled Amp'!K187</f>
        <v>39.913137851593348</v>
      </c>
      <c r="D186">
        <f t="shared" si="2"/>
        <v>39.739830894820848</v>
      </c>
      <c r="F186">
        <f>'Bias Network'!H187</f>
        <v>7.6580814771622148</v>
      </c>
      <c r="G186">
        <f>'Bias Network'!K187</f>
        <v>-19.623027852423135</v>
      </c>
    </row>
    <row r="187" spans="1:7" x14ac:dyDescent="0.25">
      <c r="A187">
        <f>'Input Stage'!H188</f>
        <v>51.622285063609048</v>
      </c>
      <c r="B187">
        <f>'Input Stage'!K188</f>
        <v>-0.1583322903346164</v>
      </c>
      <c r="C187">
        <f>'NI AC Coupled Amp'!K188</f>
        <v>39.928110992943132</v>
      </c>
      <c r="D187">
        <f t="shared" si="2"/>
        <v>39.769778702608519</v>
      </c>
      <c r="F187">
        <f>'Bias Network'!H188</f>
        <v>8.0189957380363577</v>
      </c>
      <c r="G187">
        <f>'Bias Network'!K188</f>
        <v>-20.006324424940907</v>
      </c>
    </row>
    <row r="188" spans="1:7" x14ac:dyDescent="0.25">
      <c r="A188">
        <f>'Input Stage'!H189</f>
        <v>54.055168405726583</v>
      </c>
      <c r="B188">
        <f>'Input Stage'!K189</f>
        <v>-0.14463006716297108</v>
      </c>
      <c r="C188">
        <f>'NI AC Coupled Amp'!K189</f>
        <v>39.941811825217435</v>
      </c>
      <c r="D188">
        <f t="shared" si="2"/>
        <v>39.797181758054464</v>
      </c>
      <c r="F188">
        <f>'Bias Network'!H189</f>
        <v>8.3969193639963624</v>
      </c>
      <c r="G188">
        <f>'Bias Network'!K189</f>
        <v>-20.391034501640082</v>
      </c>
    </row>
    <row r="189" spans="1:7" x14ac:dyDescent="0.25">
      <c r="A189">
        <f>'Input Stage'!H190</f>
        <v>56.602710007335332</v>
      </c>
      <c r="B189">
        <f>'Input Stage'!K190</f>
        <v>-0.13209568602536736</v>
      </c>
      <c r="C189">
        <f>'NI AC Coupled Amp'!K190</f>
        <v>39.954344937841206</v>
      </c>
      <c r="D189">
        <f t="shared" si="2"/>
        <v>39.82224925181584</v>
      </c>
      <c r="F189">
        <f>'Bias Network'!H190</f>
        <v>8.792653981721994</v>
      </c>
      <c r="G189">
        <f>'Bias Network'!K190</f>
        <v>-20.777042835853162</v>
      </c>
    </row>
    <row r="190" spans="1:7" x14ac:dyDescent="0.25">
      <c r="A190">
        <f>'Input Stage'!H191</f>
        <v>59.270313545727191</v>
      </c>
      <c r="B190">
        <f>'Input Stage'!K191</f>
        <v>-0.12063256715497217</v>
      </c>
      <c r="C190">
        <f>'NI AC Coupled Amp'!K191</f>
        <v>39.965806899812911</v>
      </c>
      <c r="D190">
        <f t="shared" si="2"/>
        <v>39.84517433265794</v>
      </c>
      <c r="F190">
        <f>'Bias Network'!H191</f>
        <v>9.2070389973945144</v>
      </c>
      <c r="G190">
        <f>'Bias Network'!K191</f>
        <v>-21.164242863390452</v>
      </c>
    </row>
    <row r="191" spans="1:7" x14ac:dyDescent="0.25">
      <c r="A191">
        <f>'Input Stage'!H192</f>
        <v>62.06363736565887</v>
      </c>
      <c r="B191">
        <f>'Input Stage'!K192</f>
        <v>-0.1101516323544752</v>
      </c>
      <c r="C191">
        <f>'NI AC Coupled Amp'!K192</f>
        <v>39.976286779509003</v>
      </c>
      <c r="D191">
        <f t="shared" si="2"/>
        <v>39.86613514715453</v>
      </c>
      <c r="F191">
        <f>'Bias Network'!H192</f>
        <v>9.640953377189728</v>
      </c>
      <c r="G191">
        <f>'Bias Network'!K192</f>
        <v>-21.552536165940083</v>
      </c>
    </row>
    <row r="192" spans="1:7" x14ac:dyDescent="0.25">
      <c r="A192">
        <f>'Input Stage'!H193</f>
        <v>64.988606481459925</v>
      </c>
      <c r="B192">
        <f>'Input Stage'!K193</f>
        <v>-0.10057080255995983</v>
      </c>
      <c r="C192">
        <f>'NI AC Coupled Amp'!K193</f>
        <v>39.985866647036609</v>
      </c>
      <c r="D192">
        <f t="shared" si="2"/>
        <v>39.885295844476651</v>
      </c>
      <c r="F192">
        <f>'Bias Network'!H193</f>
        <v>10.095317511683096</v>
      </c>
      <c r="G192">
        <f>'Bias Network'!K193</f>
        <v>-21.941831947530794</v>
      </c>
    </row>
    <row r="193" spans="1:7" x14ac:dyDescent="0.25">
      <c r="A193">
        <f>'Input Stage'!H194</f>
        <v>68.051425144782399</v>
      </c>
      <c r="B193">
        <f>'Input Stage'!K194</f>
        <v>-9.1814515408889796E-2</v>
      </c>
      <c r="C193">
        <f>'NI AC Coupled Amp'!K194</f>
        <v>39.994622056589662</v>
      </c>
      <c r="D193">
        <f t="shared" si="2"/>
        <v>39.902807541180771</v>
      </c>
      <c r="F193">
        <f>'Bias Network'!H194</f>
        <v>10.571095168121538</v>
      </c>
      <c r="G193">
        <f>'Bias Network'!K194</f>
        <v>-22.332046527731318</v>
      </c>
    </row>
    <row r="194" spans="1:7" x14ac:dyDescent="0.25">
      <c r="A194">
        <f>'Input Stage'!H195</f>
        <v>71.258590004650486</v>
      </c>
      <c r="B194">
        <f>'Input Stage'!K195</f>
        <v>-8.3813264596659123E-2</v>
      </c>
      <c r="C194">
        <f>'NI AC Coupled Amp'!K195</f>
        <v>40.002622507022842</v>
      </c>
      <c r="D194">
        <f t="shared" si="2"/>
        <v>39.918809242426185</v>
      </c>
      <c r="F194">
        <f>'Bias Network'!H195</f>
        <v>11.069295534702988</v>
      </c>
      <c r="G194">
        <f>'Bias Network'!K195</f>
        <v>-22.723102854328815</v>
      </c>
    </row>
    <row r="195" spans="1:7" x14ac:dyDescent="0.25">
      <c r="A195">
        <f>'Input Stage'!H196</f>
        <v>74.616903887724007</v>
      </c>
      <c r="B195">
        <f>'Input Stage'!K196</f>
        <v>-7.6503162171367073E-2</v>
      </c>
      <c r="C195">
        <f>'NI AC Coupled Amp'!K196</f>
        <v>40.009931879493628</v>
      </c>
      <c r="D195">
        <f t="shared" ref="D195:D202" si="3">B195+C195</f>
        <v>39.933428717322258</v>
      </c>
      <c r="F195">
        <f>'Bias Network'!H196</f>
        <v>11.590975361199845</v>
      </c>
      <c r="G195">
        <f>'Bias Network'!K196</f>
        <v>-23.114930037438018</v>
      </c>
    </row>
    <row r="196" spans="1:7" x14ac:dyDescent="0.25">
      <c r="A196">
        <f>'Input Stage'!H197</f>
        <v>78.133490228005925</v>
      </c>
      <c r="B196">
        <f>'Input Stage'!K197</f>
        <v>-6.9825524391372823E-2</v>
      </c>
      <c r="C196">
        <f>'NI AC Coupled Amp'!K197</f>
        <v>40.016608851547097</v>
      </c>
      <c r="D196">
        <f t="shared" si="3"/>
        <v>39.946783327155721</v>
      </c>
      <c r="F196">
        <f>'Bias Network'!H197</f>
        <v>12.13724120046694</v>
      </c>
      <c r="G196">
        <f>'Bias Network'!K197</f>
        <v>-23.507462906329145</v>
      </c>
    </row>
    <row r="197" spans="1:7" x14ac:dyDescent="0.25">
      <c r="A197">
        <f>'Input Stage'!H198</f>
        <v>81.815808176601024</v>
      </c>
      <c r="B197">
        <f>'Input Stage'!K198</f>
        <v>-6.3726481342665883E-2</v>
      </c>
      <c r="C197">
        <f>'NI AC Coupled Amp'!K198</f>
        <v>40.022707287445904</v>
      </c>
      <c r="D197">
        <f t="shared" si="3"/>
        <v>39.958980806103241</v>
      </c>
      <c r="F197">
        <f>'Bias Network'!H198</f>
        <v>12.709251755588509</v>
      </c>
      <c r="G197">
        <f>'Bias Network'!K198</f>
        <v>-23.900641589713693</v>
      </c>
    </row>
    <row r="198" spans="1:7" x14ac:dyDescent="0.25">
      <c r="A198">
        <f>'Input Stage'!H199</f>
        <v>85.671668423575127</v>
      </c>
      <c r="B198">
        <f>'Input Stage'!K199</f>
        <v>-5.8156610169759024E-2</v>
      </c>
      <c r="C198">
        <f>'NI AC Coupled Amp'!K199</f>
        <v>40.028276604891445</v>
      </c>
      <c r="D198">
        <f t="shared" si="3"/>
        <v>39.970119994721685</v>
      </c>
      <c r="F198">
        <f>'Bias Network'!H199</f>
        <v>13.308220337642737</v>
      </c>
      <c r="G198">
        <f>'Bias Network'!K199</f>
        <v>-24.294411119777539</v>
      </c>
    </row>
    <row r="199" spans="1:7" x14ac:dyDescent="0.25">
      <c r="A199">
        <f>'Input Stage'!H200</f>
        <v>89.709249765476301</v>
      </c>
      <c r="B199">
        <f>'Input Stage'!K200</f>
        <v>-5.307059150281189E-2</v>
      </c>
      <c r="C199">
        <f>'NI AC Coupled Amp'!K200</f>
        <v>40.033362118552972</v>
      </c>
      <c r="D199">
        <f t="shared" si="3"/>
        <v>39.980291527050163</v>
      </c>
      <c r="F199">
        <f>'Bias Network'!H200</f>
        <v>13.935417439297289</v>
      </c>
      <c r="G199">
        <f>'Bias Network'!K200</f>
        <v>-24.688721059888831</v>
      </c>
    </row>
    <row r="200" spans="1:7" x14ac:dyDescent="0.25">
      <c r="A200">
        <f>'Input Stage'!H201</f>
        <v>93.937116453658717</v>
      </c>
      <c r="B200">
        <f>'Input Stage'!K201</f>
        <v>-4.8426888454758198E-2</v>
      </c>
      <c r="C200">
        <f>'NI AC Coupled Amp'!K201</f>
        <v>40.038005361030564</v>
      </c>
      <c r="D200">
        <f t="shared" si="3"/>
        <v>39.989578472575808</v>
      </c>
      <c r="F200">
        <f>'Bias Network'!H201</f>
        <v>14.592173429694558</v>
      </c>
      <c r="G200">
        <f>'Bias Network'!K201</f>
        <v>-25.083525155620947</v>
      </c>
    </row>
    <row r="201" spans="1:7" x14ac:dyDescent="0.25">
      <c r="A201">
        <f>'Input Stage'!H202</f>
        <v>98.364236360207897</v>
      </c>
      <c r="B201">
        <f>'Input Stage'!K202</f>
        <v>-4.4187447405178853E-2</v>
      </c>
      <c r="C201">
        <f>'NI AC Coupled Amp'!K202</f>
        <v>40.042244382034831</v>
      </c>
      <c r="D201">
        <f t="shared" si="3"/>
        <v>39.998056934629652</v>
      </c>
      <c r="F201">
        <f>'Bias Network'!H202</f>
        <v>15.279881376342974</v>
      </c>
      <c r="G201">
        <f>'Bias Network'!K202</f>
        <v>-25.478781008508847</v>
      </c>
    </row>
    <row r="202" spans="1:7" x14ac:dyDescent="0.25">
      <c r="A202">
        <f>'Input Stage'!H203</f>
        <v>103</v>
      </c>
      <c r="B202">
        <f>'Input Stage'!K203</f>
        <v>-4.0317419674298006E-2</v>
      </c>
      <c r="C202">
        <f>'NI AC Coupled Amp'!K203</f>
        <v>40.046114026679831</v>
      </c>
      <c r="D202">
        <f t="shared" si="3"/>
        <v>40.005796607005536</v>
      </c>
      <c r="F202">
        <f>'Bias Network'!H203</f>
        <v>16</v>
      </c>
      <c r="G202">
        <f>'Bias Network'!K203</f>
        <v>-25.874449771787852</v>
      </c>
    </row>
    <row r="203" spans="1:7" x14ac:dyDescent="0.25">
      <c r="A203">
        <f>'Input Stage'!H204</f>
        <v>107.85424044924271</v>
      </c>
      <c r="B203">
        <f>'Input Stage'!K204</f>
        <v>-3.6784903113024563E-2</v>
      </c>
      <c r="C203">
        <f>'NI AC Coupled Amp'!K204</f>
        <v>40.049646193862635</v>
      </c>
      <c r="D203">
        <f t="shared" ref="D203:D266" si="4">B203+C203</f>
        <v>40.012861290749612</v>
      </c>
      <c r="F203">
        <f>'Bias Network'!H204</f>
        <v>16.754056768814401</v>
      </c>
      <c r="G203">
        <f>'Bias Network'!K204</f>
        <v>-26.270495867241571</v>
      </c>
    </row>
    <row r="204" spans="1:7" x14ac:dyDescent="0.25">
      <c r="A204">
        <f>'Input Stage'!H205</f>
        <v>112.93725420274809</v>
      </c>
      <c r="B204">
        <f>'Input Stage'!K205</f>
        <v>-3.3560702587328288E-2</v>
      </c>
      <c r="C204">
        <f>'NI AC Coupled Amp'!K205</f>
        <v>40.052870075751244</v>
      </c>
      <c r="D204">
        <f t="shared" si="4"/>
        <v>40.019309373163914</v>
      </c>
      <c r="F204">
        <f>'Bias Network'!H205</f>
        <v>17.543651138290965</v>
      </c>
      <c r="G204">
        <f>'Bias Network'!K205</f>
        <v>-26.66688672219998</v>
      </c>
    </row>
    <row r="205" spans="1:7" x14ac:dyDescent="0.25">
      <c r="A205">
        <f>'Input Stage'!H206</f>
        <v>118.25982301417901</v>
      </c>
      <c r="B205">
        <f>'Input Stage'!K206</f>
        <v>-3.0618108311169324E-2</v>
      </c>
      <c r="C205">
        <f>'NI AC Coupled Amp'!K206</f>
        <v>40.055812379426854</v>
      </c>
      <c r="D205">
        <f t="shared" si="4"/>
        <v>40.025194271115687</v>
      </c>
      <c r="F205">
        <f>'Bias Network'!H206</f>
        <v>18.370457943950136</v>
      </c>
      <c r="G205">
        <f>'Bias Network'!K206</f>
        <v>-27.063592525675354</v>
      </c>
    </row>
    <row r="206" spans="1:7" x14ac:dyDescent="0.25">
      <c r="A206">
        <f>'Input Stage'!H207</f>
        <v>123.83323676559357</v>
      </c>
      <c r="B206">
        <f>'Input Stage'!K207</f>
        <v>-2.7932690977614021E-2</v>
      </c>
      <c r="C206">
        <f>'NI AC Coupled Amp'!K207</f>
        <v>40.058497531729735</v>
      </c>
      <c r="D206">
        <f t="shared" si="4"/>
        <v>40.03056484075212</v>
      </c>
      <c r="F206">
        <f>'Bias Network'!H207</f>
        <v>19.236230953878614</v>
      </c>
      <c r="G206">
        <f>'Bias Network'!K207</f>
        <v>-27.460586002593445</v>
      </c>
    </row>
    <row r="207" spans="1:7" x14ac:dyDescent="0.25">
      <c r="A207">
        <f>'Input Stage'!H208</f>
        <v>129.66931741479931</v>
      </c>
      <c r="B207">
        <f>'Input Stage'!K208</f>
        <v>-2.5482112647837098E-2</v>
      </c>
      <c r="C207">
        <f>'NI AC Coupled Amp'!K208</f>
        <v>40.060947868348514</v>
      </c>
      <c r="D207">
        <f t="shared" si="4"/>
        <v>40.035465755700677</v>
      </c>
      <c r="F207">
        <f>'Bias Network'!H208</f>
        <v>20.142806588706691</v>
      </c>
      <c r="G207">
        <f>'Bias Network'!K208</f>
        <v>-27.857842205069346</v>
      </c>
    </row>
    <row r="208" spans="1:7" x14ac:dyDescent="0.25">
      <c r="A208">
        <f>'Input Stage'!H209</f>
        <v>135.78044407131</v>
      </c>
      <c r="B208">
        <f>'Input Stage'!K209</f>
        <v>-2.3245952379924287E-2</v>
      </c>
      <c r="C208">
        <f>'NI AC Coupled Amp'!K209</f>
        <v>40.063183808173477</v>
      </c>
      <c r="D208">
        <f t="shared" si="4"/>
        <v>40.039937855793553</v>
      </c>
      <c r="F208">
        <f>'Bias Network'!H209</f>
        <v>21.092107816902523</v>
      </c>
      <c r="G208">
        <f>'Bias Network'!K209</f>
        <v>-28.255338319684359</v>
      </c>
    </row>
    <row r="209" spans="1:7" x14ac:dyDescent="0.25">
      <c r="A209">
        <f>'Input Stage'!H210</f>
        <v>142.17957925409718</v>
      </c>
      <c r="B209">
        <f>'Input Stage'!K210</f>
        <v>-2.120554561000234E-2</v>
      </c>
      <c r="C209">
        <f>'NI AC Coupled Amp'!K210</f>
        <v>40.065224013897009</v>
      </c>
      <c r="D209">
        <f t="shared" si="4"/>
        <v>40.044018468287007</v>
      </c>
      <c r="F209">
        <f>'Bias Network'!H210</f>
        <v>22.086148233646163</v>
      </c>
      <c r="G209">
        <f>'Bias Network'!K210</f>
        <v>-28.653053489739353</v>
      </c>
    </row>
    <row r="210" spans="1:7" x14ac:dyDescent="0.25">
      <c r="A210">
        <f>'Input Stage'!H211</f>
        <v>148.88029638683054</v>
      </c>
      <c r="B210">
        <f>'Input Stage'!K211</f>
        <v>-1.9343836335486832E-2</v>
      </c>
      <c r="C210">
        <f>'NI AC Coupled Amp'!K211</f>
        <v>40.067085539814926</v>
      </c>
      <c r="D210">
        <f t="shared" si="4"/>
        <v>40.047741703479439</v>
      </c>
      <c r="F210">
        <f>'Bias Network'!H211</f>
        <v>23.127036331934843</v>
      </c>
      <c r="G210">
        <f>'Bias Network'!K211</f>
        <v>-29.050968651489754</v>
      </c>
    </row>
    <row r="211" spans="1:7" x14ac:dyDescent="0.25">
      <c r="A211">
        <f>'Input Stage'!H212</f>
        <v>155.8968085889295</v>
      </c>
      <c r="B211">
        <f>'Input Stage'!K212</f>
        <v>-1.764524119190301E-2</v>
      </c>
      <c r="C211">
        <f>'NI AC Coupled Amp'!K212</f>
        <v>40.068783967735314</v>
      </c>
      <c r="D211">
        <f t="shared" si="4"/>
        <v>40.051138726543414</v>
      </c>
      <c r="F211">
        <f>'Bias Network'!H212</f>
        <v>24.216979974979338</v>
      </c>
      <c r="G211">
        <f>'Bias Network'!K212</f>
        <v>-29.449066383402112</v>
      </c>
    </row>
    <row r="212" spans="1:7" x14ac:dyDescent="0.25">
      <c r="A212">
        <f>'Input Stage'!H213</f>
        <v>163.24399882349471</v>
      </c>
      <c r="B212">
        <f>'Input Stage'!K213</f>
        <v>-1.6095524559602736E-2</v>
      </c>
      <c r="C212">
        <f>'NI AC Coupled Amp'!K213</f>
        <v>40.070333531858331</v>
      </c>
      <c r="D212">
        <f t="shared" si="4"/>
        <v>40.054238007298729</v>
      </c>
      <c r="F212">
        <f>'Bias Network'!H213</f>
        <v>25.358291079377821</v>
      </c>
      <c r="G212">
        <f>'Bias Network'!K213</f>
        <v>-29.847330767514183</v>
      </c>
    </row>
    <row r="213" spans="1:7" x14ac:dyDescent="0.25">
      <c r="A213">
        <f>'Input Stage'!H214</f>
        <v>170.93745146606884</v>
      </c>
      <c r="B213">
        <f>'Input Stage'!K214</f>
        <v>-1.4681683882705028E-2</v>
      </c>
      <c r="C213">
        <f>'NI AC Coupled Amp'!K214</f>
        <v>40.071747233444995</v>
      </c>
      <c r="D213">
        <f t="shared" si="4"/>
        <v>40.057065549562289</v>
      </c>
      <c r="F213">
        <f>'Bias Network'!H214</f>
        <v>26.553390519000985</v>
      </c>
      <c r="G213">
        <f>'Bias Network'!K214</f>
        <v>-30.245747262023496</v>
      </c>
    </row>
    <row r="214" spans="1:7" x14ac:dyDescent="0.25">
      <c r="A214">
        <f>'Input Stage'!H215</f>
        <v>178.99348536118569</v>
      </c>
      <c r="B214">
        <f>'Input Stage'!K215</f>
        <v>-1.3391844429997003E-2</v>
      </c>
      <c r="C214">
        <f>'NI AC Coupled Amp'!K215</f>
        <v>40.073036946046052</v>
      </c>
      <c r="D214">
        <f t="shared" si="4"/>
        <v>40.059645101616056</v>
      </c>
      <c r="F214">
        <f>'Bias Network'!H215</f>
        <v>27.804813259990013</v>
      </c>
      <c r="G214">
        <f>'Bias Network'!K215</f>
        <v>-30.644302584276616</v>
      </c>
    </row>
    <row r="215" spans="1:7" x14ac:dyDescent="0.25">
      <c r="A215">
        <f>'Input Stage'!H216</f>
        <v>187.42918843682838</v>
      </c>
      <c r="B215">
        <f>'Input Stage'!K216</f>
        <v>-1.221516277400915E-2</v>
      </c>
      <c r="C215">
        <f>'NI AC Coupled Amp'!K216</f>
        <v>40.074213512011895</v>
      </c>
      <c r="D215">
        <f t="shared" si="4"/>
        <v>40.061998349237882</v>
      </c>
      <c r="F215">
        <f>'Bias Network'!H216</f>
        <v>29.115213737759746</v>
      </c>
      <c r="G215">
        <f>'Bias Network'!K216</f>
        <v>-31.042984603377057</v>
      </c>
    </row>
    <row r="216" spans="1:7" x14ac:dyDescent="0.25">
      <c r="A216">
        <f>'Input Stage'!H217</f>
        <v>196.26245395021454</v>
      </c>
      <c r="B216">
        <f>'Input Stage'!K217</f>
        <v>-1.1141738310869001E-2</v>
      </c>
      <c r="C216">
        <f>'NI AC Coupled Amp'!K217</f>
        <v>40.075286830964316</v>
      </c>
      <c r="D216">
        <f t="shared" si="4"/>
        <v>40.064145092653447</v>
      </c>
      <c r="F216">
        <f>'Bias Network'!H217</f>
        <v>30.487371487411963</v>
      </c>
      <c r="G216">
        <f>'Bias Network'!K217</f>
        <v>-31.441782241676947</v>
      </c>
    </row>
    <row r="217" spans="1:7" x14ac:dyDescent="0.25">
      <c r="A217">
        <f>'Input Stage'!H218</f>
        <v>205.51201844179471</v>
      </c>
      <c r="B217">
        <f>'Input Stage'!K218</f>
        <v>-1.0162532188307774E-2</v>
      </c>
      <c r="C217">
        <f>'NI AC Coupled Amp'!K218</f>
        <v>40.076265940859948</v>
      </c>
      <c r="D217">
        <f t="shared" si="4"/>
        <v>40.066103408671637</v>
      </c>
      <c r="F217">
        <f>'Bias Network'!H218</f>
        <v>31.92419703950209</v>
      </c>
      <c r="G217">
        <f>'Bias Network'!K218</f>
        <v>-31.84068538446525</v>
      </c>
    </row>
    <row r="218" spans="1:7" x14ac:dyDescent="0.25">
      <c r="A218">
        <f>'Input Stage'!H219</f>
        <v>215.19750147796614</v>
      </c>
      <c r="B218">
        <f>'Input Stage'!K219</f>
        <v>-9.2692930525730115E-3</v>
      </c>
      <c r="C218">
        <f>'NI AC Coupled Amp'!K219</f>
        <v>40.077159092235711</v>
      </c>
      <c r="D218">
        <f t="shared" si="4"/>
        <v>40.067889799183135</v>
      </c>
      <c r="F218">
        <f>'Bias Network'!H219</f>
        <v>33.428738093664641</v>
      </c>
      <c r="G218">
        <f>'Bias Network'!K219</f>
        <v>-32.239684797208646</v>
      </c>
    </row>
    <row r="219" spans="1:7" x14ac:dyDescent="0.25">
      <c r="A219">
        <f>'Input Stage'!H220</f>
        <v>225.33944726680406</v>
      </c>
      <c r="B219">
        <f>'Input Stage'!K220</f>
        <v>-8.4544890664241673E-3</v>
      </c>
      <c r="C219">
        <f>'NI AC Coupled Amp'!K220</f>
        <v>40.077973816183857</v>
      </c>
      <c r="D219">
        <f t="shared" si="4"/>
        <v>40.069519327117433</v>
      </c>
      <c r="F219">
        <f>'Bias Network'!H220</f>
        <v>35.004185983192862</v>
      </c>
      <c r="G219">
        <f>'Bias Network'!K220</f>
        <v>-32.638772049745995</v>
      </c>
    </row>
    <row r="220" spans="1:7" x14ac:dyDescent="0.25">
      <c r="A220">
        <f>'Input Stage'!H221</f>
        <v>235.95936823508072</v>
      </c>
      <c r="B220">
        <f>'Input Stage'!K221</f>
        <v>-7.7112456902368124E-3</v>
      </c>
      <c r="C220">
        <f>'NI AC Coupled Amp'!K221</f>
        <v>40.078716986564409</v>
      </c>
      <c r="D220">
        <f t="shared" si="4"/>
        <v>40.07100574087417</v>
      </c>
      <c r="F220">
        <f>'Bias Network'!H221</f>
        <v>36.653882444284385</v>
      </c>
      <c r="G220">
        <f>'Bias Network'!K221</f>
        <v>-33.037939446879058</v>
      </c>
    </row>
    <row r="221" spans="1:7" x14ac:dyDescent="0.25">
      <c r="A221">
        <f>'Input Stage'!H222</f>
        <v>247.07979065900756</v>
      </c>
      <c r="B221">
        <f>'Input Stage'!K222</f>
        <v>-7.0332887553245611E-3</v>
      </c>
      <c r="C221">
        <f>'NI AC Coupled Amp'!K222</f>
        <v>40.079394876926592</v>
      </c>
      <c r="D221">
        <f t="shared" si="4"/>
        <v>40.072361588171269</v>
      </c>
      <c r="F221">
        <f>'Bias Network'!H222</f>
        <v>38.381326704311853</v>
      </c>
      <c r="G221">
        <f>'Bias Network'!K222</f>
        <v>-33.437179964842436</v>
      </c>
    </row>
    <row r="222" spans="1:7" x14ac:dyDescent="0.25">
      <c r="A222">
        <f>'Input Stage'!H223</f>
        <v>258.72430244548673</v>
      </c>
      <c r="B222">
        <f>'Input Stage'!K223</f>
        <v>-6.4148923943085634E-3</v>
      </c>
      <c r="C222">
        <f>'NI AC Coupled Amp'!K223</f>
        <v>40.080013212572531</v>
      </c>
      <c r="D222">
        <f t="shared" si="4"/>
        <v>40.07359832017822</v>
      </c>
      <c r="F222">
        <f>'Bias Network'!H223</f>
        <v>40.190182904153282</v>
      </c>
      <c r="G222">
        <f>'Bias Network'!K223</f>
        <v>-33.836487193172928</v>
      </c>
    </row>
    <row r="223" spans="1:7" x14ac:dyDescent="0.25">
      <c r="A223">
        <f>'Input Stage'!H224</f>
        <v>270.91760316522442</v>
      </c>
      <c r="B223">
        <f>'Input Stage'!K224</f>
        <v>-5.8508314265158902E-3</v>
      </c>
      <c r="C223">
        <f>'NI AC Coupled Amp'!K224</f>
        <v>40.080577218167505</v>
      </c>
      <c r="D223">
        <f t="shared" si="4"/>
        <v>40.074726386740991</v>
      </c>
      <c r="F223">
        <f>'Bias Network'!H224</f>
        <v>42.084287870326122</v>
      </c>
      <c r="G223">
        <f>'Bias Network'!K224</f>
        <v>-34.235855281535727</v>
      </c>
    </row>
    <row r="224" spans="1:7" x14ac:dyDescent="0.25">
      <c r="A224">
        <f>'Input Stage'!H225</f>
        <v>283.68555644383116</v>
      </c>
      <c r="B224">
        <f>'Input Stage'!K225</f>
        <v>-5.3363378274176986E-3</v>
      </c>
      <c r="C224">
        <f>'NI AC Coupled Amp'!K225</f>
        <v>40.081091661266008</v>
      </c>
      <c r="D224">
        <f t="shared" si="4"/>
        <v>40.075755323438592</v>
      </c>
      <c r="F224">
        <f>'Bias Network'!H225</f>
        <v>44.067659253410667</v>
      </c>
      <c r="G224">
        <f>'Bias Network'!K225</f>
        <v>-34.635278891096377</v>
      </c>
    </row>
    <row r="225" spans="1:7" x14ac:dyDescent="0.25">
      <c r="A225">
        <f>'Input Stage'!H226</f>
        <v>297.05524482204049</v>
      </c>
      <c r="B225">
        <f>'Input Stage'!K226</f>
        <v>-4.8670609405802919E-3</v>
      </c>
      <c r="C225">
        <f>'NI AC Coupled Amp'!K226</f>
        <v>40.081560892095766</v>
      </c>
      <c r="D225">
        <f t="shared" si="4"/>
        <v>40.076693831155183</v>
      </c>
      <c r="F225">
        <f>'Bias Network'!H226</f>
        <v>46.144504050025709</v>
      </c>
      <c r="G225">
        <f>'Bias Network'!K226</f>
        <v>-35.034753150062102</v>
      </c>
    </row>
    <row r="226" spans="1:7" x14ac:dyDescent="0.25">
      <c r="A226">
        <f>'Input Stage'!H227</f>
        <v>311.05502720140771</v>
      </c>
      <c r="B226">
        <f>'Input Stage'!K227</f>
        <v>-4.4390311172046275E-3</v>
      </c>
      <c r="C226">
        <f>'NI AC Coupled Amp'!K227</f>
        <v>40.081988879914583</v>
      </c>
      <c r="D226">
        <f t="shared" si="4"/>
        <v>40.077549848797375</v>
      </c>
      <c r="F226">
        <f>'Bias Network'!H227</f>
        <v>48.319227526432265</v>
      </c>
      <c r="G226">
        <f>'Bias Network'!K227</f>
        <v>-35.434273613043217</v>
      </c>
    </row>
    <row r="227" spans="1:7" x14ac:dyDescent="0.25">
      <c r="A227">
        <f>'Input Stage'!H228</f>
        <v>325.71459899734322</v>
      </c>
      <c r="B227">
        <f>'Input Stage'!K228</f>
        <v>-4.0486264942637849E-3</v>
      </c>
      <c r="C227">
        <f>'NI AC Coupled Amp'!K228</f>
        <v>40.082379246228825</v>
      </c>
      <c r="D227">
        <f t="shared" si="4"/>
        <v>40.078330619734558</v>
      </c>
      <c r="F227">
        <f>'Bias Network'!H228</f>
        <v>50.596442562694087</v>
      </c>
      <c r="G227">
        <f>'Bias Network'!K228</f>
        <v>-35.833836223913494</v>
      </c>
    </row>
    <row r="228" spans="1:7" x14ac:dyDescent="0.25">
      <c r="A228">
        <f>'Input Stage'!H229</f>
        <v>341.06505512706906</v>
      </c>
      <c r="B228">
        <f>'Input Stage'!K229</f>
        <v>-3.6925426449091279E-3</v>
      </c>
      <c r="C228">
        <f>'NI AC Coupled Amp'!K229</f>
        <v>40.08273529514036</v>
      </c>
      <c r="D228">
        <f t="shared" si="4"/>
        <v>40.079042752495454</v>
      </c>
      <c r="F228">
        <f>'Bias Network'!H229</f>
        <v>52.980979437214607</v>
      </c>
      <c r="G228">
        <f>'Bias Network'!K229</f>
        <v>-36.233437281875453</v>
      </c>
    </row>
    <row r="229" spans="1:7" x14ac:dyDescent="0.25">
      <c r="A229">
        <f>'Input Stage'!H230</f>
        <v>357.1389559661078</v>
      </c>
      <c r="B229">
        <f>'Input Stage'!K230</f>
        <v>-3.3677648571715573E-3</v>
      </c>
      <c r="C229">
        <f>'NI AC Coupled Amp'!K230</f>
        <v>40.083060041064378</v>
      </c>
      <c r="D229">
        <f t="shared" si="4"/>
        <v>40.079692276207204</v>
      </c>
      <c r="F229">
        <f>'Bias Network'!H230</f>
        <v>55.477896072405088</v>
      </c>
      <c r="G229">
        <f>'Bias Network'!K230</f>
        <v>-36.633073410457854</v>
      </c>
    </row>
    <row r="230" spans="1:7" x14ac:dyDescent="0.25">
      <c r="A230">
        <f>'Input Stage'!H231</f>
        <v>373.97039641320464</v>
      </c>
      <c r="B230">
        <f>'Input Stage'!K231</f>
        <v>-3.0715428166449795E-3</v>
      </c>
      <c r="C230">
        <f>'NI AC Coupled Amp'!K231</f>
        <v>40.083356234044814</v>
      </c>
      <c r="D230">
        <f t="shared" si="4"/>
        <v>40.080284691228172</v>
      </c>
      <c r="F230">
        <f>'Bias Network'!H231</f>
        <v>58.092488763216252</v>
      </c>
      <c r="G230">
        <f>'Bias Network'!K231</f>
        <v>-37.032741529197722</v>
      </c>
    </row>
    <row r="231" spans="1:7" x14ac:dyDescent="0.25">
      <c r="A231">
        <f>'Input Stage'!H232</f>
        <v>391.59507821017826</v>
      </c>
      <c r="B231">
        <f>'Input Stage'!K232</f>
        <v>-2.8013674875668128E-3</v>
      </c>
      <c r="C231">
        <f>'NI AC Coupled Amp'!K232</f>
        <v>40.08362638287079</v>
      </c>
      <c r="D231">
        <f t="shared" si="4"/>
        <v>40.080825015383226</v>
      </c>
      <c r="F231">
        <f>'Bias Network'!H232</f>
        <v>60.830303411289826</v>
      </c>
      <c r="G231">
        <f>'Bias Network'!K232</f>
        <v>-37.432438827776863</v>
      </c>
    </row>
    <row r="232" spans="1:7" x14ac:dyDescent="0.25">
      <c r="A232">
        <f>'Input Stage'!H233</f>
        <v>410.05038567010251</v>
      </c>
      <c r="B232">
        <f>'Input Stage'!K233</f>
        <v>-2.5549500036750111E-3</v>
      </c>
      <c r="C232">
        <f>'NI AC Coupled Amp'!K233</f>
        <v>40.083872776183568</v>
      </c>
      <c r="D232">
        <f t="shared" si="4"/>
        <v>40.081317826179891</v>
      </c>
      <c r="F232">
        <f>'Bias Network'!H233</f>
        <v>63.697147288559613</v>
      </c>
      <c r="G232">
        <f>'Bias Network'!K233</f>
        <v>-37.832162742403519</v>
      </c>
    </row>
    <row r="233" spans="1:7" x14ac:dyDescent="0.25">
      <c r="A233">
        <f>'Input Stage'!H234</f>
        <v>429.37546497444572</v>
      </c>
      <c r="B233">
        <f>'Input Stage'!K234</f>
        <v>-2.3302023962813523E-3</v>
      </c>
      <c r="C233">
        <f>'NI AC Coupled Amp'!K234</f>
        <v>40.084097501746648</v>
      </c>
      <c r="D233">
        <f t="shared" si="4"/>
        <v>40.081767299350368</v>
      </c>
      <c r="F233">
        <f>'Bias Network'!H234</f>
        <v>66.699101355253703</v>
      </c>
      <c r="G233">
        <f>'Bias Network'!K234</f>
        <v>-38.231910934246955</v>
      </c>
    </row>
    <row r="234" spans="1:7" x14ac:dyDescent="0.25">
      <c r="A234">
        <f>'Input Stage'!H235</f>
        <v>449.61130720737111</v>
      </c>
      <c r="B234">
        <f>'Input Stage'!K235</f>
        <v>-2.125220001062916E-3</v>
      </c>
      <c r="C234">
        <f>'NI AC Coupled Amp'!K235</f>
        <v>40.084302464037251</v>
      </c>
      <c r="D234">
        <f t="shared" si="4"/>
        <v>40.082177244036188</v>
      </c>
      <c r="F234">
        <f>'Bias Network'!H235</f>
        <v>69.842533158426576</v>
      </c>
      <c r="G234">
        <f>'Bias Network'!K235</f>
        <v>-38.631681269748491</v>
      </c>
    </row>
    <row r="235" spans="1:7" x14ac:dyDescent="0.25">
      <c r="A235">
        <f>'Input Stage'!H236</f>
        <v>470.80083530332138</v>
      </c>
      <c r="B235">
        <f>'Input Stage'!K236</f>
        <v>-1.9382653989093264E-3</v>
      </c>
      <c r="C235">
        <f>'NI AC Coupled Amp'!K236</f>
        <v>40.084489400303738</v>
      </c>
      <c r="D235">
        <f t="shared" si="4"/>
        <v>40.082551134904826</v>
      </c>
      <c r="F235">
        <f>'Bias Network'!H236</f>
        <v>73.134110338380012</v>
      </c>
      <c r="G235">
        <f>'Bias Network'!K236</f>
        <v>-39.031471802646635</v>
      </c>
    </row>
    <row r="236" spans="1:7" x14ac:dyDescent="0.25">
      <c r="A236">
        <f>'Input Stage'!H237</f>
        <v>492.98899509231774</v>
      </c>
      <c r="B236">
        <f>'Input Stage'!K237</f>
        <v>-1.7677537580403386E-3</v>
      </c>
      <c r="C236">
        <f>'NI AC Coupled Amp'!K237</f>
        <v>40.084659895222295</v>
      </c>
      <c r="D236">
        <f t="shared" si="4"/>
        <v>40.082892141464256</v>
      </c>
      <c r="F236">
        <f>'Bias Network'!H237</f>
        <v>76.580814771622173</v>
      </c>
      <c r="G236">
        <f>'Bias Network'!K237</f>
        <v>-39.431280757570299</v>
      </c>
    </row>
    <row r="237" spans="1:7" x14ac:dyDescent="0.25">
      <c r="A237">
        <f>'Input Stage'!H238</f>
        <v>516.22285063609058</v>
      </c>
      <c r="B237">
        <f>'Input Stage'!K238</f>
        <v>-1.6122394561897957E-3</v>
      </c>
      <c r="C237">
        <f>'NI AC Coupled Amp'!K238</f>
        <v>40.084815394273164</v>
      </c>
      <c r="D237">
        <f t="shared" si="4"/>
        <v>40.083203154816971</v>
      </c>
      <c r="F237">
        <f>'Bias Network'!H238</f>
        <v>80.18995738036358</v>
      </c>
      <c r="G237">
        <f>'Bias Network'!K238</f>
        <v>-39.831106515062217</v>
      </c>
    </row>
    <row r="238" spans="1:7" x14ac:dyDescent="0.25">
      <c r="A238">
        <f>'Input Stage'!H239</f>
        <v>540.55168405726613</v>
      </c>
      <c r="B238">
        <f>'Input Stage'!K239</f>
        <v>-1.4704038717555006E-3</v>
      </c>
      <c r="C238">
        <f>'NI AC Coupled Amp'!K239</f>
        <v>40.084957215948585</v>
      </c>
      <c r="D238">
        <f t="shared" si="4"/>
        <v>40.083486812076828</v>
      </c>
      <c r="F238">
        <f>'Bias Network'!H239</f>
        <v>83.969193639963663</v>
      </c>
      <c r="G238">
        <f>'Bias Network'!K239</f>
        <v>-40.230947597910784</v>
      </c>
    </row>
    <row r="239" spans="1:7" x14ac:dyDescent="0.25">
      <c r="A239">
        <f>'Input Stage'!H240</f>
        <v>566.02710007335349</v>
      </c>
      <c r="B239">
        <f>'Input Stage'!K240</f>
        <v>-1.3410442424778733E-3</v>
      </c>
      <c r="C239">
        <f>'NI AC Coupled Amp'!K240</f>
        <v>40.085086562892663</v>
      </c>
      <c r="D239">
        <f t="shared" si="4"/>
        <v>40.083745518650183</v>
      </c>
      <c r="F239">
        <f>'Bias Network'!H240</f>
        <v>87.926539817219961</v>
      </c>
      <c r="G239">
        <f>'Bias Network'!K240</f>
        <v>-40.630802658675819</v>
      </c>
    </row>
    <row r="240" spans="1:7" x14ac:dyDescent="0.25">
      <c r="A240">
        <f>'Input Stage'!H241</f>
        <v>592.70313545727174</v>
      </c>
      <c r="B240">
        <f>'Input Stage'!K241</f>
        <v>-1.2230634988131615E-3</v>
      </c>
      <c r="C240">
        <f>'NI AC Coupled Amp'!K241</f>
        <v>40.085204532067316</v>
      </c>
      <c r="D240">
        <f t="shared" si="4"/>
        <v>40.083981468568503</v>
      </c>
      <c r="F240">
        <f>'Bias Network'!H241</f>
        <v>92.070389973945112</v>
      </c>
      <c r="G240">
        <f>'Bias Network'!K241</f>
        <v>-41.030670468304926</v>
      </c>
    </row>
    <row r="241" spans="1:7" x14ac:dyDescent="0.25">
      <c r="A241">
        <f>'Input Stage'!H242</f>
        <v>620.63637365658906</v>
      </c>
      <c r="B241">
        <f>'Input Stage'!K242</f>
        <v>-1.1154609872179185E-3</v>
      </c>
      <c r="C241">
        <f>'NI AC Coupled Amp'!K242</f>
        <v>40.085312124027908</v>
      </c>
      <c r="D241">
        <f t="shared" si="4"/>
        <v>40.084196663040693</v>
      </c>
      <c r="F241">
        <f>'Bias Network'!H242</f>
        <v>96.409533771897316</v>
      </c>
      <c r="G241">
        <f>'Bias Network'!K242</f>
        <v>-41.430549905745586</v>
      </c>
    </row>
    <row r="242" spans="1:7" x14ac:dyDescent="0.25">
      <c r="A242">
        <f>'Input Stage'!H243</f>
        <v>649.88606481459954</v>
      </c>
      <c r="B242">
        <f>'Input Stage'!K243</f>
        <v>-1.0173240058029334E-3</v>
      </c>
      <c r="C242">
        <f>'NI AC Coupled Amp'!K243</f>
        <v>40.085410251386648</v>
      </c>
      <c r="D242">
        <f t="shared" si="4"/>
        <v>40.084392927380847</v>
      </c>
      <c r="F242">
        <f>'Bias Network'!H243</f>
        <v>100.95317511683099</v>
      </c>
      <c r="G242">
        <f>'Bias Network'!K243</f>
        <v>-41.830439948466456</v>
      </c>
    </row>
    <row r="243" spans="1:7" x14ac:dyDescent="0.25">
      <c r="A243">
        <f>'Input Stage'!H244</f>
        <v>680.51425144782422</v>
      </c>
      <c r="B243">
        <f>'Input Stage'!K244</f>
        <v>-9.2782008147407661E-4</v>
      </c>
      <c r="C243">
        <f>'NI AC Coupled Amp'!K244</f>
        <v>40.085499746534893</v>
      </c>
      <c r="D243">
        <f t="shared" si="4"/>
        <v>40.084571926453421</v>
      </c>
      <c r="F243">
        <f>'Bias Network'!H244</f>
        <v>105.71095168121541</v>
      </c>
      <c r="G243">
        <f>'Bias Network'!K244</f>
        <v>-42.230339663808664</v>
      </c>
    </row>
    <row r="244" spans="1:7" x14ac:dyDescent="0.25">
      <c r="A244">
        <f>'Input Stage'!H245</f>
        <v>712.58590004650466</v>
      </c>
      <c r="B244">
        <f>'Input Stage'!K245</f>
        <v>-8.4618992402450471E-4</v>
      </c>
      <c r="C244">
        <f>'NI AC Coupled Amp'!K245</f>
        <v>40.085581368688537</v>
      </c>
      <c r="D244">
        <f t="shared" si="4"/>
        <v>40.084735178764511</v>
      </c>
      <c r="F244">
        <f>'Bias Network'!H245</f>
        <v>110.69295534702985</v>
      </c>
      <c r="G244">
        <f>'Bias Network'!K245</f>
        <v>-42.630248201094645</v>
      </c>
    </row>
    <row r="245" spans="1:7" x14ac:dyDescent="0.25">
      <c r="A245">
        <f>'Input Stage'!H246</f>
        <v>746.1690388772405</v>
      </c>
      <c r="B245">
        <f>'Input Stage'!K246</f>
        <v>-7.7174099781994465E-4</v>
      </c>
      <c r="C245">
        <f>'NI AC Coupled Amp'!K246</f>
        <v>40.085655810315181</v>
      </c>
      <c r="D245">
        <f t="shared" si="4"/>
        <v>40.084884069317361</v>
      </c>
      <c r="F245">
        <f>'Bias Network'!H246</f>
        <v>115.90975361199851</v>
      </c>
      <c r="G245">
        <f>'Bias Network'!K246</f>
        <v>-43.030164784428607</v>
      </c>
    </row>
    <row r="246" spans="1:7" x14ac:dyDescent="0.25">
      <c r="A246">
        <f>'Input Stage'!H247</f>
        <v>781.33490228005917</v>
      </c>
      <c r="B246">
        <f>'Input Stage'!K247</f>
        <v>-7.0384165739607624E-4</v>
      </c>
      <c r="C246">
        <f>'NI AC Coupled Amp'!K247</f>
        <v>40.085723702998415</v>
      </c>
      <c r="D246">
        <f t="shared" si="4"/>
        <v>40.085019861341017</v>
      </c>
      <c r="F246">
        <f>'Bias Network'!H247</f>
        <v>121.37241200466939</v>
      </c>
      <c r="G246">
        <f>'Bias Network'!K247</f>
        <v>-43.430088706128025</v>
      </c>
    </row>
    <row r="247" spans="1:7" x14ac:dyDescent="0.25">
      <c r="A247">
        <f>'Input Stage'!H248</f>
        <v>818.15808176601047</v>
      </c>
      <c r="B247">
        <f>'Input Stage'!K248</f>
        <v>-6.4191579736557597E-4</v>
      </c>
      <c r="C247">
        <f>'NI AC Coupled Amp'!K248</f>
        <v>40.085785622786915</v>
      </c>
      <c r="D247">
        <f t="shared" si="4"/>
        <v>40.085143706989548</v>
      </c>
      <c r="F247">
        <f>'Bias Network'!H248</f>
        <v>127.09251755588512</v>
      </c>
      <c r="G247">
        <f>'Bias Network'!K248</f>
        <v>-43.830019320731246</v>
      </c>
    </row>
    <row r="248" spans="1:7" x14ac:dyDescent="0.25">
      <c r="A248">
        <f>'Input Stage'!H249</f>
        <v>856.71668423575147</v>
      </c>
      <c r="B248">
        <f>'Input Stage'!K249</f>
        <v>-5.8543797188876593E-4</v>
      </c>
      <c r="C248">
        <f>'NI AC Coupled Amp'!K249</f>
        <v>40.085842095075108</v>
      </c>
      <c r="D248">
        <f t="shared" si="4"/>
        <v>40.085256657103223</v>
      </c>
      <c r="F248">
        <f>'Bias Network'!H249</f>
        <v>133.0822033764274</v>
      </c>
      <c r="G248">
        <f>'Bias Network'!K249</f>
        <v>-44.229956039530734</v>
      </c>
    </row>
    <row r="249" spans="1:7" x14ac:dyDescent="0.25">
      <c r="A249">
        <f>'Input Stage'!H250</f>
        <v>897.09249765476318</v>
      </c>
      <c r="B249">
        <f>'Input Stage'!K250</f>
        <v>-5.3392894249837679E-4</v>
      </c>
      <c r="C249">
        <f>'NI AC Coupled Amp'!K250</f>
        <v>40.08589359905443</v>
      </c>
      <c r="D249">
        <f t="shared" si="4"/>
        <v>40.085359670111934</v>
      </c>
      <c r="F249">
        <f>'Bias Network'!H250</f>
        <v>139.35417439297291</v>
      </c>
      <c r="G249">
        <f>'Bias Network'!K250</f>
        <v>-44.629898325586012</v>
      </c>
    </row>
    <row r="250" spans="1:7" x14ac:dyDescent="0.25">
      <c r="A250">
        <f>'Input Stage'!H251</f>
        <v>939.37116453658712</v>
      </c>
      <c r="B250">
        <f>'Input Stage'!K251</f>
        <v>-4.8695161670200262E-4</v>
      </c>
      <c r="C250">
        <f>'NI AC Coupled Amp'!K251</f>
        <v>40.085940571774479</v>
      </c>
      <c r="D250">
        <f t="shared" si="4"/>
        <v>40.085453620157779</v>
      </c>
      <c r="F250">
        <f>'Bias Network'!H251</f>
        <v>145.92173429694557</v>
      </c>
      <c r="G250">
        <f>'Bias Network'!K251</f>
        <v>-45.029845689174117</v>
      </c>
    </row>
    <row r="251" spans="1:7" x14ac:dyDescent="0.25">
      <c r="A251">
        <f>'Input Stage'!H252</f>
        <v>983.64236360207974</v>
      </c>
      <c r="B251">
        <f>'Input Stage'!K252</f>
        <v>-4.4410734333055887E-4</v>
      </c>
      <c r="C251">
        <f>'NI AC Coupled Amp'!K252</f>
        <v>40.085983411847408</v>
      </c>
      <c r="D251">
        <f t="shared" si="4"/>
        <v>40.085539304504081</v>
      </c>
      <c r="F251">
        <f>'Bias Network'!H252</f>
        <v>152.79881376342985</v>
      </c>
      <c r="G251">
        <f>'Bias Network'!K252</f>
        <v>-45.429797683639698</v>
      </c>
    </row>
    <row r="252" spans="1:7" x14ac:dyDescent="0.25">
      <c r="A252">
        <f>'Input Stage'!H253</f>
        <v>1030</v>
      </c>
      <c r="B252">
        <f>'Input Stage'!K253</f>
        <v>-4.0503253307868449E-4</v>
      </c>
      <c r="C252">
        <f>'NI AC Coupled Amp'!K253</f>
        <v>40.08602248282682</v>
      </c>
      <c r="D252">
        <f t="shared" si="4"/>
        <v>40.085617450293739</v>
      </c>
      <c r="F252">
        <f>'Bias Network'!H253</f>
        <v>160</v>
      </c>
      <c r="G252">
        <f>'Bias Network'!K253</f>
        <v>-45.829753901609259</v>
      </c>
    </row>
    <row r="253" spans="1:7" x14ac:dyDescent="0.25">
      <c r="A253">
        <f>'Input Stage'!H254</f>
        <v>1078.5424044924268</v>
      </c>
      <c r="B253">
        <f>'Input Stage'!K254</f>
        <v>-3.6939557605507182E-4</v>
      </c>
      <c r="C253">
        <f>'NI AC Coupled Amp'!K254</f>
        <v>40.08605811629009</v>
      </c>
      <c r="D253">
        <f t="shared" si="4"/>
        <v>40.085688720714032</v>
      </c>
      <c r="F253">
        <f>'Bias Network'!H254</f>
        <v>167.54056768814397</v>
      </c>
      <c r="G253">
        <f>'Bias Network'!K254</f>
        <v>-46.229713971538175</v>
      </c>
    </row>
    <row r="254" spans="1:7" x14ac:dyDescent="0.25">
      <c r="A254">
        <f>'Input Stage'!H255</f>
        <v>1129.3725420274818</v>
      </c>
      <c r="B254">
        <f>'Input Stage'!K255</f>
        <v>-3.3689403000920017E-4</v>
      </c>
      <c r="C254">
        <f>'NI AC Coupled Amp'!K255</f>
        <v>40.086090614649763</v>
      </c>
      <c r="D254">
        <f t="shared" si="4"/>
        <v>40.085753720619756</v>
      </c>
      <c r="F254">
        <f>'Bias Network'!H255</f>
        <v>175.43651138290977</v>
      </c>
      <c r="G254">
        <f>'Bias Network'!K255</f>
        <v>-46.629677554560381</v>
      </c>
    </row>
    <row r="255" spans="1:7" x14ac:dyDescent="0.25">
      <c r="A255">
        <f>'Input Stage'!H256</f>
        <v>1182.5982301417901</v>
      </c>
      <c r="B255">
        <f>'Input Stage'!K256</f>
        <v>-3.0725205563941657E-4</v>
      </c>
      <c r="C255">
        <f>'NI AC Coupled Amp'!K256</f>
        <v>40.086120253718001</v>
      </c>
      <c r="D255">
        <f t="shared" si="4"/>
        <v>40.085813001662359</v>
      </c>
      <c r="F255">
        <f>'Bias Network'!H256</f>
        <v>183.70457943950137</v>
      </c>
      <c r="G255">
        <f>'Bias Network'!K256</f>
        <v>-47.029644341615651</v>
      </c>
    </row>
    <row r="256" spans="1:7" x14ac:dyDescent="0.25">
      <c r="A256">
        <f>'Input Stage'!H257</f>
        <v>1238.332367655936</v>
      </c>
      <c r="B256">
        <f>'Input Stage'!K257</f>
        <v>-2.8021807731121965E-4</v>
      </c>
      <c r="C256">
        <f>'NI AC Coupled Amp'!K257</f>
        <v>40.086147285046117</v>
      </c>
      <c r="D256">
        <f t="shared" si="4"/>
        <v>40.085867066968802</v>
      </c>
      <c r="F256">
        <f>'Bias Network'!H257</f>
        <v>192.36230953878618</v>
      </c>
      <c r="G256">
        <f>'Bias Network'!K257</f>
        <v>-47.429614050828597</v>
      </c>
    </row>
    <row r="257" spans="1:7" x14ac:dyDescent="0.25">
      <c r="A257">
        <f>'Input Stage'!H258</f>
        <v>1296.6931741479927</v>
      </c>
      <c r="B257">
        <f>'Input Stage'!K258</f>
        <v>-2.5556264933514829E-4</v>
      </c>
      <c r="C257">
        <f>'NI AC Coupled Amp'!K258</f>
        <v>40.086171938056935</v>
      </c>
      <c r="D257">
        <f t="shared" si="4"/>
        <v>40.085916375407599</v>
      </c>
      <c r="F257">
        <f>'Bias Network'!H258</f>
        <v>201.42806588706685</v>
      </c>
      <c r="G257">
        <f>'Bias Network'!K258</f>
        <v>-47.829586425118286</v>
      </c>
    </row>
    <row r="258" spans="1:7" x14ac:dyDescent="0.25">
      <c r="A258">
        <f>'Input Stage'!H259</f>
        <v>1357.8044407131008</v>
      </c>
      <c r="B258">
        <f>'Input Stage'!K259</f>
        <v>-2.3307650972328312E-4</v>
      </c>
      <c r="C258">
        <f>'NI AC Coupled Amp'!K259</f>
        <v>40.086194421992118</v>
      </c>
      <c r="D258">
        <f t="shared" si="4"/>
        <v>40.085961345482396</v>
      </c>
      <c r="F258">
        <f>'Bias Network'!H259</f>
        <v>210.92107816902535</v>
      </c>
      <c r="G258">
        <f>'Bias Network'!K259</f>
        <v>-48.229561230017815</v>
      </c>
    </row>
    <row r="259" spans="1:7" x14ac:dyDescent="0.25">
      <c r="A259">
        <f>'Input Stage'!H260</f>
        <v>1421.7957925409728</v>
      </c>
      <c r="B259">
        <f>'Input Stage'!K260</f>
        <v>-2.1256880515489984E-4</v>
      </c>
      <c r="C259">
        <f>'NI AC Coupled Amp'!K260</f>
        <v>40.086214927686264</v>
      </c>
      <c r="D259">
        <f t="shared" si="4"/>
        <v>40.08600235888111</v>
      </c>
      <c r="F259">
        <f>'Bias Network'!H260</f>
        <v>220.86148233646179</v>
      </c>
      <c r="G259">
        <f>'Bias Network'!K260</f>
        <v>-48.629538251685617</v>
      </c>
    </row>
    <row r="260" spans="1:7" x14ac:dyDescent="0.25">
      <c r="A260">
        <f>'Input Stage'!H261</f>
        <v>1488.8029638683065</v>
      </c>
      <c r="B260">
        <f>'Input Stage'!K261</f>
        <v>-1.9386547185989365E-4</v>
      </c>
      <c r="C260">
        <f>'NI AC Coupled Amp'!K261</f>
        <v>40.08623362918599</v>
      </c>
      <c r="D260">
        <f t="shared" si="4"/>
        <v>40.086039763714133</v>
      </c>
      <c r="F260">
        <f>'Bias Network'!H261</f>
        <v>231.27036331934858</v>
      </c>
      <c r="G260">
        <f>'Bias Network'!K261</f>
        <v>-49.029517295091658</v>
      </c>
    </row>
    <row r="261" spans="1:7" x14ac:dyDescent="0.25">
      <c r="A261">
        <f>'Input Stage'!H262</f>
        <v>1558.9680858892955</v>
      </c>
      <c r="B261">
        <f>'Input Stage'!K262</f>
        <v>-1.768077589378948E-4</v>
      </c>
      <c r="C261">
        <f>'NI AC Coupled Amp'!K262</f>
        <v>40.086250685226609</v>
      </c>
      <c r="D261">
        <f t="shared" si="4"/>
        <v>40.086073877467669</v>
      </c>
      <c r="F261">
        <f>'Bias Network'!H262</f>
        <v>242.16979974979347</v>
      </c>
      <c r="G261">
        <f>'Bias Network'!K262</f>
        <v>-49.429498182362565</v>
      </c>
    </row>
    <row r="262" spans="1:7" x14ac:dyDescent="0.25">
      <c r="A262">
        <f>'Input Stage'!H263</f>
        <v>1632.4399882349489</v>
      </c>
      <c r="B262">
        <f>'Input Stage'!K263</f>
        <v>-1.6125088144038657E-4</v>
      </c>
      <c r="C262">
        <f>'NI AC Coupled Amp'!K263</f>
        <v>40.086266240579036</v>
      </c>
      <c r="D262">
        <f t="shared" si="4"/>
        <v>40.086104989697596</v>
      </c>
      <c r="F262">
        <f>'Bias Network'!H263</f>
        <v>253.58291079377847</v>
      </c>
      <c r="G262">
        <f>'Bias Network'!K263</f>
        <v>-49.829480751273124</v>
      </c>
    </row>
    <row r="263" spans="1:7" x14ac:dyDescent="0.25">
      <c r="A263">
        <f>'Input Stage'!H264</f>
        <v>1709.3745146606891</v>
      </c>
      <c r="B263">
        <f>'Input Stage'!K264</f>
        <v>-1.4706279196129317E-4</v>
      </c>
      <c r="C263">
        <f>'NI AC Coupled Amp'!K264</f>
        <v>40.086280427277671</v>
      </c>
      <c r="D263">
        <f t="shared" si="4"/>
        <v>40.086133364485711</v>
      </c>
      <c r="F263">
        <f>'Bias Network'!H264</f>
        <v>265.53390519000999</v>
      </c>
      <c r="G263">
        <f>'Bias Network'!K264</f>
        <v>-50.229464853869644</v>
      </c>
    </row>
    <row r="264" spans="1:7" x14ac:dyDescent="0.25">
      <c r="A264">
        <f>'Input Stage'!H265</f>
        <v>1789.9348536118582</v>
      </c>
      <c r="B264">
        <f>'Input Stage'!K265</f>
        <v>-1.341230601372466E-4</v>
      </c>
      <c r="C264">
        <f>'NI AC Coupled Amp'!K265</f>
        <v>40.086293365741</v>
      </c>
      <c r="D264">
        <f t="shared" si="4"/>
        <v>40.086159242680864</v>
      </c>
      <c r="F264">
        <f>'Bias Network'!H265</f>
        <v>278.04813259990027</v>
      </c>
      <c r="G264">
        <f>'Bias Network'!K265</f>
        <v>-50.629450355214544</v>
      </c>
    </row>
    <row r="265" spans="1:7" x14ac:dyDescent="0.25">
      <c r="A265">
        <f>'Input Stage'!H266</f>
        <v>1874.2918843682826</v>
      </c>
      <c r="B265">
        <f>'Input Stage'!K266</f>
        <v>-1.2232185084689793E-4</v>
      </c>
      <c r="C265">
        <f>'NI AC Coupled Amp'!K266</f>
        <v>40.086305165793362</v>
      </c>
      <c r="D265">
        <f t="shared" si="4"/>
        <v>40.086182843942517</v>
      </c>
      <c r="F265">
        <f>'Bias Network'!H266</f>
        <v>291.15213737759728</v>
      </c>
      <c r="G265">
        <f>'Bias Network'!K266</f>
        <v>-51.029437132241824</v>
      </c>
    </row>
    <row r="266" spans="1:7" x14ac:dyDescent="0.25">
      <c r="A266">
        <f>'Input Stage'!H267</f>
        <v>1962.6245395021456</v>
      </c>
      <c r="B266">
        <f>'Input Stage'!K267</f>
        <v>-1.1155899209735424E-4</v>
      </c>
      <c r="C266">
        <f>'NI AC Coupled Amp'!K267</f>
        <v>40.086315927596985</v>
      </c>
      <c r="D266">
        <f t="shared" si="4"/>
        <v>40.086204368604889</v>
      </c>
      <c r="F266">
        <f>'Bias Network'!H267</f>
        <v>304.87371487411968</v>
      </c>
      <c r="G266">
        <f>'Bias Network'!K267</f>
        <v>-51.429425072712235</v>
      </c>
    </row>
    <row r="267" spans="1:7" x14ac:dyDescent="0.25">
      <c r="A267">
        <f>'Input Stage'!H268</f>
        <v>2055.1201844179468</v>
      </c>
      <c r="B267">
        <f>'Input Stage'!K268</f>
        <v>-1.0174312499927786E-4</v>
      </c>
      <c r="C267">
        <f>'NI AC Coupled Amp'!K268</f>
        <v>40.086325742501799</v>
      </c>
      <c r="D267">
        <f t="shared" ref="D267:D302" si="5">B267+C267</f>
        <v>40.086223999376799</v>
      </c>
      <c r="F267">
        <f>'Bias Network'!H268</f>
        <v>319.24197039502087</v>
      </c>
      <c r="G267">
        <f>'Bias Network'!K268</f>
        <v>-51.829414074261358</v>
      </c>
    </row>
    <row r="268" spans="1:7" x14ac:dyDescent="0.25">
      <c r="A268">
        <f>'Input Stage'!H269</f>
        <v>2151.9750147796608</v>
      </c>
      <c r="B268">
        <f>'Input Stage'!K269</f>
        <v>-9.2790928465001372E-5</v>
      </c>
      <c r="C268">
        <f>'NI AC Coupled Amp'!K269</f>
        <v>40.086334693820703</v>
      </c>
      <c r="D268">
        <f t="shared" si="5"/>
        <v>40.08624190289224</v>
      </c>
      <c r="F268">
        <f>'Bias Network'!H269</f>
        <v>334.28738093664634</v>
      </c>
      <c r="G268">
        <f>'Bias Network'!K269</f>
        <v>-52.2294040435306</v>
      </c>
    </row>
    <row r="269" spans="1:7" x14ac:dyDescent="0.25">
      <c r="A269">
        <f>'Input Stage'!H270</f>
        <v>2253.3944726680393</v>
      </c>
      <c r="B269">
        <f>'Input Stage'!K270</f>
        <v>-8.4626412107992235E-5</v>
      </c>
      <c r="C269">
        <f>'NI AC Coupled Amp'!K270</f>
        <v>40.086342857536714</v>
      </c>
      <c r="D269">
        <f t="shared" si="5"/>
        <v>40.086258231124603</v>
      </c>
      <c r="F269">
        <f>'Bias Network'!H270</f>
        <v>350.04185983192838</v>
      </c>
      <c r="G269">
        <f>'Bias Network'!K270</f>
        <v>-52.629394895375299</v>
      </c>
    </row>
    <row r="270" spans="1:7" x14ac:dyDescent="0.25">
      <c r="A270">
        <f>'Input Stage'!H271</f>
        <v>2359.5936823508077</v>
      </c>
      <c r="B270">
        <f>'Input Stage'!K271</f>
        <v>-7.7180271299336705E-5</v>
      </c>
      <c r="C270">
        <f>'NI AC Coupled Amp'!K271</f>
        <v>40.086350302947622</v>
      </c>
      <c r="D270">
        <f t="shared" si="5"/>
        <v>40.086273122676324</v>
      </c>
      <c r="F270">
        <f>'Bias Network'!H271</f>
        <v>366.53882444284392</v>
      </c>
      <c r="G270">
        <f>'Bias Network'!K271</f>
        <v>-53.029386552141624</v>
      </c>
    </row>
    <row r="271" spans="1:7" x14ac:dyDescent="0.25">
      <c r="A271">
        <f>'Input Stage'!H272</f>
        <v>2470.7979065900763</v>
      </c>
      <c r="B271">
        <f>'Input Stage'!K272</f>
        <v>-7.0389299046493711E-5</v>
      </c>
      <c r="C271">
        <f>'NI AC Coupled Amp'!K272</f>
        <v>40.086357093254044</v>
      </c>
      <c r="D271">
        <f t="shared" si="5"/>
        <v>40.086286703954997</v>
      </c>
      <c r="F271">
        <f>'Bias Network'!H272</f>
        <v>383.81326704311863</v>
      </c>
      <c r="G271">
        <f>'Bias Network'!K272</f>
        <v>-53.429378943008189</v>
      </c>
    </row>
    <row r="272" spans="1:7" x14ac:dyDescent="0.25">
      <c r="A272">
        <f>'Input Stage'!H273</f>
        <v>2587.2430244548682</v>
      </c>
      <c r="B272">
        <f>'Input Stage'!K273</f>
        <v>-6.4195849479806679E-5</v>
      </c>
      <c r="C272">
        <f>'NI AC Coupled Amp'!K273</f>
        <v>40.086363286096478</v>
      </c>
      <c r="D272">
        <f t="shared" si="5"/>
        <v>40.086299090246996</v>
      </c>
      <c r="F272">
        <f>'Bias Network'!H273</f>
        <v>401.90182904153289</v>
      </c>
      <c r="G272">
        <f>'Bias Network'!K273</f>
        <v>-53.829372003384314</v>
      </c>
    </row>
    <row r="273" spans="1:7" x14ac:dyDescent="0.25">
      <c r="A273">
        <f>'Input Stage'!H274</f>
        <v>2709.1760316522432</v>
      </c>
      <c r="B273">
        <f>'Input Stage'!K274</f>
        <v>-5.8547348637357428E-5</v>
      </c>
      <c r="C273">
        <f>'NI AC Coupled Amp'!K274</f>
        <v>40.086368934043648</v>
      </c>
      <c r="D273">
        <f t="shared" si="5"/>
        <v>40.086310386695011</v>
      </c>
      <c r="F273">
        <f>'Bias Network'!H274</f>
        <v>420.84287870326108</v>
      </c>
      <c r="G273">
        <f>'Bias Network'!K274</f>
        <v>-54.229365674362484</v>
      </c>
    </row>
    <row r="274" spans="1:7" x14ac:dyDescent="0.25">
      <c r="A274">
        <f>'Input Stage'!H275</f>
        <v>2836.8555644383136</v>
      </c>
      <c r="B274">
        <f>'Input Stage'!K275</f>
        <v>-5.3395848244987732E-5</v>
      </c>
      <c r="C274">
        <f>'NI AC Coupled Amp'!K275</f>
        <v>40.086374085038997</v>
      </c>
      <c r="D274">
        <f t="shared" si="5"/>
        <v>40.08632068919075</v>
      </c>
      <c r="F274">
        <f>'Bias Network'!H275</f>
        <v>440.67659253410693</v>
      </c>
      <c r="G274">
        <f>'Bias Network'!K275</f>
        <v>-54.629359902217978</v>
      </c>
    </row>
    <row r="275" spans="1:7" x14ac:dyDescent="0.25">
      <c r="A275">
        <f>'Input Stage'!H276</f>
        <v>2970.5524482204055</v>
      </c>
      <c r="B275">
        <f>'Input Stage'!K276</f>
        <v>-4.8697618708470699E-5</v>
      </c>
      <c r="C275">
        <f>'NI AC Coupled Amp'!K276</f>
        <v>40.086378782807934</v>
      </c>
      <c r="D275">
        <f t="shared" si="5"/>
        <v>40.086330085189225</v>
      </c>
      <c r="F275">
        <f>'Bias Network'!H276</f>
        <v>461.44504050025716</v>
      </c>
      <c r="G275">
        <f>'Bias Network'!K276</f>
        <v>-55.029354637952899</v>
      </c>
    </row>
    <row r="276" spans="1:7" x14ac:dyDescent="0.25">
      <c r="A276">
        <f>'Input Stage'!H277</f>
        <v>3110.5502720140776</v>
      </c>
      <c r="B276">
        <f>'Input Stage'!K277</f>
        <v>-4.4412778028868593E-5</v>
      </c>
      <c r="C276">
        <f>'NI AC Coupled Amp'!K277</f>
        <v>40.086383067228638</v>
      </c>
      <c r="D276">
        <f t="shared" si="5"/>
        <v>40.086338654450607</v>
      </c>
      <c r="F276">
        <f>'Bias Network'!H277</f>
        <v>483.19227526432269</v>
      </c>
      <c r="G276">
        <f>'Bias Network'!K277</f>
        <v>-55.429349836880476</v>
      </c>
    </row>
    <row r="277" spans="1:7" x14ac:dyDescent="0.25">
      <c r="A277">
        <f>'Input Stage'!H278</f>
        <v>3257.1459899734341</v>
      </c>
      <c r="B277">
        <f>'Input Stage'!K278</f>
        <v>-4.050495318940391E-5</v>
      </c>
      <c r="C277">
        <f>'NI AC Coupled Amp'!K278</f>
        <v>40.086386974670347</v>
      </c>
      <c r="D277">
        <f t="shared" si="5"/>
        <v>40.086346469717157</v>
      </c>
      <c r="F277">
        <f>'Bias Network'!H278</f>
        <v>505.96442562694119</v>
      </c>
      <c r="G277">
        <f>'Bias Network'!K278</f>
        <v>-55.829345458245825</v>
      </c>
    </row>
    <row r="278" spans="1:7" x14ac:dyDescent="0.25">
      <c r="A278">
        <f>'Input Stage'!H279</f>
        <v>3410.6505512706913</v>
      </c>
      <c r="B278">
        <f>'Input Stage'!K279</f>
        <v>-3.6940971510328187E-5</v>
      </c>
      <c r="C278">
        <f>'NI AC Coupled Amp'!K279</f>
        <v>40.086390538302638</v>
      </c>
      <c r="D278">
        <f t="shared" si="5"/>
        <v>40.086353597331126</v>
      </c>
      <c r="F278">
        <f>'Bias Network'!H279</f>
        <v>529.80979437214626</v>
      </c>
      <c r="G278">
        <f>'Bias Network'!K279</f>
        <v>-56.229341464879681</v>
      </c>
    </row>
    <row r="279" spans="1:7" x14ac:dyDescent="0.25">
      <c r="A279">
        <f>'Input Stage'!H280</f>
        <v>3571.3895596610782</v>
      </c>
      <c r="B279">
        <f>'Input Stage'!K280</f>
        <v>-3.369057904800577E-5</v>
      </c>
      <c r="C279">
        <f>'NI AC Coupled Amp'!K280</f>
        <v>40.086393788376483</v>
      </c>
      <c r="D279">
        <f t="shared" si="5"/>
        <v>40.086360097797439</v>
      </c>
      <c r="F279">
        <f>'Bias Network'!H280</f>
        <v>554.77896072405099</v>
      </c>
      <c r="G279">
        <f>'Bias Network'!K280</f>
        <v>-56.629337822883265</v>
      </c>
    </row>
    <row r="280" spans="1:7" x14ac:dyDescent="0.25">
      <c r="A280">
        <f>'Input Stage'!H281</f>
        <v>3739.7039641320457</v>
      </c>
      <c r="B280">
        <f>'Input Stage'!K281</f>
        <v>-3.0726183764540785E-5</v>
      </c>
      <c r="C280">
        <f>'NI AC Coupled Amp'!K281</f>
        <v>40.086396752481193</v>
      </c>
      <c r="D280">
        <f t="shared" si="5"/>
        <v>40.086366026297426</v>
      </c>
      <c r="F280">
        <f>'Bias Network'!H281</f>
        <v>580.92488763216249</v>
      </c>
      <c r="G280">
        <f>'Bias Network'!K281</f>
        <v>-57.029334501340415</v>
      </c>
    </row>
    <row r="281" spans="1:7" x14ac:dyDescent="0.25">
      <c r="A281">
        <f>'Input Stage'!H282</f>
        <v>3915.9507821017851</v>
      </c>
      <c r="B281">
        <f>'Input Stage'!K282</f>
        <v>-2.8022621364123329E-5</v>
      </c>
      <c r="C281">
        <f>'NI AC Coupled Amp'!K282</f>
        <v>40.086399455778505</v>
      </c>
      <c r="D281">
        <f t="shared" si="5"/>
        <v>40.08637143315714</v>
      </c>
      <c r="F281">
        <f>'Bias Network'!H282</f>
        <v>608.30303411289867</v>
      </c>
      <c r="G281">
        <f>'Bias Network'!K282</f>
        <v>-57.429331472055068</v>
      </c>
    </row>
    <row r="282" spans="1:7" x14ac:dyDescent="0.25">
      <c r="A282">
        <f>'Input Stage'!H283</f>
        <v>4100.5038567010261</v>
      </c>
      <c r="B282">
        <f>'Input Stage'!K283</f>
        <v>-2.5556941684661066E-5</v>
      </c>
      <c r="C282">
        <f>'NI AC Coupled Amp'!K283</f>
        <v>40.086401921216506</v>
      </c>
      <c r="D282">
        <f t="shared" si="5"/>
        <v>40.08637636427482</v>
      </c>
      <c r="F282">
        <f>'Bias Network'!H283</f>
        <v>636.9714728855962</v>
      </c>
      <c r="G282">
        <f>'Bias Network'!K283</f>
        <v>-57.829328709312186</v>
      </c>
    </row>
    <row r="283" spans="1:7" x14ac:dyDescent="0.25">
      <c r="A283">
        <f>'Input Stage'!H284</f>
        <v>4293.7546497444582</v>
      </c>
      <c r="B283">
        <f>'Input Stage'!K284</f>
        <v>-2.3308213873757972E-5</v>
      </c>
      <c r="C283">
        <f>'NI AC Coupled Amp'!K284</f>
        <v>40.08640416972387</v>
      </c>
      <c r="D283">
        <f t="shared" si="5"/>
        <v>40.086380861509994</v>
      </c>
      <c r="F283">
        <f>'Bias Network'!H284</f>
        <v>666.9910135525372</v>
      </c>
      <c r="G283">
        <f>'Bias Network'!K284</f>
        <v>-58.229326189659247</v>
      </c>
    </row>
    <row r="284" spans="1:7" x14ac:dyDescent="0.25">
      <c r="A284">
        <f>'Input Stage'!H285</f>
        <v>4496.1130720737119</v>
      </c>
      <c r="B284">
        <f>'Input Stage'!K285</f>
        <v>-2.1257348715109479E-5</v>
      </c>
      <c r="C284">
        <f>'NI AC Coupled Amp'!K285</f>
        <v>40.086406220387971</v>
      </c>
      <c r="D284">
        <f t="shared" si="5"/>
        <v>40.086384963039258</v>
      </c>
      <c r="F284">
        <f>'Bias Network'!H285</f>
        <v>698.42533158426602</v>
      </c>
      <c r="G284">
        <f>'Bias Network'!K285</f>
        <v>-58.629323891707081</v>
      </c>
    </row>
    <row r="285" spans="1:7" x14ac:dyDescent="0.25">
      <c r="A285">
        <f>'Input Stage'!H286</f>
        <v>4708.0083530332195</v>
      </c>
      <c r="B285">
        <f>'Input Stage'!K286</f>
        <v>-1.9386936617057089E-5</v>
      </c>
      <c r="C285">
        <f>'NI AC Coupled Amp'!K286</f>
        <v>40.08640809061675</v>
      </c>
      <c r="D285">
        <f t="shared" si="5"/>
        <v>40.086388703680136</v>
      </c>
      <c r="F285">
        <f>'Bias Network'!H286</f>
        <v>731.34110338380106</v>
      </c>
      <c r="G285">
        <f>'Bias Network'!K286</f>
        <v>-59.029321795948832</v>
      </c>
    </row>
    <row r="286" spans="1:7" x14ac:dyDescent="0.25">
      <c r="A286">
        <f>'Input Stage'!H287</f>
        <v>4929.8899509231805</v>
      </c>
      <c r="B286">
        <f>'Input Stage'!K287</f>
        <v>-1.7681099811740218E-5</v>
      </c>
      <c r="C286">
        <f>'NI AC Coupled Amp'!K287</f>
        <v>40.086409796286297</v>
      </c>
      <c r="D286">
        <f t="shared" si="5"/>
        <v>40.086392115186484</v>
      </c>
      <c r="F286">
        <f>'Bias Network'!H287</f>
        <v>765.80814771622227</v>
      </c>
      <c r="G286">
        <f>'Bias Network'!K287</f>
        <v>-59.429319884593681</v>
      </c>
    </row>
    <row r="287" spans="1:7" x14ac:dyDescent="0.25">
      <c r="A287">
        <f>'Input Stage'!H288</f>
        <v>5162.2285063609088</v>
      </c>
      <c r="B287">
        <f>'Input Stage'!K288</f>
        <v>-1.6125357564050473E-5</v>
      </c>
      <c r="C287">
        <f>'NI AC Coupled Amp'!K288</f>
        <v>40.086411351876066</v>
      </c>
      <c r="D287">
        <f t="shared" si="5"/>
        <v>40.086395226518505</v>
      </c>
      <c r="F287">
        <f>'Bias Network'!H288</f>
        <v>801.89957380363637</v>
      </c>
      <c r="G287">
        <f>'Bias Network'!K288</f>
        <v>-59.829318141416266</v>
      </c>
    </row>
    <row r="288" spans="1:7" x14ac:dyDescent="0.25">
      <c r="A288">
        <f>'Input Stage'!H289</f>
        <v>5405.5168405726617</v>
      </c>
      <c r="B288">
        <f>'Input Stage'!K289</f>
        <v>-1.4706503294740004E-5</v>
      </c>
      <c r="C288">
        <f>'NI AC Coupled Amp'!K289</f>
        <v>40.086412770591252</v>
      </c>
      <c r="D288">
        <f t="shared" si="5"/>
        <v>40.086398064087959</v>
      </c>
      <c r="F288">
        <f>'Bias Network'!H289</f>
        <v>839.69193639963669</v>
      </c>
      <c r="G288">
        <f>'Bias Network'!K289</f>
        <v>-60.229316551619043</v>
      </c>
    </row>
    <row r="289" spans="1:7" x14ac:dyDescent="0.25">
      <c r="A289">
        <f>'Input Stage'!H290</f>
        <v>5660.2710007335418</v>
      </c>
      <c r="B289">
        <f>'Input Stage'!K290</f>
        <v>-1.3412492415023846E-5</v>
      </c>
      <c r="C289">
        <f>'NI AC Coupled Amp'!K290</f>
        <v>40.086414064475264</v>
      </c>
      <c r="D289">
        <f t="shared" si="5"/>
        <v>40.086400651982849</v>
      </c>
      <c r="F289">
        <f>'Bias Network'!H290</f>
        <v>879.26539817220055</v>
      </c>
      <c r="G289">
        <f>'Bias Network'!K290</f>
        <v>-60.629315101706212</v>
      </c>
    </row>
    <row r="290" spans="1:7" x14ac:dyDescent="0.25">
      <c r="A290">
        <f>'Input Stage'!H291</f>
        <v>5927.0313545727186</v>
      </c>
      <c r="B290">
        <f>'Input Stage'!K291</f>
        <v>-1.2232340120381975E-5</v>
      </c>
      <c r="C290">
        <f>'NI AC Coupled Amp'!K291</f>
        <v>40.086415244511819</v>
      </c>
      <c r="D290">
        <f t="shared" si="5"/>
        <v>40.086403012171701</v>
      </c>
      <c r="F290">
        <f>'Bias Network'!H291</f>
        <v>920.70389973945134</v>
      </c>
      <c r="G290">
        <f>'Bias Network'!K291</f>
        <v>-61.029313779369552</v>
      </c>
    </row>
    <row r="291" spans="1:7" x14ac:dyDescent="0.25">
      <c r="A291">
        <f>'Input Stage'!H292</f>
        <v>6206.3637365658851</v>
      </c>
      <c r="B291">
        <f>'Input Stage'!K292</f>
        <v>-1.115602816659786E-5</v>
      </c>
      <c r="C291">
        <f>'NI AC Coupled Amp'!K292</f>
        <v>40.086416320718278</v>
      </c>
      <c r="D291">
        <f t="shared" si="5"/>
        <v>40.086405164690113</v>
      </c>
      <c r="F291">
        <f>'Bias Network'!H292</f>
        <v>964.09533771897247</v>
      </c>
      <c r="G291">
        <f>'Bias Network'!K292</f>
        <v>-61.429312573383854</v>
      </c>
    </row>
    <row r="292" spans="1:7" x14ac:dyDescent="0.25">
      <c r="A292">
        <f>'Input Stage'!H293</f>
        <v>6498.860648145991</v>
      </c>
      <c r="B292">
        <f>'Input Stage'!K293</f>
        <v>-1.0174419762949202E-5</v>
      </c>
      <c r="C292">
        <f>'NI AC Coupled Amp'!K293</f>
        <v>40.086417302230508</v>
      </c>
      <c r="D292">
        <f t="shared" si="5"/>
        <v>40.086407127810745</v>
      </c>
      <c r="F292">
        <f>'Bias Network'!H293</f>
        <v>1009.5317511683093</v>
      </c>
      <c r="G292">
        <f>'Bias Network'!K293</f>
        <v>-61.829311473511517</v>
      </c>
    </row>
    <row r="293" spans="1:7" x14ac:dyDescent="0.25">
      <c r="A293">
        <f>'Input Stage'!H294</f>
        <v>6805.1425144782434</v>
      </c>
      <c r="B293">
        <f>'Input Stage'!K294</f>
        <v>-9.2791820646386563E-6</v>
      </c>
      <c r="C293">
        <f>'NI AC Coupled Amp'!K294</f>
        <v>40.086418197380389</v>
      </c>
      <c r="D293">
        <f t="shared" si="5"/>
        <v>40.086408918198323</v>
      </c>
      <c r="F293">
        <f>'Bias Network'!H294</f>
        <v>1057.1095168121544</v>
      </c>
      <c r="G293">
        <f>'Bias Network'!K294</f>
        <v>-62.229310470415797</v>
      </c>
    </row>
    <row r="294" spans="1:7" x14ac:dyDescent="0.25">
      <c r="A294">
        <f>'Input Stage'!H295</f>
        <v>7125.8590004650487</v>
      </c>
      <c r="B294">
        <f>'Input Stage'!K295</f>
        <v>-8.4627154167633125E-6</v>
      </c>
      <c r="C294">
        <f>'NI AC Coupled Amp'!K295</f>
        <v>40.086419013767014</v>
      </c>
      <c r="D294">
        <f t="shared" si="5"/>
        <v>40.0864105510516</v>
      </c>
      <c r="F294">
        <f>'Bias Network'!H295</f>
        <v>1106.9295534702987</v>
      </c>
      <c r="G294">
        <f>'Bias Network'!K295</f>
        <v>-62.629309555581408</v>
      </c>
    </row>
    <row r="295" spans="1:7" x14ac:dyDescent="0.25">
      <c r="A295">
        <f>'Input Stage'!H296</f>
        <v>7461.6903887724002</v>
      </c>
      <c r="B295">
        <f>'Input Stage'!K296</f>
        <v>-7.718088856039947E-6</v>
      </c>
      <c r="C295">
        <f>'NI AC Coupled Amp'!K296</f>
        <v>40.086419758320638</v>
      </c>
      <c r="D295">
        <f t="shared" si="5"/>
        <v>40.086412040231778</v>
      </c>
      <c r="F295">
        <f>'Bias Network'!H296</f>
        <v>1159.0975361199844</v>
      </c>
      <c r="G295">
        <f>'Bias Network'!K296</f>
        <v>-63.029308721242373</v>
      </c>
    </row>
    <row r="296" spans="1:7" x14ac:dyDescent="0.25">
      <c r="A296">
        <f>'Input Stage'!H297</f>
        <v>7813.349022800593</v>
      </c>
      <c r="B296">
        <f>'Input Stage'!K297</f>
        <v>-7.038981239576279E-6</v>
      </c>
      <c r="C296">
        <f>'NI AC Coupled Amp'!K297</f>
        <v>40.086420437361674</v>
      </c>
      <c r="D296">
        <f t="shared" si="5"/>
        <v>40.086413398380436</v>
      </c>
      <c r="F296">
        <f>'Bias Network'!H297</f>
        <v>1213.724120046694</v>
      </c>
      <c r="G296">
        <f>'Bias Network'!K297</f>
        <v>-63.429307960315988</v>
      </c>
    </row>
    <row r="297" spans="1:7" x14ac:dyDescent="0.25">
      <c r="A297">
        <f>'Input Stage'!H298</f>
        <v>8181.5808176601058</v>
      </c>
      <c r="B297">
        <f>'Input Stage'!K298</f>
        <v>-6.4196276477116715E-6</v>
      </c>
      <c r="C297">
        <f>'NI AC Coupled Amp'!K298</f>
        <v>40.086421056654515</v>
      </c>
      <c r="D297">
        <f t="shared" si="5"/>
        <v>40.08641463702687</v>
      </c>
      <c r="F297">
        <f>'Bias Network'!H298</f>
        <v>1270.9251755588514</v>
      </c>
      <c r="G297">
        <f>'Bias Network'!K298</f>
        <v>-63.829307266342774</v>
      </c>
    </row>
    <row r="298" spans="1:7" x14ac:dyDescent="0.25">
      <c r="A298">
        <f>'Input Stage'!H299</f>
        <v>8567.1668423575156</v>
      </c>
      <c r="B298">
        <f>'Input Stage'!K299</f>
        <v>-5.8547703849061859E-6</v>
      </c>
      <c r="C298">
        <f>'NI AC Coupled Amp'!K299</f>
        <v>40.086421621456424</v>
      </c>
      <c r="D298">
        <f t="shared" si="5"/>
        <v>40.086415766686038</v>
      </c>
      <c r="F298">
        <f>'Bias Network'!H299</f>
        <v>1330.8220337642742</v>
      </c>
      <c r="G298">
        <f>'Bias Network'!K299</f>
        <v>-64.229306633431548</v>
      </c>
    </row>
    <row r="299" spans="1:7" x14ac:dyDescent="0.25">
      <c r="A299">
        <f>'Input Stage'!H300</f>
        <v>8970.9249765476343</v>
      </c>
      <c r="B299">
        <f>'Input Stage'!K300</f>
        <v>-5.3396143616817713E-6</v>
      </c>
      <c r="C299">
        <f>'NI AC Coupled Amp'!K300</f>
        <v>40.086422136561914</v>
      </c>
      <c r="D299">
        <f t="shared" si="5"/>
        <v>40.086416796947553</v>
      </c>
      <c r="F299">
        <f>'Bias Network'!H300</f>
        <v>1393.5417439297296</v>
      </c>
      <c r="G299">
        <f>'Bias Network'!K300</f>
        <v>-64.6293060562096</v>
      </c>
    </row>
    <row r="300" spans="1:7" x14ac:dyDescent="0.25">
      <c r="A300">
        <f>'Input Stage'!H301</f>
        <v>9393.7116453658728</v>
      </c>
      <c r="B300">
        <f>'Input Stage'!K301</f>
        <v>-4.8697864390784954E-6</v>
      </c>
      <c r="C300">
        <f>'NI AC Coupled Amp'!K301</f>
        <v>40.086422606343781</v>
      </c>
      <c r="D300">
        <f t="shared" si="5"/>
        <v>40.086417736557344</v>
      </c>
      <c r="F300">
        <f>'Bias Network'!H301</f>
        <v>1459.2173429694558</v>
      </c>
      <c r="G300">
        <f>'Bias Network'!K301</f>
        <v>-65.029305529776863</v>
      </c>
    </row>
    <row r="301" spans="1:7" x14ac:dyDescent="0.25">
      <c r="A301">
        <f>'Input Stage'!H302</f>
        <v>9836.4236360207997</v>
      </c>
      <c r="B301">
        <f>'Input Stage'!K302</f>
        <v>-4.4412982370527164E-6</v>
      </c>
      <c r="C301">
        <f>'NI AC Coupled Amp'!K302</f>
        <v>40.086423034789988</v>
      </c>
      <c r="D301">
        <f t="shared" si="5"/>
        <v>40.08641859349175</v>
      </c>
      <c r="F301">
        <f>'Bias Network'!H302</f>
        <v>1527.9881376342989</v>
      </c>
      <c r="G301">
        <f>'Bias Network'!K302</f>
        <v>-65.429305049664436</v>
      </c>
    </row>
    <row r="302" spans="1:7" x14ac:dyDescent="0.25">
      <c r="A302">
        <f>'Input Stage'!H303</f>
        <v>10300</v>
      </c>
      <c r="B302">
        <f>'Input Stage'!K303</f>
        <v>-4.0505123229077491E-6</v>
      </c>
      <c r="C302">
        <f>'NI AC Coupled Amp'!K303</f>
        <v>40.086423425537554</v>
      </c>
      <c r="D302">
        <f t="shared" si="5"/>
        <v>40.08641937502523</v>
      </c>
      <c r="F302">
        <f>'Bias Network'!H303</f>
        <v>1600</v>
      </c>
      <c r="G302">
        <f>'Bias Network'!K303</f>
        <v>-65.829304611796616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98975-6807-43AA-A05C-F015B0808EA6}">
  <dimension ref="A1:B91"/>
  <sheetViews>
    <sheetView workbookViewId="0">
      <selection activeCell="L4" sqref="L4"/>
    </sheetView>
  </sheetViews>
  <sheetFormatPr defaultRowHeight="15" x14ac:dyDescent="0.25"/>
  <sheetData>
    <row r="1" spans="1:2" x14ac:dyDescent="0.25">
      <c r="A1">
        <v>2</v>
      </c>
      <c r="B1">
        <f t="shared" ref="B1:B32" si="0">SQRT(1-(1/A1^2)+SQRT(1+(1-(1/A1^2)^2)))</f>
        <v>1.4635371846002088</v>
      </c>
    </row>
    <row r="2" spans="1:2" x14ac:dyDescent="0.25">
      <c r="A2">
        <v>2.2000000000000002</v>
      </c>
      <c r="B2">
        <f t="shared" si="0"/>
        <v>1.4806849693733586</v>
      </c>
    </row>
    <row r="3" spans="1:2" x14ac:dyDescent="0.25">
      <c r="A3">
        <v>2.4</v>
      </c>
      <c r="B3">
        <f t="shared" si="0"/>
        <v>1.4932868473451388</v>
      </c>
    </row>
    <row r="4" spans="1:2" x14ac:dyDescent="0.25">
      <c r="A4">
        <v>2.6</v>
      </c>
      <c r="B4">
        <f t="shared" si="0"/>
        <v>1.5028394739003192</v>
      </c>
    </row>
    <row r="5" spans="1:2" x14ac:dyDescent="0.25">
      <c r="A5">
        <v>2.8</v>
      </c>
      <c r="B5">
        <f t="shared" si="0"/>
        <v>1.5102644614131844</v>
      </c>
    </row>
    <row r="6" spans="1:2" x14ac:dyDescent="0.25">
      <c r="A6">
        <v>3</v>
      </c>
      <c r="B6">
        <f t="shared" si="0"/>
        <v>1.516156600693914</v>
      </c>
    </row>
    <row r="7" spans="1:2" x14ac:dyDescent="0.25">
      <c r="A7">
        <v>3.2</v>
      </c>
      <c r="B7">
        <f t="shared" si="0"/>
        <v>1.5209147035398762</v>
      </c>
    </row>
    <row r="8" spans="1:2" x14ac:dyDescent="0.25">
      <c r="A8">
        <v>3.4</v>
      </c>
      <c r="B8">
        <f t="shared" si="0"/>
        <v>1.5248148085349091</v>
      </c>
    </row>
    <row r="9" spans="1:2" x14ac:dyDescent="0.25">
      <c r="A9">
        <v>3.6</v>
      </c>
      <c r="B9">
        <f t="shared" si="0"/>
        <v>1.5280531843016292</v>
      </c>
    </row>
    <row r="10" spans="1:2" x14ac:dyDescent="0.25">
      <c r="A10">
        <v>3.8</v>
      </c>
      <c r="B10">
        <f t="shared" si="0"/>
        <v>1.5307726408584625</v>
      </c>
    </row>
    <row r="11" spans="1:2" x14ac:dyDescent="0.25">
      <c r="A11">
        <v>4</v>
      </c>
      <c r="B11">
        <f t="shared" si="0"/>
        <v>1.5330791954208252</v>
      </c>
    </row>
    <row r="12" spans="1:2" x14ac:dyDescent="0.25">
      <c r="A12">
        <v>4.2</v>
      </c>
      <c r="B12">
        <f t="shared" si="0"/>
        <v>1.5350529486537405</v>
      </c>
    </row>
    <row r="13" spans="1:2" x14ac:dyDescent="0.25">
      <c r="A13">
        <v>4.4000000000000004</v>
      </c>
      <c r="B13">
        <f t="shared" si="0"/>
        <v>1.5367553699374916</v>
      </c>
    </row>
    <row r="14" spans="1:2" x14ac:dyDescent="0.25">
      <c r="A14">
        <v>4.5999999999999996</v>
      </c>
      <c r="B14">
        <f t="shared" si="0"/>
        <v>1.5382342905179602</v>
      </c>
    </row>
    <row r="15" spans="1:2" x14ac:dyDescent="0.25">
      <c r="A15">
        <v>4.8</v>
      </c>
      <c r="B15">
        <f t="shared" si="0"/>
        <v>1.5395273961240474</v>
      </c>
    </row>
    <row r="16" spans="1:2" x14ac:dyDescent="0.25">
      <c r="A16">
        <v>5</v>
      </c>
      <c r="B16">
        <f t="shared" si="0"/>
        <v>1.5406647149090495</v>
      </c>
    </row>
    <row r="17" spans="1:2" x14ac:dyDescent="0.25">
      <c r="A17">
        <v>5.2</v>
      </c>
      <c r="B17">
        <f t="shared" si="0"/>
        <v>1.5416704190208412</v>
      </c>
    </row>
    <row r="18" spans="1:2" x14ac:dyDescent="0.25">
      <c r="A18">
        <v>5.4</v>
      </c>
      <c r="B18">
        <f t="shared" si="0"/>
        <v>1.542564148664155</v>
      </c>
    </row>
    <row r="19" spans="1:2" x14ac:dyDescent="0.25">
      <c r="A19">
        <v>5.6</v>
      </c>
      <c r="B19">
        <f t="shared" si="0"/>
        <v>1.5433619984472269</v>
      </c>
    </row>
    <row r="20" spans="1:2" x14ac:dyDescent="0.25">
      <c r="A20">
        <v>5.8</v>
      </c>
      <c r="B20">
        <f t="shared" si="0"/>
        <v>1.544077261272589</v>
      </c>
    </row>
    <row r="21" spans="1:2" x14ac:dyDescent="0.25">
      <c r="A21">
        <v>6</v>
      </c>
      <c r="B21">
        <f t="shared" si="0"/>
        <v>1.5447209957581485</v>
      </c>
    </row>
    <row r="22" spans="1:2" x14ac:dyDescent="0.25">
      <c r="A22">
        <v>6.2</v>
      </c>
      <c r="B22">
        <f t="shared" si="0"/>
        <v>1.5453024635879919</v>
      </c>
    </row>
    <row r="23" spans="1:2" x14ac:dyDescent="0.25">
      <c r="A23">
        <v>6.4</v>
      </c>
      <c r="B23">
        <f t="shared" si="0"/>
        <v>1.5458294698728174</v>
      </c>
    </row>
    <row r="24" spans="1:2" x14ac:dyDescent="0.25">
      <c r="A24">
        <v>6.6</v>
      </c>
      <c r="B24">
        <f t="shared" si="0"/>
        <v>1.546308630406007</v>
      </c>
    </row>
    <row r="25" spans="1:2" x14ac:dyDescent="0.25">
      <c r="A25">
        <v>6.8</v>
      </c>
      <c r="B25">
        <f t="shared" si="0"/>
        <v>1.5467455832671448</v>
      </c>
    </row>
    <row r="26" spans="1:2" x14ac:dyDescent="0.25">
      <c r="A26">
        <v>7</v>
      </c>
      <c r="B26">
        <f t="shared" si="0"/>
        <v>1.5471451576640332</v>
      </c>
    </row>
    <row r="27" spans="1:2" x14ac:dyDescent="0.25">
      <c r="A27">
        <v>7.2</v>
      </c>
      <c r="B27">
        <f t="shared" si="0"/>
        <v>1.5475115096328729</v>
      </c>
    </row>
    <row r="28" spans="1:2" x14ac:dyDescent="0.25">
      <c r="A28">
        <v>7.4</v>
      </c>
      <c r="B28">
        <f t="shared" si="0"/>
        <v>1.5478482318436699</v>
      </c>
    </row>
    <row r="29" spans="1:2" x14ac:dyDescent="0.25">
      <c r="A29">
        <v>7.6</v>
      </c>
      <c r="B29">
        <f t="shared" si="0"/>
        <v>1.5481584430192847</v>
      </c>
    </row>
    <row r="30" spans="1:2" x14ac:dyDescent="0.25">
      <c r="A30">
        <v>7.8000000000000096</v>
      </c>
      <c r="B30">
        <f t="shared" si="0"/>
        <v>1.5484448611901167</v>
      </c>
    </row>
    <row r="31" spans="1:2" x14ac:dyDescent="0.25">
      <c r="A31">
        <v>8.0000000000000107</v>
      </c>
      <c r="B31">
        <f t="shared" si="0"/>
        <v>1.5487098640458792</v>
      </c>
    </row>
    <row r="32" spans="1:2" x14ac:dyDescent="0.25">
      <c r="A32">
        <v>8.2000000000000099</v>
      </c>
      <c r="B32">
        <f t="shared" si="0"/>
        <v>1.5489555389226</v>
      </c>
    </row>
    <row r="33" spans="1:2" x14ac:dyDescent="0.25">
      <c r="A33">
        <v>8.4000000000000092</v>
      </c>
      <c r="B33">
        <f t="shared" ref="B33:B64" si="1">SQRT(1-(1/A33^2)+SQRT(1+(1-(1/A33^2)^2)))</f>
        <v>1.5491837244138729</v>
      </c>
    </row>
    <row r="34" spans="1:2" x14ac:dyDescent="0.25">
      <c r="A34">
        <v>8.6000000000000103</v>
      </c>
      <c r="B34">
        <f t="shared" si="1"/>
        <v>1.5493960451753805</v>
      </c>
    </row>
    <row r="35" spans="1:2" x14ac:dyDescent="0.25">
      <c r="A35">
        <v>8.8000000000000096</v>
      </c>
      <c r="B35">
        <f t="shared" si="1"/>
        <v>1.5495939411681092</v>
      </c>
    </row>
    <row r="36" spans="1:2" x14ac:dyDescent="0.25">
      <c r="A36">
        <v>9.0000000000000107</v>
      </c>
      <c r="B36">
        <f t="shared" si="1"/>
        <v>1.5497786923346903</v>
      </c>
    </row>
    <row r="37" spans="1:2" x14ac:dyDescent="0.25">
      <c r="A37">
        <v>9.2000000000000099</v>
      </c>
      <c r="B37">
        <f t="shared" si="1"/>
        <v>1.549951439507349</v>
      </c>
    </row>
    <row r="38" spans="1:2" x14ac:dyDescent="0.25">
      <c r="A38">
        <v>9.4000000000000092</v>
      </c>
      <c r="B38">
        <f t="shared" si="1"/>
        <v>1.5501132021920341</v>
      </c>
    </row>
    <row r="39" spans="1:2" x14ac:dyDescent="0.25">
      <c r="A39">
        <v>9.6000000000000103</v>
      </c>
      <c r="B39">
        <f t="shared" si="1"/>
        <v>1.5502648937516965</v>
      </c>
    </row>
    <row r="40" spans="1:2" x14ac:dyDescent="0.25">
      <c r="A40">
        <v>9.8000000000000096</v>
      </c>
      <c r="B40">
        <f t="shared" si="1"/>
        <v>1.5504073344150935</v>
      </c>
    </row>
    <row r="41" spans="1:2" x14ac:dyDescent="0.25">
      <c r="A41">
        <v>10</v>
      </c>
      <c r="B41">
        <f t="shared" si="1"/>
        <v>1.550541262460333</v>
      </c>
    </row>
    <row r="42" spans="1:2" x14ac:dyDescent="0.25">
      <c r="A42">
        <v>10.199999999999999</v>
      </c>
      <c r="B42">
        <f t="shared" si="1"/>
        <v>1.5506673438604548</v>
      </c>
    </row>
    <row r="43" spans="1:2" x14ac:dyDescent="0.25">
      <c r="A43">
        <v>10.4</v>
      </c>
      <c r="B43">
        <f t="shared" si="1"/>
        <v>1.5507861806283885</v>
      </c>
    </row>
    <row r="44" spans="1:2" x14ac:dyDescent="0.25">
      <c r="A44">
        <v>10.6</v>
      </c>
      <c r="B44">
        <f t="shared" si="1"/>
        <v>1.5508983180581624</v>
      </c>
    </row>
    <row r="45" spans="1:2" x14ac:dyDescent="0.25">
      <c r="A45">
        <v>10.8</v>
      </c>
      <c r="B45">
        <f t="shared" si="1"/>
        <v>1.551004251026296</v>
      </c>
    </row>
    <row r="46" spans="1:2" x14ac:dyDescent="0.25">
      <c r="A46">
        <v>11</v>
      </c>
      <c r="B46">
        <f t="shared" si="1"/>
        <v>1.5511044294903902</v>
      </c>
    </row>
    <row r="47" spans="1:2" x14ac:dyDescent="0.25">
      <c r="A47">
        <v>11.2</v>
      </c>
      <c r="B47">
        <f t="shared" si="1"/>
        <v>1.5511992632998344</v>
      </c>
    </row>
    <row r="48" spans="1:2" x14ac:dyDescent="0.25">
      <c r="A48">
        <v>11.4</v>
      </c>
      <c r="B48">
        <f t="shared" si="1"/>
        <v>1.5512891264153521</v>
      </c>
    </row>
    <row r="49" spans="1:2" x14ac:dyDescent="0.25">
      <c r="A49">
        <v>11.6</v>
      </c>
      <c r="B49">
        <f t="shared" si="1"/>
        <v>1.551374360619056</v>
      </c>
    </row>
    <row r="50" spans="1:2" x14ac:dyDescent="0.25">
      <c r="A50">
        <v>11.8</v>
      </c>
      <c r="B50">
        <f t="shared" si="1"/>
        <v>1.5514552787841938</v>
      </c>
    </row>
    <row r="51" spans="1:2" x14ac:dyDescent="0.25">
      <c r="A51">
        <v>12</v>
      </c>
      <c r="B51">
        <f t="shared" si="1"/>
        <v>1.5515321677633647</v>
      </c>
    </row>
    <row r="52" spans="1:2" x14ac:dyDescent="0.25">
      <c r="A52">
        <v>12.2</v>
      </c>
      <c r="B52">
        <f t="shared" si="1"/>
        <v>1.551605290945296</v>
      </c>
    </row>
    <row r="53" spans="1:2" x14ac:dyDescent="0.25">
      <c r="A53">
        <v>12.4</v>
      </c>
      <c r="B53">
        <f t="shared" si="1"/>
        <v>1.5516748905229869</v>
      </c>
    </row>
    <row r="54" spans="1:2" x14ac:dyDescent="0.25">
      <c r="A54">
        <v>12.6</v>
      </c>
      <c r="B54">
        <f t="shared" si="1"/>
        <v>1.5517411895098923</v>
      </c>
    </row>
    <row r="55" spans="1:2" x14ac:dyDescent="0.25">
      <c r="A55">
        <v>12.8</v>
      </c>
      <c r="B55">
        <f t="shared" si="1"/>
        <v>1.5518043935356682</v>
      </c>
    </row>
    <row r="56" spans="1:2" x14ac:dyDescent="0.25">
      <c r="A56">
        <v>13</v>
      </c>
      <c r="B56">
        <f t="shared" si="1"/>
        <v>1.5518646924486166</v>
      </c>
    </row>
    <row r="57" spans="1:2" x14ac:dyDescent="0.25">
      <c r="A57">
        <v>13.2</v>
      </c>
      <c r="B57">
        <f t="shared" si="1"/>
        <v>1.5519222617482682</v>
      </c>
    </row>
    <row r="58" spans="1:2" x14ac:dyDescent="0.25">
      <c r="A58">
        <v>13.4</v>
      </c>
      <c r="B58">
        <f t="shared" si="1"/>
        <v>1.5519772638683933</v>
      </c>
    </row>
    <row r="59" spans="1:2" x14ac:dyDescent="0.25">
      <c r="A59">
        <v>13.6</v>
      </c>
      <c r="B59">
        <f t="shared" si="1"/>
        <v>1.5520298493280353</v>
      </c>
    </row>
    <row r="60" spans="1:2" x14ac:dyDescent="0.25">
      <c r="A60">
        <v>13.8</v>
      </c>
      <c r="B60">
        <f t="shared" si="1"/>
        <v>1.5520801577658676</v>
      </c>
    </row>
    <row r="61" spans="1:2" x14ac:dyDescent="0.25">
      <c r="A61">
        <v>14</v>
      </c>
      <c r="B61">
        <f t="shared" si="1"/>
        <v>1.5521283188712129</v>
      </c>
    </row>
    <row r="62" spans="1:2" x14ac:dyDescent="0.25">
      <c r="A62">
        <v>14.2</v>
      </c>
      <c r="B62">
        <f t="shared" si="1"/>
        <v>1.5521744532233581</v>
      </c>
    </row>
    <row r="63" spans="1:2" x14ac:dyDescent="0.25">
      <c r="A63">
        <v>14.4</v>
      </c>
      <c r="B63">
        <f t="shared" si="1"/>
        <v>1.5522186730493575</v>
      </c>
    </row>
    <row r="64" spans="1:2" x14ac:dyDescent="0.25">
      <c r="A64">
        <v>14.6</v>
      </c>
      <c r="B64">
        <f t="shared" si="1"/>
        <v>1.5522610829092496</v>
      </c>
    </row>
    <row r="65" spans="1:2" x14ac:dyDescent="0.25">
      <c r="A65">
        <v>14.8</v>
      </c>
      <c r="B65">
        <f t="shared" ref="B65:B91" si="2">SQRT(1-(1/A65^2)+SQRT(1+(1-(1/A65^2)^2)))</f>
        <v>1.5523017803165344</v>
      </c>
    </row>
    <row r="66" spans="1:2" x14ac:dyDescent="0.25">
      <c r="A66">
        <v>15</v>
      </c>
      <c r="B66">
        <f t="shared" si="2"/>
        <v>1.5523408563008088</v>
      </c>
    </row>
    <row r="67" spans="1:2" x14ac:dyDescent="0.25">
      <c r="A67">
        <v>15.2</v>
      </c>
      <c r="B67">
        <f t="shared" si="2"/>
        <v>1.5523783959186488</v>
      </c>
    </row>
    <row r="68" spans="1:2" x14ac:dyDescent="0.25">
      <c r="A68">
        <v>15.4</v>
      </c>
      <c r="B68">
        <f t="shared" si="2"/>
        <v>1.55241447871811</v>
      </c>
    </row>
    <row r="69" spans="1:2" x14ac:dyDescent="0.25">
      <c r="A69">
        <v>15.6</v>
      </c>
      <c r="B69">
        <f t="shared" si="2"/>
        <v>1.5524491791616002</v>
      </c>
    </row>
    <row r="70" spans="1:2" x14ac:dyDescent="0.25">
      <c r="A70">
        <v>15.8</v>
      </c>
      <c r="B70">
        <f t="shared" si="2"/>
        <v>1.552482567011336</v>
      </c>
    </row>
    <row r="71" spans="1:2" x14ac:dyDescent="0.25">
      <c r="A71">
        <v>16</v>
      </c>
      <c r="B71">
        <f t="shared" si="2"/>
        <v>1.5525147076811208</v>
      </c>
    </row>
    <row r="72" spans="1:2" x14ac:dyDescent="0.25">
      <c r="A72">
        <v>16.2</v>
      </c>
      <c r="B72">
        <f t="shared" si="2"/>
        <v>1.5525456625577709</v>
      </c>
    </row>
    <row r="73" spans="1:2" x14ac:dyDescent="0.25">
      <c r="A73">
        <v>16.399999999999999</v>
      </c>
      <c r="B73">
        <f t="shared" si="2"/>
        <v>1.5525754892951438</v>
      </c>
    </row>
    <row r="74" spans="1:2" x14ac:dyDescent="0.25">
      <c r="A74">
        <v>16.600000000000001</v>
      </c>
      <c r="B74">
        <f t="shared" si="2"/>
        <v>1.5526042420834074</v>
      </c>
    </row>
    <row r="75" spans="1:2" x14ac:dyDescent="0.25">
      <c r="A75">
        <v>16.8</v>
      </c>
      <c r="B75">
        <f t="shared" si="2"/>
        <v>1.5526319718959101</v>
      </c>
    </row>
    <row r="76" spans="1:2" x14ac:dyDescent="0.25">
      <c r="A76">
        <v>17</v>
      </c>
      <c r="B76">
        <f t="shared" si="2"/>
        <v>1.5526587267157501</v>
      </c>
    </row>
    <row r="77" spans="1:2" x14ac:dyDescent="0.25">
      <c r="A77">
        <v>17.2</v>
      </c>
      <c r="B77">
        <f t="shared" si="2"/>
        <v>1.5526845517439372</v>
      </c>
    </row>
    <row r="78" spans="1:2" x14ac:dyDescent="0.25">
      <c r="A78">
        <v>17.399999999999999</v>
      </c>
      <c r="B78">
        <f t="shared" si="2"/>
        <v>1.5527094895908329</v>
      </c>
    </row>
    <row r="79" spans="1:2" x14ac:dyDescent="0.25">
      <c r="A79">
        <v>17.600000000000001</v>
      </c>
      <c r="B79">
        <f t="shared" si="2"/>
        <v>1.5527335804523896</v>
      </c>
    </row>
    <row r="80" spans="1:2" x14ac:dyDescent="0.25">
      <c r="A80">
        <v>17.8</v>
      </c>
      <c r="B80">
        <f t="shared" si="2"/>
        <v>1.5527568622725534</v>
      </c>
    </row>
    <row r="81" spans="1:2" x14ac:dyDescent="0.25">
      <c r="A81">
        <v>18</v>
      </c>
      <c r="B81">
        <f t="shared" si="2"/>
        <v>1.5527793708930557</v>
      </c>
    </row>
    <row r="82" spans="1:2" x14ac:dyDescent="0.25">
      <c r="A82">
        <v>18.2</v>
      </c>
      <c r="B82">
        <f t="shared" si="2"/>
        <v>1.5528011401917066</v>
      </c>
    </row>
    <row r="83" spans="1:2" x14ac:dyDescent="0.25">
      <c r="A83">
        <v>18.399999999999999</v>
      </c>
      <c r="B83">
        <f t="shared" si="2"/>
        <v>1.552822202210183</v>
      </c>
    </row>
    <row r="84" spans="1:2" x14ac:dyDescent="0.25">
      <c r="A84">
        <v>18.600000000000001</v>
      </c>
      <c r="B84">
        <f t="shared" si="2"/>
        <v>1.552842587272216</v>
      </c>
    </row>
    <row r="85" spans="1:2" x14ac:dyDescent="0.25">
      <c r="A85">
        <v>18.8</v>
      </c>
      <c r="B85">
        <f t="shared" si="2"/>
        <v>1.5528623240929955</v>
      </c>
    </row>
    <row r="86" spans="1:2" x14ac:dyDescent="0.25">
      <c r="A86">
        <v>19</v>
      </c>
      <c r="B86">
        <f t="shared" si="2"/>
        <v>1.552881439880526</v>
      </c>
    </row>
    <row r="87" spans="1:2" x14ac:dyDescent="0.25">
      <c r="A87">
        <v>19.2</v>
      </c>
      <c r="B87">
        <f t="shared" si="2"/>
        <v>1.552899960429607</v>
      </c>
    </row>
    <row r="88" spans="1:2" x14ac:dyDescent="0.25">
      <c r="A88">
        <v>19.399999999999999</v>
      </c>
      <c r="B88">
        <f t="shared" si="2"/>
        <v>1.5529179102090469</v>
      </c>
    </row>
    <row r="89" spans="1:2" x14ac:dyDescent="0.25">
      <c r="A89">
        <v>19.600000000000001</v>
      </c>
      <c r="B89">
        <f t="shared" si="2"/>
        <v>1.5529353124426537</v>
      </c>
    </row>
    <row r="90" spans="1:2" x14ac:dyDescent="0.25">
      <c r="A90">
        <v>19.8</v>
      </c>
      <c r="B90">
        <f t="shared" si="2"/>
        <v>1.5529521891845153</v>
      </c>
    </row>
    <row r="91" spans="1:2" x14ac:dyDescent="0.25">
      <c r="A91">
        <v>20</v>
      </c>
      <c r="B91">
        <f t="shared" si="2"/>
        <v>1.5529685613890185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DE63-1BD4-41D2-93E7-D62D7E8951C5}">
  <sheetPr codeName="Sheet5"/>
  <dimension ref="A1:N303"/>
  <sheetViews>
    <sheetView showGridLines="0" zoomScale="90" zoomScaleNormal="90" workbookViewId="0">
      <selection activeCell="B3" sqref="B3"/>
    </sheetView>
  </sheetViews>
  <sheetFormatPr defaultRowHeight="15" x14ac:dyDescent="0.25"/>
  <cols>
    <col min="1" max="1" width="20.7109375" customWidth="1"/>
    <col min="2" max="2" width="22.140625" bestFit="1" customWidth="1"/>
    <col min="3" max="3" width="5.7109375" customWidth="1"/>
    <col min="4" max="4" width="98.5703125" customWidth="1"/>
    <col min="5" max="5" width="11.140625" customWidth="1"/>
    <col min="6" max="6" width="8" customWidth="1"/>
    <col min="7" max="7" width="12" bestFit="1" customWidth="1"/>
    <col min="8" max="8" width="17.140625" customWidth="1"/>
    <col min="9" max="9" width="21.42578125" customWidth="1"/>
    <col min="10" max="10" width="43.5703125" customWidth="1"/>
  </cols>
  <sheetData>
    <row r="1" spans="1:14" ht="15.75" x14ac:dyDescent="0.25">
      <c r="A1" s="1" t="s">
        <v>32</v>
      </c>
    </row>
    <row r="2" spans="1:14" x14ac:dyDescent="0.25">
      <c r="B2" s="2" t="s">
        <v>0</v>
      </c>
      <c r="G2" s="3" t="s">
        <v>1</v>
      </c>
      <c r="H2" s="3" t="s">
        <v>4</v>
      </c>
      <c r="I2" s="3" t="s">
        <v>2</v>
      </c>
      <c r="J2" s="3" t="s">
        <v>3</v>
      </c>
      <c r="K2" s="3" t="s">
        <v>5</v>
      </c>
      <c r="L2" s="4" t="s">
        <v>6</v>
      </c>
      <c r="M2" s="3" t="s">
        <v>7</v>
      </c>
      <c r="N2" s="3" t="s">
        <v>8</v>
      </c>
    </row>
    <row r="3" spans="1:14" ht="15.75" customHeight="1" x14ac:dyDescent="0.35">
      <c r="A3" s="6" t="s">
        <v>9</v>
      </c>
      <c r="B3" s="5">
        <v>16</v>
      </c>
      <c r="C3" t="s">
        <v>10</v>
      </c>
      <c r="G3">
        <v>-3</v>
      </c>
      <c r="H3">
        <f t="shared" ref="H3:H66" si="0">$B$3*10^G3</f>
        <v>1.6E-2</v>
      </c>
      <c r="I3" t="str">
        <f>COMPLEX(0,H3*2*PI(),"j")</f>
        <v>0.100530964914873j</v>
      </c>
      <c r="J3" t="str">
        <f t="shared" ref="J3:J66" si="1">IMDIV(IMPRODUCT(I3,Cg,Rf),IMSUM(1,IMPRODUCT(I3,Cg,Rg)))</f>
        <v>0.0000989999010000982+0.0989999010000986j</v>
      </c>
      <c r="K3">
        <f>20*LOG(IMABS(J3))</f>
        <v>-20.087300450991684</v>
      </c>
      <c r="L3">
        <f>DEGREES(IMARGUMENT(J3))</f>
        <v>89.94270423958551</v>
      </c>
      <c r="M3">
        <f>IMREAL(J3)</f>
        <v>9.8999901000098198E-5</v>
      </c>
      <c r="N3">
        <f>IMAGINARY(J3)</f>
        <v>9.8999901000098603E-2</v>
      </c>
    </row>
    <row r="4" spans="1:14" x14ac:dyDescent="0.25">
      <c r="A4" s="7" t="s">
        <v>17</v>
      </c>
      <c r="B4" s="8">
        <v>100000</v>
      </c>
      <c r="C4" t="s">
        <v>12</v>
      </c>
      <c r="G4">
        <v>-2.98</v>
      </c>
      <c r="H4">
        <f t="shared" si="0"/>
        <v>1.675405676881438E-2</v>
      </c>
      <c r="I4" t="str">
        <f t="shared" ref="I4:I67" si="2">COMPLEX(0,H4*2*PI(),"j")</f>
        <v>0.105268843325467j</v>
      </c>
      <c r="J4" t="str">
        <f t="shared" si="1"/>
        <v>0.000108551222394127+0.103665612589955j</v>
      </c>
      <c r="K4">
        <f t="shared" ref="K4:K67" si="3">20*LOG(IMABS(J4))</f>
        <v>-19.687300869990704</v>
      </c>
      <c r="L4">
        <f t="shared" ref="L4:L67" si="4">DEGREES(IMARGUMENT(J4))</f>
        <v>89.940003975517129</v>
      </c>
      <c r="M4">
        <f t="shared" ref="M4:M67" si="5">IMREAL(J4)</f>
        <v>1.08551222394127E-4</v>
      </c>
      <c r="N4">
        <f t="shared" ref="N4:N67" si="6">IMAGINARY(J4)</f>
        <v>0.10366561258995501</v>
      </c>
    </row>
    <row r="5" spans="1:14" ht="14.25" customHeight="1" x14ac:dyDescent="0.25">
      <c r="A5" s="6" t="s">
        <v>18</v>
      </c>
      <c r="B5" s="8">
        <v>100</v>
      </c>
      <c r="C5" t="s">
        <v>19</v>
      </c>
      <c r="G5">
        <v>-2.96</v>
      </c>
      <c r="H5">
        <f t="shared" si="0"/>
        <v>1.7543651138290959E-2</v>
      </c>
      <c r="I5" t="str">
        <f t="shared" si="2"/>
        <v>0.110230011066394j</v>
      </c>
      <c r="J5" t="str">
        <f t="shared" si="1"/>
        <v>0.000119024035928758+0.108551210910915j</v>
      </c>
      <c r="K5">
        <f t="shared" si="3"/>
        <v>-19.287301329413967</v>
      </c>
      <c r="L5">
        <f t="shared" si="4"/>
        <v>89.937176452209712</v>
      </c>
      <c r="M5">
        <f t="shared" si="5"/>
        <v>1.1902403592875801E-4</v>
      </c>
      <c r="N5">
        <f t="shared" si="6"/>
        <v>0.10855121091091501</v>
      </c>
    </row>
    <row r="6" spans="1:14" ht="15" customHeight="1" x14ac:dyDescent="0.25">
      <c r="G6">
        <v>-2.94</v>
      </c>
      <c r="H6">
        <f t="shared" si="0"/>
        <v>1.8370457943950119E-2</v>
      </c>
      <c r="I6" t="str">
        <f t="shared" si="2"/>
        <v>0.115424991439588j</v>
      </c>
      <c r="J6" t="str">
        <f t="shared" si="1"/>
        <v>0.000130507245075028+0.113667058685825j</v>
      </c>
      <c r="K6">
        <f t="shared" si="3"/>
        <v>-18.887301833161526</v>
      </c>
      <c r="L6">
        <f t="shared" si="4"/>
        <v>89.934215672162438</v>
      </c>
      <c r="M6">
        <f t="shared" si="5"/>
        <v>1.3050724507502801E-4</v>
      </c>
      <c r="N6">
        <f t="shared" si="6"/>
        <v>0.113667058685825</v>
      </c>
    </row>
    <row r="7" spans="1:14" x14ac:dyDescent="0.25">
      <c r="G7">
        <v>-2.92</v>
      </c>
      <c r="H7">
        <f t="shared" si="0"/>
        <v>1.9236230953878598E-2</v>
      </c>
      <c r="I7" t="str">
        <f t="shared" si="2"/>
        <v>0.120864803694923j</v>
      </c>
      <c r="J7" t="str">
        <f t="shared" si="1"/>
        <v>0.000143098330463829+0.119024006985091j</v>
      </c>
      <c r="K7">
        <f t="shared" si="3"/>
        <v>-18.487302385509594</v>
      </c>
      <c r="L7">
        <f t="shared" si="4"/>
        <v>89.931115355227277</v>
      </c>
      <c r="M7">
        <f t="shared" si="5"/>
        <v>1.4309833046382899E-4</v>
      </c>
      <c r="N7">
        <f t="shared" si="6"/>
        <v>0.119024006985091</v>
      </c>
    </row>
    <row r="8" spans="1:14" x14ac:dyDescent="0.25">
      <c r="B8" s="2" t="s">
        <v>13</v>
      </c>
      <c r="C8" s="9"/>
      <c r="G8">
        <v>-2.9</v>
      </c>
      <c r="H8">
        <f t="shared" si="0"/>
        <v>2.0142806588706659E-2</v>
      </c>
      <c r="I8" t="str">
        <f t="shared" si="2"/>
        <v>0.126560986403522j</v>
      </c>
      <c r="J8" t="str">
        <f t="shared" si="1"/>
        <v>0.000156904177377289+0.124633418236967j</v>
      </c>
      <c r="K8">
        <f t="shared" si="3"/>
        <v>-18.087302991147187</v>
      </c>
      <c r="L8">
        <f t="shared" si="4"/>
        <v>89.92786892528909</v>
      </c>
      <c r="M8">
        <f t="shared" si="5"/>
        <v>1.5690417737728899E-4</v>
      </c>
      <c r="N8">
        <f t="shared" si="6"/>
        <v>0.124633418236967</v>
      </c>
    </row>
    <row r="9" spans="1:14" ht="14.25" customHeight="1" x14ac:dyDescent="0.25">
      <c r="A9" s="6" t="s">
        <v>15</v>
      </c>
      <c r="B9" s="14">
        <f>1/(2*PI()*fc*Rg)</f>
        <v>9.8477121038110249E-6</v>
      </c>
      <c r="C9" s="10" t="s">
        <v>11</v>
      </c>
      <c r="G9">
        <v>-2.88</v>
      </c>
      <c r="H9">
        <f t="shared" si="0"/>
        <v>2.1092107816902513E-2</v>
      </c>
      <c r="I9" t="str">
        <f t="shared" si="2"/>
        <v>0.13252562193261j</v>
      </c>
      <c r="J9" t="str">
        <f t="shared" si="1"/>
        <v>0.000172041983071489+0.130507190321581j</v>
      </c>
      <c r="K9">
        <f t="shared" si="3"/>
        <v>-17.687303655215537</v>
      </c>
      <c r="L9">
        <f t="shared" si="4"/>
        <v>89.924469496318352</v>
      </c>
      <c r="M9">
        <f t="shared" si="5"/>
        <v>1.7204198307148899E-4</v>
      </c>
      <c r="N9">
        <f t="shared" si="6"/>
        <v>0.13050719032158101</v>
      </c>
    </row>
    <row r="10" spans="1:14" x14ac:dyDescent="0.25">
      <c r="A10" s="6" t="s">
        <v>20</v>
      </c>
      <c r="B10" s="13">
        <f>B4/(B5-1)</f>
        <v>1010.10101010101</v>
      </c>
      <c r="C10" t="s">
        <v>12</v>
      </c>
      <c r="G10">
        <v>-2.86</v>
      </c>
      <c r="H10">
        <f t="shared" si="0"/>
        <v>2.2086148233646151E-2</v>
      </c>
      <c r="I10" t="str">
        <f t="shared" si="2"/>
        <v>0.138771362073836j</v>
      </c>
      <c r="J10" t="str">
        <f t="shared" si="1"/>
        <v>0.000188640251631773+0.136657781799651j</v>
      </c>
      <c r="K10">
        <f t="shared" si="3"/>
        <v>-17.287304383351842</v>
      </c>
      <c r="L10">
        <f t="shared" si="4"/>
        <v>89.920909857766347</v>
      </c>
      <c r="M10">
        <f t="shared" si="5"/>
        <v>1.8864025163177299E-4</v>
      </c>
      <c r="N10">
        <f t="shared" si="6"/>
        <v>0.13665778179965099</v>
      </c>
    </row>
    <row r="11" spans="1:14" ht="17.25" customHeight="1" x14ac:dyDescent="0.25">
      <c r="G11">
        <v>-2.84</v>
      </c>
      <c r="H11">
        <f t="shared" si="0"/>
        <v>2.3127036331934834E-2</v>
      </c>
      <c r="I11" t="str">
        <f t="shared" si="2"/>
        <v>0.145311454879421j</v>
      </c>
      <c r="J11" t="str">
        <f t="shared" si="1"/>
        <v>0.000206839884804777+0.14309823832925j</v>
      </c>
      <c r="K11">
        <f t="shared" si="3"/>
        <v>-16.887305181737396</v>
      </c>
      <c r="L11">
        <f t="shared" si="4"/>
        <v>89.917182459272667</v>
      </c>
      <c r="M11">
        <f t="shared" si="5"/>
        <v>2.06839884804777E-4</v>
      </c>
      <c r="N11">
        <f t="shared" si="6"/>
        <v>0.14309823832925</v>
      </c>
    </row>
    <row r="12" spans="1:14" x14ac:dyDescent="0.25">
      <c r="A12" s="6"/>
      <c r="C12" s="9"/>
      <c r="G12">
        <v>-2.82</v>
      </c>
      <c r="H12">
        <f t="shared" si="0"/>
        <v>2.4216979974979316E-2</v>
      </c>
      <c r="I12" t="str">
        <f t="shared" si="2"/>
        <v>0.152159772763052j</v>
      </c>
      <c r="J12" t="str">
        <f t="shared" si="1"/>
        <v>0.000226795378065812+0.149842220326488j</v>
      </c>
      <c r="K12">
        <f t="shared" si="3"/>
        <v>-16.487306057149468</v>
      </c>
      <c r="L12">
        <f t="shared" si="4"/>
        <v>89.913279394651838</v>
      </c>
      <c r="M12">
        <f t="shared" si="5"/>
        <v>2.2679537806581199E-4</v>
      </c>
      <c r="N12">
        <f t="shared" si="6"/>
        <v>0.149842220326488</v>
      </c>
    </row>
    <row r="13" spans="1:14" x14ac:dyDescent="0.25">
      <c r="A13" s="6"/>
      <c r="C13" s="9"/>
      <c r="G13">
        <v>-2.8</v>
      </c>
      <c r="H13">
        <f t="shared" si="0"/>
        <v>2.5358291079377815E-2</v>
      </c>
      <c r="I13" t="str">
        <f t="shared" si="2"/>
        <v>0.15933084192513j</v>
      </c>
      <c r="J13" t="str">
        <f t="shared" si="1"/>
        <v>0.000248676132073245+0.156904031928541j</v>
      </c>
      <c r="K13">
        <f t="shared" si="3"/>
        <v>-16.087307017019484</v>
      </c>
      <c r="L13">
        <f t="shared" si="4"/>
        <v>89.909192385125721</v>
      </c>
      <c r="M13">
        <f t="shared" si="5"/>
        <v>2.48676132073245E-4</v>
      </c>
      <c r="N13">
        <f t="shared" si="6"/>
        <v>0.15690403192854099</v>
      </c>
    </row>
    <row r="14" spans="1:14" x14ac:dyDescent="0.25">
      <c r="A14" s="6"/>
      <c r="C14" s="10"/>
      <c r="G14">
        <v>-2.78</v>
      </c>
      <c r="H14">
        <f t="shared" si="0"/>
        <v>2.655339051900097E-2</v>
      </c>
      <c r="I14" t="str">
        <f t="shared" si="2"/>
        <v>0.166839873164789j</v>
      </c>
      <c r="J14" t="str">
        <f t="shared" si="1"/>
        <v>0.000272667890640748+0.164298651320258j</v>
      </c>
      <c r="K14">
        <f t="shared" si="3"/>
        <v>-15.68730806949576</v>
      </c>
      <c r="L14">
        <f t="shared" si="4"/>
        <v>89.904912761765942</v>
      </c>
      <c r="M14">
        <f t="shared" si="5"/>
        <v>2.7266789064074798E-4</v>
      </c>
      <c r="N14">
        <f t="shared" si="6"/>
        <v>0.164298651320258</v>
      </c>
    </row>
    <row r="15" spans="1:14" x14ac:dyDescent="0.25">
      <c r="A15" s="6"/>
      <c r="C15" s="10"/>
      <c r="G15">
        <v>-2.76</v>
      </c>
      <c r="H15">
        <f t="shared" si="0"/>
        <v>2.7804813259989999E-2</v>
      </c>
      <c r="I15" t="str">
        <f t="shared" si="2"/>
        <v>0.174702794144041j</v>
      </c>
      <c r="J15" t="str">
        <f t="shared" si="1"/>
        <v>0.000298974317431794+0.172041762488371j</v>
      </c>
      <c r="K15">
        <f t="shared" si="3"/>
        <v>-15.287309223512903</v>
      </c>
      <c r="L15">
        <f t="shared" si="4"/>
        <v>89.900431447108986</v>
      </c>
      <c r="M15">
        <f t="shared" si="5"/>
        <v>2.9897431743179399E-4</v>
      </c>
      <c r="N15">
        <f t="shared" si="6"/>
        <v>0.172041762488371</v>
      </c>
    </row>
    <row r="16" spans="1:14" ht="14.25" customHeight="1" x14ac:dyDescent="0.25">
      <c r="A16" s="6"/>
      <c r="C16" s="10"/>
      <c r="G16">
        <v>-2.74</v>
      </c>
      <c r="H16">
        <f t="shared" si="0"/>
        <v>2.9115213737759695E-2</v>
      </c>
      <c r="I16" t="str">
        <f t="shared" si="2"/>
        <v>0.182936283172485j</v>
      </c>
      <c r="J16" t="str">
        <f t="shared" si="1"/>
        <v>0.000327818724757944+0.180149788470373j</v>
      </c>
      <c r="K16">
        <f t="shared" si="3"/>
        <v>-14.887310488867097</v>
      </c>
      <c r="L16">
        <f t="shared" si="4"/>
        <v>89.895738935905484</v>
      </c>
      <c r="M16">
        <f t="shared" si="5"/>
        <v>3.2781872475794399E-4</v>
      </c>
      <c r="N16">
        <f t="shared" si="6"/>
        <v>0.180149788470373</v>
      </c>
    </row>
    <row r="17" spans="1:14" x14ac:dyDescent="0.25">
      <c r="A17" s="6"/>
      <c r="C17" s="10"/>
      <c r="G17">
        <v>-2.72</v>
      </c>
      <c r="H17">
        <f t="shared" si="0"/>
        <v>3.0487371487411936E-2</v>
      </c>
      <c r="I17" t="str">
        <f t="shared" si="2"/>
        <v>0.191557804584233j</v>
      </c>
      <c r="J17" t="str">
        <f t="shared" si="1"/>
        <v>0.000359445969152969+0.188639926168188j</v>
      </c>
      <c r="K17">
        <f t="shared" si="3"/>
        <v>-14.4873118762999</v>
      </c>
      <c r="L17">
        <f t="shared" si="4"/>
        <v>89.890825274962438</v>
      </c>
      <c r="M17">
        <f t="shared" si="5"/>
        <v>3.5944596915296899E-4</v>
      </c>
      <c r="N17">
        <f t="shared" si="6"/>
        <v>0.188639926168188</v>
      </c>
    </row>
    <row r="18" spans="1:14" x14ac:dyDescent="0.25">
      <c r="A18" s="6"/>
      <c r="C18" s="10"/>
      <c r="G18">
        <v>-2.7</v>
      </c>
      <c r="H18">
        <f t="shared" si="0"/>
        <v>3.1924197039502049E-2</v>
      </c>
      <c r="I18" t="str">
        <f t="shared" si="2"/>
        <v>0.200585645782105j</v>
      </c>
      <c r="J18" t="str">
        <f t="shared" si="1"/>
        <v>0.000394124529809948+0.197530182800097j</v>
      </c>
      <c r="K18">
        <f t="shared" si="3"/>
        <v>-14.087313397589337</v>
      </c>
      <c r="L18">
        <f t="shared" si="4"/>
        <v>89.885680042035943</v>
      </c>
      <c r="M18">
        <f t="shared" si="5"/>
        <v>3.9412452980994801E-4</v>
      </c>
      <c r="N18">
        <f t="shared" si="6"/>
        <v>0.19753018280009699</v>
      </c>
    </row>
    <row r="19" spans="1:14" x14ac:dyDescent="0.25">
      <c r="G19">
        <v>-2.68</v>
      </c>
      <c r="H19">
        <f t="shared" si="0"/>
        <v>3.3428738093664596E-2</v>
      </c>
      <c r="I19" t="str">
        <f t="shared" si="2"/>
        <v>0.210038956027668j</v>
      </c>
      <c r="J19" t="str">
        <f t="shared" si="1"/>
        <v>0.000432148787519888+0.20683941406776j</v>
      </c>
      <c r="K19">
        <f t="shared" si="3"/>
        <v>-13.687315065649354</v>
      </c>
      <c r="L19">
        <f t="shared" si="4"/>
        <v>89.880292323729833</v>
      </c>
      <c r="M19">
        <f t="shared" si="5"/>
        <v>4.3214878751988799E-4</v>
      </c>
      <c r="N19">
        <f t="shared" si="6"/>
        <v>0.20683941406775999</v>
      </c>
    </row>
    <row r="20" spans="1:14" x14ac:dyDescent="0.25">
      <c r="A20" s="10"/>
      <c r="G20">
        <v>-2.66</v>
      </c>
      <c r="H20">
        <f t="shared" si="0"/>
        <v>3.5004185983192798E-2</v>
      </c>
      <c r="I20" t="str">
        <f t="shared" si="2"/>
        <v>0.219937787059379j</v>
      </c>
      <c r="J20" t="str">
        <f t="shared" si="1"/>
        <v>0.000473841523451291+0.216587364118705j</v>
      </c>
      <c r="K20">
        <f t="shared" si="3"/>
        <v>-13.287316894640046</v>
      </c>
      <c r="L20">
        <f t="shared" si="4"/>
        <v>89.874650692353256</v>
      </c>
      <c r="M20">
        <f t="shared" si="5"/>
        <v>4.7384152345129101E-4</v>
      </c>
      <c r="N20">
        <f t="shared" si="6"/>
        <v>0.21658736411870499</v>
      </c>
    </row>
    <row r="21" spans="1:14" x14ac:dyDescent="0.25">
      <c r="A21" s="10"/>
      <c r="G21">
        <v>-2.64</v>
      </c>
      <c r="H21">
        <f t="shared" si="0"/>
        <v>3.6653882444284344E-2</v>
      </c>
      <c r="I21" t="str">
        <f t="shared" si="2"/>
        <v>0.230303135625015j</v>
      </c>
      <c r="J21" t="str">
        <f t="shared" si="1"/>
        <v>0.000519556658975167+0.226794707388465j</v>
      </c>
      <c r="K21">
        <f t="shared" si="3"/>
        <v>-12.887318900087628</v>
      </c>
      <c r="L21">
        <f t="shared" si="4"/>
        <v>89.868743181688245</v>
      </c>
      <c r="M21">
        <f t="shared" si="5"/>
        <v>5.1955665897516698E-4</v>
      </c>
      <c r="N21">
        <f t="shared" si="6"/>
        <v>0.22679470738846499</v>
      </c>
    </row>
    <row r="22" spans="1:14" x14ac:dyDescent="0.25">
      <c r="G22">
        <v>-2.62</v>
      </c>
      <c r="H22">
        <f t="shared" si="0"/>
        <v>3.8381326704311818E-2</v>
      </c>
      <c r="I22" t="str">
        <f t="shared" si="2"/>
        <v>0.241156988018592j</v>
      </c>
      <c r="J22" t="str">
        <f t="shared" si="1"/>
        <v>0.000569682259784547+0.237483092410372j</v>
      </c>
      <c r="K22">
        <f t="shared" si="3"/>
        <v>-12.48732109901602</v>
      </c>
      <c r="L22">
        <f t="shared" si="4"/>
        <v>89.862557261616203</v>
      </c>
      <c r="M22">
        <f t="shared" si="5"/>
        <v>5.6968225978454702E-4</v>
      </c>
      <c r="N22">
        <f t="shared" si="6"/>
        <v>0.23748309241037199</v>
      </c>
    </row>
    <row r="23" spans="1:14" x14ac:dyDescent="0.25">
      <c r="A23" s="6"/>
      <c r="G23">
        <v>-2.6</v>
      </c>
      <c r="H23">
        <f t="shared" si="0"/>
        <v>4.0190182904153243E-2</v>
      </c>
      <c r="I23" t="str">
        <f t="shared" si="2"/>
        <v>0.252522366716236j</v>
      </c>
      <c r="J23" t="str">
        <f t="shared" si="1"/>
        <v>0.000624643829799269+0.248675187685087j</v>
      </c>
      <c r="K23">
        <f t="shared" si="3"/>
        <v>-12.087323510091885</v>
      </c>
      <c r="L23">
        <f t="shared" si="4"/>
        <v>89.856079811549478</v>
      </c>
      <c r="M23">
        <f t="shared" si="5"/>
        <v>6.2464382979926904E-4</v>
      </c>
      <c r="N23">
        <f t="shared" si="6"/>
        <v>0.24867518768508701</v>
      </c>
    </row>
    <row r="24" spans="1:14" x14ac:dyDescent="0.25">
      <c r="A24" s="6"/>
      <c r="G24">
        <v>-2.58</v>
      </c>
      <c r="H24">
        <f t="shared" si="0"/>
        <v>4.2084287870326066E-2</v>
      </c>
      <c r="I24" t="str">
        <f t="shared" si="2"/>
        <v>0.264423379209949j</v>
      </c>
      <c r="J24" t="str">
        <f t="shared" si="1"/>
        <v>0.000684907922804615+0.260394729706256j</v>
      </c>
      <c r="K24">
        <f t="shared" si="3"/>
        <v>-11.687326153782378</v>
      </c>
      <c r="L24">
        <f t="shared" si="4"/>
        <v>89.849297092611863</v>
      </c>
      <c r="M24">
        <f t="shared" si="5"/>
        <v>6.8490792280461496E-4</v>
      </c>
      <c r="N24">
        <f t="shared" si="6"/>
        <v>0.26039472970625599</v>
      </c>
    </row>
    <row r="25" spans="1:14" x14ac:dyDescent="0.25">
      <c r="A25" s="6"/>
      <c r="G25">
        <v>-2.56</v>
      </c>
      <c r="H25">
        <f t="shared" si="0"/>
        <v>4.4067659253410642E-2</v>
      </c>
      <c r="I25" t="str">
        <f t="shared" si="2"/>
        <v>0.276885269142826j</v>
      </c>
      <c r="J25" t="str">
        <f t="shared" si="1"/>
        <v>0.000750986102466724+0.272666573242999j</v>
      </c>
      <c r="K25">
        <f t="shared" si="3"/>
        <v>-11.287329052529548</v>
      </c>
      <c r="L25">
        <f t="shared" si="4"/>
        <v>89.84219471850929</v>
      </c>
      <c r="M25">
        <f t="shared" si="5"/>
        <v>7.5098610246672405E-4</v>
      </c>
      <c r="N25">
        <f t="shared" si="6"/>
        <v>0.27266657324299898</v>
      </c>
    </row>
    <row r="26" spans="1:14" x14ac:dyDescent="0.25">
      <c r="A26" s="6"/>
      <c r="G26">
        <v>-2.54</v>
      </c>
      <c r="H26">
        <f t="shared" si="0"/>
        <v>4.6144504050025667E-2</v>
      </c>
      <c r="I26" t="str">
        <f t="shared" si="2"/>
        <v>0.28993446985421j</v>
      </c>
      <c r="J26" t="str">
        <f t="shared" si="1"/>
        <v>0.000823439284321999+0.285516743984697j</v>
      </c>
      <c r="K26">
        <f t="shared" si="3"/>
        <v>-10.887332230940379</v>
      </c>
      <c r="L26">
        <f t="shared" si="4"/>
        <v>89.834757625029141</v>
      </c>
      <c r="M26">
        <f t="shared" si="5"/>
        <v>8.2343928432199902E-4</v>
      </c>
      <c r="N26">
        <f t="shared" si="6"/>
        <v>0.28551674398469701</v>
      </c>
    </row>
    <row r="27" spans="1:14" x14ac:dyDescent="0.25">
      <c r="A27" s="6"/>
      <c r="G27">
        <v>-2.52</v>
      </c>
      <c r="H27">
        <f t="shared" si="0"/>
        <v>4.8319227526432217E-2</v>
      </c>
      <c r="I27" t="str">
        <f t="shared" si="2"/>
        <v>0.303598660448346j</v>
      </c>
      <c r="J27" t="str">
        <f t="shared" si="1"/>
        <v>0.000902882496576112+0.29897249365825j</v>
      </c>
      <c r="K27">
        <f t="shared" si="3"/>
        <v>-10.487335715995904</v>
      </c>
      <c r="L27">
        <f t="shared" si="4"/>
        <v>89.826970038103752</v>
      </c>
      <c r="M27">
        <f t="shared" si="5"/>
        <v>9.0288249657611197E-4</v>
      </c>
      <c r="N27">
        <f t="shared" si="6"/>
        <v>0.29897249365825002</v>
      </c>
    </row>
    <row r="28" spans="1:14" x14ac:dyDescent="0.25">
      <c r="A28" s="6"/>
      <c r="G28">
        <v>-2.5</v>
      </c>
      <c r="H28">
        <f t="shared" si="0"/>
        <v>5.0596442562694022E-2</v>
      </c>
      <c r="I28" t="str">
        <f t="shared" si="2"/>
        <v>0.317906824505475j</v>
      </c>
      <c r="J28" t="str">
        <f t="shared" si="1"/>
        <v>0.000989990100098997+0.313062357733092j</v>
      </c>
      <c r="K28">
        <f t="shared" si="3"/>
        <v>-10.087339537280053</v>
      </c>
      <c r="L28">
        <f t="shared" si="4"/>
        <v>89.81881544037077</v>
      </c>
      <c r="M28">
        <f t="shared" si="5"/>
        <v>9.8999010009899707E-4</v>
      </c>
      <c r="N28">
        <f t="shared" si="6"/>
        <v>0.31306235773309199</v>
      </c>
    </row>
    <row r="29" spans="1:14" x14ac:dyDescent="0.25">
      <c r="D29" s="11"/>
      <c r="G29">
        <v>-2.48</v>
      </c>
      <c r="H29">
        <f t="shared" si="0"/>
        <v>5.2980979437214568E-2</v>
      </c>
      <c r="I29" t="str">
        <f t="shared" si="2"/>
        <v>0.33288931155989j</v>
      </c>
      <c r="J29" t="str">
        <f t="shared" si="1"/>
        <v>0.00108550151189436+0.327816215834435j</v>
      </c>
      <c r="K29">
        <f t="shared" si="3"/>
        <v>-9.6873437272309495</v>
      </c>
      <c r="L29">
        <f t="shared" si="4"/>
        <v>89.810276536159577</v>
      </c>
      <c r="M29">
        <f t="shared" si="5"/>
        <v>1.08550151189436E-3</v>
      </c>
      <c r="N29">
        <f t="shared" si="6"/>
        <v>0.32781621583443499</v>
      </c>
    </row>
    <row r="30" spans="1:14" x14ac:dyDescent="0.25">
      <c r="G30">
        <v>-2.46</v>
      </c>
      <c r="H30">
        <f t="shared" si="0"/>
        <v>5.5477896072405039E-2</v>
      </c>
      <c r="I30" t="str">
        <f t="shared" si="2"/>
        <v>0.348577901475371j</v>
      </c>
      <c r="J30" t="str">
        <f t="shared" si="1"/>
        <v>0.00119022748058955+0.343265354990727j</v>
      </c>
      <c r="K30">
        <f t="shared" si="3"/>
        <v>-9.2873483214161023</v>
      </c>
      <c r="L30">
        <f t="shared" si="4"/>
        <v>89.801335214830246</v>
      </c>
      <c r="M30">
        <f t="shared" si="5"/>
        <v>1.19022748058955E-3</v>
      </c>
      <c r="N30">
        <f t="shared" si="6"/>
        <v>0.34326535499072702</v>
      </c>
    </row>
    <row r="31" spans="1:14" x14ac:dyDescent="0.25">
      <c r="B31" s="12"/>
      <c r="G31">
        <v>-2.44</v>
      </c>
      <c r="H31">
        <f t="shared" si="0"/>
        <v>5.8092488763216175E-2</v>
      </c>
      <c r="I31" t="str">
        <f t="shared" si="2"/>
        <v>0.365005871854535j</v>
      </c>
      <c r="J31" t="str">
        <f t="shared" si="1"/>
        <v>0.00130505696716943+0.35944253584695j</v>
      </c>
      <c r="K31">
        <f t="shared" si="3"/>
        <v>-8.8873533588343818</v>
      </c>
      <c r="L31">
        <f t="shared" si="4"/>
        <v>89.791972512387446</v>
      </c>
      <c r="M31">
        <f t="shared" si="5"/>
        <v>1.30505696716943E-3</v>
      </c>
      <c r="N31">
        <f t="shared" si="6"/>
        <v>0.35944253584695002</v>
      </c>
    </row>
    <row r="32" spans="1:14" x14ac:dyDescent="0.25">
      <c r="B32" s="12"/>
      <c r="G32">
        <v>-2.42</v>
      </c>
      <c r="H32">
        <f t="shared" si="0"/>
        <v>6.0830303411289796E-2</v>
      </c>
      <c r="I32" t="str">
        <f t="shared" si="2"/>
        <v>0.382208068625092j</v>
      </c>
      <c r="J32" t="str">
        <f t="shared" si="1"/>
        <v>0.00143096468930574+0.376382061981341j</v>
      </c>
      <c r="K32">
        <f t="shared" si="3"/>
        <v>-8.4873588822469763</v>
      </c>
      <c r="L32">
        <f t="shared" si="4"/>
        <v>89.782168571288707</v>
      </c>
      <c r="M32">
        <f t="shared" si="5"/>
        <v>1.4309646893057399E-3</v>
      </c>
      <c r="N32">
        <f t="shared" si="6"/>
        <v>0.376382061981341</v>
      </c>
    </row>
    <row r="33" spans="7:14" x14ac:dyDescent="0.25">
      <c r="G33">
        <v>-2.4</v>
      </c>
      <c r="H33">
        <f t="shared" si="0"/>
        <v>6.3697147288559547E-2</v>
      </c>
      <c r="I33" t="str">
        <f t="shared" si="2"/>
        <v>0.400220979952731j</v>
      </c>
      <c r="J33" t="str">
        <f t="shared" si="1"/>
        <v>0.00156901939325495+0.39411985246925j</v>
      </c>
      <c r="K33">
        <f t="shared" si="3"/>
        <v>-8.0873649385403557</v>
      </c>
      <c r="L33">
        <f t="shared" si="4"/>
        <v>89.771902598362203</v>
      </c>
      <c r="M33">
        <f t="shared" si="5"/>
        <v>1.5690193932549499E-3</v>
      </c>
      <c r="N33">
        <f t="shared" si="6"/>
        <v>0.39411985246925002</v>
      </c>
    </row>
    <row r="34" spans="7:14" x14ac:dyDescent="0.25">
      <c r="G34">
        <v>-2.38</v>
      </c>
      <c r="H34">
        <f t="shared" si="0"/>
        <v>6.6699101355253643E-2</v>
      </c>
      <c r="I34" t="str">
        <f t="shared" si="2"/>
        <v>0.419082813637412j</v>
      </c>
      <c r="J34" t="str">
        <f t="shared" si="1"/>
        <v>0.0017203929234594+0.412693517844259j</v>
      </c>
      <c r="K34">
        <f t="shared" si="3"/>
        <v>-7.6873715791242869</v>
      </c>
      <c r="L34">
        <f t="shared" si="4"/>
        <v>89.761152820745636</v>
      </c>
      <c r="M34">
        <f t="shared" si="5"/>
        <v>1.7203929234593999E-3</v>
      </c>
      <c r="N34">
        <f t="shared" si="6"/>
        <v>0.41269351784425901</v>
      </c>
    </row>
    <row r="35" spans="7:14" x14ac:dyDescent="0.25">
      <c r="G35">
        <v>-2.36</v>
      </c>
      <c r="H35">
        <f t="shared" si="0"/>
        <v>6.9842533158426506E-2</v>
      </c>
      <c r="I35" t="str">
        <f t="shared" si="2"/>
        <v>0.438833578157229j</v>
      </c>
      <c r="J35" t="str">
        <f t="shared" si="1"/>
        <v>0.0018863701667411+0.432142439613333j</v>
      </c>
      <c r="K35">
        <f t="shared" si="3"/>
        <v>-7.2873788603681042</v>
      </c>
      <c r="L35">
        <f t="shared" si="4"/>
        <v>89.749896439753599</v>
      </c>
      <c r="M35">
        <f t="shared" si="5"/>
        <v>1.8863701667410999E-3</v>
      </c>
      <c r="N35">
        <f t="shared" si="6"/>
        <v>0.43214243961333298</v>
      </c>
    </row>
    <row r="36" spans="7:14" x14ac:dyDescent="0.25">
      <c r="G36">
        <v>-2.34</v>
      </c>
      <c r="H36">
        <f t="shared" si="0"/>
        <v>7.3134110338380007E-2</v>
      </c>
      <c r="I36" t="str">
        <f t="shared" si="2"/>
        <v>0.45951516753176j</v>
      </c>
      <c r="J36" t="str">
        <f t="shared" si="1"/>
        <v>0.00206835995538098+0.452507853489651j</v>
      </c>
      <c r="K36">
        <f t="shared" si="3"/>
        <v>-6.8873868440792121</v>
      </c>
      <c r="L36">
        <f t="shared" si="4"/>
        <v>89.738109582576541</v>
      </c>
      <c r="M36">
        <f t="shared" si="5"/>
        <v>2.0683599553809801E-3</v>
      </c>
      <c r="N36">
        <f t="shared" si="6"/>
        <v>0.452507853489651</v>
      </c>
    </row>
    <row r="37" spans="7:14" x14ac:dyDescent="0.25">
      <c r="G37">
        <v>-2.3199999999999998</v>
      </c>
      <c r="H37">
        <f t="shared" si="0"/>
        <v>7.6580814771622138E-2</v>
      </c>
      <c r="I37" t="str">
        <f t="shared" si="2"/>
        <v>0.481171450184898j</v>
      </c>
      <c r="J37" t="str">
        <f t="shared" si="1"/>
        <v>0.00226790702149175+0.473832936513941j</v>
      </c>
      <c r="K37">
        <f t="shared" si="3"/>
        <v>-6.4873955980274545</v>
      </c>
      <c r="L37">
        <f t="shared" si="4"/>
        <v>89.725767251709883</v>
      </c>
      <c r="M37">
        <f t="shared" si="5"/>
        <v>2.2679070214917502E-3</v>
      </c>
      <c r="N37">
        <f t="shared" si="6"/>
        <v>0.47383293651394098</v>
      </c>
    </row>
    <row r="38" spans="7:14" x14ac:dyDescent="0.25">
      <c r="G38">
        <v>-2.2999999999999998</v>
      </c>
      <c r="H38">
        <f t="shared" si="0"/>
        <v>8.0189957380363538E-2</v>
      </c>
      <c r="I38" t="str">
        <f t="shared" si="2"/>
        <v>0.503848361995657j</v>
      </c>
      <c r="J38" t="str">
        <f t="shared" si="1"/>
        <v>0.00248670510398638+0.49616289824248j</v>
      </c>
      <c r="K38">
        <f t="shared" si="3"/>
        <v>-6.087405196520562</v>
      </c>
      <c r="L38">
        <f t="shared" si="4"/>
        <v>89.71284327200739</v>
      </c>
      <c r="M38">
        <f t="shared" si="5"/>
        <v>2.4867051039863799E-3</v>
      </c>
      <c r="N38">
        <f t="shared" si="6"/>
        <v>0.49616289824248</v>
      </c>
    </row>
    <row r="39" spans="7:14" x14ac:dyDescent="0.25">
      <c r="G39">
        <v>-2.2799999999999998</v>
      </c>
      <c r="H39">
        <f t="shared" si="0"/>
        <v>8.396919363996358E-2</v>
      </c>
      <c r="I39" t="str">
        <f t="shared" si="2"/>
        <v>0.527594003734337j</v>
      </c>
      <c r="J39" t="str">
        <f t="shared" si="1"/>
        <v>0.00272661131919321+0.51954507618766j</v>
      </c>
      <c r="K39">
        <f t="shared" si="3"/>
        <v>-5.6874157210345722</v>
      </c>
      <c r="L39">
        <f t="shared" si="4"/>
        <v>89.699310235248092</v>
      </c>
      <c r="M39">
        <f t="shared" si="5"/>
        <v>2.7266113191932099E-3</v>
      </c>
      <c r="N39">
        <f t="shared" si="6"/>
        <v>0.51954507618765999</v>
      </c>
    </row>
    <row r="40" spans="7:14" x14ac:dyDescent="0.25">
      <c r="G40">
        <v>-2.2599999999999998</v>
      </c>
      <c r="H40">
        <f t="shared" si="0"/>
        <v>8.7926539817219956E-2</v>
      </c>
      <c r="I40" t="str">
        <f t="shared" si="2"/>
        <v>0.552458743090697j</v>
      </c>
      <c r="J40" t="str">
        <f t="shared" si="1"/>
        <v>0.0029896619168515+0.544029035704825j</v>
      </c>
      <c r="K40">
        <f t="shared" si="3"/>
        <v>-5.2874272609054138</v>
      </c>
      <c r="L40">
        <f t="shared" si="4"/>
        <v>89.68513944210035</v>
      </c>
      <c r="M40">
        <f t="shared" si="5"/>
        <v>2.9896619168514999E-3</v>
      </c>
      <c r="N40">
        <f t="shared" si="6"/>
        <v>0.54402903570482497</v>
      </c>
    </row>
    <row r="41" spans="7:14" x14ac:dyDescent="0.25">
      <c r="G41">
        <v>-2.2400000000000002</v>
      </c>
      <c r="H41">
        <f t="shared" si="0"/>
        <v>9.2070389973945038E-2</v>
      </c>
      <c r="I41" t="str">
        <f t="shared" si="2"/>
        <v>0.578495321510586j</v>
      </c>
      <c r="J41" t="str">
        <f t="shared" si="1"/>
        <v>0.00327808955493058+0.569666674527304j</v>
      </c>
      <c r="K41">
        <f t="shared" si="3"/>
        <v>-4.8874399140869365</v>
      </c>
      <c r="L41">
        <f t="shared" si="4"/>
        <v>89.670300841362689</v>
      </c>
      <c r="M41">
        <f t="shared" si="5"/>
        <v>3.2780895549305799E-3</v>
      </c>
      <c r="N41">
        <f t="shared" si="6"/>
        <v>0.56966667452730402</v>
      </c>
    </row>
    <row r="42" spans="7:14" x14ac:dyDescent="0.25">
      <c r="G42">
        <v>-2.2200000000000002</v>
      </c>
      <c r="H42">
        <f t="shared" si="0"/>
        <v>9.6409533771897149E-2</v>
      </c>
      <c r="I42" t="str">
        <f t="shared" si="2"/>
        <v>0.605758966067618j</v>
      </c>
      <c r="J42" t="str">
        <f t="shared" si="1"/>
        <v>0.00359434223954514+0.596512332159892j</v>
      </c>
      <c r="K42">
        <f t="shared" si="3"/>
        <v>-4.4874537879822221</v>
      </c>
      <c r="L42">
        <f t="shared" si="4"/>
        <v>89.6547629663538</v>
      </c>
      <c r="M42">
        <f t="shared" si="5"/>
        <v>3.5943422395451402E-3</v>
      </c>
      <c r="N42">
        <f t="shared" si="6"/>
        <v>0.59651233215989197</v>
      </c>
    </row>
    <row r="43" spans="7:14" x14ac:dyDescent="0.25">
      <c r="G43">
        <v>-2.2000000000000002</v>
      </c>
      <c r="H43">
        <f t="shared" si="0"/>
        <v>0.1009531751168308</v>
      </c>
      <c r="I43" t="str">
        <f t="shared" si="2"/>
        <v>0.634307506607199j</v>
      </c>
      <c r="J43" t="str">
        <f t="shared" si="1"/>
        <v>0.00394110409029979+0.62462290434968j</v>
      </c>
      <c r="K43">
        <f t="shared" si="3"/>
        <v>-4.0874690003549183</v>
      </c>
      <c r="L43">
        <f t="shared" si="4"/>
        <v>89.638492868320157</v>
      </c>
      <c r="M43">
        <f t="shared" si="5"/>
        <v>3.9411040902997902E-3</v>
      </c>
      <c r="N43">
        <f t="shared" si="6"/>
        <v>0.62462290434968004</v>
      </c>
    </row>
    <row r="44" spans="7:14" x14ac:dyDescent="0.25">
      <c r="G44">
        <v>-2.1800000000000002</v>
      </c>
      <c r="H44">
        <f t="shared" si="0"/>
        <v>0.1057109516812153</v>
      </c>
      <c r="I44" t="str">
        <f t="shared" si="2"/>
        <v>0.664201498411383j</v>
      </c>
      <c r="J44" t="str">
        <f t="shared" si="1"/>
        <v>0.00432131810680066+0.654057962861921j</v>
      </c>
      <c r="K44">
        <f t="shared" si="3"/>
        <v>-3.6874856803286713</v>
      </c>
      <c r="L44">
        <f t="shared" si="4"/>
        <v>89.621456046722372</v>
      </c>
      <c r="M44">
        <f t="shared" si="5"/>
        <v>4.3213181068006597E-3</v>
      </c>
      <c r="N44">
        <f t="shared" si="6"/>
        <v>0.65405796286192097</v>
      </c>
    </row>
    <row r="45" spans="7:14" x14ac:dyDescent="0.25">
      <c r="G45">
        <v>-2.16</v>
      </c>
      <c r="H45">
        <f t="shared" si="0"/>
        <v>0.11069295534702976</v>
      </c>
      <c r="I45" t="str">
        <f t="shared" si="2"/>
        <v>0.695504350644743j</v>
      </c>
      <c r="J45" t="str">
        <f t="shared" si="1"/>
        <v>0.0047382111289511+0.684879880797688j</v>
      </c>
      <c r="K45">
        <f t="shared" si="3"/>
        <v>-3.2875039694825912</v>
      </c>
      <c r="L45">
        <f t="shared" si="4"/>
        <v>89.603616376256042</v>
      </c>
      <c r="M45">
        <f t="shared" si="5"/>
        <v>4.7382111289510998E-3</v>
      </c>
      <c r="N45">
        <f t="shared" si="6"/>
        <v>0.68487988079768802</v>
      </c>
    </row>
    <row r="46" spans="7:14" x14ac:dyDescent="0.25">
      <c r="G46">
        <v>-2.14</v>
      </c>
      <c r="H46">
        <f t="shared" si="0"/>
        <v>0.1159097536119983</v>
      </c>
      <c r="I46" t="str">
        <f t="shared" si="2"/>
        <v>0.728282460853714j</v>
      </c>
      <c r="J46" t="str">
        <f t="shared" si="1"/>
        <v>0.00519532120214022+0.71715396369921j</v>
      </c>
      <c r="K46">
        <f t="shared" si="3"/>
        <v>-2.8875240230525328</v>
      </c>
      <c r="L46">
        <f t="shared" si="4"/>
        <v>89.584936030455935</v>
      </c>
      <c r="M46">
        <f t="shared" si="5"/>
        <v>5.1953212021402196E-3</v>
      </c>
      <c r="N46">
        <f t="shared" si="6"/>
        <v>0.71715396369921003</v>
      </c>
    </row>
    <row r="47" spans="7:14" x14ac:dyDescent="0.25">
      <c r="G47">
        <v>-2.12</v>
      </c>
      <c r="H47">
        <f t="shared" si="0"/>
        <v>0.12137241200466928</v>
      </c>
      <c r="I47" t="str">
        <f t="shared" si="2"/>
        <v>0.762605355804685j</v>
      </c>
      <c r="J47" t="str">
        <f t="shared" si="1"/>
        <v>0.00569652757869055+0.750948586698124j</v>
      </c>
      <c r="K47">
        <f t="shared" si="3"/>
        <v>-2.4875460112483152</v>
      </c>
      <c r="L47">
        <f t="shared" si="4"/>
        <v>89.565375401726058</v>
      </c>
      <c r="M47">
        <f t="shared" si="5"/>
        <v>5.6965275786905502E-3</v>
      </c>
      <c r="N47">
        <f t="shared" si="6"/>
        <v>0.75094858669812403</v>
      </c>
    </row>
    <row r="48" spans="7:14" x14ac:dyDescent="0.25">
      <c r="G48">
        <v>-2.1</v>
      </c>
      <c r="H48">
        <f t="shared" si="0"/>
        <v>0.12709251755588499</v>
      </c>
      <c r="I48" t="str">
        <f t="shared" si="2"/>
        <v>0.7985458389596j</v>
      </c>
      <c r="J48" t="str">
        <f t="shared" si="1"/>
        <v>0.00624608360912116+0.786335337971366j</v>
      </c>
      <c r="K48">
        <f t="shared" si="3"/>
        <v>-2.0875701206976123</v>
      </c>
      <c r="L48">
        <f t="shared" si="4"/>
        <v>89.54489301763094</v>
      </c>
      <c r="M48">
        <f t="shared" si="5"/>
        <v>6.2460836091211601E-3</v>
      </c>
      <c r="N48">
        <f t="shared" si="6"/>
        <v>0.78633533797136601</v>
      </c>
    </row>
    <row r="49" spans="7:14" x14ac:dyDescent="0.25">
      <c r="G49">
        <v>-2.08</v>
      </c>
      <c r="H49">
        <f t="shared" si="0"/>
        <v>0.13308220337642729</v>
      </c>
      <c r="I49" t="str">
        <f t="shared" si="2"/>
        <v>0.836180144901853j</v>
      </c>
      <c r="J49" t="str">
        <f t="shared" si="1"/>
        <v>0.00684865280108577+0.823389168778835j</v>
      </c>
      <c r="K49">
        <f t="shared" si="3"/>
        <v>-1.6875965560292538</v>
      </c>
      <c r="L49">
        <f t="shared" si="4"/>
        <v>89.523445453276409</v>
      </c>
      <c r="M49">
        <f t="shared" si="5"/>
        <v>6.84865280108577E-3</v>
      </c>
      <c r="N49">
        <f t="shared" si="6"/>
        <v>0.82338916877883495</v>
      </c>
    </row>
    <row r="50" spans="7:14" x14ac:dyDescent="0.25">
      <c r="G50">
        <v>-2.06</v>
      </c>
      <c r="H50">
        <f t="shared" si="0"/>
        <v>0.13935417439297282</v>
      </c>
      <c r="I50" t="str">
        <f t="shared" si="2"/>
        <v>0.875588101040069j</v>
      </c>
      <c r="J50" t="str">
        <f t="shared" si="1"/>
        <v>0.00750934835046274+0.862188550366545j</v>
      </c>
      <c r="K50">
        <f t="shared" si="3"/>
        <v>-1.2876255416090374</v>
      </c>
      <c r="L50">
        <f t="shared" si="4"/>
        <v>89.500987239600633</v>
      </c>
      <c r="M50">
        <f t="shared" si="5"/>
        <v>7.5093483504627403E-3</v>
      </c>
      <c r="N50">
        <f t="shared" si="6"/>
        <v>0.86218855036654496</v>
      </c>
    </row>
    <row r="51" spans="7:14" x14ac:dyDescent="0.25">
      <c r="G51">
        <v>-2.04</v>
      </c>
      <c r="H51">
        <f t="shared" si="0"/>
        <v>0.14592173429694541</v>
      </c>
      <c r="I51" t="str">
        <f t="shared" si="2"/>
        <v>0.916853296932731j</v>
      </c>
      <c r="J51" t="str">
        <f t="shared" si="1"/>
        <v>0.00823377647821904+0.90281563802838j</v>
      </c>
      <c r="K51">
        <f t="shared" si="3"/>
        <v>-0.88765732344296133</v>
      </c>
      <c r="L51">
        <f t="shared" si="4"/>
        <v>89.477470767388738</v>
      </c>
      <c r="M51">
        <f t="shared" si="5"/>
        <v>8.2337764782190407E-3</v>
      </c>
      <c r="N51">
        <f t="shared" si="6"/>
        <v>0.90281563802838005</v>
      </c>
    </row>
    <row r="52" spans="7:14" x14ac:dyDescent="0.25">
      <c r="G52">
        <v>-2.02</v>
      </c>
      <c r="H52">
        <f t="shared" si="0"/>
        <v>0.15279881376342971</v>
      </c>
      <c r="I52" t="str">
        <f t="shared" si="2"/>
        <v>0.960063261592851j</v>
      </c>
      <c r="J52" t="str">
        <f t="shared" si="1"/>
        <v>0.00902808393858243+0.945356442628948j</v>
      </c>
      <c r="K52">
        <f t="shared" si="3"/>
        <v>-0.4876921712635493</v>
      </c>
      <c r="L52">
        <f t="shared" si="4"/>
        <v>89.452846186815975</v>
      </c>
      <c r="M52">
        <f t="shared" si="5"/>
        <v>9.0280839385824298E-3</v>
      </c>
      <c r="N52">
        <f t="shared" si="6"/>
        <v>0.94535644262894802</v>
      </c>
    </row>
    <row r="53" spans="7:14" x14ac:dyDescent="0.25">
      <c r="G53">
        <v>-2</v>
      </c>
      <c r="H53">
        <f t="shared" si="0"/>
        <v>0.16</v>
      </c>
      <c r="I53" t="str">
        <f t="shared" si="2"/>
        <v>1.00530964914873j</v>
      </c>
      <c r="J53" t="str">
        <f t="shared" si="1"/>
        <v>0.00989901009899002+0.989901009899006j</v>
      </c>
      <c r="K53">
        <f t="shared" si="3"/>
        <v>-8.7730380817665682E-2</v>
      </c>
      <c r="L53">
        <f t="shared" si="4"/>
        <v>89.427061302316517</v>
      </c>
      <c r="M53">
        <f t="shared" si="5"/>
        <v>9.8990100989900208E-3</v>
      </c>
      <c r="N53">
        <f t="shared" si="6"/>
        <v>0.98990100989900598</v>
      </c>
    </row>
    <row r="54" spans="7:14" x14ac:dyDescent="0.25">
      <c r="G54">
        <v>-1.98</v>
      </c>
      <c r="H54">
        <f t="shared" si="0"/>
        <v>0.16754056768814382</v>
      </c>
      <c r="I54" t="str">
        <f t="shared" si="2"/>
        <v>1.05268843325467j</v>
      </c>
      <c r="J54" t="str">
        <f t="shared" si="1"/>
        <v>0.0108539440305204+1.03654360782386j</v>
      </c>
      <c r="K54">
        <f t="shared" si="3"/>
        <v>0.31222772362583751</v>
      </c>
      <c r="L54">
        <f t="shared" si="4"/>
        <v>89.400061462566626</v>
      </c>
      <c r="M54">
        <f t="shared" si="5"/>
        <v>1.0853944030520399E-2</v>
      </c>
      <c r="N54">
        <f t="shared" si="6"/>
        <v>1.0365436078238599</v>
      </c>
    </row>
    <row r="55" spans="7:14" x14ac:dyDescent="0.25">
      <c r="G55">
        <v>-1.96</v>
      </c>
      <c r="H55">
        <f t="shared" si="0"/>
        <v>0.17543651138290961</v>
      </c>
      <c r="I55" t="str">
        <f t="shared" si="2"/>
        <v>1.10230011066394j</v>
      </c>
      <c r="J55" t="str">
        <f t="shared" si="1"/>
        <v>0.0119009870893609+1.08538292245319j</v>
      </c>
      <c r="K55">
        <f t="shared" si="3"/>
        <v>0.7121817865260448</v>
      </c>
      <c r="L55">
        <f t="shared" si="4"/>
        <v>89.371789445361927</v>
      </c>
      <c r="M55">
        <f t="shared" si="5"/>
        <v>1.1900987089360901E-2</v>
      </c>
      <c r="N55">
        <f t="shared" si="6"/>
        <v>1.0853829224531899</v>
      </c>
    </row>
    <row r="56" spans="7:14" x14ac:dyDescent="0.25">
      <c r="G56">
        <v>-1.94</v>
      </c>
      <c r="H56">
        <f t="shared" si="0"/>
        <v>0.18370457943950122</v>
      </c>
      <c r="I56" t="str">
        <f t="shared" si="2"/>
        <v>1.15424991439588j</v>
      </c>
      <c r="J56" t="str">
        <f t="shared" si="1"/>
        <v>0.0130490215156539+1.13652226246881j</v>
      </c>
      <c r="K56">
        <f t="shared" si="3"/>
        <v>1.1121314180562456</v>
      </c>
      <c r="L56">
        <f t="shared" si="4"/>
        <v>89.342185337160018</v>
      </c>
      <c r="M56">
        <f t="shared" si="5"/>
        <v>1.3049021515653901E-2</v>
      </c>
      <c r="N56">
        <f t="shared" si="6"/>
        <v>1.1365222624688101</v>
      </c>
    </row>
    <row r="57" spans="7:14" x14ac:dyDescent="0.25">
      <c r="G57">
        <v>-1.92</v>
      </c>
      <c r="H57">
        <f t="shared" si="0"/>
        <v>0.192362309538786</v>
      </c>
      <c r="I57" t="str">
        <f t="shared" si="2"/>
        <v>1.20864803694923j</v>
      </c>
      <c r="J57" t="str">
        <f t="shared" si="1"/>
        <v>0.0143077856261471+1.19006977285328j</v>
      </c>
      <c r="K57">
        <f t="shared" si="3"/>
        <v>1.5120761907987998</v>
      </c>
      <c r="L57">
        <f t="shared" si="4"/>
        <v>89.311186407050343</v>
      </c>
      <c r="M57">
        <f t="shared" si="5"/>
        <v>1.4307785626147099E-2</v>
      </c>
      <c r="N57">
        <f t="shared" si="6"/>
        <v>1.1900697728532801</v>
      </c>
    </row>
    <row r="58" spans="7:14" x14ac:dyDescent="0.25">
      <c r="G58">
        <v>-1.9</v>
      </c>
      <c r="H58">
        <f t="shared" si="0"/>
        <v>0.20142806588706663</v>
      </c>
      <c r="I58" t="str">
        <f t="shared" si="2"/>
        <v>1.26560986403522j</v>
      </c>
      <c r="J58" t="str">
        <f t="shared" si="1"/>
        <v>0.0156879562318616+1.24613865800864j</v>
      </c>
      <c r="K58">
        <f t="shared" si="3"/>
        <v>1.9120156361223226</v>
      </c>
      <c r="L58">
        <f t="shared" si="4"/>
        <v>89.278726974904188</v>
      </c>
      <c r="M58">
        <f t="shared" si="5"/>
        <v>1.5687956231861599E-2</v>
      </c>
      <c r="N58">
        <f t="shared" si="6"/>
        <v>1.24613865800864</v>
      </c>
    </row>
    <row r="59" spans="7:14" x14ac:dyDescent="0.25">
      <c r="G59">
        <v>-1.88</v>
      </c>
      <c r="H59">
        <f t="shared" si="0"/>
        <v>0.21092107816902519</v>
      </c>
      <c r="I59" t="str">
        <f t="shared" si="2"/>
        <v>1.3252562193261j</v>
      </c>
      <c r="J59" t="str">
        <f t="shared" si="1"/>
        <v>0.0172012389718849+1.30484741467899j</v>
      </c>
      <c r="K59">
        <f t="shared" si="3"/>
        <v>2.3119492402103066</v>
      </c>
      <c r="L59">
        <f t="shared" si="4"/>
        <v>89.244738273448277</v>
      </c>
      <c r="M59">
        <f t="shared" si="5"/>
        <v>1.72012389718849E-2</v>
      </c>
      <c r="N59">
        <f t="shared" si="6"/>
        <v>1.3048474146789899</v>
      </c>
    </row>
    <row r="60" spans="7:14" x14ac:dyDescent="0.25">
      <c r="G60">
        <v>-1.86</v>
      </c>
      <c r="H60">
        <f t="shared" si="0"/>
        <v>0.22086148233646138</v>
      </c>
      <c r="I60" t="str">
        <f t="shared" si="2"/>
        <v>1.38771362073836j</v>
      </c>
      <c r="J60" t="str">
        <f t="shared" si="1"/>
        <v>0.0188604673198762+1.36632007503375j</v>
      </c>
      <c r="K60">
        <f t="shared" si="3"/>
        <v>2.7118764397071398</v>
      </c>
      <c r="L60">
        <f t="shared" si="4"/>
        <v>89.209148303995761</v>
      </c>
      <c r="M60">
        <f t="shared" si="5"/>
        <v>1.8860467319876201E-2</v>
      </c>
      <c r="N60">
        <f t="shared" si="6"/>
        <v>1.3663200750337501</v>
      </c>
    </row>
    <row r="61" spans="7:14" x14ac:dyDescent="0.25">
      <c r="G61">
        <v>-1.84</v>
      </c>
      <c r="H61">
        <f t="shared" si="0"/>
        <v>0.23127036331934836</v>
      </c>
      <c r="I61" t="str">
        <f t="shared" si="2"/>
        <v>1.45311454879421j</v>
      </c>
      <c r="J61" t="str">
        <f t="shared" si="1"/>
        <v>0.0206797110914177+1.43068646026987j</v>
      </c>
      <c r="K61">
        <f t="shared" si="3"/>
        <v>3.1117966169452682</v>
      </c>
      <c r="L61">
        <f t="shared" si="4"/>
        <v>89.171881685559171</v>
      </c>
      <c r="M61">
        <f t="shared" si="5"/>
        <v>2.06797110914177E-2</v>
      </c>
      <c r="N61">
        <f t="shared" si="6"/>
        <v>1.4306864602698699</v>
      </c>
    </row>
    <row r="62" spans="7:14" x14ac:dyDescent="0.25">
      <c r="G62">
        <v>-1.82</v>
      </c>
      <c r="H62">
        <f t="shared" si="0"/>
        <v>0.24216979974979322</v>
      </c>
      <c r="I62" t="str">
        <f t="shared" si="2"/>
        <v>1.52159772763052j</v>
      </c>
      <c r="J62" t="str">
        <f t="shared" si="1"/>
        <v>0.0226743953585135+1.49808244509038j</v>
      </c>
      <c r="K62">
        <f t="shared" si="3"/>
        <v>3.5117090947137068</v>
      </c>
      <c r="L62">
        <f t="shared" si="4"/>
        <v>89.132859497060139</v>
      </c>
      <c r="M62">
        <f t="shared" si="5"/>
        <v>2.26743953585135E-2</v>
      </c>
      <c r="N62">
        <f t="shared" si="6"/>
        <v>1.49808244509038</v>
      </c>
    </row>
    <row r="63" spans="7:14" x14ac:dyDescent="0.25">
      <c r="G63">
        <v>-1.8</v>
      </c>
      <c r="H63">
        <f t="shared" si="0"/>
        <v>0.25358291079377798</v>
      </c>
      <c r="I63" t="str">
        <f t="shared" si="2"/>
        <v>1.5933084192513j</v>
      </c>
      <c r="J63" t="str">
        <f t="shared" si="1"/>
        <v>0.0248614307628846+1.56865023341279j</v>
      </c>
      <c r="K63">
        <f t="shared" si="3"/>
        <v>3.9116131305223174</v>
      </c>
      <c r="L63">
        <f t="shared" si="4"/>
        <v>89.091999112341426</v>
      </c>
      <c r="M63">
        <f t="shared" si="5"/>
        <v>2.48614307628846E-2</v>
      </c>
      <c r="N63">
        <f t="shared" si="6"/>
        <v>1.5686502334127901</v>
      </c>
    </row>
    <row r="64" spans="7:14" x14ac:dyDescent="0.25">
      <c r="G64">
        <v>-1.78</v>
      </c>
      <c r="H64">
        <f t="shared" si="0"/>
        <v>0.26553390519000947</v>
      </c>
      <c r="I64" t="str">
        <f t="shared" si="2"/>
        <v>1.66839873164788j</v>
      </c>
      <c r="J64" t="str">
        <f t="shared" si="1"/>
        <v>0.0272593563128884+1.64253864565476j</v>
      </c>
      <c r="K64">
        <f t="shared" si="3"/>
        <v>4.3115079103160019</v>
      </c>
      <c r="L64">
        <f t="shared" si="4"/>
        <v>89.049214027676982</v>
      </c>
      <c r="M64">
        <f t="shared" si="5"/>
        <v>2.7259356312888401E-2</v>
      </c>
      <c r="N64">
        <f t="shared" si="6"/>
        <v>1.6425386456547599</v>
      </c>
    </row>
    <row r="65" spans="7:14" x14ac:dyDescent="0.25">
      <c r="G65">
        <v>-1.76</v>
      </c>
      <c r="H65">
        <f t="shared" si="0"/>
        <v>0.27804813259990008</v>
      </c>
      <c r="I65" t="str">
        <f t="shared" si="2"/>
        <v>1.74702794144041j</v>
      </c>
      <c r="J65" t="str">
        <f t="shared" si="1"/>
        <v>0.0298884958505334+1.71990341793329j</v>
      </c>
      <c r="K65">
        <f t="shared" si="3"/>
        <v>4.7113925415839857</v>
      </c>
      <c r="L65">
        <f t="shared" si="4"/>
        <v>89.004413681467398</v>
      </c>
      <c r="M65">
        <f t="shared" si="5"/>
        <v>2.9888495850533402E-2</v>
      </c>
      <c r="N65">
        <f t="shared" si="6"/>
        <v>1.7199034179332899</v>
      </c>
    </row>
    <row r="66" spans="7:14" x14ac:dyDescent="0.25">
      <c r="G66">
        <v>-1.74</v>
      </c>
      <c r="H66">
        <f t="shared" si="0"/>
        <v>0.29115213737759726</v>
      </c>
      <c r="I66" t="str">
        <f t="shared" si="2"/>
        <v>1.82936283172485j</v>
      </c>
      <c r="J66" t="str">
        <f t="shared" si="1"/>
        <v>0.0327711294859175+1.80090751349925j</v>
      </c>
      <c r="K66">
        <f t="shared" si="3"/>
        <v>5.1112660458071923</v>
      </c>
      <c r="L66">
        <f t="shared" si="4"/>
        <v>88.957503265798508</v>
      </c>
      <c r="M66">
        <f t="shared" si="5"/>
        <v>3.2771129485917497E-2</v>
      </c>
      <c r="N66">
        <f t="shared" si="6"/>
        <v>1.80090751349925</v>
      </c>
    </row>
    <row r="67" spans="7:14" x14ac:dyDescent="0.25">
      <c r="G67">
        <v>-1.72</v>
      </c>
      <c r="H67">
        <f t="shared" ref="H67:H130" si="7">$B$3*10^G67</f>
        <v>0.30487371487411941</v>
      </c>
      <c r="I67" t="str">
        <f t="shared" si="2"/>
        <v>1.91557804584233j</v>
      </c>
      <c r="J67" t="str">
        <f t="shared" ref="J67:J130" si="8">IMDIV(IMPRODUCT(I67,Cg,Rf),IMSUM(1,IMPRODUCT(I67,Cg,Rg)))</f>
        <v>0.0359316814172466+1.88572144670891j</v>
      </c>
      <c r="K67">
        <f t="shared" si="3"/>
        <v>5.5111273501806952</v>
      </c>
      <c r="L67">
        <f t="shared" si="4"/>
        <v>88.908383529533324</v>
      </c>
      <c r="M67">
        <f t="shared" si="5"/>
        <v>3.5931681417246598E-2</v>
      </c>
      <c r="N67">
        <f t="shared" si="6"/>
        <v>1.8857214467089101</v>
      </c>
    </row>
    <row r="68" spans="7:14" x14ac:dyDescent="0.25">
      <c r="G68">
        <v>-1.7</v>
      </c>
      <c r="H68">
        <f t="shared" si="7"/>
        <v>0.31924197039502067</v>
      </c>
      <c r="I68" t="str">
        <f t="shared" ref="I68:I131" si="9">COMPLEX(0,H68*2*PI(),"j")</f>
        <v>2.00585645782105j</v>
      </c>
      <c r="J68" t="str">
        <f t="shared" si="8"/>
        <v>0.0393969256861826+1.97452361980772j</v>
      </c>
      <c r="K68">
        <f t="shared" ref="K68:K131" si="10">20*LOG(IMABS(J68))</f>
        <v>5.9109752785411027</v>
      </c>
      <c r="L68">
        <f t="shared" ref="L68:L131" si="11">DEGREES(IMARGUMENT(J68))</f>
        <v>88.856950572599089</v>
      </c>
      <c r="M68">
        <f t="shared" ref="M68:M131" si="12">IMREAL(J68)</f>
        <v>3.9396925686182603E-2</v>
      </c>
      <c r="N68">
        <f t="shared" ref="N68:N131" si="13">IMAGINARY(J68)</f>
        <v>1.9745236198077201</v>
      </c>
    </row>
    <row r="69" spans="7:14" x14ac:dyDescent="0.25">
      <c r="G69">
        <v>-1.68</v>
      </c>
      <c r="H69">
        <f t="shared" si="7"/>
        <v>0.33428738093664617</v>
      </c>
      <c r="I69" t="str">
        <f t="shared" si="9"/>
        <v>2.10038956027668j</v>
      </c>
      <c r="J69" t="str">
        <f t="shared" si="8"/>
        <v>0.0431962115615371+2.06750067276867j</v>
      </c>
      <c r="K69">
        <f t="shared" si="10"/>
        <v>6.3108085414241186</v>
      </c>
      <c r="L69">
        <f t="shared" si="11"/>
        <v>88.80309563112489</v>
      </c>
      <c r="M69">
        <f t="shared" si="12"/>
        <v>4.31962115615371E-2</v>
      </c>
      <c r="N69">
        <f t="shared" si="13"/>
        <v>2.06750067276867</v>
      </c>
    </row>
    <row r="70" spans="7:14" x14ac:dyDescent="0.25">
      <c r="G70">
        <v>-1.66</v>
      </c>
      <c r="H70">
        <f t="shared" si="7"/>
        <v>0.35004185983192837</v>
      </c>
      <c r="I70" t="str">
        <f t="shared" si="9"/>
        <v>2.19937787059379j</v>
      </c>
      <c r="J70" t="str">
        <f t="shared" si="8"/>
        <v>0.0473617104001198+2.16484784638548j</v>
      </c>
      <c r="K70">
        <f t="shared" si="10"/>
        <v>6.7106257251682413</v>
      </c>
      <c r="L70">
        <f t="shared" si="11"/>
        <v>88.746704853079208</v>
      </c>
      <c r="M70">
        <f t="shared" si="12"/>
        <v>4.73617104001198E-2</v>
      </c>
      <c r="N70">
        <f t="shared" si="13"/>
        <v>2.1648478463854799</v>
      </c>
    </row>
    <row r="71" spans="7:14" x14ac:dyDescent="0.25">
      <c r="G71">
        <v>-1.64</v>
      </c>
      <c r="H71">
        <f t="shared" si="7"/>
        <v>0.36653882444284358</v>
      </c>
      <c r="I71" t="str">
        <f t="shared" si="9"/>
        <v>2.30303135625015j</v>
      </c>
      <c r="J71" t="str">
        <f t="shared" si="8"/>
        <v>0.051928686002912+2.26676935876994j</v>
      </c>
      <c r="K71">
        <f t="shared" si="10"/>
        <v>7.1104252799744856</v>
      </c>
      <c r="L71">
        <f t="shared" si="11"/>
        <v>88.687659064051573</v>
      </c>
      <c r="M71">
        <f t="shared" si="12"/>
        <v>5.1928686002911999E-2</v>
      </c>
      <c r="N71">
        <f t="shared" si="13"/>
        <v>2.26676935876994</v>
      </c>
    </row>
    <row r="72" spans="7:14" x14ac:dyDescent="0.25">
      <c r="G72">
        <v>-1.62</v>
      </c>
      <c r="H72">
        <f t="shared" si="7"/>
        <v>0.3838132670431183</v>
      </c>
      <c r="I72" t="str">
        <f t="shared" si="9"/>
        <v>2.41156988018592j</v>
      </c>
      <c r="J72" t="str">
        <f t="shared" si="8"/>
        <v>0.0569357906685641+2.37347879534004j</v>
      </c>
      <c r="K72">
        <f t="shared" si="10"/>
        <v>7.5102055068228672</v>
      </c>
      <c r="L72">
        <f t="shared" si="11"/>
        <v>88.625833522820344</v>
      </c>
      <c r="M72">
        <f t="shared" si="12"/>
        <v>5.69357906685641E-2</v>
      </c>
      <c r="N72">
        <f t="shared" si="13"/>
        <v>2.37347879534004</v>
      </c>
    </row>
    <row r="73" spans="7:14" x14ac:dyDescent="0.25">
      <c r="G73">
        <v>-1.6</v>
      </c>
      <c r="H73">
        <f t="shared" si="7"/>
        <v>0.40190182904153249</v>
      </c>
      <c r="I73" t="str">
        <f t="shared" si="9"/>
        <v>2.52522366716236j</v>
      </c>
      <c r="J73" t="str">
        <f t="shared" si="8"/>
        <v>0.0624253893456494+2.48519951230969j</v>
      </c>
      <c r="K73">
        <f t="shared" si="10"/>
        <v>7.9099645431360202</v>
      </c>
      <c r="L73">
        <f t="shared" si="11"/>
        <v>88.561097666346313</v>
      </c>
      <c r="M73">
        <f t="shared" si="12"/>
        <v>6.2425389345649403E-2</v>
      </c>
      <c r="N73">
        <f t="shared" si="13"/>
        <v>2.4851995123096899</v>
      </c>
    </row>
    <row r="74" spans="7:14" x14ac:dyDescent="0.25">
      <c r="G74">
        <v>-1.58</v>
      </c>
      <c r="H74">
        <f t="shared" si="7"/>
        <v>0.42084287870326087</v>
      </c>
      <c r="I74" t="str">
        <f t="shared" si="9"/>
        <v>2.64423379209949j</v>
      </c>
      <c r="J74" t="str">
        <f t="shared" si="8"/>
        <v>0.0684439145011519+2.60216505360091j</v>
      </c>
      <c r="K74">
        <f t="shared" si="10"/>
        <v>8.3097003470731483</v>
      </c>
      <c r="L74">
        <f t="shared" si="11"/>
        <v>88.493314843833389</v>
      </c>
      <c r="M74">
        <f t="shared" si="12"/>
        <v>6.8443914501151906E-2</v>
      </c>
      <c r="N74">
        <f t="shared" si="13"/>
        <v>2.6021650536009102</v>
      </c>
    </row>
    <row r="75" spans="7:14" x14ac:dyDescent="0.25">
      <c r="G75">
        <v>-1.56</v>
      </c>
      <c r="H75">
        <f t="shared" si="7"/>
        <v>0.44067659253410635</v>
      </c>
      <c r="I75" t="str">
        <f t="shared" si="9"/>
        <v>2.76885269142826j</v>
      </c>
      <c r="J75" t="str">
        <f t="shared" si="8"/>
        <v>0.0750422545564028+2.72461958099016j</v>
      </c>
      <c r="K75">
        <f t="shared" si="10"/>
        <v>8.7094106803220761</v>
      </c>
      <c r="L75">
        <f t="shared" si="11"/>
        <v>88.422342039500492</v>
      </c>
      <c r="M75">
        <f t="shared" si="12"/>
        <v>7.5042254556402802E-2</v>
      </c>
      <c r="N75">
        <f t="shared" si="13"/>
        <v>2.7246195809901601</v>
      </c>
    </row>
    <row r="76" spans="7:14" x14ac:dyDescent="0.25">
      <c r="G76">
        <v>-1.54</v>
      </c>
      <c r="H76">
        <f t="shared" si="7"/>
        <v>0.46144504050025675</v>
      </c>
      <c r="I76" t="str">
        <f t="shared" si="9"/>
        <v>2.8993446985421j</v>
      </c>
      <c r="J76" t="str">
        <f t="shared" si="8"/>
        <v>0.0822761789942521+2.85281831717358j</v>
      </c>
      <c r="K76">
        <f t="shared" si="10"/>
        <v>9.1090930892499884</v>
      </c>
      <c r="L76">
        <f t="shared" si="11"/>
        <v>88.34802958371634</v>
      </c>
      <c r="M76">
        <f t="shared" si="12"/>
        <v>8.2276178994252103E-2</v>
      </c>
      <c r="N76">
        <f t="shared" si="13"/>
        <v>2.8528183171735799</v>
      </c>
    </row>
    <row r="77" spans="7:14" x14ac:dyDescent="0.25">
      <c r="G77">
        <v>-1.52</v>
      </c>
      <c r="H77">
        <f t="shared" si="7"/>
        <v>0.48319227526432235</v>
      </c>
      <c r="I77" t="str">
        <f t="shared" si="9"/>
        <v>3.03598660448346j</v>
      </c>
      <c r="J77" t="str">
        <f t="shared" si="8"/>
        <v>0.0902068035136466+2.98702800128336j</v>
      </c>
      <c r="K77">
        <f t="shared" si="10"/>
        <v>9.5087448842559752</v>
      </c>
      <c r="L77">
        <f t="shared" si="11"/>
        <v>88.270220852158374</v>
      </c>
      <c r="M77">
        <f t="shared" si="12"/>
        <v>9.02068035136466E-2</v>
      </c>
      <c r="N77">
        <f t="shared" si="13"/>
        <v>2.9870280012833601</v>
      </c>
    </row>
    <row r="78" spans="7:14" x14ac:dyDescent="0.25">
      <c r="G78">
        <v>-1.5</v>
      </c>
      <c r="H78">
        <f t="shared" si="7"/>
        <v>0.50596442562694055</v>
      </c>
      <c r="I78" t="str">
        <f t="shared" si="9"/>
        <v>3.17906824505475j</v>
      </c>
      <c r="J78" t="str">
        <f t="shared" si="8"/>
        <v>0.0989010989010987+3.12752735621048j</v>
      </c>
      <c r="K78">
        <f t="shared" si="10"/>
        <v>9.9083631171577977</v>
      </c>
      <c r="L78">
        <f t="shared" si="11"/>
        <v>88.188751952672035</v>
      </c>
      <c r="M78">
        <f t="shared" si="12"/>
        <v>9.8901098901098702E-2</v>
      </c>
      <c r="N78">
        <f t="shared" si="13"/>
        <v>3.1275273562104799</v>
      </c>
    </row>
    <row r="79" spans="7:14" x14ac:dyDescent="0.25">
      <c r="G79">
        <v>-1.48</v>
      </c>
      <c r="H79">
        <f t="shared" si="7"/>
        <v>0.5298097943721457</v>
      </c>
      <c r="I79" t="str">
        <f t="shared" si="9"/>
        <v>3.3288931155989j</v>
      </c>
      <c r="J79" t="str">
        <f t="shared" si="8"/>
        <v>0.108432447603623+3.27460756687964j</v>
      </c>
      <c r="K79">
        <f t="shared" si="10"/>
        <v>10.307944556427113</v>
      </c>
      <c r="L79">
        <f t="shared" si="11"/>
        <v>88.103451399526904</v>
      </c>
      <c r="M79">
        <f t="shared" si="12"/>
        <v>0.108432447603623</v>
      </c>
      <c r="N79">
        <f t="shared" si="13"/>
        <v>3.2746075668796402</v>
      </c>
    </row>
    <row r="80" spans="7:14" x14ac:dyDescent="0.25">
      <c r="G80">
        <v>-1.46</v>
      </c>
      <c r="H80">
        <f t="shared" si="7"/>
        <v>0.55477896072405053</v>
      </c>
      <c r="I80" t="str">
        <f t="shared" si="9"/>
        <v>3.48577901475372j</v>
      </c>
      <c r="J80" t="str">
        <f t="shared" si="8"/>
        <v>0.118881252325511+3.42857276837915j</v>
      </c>
      <c r="K80">
        <f t="shared" si="10"/>
        <v>10.707485660072713</v>
      </c>
      <c r="L80">
        <f t="shared" si="11"/>
        <v>88.014139774791616</v>
      </c>
      <c r="M80">
        <f t="shared" si="12"/>
        <v>0.118881252325511</v>
      </c>
      <c r="N80">
        <f t="shared" si="13"/>
        <v>3.42857276837915</v>
      </c>
    </row>
    <row r="81" spans="7:14" x14ac:dyDescent="0.25">
      <c r="G81">
        <v>-1.44</v>
      </c>
      <c r="H81">
        <f t="shared" si="7"/>
        <v>0.5809248876321621</v>
      </c>
      <c r="I81" t="str">
        <f t="shared" si="9"/>
        <v>3.65005871854535j</v>
      </c>
      <c r="J81" t="str">
        <f t="shared" si="8"/>
        <v>0.130335601332354+3.5897405425641j</v>
      </c>
      <c r="K81">
        <f t="shared" si="10"/>
        <v>11.106982545951588</v>
      </c>
      <c r="L81">
        <f t="shared" si="11"/>
        <v>87.920629376582866</v>
      </c>
      <c r="M81">
        <f t="shared" si="12"/>
        <v>0.130335601332354</v>
      </c>
      <c r="N81">
        <f t="shared" si="13"/>
        <v>3.5897405425640998</v>
      </c>
    </row>
    <row r="82" spans="7:14" x14ac:dyDescent="0.25">
      <c r="G82">
        <v>-1.42</v>
      </c>
      <c r="H82">
        <f t="shared" si="7"/>
        <v>0.60830303411289777</v>
      </c>
      <c r="I82" t="str">
        <f t="shared" si="9"/>
        <v>3.82208068625092j</v>
      </c>
      <c r="J82" t="str">
        <f t="shared" si="8"/>
        <v>0.142891995530585+3.75844242142157j</v>
      </c>
      <c r="K82">
        <f t="shared" si="10"/>
        <v>11.506430959269213</v>
      </c>
      <c r="L82">
        <f t="shared" si="11"/>
        <v>87.822723853984215</v>
      </c>
      <c r="M82">
        <f t="shared" si="12"/>
        <v>0.14289199553058499</v>
      </c>
      <c r="N82">
        <f t="shared" si="13"/>
        <v>3.7584424214215701</v>
      </c>
    </row>
    <row r="83" spans="7:14" x14ac:dyDescent="0.25">
      <c r="G83">
        <v>-1.4</v>
      </c>
      <c r="H83">
        <f t="shared" si="7"/>
        <v>0.63697147288559564</v>
      </c>
      <c r="I83" t="str">
        <f t="shared" si="9"/>
        <v>4.00220979952731j</v>
      </c>
      <c r="J83" t="str">
        <f t="shared" si="8"/>
        <v>0.15665614279937+3.93502439510365j</v>
      </c>
      <c r="K83">
        <f t="shared" si="10"/>
        <v>11.905826237007801</v>
      </c>
      <c r="L83">
        <f t="shared" si="11"/>
        <v>87.720217828482106</v>
      </c>
      <c r="M83">
        <f t="shared" si="12"/>
        <v>0.15665614279937001</v>
      </c>
      <c r="N83">
        <f t="shared" si="13"/>
        <v>3.9350243951036501</v>
      </c>
    </row>
    <row r="84" spans="7:14" x14ac:dyDescent="0.25">
      <c r="G84">
        <v>-1.38</v>
      </c>
      <c r="H84">
        <f t="shared" si="7"/>
        <v>0.66699101355253654</v>
      </c>
      <c r="I84" t="str">
        <f t="shared" si="9"/>
        <v>4.19082813637412j</v>
      </c>
      <c r="J84" t="str">
        <f t="shared" si="8"/>
        <v>0.17174382548393+4.11984742209189j</v>
      </c>
      <c r="K84">
        <f t="shared" si="10"/>
        <v>12.305163268999637</v>
      </c>
      <c r="L84">
        <f t="shared" si="11"/>
        <v>87.612896501826938</v>
      </c>
      <c r="M84">
        <f t="shared" si="12"/>
        <v>0.17174382548393</v>
      </c>
      <c r="N84">
        <f t="shared" si="13"/>
        <v>4.1198474220918904</v>
      </c>
    </row>
    <row r="85" spans="7:14" x14ac:dyDescent="0.25">
      <c r="G85">
        <v>-1.36</v>
      </c>
      <c r="H85">
        <f t="shared" si="7"/>
        <v>0.69842533158426534</v>
      </c>
      <c r="I85" t="str">
        <f t="shared" si="9"/>
        <v>4.38833578157229j</v>
      </c>
      <c r="J85" t="str">
        <f t="shared" si="8"/>
        <v>0.188281847414208+4.31328793844568j</v>
      </c>
      <c r="K85">
        <f t="shared" si="10"/>
        <v>12.704436455336868</v>
      </c>
      <c r="L85">
        <f t="shared" si="11"/>
        <v>87.50053525030205</v>
      </c>
      <c r="M85">
        <f t="shared" si="12"/>
        <v>0.188281847414208</v>
      </c>
      <c r="N85">
        <f t="shared" si="13"/>
        <v>4.3132879384456801</v>
      </c>
    </row>
    <row r="86" spans="7:14" x14ac:dyDescent="0.25">
      <c r="G86">
        <v>-1.34</v>
      </c>
      <c r="H86">
        <f t="shared" si="7"/>
        <v>0.73134110338379965</v>
      </c>
      <c r="I86" t="str">
        <f t="shared" si="9"/>
        <v>4.5951516753176j</v>
      </c>
      <c r="J86" t="str">
        <f t="shared" si="8"/>
        <v>0.20640906728889+4.51573836249854j</v>
      </c>
      <c r="K86">
        <f t="shared" si="10"/>
        <v>13.103639659782875</v>
      </c>
      <c r="L86">
        <f t="shared" si="11"/>
        <v>87.382899205471787</v>
      </c>
      <c r="M86">
        <f t="shared" si="12"/>
        <v>0.20640906728889</v>
      </c>
      <c r="N86">
        <f t="shared" si="13"/>
        <v>4.5157383624985403</v>
      </c>
    </row>
    <row r="87" spans="7:14" x14ac:dyDescent="0.25">
      <c r="G87">
        <v>-1.32</v>
      </c>
      <c r="H87">
        <f t="shared" si="7"/>
        <v>0.76580814771622119</v>
      </c>
      <c r="I87" t="str">
        <f t="shared" si="9"/>
        <v>4.81171450184898j</v>
      </c>
      <c r="J87" t="str">
        <f t="shared" si="8"/>
        <v>0.226277525759699+4.72760759068963j</v>
      </c>
      <c r="K87">
        <f t="shared" si="10"/>
        <v>13.502766158821816</v>
      </c>
      <c r="L87">
        <f t="shared" si="11"/>
        <v>87.259742821586329</v>
      </c>
      <c r="M87">
        <f t="shared" si="12"/>
        <v>0.22627752575969901</v>
      </c>
      <c r="N87">
        <f t="shared" si="13"/>
        <v>4.7276075906896304</v>
      </c>
    </row>
    <row r="88" spans="7:14" x14ac:dyDescent="0.25">
      <c r="G88">
        <v>-1.3</v>
      </c>
      <c r="H88">
        <f t="shared" si="7"/>
        <v>0.8018995738036353</v>
      </c>
      <c r="I88" t="str">
        <f t="shared" si="9"/>
        <v>5.03848361995657j</v>
      </c>
      <c r="J88" t="str">
        <f t="shared" si="8"/>
        <v>0.248053674061287+4.9493214794406j</v>
      </c>
      <c r="K88">
        <f t="shared" si="10"/>
        <v>13.90180858595137</v>
      </c>
      <c r="L88">
        <f t="shared" si="11"/>
        <v>87.130809429944989</v>
      </c>
      <c r="M88">
        <f t="shared" si="12"/>
        <v>0.24805367406128701</v>
      </c>
      <c r="N88">
        <f t="shared" si="13"/>
        <v>4.9493214794406004</v>
      </c>
    </row>
    <row r="89" spans="7:14" x14ac:dyDescent="0.25">
      <c r="G89">
        <v>-1.28</v>
      </c>
      <c r="H89">
        <f t="shared" si="7"/>
        <v>0.83969193639963591</v>
      </c>
      <c r="I89" t="str">
        <f t="shared" si="9"/>
        <v>5.27594003734337j</v>
      </c>
      <c r="J89" t="str">
        <f t="shared" si="8"/>
        <v>0.271919712553161+5.18132330709906j</v>
      </c>
      <c r="K89">
        <f t="shared" si="10"/>
        <v>14.30075887079283</v>
      </c>
      <c r="L89">
        <f t="shared" si="11"/>
        <v>86.995830780667788</v>
      </c>
      <c r="M89">
        <f t="shared" si="12"/>
        <v>0.271919712553161</v>
      </c>
      <c r="N89">
        <f t="shared" si="13"/>
        <v>5.1813233070990599</v>
      </c>
    </row>
    <row r="90" spans="7:14" x14ac:dyDescent="0.25">
      <c r="G90">
        <v>-1.26</v>
      </c>
      <c r="H90">
        <f t="shared" si="7"/>
        <v>0.87926539817219895</v>
      </c>
      <c r="I90" t="str">
        <f t="shared" si="9"/>
        <v>5.52458743090697j</v>
      </c>
      <c r="J90" t="str">
        <f t="shared" si="8"/>
        <v>0.298075048065585+5.42407420895157j</v>
      </c>
      <c r="K90">
        <f t="shared" si="10"/>
        <v>14.69960817255544</v>
      </c>
      <c r="L90">
        <f t="shared" si="11"/>
        <v>86.854526572497406</v>
      </c>
      <c r="M90">
        <f t="shared" si="12"/>
        <v>0.29807504806558499</v>
      </c>
      <c r="N90">
        <f t="shared" si="13"/>
        <v>5.4240742089515699</v>
      </c>
    </row>
    <row r="91" spans="7:14" x14ac:dyDescent="0.25">
      <c r="G91">
        <v>-1.24</v>
      </c>
      <c r="H91">
        <f t="shared" si="7"/>
        <v>0.92070389973945099</v>
      </c>
      <c r="I91" t="str">
        <f t="shared" si="9"/>
        <v>5.78495321510587j</v>
      </c>
      <c r="J91" t="str">
        <f t="shared" si="8"/>
        <v>0.326737879463191+5.67805357714946j</v>
      </c>
      <c r="K91">
        <f t="shared" si="10"/>
        <v>15.098346807357135</v>
      </c>
      <c r="L91">
        <f t="shared" si="11"/>
        <v>86.706603971455024</v>
      </c>
      <c r="M91">
        <f t="shared" si="12"/>
        <v>0.32673787946319099</v>
      </c>
      <c r="N91">
        <f t="shared" si="13"/>
        <v>5.67805357714946</v>
      </c>
    </row>
    <row r="92" spans="7:14" x14ac:dyDescent="0.25">
      <c r="G92">
        <v>-1.22</v>
      </c>
      <c r="H92">
        <f t="shared" si="7"/>
        <v>0.96409533771897193</v>
      </c>
      <c r="I92" t="str">
        <f t="shared" si="9"/>
        <v>6.05758966067619j</v>
      </c>
      <c r="J92" t="str">
        <f t="shared" si="8"/>
        <v>0.358146921347154+5.94375941606807j</v>
      </c>
      <c r="K92">
        <f t="shared" si="10"/>
        <v>15.496964168863014</v>
      </c>
      <c r="L92">
        <f t="shared" si="11"/>
        <v>86.55175711940862</v>
      </c>
      <c r="M92">
        <f t="shared" si="12"/>
        <v>0.35814692134715398</v>
      </c>
      <c r="N92">
        <f t="shared" si="13"/>
        <v>5.9437594160680698</v>
      </c>
    </row>
    <row r="93" spans="7:14" x14ac:dyDescent="0.25">
      <c r="G93">
        <v>-1.2</v>
      </c>
      <c r="H93">
        <f t="shared" si="7"/>
        <v>1.0095317511683091</v>
      </c>
      <c r="I93" t="str">
        <f t="shared" si="9"/>
        <v>6.343075066072j</v>
      </c>
      <c r="J93" t="str">
        <f t="shared" si="8"/>
        <v>0.392563276296068+6.2217086421187j</v>
      </c>
      <c r="K93">
        <f t="shared" si="10"/>
        <v>15.895448641663082</v>
      </c>
      <c r="L93">
        <f t="shared" si="11"/>
        <v>86.389666633884062</v>
      </c>
      <c r="M93">
        <f t="shared" si="12"/>
        <v>0.39256327629606802</v>
      </c>
      <c r="N93">
        <f t="shared" si="13"/>
        <v>6.2217086421187</v>
      </c>
    </row>
    <row r="94" spans="7:14" x14ac:dyDescent="0.25">
      <c r="G94">
        <v>-1.18</v>
      </c>
      <c r="H94">
        <f t="shared" si="7"/>
        <v>1.0571095168121534</v>
      </c>
      <c r="I94" t="str">
        <f t="shared" si="9"/>
        <v>6.64201498411383j</v>
      </c>
      <c r="J94" t="str">
        <f t="shared" si="8"/>
        <v>0.43027246647981+6.51243731532907j</v>
      </c>
      <c r="K94">
        <f t="shared" si="10"/>
        <v>16.293787506766925</v>
      </c>
      <c r="L94">
        <f t="shared" si="11"/>
        <v>86.219999100764738</v>
      </c>
      <c r="M94">
        <f t="shared" si="12"/>
        <v>0.43027246647980999</v>
      </c>
      <c r="N94">
        <f t="shared" si="13"/>
        <v>6.5124373153290698</v>
      </c>
    </row>
    <row r="95" spans="7:14" x14ac:dyDescent="0.25">
      <c r="G95">
        <v>-1.1599999999999999</v>
      </c>
      <c r="H95">
        <f t="shared" si="7"/>
        <v>1.1069295534702983</v>
      </c>
      <c r="I95" t="str">
        <f t="shared" si="9"/>
        <v>6.95504350644744j</v>
      </c>
      <c r="J95" t="str">
        <f t="shared" si="8"/>
        <v>0.471586635848868+6.8165007880823j</v>
      </c>
      <c r="K95">
        <f t="shared" si="10"/>
        <v>16.691966838549313</v>
      </c>
      <c r="L95">
        <f t="shared" si="11"/>
        <v>86.042406561888157</v>
      </c>
      <c r="M95">
        <f t="shared" si="12"/>
        <v>0.47158663584886801</v>
      </c>
      <c r="N95">
        <f t="shared" si="13"/>
        <v>6.8165007880823003</v>
      </c>
    </row>
    <row r="96" spans="7:14" x14ac:dyDescent="0.25">
      <c r="G96">
        <v>-1.1399999999999999</v>
      </c>
      <c r="H96">
        <f t="shared" si="7"/>
        <v>1.1590975361199838</v>
      </c>
      <c r="I96" t="str">
        <f t="shared" si="9"/>
        <v>7.28282460853714j</v>
      </c>
      <c r="J96" t="str">
        <f t="shared" si="8"/>
        <v>0.516846934377589+7.13447375423064j</v>
      </c>
      <c r="K96">
        <f t="shared" si="10"/>
        <v>17.089971392433906</v>
      </c>
      <c r="L96">
        <f t="shared" si="11"/>
        <v>85.856525999966152</v>
      </c>
      <c r="M96">
        <f t="shared" si="12"/>
        <v>0.516846934377589</v>
      </c>
      <c r="N96">
        <f t="shared" si="13"/>
        <v>7.1344737542306396</v>
      </c>
    </row>
    <row r="97" spans="7:14" x14ac:dyDescent="0.25">
      <c r="G97">
        <v>-1.1200000000000001</v>
      </c>
      <c r="H97">
        <f t="shared" si="7"/>
        <v>1.2137241200466937</v>
      </c>
      <c r="I97" t="str">
        <f t="shared" si="9"/>
        <v>7.62605355804686j</v>
      </c>
      <c r="J97" t="str">
        <f t="shared" si="8"/>
        <v>0.566426095991948+7.46695017935584j</v>
      </c>
      <c r="K97">
        <f t="shared" si="10"/>
        <v>17.487784482556535</v>
      </c>
      <c r="L97">
        <f t="shared" si="11"/>
        <v>85.661978823734188</v>
      </c>
      <c r="M97">
        <f t="shared" si="12"/>
        <v>0.56642609599194804</v>
      </c>
      <c r="N97">
        <f t="shared" si="13"/>
        <v>7.4669501793558402</v>
      </c>
    </row>
    <row r="98" spans="7:14" x14ac:dyDescent="0.25">
      <c r="G98">
        <v>-1.1000000000000001</v>
      </c>
      <c r="H98">
        <f t="shared" si="7"/>
        <v>1.2709251755588495</v>
      </c>
      <c r="I98" t="str">
        <f t="shared" si="9"/>
        <v>7.985458389596j</v>
      </c>
      <c r="J98" t="str">
        <f t="shared" si="8"/>
        <v>0.620731221801949+7.81454309020516j</v>
      </c>
      <c r="K98">
        <f t="shared" si="10"/>
        <v>17.885387848601599</v>
      </c>
      <c r="L98">
        <f t="shared" si="11"/>
        <v>85.45837035678413</v>
      </c>
      <c r="M98">
        <f t="shared" si="12"/>
        <v>0.62073122180194895</v>
      </c>
      <c r="N98">
        <f t="shared" si="13"/>
        <v>7.8145430902051602</v>
      </c>
    </row>
    <row r="99" spans="7:14" x14ac:dyDescent="0.25">
      <c r="G99">
        <v>-1.08</v>
      </c>
      <c r="H99">
        <f t="shared" si="7"/>
        <v>1.3308220337642733</v>
      </c>
      <c r="I99" t="str">
        <f t="shared" si="9"/>
        <v>8.36180144901854j</v>
      </c>
      <c r="J99" t="str">
        <f t="shared" si="8"/>
        <v>0.680206780039146+8.17788419826694j</v>
      </c>
      <c r="K99">
        <f t="shared" si="10"/>
        <v>18.282761510959183</v>
      </c>
      <c r="L99">
        <f t="shared" si="11"/>
        <v>85.245289334159835</v>
      </c>
      <c r="M99">
        <f t="shared" si="12"/>
        <v>0.68020678003914603</v>
      </c>
      <c r="N99">
        <f t="shared" si="13"/>
        <v>8.1778841982669395</v>
      </c>
    </row>
    <row r="100" spans="7:14" x14ac:dyDescent="0.25">
      <c r="G100">
        <v>-1.06</v>
      </c>
      <c r="H100">
        <f t="shared" si="7"/>
        <v>1.3935417439297282</v>
      </c>
      <c r="I100" t="str">
        <f t="shared" si="9"/>
        <v>8.75588101040069j</v>
      </c>
      <c r="J100" t="str">
        <f t="shared" si="8"/>
        <v>0.745337833614881+8.55762332903567j</v>
      </c>
      <c r="K100">
        <f t="shared" si="10"/>
        <v>18.679883613304792</v>
      </c>
      <c r="L100">
        <f t="shared" si="11"/>
        <v>85.022307411507725</v>
      </c>
      <c r="M100">
        <f t="shared" si="12"/>
        <v>0.74533783361488104</v>
      </c>
      <c r="N100">
        <f t="shared" si="13"/>
        <v>8.5576233290356694</v>
      </c>
    </row>
    <row r="101" spans="7:14" x14ac:dyDescent="0.25">
      <c r="G101">
        <v>-1.04</v>
      </c>
      <c r="H101">
        <f t="shared" si="7"/>
        <v>1.459217342969455</v>
      </c>
      <c r="I101" t="str">
        <f t="shared" si="9"/>
        <v>9.16853296932731j</v>
      </c>
      <c r="J101" t="str">
        <f t="shared" si="8"/>
        <v>0.8166535053983+8.95442762473137j</v>
      </c>
      <c r="K101">
        <f t="shared" si="10"/>
        <v>19.076730251661523</v>
      </c>
      <c r="L101">
        <f t="shared" si="11"/>
        <v>84.788978692381221</v>
      </c>
      <c r="M101">
        <f t="shared" si="12"/>
        <v>0.81665350539829995</v>
      </c>
      <c r="N101">
        <f t="shared" si="13"/>
        <v>8.9544276247313697</v>
      </c>
    </row>
    <row r="102" spans="7:14" x14ac:dyDescent="0.25">
      <c r="G102">
        <v>-1.02</v>
      </c>
      <c r="H102">
        <f t="shared" si="7"/>
        <v>1.527988137634297</v>
      </c>
      <c r="I102" t="str">
        <f t="shared" si="9"/>
        <v>9.60063261592851j</v>
      </c>
      <c r="J102" t="str">
        <f t="shared" si="8"/>
        <v>0.894730690085724+9.36898048406044j</v>
      </c>
      <c r="K102">
        <f t="shared" si="10"/>
        <v>19.473275288965741</v>
      </c>
      <c r="L102">
        <f t="shared" si="11"/>
        <v>84.544839280213253</v>
      </c>
      <c r="M102">
        <f t="shared" si="12"/>
        <v>0.89473069008572403</v>
      </c>
      <c r="N102">
        <f t="shared" si="13"/>
        <v>9.3689804840604403</v>
      </c>
    </row>
    <row r="103" spans="7:14" x14ac:dyDescent="0.25">
      <c r="G103">
        <v>-1</v>
      </c>
      <c r="H103">
        <f t="shared" si="7"/>
        <v>1.6</v>
      </c>
      <c r="I103" t="str">
        <f t="shared" si="9"/>
        <v>10.0530964914873j</v>
      </c>
      <c r="J103" t="str">
        <f t="shared" si="8"/>
        <v>0.980198019801972+9.80198019801976j</v>
      </c>
      <c r="K103">
        <f t="shared" si="10"/>
        <v>19.869490154124534</v>
      </c>
      <c r="L103">
        <f t="shared" si="11"/>
        <v>84.289406862500385</v>
      </c>
      <c r="M103">
        <f t="shared" si="12"/>
        <v>0.98019801980197196</v>
      </c>
      <c r="N103">
        <f t="shared" si="13"/>
        <v>9.8019801980197592</v>
      </c>
    </row>
    <row r="104" spans="7:14" x14ac:dyDescent="0.25">
      <c r="G104">
        <v>-0.98</v>
      </c>
      <c r="H104">
        <f t="shared" si="7"/>
        <v>1.6754056768814394</v>
      </c>
      <c r="I104" t="str">
        <f t="shared" si="9"/>
        <v>10.5268843325467j</v>
      </c>
      <c r="J104" t="str">
        <f t="shared" si="8"/>
        <v>1.07374008823105+10.2541382357466j</v>
      </c>
      <c r="K104">
        <f t="shared" si="10"/>
        <v>20.265343624529834</v>
      </c>
      <c r="L104">
        <f t="shared" si="11"/>
        <v>84.022180335901282</v>
      </c>
      <c r="M104">
        <f t="shared" si="12"/>
        <v>1.0737400882310499</v>
      </c>
      <c r="N104">
        <f t="shared" si="13"/>
        <v>10.2541382357466</v>
      </c>
    </row>
    <row r="105" spans="7:14" x14ac:dyDescent="0.25">
      <c r="G105">
        <v>-0.96</v>
      </c>
      <c r="H105">
        <f t="shared" si="7"/>
        <v>1.7543651138290959</v>
      </c>
      <c r="I105" t="str">
        <f t="shared" si="9"/>
        <v>11.0230011066394j</v>
      </c>
      <c r="J105" t="str">
        <f t="shared" si="8"/>
        <v>1.17610193499197+10.7261771290014j</v>
      </c>
      <c r="K105">
        <f t="shared" si="10"/>
        <v>20.660801590978686</v>
      </c>
      <c r="L105">
        <f t="shared" si="11"/>
        <v>83.742639482249359</v>
      </c>
      <c r="M105">
        <f t="shared" si="12"/>
        <v>1.1761019349919699</v>
      </c>
      <c r="N105">
        <f t="shared" si="13"/>
        <v>10.7261771290014</v>
      </c>
    </row>
    <row r="106" spans="7:14" x14ac:dyDescent="0.25">
      <c r="G106">
        <v>-0.94</v>
      </c>
      <c r="H106">
        <f t="shared" si="7"/>
        <v>1.8370457943950127</v>
      </c>
      <c r="I106" t="str">
        <f t="shared" si="9"/>
        <v>11.5424991439588j</v>
      </c>
      <c r="J106" t="str">
        <f t="shared" si="8"/>
        <v>1.28809378801145+11.2188278980658j</v>
      </c>
      <c r="K106">
        <f t="shared" si="10"/>
        <v>21.055826803953646</v>
      </c>
      <c r="L106">
        <f t="shared" si="11"/>
        <v>83.450244706925901</v>
      </c>
      <c r="M106">
        <f t="shared" si="12"/>
        <v>1.28809378801145</v>
      </c>
      <c r="N106">
        <f t="shared" si="13"/>
        <v>11.2188278980658</v>
      </c>
    </row>
    <row r="107" spans="7:14" x14ac:dyDescent="0.25">
      <c r="G107">
        <v>-0.92</v>
      </c>
      <c r="H107">
        <f t="shared" si="7"/>
        <v>1.9236230953878606</v>
      </c>
      <c r="I107" t="str">
        <f t="shared" si="9"/>
        <v>12.0864803694923j</v>
      </c>
      <c r="J107" t="str">
        <f t="shared" si="8"/>
        <v>1.41059605663134+11.7328269556625j</v>
      </c>
      <c r="K107">
        <f t="shared" si="10"/>
        <v>21.450378600230231</v>
      </c>
      <c r="L107">
        <f t="shared" si="11"/>
        <v>83.144436852646734</v>
      </c>
      <c r="M107">
        <f t="shared" si="12"/>
        <v>1.41059605663134</v>
      </c>
      <c r="N107">
        <f t="shared" si="13"/>
        <v>11.7328269556625</v>
      </c>
    </row>
    <row r="108" spans="7:14" x14ac:dyDescent="0.25">
      <c r="G108">
        <v>-0.9</v>
      </c>
      <c r="H108">
        <f t="shared" si="7"/>
        <v>2.0142806588706668</v>
      </c>
      <c r="I108" t="str">
        <f t="shared" si="9"/>
        <v>12.6560986403522j</v>
      </c>
      <c r="J108" t="str">
        <f t="shared" si="8"/>
        <v>1.54456456194114+12.2689124190439j</v>
      </c>
      <c r="K108">
        <f t="shared" si="10"/>
        <v>21.844412608826531</v>
      </c>
      <c r="L108">
        <f t="shared" si="11"/>
        <v>82.824637103490304</v>
      </c>
      <c r="M108">
        <f t="shared" si="12"/>
        <v>1.5445645619411399</v>
      </c>
      <c r="N108">
        <f t="shared" si="13"/>
        <v>12.2689124190439</v>
      </c>
    </row>
    <row r="109" spans="7:14" x14ac:dyDescent="0.25">
      <c r="G109">
        <v>-0.88</v>
      </c>
      <c r="H109">
        <f t="shared" si="7"/>
        <v>2.1092107816902512</v>
      </c>
      <c r="I109" t="str">
        <f t="shared" si="9"/>
        <v>13.252562193261j</v>
      </c>
      <c r="J109" t="str">
        <f t="shared" si="8"/>
        <v>1.69103598313257+12.8278197537179j</v>
      </c>
      <c r="K109">
        <f t="shared" si="10"/>
        <v>22.237880435374858</v>
      </c>
      <c r="L109">
        <f t="shared" si="11"/>
        <v>82.49024699594672</v>
      </c>
      <c r="M109">
        <f t="shared" si="12"/>
        <v>1.6910359831325701</v>
      </c>
      <c r="N109">
        <f t="shared" si="13"/>
        <v>12.8278197537179</v>
      </c>
    </row>
    <row r="110" spans="7:14" x14ac:dyDescent="0.25">
      <c r="G110">
        <v>-0.86</v>
      </c>
      <c r="H110">
        <f t="shared" si="7"/>
        <v>2.208614823364615</v>
      </c>
      <c r="I110" t="str">
        <f t="shared" si="9"/>
        <v>13.8771362073836j</v>
      </c>
      <c r="J110" t="str">
        <f t="shared" si="8"/>
        <v>1.8511334893078+13.4102766655366j</v>
      </c>
      <c r="K110">
        <f t="shared" si="10"/>
        <v>22.630729324101061</v>
      </c>
      <c r="L110">
        <f t="shared" si="11"/>
        <v>82.140648555894117</v>
      </c>
      <c r="M110">
        <f t="shared" si="12"/>
        <v>1.8511334893078</v>
      </c>
      <c r="N110">
        <f t="shared" si="13"/>
        <v>13.4102766655366</v>
      </c>
    </row>
    <row r="111" spans="7:14" x14ac:dyDescent="0.25">
      <c r="G111">
        <v>-0.84</v>
      </c>
      <c r="H111">
        <f t="shared" si="7"/>
        <v>2.3127036331934834</v>
      </c>
      <c r="I111" t="str">
        <f t="shared" si="9"/>
        <v>14.5311454879421j</v>
      </c>
      <c r="J111" t="str">
        <f t="shared" si="8"/>
        <v>2.02607251488371+14.0169971512418j</v>
      </c>
      <c r="K111">
        <f t="shared" si="10"/>
        <v>23.022901796742644</v>
      </c>
      <c r="L111">
        <f t="shared" si="11"/>
        <v>81.775204582720264</v>
      </c>
      <c r="M111">
        <f t="shared" si="12"/>
        <v>2.02607251488371</v>
      </c>
      <c r="N111">
        <f t="shared" si="13"/>
        <v>14.016997151241799</v>
      </c>
    </row>
    <row r="112" spans="7:14" x14ac:dyDescent="0.25">
      <c r="G112">
        <v>-0.82</v>
      </c>
      <c r="H112">
        <f t="shared" si="7"/>
        <v>2.4216979974979327</v>
      </c>
      <c r="I112" t="str">
        <f t="shared" si="9"/>
        <v>15.2159772763052j</v>
      </c>
      <c r="J112" t="str">
        <f t="shared" si="8"/>
        <v>2.21716662325985+14.6486746112892j</v>
      </c>
      <c r="K112">
        <f t="shared" si="10"/>
        <v>23.414335267932891</v>
      </c>
      <c r="L112">
        <f t="shared" si="11"/>
        <v>81.393259104286017</v>
      </c>
      <c r="M112">
        <f t="shared" si="12"/>
        <v>2.2171666232598501</v>
      </c>
      <c r="N112">
        <f t="shared" si="13"/>
        <v>14.6486746112892</v>
      </c>
    </row>
    <row r="113" spans="7:14" x14ac:dyDescent="0.25">
      <c r="G113">
        <v>-0.8</v>
      </c>
      <c r="H113">
        <f t="shared" si="7"/>
        <v>2.535829107937781</v>
      </c>
      <c r="I113" t="str">
        <f t="shared" si="9"/>
        <v>15.933084192513j</v>
      </c>
      <c r="J113" t="str">
        <f t="shared" si="8"/>
        <v>2.42583338748327+15.3059739231783j</v>
      </c>
      <c r="K113">
        <f t="shared" si="10"/>
        <v>23.804961636831422</v>
      </c>
      <c r="L113">
        <f t="shared" si="11"/>
        <v>80.994138029068466</v>
      </c>
      <c r="M113">
        <f t="shared" si="12"/>
        <v>2.4258333874832698</v>
      </c>
      <c r="N113">
        <f t="shared" si="13"/>
        <v>15.3059739231783</v>
      </c>
    </row>
    <row r="114" spans="7:14" x14ac:dyDescent="0.25">
      <c r="G114">
        <v>-0.78</v>
      </c>
      <c r="H114">
        <f t="shared" si="7"/>
        <v>2.6553390519000959</v>
      </c>
      <c r="I114" t="str">
        <f t="shared" si="9"/>
        <v>16.6839873164789j</v>
      </c>
      <c r="J114" t="str">
        <f t="shared" si="8"/>
        <v>2.65360019798018+15.9895223690177j</v>
      </c>
      <c r="K114">
        <f t="shared" si="10"/>
        <v>24.194706855108812</v>
      </c>
      <c r="L114">
        <f t="shared" si="11"/>
        <v>80.577150024595568</v>
      </c>
      <c r="M114">
        <f t="shared" si="12"/>
        <v>2.6536001979801802</v>
      </c>
      <c r="N114">
        <f t="shared" si="13"/>
        <v>15.989522369017701</v>
      </c>
    </row>
    <row r="115" spans="7:14" x14ac:dyDescent="0.25">
      <c r="G115">
        <v>-0.76</v>
      </c>
      <c r="H115">
        <f t="shared" si="7"/>
        <v>2.7804813259989998</v>
      </c>
      <c r="I115" t="str">
        <f t="shared" si="9"/>
        <v>17.4702794144041j</v>
      </c>
      <c r="J115" t="str">
        <f t="shared" si="8"/>
        <v>2.90210988577458+16.6998993081567j</v>
      </c>
      <c r="K115">
        <f t="shared" si="10"/>
        <v>24.583490471796381</v>
      </c>
      <c r="L115">
        <f t="shared" si="11"/>
        <v>80.141587654159736</v>
      </c>
      <c r="M115">
        <f t="shared" si="12"/>
        <v>2.9021098857745802</v>
      </c>
      <c r="N115">
        <f t="shared" si="13"/>
        <v>16.699899308156699</v>
      </c>
    </row>
    <row r="116" spans="7:14" x14ac:dyDescent="0.25">
      <c r="G116">
        <v>-0.74</v>
      </c>
      <c r="H116">
        <f t="shared" si="7"/>
        <v>2.9115213737759733</v>
      </c>
      <c r="I116" t="str">
        <f t="shared" si="9"/>
        <v>18.2936283172485j</v>
      </c>
      <c r="J116" t="str">
        <f t="shared" si="8"/>
        <v>3.17312602475923+17.4376244850656j</v>
      </c>
      <c r="K116">
        <f t="shared" si="10"/>
        <v>24.971225156014064</v>
      </c>
      <c r="L116">
        <f t="shared" si="11"/>
        <v>79.686728806723707</v>
      </c>
      <c r="M116">
        <f t="shared" si="12"/>
        <v>3.1731260247592301</v>
      </c>
      <c r="N116">
        <f t="shared" si="13"/>
        <v>17.437624485065601</v>
      </c>
    </row>
    <row r="117" spans="7:14" x14ac:dyDescent="0.25">
      <c r="G117">
        <v>-0.72</v>
      </c>
      <c r="H117">
        <f t="shared" si="7"/>
        <v>3.0487371487411954</v>
      </c>
      <c r="I117" t="str">
        <f t="shared" si="9"/>
        <v>19.1557804584233j</v>
      </c>
      <c r="J117" t="str">
        <f t="shared" si="8"/>
        <v>3.46853774836665+18.2031448650077j</v>
      </c>
      <c r="K117">
        <f t="shared" si="10"/>
        <v>25.357816199195181</v>
      </c>
      <c r="L117">
        <f t="shared" si="11"/>
        <v>79.211838457831817</v>
      </c>
      <c r="M117">
        <f t="shared" si="12"/>
        <v>3.46853774836665</v>
      </c>
      <c r="N117">
        <f t="shared" si="13"/>
        <v>18.203144865007701</v>
      </c>
    </row>
    <row r="118" spans="7:14" x14ac:dyDescent="0.25">
      <c r="G118">
        <v>-0.7</v>
      </c>
      <c r="H118">
        <f t="shared" si="7"/>
        <v>3.1924197039502071</v>
      </c>
      <c r="I118" t="str">
        <f t="shared" si="9"/>
        <v>20.0585645782105j</v>
      </c>
      <c r="J118" t="str">
        <f t="shared" si="8"/>
        <v>3.79036388434322+18.996819896347j</v>
      </c>
      <c r="K118">
        <f t="shared" si="10"/>
        <v>25.743160999155666</v>
      </c>
      <c r="L118">
        <f t="shared" si="11"/>
        <v>78.716170802132183</v>
      </c>
      <c r="M118">
        <f t="shared" si="12"/>
        <v>3.7903638843432201</v>
      </c>
      <c r="N118">
        <f t="shared" si="13"/>
        <v>18.996819896346999</v>
      </c>
    </row>
    <row r="119" spans="7:14" x14ac:dyDescent="0.25">
      <c r="G119">
        <v>-0.68</v>
      </c>
      <c r="H119">
        <f t="shared" si="7"/>
        <v>3.3428738093664627</v>
      </c>
      <c r="I119" t="str">
        <f t="shared" si="9"/>
        <v>21.0038956027668j</v>
      </c>
      <c r="J119" t="str">
        <f t="shared" si="8"/>
        <v>4.14075617633596+19.8189051096521j</v>
      </c>
      <c r="K119">
        <f t="shared" si="10"/>
        <v>26.127148529218456</v>
      </c>
      <c r="L119">
        <f t="shared" si="11"/>
        <v>78.198971800672197</v>
      </c>
      <c r="M119">
        <f t="shared" si="12"/>
        <v>4.1407561763359597</v>
      </c>
      <c r="N119">
        <f t="shared" si="13"/>
        <v>19.8189051096521</v>
      </c>
    </row>
    <row r="120" spans="7:14" x14ac:dyDescent="0.25">
      <c r="G120">
        <v>-0.66</v>
      </c>
      <c r="H120">
        <f t="shared" si="7"/>
        <v>3.5004185983192837</v>
      </c>
      <c r="I120" t="str">
        <f t="shared" si="9"/>
        <v>21.9937787059379j</v>
      </c>
      <c r="J120" t="str">
        <f t="shared" si="8"/>
        <v>4.52200132292658+20.6695339813258j</v>
      </c>
      <c r="K120">
        <f t="shared" si="10"/>
        <v>26.509658796612101</v>
      </c>
      <c r="L120">
        <f t="shared" si="11"/>
        <v>77.659482188305105</v>
      </c>
      <c r="M120">
        <f t="shared" si="12"/>
        <v>4.5220013229265801</v>
      </c>
      <c r="N120">
        <f t="shared" si="13"/>
        <v>20.669533981325799</v>
      </c>
    </row>
    <row r="121" spans="7:14" x14ac:dyDescent="0.25">
      <c r="G121">
        <v>-0.64</v>
      </c>
      <c r="H121">
        <f t="shared" si="7"/>
        <v>3.6653882444284367</v>
      </c>
      <c r="I121" t="str">
        <f t="shared" si="9"/>
        <v>23.0303135625015j</v>
      </c>
      <c r="J121" t="str">
        <f t="shared" si="8"/>
        <v>4.93652152411863+21.5486980147214j</v>
      </c>
      <c r="K121">
        <f t="shared" si="10"/>
        <v>26.89056229553514</v>
      </c>
      <c r="L121">
        <f t="shared" si="11"/>
        <v>77.096940988154273</v>
      </c>
      <c r="M121">
        <f t="shared" si="12"/>
        <v>4.9365215241186302</v>
      </c>
      <c r="N121">
        <f t="shared" si="13"/>
        <v>21.548698014721399</v>
      </c>
    </row>
    <row r="122" spans="7:14" x14ac:dyDescent="0.25">
      <c r="G122">
        <v>-0.62</v>
      </c>
      <c r="H122">
        <f t="shared" si="7"/>
        <v>3.8381326704311842</v>
      </c>
      <c r="I122" t="str">
        <f t="shared" si="9"/>
        <v>24.1156988018592j</v>
      </c>
      <c r="J122" t="str">
        <f t="shared" si="8"/>
        <v>5.38687318295366+22.4562250261077j</v>
      </c>
      <c r="K122">
        <f t="shared" si="10"/>
        <v>27.269719461613754</v>
      </c>
      <c r="L122">
        <f t="shared" si="11"/>
        <v>76.510589580899676</v>
      </c>
      <c r="M122">
        <f t="shared" si="12"/>
        <v>5.3868731829536598</v>
      </c>
      <c r="N122">
        <f t="shared" si="13"/>
        <v>22.456225026107699</v>
      </c>
    </row>
    <row r="123" spans="7:14" x14ac:dyDescent="0.25">
      <c r="G123">
        <v>-0.6</v>
      </c>
      <c r="H123">
        <f t="shared" si="7"/>
        <v>4.0190182904153282</v>
      </c>
      <c r="I123" t="str">
        <f t="shared" si="9"/>
        <v>25.2522366716236j</v>
      </c>
      <c r="J123" t="str">
        <f t="shared" si="8"/>
        <v>5.87574336717398+23.3917556680411j</v>
      </c>
      <c r="K123">
        <f t="shared" si="10"/>
        <v>27.646980135989949</v>
      </c>
      <c r="L123">
        <f t="shared" si="11"/>
        <v>75.899676376410781</v>
      </c>
      <c r="M123">
        <f t="shared" si="12"/>
        <v>5.87574336717398</v>
      </c>
      <c r="N123">
        <f t="shared" si="13"/>
        <v>23.3917556680411</v>
      </c>
    </row>
    <row r="124" spans="7:14" x14ac:dyDescent="0.25">
      <c r="G124">
        <v>-0.57999999999999996</v>
      </c>
      <c r="H124">
        <f t="shared" si="7"/>
        <v>4.2084287870326111</v>
      </c>
      <c r="I124" t="str">
        <f t="shared" si="9"/>
        <v>26.4423379209949j</v>
      </c>
      <c r="J124" t="str">
        <f t="shared" si="8"/>
        <v>6.40594359443825+24.3547182803305j</v>
      </c>
      <c r="K124">
        <f t="shared" si="10"/>
        <v>28.022183048959967</v>
      </c>
      <c r="L124">
        <f t="shared" si="11"/>
        <v>75.263462133643174</v>
      </c>
      <c r="M124">
        <f t="shared" si="12"/>
        <v>6.4059435944382503</v>
      </c>
      <c r="N124">
        <f t="shared" si="13"/>
        <v>24.354718280330498</v>
      </c>
    </row>
    <row r="125" spans="7:14" x14ac:dyDescent="0.25">
      <c r="G125">
        <v>-0.56000000000000005</v>
      </c>
      <c r="H125">
        <f t="shared" si="7"/>
        <v>4.406765925341066</v>
      </c>
      <c r="I125" t="str">
        <f t="shared" si="9"/>
        <v>27.6885269142826j</v>
      </c>
      <c r="J125" t="str">
        <f t="shared" si="8"/>
        <v>6.98040046689771+25.3443022303753j</v>
      </c>
      <c r="K125">
        <f t="shared" si="10"/>
        <v>28.395155334921768</v>
      </c>
      <c r="L125">
        <f t="shared" si="11"/>
        <v>74.601225971392992</v>
      </c>
      <c r="M125">
        <f t="shared" si="12"/>
        <v>6.9804004668977102</v>
      </c>
      <c r="N125">
        <f t="shared" si="13"/>
        <v>25.344302230375298</v>
      </c>
    </row>
    <row r="126" spans="7:14" x14ac:dyDescent="0.25">
      <c r="G126">
        <v>-0.54</v>
      </c>
      <c r="H126">
        <f t="shared" si="7"/>
        <v>4.614450405002569</v>
      </c>
      <c r="I126" t="str">
        <f t="shared" si="9"/>
        <v>28.993446985421j</v>
      </c>
      <c r="J126" t="str">
        <f t="shared" si="8"/>
        <v>7.60214265001291+26.3594299915634j</v>
      </c>
      <c r="K126">
        <f t="shared" si="10"/>
        <v>28.765712092374574</v>
      </c>
      <c r="L126">
        <f t="shared" si="11"/>
        <v>73.912272107067139</v>
      </c>
      <c r="M126">
        <f t="shared" si="12"/>
        <v>7.6021426500129099</v>
      </c>
      <c r="N126">
        <f t="shared" si="13"/>
        <v>26.359429991563399</v>
      </c>
    </row>
    <row r="127" spans="7:14" x14ac:dyDescent="0.25">
      <c r="G127">
        <v>-0.52</v>
      </c>
      <c r="H127">
        <f t="shared" si="7"/>
        <v>4.8319227526432247</v>
      </c>
      <c r="I127" t="str">
        <f t="shared" si="9"/>
        <v>30.3598660448347j</v>
      </c>
      <c r="J127" t="str">
        <f t="shared" si="8"/>
        <v>8.27428367011819+27.3987283115132j</v>
      </c>
      <c r="K127">
        <f t="shared" si="10"/>
        <v>29.133656004796432</v>
      </c>
      <c r="L127">
        <f t="shared" si="11"/>
        <v>73.195937352661417</v>
      </c>
      <c r="M127">
        <f t="shared" si="12"/>
        <v>8.2742836701181908</v>
      </c>
      <c r="N127">
        <f t="shared" si="13"/>
        <v>27.398728311513199</v>
      </c>
    </row>
    <row r="128" spans="7:14" x14ac:dyDescent="0.25">
      <c r="G128">
        <v>-0.5</v>
      </c>
      <c r="H128">
        <f t="shared" si="7"/>
        <v>5.0596442562694071</v>
      </c>
      <c r="I128" t="str">
        <f t="shared" si="9"/>
        <v>31.7906824505475j</v>
      </c>
      <c r="J128" t="str">
        <f t="shared" si="8"/>
        <v>8.99999999999999+28.4604989415154j</v>
      </c>
      <c r="K128">
        <f t="shared" si="10"/>
        <v>29.49877704036874</v>
      </c>
      <c r="L128">
        <f t="shared" si="11"/>
        <v>72.451599386207718</v>
      </c>
      <c r="M128">
        <f t="shared" si="12"/>
        <v>8.9999999999999893</v>
      </c>
      <c r="N128">
        <f t="shared" si="13"/>
        <v>28.4604989415154</v>
      </c>
    </row>
    <row r="129" spans="7:14" x14ac:dyDescent="0.25">
      <c r="G129">
        <v>-0.48</v>
      </c>
      <c r="H129">
        <f t="shared" si="7"/>
        <v>5.2980979437214568</v>
      </c>
      <c r="I129" t="str">
        <f t="shared" si="9"/>
        <v>33.288931155989j</v>
      </c>
      <c r="J129" t="str">
        <f t="shared" si="8"/>
        <v>9.78250391695489+29.5426895338474j</v>
      </c>
      <c r="K129">
        <f t="shared" si="10"/>
        <v>29.860852250636036</v>
      </c>
      <c r="L129">
        <f t="shared" si="11"/>
        <v>71.678685802616116</v>
      </c>
      <c r="M129">
        <f t="shared" si="12"/>
        <v>9.7825039169548909</v>
      </c>
      <c r="N129">
        <f t="shared" si="13"/>
        <v>29.542689533847401</v>
      </c>
    </row>
    <row r="130" spans="7:14" x14ac:dyDescent="0.25">
      <c r="G130">
        <v>-0.46</v>
      </c>
      <c r="H130">
        <f t="shared" si="7"/>
        <v>5.5477896072405066</v>
      </c>
      <c r="I130" t="str">
        <f t="shared" si="9"/>
        <v>34.8577901475372j</v>
      </c>
      <c r="J130" t="str">
        <f t="shared" si="8"/>
        <v>10.6250106593908+30.642865462739j</v>
      </c>
      <c r="K130">
        <f t="shared" si="10"/>
        <v>30.219645690198792</v>
      </c>
      <c r="L130">
        <f t="shared" si="11"/>
        <v>70.876683929712343</v>
      </c>
      <c r="M130">
        <f t="shared" si="12"/>
        <v>10.625010659390799</v>
      </c>
      <c r="N130">
        <f t="shared" si="13"/>
        <v>30.642865462739</v>
      </c>
    </row>
    <row r="131" spans="7:14" x14ac:dyDescent="0.25">
      <c r="G131">
        <v>-0.44</v>
      </c>
      <c r="H131">
        <f t="shared" ref="H131:H194" si="14">$B$3*10^G131</f>
        <v>5.8092488763216217</v>
      </c>
      <c r="I131" t="str">
        <f t="shared" si="9"/>
        <v>36.5005871854535j</v>
      </c>
      <c r="J131" t="str">
        <f t="shared" ref="J131:J194" si="15">IMDIV(IMPRODUCT(I131,Cg,Rf),IMSUM(1,IMPRODUCT(I131,Cg,Rg)))</f>
        <v>11.5306994824125+31.7581834840271j</v>
      </c>
      <c r="K131">
        <f t="shared" si="10"/>
        <v>30.574908481314228</v>
      </c>
      <c r="L131">
        <f t="shared" si="11"/>
        <v>70.045151373019195</v>
      </c>
      <c r="M131">
        <f t="shared" si="12"/>
        <v>11.5306994824125</v>
      </c>
      <c r="N131">
        <f t="shared" si="13"/>
        <v>31.7581834840271</v>
      </c>
    </row>
    <row r="132" spans="7:14" x14ac:dyDescent="0.25">
      <c r="G132">
        <v>-0.42</v>
      </c>
      <c r="H132">
        <f t="shared" si="14"/>
        <v>6.0830303411289783</v>
      </c>
      <c r="I132" t="str">
        <f t="shared" ref="I132:I195" si="16">COMPLEX(0,H132*2*PI(),"j")</f>
        <v>38.2208068625092j</v>
      </c>
      <c r="J132" t="str">
        <f t="shared" si="15"/>
        <v>12.5026683264369+32.8853683123113j</v>
      </c>
      <c r="K132">
        <f t="shared" ref="K132:K195" si="17">20*LOG(IMABS(J132))</f>
        <v>30.926379048678942</v>
      </c>
      <c r="L132">
        <f t="shared" ref="L132:L195" si="18">DEGREES(IMARGUMENT(J132))</f>
        <v>69.183727226264423</v>
      </c>
      <c r="M132">
        <f t="shared" ref="M132:M195" si="19">IMREAL(J132)</f>
        <v>12.502668326436901</v>
      </c>
      <c r="N132">
        <f t="shared" ref="N132:N195" si="20">IMAGINARY(J132)</f>
        <v>32.8853683123113</v>
      </c>
    </row>
    <row r="133" spans="7:14" x14ac:dyDescent="0.25">
      <c r="G133">
        <v>-0.4</v>
      </c>
      <c r="H133">
        <f t="shared" si="14"/>
        <v>6.3697147288559552</v>
      </c>
      <c r="I133" t="str">
        <f t="shared" si="16"/>
        <v>40.0220979952731j</v>
      </c>
      <c r="J133" t="str">
        <f t="shared" si="15"/>
        <v>13.5438819717178+34.0206933547251j</v>
      </c>
      <c r="K133">
        <f t="shared" si="17"/>
        <v>31.273783550517194</v>
      </c>
      <c r="L133">
        <f t="shared" si="18"/>
        <v>68.292143853690888</v>
      </c>
      <c r="M133">
        <f t="shared" si="19"/>
        <v>13.5438819717178</v>
      </c>
      <c r="N133">
        <f t="shared" si="20"/>
        <v>34.020693354725097</v>
      </c>
    </row>
    <row r="134" spans="7:14" x14ac:dyDescent="0.25">
      <c r="G134">
        <v>-0.38</v>
      </c>
      <c r="H134">
        <f t="shared" si="14"/>
        <v>6.6699101355253658</v>
      </c>
      <c r="I134" t="str">
        <f t="shared" si="16"/>
        <v>41.9082813637412j</v>
      </c>
      <c r="J134" t="str">
        <f t="shared" si="15"/>
        <v>14.6571137605952+35.1599669867293j</v>
      </c>
      <c r="K134">
        <f t="shared" si="17"/>
        <v>31.616836532208985</v>
      </c>
      <c r="L134">
        <f t="shared" si="18"/>
        <v>67.37023911522418</v>
      </c>
      <c r="M134">
        <f t="shared" si="19"/>
        <v>14.6571137605952</v>
      </c>
      <c r="N134">
        <f t="shared" si="20"/>
        <v>35.159966986729302</v>
      </c>
    </row>
    <row r="135" spans="7:14" x14ac:dyDescent="0.25">
      <c r="G135">
        <v>-0.36</v>
      </c>
      <c r="H135">
        <f t="shared" si="14"/>
        <v>6.984253315842655</v>
      </c>
      <c r="I135" t="str">
        <f t="shared" si="16"/>
        <v>43.8833578157229j</v>
      </c>
      <c r="J135" t="str">
        <f t="shared" si="15"/>
        <v>15.8448812311594+36.2985258744104j</v>
      </c>
      <c r="K135">
        <f t="shared" si="17"/>
        <v>31.95524182784937</v>
      </c>
      <c r="L135">
        <f t="shared" si="18"/>
        <v>66.417968866963847</v>
      </c>
      <c r="M135">
        <f t="shared" si="19"/>
        <v>15.8448812311594</v>
      </c>
      <c r="N135">
        <f t="shared" si="20"/>
        <v>36.298525874410402</v>
      </c>
    </row>
    <row r="136" spans="7:14" x14ac:dyDescent="0.25">
      <c r="G136">
        <v>-0.34</v>
      </c>
      <c r="H136">
        <f t="shared" si="14"/>
        <v>7.3134110338380003</v>
      </c>
      <c r="I136" t="str">
        <f t="shared" si="16"/>
        <v>45.951516753176j</v>
      </c>
      <c r="J136" t="str">
        <f t="shared" si="15"/>
        <v>17.1093763206492+37.4312369240275j</v>
      </c>
      <c r="K136">
        <f t="shared" si="17"/>
        <v>32.288693733123942</v>
      </c>
      <c r="L136">
        <f t="shared" si="18"/>
        <v>65.435419528240431</v>
      </c>
      <c r="M136">
        <f t="shared" si="19"/>
        <v>17.109376320649201</v>
      </c>
      <c r="N136">
        <f t="shared" si="20"/>
        <v>37.431236924027502</v>
      </c>
    </row>
    <row r="137" spans="7:14" x14ac:dyDescent="0.25">
      <c r="G137">
        <v>-0.32</v>
      </c>
      <c r="H137">
        <f t="shared" si="14"/>
        <v>7.658081477162213</v>
      </c>
      <c r="I137" t="str">
        <f t="shared" si="16"/>
        <v>48.1171450184898j</v>
      </c>
      <c r="J137" t="str">
        <f t="shared" si="15"/>
        <v>18.4523911599469+38.5525094554824j</v>
      </c>
      <c r="K137">
        <f t="shared" si="17"/>
        <v>32.616878469507483</v>
      </c>
      <c r="L137">
        <f t="shared" si="18"/>
        <v>64.4228204639805</v>
      </c>
      <c r="M137">
        <f t="shared" si="19"/>
        <v>18.452391159946899</v>
      </c>
      <c r="N137">
        <f t="shared" si="20"/>
        <v>38.552509455482401</v>
      </c>
    </row>
    <row r="138" spans="7:14" x14ac:dyDescent="0.25">
      <c r="G138">
        <v>-0.3</v>
      </c>
      <c r="H138">
        <f t="shared" si="14"/>
        <v>8.0189957380363559</v>
      </c>
      <c r="I138" t="str">
        <f t="shared" si="16"/>
        <v>50.3848361995658j</v>
      </c>
      <c r="J138" t="str">
        <f t="shared" si="15"/>
        <v>19.8752408823971+39.6563191335757j</v>
      </c>
      <c r="K138">
        <f t="shared" si="17"/>
        <v>32.939475954864044</v>
      </c>
      <c r="L138">
        <f t="shared" si="18"/>
        <v>63.380555889207109</v>
      </c>
      <c r="M138">
        <f t="shared" si="19"/>
        <v>19.875240882397101</v>
      </c>
      <c r="N138">
        <f t="shared" si="20"/>
        <v>39.6563191335757</v>
      </c>
    </row>
    <row r="139" spans="7:14" x14ac:dyDescent="0.25">
      <c r="G139">
        <v>-0.28000000000000003</v>
      </c>
      <c r="H139">
        <f t="shared" si="14"/>
        <v>8.3969193639963606</v>
      </c>
      <c r="I139" t="str">
        <f t="shared" si="16"/>
        <v>52.7594003734337j</v>
      </c>
      <c r="J139" t="str">
        <f t="shared" si="15"/>
        <v>21.3786852951063+40.7362450315236j</v>
      </c>
      <c r="K139">
        <f t="shared" si="17"/>
        <v>33.256161888923636</v>
      </c>
      <c r="L139">
        <f t="shared" si="18"/>
        <v>62.309175963519522</v>
      </c>
      <c r="M139">
        <f t="shared" si="19"/>
        <v>21.378685295106301</v>
      </c>
      <c r="N139">
        <f t="shared" si="20"/>
        <v>40.736245031523602</v>
      </c>
    </row>
    <row r="140" spans="7:14" x14ac:dyDescent="0.25">
      <c r="G140">
        <v>-0.26</v>
      </c>
      <c r="H140">
        <f t="shared" si="14"/>
        <v>8.7926539817219922</v>
      </c>
      <c r="I140" t="str">
        <f t="shared" si="16"/>
        <v>55.2458743090697j</v>
      </c>
      <c r="J140" t="str">
        <f t="shared" si="15"/>
        <v>22.9628516864092+41.7855209298925j</v>
      </c>
      <c r="K140">
        <f t="shared" si="17"/>
        <v>33.566610153778164</v>
      </c>
      <c r="L140">
        <f t="shared" si="18"/>
        <v>61.20940671010802</v>
      </c>
      <c r="M140">
        <f t="shared" si="19"/>
        <v>22.962851686409198</v>
      </c>
      <c r="N140">
        <f t="shared" si="20"/>
        <v>41.785520929892499</v>
      </c>
    </row>
    <row r="141" spans="7:14" x14ac:dyDescent="0.25">
      <c r="G141">
        <v>-0.24</v>
      </c>
      <c r="H141">
        <f t="shared" si="14"/>
        <v>9.2070389973945108</v>
      </c>
      <c r="I141" t="str">
        <f t="shared" si="16"/>
        <v>57.8495321510587j</v>
      </c>
      <c r="J141" t="str">
        <f t="shared" si="15"/>
        <v>24.6271614401627+42.7971015604593j</v>
      </c>
      <c r="K141">
        <f t="shared" si="17"/>
        <v>33.870495519536405</v>
      </c>
      <c r="L141">
        <f t="shared" si="18"/>
        <v>60.08215836943328</v>
      </c>
      <c r="M141">
        <f t="shared" si="19"/>
        <v>24.627161440162698</v>
      </c>
      <c r="N141">
        <f t="shared" si="20"/>
        <v>42.797101560459303</v>
      </c>
    </row>
    <row r="142" spans="7:14" x14ac:dyDescent="0.25">
      <c r="G142">
        <v>-0.22</v>
      </c>
      <c r="H142">
        <f t="shared" si="14"/>
        <v>9.6409533771897244</v>
      </c>
      <c r="I142" t="str">
        <f t="shared" si="16"/>
        <v>60.5758966067619j</v>
      </c>
      <c r="J142" t="str">
        <f t="shared" si="15"/>
        <v>26.3702634610331+43.7637439856096j</v>
      </c>
      <c r="K142">
        <f t="shared" si="17"/>
        <v>34.167496633785191</v>
      </c>
      <c r="L142">
        <f t="shared" si="18"/>
        <v>58.928531785423317</v>
      </c>
      <c r="M142">
        <f t="shared" si="19"/>
        <v>26.370263461033101</v>
      </c>
      <c r="N142">
        <f t="shared" si="20"/>
        <v>43.763743985609601</v>
      </c>
    </row>
    <row r="143" spans="7:14" x14ac:dyDescent="0.25">
      <c r="G143">
        <v>-0.2</v>
      </c>
      <c r="H143">
        <f t="shared" si="14"/>
        <v>10.095317511683092</v>
      </c>
      <c r="I143" t="str">
        <f t="shared" si="16"/>
        <v>63.43075066072j</v>
      </c>
      <c r="J143" t="str">
        <f t="shared" si="15"/>
        <v>28.1899776461294+44.6781036669814j</v>
      </c>
      <c r="K143">
        <f t="shared" si="17"/>
        <v>34.457299260858072</v>
      </c>
      <c r="L143">
        <f t="shared" si="18"/>
        <v>57.749822425206517</v>
      </c>
      <c r="M143">
        <f t="shared" si="19"/>
        <v>28.1899776461294</v>
      </c>
      <c r="N143">
        <f t="shared" si="20"/>
        <v>44.6781036669814</v>
      </c>
    </row>
    <row r="144" spans="7:14" x14ac:dyDescent="0.25">
      <c r="G144">
        <v>-0.18</v>
      </c>
      <c r="H144">
        <f t="shared" si="14"/>
        <v>10.571095168121536</v>
      </c>
      <c r="I144" t="str">
        <f t="shared" si="16"/>
        <v>66.4201498411384j</v>
      </c>
      <c r="J144" t="str">
        <f t="shared" si="15"/>
        <v>30.0832517274697+45.5328440416497j</v>
      </c>
      <c r="K144">
        <f t="shared" si="17"/>
        <v>34.73959972360592</v>
      </c>
      <c r="L144">
        <f t="shared" si="18"/>
        <v>56.547521654905715</v>
      </c>
      <c r="M144">
        <f t="shared" si="19"/>
        <v>30.083251727469701</v>
      </c>
      <c r="N144">
        <f t="shared" si="20"/>
        <v>45.532844041649703</v>
      </c>
    </row>
    <row r="145" spans="7:14" x14ac:dyDescent="0.25">
      <c r="G145">
        <v>-0.16</v>
      </c>
      <c r="H145">
        <f t="shared" si="14"/>
        <v>11.069295534702984</v>
      </c>
      <c r="I145" t="str">
        <f t="shared" si="16"/>
        <v>69.5504350644744j</v>
      </c>
      <c r="J145" t="str">
        <f t="shared" si="15"/>
        <v>32.0461347202191+46.3207576232865j</v>
      </c>
      <c r="K145">
        <f t="shared" si="17"/>
        <v>35.014108487047075</v>
      </c>
      <c r="L145">
        <f t="shared" si="18"/>
        <v>55.323314936084778</v>
      </c>
      <c r="M145">
        <f t="shared" si="19"/>
        <v>32.046134720219101</v>
      </c>
      <c r="N145">
        <f t="shared" si="20"/>
        <v>46.320757623286497</v>
      </c>
    </row>
    <row r="146" spans="7:14" x14ac:dyDescent="0.25">
      <c r="G146">
        <v>-0.14000000000000001</v>
      </c>
      <c r="H146">
        <f t="shared" si="14"/>
        <v>11.59097536119984</v>
      </c>
      <c r="I146" t="str">
        <f t="shared" si="16"/>
        <v>72.8282460853714j</v>
      </c>
      <c r="J146" t="str">
        <f t="shared" si="15"/>
        <v>34.0737699146729+47.0348958259136j</v>
      </c>
      <c r="K146">
        <f t="shared" si="17"/>
        <v>35.28055381073078</v>
      </c>
      <c r="L146">
        <f t="shared" si="18"/>
        <v>54.079076671224833</v>
      </c>
      <c r="M146">
        <f t="shared" si="19"/>
        <v>34.073769914672901</v>
      </c>
      <c r="N146">
        <f t="shared" si="20"/>
        <v>47.034895825913601</v>
      </c>
    </row>
    <row r="147" spans="7:14" x14ac:dyDescent="0.25">
      <c r="G147">
        <v>-0.12</v>
      </c>
      <c r="H147">
        <f t="shared" si="14"/>
        <v>12.137241200466939</v>
      </c>
      <c r="I147" t="str">
        <f t="shared" si="16"/>
        <v>76.2605355804686j</v>
      </c>
      <c r="J147" t="str">
        <f t="shared" si="15"/>
        <v>36.1604098298206+47.6687039271224j</v>
      </c>
      <c r="K147">
        <f t="shared" si="17"/>
        <v>35.538685385751286</v>
      </c>
      <c r="L147">
        <f t="shared" si="18"/>
        <v>52.816861511856366</v>
      </c>
      <c r="M147">
        <f t="shared" si="19"/>
        <v>36.160409829820601</v>
      </c>
      <c r="N147">
        <f t="shared" si="20"/>
        <v>47.668703927122401</v>
      </c>
    </row>
    <row r="148" spans="7:14" x14ac:dyDescent="0.25">
      <c r="G148">
        <v>-0.1</v>
      </c>
      <c r="H148">
        <f t="shared" si="14"/>
        <v>12.709251755588504</v>
      </c>
      <c r="I148" t="str">
        <f t="shared" si="16"/>
        <v>79.85458389596j</v>
      </c>
      <c r="J148" t="str">
        <f t="shared" si="15"/>
        <v>38.2994548048388+48.2161569116738j</v>
      </c>
      <c r="K148">
        <f t="shared" si="17"/>
        <v>35.78827786400759</v>
      </c>
      <c r="L148">
        <f t="shared" si="18"/>
        <v>51.538892047790078</v>
      </c>
      <c r="M148">
        <f t="shared" si="19"/>
        <v>38.299454804838803</v>
      </c>
      <c r="N148">
        <f t="shared" si="20"/>
        <v>48.216156911673799</v>
      </c>
    </row>
    <row r="149" spans="7:14" x14ac:dyDescent="0.25">
      <c r="G149">
        <v>-8.0000000000000099E-2</v>
      </c>
      <c r="H149">
        <f t="shared" si="14"/>
        <v>13.308220337642734</v>
      </c>
      <c r="I149" t="str">
        <f t="shared" si="16"/>
        <v>83.6180144901854j</v>
      </c>
      <c r="J149" t="str">
        <f t="shared" si="15"/>
        <v>40.4835159648206+48.67189143277j</v>
      </c>
      <c r="K149">
        <f t="shared" si="17"/>
        <v>36.029134182368601</v>
      </c>
      <c r="L149">
        <f t="shared" si="18"/>
        <v>50.24754291656911</v>
      </c>
      <c r="M149">
        <f t="shared" si="19"/>
        <v>40.483515964820597</v>
      </c>
      <c r="N149">
        <f t="shared" si="20"/>
        <v>48.671891432770003</v>
      </c>
    </row>
    <row r="150" spans="7:14" x14ac:dyDescent="0.25">
      <c r="G150">
        <v>-6.0000000000000102E-2</v>
      </c>
      <c r="H150">
        <f t="shared" si="14"/>
        <v>13.935417439297286</v>
      </c>
      <c r="I150" t="str">
        <f t="shared" si="16"/>
        <v>87.5588101040069j</v>
      </c>
      <c r="J150" t="str">
        <f t="shared" si="15"/>
        <v>42.7045022035169+49.0313288591896j</v>
      </c>
      <c r="K150">
        <f t="shared" si="17"/>
        <v>36.261088583595885</v>
      </c>
      <c r="L150">
        <f t="shared" si="18"/>
        <v>48.945321503369897</v>
      </c>
      <c r="M150">
        <f t="shared" si="19"/>
        <v>42.704502203516903</v>
      </c>
      <c r="N150">
        <f t="shared" si="20"/>
        <v>49.0313288591896</v>
      </c>
    </row>
    <row r="151" spans="7:14" x14ac:dyDescent="0.25">
      <c r="G151">
        <v>-0.04</v>
      </c>
      <c r="H151">
        <f t="shared" si="14"/>
        <v>14.592173429694554</v>
      </c>
      <c r="I151" t="str">
        <f t="shared" si="16"/>
        <v>91.6853296932732j</v>
      </c>
      <c r="J151" t="str">
        <f t="shared" si="15"/>
        <v>44.9537296447321+49.2907843907643j</v>
      </c>
      <c r="K151">
        <f t="shared" si="17"/>
        <v>36.48400923968952</v>
      </c>
      <c r="L151">
        <f t="shared" si="18"/>
        <v>47.634845536168434</v>
      </c>
      <c r="M151">
        <f t="shared" si="19"/>
        <v>44.9537296447321</v>
      </c>
      <c r="N151">
        <f t="shared" si="20"/>
        <v>49.290784390764301</v>
      </c>
    </row>
    <row r="152" spans="7:14" x14ac:dyDescent="0.25">
      <c r="G152">
        <v>-0.02</v>
      </c>
      <c r="H152">
        <f t="shared" si="14"/>
        <v>15.279881376342974</v>
      </c>
      <c r="I152" t="str">
        <f t="shared" si="16"/>
        <v>96.0063261592852j</v>
      </c>
      <c r="J152" t="str">
        <f t="shared" si="15"/>
        <v>47.2220508575413+49.447557550443j</v>
      </c>
      <c r="K152">
        <f t="shared" si="17"/>
        <v>36.697800391948114</v>
      </c>
      <c r="L152">
        <f t="shared" si="18"/>
        <v>46.318818011081703</v>
      </c>
      <c r="M152">
        <f t="shared" si="19"/>
        <v>47.222050857541298</v>
      </c>
      <c r="N152">
        <f t="shared" si="20"/>
        <v>49.447557550443001</v>
      </c>
    </row>
    <row r="153" spans="7:14" x14ac:dyDescent="0.25">
      <c r="G153">
        <v>0</v>
      </c>
      <c r="H153">
        <f t="shared" si="14"/>
        <v>16</v>
      </c>
      <c r="I153" t="str">
        <f t="shared" si="16"/>
        <v>100.530964914873j</v>
      </c>
      <c r="J153" t="str">
        <f t="shared" si="15"/>
        <v>49.4999999999998+49.5j</v>
      </c>
      <c r="K153">
        <f t="shared" si="17"/>
        <v>36.90240393531117</v>
      </c>
      <c r="L153">
        <f t="shared" si="18"/>
        <v>45.000000000000114</v>
      </c>
      <c r="M153">
        <f t="shared" si="19"/>
        <v>49.499999999999801</v>
      </c>
      <c r="N153">
        <f t="shared" si="20"/>
        <v>49.5</v>
      </c>
    </row>
    <row r="154" spans="7:14" x14ac:dyDescent="0.25">
      <c r="G154">
        <v>0.02</v>
      </c>
      <c r="H154">
        <f t="shared" si="14"/>
        <v>16.754056768814394</v>
      </c>
      <c r="I154" t="str">
        <f t="shared" si="16"/>
        <v>105.268843325467j</v>
      </c>
      <c r="J154" t="str">
        <f t="shared" si="15"/>
        <v>51.7779491424586+49.447557550443j</v>
      </c>
      <c r="K154">
        <f t="shared" si="17"/>
        <v>37.097800391948113</v>
      </c>
      <c r="L154">
        <f t="shared" si="18"/>
        <v>43.681181988918368</v>
      </c>
      <c r="M154">
        <f t="shared" si="19"/>
        <v>51.777949142458603</v>
      </c>
      <c r="N154">
        <f t="shared" si="20"/>
        <v>49.447557550443001</v>
      </c>
    </row>
    <row r="155" spans="7:14" x14ac:dyDescent="0.25">
      <c r="G155">
        <v>0.04</v>
      </c>
      <c r="H155">
        <f t="shared" si="14"/>
        <v>17.543651138290961</v>
      </c>
      <c r="I155" t="str">
        <f t="shared" si="16"/>
        <v>110.230011066394j</v>
      </c>
      <c r="J155" t="str">
        <f t="shared" si="15"/>
        <v>54.0462703552678+49.2907843907644j</v>
      </c>
      <c r="K155">
        <f t="shared" si="17"/>
        <v>37.284009239689524</v>
      </c>
      <c r="L155">
        <f t="shared" si="18"/>
        <v>42.365154463831693</v>
      </c>
      <c r="M155">
        <f t="shared" si="19"/>
        <v>54.046270355267801</v>
      </c>
      <c r="N155">
        <f t="shared" si="20"/>
        <v>49.290784390764401</v>
      </c>
    </row>
    <row r="156" spans="7:14" x14ac:dyDescent="0.25">
      <c r="G156">
        <v>6.0000000000000102E-2</v>
      </c>
      <c r="H156">
        <f t="shared" si="14"/>
        <v>18.370457943950129</v>
      </c>
      <c r="I156" t="str">
        <f t="shared" si="16"/>
        <v>115.424991439588j</v>
      </c>
      <c r="J156" t="str">
        <f t="shared" si="15"/>
        <v>56.2954977964829+49.0313288591895j</v>
      </c>
      <c r="K156">
        <f t="shared" si="17"/>
        <v>37.461088583595853</v>
      </c>
      <c r="L156">
        <f t="shared" si="18"/>
        <v>41.054678496630217</v>
      </c>
      <c r="M156">
        <f t="shared" si="19"/>
        <v>56.295497796482898</v>
      </c>
      <c r="N156">
        <f t="shared" si="20"/>
        <v>49.0313288591895</v>
      </c>
    </row>
    <row r="157" spans="7:14" x14ac:dyDescent="0.25">
      <c r="G157">
        <v>8.0000000000000099E-2</v>
      </c>
      <c r="H157">
        <f t="shared" si="14"/>
        <v>19.236230953878611</v>
      </c>
      <c r="I157" t="str">
        <f t="shared" si="16"/>
        <v>120.864803694923j</v>
      </c>
      <c r="J157" t="str">
        <f t="shared" si="15"/>
        <v>58.5164840351795+48.6718914327702j</v>
      </c>
      <c r="K157">
        <f t="shared" si="17"/>
        <v>37.629134182368624</v>
      </c>
      <c r="L157">
        <f t="shared" si="18"/>
        <v>39.752457083430905</v>
      </c>
      <c r="M157">
        <f t="shared" si="19"/>
        <v>58.516484035179502</v>
      </c>
      <c r="N157">
        <f t="shared" si="20"/>
        <v>48.671891432770202</v>
      </c>
    </row>
    <row r="158" spans="7:14" x14ac:dyDescent="0.25">
      <c r="G158">
        <v>0.1</v>
      </c>
      <c r="H158">
        <f t="shared" si="14"/>
        <v>20.142806588706677</v>
      </c>
      <c r="I158" t="str">
        <f t="shared" si="16"/>
        <v>126.560986403522j</v>
      </c>
      <c r="J158" t="str">
        <f t="shared" si="15"/>
        <v>60.7005451951613+48.2161569116739j</v>
      </c>
      <c r="K158">
        <f t="shared" si="17"/>
        <v>37.788277864007618</v>
      </c>
      <c r="L158">
        <f t="shared" si="18"/>
        <v>38.461107952209908</v>
      </c>
      <c r="M158">
        <f t="shared" si="19"/>
        <v>60.700545195161297</v>
      </c>
      <c r="N158">
        <f t="shared" si="20"/>
        <v>48.216156911673899</v>
      </c>
    </row>
    <row r="159" spans="7:14" x14ac:dyDescent="0.25">
      <c r="G159">
        <v>0.12</v>
      </c>
      <c r="H159">
        <f t="shared" si="14"/>
        <v>21.092107816902516</v>
      </c>
      <c r="I159" t="str">
        <f t="shared" si="16"/>
        <v>132.52562193261j</v>
      </c>
      <c r="J159" t="str">
        <f t="shared" si="15"/>
        <v>62.8395901701797+47.6687039271225j</v>
      </c>
      <c r="K159">
        <f t="shared" si="17"/>
        <v>37.938685385751327</v>
      </c>
      <c r="L159">
        <f t="shared" si="18"/>
        <v>37.183138488143584</v>
      </c>
      <c r="M159">
        <f t="shared" si="19"/>
        <v>62.839590170179697</v>
      </c>
      <c r="N159">
        <f t="shared" si="20"/>
        <v>47.6687039271225</v>
      </c>
    </row>
    <row r="160" spans="7:14" x14ac:dyDescent="0.25">
      <c r="G160">
        <v>0.14000000000000001</v>
      </c>
      <c r="H160">
        <f t="shared" si="14"/>
        <v>22.08614823364616</v>
      </c>
      <c r="I160" t="str">
        <f t="shared" si="16"/>
        <v>138.771362073836j</v>
      </c>
      <c r="J160" t="str">
        <f t="shared" si="15"/>
        <v>64.9262300853272+47.0348958259136j</v>
      </c>
      <c r="K160">
        <f t="shared" si="17"/>
        <v>38.080553810730791</v>
      </c>
      <c r="L160">
        <f t="shared" si="18"/>
        <v>35.920923328775075</v>
      </c>
      <c r="M160">
        <f t="shared" si="19"/>
        <v>64.926230085327205</v>
      </c>
      <c r="N160">
        <f t="shared" si="20"/>
        <v>47.034895825913601</v>
      </c>
    </row>
    <row r="161" spans="7:14" x14ac:dyDescent="0.25">
      <c r="G161">
        <v>0.16</v>
      </c>
      <c r="H161">
        <f t="shared" si="14"/>
        <v>23.127036331934839</v>
      </c>
      <c r="I161" t="str">
        <f t="shared" si="16"/>
        <v>145.311454879421j</v>
      </c>
      <c r="J161" t="str">
        <f t="shared" si="15"/>
        <v>66.9538652797807+46.3207576232866j</v>
      </c>
      <c r="K161">
        <f t="shared" si="17"/>
        <v>38.214108487047056</v>
      </c>
      <c r="L161">
        <f t="shared" si="18"/>
        <v>34.676685063915308</v>
      </c>
      <c r="M161">
        <f t="shared" si="19"/>
        <v>66.9538652797807</v>
      </c>
      <c r="N161">
        <f t="shared" si="20"/>
        <v>46.320757623286603</v>
      </c>
    </row>
    <row r="162" spans="7:14" x14ac:dyDescent="0.25">
      <c r="G162">
        <v>0.18</v>
      </c>
      <c r="H162">
        <f t="shared" si="14"/>
        <v>24.216979974979331</v>
      </c>
      <c r="I162" t="str">
        <f t="shared" si="16"/>
        <v>152.159772763052j</v>
      </c>
      <c r="J162" t="str">
        <f t="shared" si="15"/>
        <v>68.9167482725303+45.5328440416498j</v>
      </c>
      <c r="K162">
        <f t="shared" si="17"/>
        <v>38.3395997236059</v>
      </c>
      <c r="L162">
        <f t="shared" si="18"/>
        <v>33.452478345094391</v>
      </c>
      <c r="M162">
        <f t="shared" si="19"/>
        <v>68.916748272530299</v>
      </c>
      <c r="N162">
        <f t="shared" si="20"/>
        <v>45.532844041649803</v>
      </c>
    </row>
    <row r="163" spans="7:14" x14ac:dyDescent="0.25">
      <c r="G163">
        <v>0.2</v>
      </c>
      <c r="H163">
        <f t="shared" si="14"/>
        <v>25.358291079377818</v>
      </c>
      <c r="I163" t="str">
        <f t="shared" si="16"/>
        <v>159.33084192513j</v>
      </c>
      <c r="J163" t="str">
        <f t="shared" si="15"/>
        <v>70.8100223538706+44.6781036669814j</v>
      </c>
      <c r="K163">
        <f t="shared" si="17"/>
        <v>38.457299260858058</v>
      </c>
      <c r="L163">
        <f t="shared" si="18"/>
        <v>32.250177574793511</v>
      </c>
      <c r="M163">
        <f t="shared" si="19"/>
        <v>70.810022353870593</v>
      </c>
      <c r="N163">
        <f t="shared" si="20"/>
        <v>44.6781036669814</v>
      </c>
    </row>
    <row r="164" spans="7:14" x14ac:dyDescent="0.25">
      <c r="G164">
        <v>0.22</v>
      </c>
      <c r="H164">
        <f t="shared" si="14"/>
        <v>26.55339051900097</v>
      </c>
      <c r="I164" t="str">
        <f t="shared" si="16"/>
        <v>166.839873164789j</v>
      </c>
      <c r="J164" t="str">
        <f t="shared" si="15"/>
        <v>72.6297365389672+43.7637439856097j</v>
      </c>
      <c r="K164">
        <f t="shared" si="17"/>
        <v>38.567496633785218</v>
      </c>
      <c r="L164">
        <f t="shared" si="18"/>
        <v>31.071468214576647</v>
      </c>
      <c r="M164">
        <f t="shared" si="19"/>
        <v>72.629736538967194</v>
      </c>
      <c r="N164">
        <f t="shared" si="20"/>
        <v>43.7637439856097</v>
      </c>
    </row>
    <row r="165" spans="7:14" x14ac:dyDescent="0.25">
      <c r="G165">
        <v>0.24</v>
      </c>
      <c r="H165">
        <f t="shared" si="14"/>
        <v>27.804813259990009</v>
      </c>
      <c r="I165" t="str">
        <f t="shared" si="16"/>
        <v>174.702794144041j</v>
      </c>
      <c r="J165" t="str">
        <f t="shared" si="15"/>
        <v>74.3728385598374+42.7971015604595j</v>
      </c>
      <c r="K165">
        <f t="shared" si="17"/>
        <v>38.670495519536416</v>
      </c>
      <c r="L165">
        <f t="shared" si="18"/>
        <v>29.917841630566766</v>
      </c>
      <c r="M165">
        <f t="shared" si="19"/>
        <v>74.372838559837405</v>
      </c>
      <c r="N165">
        <f t="shared" si="20"/>
        <v>42.797101560459502</v>
      </c>
    </row>
    <row r="166" spans="7:14" x14ac:dyDescent="0.25">
      <c r="G166">
        <v>0.26</v>
      </c>
      <c r="H166">
        <f t="shared" si="14"/>
        <v>29.115213737759738</v>
      </c>
      <c r="I166" t="str">
        <f t="shared" si="16"/>
        <v>182.936283172485j</v>
      </c>
      <c r="J166" t="str">
        <f t="shared" si="15"/>
        <v>76.0371483135907+41.7855209298925j</v>
      </c>
      <c r="K166">
        <f t="shared" si="17"/>
        <v>38.766610153778153</v>
      </c>
      <c r="L166">
        <f t="shared" si="18"/>
        <v>28.790593289891994</v>
      </c>
      <c r="M166">
        <f t="shared" si="19"/>
        <v>76.037148313590706</v>
      </c>
      <c r="N166">
        <f t="shared" si="20"/>
        <v>41.785520929892499</v>
      </c>
    </row>
    <row r="167" spans="7:14" x14ac:dyDescent="0.25">
      <c r="G167">
        <v>0.28000000000000003</v>
      </c>
      <c r="H167">
        <f t="shared" si="14"/>
        <v>30.487371487411959</v>
      </c>
      <c r="I167" t="str">
        <f t="shared" si="16"/>
        <v>191.557804584233j</v>
      </c>
      <c r="J167" t="str">
        <f t="shared" si="15"/>
        <v>77.6213147048938+40.7362450315236j</v>
      </c>
      <c r="K167">
        <f t="shared" si="17"/>
        <v>38.856161888923644</v>
      </c>
      <c r="L167">
        <f t="shared" si="18"/>
        <v>27.690824036480482</v>
      </c>
      <c r="M167">
        <f t="shared" si="19"/>
        <v>77.621314704893805</v>
      </c>
      <c r="N167">
        <f t="shared" si="20"/>
        <v>40.736245031523602</v>
      </c>
    </row>
    <row r="168" spans="7:14" x14ac:dyDescent="0.25">
      <c r="G168">
        <v>0.3</v>
      </c>
      <c r="H168">
        <f t="shared" si="14"/>
        <v>31.924197039502076</v>
      </c>
      <c r="I168" t="str">
        <f t="shared" si="16"/>
        <v>200.585645782105j</v>
      </c>
      <c r="J168" t="str">
        <f t="shared" si="15"/>
        <v>79.1247591176029+39.6563191335757j</v>
      </c>
      <c r="K168">
        <f t="shared" si="17"/>
        <v>38.939475954864037</v>
      </c>
      <c r="L168">
        <f t="shared" si="18"/>
        <v>26.619444110792863</v>
      </c>
      <c r="M168">
        <f t="shared" si="19"/>
        <v>79.124759117602906</v>
      </c>
      <c r="N168">
        <f t="shared" si="20"/>
        <v>39.6563191335757</v>
      </c>
    </row>
    <row r="169" spans="7:14" x14ac:dyDescent="0.25">
      <c r="G169">
        <v>0.32</v>
      </c>
      <c r="H169">
        <f t="shared" si="14"/>
        <v>33.428738093664634</v>
      </c>
      <c r="I169" t="str">
        <f t="shared" si="16"/>
        <v>210.038956027668j</v>
      </c>
      <c r="J169" t="str">
        <f t="shared" si="15"/>
        <v>80.5476088400531+38.5525094554824j</v>
      </c>
      <c r="K169">
        <f t="shared" si="17"/>
        <v>39.016878469507475</v>
      </c>
      <c r="L169">
        <f t="shared" si="18"/>
        <v>25.577179536019553</v>
      </c>
      <c r="M169">
        <f t="shared" si="19"/>
        <v>80.547608840053101</v>
      </c>
      <c r="N169">
        <f t="shared" si="20"/>
        <v>38.552509455482401</v>
      </c>
    </row>
    <row r="170" spans="7:14" x14ac:dyDescent="0.25">
      <c r="G170">
        <v>0.34</v>
      </c>
      <c r="H170">
        <f t="shared" si="14"/>
        <v>35.004185983192841</v>
      </c>
      <c r="I170" t="str">
        <f t="shared" si="16"/>
        <v>219.937787059379j</v>
      </c>
      <c r="J170" t="str">
        <f t="shared" si="15"/>
        <v>81.890623679351+37.4312369240276j</v>
      </c>
      <c r="K170">
        <f t="shared" si="17"/>
        <v>39.088693733123961</v>
      </c>
      <c r="L170">
        <f t="shared" si="18"/>
        <v>24.56458047175958</v>
      </c>
      <c r="M170">
        <f t="shared" si="19"/>
        <v>81.890623679350995</v>
      </c>
      <c r="N170">
        <f t="shared" si="20"/>
        <v>37.431236924027601</v>
      </c>
    </row>
    <row r="171" spans="7:14" x14ac:dyDescent="0.25">
      <c r="G171">
        <v>0.36</v>
      </c>
      <c r="H171">
        <f t="shared" si="14"/>
        <v>36.65388244428437</v>
      </c>
      <c r="I171" t="str">
        <f t="shared" si="16"/>
        <v>230.303135625015j</v>
      </c>
      <c r="J171" t="str">
        <f t="shared" si="15"/>
        <v>83.1551187688405+36.2985258744103j</v>
      </c>
      <c r="K171">
        <f t="shared" si="17"/>
        <v>39.155241827849345</v>
      </c>
      <c r="L171">
        <f t="shared" si="18"/>
        <v>23.582031133036256</v>
      </c>
      <c r="M171">
        <f t="shared" si="19"/>
        <v>83.155118768840495</v>
      </c>
      <c r="N171">
        <f t="shared" si="20"/>
        <v>36.298525874410302</v>
      </c>
    </row>
    <row r="172" spans="7:14" x14ac:dyDescent="0.25">
      <c r="G172">
        <v>0.38</v>
      </c>
      <c r="H172">
        <f t="shared" si="14"/>
        <v>38.381326704311853</v>
      </c>
      <c r="I172" t="str">
        <f t="shared" si="16"/>
        <v>241.156988018592j</v>
      </c>
      <c r="J172" t="str">
        <f t="shared" si="15"/>
        <v>84.342886239405+35.1599669867294j</v>
      </c>
      <c r="K172">
        <f t="shared" si="17"/>
        <v>39.216836532209015</v>
      </c>
      <c r="L172">
        <f t="shared" si="18"/>
        <v>22.629760884775809</v>
      </c>
      <c r="M172">
        <f t="shared" si="19"/>
        <v>84.342886239405004</v>
      </c>
      <c r="N172">
        <f t="shared" si="20"/>
        <v>35.159966986729401</v>
      </c>
    </row>
    <row r="173" spans="7:14" x14ac:dyDescent="0.25">
      <c r="G173">
        <v>0.4</v>
      </c>
      <c r="H173">
        <f t="shared" si="14"/>
        <v>40.190182904153289</v>
      </c>
      <c r="I173" t="str">
        <f t="shared" si="16"/>
        <v>252.522366716236j</v>
      </c>
      <c r="J173" t="str">
        <f t="shared" si="15"/>
        <v>85.4561180282821+34.0206933547251j</v>
      </c>
      <c r="K173">
        <f t="shared" si="17"/>
        <v>39.273783550517194</v>
      </c>
      <c r="L173">
        <f t="shared" si="18"/>
        <v>21.707856146309073</v>
      </c>
      <c r="M173">
        <f t="shared" si="19"/>
        <v>85.456118028282106</v>
      </c>
      <c r="N173">
        <f t="shared" si="20"/>
        <v>34.020693354725097</v>
      </c>
    </row>
    <row r="174" spans="7:14" x14ac:dyDescent="0.25">
      <c r="G174">
        <v>0.42</v>
      </c>
      <c r="H174">
        <f t="shared" si="14"/>
        <v>42.084287870326115</v>
      </c>
      <c r="I174" t="str">
        <f t="shared" si="16"/>
        <v>264.423379209949j</v>
      </c>
      <c r="J174" t="str">
        <f t="shared" si="15"/>
        <v>86.4973316735632+32.8853683123114j</v>
      </c>
      <c r="K174">
        <f t="shared" si="17"/>
        <v>39.326379048678966</v>
      </c>
      <c r="L174">
        <f t="shared" si="18"/>
        <v>20.816272773735687</v>
      </c>
      <c r="M174">
        <f t="shared" si="19"/>
        <v>86.497331673563195</v>
      </c>
      <c r="N174">
        <f t="shared" si="20"/>
        <v>32.8853683123114</v>
      </c>
    </row>
    <row r="175" spans="7:14" x14ac:dyDescent="0.25">
      <c r="G175">
        <v>0.44</v>
      </c>
      <c r="H175">
        <f t="shared" si="14"/>
        <v>44.06765925341066</v>
      </c>
      <c r="I175" t="str">
        <f t="shared" si="16"/>
        <v>276.885269142826j</v>
      </c>
      <c r="J175" t="str">
        <f t="shared" si="15"/>
        <v>87.4693005175875+31.7581834840272j</v>
      </c>
      <c r="K175">
        <f t="shared" si="17"/>
        <v>39.374908481314229</v>
      </c>
      <c r="L175">
        <f t="shared" si="18"/>
        <v>19.954848626980901</v>
      </c>
      <c r="M175">
        <f t="shared" si="19"/>
        <v>87.469300517587499</v>
      </c>
      <c r="N175">
        <f t="shared" si="20"/>
        <v>31.758183484027199</v>
      </c>
    </row>
    <row r="176" spans="7:14" x14ac:dyDescent="0.25">
      <c r="G176">
        <v>0.46</v>
      </c>
      <c r="H176">
        <f t="shared" si="14"/>
        <v>46.144504050025695</v>
      </c>
      <c r="I176" t="str">
        <f t="shared" si="16"/>
        <v>289.93446985421j</v>
      </c>
      <c r="J176" t="str">
        <f t="shared" si="15"/>
        <v>88.3749893406094+30.642865462739j</v>
      </c>
      <c r="K176">
        <f t="shared" si="17"/>
        <v>39.419645690198784</v>
      </c>
      <c r="L176">
        <f t="shared" si="18"/>
        <v>19.12331607028765</v>
      </c>
      <c r="M176">
        <f t="shared" si="19"/>
        <v>88.374989340609403</v>
      </c>
      <c r="N176">
        <f t="shared" si="20"/>
        <v>30.642865462739</v>
      </c>
    </row>
    <row r="177" spans="7:14" x14ac:dyDescent="0.25">
      <c r="G177">
        <v>0.48</v>
      </c>
      <c r="H177">
        <f t="shared" si="14"/>
        <v>48.319227526432265</v>
      </c>
      <c r="I177" t="str">
        <f t="shared" si="16"/>
        <v>303.598660448347j</v>
      </c>
      <c r="J177" t="str">
        <f t="shared" si="15"/>
        <v>89.2174960830451+29.5426895338474j</v>
      </c>
      <c r="K177">
        <f t="shared" si="17"/>
        <v>39.460852250636037</v>
      </c>
      <c r="L177">
        <f t="shared" si="18"/>
        <v>18.321314197383888</v>
      </c>
      <c r="M177">
        <f t="shared" si="19"/>
        <v>89.217496083045106</v>
      </c>
      <c r="N177">
        <f t="shared" si="20"/>
        <v>29.542689533847401</v>
      </c>
    </row>
    <row r="178" spans="7:14" x14ac:dyDescent="0.25">
      <c r="G178">
        <v>0.5</v>
      </c>
      <c r="H178">
        <f t="shared" si="14"/>
        <v>50.596442562694072</v>
      </c>
      <c r="I178" t="str">
        <f t="shared" si="16"/>
        <v>317.906824505475j</v>
      </c>
      <c r="J178" t="str">
        <f t="shared" si="15"/>
        <v>89.9999999999998+28.4604989415154j</v>
      </c>
      <c r="K178">
        <f t="shared" si="17"/>
        <v>39.498777040368729</v>
      </c>
      <c r="L178">
        <f t="shared" si="18"/>
        <v>17.548400613792328</v>
      </c>
      <c r="M178">
        <f t="shared" si="19"/>
        <v>89.999999999999801</v>
      </c>
      <c r="N178">
        <f t="shared" si="20"/>
        <v>28.4604989415154</v>
      </c>
    </row>
    <row r="179" spans="7:14" x14ac:dyDescent="0.25">
      <c r="G179">
        <v>0.52</v>
      </c>
      <c r="H179">
        <f t="shared" si="14"/>
        <v>52.980979437214586</v>
      </c>
      <c r="I179" t="str">
        <f t="shared" si="16"/>
        <v>332.88931155989j</v>
      </c>
      <c r="J179" t="str">
        <f t="shared" si="15"/>
        <v>90.7257163298818+27.3987283115132j</v>
      </c>
      <c r="K179">
        <f t="shared" si="17"/>
        <v>39.53365600479642</v>
      </c>
      <c r="L179">
        <f t="shared" si="18"/>
        <v>16.804062647338554</v>
      </c>
      <c r="M179">
        <f t="shared" si="19"/>
        <v>90.725716329881806</v>
      </c>
      <c r="N179">
        <f t="shared" si="20"/>
        <v>27.398728311513199</v>
      </c>
    </row>
    <row r="180" spans="7:14" x14ac:dyDescent="0.25">
      <c r="G180">
        <v>0.54</v>
      </c>
      <c r="H180">
        <f t="shared" si="14"/>
        <v>55.477896072405073</v>
      </c>
      <c r="I180" t="str">
        <f t="shared" si="16"/>
        <v>348.577901475372j</v>
      </c>
      <c r="J180" t="str">
        <f t="shared" si="15"/>
        <v>91.3978573499872+26.3594299915634j</v>
      </c>
      <c r="K180">
        <f t="shared" si="17"/>
        <v>39.565712092374596</v>
      </c>
      <c r="L180">
        <f t="shared" si="18"/>
        <v>16.087727892932833</v>
      </c>
      <c r="M180">
        <f t="shared" si="19"/>
        <v>91.397857349987206</v>
      </c>
      <c r="N180">
        <f t="shared" si="20"/>
        <v>26.359429991563399</v>
      </c>
    </row>
    <row r="181" spans="7:14" x14ac:dyDescent="0.25">
      <c r="G181">
        <v>0.56000000000000005</v>
      </c>
      <c r="H181">
        <f t="shared" si="14"/>
        <v>58.092488763216224</v>
      </c>
      <c r="I181" t="str">
        <f t="shared" si="16"/>
        <v>365.005871854535j</v>
      </c>
      <c r="J181" t="str">
        <f t="shared" si="15"/>
        <v>92.0195995331023+25.3443022303754j</v>
      </c>
      <c r="K181">
        <f t="shared" si="17"/>
        <v>39.595155334921792</v>
      </c>
      <c r="L181">
        <f t="shared" si="18"/>
        <v>15.39877402860705</v>
      </c>
      <c r="M181">
        <f t="shared" si="19"/>
        <v>92.019599533102294</v>
      </c>
      <c r="N181">
        <f t="shared" si="20"/>
        <v>25.344302230375401</v>
      </c>
    </row>
    <row r="182" spans="7:14" x14ac:dyDescent="0.25">
      <c r="G182">
        <v>0.57999999999999996</v>
      </c>
      <c r="H182">
        <f t="shared" si="14"/>
        <v>60.83030341128979</v>
      </c>
      <c r="I182" t="str">
        <f t="shared" si="16"/>
        <v>382.208068625092j</v>
      </c>
      <c r="J182" t="str">
        <f t="shared" si="15"/>
        <v>92.5940564055616+24.3547182803304j</v>
      </c>
      <c r="K182">
        <f t="shared" si="17"/>
        <v>39.62218304895994</v>
      </c>
      <c r="L182">
        <f t="shared" si="18"/>
        <v>14.736537866356848</v>
      </c>
      <c r="M182">
        <f t="shared" si="19"/>
        <v>92.594056405561602</v>
      </c>
      <c r="N182">
        <f t="shared" si="20"/>
        <v>24.354718280330399</v>
      </c>
    </row>
    <row r="183" spans="7:14" x14ac:dyDescent="0.25">
      <c r="G183">
        <v>0.6</v>
      </c>
      <c r="H183">
        <f t="shared" si="14"/>
        <v>63.697147288559563</v>
      </c>
      <c r="I183" t="str">
        <f t="shared" si="16"/>
        <v>400.220979952731j</v>
      </c>
      <c r="J183" t="str">
        <f t="shared" si="15"/>
        <v>93.124256632826+23.3917556680412j</v>
      </c>
      <c r="K183">
        <f t="shared" si="17"/>
        <v>39.646980135989971</v>
      </c>
      <c r="L183">
        <f t="shared" si="18"/>
        <v>14.100323623589226</v>
      </c>
      <c r="M183">
        <f t="shared" si="19"/>
        <v>93.124256632826004</v>
      </c>
      <c r="N183">
        <f t="shared" si="20"/>
        <v>23.391755668041199</v>
      </c>
    </row>
    <row r="184" spans="7:14" x14ac:dyDescent="0.25">
      <c r="G184">
        <v>0.62</v>
      </c>
      <c r="H184">
        <f t="shared" si="14"/>
        <v>66.699101355253674</v>
      </c>
      <c r="I184" t="str">
        <f t="shared" si="16"/>
        <v>419.082813637412j</v>
      </c>
      <c r="J184" t="str">
        <f t="shared" si="15"/>
        <v>93.6131268170462+22.4562250261076j</v>
      </c>
      <c r="K184">
        <f t="shared" si="17"/>
        <v>39.669719461613738</v>
      </c>
      <c r="L184">
        <f t="shared" si="18"/>
        <v>13.489410419100262</v>
      </c>
      <c r="M184">
        <f t="shared" si="19"/>
        <v>93.613126817046194</v>
      </c>
      <c r="N184">
        <f t="shared" si="20"/>
        <v>22.4562250261076</v>
      </c>
    </row>
    <row r="185" spans="7:14" x14ac:dyDescent="0.25">
      <c r="G185">
        <v>0.64</v>
      </c>
      <c r="H185">
        <f t="shared" si="14"/>
        <v>69.842533158426562</v>
      </c>
      <c r="I185" t="str">
        <f t="shared" si="16"/>
        <v>438.833578157229j</v>
      </c>
      <c r="J185" t="str">
        <f t="shared" si="15"/>
        <v>94.0634784758815+21.5486980147215j</v>
      </c>
      <c r="K185">
        <f t="shared" si="17"/>
        <v>39.690562295535166</v>
      </c>
      <c r="L185">
        <f t="shared" si="18"/>
        <v>12.90305901184578</v>
      </c>
      <c r="M185">
        <f t="shared" si="19"/>
        <v>94.063478475881496</v>
      </c>
      <c r="N185">
        <f t="shared" si="20"/>
        <v>21.548698014721499</v>
      </c>
    </row>
    <row r="186" spans="7:14" x14ac:dyDescent="0.25">
      <c r="G186">
        <v>0.66</v>
      </c>
      <c r="H186">
        <f t="shared" si="14"/>
        <v>73.134110338380012</v>
      </c>
      <c r="I186" t="str">
        <f t="shared" si="16"/>
        <v>459.51516753176j</v>
      </c>
      <c r="J186" t="str">
        <f t="shared" si="15"/>
        <v>94.4779986770734+20.6695339813258j</v>
      </c>
      <c r="K186">
        <f t="shared" si="17"/>
        <v>39.709658796612089</v>
      </c>
      <c r="L186">
        <f t="shared" si="18"/>
        <v>12.340517811694909</v>
      </c>
      <c r="M186">
        <f t="shared" si="19"/>
        <v>94.477998677073401</v>
      </c>
      <c r="N186">
        <f t="shared" si="20"/>
        <v>20.669533981325799</v>
      </c>
    </row>
    <row r="187" spans="7:14" x14ac:dyDescent="0.25">
      <c r="G187">
        <v>0.68</v>
      </c>
      <c r="H187">
        <f t="shared" si="14"/>
        <v>76.580814771622144</v>
      </c>
      <c r="I187" t="str">
        <f t="shared" si="16"/>
        <v>481.171450184898j</v>
      </c>
      <c r="J187" t="str">
        <f t="shared" si="15"/>
        <v>94.8592438236639+19.8189051096521j</v>
      </c>
      <c r="K187">
        <f t="shared" si="17"/>
        <v>39.727148529218454</v>
      </c>
      <c r="L187">
        <f t="shared" si="18"/>
        <v>11.801028199327774</v>
      </c>
      <c r="M187">
        <f t="shared" si="19"/>
        <v>94.859243823663903</v>
      </c>
      <c r="N187">
        <f t="shared" si="20"/>
        <v>19.8189051096521</v>
      </c>
    </row>
    <row r="188" spans="7:14" x14ac:dyDescent="0.25">
      <c r="G188">
        <v>0.7</v>
      </c>
      <c r="H188">
        <f t="shared" si="14"/>
        <v>80.189957380363566</v>
      </c>
      <c r="I188" t="str">
        <f t="shared" si="16"/>
        <v>503.848361995658j</v>
      </c>
      <c r="J188" t="str">
        <f t="shared" si="15"/>
        <v>95.2096361156567+18.996819896347j</v>
      </c>
      <c r="K188">
        <f t="shared" si="17"/>
        <v>39.743160999155663</v>
      </c>
      <c r="L188">
        <f t="shared" si="18"/>
        <v>11.283829197867824</v>
      </c>
      <c r="M188">
        <f t="shared" si="19"/>
        <v>95.209636115656707</v>
      </c>
      <c r="N188">
        <f t="shared" si="20"/>
        <v>18.996819896346999</v>
      </c>
    </row>
    <row r="189" spans="7:14" x14ac:dyDescent="0.25">
      <c r="G189">
        <v>0.72</v>
      </c>
      <c r="H189">
        <f t="shared" si="14"/>
        <v>83.969193639963621</v>
      </c>
      <c r="I189" t="str">
        <f t="shared" si="16"/>
        <v>527.594003734337j</v>
      </c>
      <c r="J189" t="str">
        <f t="shared" si="15"/>
        <v>95.5314622516333+18.2031448650076j</v>
      </c>
      <c r="K189">
        <f t="shared" si="17"/>
        <v>39.757816199195133</v>
      </c>
      <c r="L189">
        <f t="shared" si="18"/>
        <v>10.788161542168208</v>
      </c>
      <c r="M189">
        <f t="shared" si="19"/>
        <v>95.5314622516333</v>
      </c>
      <c r="N189">
        <f t="shared" si="20"/>
        <v>18.203144865007602</v>
      </c>
    </row>
    <row r="190" spans="7:14" x14ac:dyDescent="0.25">
      <c r="G190">
        <v>0.74</v>
      </c>
      <c r="H190">
        <f t="shared" si="14"/>
        <v>87.926539817219933</v>
      </c>
      <c r="I190" t="str">
        <f t="shared" si="16"/>
        <v>552.458743090697j</v>
      </c>
      <c r="J190" t="str">
        <f t="shared" si="15"/>
        <v>95.8268739752408+17.4376244850657j</v>
      </c>
      <c r="K190">
        <f t="shared" si="17"/>
        <v>39.771225156014083</v>
      </c>
      <c r="L190">
        <f t="shared" si="18"/>
        <v>10.313271193276345</v>
      </c>
      <c r="M190">
        <f t="shared" si="19"/>
        <v>95.826873975240801</v>
      </c>
      <c r="N190">
        <f t="shared" si="20"/>
        <v>17.437624485065701</v>
      </c>
    </row>
    <row r="191" spans="7:14" x14ac:dyDescent="0.25">
      <c r="G191">
        <v>0.76</v>
      </c>
      <c r="H191">
        <f t="shared" si="14"/>
        <v>92.07038997394514</v>
      </c>
      <c r="I191" t="str">
        <f t="shared" si="16"/>
        <v>578.495321510587j</v>
      </c>
      <c r="J191" t="str">
        <f t="shared" si="15"/>
        <v>96.0978901142255+16.6998993081567j</v>
      </c>
      <c r="K191">
        <f t="shared" si="17"/>
        <v>39.783490471796405</v>
      </c>
      <c r="L191">
        <f t="shared" si="18"/>
        <v>9.8584123458402431</v>
      </c>
      <c r="M191">
        <f t="shared" si="19"/>
        <v>96.097890114225507</v>
      </c>
      <c r="N191">
        <f t="shared" si="20"/>
        <v>16.699899308156699</v>
      </c>
    </row>
    <row r="192" spans="7:14" x14ac:dyDescent="0.25">
      <c r="G192">
        <v>0.78</v>
      </c>
      <c r="H192">
        <f t="shared" si="14"/>
        <v>96.409533771897273</v>
      </c>
      <c r="I192" t="str">
        <f t="shared" si="16"/>
        <v>605.758966067619j</v>
      </c>
      <c r="J192" t="str">
        <f t="shared" si="15"/>
        <v>96.3463998020197+15.9895223690177j</v>
      </c>
      <c r="K192">
        <f t="shared" si="17"/>
        <v>39.794706855108799</v>
      </c>
      <c r="L192">
        <f t="shared" si="18"/>
        <v>9.4228499754044535</v>
      </c>
      <c r="M192">
        <f t="shared" si="19"/>
        <v>96.346399802019704</v>
      </c>
      <c r="N192">
        <f t="shared" si="20"/>
        <v>15.989522369017701</v>
      </c>
    </row>
    <row r="193" spans="7:14" x14ac:dyDescent="0.25">
      <c r="G193">
        <v>0.8</v>
      </c>
      <c r="H193">
        <f t="shared" si="14"/>
        <v>100.95317511683095</v>
      </c>
      <c r="I193" t="str">
        <f t="shared" si="16"/>
        <v>634.3075066072j</v>
      </c>
      <c r="J193" t="str">
        <f t="shared" si="15"/>
        <v>96.5741666125167+15.3059739231783j</v>
      </c>
      <c r="K193">
        <f t="shared" si="17"/>
        <v>39.804961636831422</v>
      </c>
      <c r="L193">
        <f t="shared" si="18"/>
        <v>9.0058619709315035</v>
      </c>
      <c r="M193">
        <f t="shared" si="19"/>
        <v>96.574166612516706</v>
      </c>
      <c r="N193">
        <f t="shared" si="20"/>
        <v>15.3059739231783</v>
      </c>
    </row>
    <row r="194" spans="7:14" x14ac:dyDescent="0.25">
      <c r="G194">
        <v>0.82</v>
      </c>
      <c r="H194">
        <f t="shared" si="14"/>
        <v>105.71095168121538</v>
      </c>
      <c r="I194" t="str">
        <f t="shared" si="16"/>
        <v>664.201498411384j</v>
      </c>
      <c r="J194" t="str">
        <f t="shared" si="15"/>
        <v>96.7828333767401+14.6486746112892j</v>
      </c>
      <c r="K194">
        <f t="shared" si="17"/>
        <v>39.814335267932904</v>
      </c>
      <c r="L194">
        <f t="shared" si="18"/>
        <v>8.6067408957140312</v>
      </c>
      <c r="M194">
        <f t="shared" si="19"/>
        <v>96.782833376740101</v>
      </c>
      <c r="N194">
        <f t="shared" si="20"/>
        <v>14.6486746112892</v>
      </c>
    </row>
    <row r="195" spans="7:14" x14ac:dyDescent="0.25">
      <c r="G195">
        <v>0.84</v>
      </c>
      <c r="H195">
        <f t="shared" ref="H195:H258" si="21">$B$3*10^G195</f>
        <v>110.69295534702987</v>
      </c>
      <c r="I195" t="str">
        <f t="shared" si="16"/>
        <v>695.504350644744j</v>
      </c>
      <c r="J195" t="str">
        <f t="shared" ref="J195:J258" si="22">IMDIV(IMPRODUCT(I195,Cg,Rf),IMSUM(1,IMPRODUCT(I195,Cg,Rg)))</f>
        <v>96.9739274851162+14.0169971512418j</v>
      </c>
      <c r="K195">
        <f t="shared" si="17"/>
        <v>39.822901796742684</v>
      </c>
      <c r="L195">
        <f t="shared" si="18"/>
        <v>8.2247954172797737</v>
      </c>
      <c r="M195">
        <f t="shared" si="19"/>
        <v>96.973927485116207</v>
      </c>
      <c r="N195">
        <f t="shared" si="20"/>
        <v>14.016997151241799</v>
      </c>
    </row>
    <row r="196" spans="7:14" x14ac:dyDescent="0.25">
      <c r="G196">
        <v>0.86</v>
      </c>
      <c r="H196">
        <f t="shared" si="21"/>
        <v>115.90975361199844</v>
      </c>
      <c r="I196" t="str">
        <f t="shared" ref="I196:I259" si="23">COMPLEX(0,H196*2*PI(),"j")</f>
        <v>728.282460853715j</v>
      </c>
      <c r="J196" t="str">
        <f t="shared" si="22"/>
        <v>97.1488665106922+13.4102766655366j</v>
      </c>
      <c r="K196">
        <f t="shared" ref="K196:K259" si="24">20*LOG(IMABS(J196))</f>
        <v>39.830729324101043</v>
      </c>
      <c r="L196">
        <f t="shared" ref="L196:L259" si="25">DEGREES(IMARGUMENT(J196))</f>
        <v>7.85935144410589</v>
      </c>
      <c r="M196">
        <f t="shared" ref="M196:M259" si="26">IMREAL(J196)</f>
        <v>97.148866510692201</v>
      </c>
      <c r="N196">
        <f t="shared" ref="N196:N259" si="27">IMAGINARY(J196)</f>
        <v>13.4102766655366</v>
      </c>
    </row>
    <row r="197" spans="7:14" x14ac:dyDescent="0.25">
      <c r="G197">
        <v>0.88</v>
      </c>
      <c r="H197">
        <f t="shared" si="21"/>
        <v>121.3724120046694</v>
      </c>
      <c r="I197" t="str">
        <f t="shared" si="23"/>
        <v>762.605355804686j</v>
      </c>
      <c r="J197" t="str">
        <f t="shared" si="22"/>
        <v>97.3089640168674+12.8278197537178j</v>
      </c>
      <c r="K197">
        <f t="shared" si="24"/>
        <v>39.837880435374814</v>
      </c>
      <c r="L197">
        <f t="shared" si="25"/>
        <v>7.5097530040532243</v>
      </c>
      <c r="M197">
        <f t="shared" si="26"/>
        <v>97.308964016867407</v>
      </c>
      <c r="N197">
        <f t="shared" si="27"/>
        <v>12.827819753717799</v>
      </c>
    </row>
    <row r="198" spans="7:14" x14ac:dyDescent="0.25">
      <c r="G198">
        <v>0.9</v>
      </c>
      <c r="H198">
        <f t="shared" si="21"/>
        <v>127.09251755588508</v>
      </c>
      <c r="I198" t="str">
        <f t="shared" si="23"/>
        <v>798.545838959601j</v>
      </c>
      <c r="J198" t="str">
        <f t="shared" si="22"/>
        <v>97.4554354380588+12.2689124190438j</v>
      </c>
      <c r="K198">
        <f t="shared" si="24"/>
        <v>39.84441260882646</v>
      </c>
      <c r="L198">
        <f t="shared" si="25"/>
        <v>7.1753628965096983</v>
      </c>
      <c r="M198">
        <f t="shared" si="26"/>
        <v>97.455435438058799</v>
      </c>
      <c r="N198">
        <f t="shared" si="27"/>
        <v>12.268912419043801</v>
      </c>
    </row>
    <row r="199" spans="7:14" x14ac:dyDescent="0.25">
      <c r="G199">
        <v>0.92</v>
      </c>
      <c r="H199">
        <f t="shared" si="21"/>
        <v>133.08220337642737</v>
      </c>
      <c r="I199" t="str">
        <f t="shared" si="23"/>
        <v>836.180144901854j</v>
      </c>
      <c r="J199" t="str">
        <f t="shared" si="22"/>
        <v>97.5894039433686+11.7328269556624j</v>
      </c>
      <c r="K199">
        <f t="shared" si="24"/>
        <v>39.850378600230187</v>
      </c>
      <c r="L199">
        <f t="shared" si="25"/>
        <v>6.8555631473533118</v>
      </c>
      <c r="M199">
        <f t="shared" si="26"/>
        <v>97.589403943368595</v>
      </c>
      <c r="N199">
        <f t="shared" si="27"/>
        <v>11.7328269556624</v>
      </c>
    </row>
    <row r="200" spans="7:14" x14ac:dyDescent="0.25">
      <c r="G200">
        <v>0.94</v>
      </c>
      <c r="H200">
        <f t="shared" si="21"/>
        <v>139.35417439297288</v>
      </c>
      <c r="I200" t="str">
        <f t="shared" si="23"/>
        <v>875.588101040069j</v>
      </c>
      <c r="J200" t="str">
        <f t="shared" si="22"/>
        <v>97.7119062119886+11.2188278980659j</v>
      </c>
      <c r="K200">
        <f t="shared" si="24"/>
        <v>39.855826803953683</v>
      </c>
      <c r="L200">
        <f t="shared" si="25"/>
        <v>6.5497552930741447</v>
      </c>
      <c r="M200">
        <f t="shared" si="26"/>
        <v>97.711906211988605</v>
      </c>
      <c r="N200">
        <f t="shared" si="27"/>
        <v>11.2188278980659</v>
      </c>
    </row>
    <row r="201" spans="7:14" x14ac:dyDescent="0.25">
      <c r="G201">
        <v>0.96</v>
      </c>
      <c r="H201">
        <f t="shared" si="21"/>
        <v>145.92173429694557</v>
      </c>
      <c r="I201" t="str">
        <f t="shared" si="23"/>
        <v>916.853296932732j</v>
      </c>
      <c r="J201" t="str">
        <f t="shared" si="22"/>
        <v>97.823898065008+10.7261771290015j</v>
      </c>
      <c r="K201">
        <f t="shared" si="24"/>
        <v>39.860801590978745</v>
      </c>
      <c r="L201">
        <f t="shared" si="25"/>
        <v>6.2573605177506737</v>
      </c>
      <c r="M201">
        <f t="shared" si="26"/>
        <v>97.823898065007995</v>
      </c>
      <c r="N201">
        <f t="shared" si="27"/>
        <v>10.726177129001501</v>
      </c>
    </row>
    <row r="202" spans="7:14" x14ac:dyDescent="0.25">
      <c r="G202">
        <v>0.98</v>
      </c>
      <c r="H202">
        <f t="shared" si="21"/>
        <v>152.79881376342973</v>
      </c>
      <c r="I202" t="str">
        <f t="shared" si="23"/>
        <v>960.063261592852j</v>
      </c>
      <c r="J202" t="str">
        <f t="shared" si="22"/>
        <v>97.926259911769+10.2541382357466j</v>
      </c>
      <c r="K202">
        <f t="shared" si="24"/>
        <v>39.865343624529814</v>
      </c>
      <c r="L202">
        <f t="shared" si="25"/>
        <v>5.9778196640987691</v>
      </c>
      <c r="M202">
        <f t="shared" si="26"/>
        <v>97.926259911768994</v>
      </c>
      <c r="N202">
        <f t="shared" si="27"/>
        <v>10.2541382357466</v>
      </c>
    </row>
    <row r="203" spans="7:14" x14ac:dyDescent="0.25">
      <c r="G203">
        <v>1</v>
      </c>
      <c r="H203">
        <f t="shared" si="21"/>
        <v>160</v>
      </c>
      <c r="I203" t="str">
        <f t="shared" si="23"/>
        <v>1005.30964914873j</v>
      </c>
      <c r="J203" t="str">
        <f t="shared" si="22"/>
        <v>98.019801980198+9.80198019801984j</v>
      </c>
      <c r="K203">
        <f t="shared" si="24"/>
        <v>39.86949015412457</v>
      </c>
      <c r="L203">
        <f t="shared" si="25"/>
        <v>5.7105931374996661</v>
      </c>
      <c r="M203">
        <f t="shared" si="26"/>
        <v>98.019801980197997</v>
      </c>
      <c r="N203">
        <f t="shared" si="27"/>
        <v>9.8019801980198409</v>
      </c>
    </row>
    <row r="204" spans="7:14" x14ac:dyDescent="0.25">
      <c r="G204">
        <v>1.02</v>
      </c>
      <c r="H204">
        <f t="shared" si="21"/>
        <v>167.54056768814399</v>
      </c>
      <c r="I204" t="str">
        <f t="shared" si="23"/>
        <v>1052.68843325467j</v>
      </c>
      <c r="J204" t="str">
        <f t="shared" si="22"/>
        <v>98.1052693099142+9.36898048406043j</v>
      </c>
      <c r="K204">
        <f t="shared" si="24"/>
        <v>39.873275288965743</v>
      </c>
      <c r="L204">
        <f t="shared" si="25"/>
        <v>5.4551607197867504</v>
      </c>
      <c r="M204">
        <f t="shared" si="26"/>
        <v>98.105269309914206</v>
      </c>
      <c r="N204">
        <f t="shared" si="27"/>
        <v>9.3689804840604296</v>
      </c>
    </row>
    <row r="205" spans="7:14" x14ac:dyDescent="0.25">
      <c r="G205">
        <v>1.04</v>
      </c>
      <c r="H205">
        <f t="shared" si="21"/>
        <v>175.43651138290966</v>
      </c>
      <c r="I205" t="str">
        <f t="shared" si="23"/>
        <v>1102.30011066394j</v>
      </c>
      <c r="J205" t="str">
        <f t="shared" si="22"/>
        <v>98.1833464946019+8.95442762473144j</v>
      </c>
      <c r="K205">
        <f t="shared" si="24"/>
        <v>39.876730251661549</v>
      </c>
      <c r="L205">
        <f t="shared" si="25"/>
        <v>5.2110213076188101</v>
      </c>
      <c r="M205">
        <f t="shared" si="26"/>
        <v>98.183346494601906</v>
      </c>
      <c r="N205">
        <f t="shared" si="27"/>
        <v>8.9544276247314407</v>
      </c>
    </row>
    <row r="206" spans="7:14" x14ac:dyDescent="0.25">
      <c r="G206">
        <v>1.06</v>
      </c>
      <c r="H206">
        <f t="shared" si="21"/>
        <v>183.70457943950134</v>
      </c>
      <c r="I206" t="str">
        <f t="shared" si="23"/>
        <v>1154.24991439588j</v>
      </c>
      <c r="J206" t="str">
        <f t="shared" si="22"/>
        <v>98.254662166385+8.55762332903568j</v>
      </c>
      <c r="K206">
        <f t="shared" si="24"/>
        <v>39.879883613304784</v>
      </c>
      <c r="L206">
        <f t="shared" si="25"/>
        <v>4.9776925884922951</v>
      </c>
      <c r="M206">
        <f t="shared" si="26"/>
        <v>98.254662166385003</v>
      </c>
      <c r="N206">
        <f t="shared" si="27"/>
        <v>8.55762332903568</v>
      </c>
    </row>
    <row r="207" spans="7:14" x14ac:dyDescent="0.25">
      <c r="G207">
        <v>1.08</v>
      </c>
      <c r="H207">
        <f t="shared" si="21"/>
        <v>192.36230953878612</v>
      </c>
      <c r="I207" t="str">
        <f t="shared" si="23"/>
        <v>1208.64803694923j</v>
      </c>
      <c r="J207" t="str">
        <f t="shared" si="22"/>
        <v>98.3197932199612+8.17788419826699j</v>
      </c>
      <c r="K207">
        <f t="shared" si="24"/>
        <v>39.88276151095922</v>
      </c>
      <c r="L207">
        <f t="shared" si="25"/>
        <v>4.7547106658401699</v>
      </c>
      <c r="M207">
        <f t="shared" si="26"/>
        <v>98.319793219961198</v>
      </c>
      <c r="N207">
        <f t="shared" si="27"/>
        <v>8.1778841982669892</v>
      </c>
    </row>
    <row r="208" spans="7:14" x14ac:dyDescent="0.25">
      <c r="G208">
        <v>1.1000000000000001</v>
      </c>
      <c r="H208">
        <f t="shared" si="21"/>
        <v>201.42806588706688</v>
      </c>
      <c r="I208" t="str">
        <f t="shared" si="23"/>
        <v>1265.60986403522j</v>
      </c>
      <c r="J208" t="str">
        <f t="shared" si="22"/>
        <v>98.3792687781982+7.81454309020516j</v>
      </c>
      <c r="K208">
        <f t="shared" si="24"/>
        <v>39.885387848601624</v>
      </c>
      <c r="L208">
        <f t="shared" si="25"/>
        <v>4.5416296432158765</v>
      </c>
      <c r="M208">
        <f t="shared" si="26"/>
        <v>98.379268778198195</v>
      </c>
      <c r="N208">
        <f t="shared" si="27"/>
        <v>7.8145430902051602</v>
      </c>
    </row>
    <row r="209" spans="7:14" x14ac:dyDescent="0.25">
      <c r="G209">
        <v>1.1200000000000001</v>
      </c>
      <c r="H209">
        <f t="shared" si="21"/>
        <v>210.92107816902521</v>
      </c>
      <c r="I209" t="str">
        <f t="shared" si="23"/>
        <v>1325.2562193261j</v>
      </c>
      <c r="J209" t="str">
        <f t="shared" si="22"/>
        <v>98.4335739040084+7.46695017935584j</v>
      </c>
      <c r="K209">
        <f t="shared" si="24"/>
        <v>39.887784482556569</v>
      </c>
      <c r="L209">
        <f t="shared" si="25"/>
        <v>4.3380211762658067</v>
      </c>
      <c r="M209">
        <f t="shared" si="26"/>
        <v>98.433573904008398</v>
      </c>
      <c r="N209">
        <f t="shared" si="27"/>
        <v>7.4669501793558402</v>
      </c>
    </row>
    <row r="210" spans="7:14" x14ac:dyDescent="0.25">
      <c r="G210">
        <v>1.1399999999999999</v>
      </c>
      <c r="H210">
        <f t="shared" si="21"/>
        <v>220.86148233646162</v>
      </c>
      <c r="I210" t="str">
        <f t="shared" si="23"/>
        <v>1387.71362073836j</v>
      </c>
      <c r="J210" t="str">
        <f t="shared" si="22"/>
        <v>98.4831530656223+7.1344737542306j</v>
      </c>
      <c r="K210">
        <f t="shared" si="24"/>
        <v>39.889971392433893</v>
      </c>
      <c r="L210">
        <f t="shared" si="25"/>
        <v>4.1434740000338417</v>
      </c>
      <c r="M210">
        <f t="shared" si="26"/>
        <v>98.483153065622304</v>
      </c>
      <c r="N210">
        <f t="shared" si="27"/>
        <v>7.1344737542305996</v>
      </c>
    </row>
    <row r="211" spans="7:14" x14ac:dyDescent="0.25">
      <c r="G211">
        <v>1.1599999999999999</v>
      </c>
      <c r="H211">
        <f t="shared" si="21"/>
        <v>231.27036331934841</v>
      </c>
      <c r="I211" t="str">
        <f t="shared" si="23"/>
        <v>1453.11454879421j</v>
      </c>
      <c r="J211" t="str">
        <f t="shared" si="22"/>
        <v>98.5284133641511+6.81650078808233j</v>
      </c>
      <c r="K211">
        <f t="shared" si="24"/>
        <v>39.891966838549308</v>
      </c>
      <c r="L211">
        <f t="shared" si="25"/>
        <v>3.9575934381118656</v>
      </c>
      <c r="M211">
        <f t="shared" si="26"/>
        <v>98.528413364151106</v>
      </c>
      <c r="N211">
        <f t="shared" si="27"/>
        <v>6.8165007880823296</v>
      </c>
    </row>
    <row r="212" spans="7:14" x14ac:dyDescent="0.25">
      <c r="G212">
        <v>1.18</v>
      </c>
      <c r="H212">
        <f t="shared" si="21"/>
        <v>242.16979974979338</v>
      </c>
      <c r="I212" t="str">
        <f t="shared" si="23"/>
        <v>1521.59772763052j</v>
      </c>
      <c r="J212" t="str">
        <f t="shared" si="22"/>
        <v>98.5697275335203+6.51243731532912j</v>
      </c>
      <c r="K212">
        <f t="shared" si="24"/>
        <v>39.893787506766941</v>
      </c>
      <c r="L212">
        <f t="shared" si="25"/>
        <v>3.7800008992352954</v>
      </c>
      <c r="M212">
        <f t="shared" si="26"/>
        <v>98.569727533520293</v>
      </c>
      <c r="N212">
        <f t="shared" si="27"/>
        <v>6.5124373153291204</v>
      </c>
    </row>
    <row r="213" spans="7:14" x14ac:dyDescent="0.25">
      <c r="G213">
        <v>1.2</v>
      </c>
      <c r="H213">
        <f t="shared" si="21"/>
        <v>253.58291079377818</v>
      </c>
      <c r="I213" t="str">
        <f t="shared" si="23"/>
        <v>1593.3084192513j</v>
      </c>
      <c r="J213" t="str">
        <f t="shared" si="22"/>
        <v>98.607436723704+6.22170864211871j</v>
      </c>
      <c r="K213">
        <f t="shared" si="24"/>
        <v>39.895448641663073</v>
      </c>
      <c r="L213">
        <f t="shared" si="25"/>
        <v>3.6103333661159511</v>
      </c>
      <c r="M213">
        <f t="shared" si="26"/>
        <v>98.607436723703998</v>
      </c>
      <c r="N213">
        <f t="shared" si="27"/>
        <v>6.2217086421187098</v>
      </c>
    </row>
    <row r="214" spans="7:14" x14ac:dyDescent="0.25">
      <c r="G214">
        <v>1.22</v>
      </c>
      <c r="H214">
        <f t="shared" si="21"/>
        <v>265.53390519000982</v>
      </c>
      <c r="I214" t="str">
        <f t="shared" si="23"/>
        <v>1668.39873164789j</v>
      </c>
      <c r="J214" t="str">
        <f t="shared" si="22"/>
        <v>98.6418530786532+5.94375941606809j</v>
      </c>
      <c r="K214">
        <f t="shared" si="24"/>
        <v>39.896964168863043</v>
      </c>
      <c r="L214">
        <f t="shared" si="25"/>
        <v>3.4482428805913816</v>
      </c>
      <c r="M214">
        <f t="shared" si="26"/>
        <v>98.641853078653199</v>
      </c>
      <c r="N214">
        <f t="shared" si="27"/>
        <v>5.9437594160680902</v>
      </c>
    </row>
    <row r="215" spans="7:14" x14ac:dyDescent="0.25">
      <c r="G215">
        <v>1.24</v>
      </c>
      <c r="H215">
        <f t="shared" si="21"/>
        <v>278.0481325999001</v>
      </c>
      <c r="I215" t="str">
        <f t="shared" si="23"/>
        <v>1747.02794144041j</v>
      </c>
      <c r="J215" t="str">
        <f t="shared" si="22"/>
        <v>98.673262120537+5.67805357714949j</v>
      </c>
      <c r="K215">
        <f t="shared" si="24"/>
        <v>39.898346807357143</v>
      </c>
      <c r="L215">
        <f t="shared" si="25"/>
        <v>3.2933960285449841</v>
      </c>
      <c r="M215">
        <f t="shared" si="26"/>
        <v>98.673262120537004</v>
      </c>
      <c r="N215">
        <f t="shared" si="27"/>
        <v>5.6780535771494902</v>
      </c>
    </row>
    <row r="216" spans="7:14" x14ac:dyDescent="0.25">
      <c r="G216">
        <v>1.26</v>
      </c>
      <c r="H216">
        <f t="shared" si="21"/>
        <v>291.15213737759746</v>
      </c>
      <c r="I216" t="str">
        <f t="shared" si="23"/>
        <v>1829.36283172485j</v>
      </c>
      <c r="J216" t="str">
        <f t="shared" si="22"/>
        <v>98.7019249519344+5.42407420895158j</v>
      </c>
      <c r="K216">
        <f t="shared" si="24"/>
        <v>39.899608172555439</v>
      </c>
      <c r="L216">
        <f t="shared" si="25"/>
        <v>3.1454734275026044</v>
      </c>
      <c r="M216">
        <f t="shared" si="26"/>
        <v>98.701924951934402</v>
      </c>
      <c r="N216">
        <f t="shared" si="27"/>
        <v>5.4240742089515797</v>
      </c>
    </row>
    <row r="217" spans="7:14" x14ac:dyDescent="0.25">
      <c r="G217">
        <v>1.28</v>
      </c>
      <c r="H217">
        <f t="shared" si="21"/>
        <v>304.87371487411963</v>
      </c>
      <c r="I217" t="str">
        <f t="shared" si="23"/>
        <v>1915.57804584233j</v>
      </c>
      <c r="J217" t="str">
        <f t="shared" si="22"/>
        <v>98.728080287447+5.18132330709906j</v>
      </c>
      <c r="K217">
        <f t="shared" si="24"/>
        <v>39.900758870792849</v>
      </c>
      <c r="L217">
        <f t="shared" si="25"/>
        <v>3.0041692193322125</v>
      </c>
      <c r="M217">
        <f t="shared" si="26"/>
        <v>98.728080287447</v>
      </c>
      <c r="N217">
        <f t="shared" si="27"/>
        <v>5.1813233070990599</v>
      </c>
    </row>
    <row r="218" spans="7:14" x14ac:dyDescent="0.25">
      <c r="G218">
        <v>1.3</v>
      </c>
      <c r="H218">
        <f t="shared" si="21"/>
        <v>319.24197039502087</v>
      </c>
      <c r="I218" t="str">
        <f t="shared" si="23"/>
        <v>2005.85645782106j</v>
      </c>
      <c r="J218" t="str">
        <f t="shared" si="22"/>
        <v>98.7519463259392+4.94932147944063j</v>
      </c>
      <c r="K218">
        <f t="shared" si="24"/>
        <v>39.901808585951429</v>
      </c>
      <c r="L218">
        <f t="shared" si="25"/>
        <v>2.8691905700550144</v>
      </c>
      <c r="M218">
        <f t="shared" si="26"/>
        <v>98.751946325939201</v>
      </c>
      <c r="N218">
        <f t="shared" si="27"/>
        <v>4.9493214794406297</v>
      </c>
    </row>
    <row r="219" spans="7:14" x14ac:dyDescent="0.25">
      <c r="G219">
        <v>1.32</v>
      </c>
      <c r="H219">
        <f t="shared" si="21"/>
        <v>334.2873809366464</v>
      </c>
      <c r="I219" t="str">
        <f t="shared" si="23"/>
        <v>2100.38956027668j</v>
      </c>
      <c r="J219" t="str">
        <f t="shared" si="22"/>
        <v>98.7737224742403+4.72760759068963j</v>
      </c>
      <c r="K219">
        <f t="shared" si="24"/>
        <v>39.902766158821812</v>
      </c>
      <c r="L219">
        <f t="shared" si="25"/>
        <v>2.740257178413668</v>
      </c>
      <c r="M219">
        <f t="shared" si="26"/>
        <v>98.773722474240301</v>
      </c>
      <c r="N219">
        <f t="shared" si="27"/>
        <v>4.7276075906896304</v>
      </c>
    </row>
    <row r="220" spans="7:14" x14ac:dyDescent="0.25">
      <c r="G220">
        <v>1.34</v>
      </c>
      <c r="H220">
        <f t="shared" si="21"/>
        <v>350.0418598319286</v>
      </c>
      <c r="I220" t="str">
        <f t="shared" si="23"/>
        <v>2199.37787059379j</v>
      </c>
      <c r="J220" t="str">
        <f t="shared" si="22"/>
        <v>98.7935909327114+4.51573836249856j</v>
      </c>
      <c r="K220">
        <f t="shared" si="24"/>
        <v>39.903639659782911</v>
      </c>
      <c r="L220">
        <f t="shared" si="25"/>
        <v>2.6171007945282145</v>
      </c>
      <c r="M220">
        <f t="shared" si="26"/>
        <v>98.793590932711396</v>
      </c>
      <c r="N220">
        <f t="shared" si="27"/>
        <v>4.5157383624985599</v>
      </c>
    </row>
    <row r="221" spans="7:14" x14ac:dyDescent="0.25">
      <c r="G221">
        <v>1.36</v>
      </c>
      <c r="H221">
        <f t="shared" si="21"/>
        <v>366.5388244428438</v>
      </c>
      <c r="I221" t="str">
        <f t="shared" si="23"/>
        <v>2303.03135625015j</v>
      </c>
      <c r="J221" t="str">
        <f t="shared" si="22"/>
        <v>98.8117181525857+4.31328793844567j</v>
      </c>
      <c r="K221">
        <f t="shared" si="24"/>
        <v>39.904436455336835</v>
      </c>
      <c r="L221">
        <f t="shared" si="25"/>
        <v>2.4994647496979634</v>
      </c>
      <c r="M221">
        <f t="shared" si="26"/>
        <v>98.811718152585698</v>
      </c>
      <c r="N221">
        <f t="shared" si="27"/>
        <v>4.3132879384456704</v>
      </c>
    </row>
    <row r="222" spans="7:14" x14ac:dyDescent="0.25">
      <c r="G222">
        <v>1.38</v>
      </c>
      <c r="H222">
        <f t="shared" si="21"/>
        <v>383.81326704311851</v>
      </c>
      <c r="I222" t="str">
        <f t="shared" si="23"/>
        <v>2411.56988018592j</v>
      </c>
      <c r="J222" t="str">
        <f t="shared" si="22"/>
        <v>98.8282561745163+4.1198474220919j</v>
      </c>
      <c r="K222">
        <f t="shared" si="24"/>
        <v>39.905163268999651</v>
      </c>
      <c r="L222">
        <f t="shared" si="25"/>
        <v>2.3871034981730639</v>
      </c>
      <c r="M222">
        <f t="shared" si="26"/>
        <v>98.828256174516298</v>
      </c>
      <c r="N222">
        <f t="shared" si="27"/>
        <v>4.1198474220919001</v>
      </c>
    </row>
    <row r="223" spans="7:14" x14ac:dyDescent="0.25">
      <c r="G223">
        <v>1.4</v>
      </c>
      <c r="H223">
        <f t="shared" si="21"/>
        <v>401.90182904153278</v>
      </c>
      <c r="I223" t="str">
        <f t="shared" si="23"/>
        <v>2525.22366716236j</v>
      </c>
      <c r="J223" t="str">
        <f t="shared" si="22"/>
        <v>98.8433438572005+3.93502439510365j</v>
      </c>
      <c r="K223">
        <f t="shared" si="24"/>
        <v>39.905826237007801</v>
      </c>
      <c r="L223">
        <f t="shared" si="25"/>
        <v>2.2797821715179092</v>
      </c>
      <c r="M223">
        <f t="shared" si="26"/>
        <v>98.843343857200495</v>
      </c>
      <c r="N223">
        <f t="shared" si="27"/>
        <v>3.9350243951036501</v>
      </c>
    </row>
    <row r="224" spans="7:14" x14ac:dyDescent="0.25">
      <c r="G224">
        <v>1.42</v>
      </c>
      <c r="H224">
        <f t="shared" si="21"/>
        <v>420.84287870326119</v>
      </c>
      <c r="I224" t="str">
        <f t="shared" si="23"/>
        <v>2644.23379209949j</v>
      </c>
      <c r="J224" t="str">
        <f t="shared" si="22"/>
        <v>98.8571080044696+3.75844242142158j</v>
      </c>
      <c r="K224">
        <f t="shared" si="24"/>
        <v>39.906430959269237</v>
      </c>
      <c r="L224">
        <f t="shared" si="25"/>
        <v>2.1772761460157946</v>
      </c>
      <c r="M224">
        <f t="shared" si="26"/>
        <v>98.857108004469595</v>
      </c>
      <c r="N224">
        <f t="shared" si="27"/>
        <v>3.7584424214215799</v>
      </c>
    </row>
    <row r="225" spans="7:14" x14ac:dyDescent="0.25">
      <c r="G225">
        <v>1.44</v>
      </c>
      <c r="H225">
        <f t="shared" si="21"/>
        <v>440.67659253410665</v>
      </c>
      <c r="I225" t="str">
        <f t="shared" si="23"/>
        <v>2768.85269142826j</v>
      </c>
      <c r="J225" t="str">
        <f t="shared" si="22"/>
        <v>98.8696643986677+3.58974054256411j</v>
      </c>
      <c r="K225">
        <f t="shared" si="24"/>
        <v>39.906982545951593</v>
      </c>
      <c r="L225">
        <f t="shared" si="25"/>
        <v>2.0793706234171396</v>
      </c>
      <c r="M225">
        <f t="shared" si="26"/>
        <v>98.869664398667695</v>
      </c>
      <c r="N225">
        <f t="shared" si="27"/>
        <v>3.58974054256411</v>
      </c>
    </row>
    <row r="226" spans="7:14" x14ac:dyDescent="0.25">
      <c r="G226">
        <v>1.46</v>
      </c>
      <c r="H226">
        <f t="shared" si="21"/>
        <v>461.44504050025705</v>
      </c>
      <c r="I226" t="str">
        <f t="shared" si="23"/>
        <v>2899.3446985421j</v>
      </c>
      <c r="J226" t="str">
        <f t="shared" si="22"/>
        <v>98.8811187476747+3.42857276837916j</v>
      </c>
      <c r="K226">
        <f t="shared" si="24"/>
        <v>39.907485660072709</v>
      </c>
      <c r="L226">
        <f t="shared" si="25"/>
        <v>1.9858602252083781</v>
      </c>
      <c r="M226">
        <f t="shared" si="26"/>
        <v>98.881118747674705</v>
      </c>
      <c r="N226">
        <f t="shared" si="27"/>
        <v>3.4285727683791598</v>
      </c>
    </row>
    <row r="227" spans="7:14" x14ac:dyDescent="0.25">
      <c r="G227">
        <v>1.48</v>
      </c>
      <c r="H227">
        <f t="shared" si="21"/>
        <v>483.19227526432263</v>
      </c>
      <c r="I227" t="str">
        <f t="shared" si="23"/>
        <v>3035.98660448347j</v>
      </c>
      <c r="J227" t="str">
        <f t="shared" si="22"/>
        <v>98.8915675523964+3.27460756687964j</v>
      </c>
      <c r="K227">
        <f t="shared" si="24"/>
        <v>39.907944556427125</v>
      </c>
      <c r="L227">
        <f t="shared" si="25"/>
        <v>1.8965486004731065</v>
      </c>
      <c r="M227">
        <f t="shared" si="26"/>
        <v>98.891567552396396</v>
      </c>
      <c r="N227">
        <f t="shared" si="27"/>
        <v>3.2746075668796402</v>
      </c>
    </row>
    <row r="228" spans="7:14" x14ac:dyDescent="0.25">
      <c r="G228">
        <v>1.5</v>
      </c>
      <c r="H228">
        <f t="shared" si="21"/>
        <v>505.96442562694085</v>
      </c>
      <c r="I228" t="str">
        <f t="shared" si="23"/>
        <v>3179.06824505475j</v>
      </c>
      <c r="J228" t="str">
        <f t="shared" si="22"/>
        <v>98.9010989010987+3.12752735621048j</v>
      </c>
      <c r="K228">
        <f t="shared" si="24"/>
        <v>39.908363117157798</v>
      </c>
      <c r="L228">
        <f t="shared" si="25"/>
        <v>1.8112480473279726</v>
      </c>
      <c r="M228">
        <f t="shared" si="26"/>
        <v>98.901098901098706</v>
      </c>
      <c r="N228">
        <f t="shared" si="27"/>
        <v>3.1275273562104799</v>
      </c>
    </row>
    <row r="229" spans="7:14" x14ac:dyDescent="0.25">
      <c r="G229">
        <v>1.52</v>
      </c>
      <c r="H229">
        <f t="shared" si="21"/>
        <v>529.80979437214603</v>
      </c>
      <c r="I229" t="str">
        <f t="shared" si="23"/>
        <v>3328.89311559891j</v>
      </c>
      <c r="J229" t="str">
        <f t="shared" si="22"/>
        <v>98.9097931964863+2.98702800128336j</v>
      </c>
      <c r="K229">
        <f t="shared" si="24"/>
        <v>39.908744884255988</v>
      </c>
      <c r="L229">
        <f t="shared" si="25"/>
        <v>1.7297791478416278</v>
      </c>
      <c r="M229">
        <f t="shared" si="26"/>
        <v>98.909793196486305</v>
      </c>
      <c r="N229">
        <f t="shared" si="27"/>
        <v>2.9870280012833601</v>
      </c>
    </row>
    <row r="230" spans="7:14" x14ac:dyDescent="0.25">
      <c r="G230">
        <v>1.54</v>
      </c>
      <c r="H230">
        <f t="shared" si="21"/>
        <v>554.77896072405088</v>
      </c>
      <c r="I230" t="str">
        <f t="shared" si="23"/>
        <v>3485.77901475372j</v>
      </c>
      <c r="J230" t="str">
        <f t="shared" si="22"/>
        <v>98.9177238210058+2.85281831717358j</v>
      </c>
      <c r="K230">
        <f t="shared" si="24"/>
        <v>39.909093089249986</v>
      </c>
      <c r="L230">
        <f t="shared" si="25"/>
        <v>1.651970416283667</v>
      </c>
      <c r="M230">
        <f t="shared" si="26"/>
        <v>98.917723821005794</v>
      </c>
      <c r="N230">
        <f t="shared" si="27"/>
        <v>2.8528183171735799</v>
      </c>
    </row>
    <row r="231" spans="7:14" x14ac:dyDescent="0.25">
      <c r="G231">
        <v>1.56</v>
      </c>
      <c r="H231">
        <f t="shared" si="21"/>
        <v>580.92488763216249</v>
      </c>
      <c r="I231" t="str">
        <f t="shared" si="23"/>
        <v>3650.05871854536j</v>
      </c>
      <c r="J231" t="str">
        <f t="shared" si="22"/>
        <v>98.9249577454436+2.72461958099016j</v>
      </c>
      <c r="K231">
        <f t="shared" si="24"/>
        <v>39.909410680322075</v>
      </c>
      <c r="L231">
        <f t="shared" si="25"/>
        <v>1.5776579604995251</v>
      </c>
      <c r="M231">
        <f t="shared" si="26"/>
        <v>98.924957745443606</v>
      </c>
      <c r="N231">
        <f t="shared" si="27"/>
        <v>2.7246195809901601</v>
      </c>
    </row>
    <row r="232" spans="7:14" x14ac:dyDescent="0.25">
      <c r="G232">
        <v>1.58</v>
      </c>
      <c r="H232">
        <f t="shared" si="21"/>
        <v>608.30303411289822</v>
      </c>
      <c r="I232" t="str">
        <f t="shared" si="23"/>
        <v>3822.08068625092j</v>
      </c>
      <c r="J232" t="str">
        <f t="shared" si="22"/>
        <v>98.9315560854987+2.6021650536009j</v>
      </c>
      <c r="K232">
        <f t="shared" si="24"/>
        <v>39.909700347073112</v>
      </c>
      <c r="L232">
        <f t="shared" si="25"/>
        <v>1.506685156166615</v>
      </c>
      <c r="M232">
        <f t="shared" si="26"/>
        <v>98.931556085498698</v>
      </c>
      <c r="N232">
        <f t="shared" si="27"/>
        <v>2.6021650536009</v>
      </c>
    </row>
    <row r="233" spans="7:14" x14ac:dyDescent="0.25">
      <c r="G233">
        <v>1.6</v>
      </c>
      <c r="H233">
        <f t="shared" si="21"/>
        <v>636.97147288559609</v>
      </c>
      <c r="I233" t="str">
        <f t="shared" si="23"/>
        <v>4002.20979952732j</v>
      </c>
      <c r="J233" t="str">
        <f t="shared" si="22"/>
        <v>98.9375746106544+2.48519951230969j</v>
      </c>
      <c r="K233">
        <f t="shared" si="24"/>
        <v>39.909964543136034</v>
      </c>
      <c r="L233">
        <f t="shared" si="25"/>
        <v>1.4389023336536741</v>
      </c>
      <c r="M233">
        <f t="shared" si="26"/>
        <v>98.937574610654394</v>
      </c>
      <c r="N233">
        <f t="shared" si="27"/>
        <v>2.4851995123096899</v>
      </c>
    </row>
    <row r="234" spans="7:14" x14ac:dyDescent="0.25">
      <c r="G234">
        <v>1.62</v>
      </c>
      <c r="H234">
        <f t="shared" si="21"/>
        <v>666.99101355253697</v>
      </c>
      <c r="I234" t="str">
        <f t="shared" si="23"/>
        <v>4190.82813637412j</v>
      </c>
      <c r="J234" t="str">
        <f t="shared" si="22"/>
        <v>98.9430642093313+2.37347879534003j</v>
      </c>
      <c r="K234">
        <f t="shared" si="24"/>
        <v>39.910205506822834</v>
      </c>
      <c r="L234">
        <f t="shared" si="25"/>
        <v>1.3741664771796644</v>
      </c>
      <c r="M234">
        <f t="shared" si="26"/>
        <v>98.943064209331297</v>
      </c>
      <c r="N234">
        <f t="shared" si="27"/>
        <v>2.3734787953400298</v>
      </c>
    </row>
    <row r="235" spans="7:14" x14ac:dyDescent="0.25">
      <c r="G235">
        <v>1.64</v>
      </c>
      <c r="H235">
        <f t="shared" si="21"/>
        <v>698.42533158426579</v>
      </c>
      <c r="I235" t="str">
        <f t="shared" si="23"/>
        <v>4388.33578157229j</v>
      </c>
      <c r="J235" t="str">
        <f t="shared" si="22"/>
        <v>98.9480713139972+2.26676935876995j</v>
      </c>
      <c r="K235">
        <f t="shared" si="24"/>
        <v>39.910425279974518</v>
      </c>
      <c r="L235">
        <f t="shared" si="25"/>
        <v>1.3123409359484335</v>
      </c>
      <c r="M235">
        <f t="shared" si="26"/>
        <v>98.948071313997204</v>
      </c>
      <c r="N235">
        <f t="shared" si="27"/>
        <v>2.2667693587699498</v>
      </c>
    </row>
    <row r="236" spans="7:14" x14ac:dyDescent="0.25">
      <c r="G236">
        <v>1.66</v>
      </c>
      <c r="H236">
        <f t="shared" si="21"/>
        <v>731.34110338380015</v>
      </c>
      <c r="I236" t="str">
        <f t="shared" si="23"/>
        <v>4595.1516753176j</v>
      </c>
      <c r="J236" t="str">
        <f t="shared" si="22"/>
        <v>98.9526382895998+2.16484784638548j</v>
      </c>
      <c r="K236">
        <f t="shared" si="24"/>
        <v>39.910625725168224</v>
      </c>
      <c r="L236">
        <f t="shared" si="25"/>
        <v>1.2532951469207967</v>
      </c>
      <c r="M236">
        <f t="shared" si="26"/>
        <v>98.952638289599804</v>
      </c>
      <c r="N236">
        <f t="shared" si="27"/>
        <v>2.1648478463854799</v>
      </c>
    </row>
    <row r="237" spans="7:14" x14ac:dyDescent="0.25">
      <c r="G237">
        <v>1.68</v>
      </c>
      <c r="H237">
        <f t="shared" si="21"/>
        <v>765.8081477162217</v>
      </c>
      <c r="I237" t="str">
        <f t="shared" si="23"/>
        <v>4811.71450184898j</v>
      </c>
      <c r="J237" t="str">
        <f t="shared" si="22"/>
        <v>98.9568037884384+2.06750067276866j</v>
      </c>
      <c r="K237">
        <f t="shared" si="24"/>
        <v>39.91080854142411</v>
      </c>
      <c r="L237">
        <f t="shared" si="25"/>
        <v>1.1969043688751038</v>
      </c>
      <c r="M237">
        <f t="shared" si="26"/>
        <v>98.956803788438407</v>
      </c>
      <c r="N237">
        <f t="shared" si="27"/>
        <v>2.0675006727686598</v>
      </c>
    </row>
    <row r="238" spans="7:14" x14ac:dyDescent="0.25">
      <c r="G238">
        <v>1.7</v>
      </c>
      <c r="H238">
        <f t="shared" si="21"/>
        <v>801.8995738036358</v>
      </c>
      <c r="I238" t="str">
        <f t="shared" si="23"/>
        <v>5038.48361995658j</v>
      </c>
      <c r="J238" t="str">
        <f t="shared" si="22"/>
        <v>98.9606030743138+1.97452361980771j</v>
      </c>
      <c r="K238">
        <f t="shared" si="24"/>
        <v>39.910975278541095</v>
      </c>
      <c r="L238">
        <f t="shared" si="25"/>
        <v>1.143049427400926</v>
      </c>
      <c r="M238">
        <f t="shared" si="26"/>
        <v>98.960603074313795</v>
      </c>
      <c r="N238">
        <f t="shared" si="27"/>
        <v>1.9745236198077101</v>
      </c>
    </row>
    <row r="239" spans="7:14" x14ac:dyDescent="0.25">
      <c r="G239">
        <v>1.72</v>
      </c>
      <c r="H239">
        <f t="shared" si="21"/>
        <v>839.69193639963657</v>
      </c>
      <c r="I239" t="str">
        <f t="shared" si="23"/>
        <v>5275.94003734337j</v>
      </c>
      <c r="J239" t="str">
        <f t="shared" si="22"/>
        <v>98.9640683185827+1.8857214467089j</v>
      </c>
      <c r="K239">
        <f t="shared" si="24"/>
        <v>39.911127350180671</v>
      </c>
      <c r="L239">
        <f t="shared" si="25"/>
        <v>1.0916164704666835</v>
      </c>
      <c r="M239">
        <f t="shared" si="26"/>
        <v>98.964068318582704</v>
      </c>
      <c r="N239">
        <f t="shared" si="27"/>
        <v>1.8857214467089001</v>
      </c>
    </row>
    <row r="240" spans="7:14" x14ac:dyDescent="0.25">
      <c r="G240">
        <v>1.74</v>
      </c>
      <c r="H240">
        <f t="shared" si="21"/>
        <v>879.26539817219953</v>
      </c>
      <c r="I240" t="str">
        <f t="shared" si="23"/>
        <v>5524.58743090697j</v>
      </c>
      <c r="J240" t="str">
        <f t="shared" si="22"/>
        <v>98.9672288705141+1.80090751349925j</v>
      </c>
      <c r="K240">
        <f t="shared" si="24"/>
        <v>39.911266045807203</v>
      </c>
      <c r="L240">
        <f t="shared" si="25"/>
        <v>1.0424967342014988</v>
      </c>
      <c r="M240">
        <f t="shared" si="26"/>
        <v>98.967228870514106</v>
      </c>
      <c r="N240">
        <f t="shared" si="27"/>
        <v>1.80090751349925</v>
      </c>
    </row>
    <row r="241" spans="7:14" x14ac:dyDescent="0.25">
      <c r="G241">
        <v>1.76</v>
      </c>
      <c r="H241">
        <f t="shared" si="21"/>
        <v>920.70389973945112</v>
      </c>
      <c r="I241" t="str">
        <f t="shared" si="23"/>
        <v>5784.95321510587j</v>
      </c>
      <c r="J241" t="str">
        <f t="shared" si="22"/>
        <v>98.9701115041496+1.71990341793329j</v>
      </c>
      <c r="K241">
        <f t="shared" si="24"/>
        <v>39.911392541584</v>
      </c>
      <c r="L241">
        <f t="shared" si="25"/>
        <v>0.99558631853261514</v>
      </c>
      <c r="M241">
        <f t="shared" si="26"/>
        <v>98.9701115041496</v>
      </c>
      <c r="N241">
        <f t="shared" si="27"/>
        <v>1.7199034179332899</v>
      </c>
    </row>
    <row r="242" spans="7:14" x14ac:dyDescent="0.25">
      <c r="G242">
        <v>1.78</v>
      </c>
      <c r="H242">
        <f t="shared" si="21"/>
        <v>964.09533771897316</v>
      </c>
      <c r="I242" t="str">
        <f t="shared" si="23"/>
        <v>6057.58966067619j</v>
      </c>
      <c r="J242" t="str">
        <f t="shared" si="22"/>
        <v>98.972740643687+1.64253864565476j</v>
      </c>
      <c r="K242">
        <f t="shared" si="24"/>
        <v>39.911507910316018</v>
      </c>
      <c r="L242">
        <f t="shared" si="25"/>
        <v>0.95078597232302242</v>
      </c>
      <c r="M242">
        <f t="shared" si="26"/>
        <v>98.972740643687004</v>
      </c>
      <c r="N242">
        <f t="shared" si="27"/>
        <v>1.6425386456547599</v>
      </c>
    </row>
    <row r="243" spans="7:14" x14ac:dyDescent="0.25">
      <c r="G243">
        <v>1.8</v>
      </c>
      <c r="H243">
        <f t="shared" si="21"/>
        <v>1009.5317511683098</v>
      </c>
      <c r="I243" t="str">
        <f t="shared" si="23"/>
        <v>6343.075066072j</v>
      </c>
      <c r="J243" t="str">
        <f t="shared" si="22"/>
        <v>98.9751385692371+1.56865023341279j</v>
      </c>
      <c r="K243">
        <f t="shared" si="24"/>
        <v>39.911613130522333</v>
      </c>
      <c r="L243">
        <f t="shared" si="25"/>
        <v>0.908000887658581</v>
      </c>
      <c r="M243">
        <f t="shared" si="26"/>
        <v>98.975138569237103</v>
      </c>
      <c r="N243">
        <f t="shared" si="27"/>
        <v>1.5686502334127901</v>
      </c>
    </row>
    <row r="244" spans="7:14" x14ac:dyDescent="0.25">
      <c r="G244">
        <v>1.82</v>
      </c>
      <c r="H244">
        <f t="shared" si="21"/>
        <v>1057.109516812154</v>
      </c>
      <c r="I244" t="str">
        <f t="shared" si="23"/>
        <v>6642.01498411384j</v>
      </c>
      <c r="J244" t="str">
        <f t="shared" si="22"/>
        <v>98.9773256046415+1.49808244509038j</v>
      </c>
      <c r="K244">
        <f t="shared" si="24"/>
        <v>39.911709094713721</v>
      </c>
      <c r="L244">
        <f t="shared" si="25"/>
        <v>0.86714050293986433</v>
      </c>
      <c r="M244">
        <f t="shared" si="26"/>
        <v>98.977325604641507</v>
      </c>
      <c r="N244">
        <f t="shared" si="27"/>
        <v>1.49808244509038</v>
      </c>
    </row>
    <row r="245" spans="7:14" x14ac:dyDescent="0.25">
      <c r="G245">
        <v>1.84</v>
      </c>
      <c r="H245">
        <f t="shared" si="21"/>
        <v>1106.9295534702985</v>
      </c>
      <c r="I245" t="str">
        <f t="shared" si="23"/>
        <v>6955.04350644744j</v>
      </c>
      <c r="J245" t="str">
        <f t="shared" si="22"/>
        <v>98.9793202889085+1.43068646026988j</v>
      </c>
      <c r="K245">
        <f t="shared" si="24"/>
        <v>39.91179661694531</v>
      </c>
      <c r="L245">
        <f t="shared" si="25"/>
        <v>0.82811831444084694</v>
      </c>
      <c r="M245">
        <f t="shared" si="26"/>
        <v>98.979320288908497</v>
      </c>
      <c r="N245">
        <f t="shared" si="27"/>
        <v>1.4306864602698799</v>
      </c>
    </row>
    <row r="246" spans="7:14" x14ac:dyDescent="0.25">
      <c r="G246">
        <v>1.86</v>
      </c>
      <c r="H246">
        <f t="shared" si="21"/>
        <v>1159.0975361199851</v>
      </c>
      <c r="I246" t="str">
        <f t="shared" si="23"/>
        <v>7282.82460853715j</v>
      </c>
      <c r="J246" t="str">
        <f t="shared" si="22"/>
        <v>98.9811395326801+1.36632007503374j</v>
      </c>
      <c r="K246">
        <f t="shared" si="24"/>
        <v>39.911876439707086</v>
      </c>
      <c r="L246">
        <f t="shared" si="25"/>
        <v>0.79085169600424399</v>
      </c>
      <c r="M246">
        <f t="shared" si="26"/>
        <v>98.981139532680103</v>
      </c>
      <c r="N246">
        <f t="shared" si="27"/>
        <v>1.3663200750337401</v>
      </c>
    </row>
    <row r="247" spans="7:14" x14ac:dyDescent="0.25">
      <c r="G247">
        <v>1.88</v>
      </c>
      <c r="H247">
        <f t="shared" si="21"/>
        <v>1213.7241200466938</v>
      </c>
      <c r="I247" t="str">
        <f t="shared" si="23"/>
        <v>7626.05355804686j</v>
      </c>
      <c r="J247" t="str">
        <f t="shared" si="22"/>
        <v>98.9827987610281+1.30484741467898j</v>
      </c>
      <c r="K247">
        <f t="shared" si="24"/>
        <v>39.911949240210248</v>
      </c>
      <c r="L247">
        <f t="shared" si="25"/>
        <v>0.75526172655172563</v>
      </c>
      <c r="M247">
        <f t="shared" si="26"/>
        <v>98.982798761028107</v>
      </c>
      <c r="N247">
        <f t="shared" si="27"/>
        <v>1.3048474146789799</v>
      </c>
    </row>
    <row r="248" spans="7:14" x14ac:dyDescent="0.25">
      <c r="G248">
        <v>1.9</v>
      </c>
      <c r="H248">
        <f t="shared" si="21"/>
        <v>1270.9251755588512</v>
      </c>
      <c r="I248" t="str">
        <f t="shared" si="23"/>
        <v>7985.45838959601j</v>
      </c>
      <c r="J248" t="str">
        <f t="shared" si="22"/>
        <v>98.9843120437681+1.24613865800863j</v>
      </c>
      <c r="K248">
        <f t="shared" si="24"/>
        <v>39.912015636122263</v>
      </c>
      <c r="L248">
        <f t="shared" si="25"/>
        <v>0.72127302509581925</v>
      </c>
      <c r="M248">
        <f t="shared" si="26"/>
        <v>98.984312043768099</v>
      </c>
      <c r="N248">
        <f t="shared" si="27"/>
        <v>1.24613865800863</v>
      </c>
    </row>
    <row r="249" spans="7:14" x14ac:dyDescent="0.25">
      <c r="G249">
        <v>1.92</v>
      </c>
      <c r="H249">
        <f t="shared" si="21"/>
        <v>1330.822033764274</v>
      </c>
      <c r="I249" t="str">
        <f t="shared" si="23"/>
        <v>8361.80144901854j</v>
      </c>
      <c r="J249" t="str">
        <f t="shared" si="22"/>
        <v>98.9856922143738+1.19006977285327j</v>
      </c>
      <c r="K249">
        <f t="shared" si="24"/>
        <v>39.91207619079875</v>
      </c>
      <c r="L249">
        <f t="shared" si="25"/>
        <v>0.68881359294966871</v>
      </c>
      <c r="M249">
        <f t="shared" si="26"/>
        <v>98.985692214373799</v>
      </c>
      <c r="N249">
        <f t="shared" si="27"/>
        <v>1.1900697728532701</v>
      </c>
    </row>
    <row r="250" spans="7:14" x14ac:dyDescent="0.25">
      <c r="G250">
        <v>1.94</v>
      </c>
      <c r="H250">
        <f t="shared" si="21"/>
        <v>1393.5417439297291</v>
      </c>
      <c r="I250" t="str">
        <f t="shared" si="23"/>
        <v>8755.88101040069j</v>
      </c>
      <c r="J250" t="str">
        <f t="shared" si="22"/>
        <v>98.9869509784843+1.13652226246881j</v>
      </c>
      <c r="K250">
        <f t="shared" si="24"/>
        <v>39.912131418056255</v>
      </c>
      <c r="L250">
        <f t="shared" si="25"/>
        <v>0.65781466283998646</v>
      </c>
      <c r="M250">
        <f t="shared" si="26"/>
        <v>98.986950978484302</v>
      </c>
      <c r="N250">
        <f t="shared" si="27"/>
        <v>1.1365222624688101</v>
      </c>
    </row>
    <row r="251" spans="7:14" x14ac:dyDescent="0.25">
      <c r="G251">
        <v>1.96</v>
      </c>
      <c r="H251">
        <f t="shared" si="21"/>
        <v>1459.2173429694556</v>
      </c>
      <c r="I251" t="str">
        <f t="shared" si="23"/>
        <v>9168.53296932732j</v>
      </c>
      <c r="J251" t="str">
        <f t="shared" si="22"/>
        <v>98.9880990129106+1.08538292245319j</v>
      </c>
      <c r="K251">
        <f t="shared" si="24"/>
        <v>39.912181786526062</v>
      </c>
      <c r="L251">
        <f t="shared" si="25"/>
        <v>0.62821055463807352</v>
      </c>
      <c r="M251">
        <f t="shared" si="26"/>
        <v>98.988099012910595</v>
      </c>
      <c r="N251">
        <f t="shared" si="27"/>
        <v>1.0853829224531899</v>
      </c>
    </row>
    <row r="252" spans="7:14" x14ac:dyDescent="0.25">
      <c r="G252">
        <v>1.98</v>
      </c>
      <c r="H252">
        <f t="shared" si="21"/>
        <v>1527.9881376342985</v>
      </c>
      <c r="I252" t="str">
        <f t="shared" si="23"/>
        <v>9600.63261592852j</v>
      </c>
      <c r="J252" t="str">
        <f t="shared" si="22"/>
        <v>98.9891460559695+1.03654360782386j</v>
      </c>
      <c r="K252">
        <f t="shared" si="24"/>
        <v>39.912227723625818</v>
      </c>
      <c r="L252">
        <f t="shared" si="25"/>
        <v>0.59993853743337944</v>
      </c>
      <c r="M252">
        <f t="shared" si="26"/>
        <v>98.989146055969499</v>
      </c>
      <c r="N252">
        <f t="shared" si="27"/>
        <v>1.0365436078238599</v>
      </c>
    </row>
    <row r="253" spans="7:14" x14ac:dyDescent="0.25">
      <c r="G253">
        <v>2</v>
      </c>
      <c r="H253">
        <f t="shared" si="21"/>
        <v>1600</v>
      </c>
      <c r="I253" t="str">
        <f t="shared" si="23"/>
        <v>10053.0964914873j</v>
      </c>
      <c r="J253" t="str">
        <f t="shared" si="22"/>
        <v>98.990100989901+0.989901009899014j</v>
      </c>
      <c r="K253">
        <f t="shared" si="24"/>
        <v>39.912269619182368</v>
      </c>
      <c r="L253">
        <f t="shared" si="25"/>
        <v>0.57293869768348815</v>
      </c>
      <c r="M253">
        <f t="shared" si="26"/>
        <v>98.990100989900995</v>
      </c>
      <c r="N253">
        <f t="shared" si="27"/>
        <v>0.98990100989901397</v>
      </c>
    </row>
    <row r="254" spans="7:14" x14ac:dyDescent="0.25">
      <c r="G254">
        <v>2.02</v>
      </c>
      <c r="H254">
        <f t="shared" si="21"/>
        <v>1675.4056768814396</v>
      </c>
      <c r="I254" t="str">
        <f t="shared" si="23"/>
        <v>10526.8843325467j</v>
      </c>
      <c r="J254" t="str">
        <f t="shared" si="22"/>
        <v>98.9909719160613+0.945356442628947j</v>
      </c>
      <c r="K254">
        <f t="shared" si="24"/>
        <v>39.912307828736445</v>
      </c>
      <c r="L254">
        <f t="shared" si="25"/>
        <v>0.54715381318402734</v>
      </c>
      <c r="M254">
        <f t="shared" si="26"/>
        <v>98.990971916061298</v>
      </c>
      <c r="N254">
        <f t="shared" si="27"/>
        <v>0.94535644262894702</v>
      </c>
    </row>
    <row r="255" spans="7:14" x14ac:dyDescent="0.25">
      <c r="G255">
        <v>2.04</v>
      </c>
      <c r="H255">
        <f t="shared" si="21"/>
        <v>1754.3651138290977</v>
      </c>
      <c r="I255" t="str">
        <f t="shared" si="23"/>
        <v>11023.0011066394j</v>
      </c>
      <c r="J255" t="str">
        <f t="shared" si="22"/>
        <v>98.9917662235219+0.902815638028387j</v>
      </c>
      <c r="K255">
        <f t="shared" si="24"/>
        <v>39.91234267655706</v>
      </c>
      <c r="L255">
        <f t="shared" si="25"/>
        <v>0.52252923261126305</v>
      </c>
      <c r="M255">
        <f t="shared" si="26"/>
        <v>98.991766223521907</v>
      </c>
      <c r="N255">
        <f t="shared" si="27"/>
        <v>0.90281563802838705</v>
      </c>
    </row>
    <row r="256" spans="7:14" x14ac:dyDescent="0.25">
      <c r="G256">
        <v>2.06</v>
      </c>
      <c r="H256">
        <f t="shared" si="21"/>
        <v>1837.0457943950137</v>
      </c>
      <c r="I256" t="str">
        <f t="shared" si="23"/>
        <v>11542.4991439588j</v>
      </c>
      <c r="J256" t="str">
        <f t="shared" si="22"/>
        <v>98.9924906516494+0.862188550366546j</v>
      </c>
      <c r="K256">
        <f t="shared" si="24"/>
        <v>39.912374458390943</v>
      </c>
      <c r="L256">
        <f t="shared" si="25"/>
        <v>0.49901276039937692</v>
      </c>
      <c r="M256">
        <f t="shared" si="26"/>
        <v>98.992490651649405</v>
      </c>
      <c r="N256">
        <f t="shared" si="27"/>
        <v>0.86218855036654596</v>
      </c>
    </row>
    <row r="257" spans="7:14" x14ac:dyDescent="0.25">
      <c r="G257">
        <v>2.08</v>
      </c>
      <c r="H257">
        <f t="shared" si="21"/>
        <v>1923.6230953878617</v>
      </c>
      <c r="I257" t="str">
        <f t="shared" si="23"/>
        <v>12086.4803694923j</v>
      </c>
      <c r="J257" t="str">
        <f t="shared" si="22"/>
        <v>98.9931513471992+0.823389168778841j</v>
      </c>
      <c r="K257">
        <f t="shared" si="24"/>
        <v>39.912403443970781</v>
      </c>
      <c r="L257">
        <f t="shared" si="25"/>
        <v>0.47655454672360364</v>
      </c>
      <c r="M257">
        <f t="shared" si="26"/>
        <v>98.993151347199202</v>
      </c>
      <c r="N257">
        <f t="shared" si="27"/>
        <v>0.82338916877884105</v>
      </c>
    </row>
    <row r="258" spans="7:14" x14ac:dyDescent="0.25">
      <c r="G258">
        <v>2.1</v>
      </c>
      <c r="H258">
        <f t="shared" si="21"/>
        <v>2014.2806588706683</v>
      </c>
      <c r="I258" t="str">
        <f t="shared" si="23"/>
        <v>12656.0986403522j</v>
      </c>
      <c r="J258" t="str">
        <f t="shared" si="22"/>
        <v>98.993753916391+0.786335337971366j</v>
      </c>
      <c r="K258">
        <f t="shared" si="24"/>
        <v>39.912429879302408</v>
      </c>
      <c r="L258">
        <f t="shared" si="25"/>
        <v>0.45510698236905867</v>
      </c>
      <c r="M258">
        <f t="shared" si="26"/>
        <v>98.993753916391</v>
      </c>
      <c r="N258">
        <f t="shared" si="27"/>
        <v>0.78633533797136601</v>
      </c>
    </row>
    <row r="259" spans="7:14" x14ac:dyDescent="0.25">
      <c r="G259">
        <v>2.12</v>
      </c>
      <c r="H259">
        <f t="shared" ref="H259:H303" si="28">$B$3*10^G259</f>
        <v>2109.2107816902535</v>
      </c>
      <c r="I259" t="str">
        <f t="shared" si="23"/>
        <v>13252.562193261j</v>
      </c>
      <c r="J259" t="str">
        <f t="shared" ref="J259:J303" si="29">IMDIV(IMPRODUCT(I259,Cg,Rf),IMSUM(1,IMPRODUCT(I259,Cg,Rg)))</f>
        <v>98.9943034724216+0.750948586698125j</v>
      </c>
      <c r="K259">
        <f t="shared" si="24"/>
        <v>39.912453988751714</v>
      </c>
      <c r="L259">
        <f t="shared" si="25"/>
        <v>0.43462459827394317</v>
      </c>
      <c r="M259">
        <f t="shared" si="26"/>
        <v>98.994303472421606</v>
      </c>
      <c r="N259">
        <f t="shared" si="27"/>
        <v>0.75094858669812503</v>
      </c>
    </row>
    <row r="260" spans="7:14" x14ac:dyDescent="0.25">
      <c r="G260">
        <v>2.14</v>
      </c>
      <c r="H260">
        <f t="shared" si="28"/>
        <v>2208.6148233646177</v>
      </c>
      <c r="I260" t="str">
        <f t="shared" ref="I260:I303" si="30">COMPLEX(0,H260*2*PI(),"j")</f>
        <v>13877.1362073836j</v>
      </c>
      <c r="J260" t="str">
        <f t="shared" si="29"/>
        <v>98.9948046787978+0.717153963699207j</v>
      </c>
      <c r="K260">
        <f t="shared" ref="K260:K303" si="31">20*LOG(IMABS(J260))</f>
        <v>39.912475976947462</v>
      </c>
      <c r="L260">
        <f t="shared" ref="L260:L303" si="32">DEGREES(IMARGUMENT(J260))</f>
        <v>0.41506396954406904</v>
      </c>
      <c r="M260">
        <f t="shared" ref="M260:M303" si="33">IMREAL(J260)</f>
        <v>98.994804678797806</v>
      </c>
      <c r="N260">
        <f t="shared" ref="N260:N303" si="34">IMAGINARY(J260)</f>
        <v>0.71715396369920703</v>
      </c>
    </row>
    <row r="261" spans="7:14" x14ac:dyDescent="0.25">
      <c r="G261">
        <v>2.16</v>
      </c>
      <c r="H261">
        <f t="shared" si="28"/>
        <v>2312.7036331934855</v>
      </c>
      <c r="I261" t="str">
        <f t="shared" si="30"/>
        <v>14531.1454879422j</v>
      </c>
      <c r="J261" t="str">
        <f t="shared" si="29"/>
        <v>98.995261788871+0.684879880797688j</v>
      </c>
      <c r="K261">
        <f t="shared" si="31"/>
        <v>39.912496030517424</v>
      </c>
      <c r="L261">
        <f t="shared" si="32"/>
        <v>0.39638362374396358</v>
      </c>
      <c r="M261">
        <f t="shared" si="33"/>
        <v>98.995261788871005</v>
      </c>
      <c r="N261">
        <f t="shared" si="34"/>
        <v>0.68487988079768802</v>
      </c>
    </row>
    <row r="262" spans="7:14" x14ac:dyDescent="0.25">
      <c r="G262">
        <v>2.1800000000000002</v>
      </c>
      <c r="H262">
        <f t="shared" si="28"/>
        <v>2421.6979974979345</v>
      </c>
      <c r="I262" t="str">
        <f t="shared" si="30"/>
        <v>15215.9772763052j</v>
      </c>
      <c r="J262" t="str">
        <f t="shared" si="29"/>
        <v>98.9956786818933+0.654057962861925j</v>
      </c>
      <c r="K262">
        <f t="shared" si="31"/>
        <v>39.912514319671338</v>
      </c>
      <c r="L262">
        <f t="shared" si="32"/>
        <v>0.37854395327763612</v>
      </c>
      <c r="M262">
        <f t="shared" si="33"/>
        <v>98.995678681893295</v>
      </c>
      <c r="N262">
        <f t="shared" si="34"/>
        <v>0.65405796286192497</v>
      </c>
    </row>
    <row r="263" spans="7:14" x14ac:dyDescent="0.25">
      <c r="G263">
        <v>2.2000000000000002</v>
      </c>
      <c r="H263">
        <f t="shared" si="28"/>
        <v>2535.8291079377846</v>
      </c>
      <c r="I263" t="str">
        <f t="shared" si="30"/>
        <v>15933.084192513j</v>
      </c>
      <c r="J263" t="str">
        <f t="shared" si="29"/>
        <v>98.9960588959098+0.624622904349682j</v>
      </c>
      <c r="K263">
        <f t="shared" si="31"/>
        <v>39.912530999645092</v>
      </c>
      <c r="L263">
        <f t="shared" si="32"/>
        <v>0.36150713167985526</v>
      </c>
      <c r="M263">
        <f t="shared" si="33"/>
        <v>98.996058895909798</v>
      </c>
      <c r="N263">
        <f t="shared" si="34"/>
        <v>0.62462290434968204</v>
      </c>
    </row>
    <row r="264" spans="7:14" x14ac:dyDescent="0.25">
      <c r="G264">
        <v>2.2200000000000002</v>
      </c>
      <c r="H264">
        <f t="shared" si="28"/>
        <v>2655.3390519000995</v>
      </c>
      <c r="I264" t="str">
        <f t="shared" si="30"/>
        <v>16683.9873164789j</v>
      </c>
      <c r="J264" t="str">
        <f t="shared" si="29"/>
        <v>98.9964056577608+0.596512332159896j</v>
      </c>
      <c r="K264">
        <f t="shared" si="31"/>
        <v>39.91254621201783</v>
      </c>
      <c r="L264">
        <f t="shared" si="32"/>
        <v>0.34523703364620562</v>
      </c>
      <c r="M264">
        <f t="shared" si="33"/>
        <v>98.996405657760803</v>
      </c>
      <c r="N264">
        <f t="shared" si="34"/>
        <v>0.59651233215989596</v>
      </c>
    </row>
    <row r="265" spans="7:14" x14ac:dyDescent="0.25">
      <c r="G265">
        <v>2.2400000000000002</v>
      </c>
      <c r="H265">
        <f t="shared" si="28"/>
        <v>2780.4813259990028</v>
      </c>
      <c r="I265" t="str">
        <f t="shared" si="30"/>
        <v>17470.2794144041j</v>
      </c>
      <c r="J265" t="str">
        <f t="shared" si="29"/>
        <v>98.9967219104453+0.569666674527308j</v>
      </c>
      <c r="K265">
        <f t="shared" si="31"/>
        <v>39.912560085913093</v>
      </c>
      <c r="L265">
        <f t="shared" si="32"/>
        <v>0.32969915863731281</v>
      </c>
      <c r="M265">
        <f t="shared" si="33"/>
        <v>98.996721910445302</v>
      </c>
      <c r="N265">
        <f t="shared" si="34"/>
        <v>0.56966667452730801</v>
      </c>
    </row>
    <row r="266" spans="7:14" x14ac:dyDescent="0.25">
      <c r="G266">
        <v>2.2599999999999998</v>
      </c>
      <c r="H266">
        <f t="shared" si="28"/>
        <v>2911.5213737759727</v>
      </c>
      <c r="I266" t="str">
        <f t="shared" si="30"/>
        <v>18293.6283172485j</v>
      </c>
      <c r="J266" t="str">
        <f t="shared" si="29"/>
        <v>98.9970103380831+0.544029035704826j</v>
      </c>
      <c r="K266">
        <f t="shared" si="31"/>
        <v>39.912572739094585</v>
      </c>
      <c r="L266">
        <f t="shared" si="32"/>
        <v>0.31486055789964401</v>
      </c>
      <c r="M266">
        <f t="shared" si="33"/>
        <v>98.997010338083101</v>
      </c>
      <c r="N266">
        <f t="shared" si="34"/>
        <v>0.54402903570482597</v>
      </c>
    </row>
    <row r="267" spans="7:14" x14ac:dyDescent="0.25">
      <c r="G267">
        <v>2.2799999999999998</v>
      </c>
      <c r="H267">
        <f t="shared" si="28"/>
        <v>3048.737148741197</v>
      </c>
      <c r="I267" t="str">
        <f t="shared" si="30"/>
        <v>19155.7804584233j</v>
      </c>
      <c r="J267" t="str">
        <f t="shared" si="29"/>
        <v>98.997273388681+0.51954507618766j</v>
      </c>
      <c r="K267">
        <f t="shared" si="31"/>
        <v>39.91258427896544</v>
      </c>
      <c r="L267">
        <f t="shared" si="32"/>
        <v>0.30068976475192177</v>
      </c>
      <c r="M267">
        <f t="shared" si="33"/>
        <v>98.997273388680995</v>
      </c>
      <c r="N267">
        <f t="shared" si="34"/>
        <v>0.51954507618765999</v>
      </c>
    </row>
    <row r="268" spans="7:14" x14ac:dyDescent="0.25">
      <c r="G268">
        <v>2.2999999999999998</v>
      </c>
      <c r="H268">
        <f t="shared" si="28"/>
        <v>3192.4197039502083</v>
      </c>
      <c r="I268" t="str">
        <f t="shared" si="30"/>
        <v>20058.5645782106j</v>
      </c>
      <c r="J268" t="str">
        <f t="shared" si="29"/>
        <v>98.9975132948965+0.496162898242483j</v>
      </c>
      <c r="K268">
        <f t="shared" si="31"/>
        <v>39.912594803479486</v>
      </c>
      <c r="L268">
        <f t="shared" si="32"/>
        <v>0.28715672799260789</v>
      </c>
      <c r="M268">
        <f t="shared" si="33"/>
        <v>98.997513294896507</v>
      </c>
      <c r="N268">
        <f t="shared" si="34"/>
        <v>0.496162898242483</v>
      </c>
    </row>
    <row r="269" spans="7:14" x14ac:dyDescent="0.25">
      <c r="G269">
        <v>2.3199999999999998</v>
      </c>
      <c r="H269">
        <f t="shared" si="28"/>
        <v>3342.8738093664633</v>
      </c>
      <c r="I269" t="str">
        <f t="shared" si="30"/>
        <v>21003.8956027668j</v>
      </c>
      <c r="J269" t="str">
        <f t="shared" si="29"/>
        <v>98.9977320929785+0.473832936513941j</v>
      </c>
      <c r="K269">
        <f t="shared" si="31"/>
        <v>39.912604401972544</v>
      </c>
      <c r="L269">
        <f t="shared" si="32"/>
        <v>0.27423274829012589</v>
      </c>
      <c r="M269">
        <f t="shared" si="33"/>
        <v>98.997732092978495</v>
      </c>
      <c r="N269">
        <f t="shared" si="34"/>
        <v>0.47383293651394098</v>
      </c>
    </row>
    <row r="270" spans="7:14" x14ac:dyDescent="0.25">
      <c r="G270">
        <v>2.34</v>
      </c>
      <c r="H270">
        <f t="shared" si="28"/>
        <v>3500.4185983192838</v>
      </c>
      <c r="I270" t="str">
        <f t="shared" si="30"/>
        <v>21993.7787059379j</v>
      </c>
      <c r="J270" t="str">
        <f t="shared" si="29"/>
        <v>98.9979316400449+0.452507853489653j</v>
      </c>
      <c r="K270">
        <f t="shared" si="31"/>
        <v>39.912613155920823</v>
      </c>
      <c r="L270">
        <f t="shared" si="32"/>
        <v>0.26189041742345404</v>
      </c>
      <c r="M270">
        <f t="shared" si="33"/>
        <v>98.997931640044897</v>
      </c>
      <c r="N270">
        <f t="shared" si="34"/>
        <v>0.452507853489653</v>
      </c>
    </row>
    <row r="271" spans="7:14" x14ac:dyDescent="0.25">
      <c r="G271">
        <v>2.36</v>
      </c>
      <c r="H271">
        <f t="shared" si="28"/>
        <v>3665.3882444284391</v>
      </c>
      <c r="I271" t="str">
        <f t="shared" si="30"/>
        <v>23030.3135625015j</v>
      </c>
      <c r="J271" t="str">
        <f t="shared" si="29"/>
        <v>98.9981136298332+0.432142439613332j</v>
      </c>
      <c r="K271">
        <f t="shared" si="31"/>
        <v>39.912621139631867</v>
      </c>
      <c r="L271">
        <f t="shared" si="32"/>
        <v>0.25010356024639546</v>
      </c>
      <c r="M271">
        <f t="shared" si="33"/>
        <v>98.998113629833199</v>
      </c>
      <c r="N271">
        <f t="shared" si="34"/>
        <v>0.43214243961333199</v>
      </c>
    </row>
    <row r="272" spans="7:14" x14ac:dyDescent="0.25">
      <c r="G272">
        <v>2.38</v>
      </c>
      <c r="H272">
        <f t="shared" si="28"/>
        <v>3838.1326704311859</v>
      </c>
      <c r="I272" t="str">
        <f t="shared" si="30"/>
        <v>24115.6988018592j</v>
      </c>
      <c r="J272" t="str">
        <f t="shared" si="29"/>
        <v>98.9982796070767+0.41269351784426j</v>
      </c>
      <c r="K272">
        <f t="shared" si="31"/>
        <v>39.91262842087572</v>
      </c>
      <c r="L272">
        <f t="shared" si="32"/>
        <v>0.23884717925436744</v>
      </c>
      <c r="M272">
        <f t="shared" si="33"/>
        <v>98.998279607076697</v>
      </c>
      <c r="N272">
        <f t="shared" si="34"/>
        <v>0.41269351784426</v>
      </c>
    </row>
    <row r="273" spans="7:14" x14ac:dyDescent="0.25">
      <c r="G273">
        <v>2.4</v>
      </c>
      <c r="H273">
        <f t="shared" si="28"/>
        <v>4019.0182904153289</v>
      </c>
      <c r="I273" t="str">
        <f t="shared" si="30"/>
        <v>25252.2366716236j</v>
      </c>
      <c r="J273" t="str">
        <f t="shared" si="29"/>
        <v>98.9984309806066+0.39411985246925j</v>
      </c>
      <c r="K273">
        <f t="shared" si="31"/>
        <v>39.912635061459639</v>
      </c>
      <c r="L273">
        <f t="shared" si="32"/>
        <v>0.22809740163779849</v>
      </c>
      <c r="M273">
        <f t="shared" si="33"/>
        <v>98.998430980606599</v>
      </c>
      <c r="N273">
        <f t="shared" si="34"/>
        <v>0.39411985246925002</v>
      </c>
    </row>
    <row r="274" spans="7:14" x14ac:dyDescent="0.25">
      <c r="G274">
        <v>2.42</v>
      </c>
      <c r="H274">
        <f t="shared" si="28"/>
        <v>4208.4287870326107</v>
      </c>
      <c r="I274" t="str">
        <f t="shared" si="30"/>
        <v>26442.3379209949j</v>
      </c>
      <c r="J274" t="str">
        <f t="shared" si="29"/>
        <v>98.9985690353108+0.376382061981343j</v>
      </c>
      <c r="K274">
        <f t="shared" si="31"/>
        <v>39.912641117753054</v>
      </c>
      <c r="L274">
        <f t="shared" si="32"/>
        <v>0.21783142871129213</v>
      </c>
      <c r="M274">
        <f t="shared" si="33"/>
        <v>98.998569035310794</v>
      </c>
      <c r="N274">
        <f t="shared" si="34"/>
        <v>0.376382061981343</v>
      </c>
    </row>
    <row r="275" spans="7:14" x14ac:dyDescent="0.25">
      <c r="G275">
        <v>2.44</v>
      </c>
      <c r="H275">
        <f t="shared" si="28"/>
        <v>4406.7659253410693</v>
      </c>
      <c r="I275" t="str">
        <f t="shared" si="30"/>
        <v>27688.5269142827j</v>
      </c>
      <c r="J275" t="str">
        <f t="shared" si="29"/>
        <v>98.9986949430329+0.35944253584695j</v>
      </c>
      <c r="K275">
        <f t="shared" si="31"/>
        <v>39.91264664116563</v>
      </c>
      <c r="L275">
        <f t="shared" si="32"/>
        <v>0.20802748761255413</v>
      </c>
      <c r="M275">
        <f t="shared" si="33"/>
        <v>98.998694943032902</v>
      </c>
      <c r="N275">
        <f t="shared" si="34"/>
        <v>0.35944253584695002</v>
      </c>
    </row>
    <row r="276" spans="7:14" x14ac:dyDescent="0.25">
      <c r="G276">
        <v>2.46</v>
      </c>
      <c r="H276">
        <f t="shared" si="28"/>
        <v>4614.4504050025716</v>
      </c>
      <c r="I276" t="str">
        <f t="shared" si="30"/>
        <v>28993.446985421j</v>
      </c>
      <c r="J276" t="str">
        <f t="shared" si="29"/>
        <v>98.9988097725196+0.343265354990728j</v>
      </c>
      <c r="K276">
        <f t="shared" si="31"/>
        <v>39.912651678583913</v>
      </c>
      <c r="L276">
        <f t="shared" si="32"/>
        <v>0.19866478516975583</v>
      </c>
      <c r="M276">
        <f t="shared" si="33"/>
        <v>98.998809772519607</v>
      </c>
      <c r="N276">
        <f t="shared" si="34"/>
        <v>0.34326535499072802</v>
      </c>
    </row>
    <row r="277" spans="7:14" x14ac:dyDescent="0.25">
      <c r="G277">
        <v>2.48</v>
      </c>
      <c r="H277">
        <f t="shared" si="28"/>
        <v>4831.9227526432269</v>
      </c>
      <c r="I277" t="str">
        <f t="shared" si="30"/>
        <v>30359.8660448347j</v>
      </c>
      <c r="J277" t="str">
        <f t="shared" si="29"/>
        <v>98.9989144984881+0.327816215834435j</v>
      </c>
      <c r="K277">
        <f t="shared" si="31"/>
        <v>39.912656272769055</v>
      </c>
      <c r="L277">
        <f t="shared" si="32"/>
        <v>0.1897234638404183</v>
      </c>
      <c r="M277">
        <f t="shared" si="33"/>
        <v>98.998914498488105</v>
      </c>
      <c r="N277">
        <f t="shared" si="34"/>
        <v>0.32781621583443499</v>
      </c>
    </row>
    <row r="278" spans="7:14" x14ac:dyDescent="0.25">
      <c r="G278">
        <v>2.5</v>
      </c>
      <c r="H278">
        <f t="shared" si="28"/>
        <v>5059.6442562694119</v>
      </c>
      <c r="I278" t="str">
        <f t="shared" si="30"/>
        <v>31790.6824505476j</v>
      </c>
      <c r="J278" t="str">
        <f t="shared" si="29"/>
        <v>98.9990100098997+0.313062357733091j</v>
      </c>
      <c r="K278">
        <f t="shared" si="31"/>
        <v>39.912660462719941</v>
      </c>
      <c r="L278">
        <f t="shared" si="32"/>
        <v>0.18118455962923138</v>
      </c>
      <c r="M278">
        <f t="shared" si="33"/>
        <v>98.999010009899706</v>
      </c>
      <c r="N278">
        <f t="shared" si="34"/>
        <v>0.31306235773309099</v>
      </c>
    </row>
    <row r="279" spans="7:14" x14ac:dyDescent="0.25">
      <c r="G279">
        <v>2.52</v>
      </c>
      <c r="H279">
        <f t="shared" si="28"/>
        <v>5298.0979437214619</v>
      </c>
      <c r="I279" t="str">
        <f t="shared" si="30"/>
        <v>33288.9311559891j</v>
      </c>
      <c r="J279" t="str">
        <f t="shared" si="29"/>
        <v>98.9990971175034+0.29897249365825j</v>
      </c>
      <c r="K279">
        <f t="shared" si="31"/>
        <v>39.912664284004116</v>
      </c>
      <c r="L279">
        <f t="shared" si="32"/>
        <v>0.1730299618962505</v>
      </c>
      <c r="M279">
        <f t="shared" si="33"/>
        <v>98.999097117503396</v>
      </c>
      <c r="N279">
        <f t="shared" si="34"/>
        <v>0.29897249365825002</v>
      </c>
    </row>
    <row r="280" spans="7:14" x14ac:dyDescent="0.25">
      <c r="G280">
        <v>2.54</v>
      </c>
      <c r="H280">
        <f t="shared" si="28"/>
        <v>5547.7896072405092</v>
      </c>
      <c r="I280" t="str">
        <f t="shared" si="30"/>
        <v>34857.7901475372j</v>
      </c>
      <c r="J280" t="str">
        <f t="shared" si="29"/>
        <v>98.9991765607158+0.285516743984697j</v>
      </c>
      <c r="K280">
        <f t="shared" si="31"/>
        <v>39.912667769059638</v>
      </c>
      <c r="L280">
        <f t="shared" si="32"/>
        <v>0.16524237497087149</v>
      </c>
      <c r="M280">
        <f t="shared" si="33"/>
        <v>98.999176560715796</v>
      </c>
      <c r="N280">
        <f t="shared" si="34"/>
        <v>0.28551674398469701</v>
      </c>
    </row>
    <row r="281" spans="7:14" x14ac:dyDescent="0.25">
      <c r="G281">
        <v>2.56</v>
      </c>
      <c r="H281">
        <f t="shared" si="28"/>
        <v>5809.2488763216243</v>
      </c>
      <c r="I281" t="str">
        <f t="shared" si="30"/>
        <v>36500.5871854536j</v>
      </c>
      <c r="J281" t="str">
        <f t="shared" si="29"/>
        <v>98.9992490138975+0.272666573242999j</v>
      </c>
      <c r="K281">
        <f t="shared" si="31"/>
        <v>39.912670947470453</v>
      </c>
      <c r="L281">
        <f t="shared" si="32"/>
        <v>0.15780528149071407</v>
      </c>
      <c r="M281">
        <f t="shared" si="33"/>
        <v>98.999249013897497</v>
      </c>
      <c r="N281">
        <f t="shared" si="34"/>
        <v>0.27266657324299898</v>
      </c>
    </row>
    <row r="282" spans="7:14" x14ac:dyDescent="0.25">
      <c r="G282">
        <v>2.58</v>
      </c>
      <c r="H282">
        <f t="shared" si="28"/>
        <v>6083.030341128986</v>
      </c>
      <c r="I282" t="str">
        <f t="shared" si="30"/>
        <v>38220.8068625093j</v>
      </c>
      <c r="J282" t="str">
        <f t="shared" si="29"/>
        <v>98.9993150920771+0.260394729706255j</v>
      </c>
      <c r="K282">
        <f t="shared" si="31"/>
        <v>39.912673846217615</v>
      </c>
      <c r="L282">
        <f t="shared" si="32"/>
        <v>0.1507029073881338</v>
      </c>
      <c r="M282">
        <f t="shared" si="33"/>
        <v>98.999315092077097</v>
      </c>
      <c r="N282">
        <f t="shared" si="34"/>
        <v>0.26039472970625499</v>
      </c>
    </row>
    <row r="283" spans="7:14" x14ac:dyDescent="0.25">
      <c r="G283">
        <v>2.6</v>
      </c>
      <c r="H283">
        <f t="shared" si="28"/>
        <v>6369.7147288559618</v>
      </c>
      <c r="I283" t="str">
        <f t="shared" si="30"/>
        <v>40022.0979952732j</v>
      </c>
      <c r="J283" t="str">
        <f t="shared" si="29"/>
        <v>98.9993753561702+0.248675187685087j</v>
      </c>
      <c r="K283">
        <f t="shared" si="31"/>
        <v>39.912676489908144</v>
      </c>
      <c r="L283">
        <f t="shared" si="32"/>
        <v>0.14392018845051846</v>
      </c>
      <c r="M283">
        <f t="shared" si="33"/>
        <v>98.999375356170205</v>
      </c>
      <c r="N283">
        <f t="shared" si="34"/>
        <v>0.24867518768508701</v>
      </c>
    </row>
    <row r="284" spans="7:14" x14ac:dyDescent="0.25">
      <c r="G284">
        <v>2.62</v>
      </c>
      <c r="H284">
        <f t="shared" si="28"/>
        <v>6669.9101355253715</v>
      </c>
      <c r="I284" t="str">
        <f t="shared" si="30"/>
        <v>41908.2813637412j</v>
      </c>
      <c r="J284" t="str">
        <f t="shared" si="29"/>
        <v>98.9994303177403+0.237483092410372j</v>
      </c>
      <c r="K284">
        <f t="shared" si="31"/>
        <v>39.912678900983963</v>
      </c>
      <c r="L284">
        <f t="shared" si="32"/>
        <v>0.13744273838379995</v>
      </c>
      <c r="M284">
        <f t="shared" si="33"/>
        <v>98.999430317740305</v>
      </c>
      <c r="N284">
        <f t="shared" si="34"/>
        <v>0.23748309241037199</v>
      </c>
    </row>
    <row r="285" spans="7:14" x14ac:dyDescent="0.25">
      <c r="G285">
        <v>2.64</v>
      </c>
      <c r="H285">
        <f t="shared" si="28"/>
        <v>6984.2533158426595</v>
      </c>
      <c r="I285" t="str">
        <f t="shared" si="30"/>
        <v>43883.3578157229j</v>
      </c>
      <c r="J285" t="str">
        <f t="shared" si="29"/>
        <v>98.9994804433412+0.226794707388466j</v>
      </c>
      <c r="K285">
        <f t="shared" si="31"/>
        <v>39.912681099912419</v>
      </c>
      <c r="L285">
        <f t="shared" si="32"/>
        <v>0.13125681831176453</v>
      </c>
      <c r="M285">
        <f t="shared" si="33"/>
        <v>98.999480443341199</v>
      </c>
      <c r="N285">
        <f t="shared" si="34"/>
        <v>0.22679470738846599</v>
      </c>
    </row>
    <row r="286" spans="7:14" x14ac:dyDescent="0.25">
      <c r="G286">
        <v>2.66</v>
      </c>
      <c r="H286">
        <f t="shared" si="28"/>
        <v>7313.4110338380096</v>
      </c>
      <c r="I286" t="str">
        <f t="shared" si="30"/>
        <v>45951.5167531761j</v>
      </c>
      <c r="J286" t="str">
        <f t="shared" si="29"/>
        <v>98.9995261584765+0.216587364118704j</v>
      </c>
      <c r="K286">
        <f t="shared" si="31"/>
        <v>39.912683105359946</v>
      </c>
      <c r="L286">
        <f t="shared" si="32"/>
        <v>0.12534930764674898</v>
      </c>
      <c r="M286">
        <f t="shared" si="33"/>
        <v>98.999526158476499</v>
      </c>
      <c r="N286">
        <f t="shared" si="34"/>
        <v>0.216587364118704</v>
      </c>
    </row>
    <row r="287" spans="7:14" x14ac:dyDescent="0.25">
      <c r="G287">
        <v>2.68</v>
      </c>
      <c r="H287">
        <f t="shared" si="28"/>
        <v>7658.0814771622217</v>
      </c>
      <c r="I287" t="str">
        <f t="shared" si="30"/>
        <v>48117.1450184897j</v>
      </c>
      <c r="J287" t="str">
        <f t="shared" si="29"/>
        <v>98.9995678512123+0.20683941406776j</v>
      </c>
      <c r="K287">
        <f t="shared" si="31"/>
        <v>39.912684934350636</v>
      </c>
      <c r="L287">
        <f t="shared" si="32"/>
        <v>0.11970767627016546</v>
      </c>
      <c r="M287">
        <f t="shared" si="33"/>
        <v>98.999567851212305</v>
      </c>
      <c r="N287">
        <f t="shared" si="34"/>
        <v>0.20683941406775999</v>
      </c>
    </row>
    <row r="288" spans="7:14" x14ac:dyDescent="0.25">
      <c r="G288">
        <v>2.7</v>
      </c>
      <c r="H288">
        <f t="shared" si="28"/>
        <v>8018.995738036363</v>
      </c>
      <c r="I288" t="str">
        <f t="shared" si="30"/>
        <v>50384.8361995658j</v>
      </c>
      <c r="J288" t="str">
        <f t="shared" si="29"/>
        <v>98.9996058754702+0.197530182800097j</v>
      </c>
      <c r="K288">
        <f t="shared" si="31"/>
        <v>39.91268660241068</v>
      </c>
      <c r="L288">
        <f t="shared" si="32"/>
        <v>0.1143199579640633</v>
      </c>
      <c r="M288">
        <f t="shared" si="33"/>
        <v>98.999605875470195</v>
      </c>
      <c r="N288">
        <f t="shared" si="34"/>
        <v>0.19753018280009699</v>
      </c>
    </row>
    <row r="289" spans="7:14" x14ac:dyDescent="0.25">
      <c r="G289">
        <v>2.72</v>
      </c>
      <c r="H289">
        <f t="shared" si="28"/>
        <v>8396.9193639963669</v>
      </c>
      <c r="I289" t="str">
        <f t="shared" si="30"/>
        <v>52759.4003734337j</v>
      </c>
      <c r="J289" t="str">
        <f t="shared" si="29"/>
        <v>98.9996405540308+0.188639926168187j</v>
      </c>
      <c r="K289">
        <f t="shared" si="31"/>
        <v>39.91268812370005</v>
      </c>
      <c r="L289">
        <f t="shared" si="32"/>
        <v>0.10917472503756706</v>
      </c>
      <c r="M289">
        <f t="shared" si="33"/>
        <v>98.999640554030805</v>
      </c>
      <c r="N289">
        <f t="shared" si="34"/>
        <v>0.18863992616818701</v>
      </c>
    </row>
    <row r="290" spans="7:14" x14ac:dyDescent="0.25">
      <c r="G290">
        <v>2.74</v>
      </c>
      <c r="H290">
        <f t="shared" si="28"/>
        <v>8792.6539817220055</v>
      </c>
      <c r="I290" t="str">
        <f t="shared" si="30"/>
        <v>55245.8743090698j</v>
      </c>
      <c r="J290" t="str">
        <f t="shared" si="29"/>
        <v>98.9996721812753+0.180149788470373j</v>
      </c>
      <c r="K290">
        <f t="shared" si="31"/>
        <v>39.912689511132925</v>
      </c>
      <c r="L290">
        <f t="shared" si="32"/>
        <v>0.10426106409450857</v>
      </c>
      <c r="M290">
        <f t="shared" si="33"/>
        <v>98.999672181275301</v>
      </c>
      <c r="N290">
        <f t="shared" si="34"/>
        <v>0.180149788470373</v>
      </c>
    </row>
    <row r="291" spans="7:14" x14ac:dyDescent="0.25">
      <c r="G291">
        <v>2.76</v>
      </c>
      <c r="H291">
        <f t="shared" si="28"/>
        <v>9207.038997394513</v>
      </c>
      <c r="I291" t="str">
        <f t="shared" si="30"/>
        <v>57849.5321510587j</v>
      </c>
      <c r="J291" t="str">
        <f t="shared" si="29"/>
        <v>98.9997010256827+0.172041762488372j</v>
      </c>
      <c r="K291">
        <f t="shared" si="31"/>
        <v>39.912690776487139</v>
      </c>
      <c r="L291">
        <f t="shared" si="32"/>
        <v>9.9568552891015918E-2</v>
      </c>
      <c r="M291">
        <f t="shared" si="33"/>
        <v>98.999701025682697</v>
      </c>
      <c r="N291">
        <f t="shared" si="34"/>
        <v>0.172041762488372</v>
      </c>
    </row>
    <row r="292" spans="7:14" x14ac:dyDescent="0.25">
      <c r="G292">
        <v>2.78</v>
      </c>
      <c r="H292">
        <f t="shared" si="28"/>
        <v>9640.9533771897241</v>
      </c>
      <c r="I292" t="str">
        <f t="shared" si="30"/>
        <v>60575.8966067619j</v>
      </c>
      <c r="J292" t="str">
        <f t="shared" si="29"/>
        <v>98.9997273321093+0.164298651320257j</v>
      </c>
      <c r="K292">
        <f t="shared" si="31"/>
        <v>39.912691930504188</v>
      </c>
      <c r="L292">
        <f t="shared" si="32"/>
        <v>9.5087238234071128E-2</v>
      </c>
      <c r="M292">
        <f t="shared" si="33"/>
        <v>98.999727332109302</v>
      </c>
      <c r="N292">
        <f t="shared" si="34"/>
        <v>0.16429865132025701</v>
      </c>
    </row>
    <row r="293" spans="7:14" x14ac:dyDescent="0.25">
      <c r="G293">
        <v>2.8</v>
      </c>
      <c r="H293">
        <f t="shared" si="28"/>
        <v>10095.317511683092</v>
      </c>
      <c r="I293" t="str">
        <f t="shared" si="30"/>
        <v>63430.75066072j</v>
      </c>
      <c r="J293" t="str">
        <f t="shared" si="29"/>
        <v>98.9997513238679+0.156904031928541j</v>
      </c>
      <c r="K293">
        <f t="shared" si="31"/>
        <v>39.912692982980531</v>
      </c>
      <c r="L293">
        <f t="shared" si="32"/>
        <v>9.0807614874282599E-2</v>
      </c>
      <c r="M293">
        <f t="shared" si="33"/>
        <v>98.999751323867898</v>
      </c>
      <c r="N293">
        <f t="shared" si="34"/>
        <v>0.15690403192854099</v>
      </c>
    </row>
    <row r="294" spans="7:14" x14ac:dyDescent="0.25">
      <c r="G294">
        <v>2.82</v>
      </c>
      <c r="H294">
        <f t="shared" si="28"/>
        <v>10571.095168121543</v>
      </c>
      <c r="I294" t="str">
        <f t="shared" si="30"/>
        <v>66420.1498411384j</v>
      </c>
      <c r="J294" t="str">
        <f t="shared" si="29"/>
        <v>98.9997732046219+0.149842220326489j</v>
      </c>
      <c r="K294">
        <f t="shared" si="31"/>
        <v>39.912693942850588</v>
      </c>
      <c r="L294">
        <f t="shared" si="32"/>
        <v>8.6720605348177188E-2</v>
      </c>
      <c r="M294">
        <f t="shared" si="33"/>
        <v>98.999773204621903</v>
      </c>
      <c r="N294">
        <f t="shared" si="34"/>
        <v>0.149842220326489</v>
      </c>
    </row>
    <row r="295" spans="7:14" x14ac:dyDescent="0.25">
      <c r="G295">
        <v>2.84</v>
      </c>
      <c r="H295">
        <f t="shared" si="28"/>
        <v>11069.295534702987</v>
      </c>
      <c r="I295" t="str">
        <f t="shared" si="30"/>
        <v>69550.4350644744j</v>
      </c>
      <c r="J295" t="str">
        <f t="shared" si="29"/>
        <v>98.9997931601151+0.143098238329251j</v>
      </c>
      <c r="K295">
        <f t="shared" si="31"/>
        <v>39.912694818262665</v>
      </c>
      <c r="L295">
        <f t="shared" si="32"/>
        <v>8.2817540727341904E-2</v>
      </c>
      <c r="M295">
        <f t="shared" si="33"/>
        <v>98.999793160115104</v>
      </c>
      <c r="N295">
        <f t="shared" si="34"/>
        <v>0.143098238329251</v>
      </c>
    </row>
    <row r="296" spans="7:14" x14ac:dyDescent="0.25">
      <c r="G296">
        <v>2.86</v>
      </c>
      <c r="H296">
        <f t="shared" si="28"/>
        <v>11590.975361199844</v>
      </c>
      <c r="I296" t="str">
        <f t="shared" si="30"/>
        <v>72828.2460853715j</v>
      </c>
      <c r="J296" t="str">
        <f t="shared" si="29"/>
        <v>98.9998113597483+0.13665778179965j</v>
      </c>
      <c r="K296">
        <f t="shared" si="31"/>
        <v>39.912695616648122</v>
      </c>
      <c r="L296">
        <f t="shared" si="32"/>
        <v>7.9090142233654015E-2</v>
      </c>
      <c r="M296">
        <f t="shared" si="33"/>
        <v>98.999811359748307</v>
      </c>
      <c r="N296">
        <f t="shared" si="34"/>
        <v>0.13665778179964999</v>
      </c>
    </row>
    <row r="297" spans="7:14" x14ac:dyDescent="0.25">
      <c r="G297">
        <v>2.88</v>
      </c>
      <c r="H297">
        <f t="shared" si="28"/>
        <v>12137.24120046694</v>
      </c>
      <c r="I297" t="str">
        <f t="shared" si="30"/>
        <v>76260.5355804686j</v>
      </c>
      <c r="J297" t="str">
        <f t="shared" si="29"/>
        <v>98.9998279580169+0.130507190321581j</v>
      </c>
      <c r="K297">
        <f t="shared" si="31"/>
        <v>39.91269634478445</v>
      </c>
      <c r="L297">
        <f t="shared" si="32"/>
        <v>7.5530503681659367E-2</v>
      </c>
      <c r="M297">
        <f t="shared" si="33"/>
        <v>98.999827958016894</v>
      </c>
      <c r="N297">
        <f t="shared" si="34"/>
        <v>0.13050719032158101</v>
      </c>
    </row>
    <row r="298" spans="7:14" x14ac:dyDescent="0.25">
      <c r="G298">
        <v>2.9</v>
      </c>
      <c r="H298">
        <f t="shared" si="28"/>
        <v>12709.251755588513</v>
      </c>
      <c r="I298" t="str">
        <f t="shared" si="30"/>
        <v>79854.5838959601j</v>
      </c>
      <c r="J298" t="str">
        <f t="shared" si="29"/>
        <v>98.9998430958226+0.124633418236966j</v>
      </c>
      <c r="K298">
        <f t="shared" si="31"/>
        <v>39.912697008852767</v>
      </c>
      <c r="L298">
        <f t="shared" si="32"/>
        <v>7.2131074710907753E-2</v>
      </c>
      <c r="M298">
        <f t="shared" si="33"/>
        <v>98.999843095822598</v>
      </c>
      <c r="N298">
        <f t="shared" si="34"/>
        <v>0.124633418236966</v>
      </c>
    </row>
    <row r="299" spans="7:14" x14ac:dyDescent="0.25">
      <c r="G299">
        <v>2.92</v>
      </c>
      <c r="H299">
        <f t="shared" si="28"/>
        <v>13308.220337642742</v>
      </c>
      <c r="I299" t="str">
        <f t="shared" si="30"/>
        <v>83618.0144901854j</v>
      </c>
      <c r="J299" t="str">
        <f t="shared" si="29"/>
        <v>98.9998569016695+0.11902400698509j</v>
      </c>
      <c r="K299">
        <f t="shared" si="31"/>
        <v>39.912697614490369</v>
      </c>
      <c r="L299">
        <f t="shared" si="32"/>
        <v>6.8884644772737341E-2</v>
      </c>
      <c r="M299">
        <f t="shared" si="33"/>
        <v>98.999856901669503</v>
      </c>
      <c r="N299">
        <f t="shared" si="34"/>
        <v>0.11902400698509</v>
      </c>
    </row>
    <row r="300" spans="7:14" x14ac:dyDescent="0.25">
      <c r="G300">
        <v>2.94</v>
      </c>
      <c r="H300">
        <f t="shared" si="28"/>
        <v>13935.417439297295</v>
      </c>
      <c r="I300" t="str">
        <f t="shared" si="30"/>
        <v>87558.8101040069j</v>
      </c>
      <c r="J300" t="str">
        <f t="shared" si="29"/>
        <v>98.9998694927549+0.113667058685825j</v>
      </c>
      <c r="K300">
        <f t="shared" si="31"/>
        <v>39.912698166838496</v>
      </c>
      <c r="L300">
        <f t="shared" si="32"/>
        <v>6.5784327837564535E-2</v>
      </c>
      <c r="M300">
        <f t="shared" si="33"/>
        <v>98.999869492754897</v>
      </c>
      <c r="N300">
        <f t="shared" si="34"/>
        <v>0.113667058685825</v>
      </c>
    </row>
    <row r="301" spans="7:14" x14ac:dyDescent="0.25">
      <c r="G301">
        <v>2.96</v>
      </c>
      <c r="H301">
        <f t="shared" si="28"/>
        <v>14592.173429694558</v>
      </c>
      <c r="I301" t="str">
        <f t="shared" si="30"/>
        <v>91685.3296932732j</v>
      </c>
      <c r="J301" t="str">
        <f t="shared" si="29"/>
        <v>98.9998809759641+0.108551210910915j</v>
      </c>
      <c r="K301">
        <f t="shared" si="31"/>
        <v>39.912698670586046</v>
      </c>
      <c r="L301">
        <f t="shared" si="32"/>
        <v>6.282354779029109E-2</v>
      </c>
      <c r="M301">
        <f t="shared" si="33"/>
        <v>98.999880975964103</v>
      </c>
      <c r="N301">
        <f t="shared" si="34"/>
        <v>0.10855121091091501</v>
      </c>
    </row>
    <row r="302" spans="7:14" x14ac:dyDescent="0.25">
      <c r="G302">
        <v>2.98</v>
      </c>
      <c r="H302">
        <f t="shared" si="28"/>
        <v>15279.881376342988</v>
      </c>
      <c r="I302" t="str">
        <f t="shared" si="30"/>
        <v>96006.3261592853j</v>
      </c>
      <c r="J302" t="str">
        <f t="shared" si="29"/>
        <v>98.9998914487776+0.103665612589955j</v>
      </c>
      <c r="K302">
        <f t="shared" si="31"/>
        <v>39.912699130009308</v>
      </c>
      <c r="L302">
        <f t="shared" si="32"/>
        <v>5.9996024482873792E-2</v>
      </c>
      <c r="M302">
        <f t="shared" si="33"/>
        <v>98.999891448777603</v>
      </c>
      <c r="N302">
        <f t="shared" si="34"/>
        <v>0.10366561258995501</v>
      </c>
    </row>
    <row r="303" spans="7:14" x14ac:dyDescent="0.25">
      <c r="G303">
        <v>3</v>
      </c>
      <c r="H303">
        <f t="shared" si="28"/>
        <v>16000</v>
      </c>
      <c r="I303" t="str">
        <f t="shared" si="30"/>
        <v>100530.964914873j</v>
      </c>
      <c r="J303" t="str">
        <f t="shared" si="29"/>
        <v>98.999901000099+0.0989999010000994j</v>
      </c>
      <c r="K303">
        <f t="shared" si="31"/>
        <v>39.912699549008352</v>
      </c>
      <c r="L303">
        <f t="shared" si="32"/>
        <v>5.7295760414500845E-2</v>
      </c>
      <c r="M303">
        <f t="shared" si="33"/>
        <v>98.999901000099001</v>
      </c>
      <c r="N303">
        <f t="shared" si="34"/>
        <v>9.8999901000099394E-2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Bias Network</vt:lpstr>
      <vt:lpstr>Input Stage</vt:lpstr>
      <vt:lpstr>NI AC Coupled Amp</vt:lpstr>
      <vt:lpstr>Sum</vt:lpstr>
      <vt:lpstr>fct vs. fpg</vt:lpstr>
      <vt:lpstr>Inverting AC Coupled Amp</vt:lpstr>
      <vt:lpstr>'Inverting AC Coupled Amp'!Cg</vt:lpstr>
      <vt:lpstr>Cg</vt:lpstr>
      <vt:lpstr>'Inverting AC Coupled Amp'!Cin</vt:lpstr>
      <vt:lpstr>Cin</vt:lpstr>
      <vt:lpstr>'Inverting AC Coupled Amp'!fc</vt:lpstr>
      <vt:lpstr>fc</vt:lpstr>
      <vt:lpstr>'Inverting AC Coupled Amp'!Gain</vt:lpstr>
      <vt:lpstr>Gain</vt:lpstr>
      <vt:lpstr>'Inverting AC Coupled Amp'!Rf</vt:lpstr>
      <vt:lpstr>Rf</vt:lpstr>
      <vt:lpstr>'Inverting AC Coupled Amp'!Rg</vt:lpstr>
      <vt:lpstr>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2022-09-30T22:57:49Z</dcterms:created>
  <dcterms:modified xsi:type="dcterms:W3CDTF">2022-09-30T22:58:54Z</dcterms:modified>
</cp:coreProperties>
</file>