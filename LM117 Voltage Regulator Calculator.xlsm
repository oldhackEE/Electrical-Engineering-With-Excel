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Documents\Terry's Presentations\Excel for Electrical Engineering\Foolproofing Excel Engineering Workbooks\Workbook WIP\"/>
    </mc:Choice>
  </mc:AlternateContent>
  <xr:revisionPtr revIDLastSave="0" documentId="13_ncr:1_{1E3351E9-AFA5-4CE1-8100-61D0C8CEF67E}" xr6:coauthVersionLast="47" xr6:coauthVersionMax="47" xr10:uidLastSave="{00000000-0000-0000-0000-000000000000}"/>
  <bookViews>
    <workbookView xWindow="-120" yWindow="-120" windowWidth="29040" windowHeight="16440" xr2:uid="{DFC5100E-8117-4259-8107-9726A264FF9E}"/>
  </bookViews>
  <sheets>
    <sheet name="LM117 LM317 Voltage Regulator" sheetId="1" r:id="rId1"/>
    <sheet name="ResistorPowers" sheetId="2" r:id="rId2"/>
    <sheet name="Thermal Device Calc" sheetId="3" r:id="rId3"/>
    <sheet name="Thermal Materials" sheetId="4" r:id="rId4"/>
  </sheets>
  <functionGroups builtInGroupCount="19"/>
  <definedNames>
    <definedName name="_R1">'LM117 LM317 Voltage Regulator'!$C$9</definedName>
    <definedName name="_R1_Label">'LM117 LM317 Voltage Regulator'!$C$10</definedName>
    <definedName name="_R2">'LM117 LM317 Voltage Regulator'!$C$14</definedName>
    <definedName name="_R2_Label">'LM117 LM317 Voltage Regulator'!$C$15</definedName>
    <definedName name="HeatsinkSelect">'Thermal Device Calc'!$A$20</definedName>
    <definedName name="IADJ">'LM117 LM317 Voltage Regulator'!$M$4</definedName>
    <definedName name="ICL">'LM117 LM317 Voltage Regulator'!$M$7</definedName>
    <definedName name="IL">'LM117 LM317 Voltage Regulator'!$C$6</definedName>
    <definedName name="ILMIN">'LM117 LM317 Voltage Regulator'!$M$6</definedName>
    <definedName name="ISET">'LM117 LM317 Voltage Regulator'!$C$5</definedName>
    <definedName name="PadSelect">'Thermal Device Calc'!$A$16</definedName>
    <definedName name="PD">'LM117 LM317 Voltage Regulator'!$C$22</definedName>
    <definedName name="PDISS">'Thermal Device Calc'!$D$2</definedName>
    <definedName name="PR1_">'LM117 LM317 Voltage Regulator'!$C$11</definedName>
    <definedName name="PR1D">'LM117 LM317 Voltage Regulator'!$C$12</definedName>
    <definedName name="PR2_">'LM117 LM317 Voltage Regulator'!$C$16</definedName>
    <definedName name="PR2D">'LM117 LM317 Voltage Regulator'!$C$17</definedName>
    <definedName name="Rderating">'ResistorPowers'!$B$1</definedName>
    <definedName name="RθJA">'Thermal Device Calc'!$N$3</definedName>
    <definedName name="RθJC">'Thermal Device Calc'!$N$4</definedName>
    <definedName name="RθSA">'Thermal Device Calc'!$D$20</definedName>
    <definedName name="RθTIM">'Thermal Device Calc'!$D$16</definedName>
    <definedName name="TAMB">'Thermal Device Calc'!$D$3</definedName>
    <definedName name="TC">'Thermal Device Calc'!$D$14</definedName>
    <definedName name="THS">'Thermal Device Calc'!$D$18</definedName>
    <definedName name="TJD">'Thermal Device Calc'!$N$6</definedName>
    <definedName name="TJHS">'Thermal Device Calc'!$D$10</definedName>
    <definedName name="TJMAX">'Thermal Device Calc'!$N$2</definedName>
    <definedName name="TJNHS">'Thermal Device Calc'!$I$10</definedName>
    <definedName name="TO220_ScrewSelect">'Thermal Materials'!$Z$5</definedName>
    <definedName name="TO220_Total_Area">'Thermal Materials'!$Z$6</definedName>
    <definedName name="TO220ScrewArea">'Thermal Materials'!$Z$4</definedName>
    <definedName name="TO220ScrewDia">'Thermal Materials'!$Z$3</definedName>
    <definedName name="TO220TabArea">'Thermal Materials'!$Z$2</definedName>
    <definedName name="TO3_LeadHole">'Thermal Materials'!$S$4</definedName>
    <definedName name="TO3_LeadHoleArea">'Thermal Materials'!$U$4</definedName>
    <definedName name="TO3_Outline">'Thermal Materials'!$U$2</definedName>
    <definedName name="TO3_ScrewHole">'Thermal Materials'!$S$3</definedName>
    <definedName name="TO3_ScrewHoleArea">'Thermal Materials'!$U$3</definedName>
    <definedName name="TO3_Total_Area">'Thermal Materials'!$U$5</definedName>
    <definedName name="VD">'LM117 LM317 Voltage Regulator'!$C$21</definedName>
    <definedName name="VDIFF">'LM117 LM317 Voltage Regulator'!$M$2</definedName>
    <definedName name="VDO">'LM117 LM317 Voltage Regulator'!$M$5</definedName>
    <definedName name="VIN">'LM117 LM317 Voltage Regulator'!$C$3</definedName>
    <definedName name="VOUT">'LM117 LM317 Voltage Regulator'!$C$4</definedName>
    <definedName name="VOUTA">'LM117 LM317 Voltage Regulator'!$C$19</definedName>
    <definedName name="VREF">'LM117 LM317 Voltage Regulator'!$M$3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 i="1" l="1" a="1"/>
  <c r="C14" i="1" a="1"/>
  <c r="C14" i="1" l="1"/>
  <c r="C16" i="1"/>
  <c r="C9" i="1"/>
  <c r="C10" i="1" a="1"/>
  <c r="C10" i="1" l="1"/>
  <c r="M7" i="4"/>
  <c r="M8" i="4"/>
  <c r="M9" i="4"/>
  <c r="M10" i="4"/>
  <c r="M11" i="4"/>
  <c r="M12" i="4"/>
  <c r="M6" i="4"/>
  <c r="M5" i="4"/>
  <c r="Z6" i="4" l="1"/>
  <c r="Z4" i="4"/>
  <c r="Z2" i="4"/>
  <c r="U5" i="4"/>
  <c r="U4" i="4"/>
  <c r="U3" i="4"/>
  <c r="D4" i="3"/>
  <c r="I12" i="3"/>
  <c r="D12" i="3"/>
  <c r="I14" i="3"/>
  <c r="D22" i="3"/>
  <c r="K10" i="4" l="1"/>
  <c r="L10" i="4" s="1"/>
  <c r="N10" i="4" s="1"/>
  <c r="K11" i="4"/>
  <c r="K12" i="4"/>
  <c r="K7" i="4"/>
  <c r="L7" i="4" s="1"/>
  <c r="N7" i="4" s="1"/>
  <c r="K6" i="4"/>
  <c r="K8" i="4"/>
  <c r="K5" i="4"/>
  <c r="L5" i="4" s="1"/>
  <c r="N5" i="4" s="1"/>
  <c r="D16" i="3" s="1"/>
  <c r="K9" i="4"/>
  <c r="L9" i="4" l="1"/>
  <c r="N9" i="4"/>
  <c r="N12" i="4"/>
  <c r="L12" i="4"/>
  <c r="N8" i="4"/>
  <c r="L8" i="4"/>
  <c r="N11" i="4"/>
  <c r="L11" i="4"/>
  <c r="N6" i="4"/>
  <c r="L6" i="4"/>
  <c r="C11" i="1"/>
  <c r="C12" i="1" s="1" a="1"/>
  <c r="C12" i="1" s="1"/>
  <c r="C19" i="1" l="1"/>
  <c r="C22" i="1" s="1"/>
  <c r="C17" i="1" a="1"/>
  <c r="C17" i="1" s="1"/>
  <c r="C15" i="1" a="1"/>
  <c r="D2" i="3" l="1"/>
  <c r="C15" i="1"/>
  <c r="C21" i="1"/>
  <c r="D20" i="3" l="1"/>
  <c r="D18" i="3" s="1"/>
  <c r="D14" i="3" s="1"/>
  <c r="D10" i="3" s="1"/>
  <c r="I1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C9" authorId="0" shapeId="0" xr:uid="{14DBB66C-8F19-46DF-8AEA-EDD5D38676CE}">
      <text>
        <r>
          <rPr>
            <b/>
            <sz val="9"/>
            <color indexed="81"/>
            <rFont val="Tahoma"/>
            <charset val="1"/>
          </rPr>
          <t>Note:</t>
        </r>
        <r>
          <rPr>
            <sz val="9"/>
            <color indexed="81"/>
            <rFont val="Tahoma"/>
            <charset val="1"/>
          </rPr>
          <t xml:space="preserve">
Computes the value of R1 and returns the closest 1% standard value.</t>
        </r>
      </text>
    </comment>
    <comment ref="C10" authorId="0" shapeId="0" xr:uid="{C7B7A385-C721-4F9A-B31D-13B694EBD016}">
      <text>
        <r>
          <rPr>
            <b/>
            <sz val="9"/>
            <color indexed="81"/>
            <rFont val="Tahoma"/>
            <charset val="1"/>
          </rPr>
          <t>Note:</t>
        </r>
        <r>
          <rPr>
            <sz val="9"/>
            <color indexed="81"/>
            <rFont val="Tahoma"/>
            <charset val="1"/>
          </rPr>
          <t xml:space="preserve">
Creates a text label for the value of R1 for the schematic.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<sst xmlns="http://schemas.openxmlformats.org/spreadsheetml/2006/main" count="188" uniqueCount="136">
  <si>
    <t>Input Voltage</t>
  </si>
  <si>
    <t>Output Voltage</t>
  </si>
  <si>
    <t>Set Resistor Current</t>
  </si>
  <si>
    <t>V</t>
  </si>
  <si>
    <t>A</t>
  </si>
  <si>
    <t>INPUTS</t>
  </si>
  <si>
    <t>Input-output voltage differential</t>
  </si>
  <si>
    <t>OUTPUTS</t>
  </si>
  <si>
    <t>Specs from Datasheet</t>
  </si>
  <si>
    <t>Reference Voltage</t>
  </si>
  <si>
    <t>Adjustment Pin Current</t>
  </si>
  <si>
    <r>
      <t>(V</t>
    </r>
    <r>
      <rPr>
        <vertAlign val="subscript"/>
        <sz val="11"/>
        <color theme="1"/>
        <rFont val="Calibri"/>
        <family val="2"/>
      </rPr>
      <t>DIFF</t>
    </r>
    <r>
      <rPr>
        <sz val="11"/>
        <color theme="1"/>
        <rFont val="Calibri"/>
        <family val="2"/>
      </rPr>
      <t>)</t>
    </r>
  </si>
  <si>
    <r>
      <t>(V</t>
    </r>
    <r>
      <rPr>
        <vertAlign val="subscript"/>
        <sz val="11"/>
        <color theme="1"/>
        <rFont val="Calibri"/>
        <family val="2"/>
      </rPr>
      <t>REF</t>
    </r>
    <r>
      <rPr>
        <sz val="11"/>
        <color theme="1"/>
        <rFont val="Calibri"/>
        <family val="2"/>
      </rPr>
      <t>)</t>
    </r>
  </si>
  <si>
    <r>
      <t>(I</t>
    </r>
    <r>
      <rPr>
        <vertAlign val="subscript"/>
        <sz val="11"/>
        <color theme="1"/>
        <rFont val="Calibri"/>
        <family val="2"/>
      </rPr>
      <t>ADJ</t>
    </r>
    <r>
      <rPr>
        <sz val="11"/>
        <color theme="1"/>
        <rFont val="Calibri"/>
        <family val="2"/>
      </rPr>
      <t>)</t>
    </r>
  </si>
  <si>
    <r>
      <t>(V</t>
    </r>
    <r>
      <rPr>
        <vertAlign val="subscript"/>
        <sz val="11"/>
        <color theme="1"/>
        <rFont val="Calibri"/>
        <family val="2"/>
      </rPr>
      <t>D</t>
    </r>
    <r>
      <rPr>
        <sz val="11"/>
        <color theme="1"/>
        <rFont val="Calibri"/>
        <family val="2"/>
      </rPr>
      <t>)</t>
    </r>
  </si>
  <si>
    <t>LM117/LM317 Voltage Regulator</t>
  </si>
  <si>
    <t>Programming Resistor</t>
  </si>
  <si>
    <r>
      <t>(V</t>
    </r>
    <r>
      <rPr>
        <vertAlign val="subscript"/>
        <sz val="11"/>
        <color theme="1"/>
        <rFont val="Calibri"/>
        <family val="2"/>
      </rPr>
      <t>IN</t>
    </r>
    <r>
      <rPr>
        <sz val="11"/>
        <color theme="1"/>
        <rFont val="Calibri"/>
        <family val="2"/>
      </rPr>
      <t>)</t>
    </r>
  </si>
  <si>
    <r>
      <t>(V</t>
    </r>
    <r>
      <rPr>
        <vertAlign val="subscript"/>
        <sz val="11"/>
        <color theme="1"/>
        <rFont val="Calibri"/>
        <family val="2"/>
      </rPr>
      <t>OUT</t>
    </r>
    <r>
      <rPr>
        <sz val="11"/>
        <color theme="1"/>
        <rFont val="Calibri"/>
        <family val="2"/>
      </rPr>
      <t>)</t>
    </r>
  </si>
  <si>
    <r>
      <t>(I</t>
    </r>
    <r>
      <rPr>
        <vertAlign val="subscript"/>
        <sz val="11"/>
        <color theme="1"/>
        <rFont val="Calibri"/>
        <family val="2"/>
      </rPr>
      <t>SET</t>
    </r>
    <r>
      <rPr>
        <sz val="11"/>
        <color theme="1"/>
        <rFont val="Calibri"/>
        <family val="2"/>
      </rPr>
      <t>)</t>
    </r>
  </si>
  <si>
    <t>Ω</t>
  </si>
  <si>
    <t>R1 Label</t>
  </si>
  <si>
    <t>R2 Label</t>
  </si>
  <si>
    <t>W</t>
  </si>
  <si>
    <r>
      <t>(P</t>
    </r>
    <r>
      <rPr>
        <vertAlign val="subscript"/>
        <sz val="11"/>
        <color theme="1"/>
        <rFont val="Calibri"/>
        <family val="2"/>
      </rPr>
      <t>R1</t>
    </r>
    <r>
      <rPr>
        <sz val="11"/>
        <color theme="1"/>
        <rFont val="Calibri"/>
        <family val="2"/>
      </rPr>
      <t>)</t>
    </r>
  </si>
  <si>
    <r>
      <t>(P</t>
    </r>
    <r>
      <rPr>
        <vertAlign val="subscript"/>
        <sz val="11"/>
        <color theme="1"/>
        <rFont val="Calibri"/>
        <family val="2"/>
      </rPr>
      <t>R2</t>
    </r>
    <r>
      <rPr>
        <sz val="11"/>
        <color theme="1"/>
        <rFont val="Calibri"/>
        <family val="2"/>
      </rPr>
      <t>)</t>
    </r>
  </si>
  <si>
    <t>(R2)</t>
  </si>
  <si>
    <t>(R1)</t>
  </si>
  <si>
    <t>R1 Power</t>
  </si>
  <si>
    <t>R2 Power</t>
  </si>
  <si>
    <t>Resistor Derating</t>
  </si>
  <si>
    <t>Resistor Dissipation Options</t>
  </si>
  <si>
    <t>R1 Derated Power Selection</t>
  </si>
  <si>
    <r>
      <t>(P</t>
    </r>
    <r>
      <rPr>
        <vertAlign val="subscript"/>
        <sz val="11"/>
        <color theme="1"/>
        <rFont val="Calibri"/>
        <family val="2"/>
      </rPr>
      <t>R1D</t>
    </r>
    <r>
      <rPr>
        <sz val="11"/>
        <color theme="1"/>
        <rFont val="Calibri"/>
        <family val="2"/>
      </rPr>
      <t>)</t>
    </r>
  </si>
  <si>
    <t>R2 Derated Power Selection</t>
  </si>
  <si>
    <r>
      <t>(P</t>
    </r>
    <r>
      <rPr>
        <vertAlign val="subscript"/>
        <sz val="11"/>
        <color theme="1"/>
        <rFont val="Calibri"/>
        <family val="2"/>
      </rPr>
      <t>R2D</t>
    </r>
    <r>
      <rPr>
        <sz val="11"/>
        <color theme="1"/>
        <rFont val="Calibri"/>
        <family val="2"/>
      </rPr>
      <t>)</t>
    </r>
  </si>
  <si>
    <r>
      <t>(V</t>
    </r>
    <r>
      <rPr>
        <vertAlign val="subscript"/>
        <sz val="11"/>
        <color theme="1"/>
        <rFont val="Calibri"/>
        <family val="2"/>
      </rPr>
      <t>OUTA</t>
    </r>
    <r>
      <rPr>
        <sz val="11"/>
        <color theme="1"/>
        <rFont val="Calibri"/>
        <family val="2"/>
      </rPr>
      <t>)</t>
    </r>
  </si>
  <si>
    <t>Actual Output Voltage</t>
  </si>
  <si>
    <t>Power Dissipation</t>
  </si>
  <si>
    <t>Load Current</t>
  </si>
  <si>
    <r>
      <t>(I</t>
    </r>
    <r>
      <rPr>
        <vertAlign val="subscript"/>
        <sz val="11"/>
        <color theme="1"/>
        <rFont val="Calibri"/>
        <family val="2"/>
      </rPr>
      <t>L</t>
    </r>
    <r>
      <rPr>
        <sz val="11"/>
        <color theme="1"/>
        <rFont val="Calibri"/>
        <family val="2"/>
      </rPr>
      <t>)</t>
    </r>
  </si>
  <si>
    <t>Thermal Calculations</t>
  </si>
  <si>
    <t>Specifications From Datasheet - LM317-N NDE (TO-220)</t>
  </si>
  <si>
    <t>LM317-N NDE (U1)</t>
  </si>
  <si>
    <t>Device Power Dissipation</t>
  </si>
  <si>
    <r>
      <t>(P</t>
    </r>
    <r>
      <rPr>
        <vertAlign val="subscript"/>
        <sz val="11"/>
        <color theme="1"/>
        <rFont val="Calibri"/>
        <family val="2"/>
      </rPr>
      <t>DISS</t>
    </r>
    <r>
      <rPr>
        <sz val="11"/>
        <color theme="1"/>
        <rFont val="Calibri"/>
        <family val="2"/>
      </rPr>
      <t>)</t>
    </r>
  </si>
  <si>
    <t>Max Junction Temperature</t>
  </si>
  <si>
    <r>
      <t>(T</t>
    </r>
    <r>
      <rPr>
        <vertAlign val="subscript"/>
        <sz val="11"/>
        <color theme="1"/>
        <rFont val="Calibri"/>
        <family val="2"/>
      </rPr>
      <t>JMAX</t>
    </r>
    <r>
      <rPr>
        <sz val="11"/>
        <color theme="1"/>
        <rFont val="Calibri"/>
        <family val="2"/>
      </rPr>
      <t>)</t>
    </r>
  </si>
  <si>
    <t>°C</t>
  </si>
  <si>
    <t>Max Ambient Temperature</t>
  </si>
  <si>
    <r>
      <t>(T</t>
    </r>
    <r>
      <rPr>
        <vertAlign val="subscript"/>
        <sz val="11"/>
        <color theme="1"/>
        <rFont val="Calibri"/>
        <family val="2"/>
      </rPr>
      <t>AMB</t>
    </r>
    <r>
      <rPr>
        <sz val="11"/>
        <color theme="1"/>
        <rFont val="Calibri"/>
        <family val="2"/>
      </rPr>
      <t>)</t>
    </r>
  </si>
  <si>
    <t>Junction to Ambient Thermal Resistance</t>
  </si>
  <si>
    <r>
      <t>(R</t>
    </r>
    <r>
      <rPr>
        <vertAlign val="subscript"/>
        <sz val="11"/>
        <color theme="1"/>
        <rFont val="Calibri"/>
        <family val="2"/>
      </rPr>
      <t>θJA</t>
    </r>
    <r>
      <rPr>
        <sz val="11"/>
        <color theme="1"/>
        <rFont val="Calibri"/>
        <family val="2"/>
      </rPr>
      <t>)</t>
    </r>
  </si>
  <si>
    <t>°C/W</t>
  </si>
  <si>
    <t>°F</t>
  </si>
  <si>
    <t>Junction to Case Thermal Resistance</t>
  </si>
  <si>
    <r>
      <t>(R</t>
    </r>
    <r>
      <rPr>
        <vertAlign val="subscript"/>
        <sz val="11"/>
        <color theme="1"/>
        <rFont val="Calibri"/>
        <family val="2"/>
      </rPr>
      <t>θJC</t>
    </r>
    <r>
      <rPr>
        <sz val="11"/>
        <color theme="1"/>
        <rFont val="Calibri"/>
        <family val="2"/>
      </rPr>
      <t>)</t>
    </r>
  </si>
  <si>
    <t>Max Junction Temperature Derated</t>
  </si>
  <si>
    <r>
      <t>(T</t>
    </r>
    <r>
      <rPr>
        <vertAlign val="subscript"/>
        <sz val="11"/>
        <color theme="1"/>
        <rFont val="Calibri"/>
        <family val="2"/>
      </rPr>
      <t>JD</t>
    </r>
    <r>
      <rPr>
        <sz val="11"/>
        <color theme="1"/>
        <rFont val="Calibri"/>
        <family val="2"/>
      </rPr>
      <t>)</t>
    </r>
  </si>
  <si>
    <t>WITH HEATSINK</t>
  </si>
  <si>
    <t>WITHOUT HEATSINK</t>
  </si>
  <si>
    <t>Junction Temperature With Heatsink</t>
  </si>
  <si>
    <r>
      <t>(T</t>
    </r>
    <r>
      <rPr>
        <vertAlign val="subscript"/>
        <sz val="11"/>
        <color theme="1"/>
        <rFont val="Calibri"/>
        <family val="2"/>
      </rPr>
      <t>JHS</t>
    </r>
    <r>
      <rPr>
        <sz val="11"/>
        <color theme="1"/>
        <rFont val="Calibri"/>
        <family val="2"/>
      </rPr>
      <t>)</t>
    </r>
  </si>
  <si>
    <r>
      <t xml:space="preserve">°C  </t>
    </r>
    <r>
      <rPr>
        <b/>
        <sz val="11"/>
        <color rgb="FFFF0000"/>
        <rFont val="Calibri"/>
        <family val="2"/>
      </rPr>
      <t>→</t>
    </r>
  </si>
  <si>
    <t>Junction Temperature Without Heatsink</t>
  </si>
  <si>
    <r>
      <t>(T</t>
    </r>
    <r>
      <rPr>
        <vertAlign val="subscript"/>
        <sz val="11"/>
        <color theme="1"/>
        <rFont val="Calibri"/>
        <family val="2"/>
      </rPr>
      <t>JNHS</t>
    </r>
    <r>
      <rPr>
        <sz val="11"/>
        <color theme="1"/>
        <rFont val="Calibri"/>
        <family val="2"/>
      </rPr>
      <t>)</t>
    </r>
  </si>
  <si>
    <t>Case Temperature</t>
  </si>
  <si>
    <r>
      <t>(T</t>
    </r>
    <r>
      <rPr>
        <vertAlign val="subscript"/>
        <sz val="11"/>
        <color theme="1"/>
        <rFont val="Calibri"/>
        <family val="2"/>
      </rPr>
      <t>C</t>
    </r>
    <r>
      <rPr>
        <sz val="11"/>
        <color theme="1"/>
        <rFont val="Calibri"/>
        <family val="2"/>
      </rPr>
      <t>)</t>
    </r>
  </si>
  <si>
    <r>
      <t>(R</t>
    </r>
    <r>
      <rPr>
        <vertAlign val="subscript"/>
        <sz val="11"/>
        <color theme="1"/>
        <rFont val="Calibri"/>
        <family val="2"/>
      </rPr>
      <t>θTIM</t>
    </r>
    <r>
      <rPr>
        <sz val="11"/>
        <color theme="1"/>
        <rFont val="Calibri"/>
        <family val="2"/>
      </rPr>
      <t>)</t>
    </r>
  </si>
  <si>
    <t>Heatsink Temperature</t>
  </si>
  <si>
    <r>
      <t>(T</t>
    </r>
    <r>
      <rPr>
        <vertAlign val="subscript"/>
        <sz val="11"/>
        <color theme="1"/>
        <rFont val="Calibri"/>
        <family val="2"/>
      </rPr>
      <t>HS</t>
    </r>
    <r>
      <rPr>
        <sz val="11"/>
        <color theme="1"/>
        <rFont val="Calibri"/>
        <family val="2"/>
      </rPr>
      <t>)</t>
    </r>
  </si>
  <si>
    <t>Sink to Ambient Thermal Resistance</t>
  </si>
  <si>
    <r>
      <t>(R</t>
    </r>
    <r>
      <rPr>
        <vertAlign val="subscript"/>
        <sz val="11"/>
        <color theme="1"/>
        <rFont val="Calibri"/>
        <family val="2"/>
      </rPr>
      <t>θSA</t>
    </r>
    <r>
      <rPr>
        <sz val="11"/>
        <color theme="1"/>
        <rFont val="Calibri"/>
        <family val="2"/>
      </rPr>
      <t>)</t>
    </r>
  </si>
  <si>
    <t xml:space="preserve"> Thermal Interface Material Resistance</t>
  </si>
  <si>
    <r>
      <t>(P</t>
    </r>
    <r>
      <rPr>
        <vertAlign val="subscript"/>
        <sz val="11"/>
        <color theme="1"/>
        <rFont val="Calibri"/>
        <family val="2"/>
      </rPr>
      <t>D</t>
    </r>
    <r>
      <rPr>
        <sz val="11"/>
        <color theme="1"/>
        <rFont val="Calibri"/>
        <family val="2"/>
      </rPr>
      <t>)</t>
    </r>
  </si>
  <si>
    <t>Description</t>
  </si>
  <si>
    <t>a</t>
  </si>
  <si>
    <t>b</t>
  </si>
  <si>
    <t>c</t>
  </si>
  <si>
    <t>d</t>
  </si>
  <si>
    <t>TO-220 | CUI Devices PN HSE-B20254 | 1" Natural</t>
  </si>
  <si>
    <t>TO-220 | CUI Devices PN HSE-B20381 | 1.5" Natural</t>
  </si>
  <si>
    <t>TO-220 | CUI Devices PN HSE-B20508 | 2" Natural</t>
  </si>
  <si>
    <t>TO-220 | CUI Devices PN HSE-B20635 | 2.5" Natural</t>
  </si>
  <si>
    <t>TO-220 | CUI Devices PN HSE-B20508 | 2" 200 LFM</t>
  </si>
  <si>
    <t>TO-220 | CUI Devices PN HSE-B20635 | 2.5" 200 LFM</t>
  </si>
  <si>
    <t>TO-220 | CUI Devices PN HSE-B20254 | 1" 200 LFM</t>
  </si>
  <si>
    <t>TO-220 | CUI Devices PN HSE-B20508 | 2" 400 LFM</t>
  </si>
  <si>
    <t>TO-220 | CUI Devices PN HSE-B20381 | 1.5" 200 LFM</t>
  </si>
  <si>
    <t>TO-220 | CUI Devices PN HSE-B20635 | 2.5" 400 LFM</t>
  </si>
  <si>
    <t>TO-220 | CUI Devices PN HSE-B20381 | 1.5" 400 LFM</t>
  </si>
  <si>
    <t>TO-220 | CUI Devices PN HSE-B20254 | 1" 400 LFM</t>
  </si>
  <si>
    <t>TO-3 | Wakefield PN 641A | 4.125" x 3" Natural</t>
  </si>
  <si>
    <t>Heatsink Properties</t>
  </si>
  <si>
    <t>Flow Coefficients</t>
  </si>
  <si>
    <t>TO-3 Thermal Surface Area</t>
  </si>
  <si>
    <t>Outside TO-3 Outline Area</t>
  </si>
  <si>
    <r>
      <t>in</t>
    </r>
    <r>
      <rPr>
        <vertAlign val="superscript"/>
        <sz val="11"/>
        <color theme="1"/>
        <rFont val="Calibri"/>
        <family val="2"/>
      </rPr>
      <t>2</t>
    </r>
  </si>
  <si>
    <t>Screw Hole Dia (2)</t>
  </si>
  <si>
    <t>in</t>
  </si>
  <si>
    <r>
      <t>in</t>
    </r>
    <r>
      <rPr>
        <vertAlign val="superscript"/>
        <sz val="11"/>
        <color theme="1"/>
        <rFont val="Calibri"/>
        <family val="2"/>
      </rPr>
      <t>2</t>
    </r>
    <r>
      <rPr>
        <sz val="11"/>
        <color theme="1"/>
        <rFont val="Calibri"/>
        <family val="2"/>
      </rPr>
      <t xml:space="preserve"> (ea)</t>
    </r>
  </si>
  <si>
    <t>Lead Hole Dia (2)</t>
  </si>
  <si>
    <t>TO-220 Thermal Surface Area</t>
  </si>
  <si>
    <t>Thermal Tab Surface Area</t>
  </si>
  <si>
    <t>Screw Hole Dia (1)</t>
  </si>
  <si>
    <t>Include Screw as Thermal Conductor</t>
  </si>
  <si>
    <t>Y</t>
  </si>
  <si>
    <t>Screw Hole Area (1)</t>
  </si>
  <si>
    <t>Thermal Interface Materials</t>
  </si>
  <si>
    <t>Insulator Pads</t>
  </si>
  <si>
    <t>Desc</t>
  </si>
  <si>
    <t>k (W/mK)</t>
  </si>
  <si>
    <r>
      <t>R (°C-in</t>
    </r>
    <r>
      <rPr>
        <vertAlign val="superscript"/>
        <sz val="11"/>
        <color theme="1"/>
        <rFont val="Calibri"/>
        <family val="2"/>
      </rPr>
      <t>2</t>
    </r>
    <r>
      <rPr>
        <sz val="11"/>
        <color theme="1"/>
        <rFont val="Calibri"/>
        <family val="2"/>
      </rPr>
      <t>/W)</t>
    </r>
  </si>
  <si>
    <t>L (in)</t>
  </si>
  <si>
    <r>
      <t>A (in</t>
    </r>
    <r>
      <rPr>
        <vertAlign val="superscript"/>
        <sz val="11"/>
        <color theme="1"/>
        <rFont val="Calibri"/>
        <family val="2"/>
      </rPr>
      <t>2</t>
    </r>
    <r>
      <rPr>
        <sz val="11"/>
        <color theme="1"/>
        <rFont val="Calibri"/>
        <family val="2"/>
      </rPr>
      <t>)</t>
    </r>
  </si>
  <si>
    <r>
      <t>A (m</t>
    </r>
    <r>
      <rPr>
        <vertAlign val="superscript"/>
        <sz val="11"/>
        <color theme="1"/>
        <rFont val="Calibri"/>
        <family val="2"/>
      </rPr>
      <t>2</t>
    </r>
    <r>
      <rPr>
        <sz val="11"/>
        <color theme="1"/>
        <rFont val="Calibri"/>
        <family val="2"/>
      </rPr>
      <t>)</t>
    </r>
  </si>
  <si>
    <t>TO-220 Pad | Aavid PN 53-77-2G | Thermasil</t>
  </si>
  <si>
    <t>TO-220 | Mica Pad w Grease</t>
  </si>
  <si>
    <t>TO-220 | BN-Filled Silicone Sheet</t>
  </si>
  <si>
    <t>TO-3 Pad | Aavid PN 53-77-13G | Thermasil</t>
  </si>
  <si>
    <t>TO-3 | Mica Pad w Grease</t>
  </si>
  <si>
    <t>TO-3 | BN-Filled Silicone Sheet</t>
  </si>
  <si>
    <t>L (m)</t>
  </si>
  <si>
    <r>
      <t>R</t>
    </r>
    <r>
      <rPr>
        <vertAlign val="subscript"/>
        <sz val="11"/>
        <color theme="1"/>
        <rFont val="Calibri"/>
        <family val="2"/>
      </rPr>
      <t xml:space="preserve">t </t>
    </r>
    <r>
      <rPr>
        <sz val="11"/>
        <color theme="1"/>
        <rFont val="Calibri"/>
        <family val="2"/>
      </rPr>
      <t>(°C/W)</t>
    </r>
  </si>
  <si>
    <t>┌ Select Thermal Interface Material ┐</t>
  </si>
  <si>
    <t>┌ Select Heatsink ┐</t>
  </si>
  <si>
    <t>MG Chemicals Thermal Pastes</t>
  </si>
  <si>
    <t>Boyd Aavid Thermally Conductive Film Materials</t>
  </si>
  <si>
    <t>Aavid Board Level Heatsinks Catalog 2018</t>
  </si>
  <si>
    <t>Datasheets</t>
  </si>
  <si>
    <r>
      <t>(V</t>
    </r>
    <r>
      <rPr>
        <vertAlign val="subscript"/>
        <sz val="11"/>
        <color theme="1"/>
        <rFont val="Calibri"/>
        <family val="2"/>
      </rPr>
      <t>DO</t>
    </r>
    <r>
      <rPr>
        <sz val="11"/>
        <color theme="1"/>
        <rFont val="Calibri"/>
        <family val="2"/>
      </rPr>
      <t>)</t>
    </r>
  </si>
  <si>
    <t>Dropout Voltage Max</t>
  </si>
  <si>
    <t>Minimum load current to maintain regulation</t>
  </si>
  <si>
    <r>
      <t>(I</t>
    </r>
    <r>
      <rPr>
        <vertAlign val="subscript"/>
        <sz val="11"/>
        <color theme="1"/>
        <rFont val="Calibri"/>
        <family val="2"/>
      </rPr>
      <t>LMIN</t>
    </r>
    <r>
      <rPr>
        <sz val="11"/>
        <color theme="1"/>
        <rFont val="Calibri"/>
        <family val="2"/>
      </rPr>
      <t>)</t>
    </r>
  </si>
  <si>
    <t>Current Limit</t>
  </si>
  <si>
    <r>
      <t>(I</t>
    </r>
    <r>
      <rPr>
        <vertAlign val="subscript"/>
        <sz val="11"/>
        <color theme="1"/>
        <rFont val="Calibri"/>
        <family val="2"/>
      </rPr>
      <t>CL</t>
    </r>
    <r>
      <rPr>
        <sz val="11"/>
        <color theme="1"/>
        <rFont val="Calibri"/>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</si>
</sst>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
    <numFmt numFmtId="167" formatCode="0.000"/>
  </numFmts>
  <fonts count="12" x14ac:knownFonts="1">
    <font>
      <sz val="11"/>
      <color theme="1"/>
      <name val="Calibri"/>
      <family val="2"/>
    </font>
    <font>
      <b/>
      <sz val="11"/>
      <color theme="1"/>
      <name val="Calibri"/>
      <family val="2"/>
    </font>
    <font>
      <vertAlign val="subscript"/>
      <sz val="11"/>
      <color theme="1"/>
      <name val="Calibri"/>
      <family val="2"/>
    </font>
    <font>
      <sz val="11"/>
      <color theme="1"/>
      <name val="Calibri"/>
      <family val="2"/>
    </font>
    <font>
      <b/>
      <i/>
      <sz val="11"/>
      <color theme="1"/>
      <name val="Calibri"/>
      <family val="2"/>
    </font>
    <font>
      <b/>
      <sz val="11"/>
      <color rgb="FFFF0000"/>
      <name val="Calibri"/>
      <family val="2"/>
    </font>
    <font>
      <sz val="11"/>
      <color theme="0"/>
      <name val="Calibri"/>
      <family val="2"/>
    </font>
    <font>
      <vertAlign val="superscript"/>
      <sz val="11"/>
      <color theme="1"/>
      <name val="Calibri"/>
      <family val="2"/>
    </font>
    <font>
      <sz val="8"/>
      <color theme="1"/>
      <name val="Calibri"/>
      <family val="2"/>
    </font>
    <font>
      <u/>
      <sz val="11"/>
      <color theme="10"/>
      <name val="Calibri"/>
      <family val="2"/>
    </font>
    <font>
      <sz val="9"/>
      <color indexed="81"/>
      <name val="Tahoma"/>
      <charset val="1"/>
    </font>
    <font>
      <b/>
      <sz val="9"/>
      <color indexed="81"/>
      <name val="Tahoma"/>
      <charset val="1"/>
    </font>
  </fonts>
  <fills count="7">
    <fill>
      <patternFill patternType="none"/>
    </fill>
    <fill>
      <patternFill patternType="gray125"/>
    </fill>
    <fill>
      <patternFill patternType="solid">
        <fgColor rgb="FFFFFF00"/>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5" tint="0.39994506668294322"/>
        <bgColor indexed="64"/>
      </patternFill>
    </fill>
    <fill>
      <patternFill patternType="solid">
        <fgColor theme="4"/>
      </patternFill>
    </fill>
  </fills>
  <borders count="10">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8">
    <xf numFmtId="0" fontId="0" fillId="0" borderId="0"/>
    <xf numFmtId="0" fontId="3" fillId="3" borderId="1">
      <alignment horizontal="center"/>
    </xf>
    <xf numFmtId="0" fontId="3" fillId="2" borderId="1">
      <alignment horizontal="center"/>
      <protection locked="0"/>
    </xf>
    <xf numFmtId="0" fontId="3" fillId="4" borderId="1">
      <alignment horizontal="center"/>
    </xf>
    <xf numFmtId="9" fontId="3" fillId="0" borderId="0" applyFont="0" applyFill="0" applyBorder="0" applyAlignment="0" applyProtection="0"/>
    <xf numFmtId="0" fontId="3" fillId="5" borderId="1">
      <alignment horizontal="center"/>
    </xf>
    <xf numFmtId="0" fontId="6" fillId="6" borderId="0" applyNumberFormat="0" applyBorder="0" applyAlignment="0" applyProtection="0"/>
    <xf numFmtId="0" fontId="9" fillId="0" borderId="0" applyNumberFormat="0" applyFill="0" applyBorder="0" applyAlignment="0" applyProtection="0"/>
  </cellStyleXfs>
  <cellXfs count="41">
    <xf numFmtId="0" fontId="0" fillId="0" borderId="0" xfId="0"/>
    <xf numFmtId="0" fontId="3" fillId="2" borderId="1" xfId="2">
      <alignment horizontal="center"/>
      <protection locked="0"/>
    </xf>
    <xf numFmtId="0" fontId="0" fillId="0" borderId="0" xfId="0" applyAlignment="1">
      <alignment horizontal="right"/>
    </xf>
    <xf numFmtId="0" fontId="1" fillId="0" borderId="0" xfId="0" applyFont="1"/>
    <xf numFmtId="0" fontId="4" fillId="0" borderId="0" xfId="0" applyFont="1"/>
    <xf numFmtId="0" fontId="3" fillId="3" borderId="1" xfId="1">
      <alignment horizontal="center"/>
    </xf>
    <xf numFmtId="0" fontId="3" fillId="4" borderId="1" xfId="3">
      <alignment horizontal="center"/>
    </xf>
    <xf numFmtId="48" fontId="3" fillId="4" borderId="1" xfId="3" applyNumberFormat="1">
      <alignment horizontal="center"/>
    </xf>
    <xf numFmtId="48" fontId="3" fillId="2" borderId="1" xfId="2" applyNumberFormat="1">
      <alignment horizontal="center"/>
      <protection locked="0"/>
    </xf>
    <xf numFmtId="0" fontId="1" fillId="0" borderId="0" xfId="0" applyFont="1" applyAlignment="1">
      <alignment horizontal="center"/>
    </xf>
    <xf numFmtId="0" fontId="0" fillId="0" borderId="0" xfId="0" applyAlignment="1">
      <alignment horizontal="center"/>
    </xf>
    <xf numFmtId="9" fontId="3" fillId="2" borderId="1" xfId="4" applyFill="1" applyBorder="1" applyAlignment="1" applyProtection="1">
      <alignment horizontal="center"/>
      <protection locked="0"/>
    </xf>
    <xf numFmtId="0" fontId="0" fillId="0" borderId="1" xfId="0" applyBorder="1" applyAlignment="1">
      <alignment horizontal="right"/>
    </xf>
    <xf numFmtId="0" fontId="0" fillId="0" borderId="1" xfId="0" applyBorder="1" applyAlignment="1">
      <alignment horizontal="center"/>
    </xf>
    <xf numFmtId="0" fontId="0" fillId="0" borderId="1" xfId="0" applyBorder="1"/>
    <xf numFmtId="16" fontId="0" fillId="0" borderId="0" xfId="0" applyNumberFormat="1"/>
    <xf numFmtId="14" fontId="0" fillId="0" borderId="0" xfId="0" applyNumberFormat="1"/>
    <xf numFmtId="0" fontId="3" fillId="5" borderId="1" xfId="5">
      <alignment horizontal="center"/>
    </xf>
    <xf numFmtId="0" fontId="6" fillId="6" borderId="2" xfId="6" applyBorder="1" applyAlignment="1">
      <alignment horizontal="centerContinuous"/>
    </xf>
    <xf numFmtId="0" fontId="6" fillId="6" borderId="3" xfId="6" applyBorder="1" applyAlignment="1">
      <alignment horizontal="centerContinuous"/>
    </xf>
    <xf numFmtId="0" fontId="6" fillId="6" borderId="4" xfId="6" applyBorder="1" applyAlignment="1">
      <alignment horizontal="centerContinuous"/>
    </xf>
    <xf numFmtId="0" fontId="1" fillId="0" borderId="5" xfId="0" applyFont="1" applyBorder="1" applyAlignment="1">
      <alignment horizontal="center"/>
    </xf>
    <xf numFmtId="0" fontId="1" fillId="0" borderId="6" xfId="0" applyFont="1" applyBorder="1" applyAlignment="1">
      <alignment horizontal="center"/>
    </xf>
    <xf numFmtId="0" fontId="0" fillId="0" borderId="5" xfId="0" applyBorder="1"/>
    <xf numFmtId="0" fontId="0" fillId="0" borderId="6" xfId="0" applyBorder="1"/>
    <xf numFmtId="0" fontId="0" fillId="0" borderId="5" xfId="0" applyBorder="1" applyAlignment="1">
      <alignment horizontal="right"/>
    </xf>
    <xf numFmtId="0" fontId="0" fillId="0" borderId="6" xfId="0" applyBorder="1" applyAlignment="1">
      <alignment vertical="center"/>
    </xf>
    <xf numFmtId="0" fontId="0" fillId="0" borderId="7" xfId="0" applyBorder="1"/>
    <xf numFmtId="0" fontId="0" fillId="0" borderId="8" xfId="0" applyBorder="1"/>
    <xf numFmtId="0" fontId="0" fillId="0" borderId="9" xfId="0" applyBorder="1"/>
    <xf numFmtId="164" fontId="3" fillId="3" borderId="1" xfId="1" applyNumberFormat="1">
      <alignment horizontal="center"/>
    </xf>
    <xf numFmtId="165" fontId="3" fillId="3" borderId="1" xfId="1" applyNumberFormat="1">
      <alignment horizontal="center"/>
    </xf>
    <xf numFmtId="166" fontId="3" fillId="3" borderId="1" xfId="1" applyNumberFormat="1">
      <alignment horizontal="center"/>
    </xf>
    <xf numFmtId="167" fontId="3" fillId="3" borderId="1" xfId="1" applyNumberFormat="1">
      <alignment horizontal="center"/>
    </xf>
    <xf numFmtId="167" fontId="0" fillId="0" borderId="0" xfId="0" applyNumberFormat="1"/>
    <xf numFmtId="167" fontId="3" fillId="4" borderId="1" xfId="3" applyNumberFormat="1">
      <alignment horizontal="center"/>
    </xf>
    <xf numFmtId="166" fontId="3" fillId="4" borderId="1" xfId="3" applyNumberFormat="1">
      <alignment horizontal="center"/>
    </xf>
    <xf numFmtId="48" fontId="0" fillId="0" borderId="0" xfId="0" applyNumberFormat="1"/>
    <xf numFmtId="0" fontId="8" fillId="2" borderId="1" xfId="2" applyFont="1">
      <alignment horizontal="center"/>
      <protection locked="0"/>
    </xf>
    <xf numFmtId="0" fontId="9" fillId="0" borderId="0" xfId="7"/>
    <xf numFmtId="0" fontId="0" fillId="0" borderId="5" xfId="0" applyBorder="1" applyAlignment="1">
      <alignment horizontal="center"/>
    </xf>
  </cellXfs>
  <cellStyles count="8">
    <cellStyle name="Accent1" xfId="6" builtinId="29"/>
    <cellStyle name="Hyperlink" xfId="7" builtinId="8"/>
    <cellStyle name="INPUTS" xfId="2" xr:uid="{21234260-9980-4DBE-94CD-03DDDE07D037}"/>
    <cellStyle name="Normal" xfId="0" builtinId="0"/>
    <cellStyle name="OUTPUTS" xfId="1" xr:uid="{A2C54199-51A1-4096-A029-F85EAC4B5C52}"/>
    <cellStyle name="Percent" xfId="4" builtinId="5"/>
    <cellStyle name="REFERENCE" xfId="5" xr:uid="{D5F20454-BEE4-4540-8FB2-2665771ACA05}"/>
    <cellStyle name="SPECS" xfId="3" xr:uid="{8D180962-AFE4-426A-B14A-CAF91422FF3F}"/>
  </cellStyles>
  <dxfs count="5">
    <dxf>
      <numFmt numFmtId="167" formatCode="0.000"/>
    </dxf>
    <dxf>
      <numFmt numFmtId="16" formatCode="##0.0E+0"/>
    </dxf>
    <dxf>
      <numFmt numFmtId="16" formatCode="##0.0E+0"/>
    </dxf>
    <dxf>
      <numFmt numFmtId="167" formatCode="0.000"/>
    </dxf>
    <dxf>
      <font>
        <b/>
        <i/>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svg"/><Relationship Id="rId1" Type="http://schemas.openxmlformats.org/officeDocument/2006/relationships/image" Target="../media/image4.png"/><Relationship Id="rId4" Type="http://schemas.openxmlformats.org/officeDocument/2006/relationships/image" Target="../media/image7.sv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7</xdr:col>
      <xdr:colOff>283930</xdr:colOff>
      <xdr:row>2</xdr:row>
      <xdr:rowOff>55059</xdr:rowOff>
    </xdr:to>
    <mc:AlternateContent xmlns:mc="http://schemas.openxmlformats.org/markup-compatibility/2006" xmlns:a14="http://schemas.microsoft.com/office/drawing/2010/main">
      <mc:Choice Requires="a14">
        <xdr:sp macro="" textlink="">
          <xdr:nvSpPr>
            <xdr:cNvPr id="2" name="Object 28">
              <a:extLst>
                <a:ext uri="{63B3BB69-23CF-44E3-9099-C40C66FF867C}">
                  <a14:compatExt spid="_x0000_s21532"/>
                </a:ext>
                <a:ext uri="{FF2B5EF4-FFF2-40B4-BE49-F238E27FC236}">
                  <a16:creationId xmlns:a16="http://schemas.microsoft.com/office/drawing/2014/main" id="{FB64DD8B-0AD9-4CBF-879B-7A04D4A8A2A8}"/>
                </a:ext>
              </a:extLst>
            </xdr:cNvPr>
            <xdr:cNvSpPr txBox="1"/>
          </xdr:nvSpPr>
          <xdr:spPr>
            <a:xfrm>
              <a:off x="3875942" y="0"/>
              <a:ext cx="2108334" cy="472694"/>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𝑉</m:t>
                        </m:r>
                      </m:e>
                      <m:sub>
                        <m:r>
                          <a:rPr lang="en-US" i="1">
                            <a:solidFill>
                              <a:srgbClr val="000000"/>
                            </a:solidFill>
                            <a:latin typeface="Cambria Math" panose="02040503050406030204" pitchFamily="18" charset="0"/>
                          </a:rPr>
                          <m:t>𝑂</m:t>
                        </m:r>
                        <m:r>
                          <a:rPr lang="en-US" b="0" i="1">
                            <a:solidFill>
                              <a:srgbClr val="000000"/>
                            </a:solidFill>
                            <a:latin typeface="Cambria Math" panose="02040503050406030204" pitchFamily="18" charset="0"/>
                          </a:rPr>
                          <m:t>𝑈𝑇</m:t>
                        </m:r>
                      </m:sub>
                    </m:sSub>
                    <m:r>
                      <a:rPr lang="en-US" i="1">
                        <a:solidFill>
                          <a:srgbClr val="000000"/>
                        </a:solidFill>
                        <a:latin typeface="Cambria Math" panose="02040503050406030204" pitchFamily="18" charset="0"/>
                      </a:rPr>
                      <m:t>=</m:t>
                    </m:r>
                    <m:sSub>
                      <m:sSubPr>
                        <m:ctrlPr>
                          <a:rPr lang="en-US" b="0" i="1">
                            <a:solidFill>
                              <a:srgbClr val="000000"/>
                            </a:solidFill>
                            <a:latin typeface="Cambria Math" panose="02040503050406030204" pitchFamily="18" charset="0"/>
                          </a:rPr>
                        </m:ctrlPr>
                      </m:sSubPr>
                      <m:e>
                        <m:r>
                          <a:rPr lang="en-US" b="0" i="1">
                            <a:solidFill>
                              <a:srgbClr val="000000"/>
                            </a:solidFill>
                            <a:latin typeface="Cambria Math" panose="02040503050406030204" pitchFamily="18" charset="0"/>
                          </a:rPr>
                          <m:t>𝑉</m:t>
                        </m:r>
                      </m:e>
                      <m:sub>
                        <m:r>
                          <a:rPr lang="en-US" b="0" i="1">
                            <a:solidFill>
                              <a:srgbClr val="000000"/>
                            </a:solidFill>
                            <a:latin typeface="Cambria Math" panose="02040503050406030204" pitchFamily="18" charset="0"/>
                          </a:rPr>
                          <m:t>𝑅𝐸𝐹</m:t>
                        </m:r>
                      </m:sub>
                    </m:sSub>
                    <m:d>
                      <m:dPr>
                        <m:ctrlPr>
                          <a:rPr lang="en-US" i="1">
                            <a:solidFill>
                              <a:srgbClr val="000000"/>
                            </a:solidFill>
                            <a:latin typeface="Cambria Math" panose="02040503050406030204" pitchFamily="18" charset="0"/>
                          </a:rPr>
                        </m:ctrlPr>
                      </m:dPr>
                      <m:e>
                        <m:r>
                          <a:rPr lang="en-US" i="1">
                            <a:solidFill>
                              <a:srgbClr val="000000"/>
                            </a:solidFill>
                            <a:latin typeface="Cambria Math" panose="02040503050406030204" pitchFamily="18" charset="0"/>
                          </a:rPr>
                          <m:t>1+</m:t>
                        </m:r>
                        <m:f>
                          <m:fPr>
                            <m:ctrlPr>
                              <a:rPr lang="en-US" i="1">
                                <a:solidFill>
                                  <a:srgbClr val="000000"/>
                                </a:solidFill>
                                <a:latin typeface="Cambria Math" panose="02040503050406030204" pitchFamily="18" charset="0"/>
                              </a:rPr>
                            </m:ctrlPr>
                          </m:fPr>
                          <m:num>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𝑅</m:t>
                                </m:r>
                              </m:e>
                              <m:sub>
                                <m:r>
                                  <a:rPr lang="en-US" i="1">
                                    <a:solidFill>
                                      <a:srgbClr val="000000"/>
                                    </a:solidFill>
                                    <a:latin typeface="Cambria Math" panose="02040503050406030204" pitchFamily="18" charset="0"/>
                                  </a:rPr>
                                  <m:t>2</m:t>
                                </m:r>
                              </m:sub>
                            </m:sSub>
                          </m:num>
                          <m:den>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𝑅</m:t>
                                </m:r>
                              </m:e>
                              <m:sub>
                                <m:r>
                                  <a:rPr lang="en-US" i="1">
                                    <a:solidFill>
                                      <a:srgbClr val="000000"/>
                                    </a:solidFill>
                                    <a:latin typeface="Cambria Math" panose="02040503050406030204" pitchFamily="18" charset="0"/>
                                  </a:rPr>
                                  <m:t>1</m:t>
                                </m:r>
                              </m:sub>
                            </m:sSub>
                          </m:den>
                        </m:f>
                      </m:e>
                    </m:d>
                    <m:r>
                      <a:rPr lang="en-US" i="1">
                        <a:solidFill>
                          <a:srgbClr val="000000"/>
                        </a:solidFill>
                        <a:latin typeface="Cambria Math" panose="02040503050406030204" pitchFamily="18" charset="0"/>
                      </a:rPr>
                      <m:t>+</m:t>
                    </m:r>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𝐼</m:t>
                        </m:r>
                      </m:e>
                      <m:sub>
                        <m:r>
                          <a:rPr lang="en-US" i="1">
                            <a:solidFill>
                              <a:srgbClr val="000000"/>
                            </a:solidFill>
                            <a:latin typeface="Cambria Math" panose="02040503050406030204" pitchFamily="18" charset="0"/>
                          </a:rPr>
                          <m:t>𝐴𝐷𝐽</m:t>
                        </m:r>
                      </m:sub>
                    </m:sSub>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𝑅</m:t>
                        </m:r>
                      </m:e>
                      <m:sub>
                        <m:r>
                          <a:rPr lang="en-US" i="1">
                            <a:solidFill>
                              <a:srgbClr val="000000"/>
                            </a:solidFill>
                            <a:latin typeface="Cambria Math" panose="02040503050406030204" pitchFamily="18" charset="0"/>
                          </a:rPr>
                          <m:t>2</m:t>
                        </m:r>
                      </m:sub>
                    </m:sSub>
                  </m:oMath>
                </m:oMathPara>
              </a14:m>
              <a:endParaRPr lang="en-US"/>
            </a:p>
          </xdr:txBody>
        </xdr:sp>
      </mc:Choice>
      <mc:Fallback xmlns="">
        <xdr:sp macro="" textlink="">
          <xdr:nvSpPr>
            <xdr:cNvPr id="2" name="Object 28">
              <a:extLst>
                <a:ext uri="{63B3BB69-23CF-44E3-9099-C40C66FF867C}">
                  <a14:compatExt xmlns:a14="http://schemas.microsoft.com/office/drawing/2010/main" spid="_x0000_s21532"/>
                </a:ext>
                <a:ext uri="{FF2B5EF4-FFF2-40B4-BE49-F238E27FC236}">
                  <a16:creationId xmlns:a16="http://schemas.microsoft.com/office/drawing/2014/main" id="{FB64DD8B-0AD9-4CBF-879B-7A04D4A8A2A8}"/>
                </a:ext>
              </a:extLst>
            </xdr:cNvPr>
            <xdr:cNvSpPr txBox="1"/>
          </xdr:nvSpPr>
          <xdr:spPr>
            <a:xfrm>
              <a:off x="3875942" y="0"/>
              <a:ext cx="2108334" cy="472694"/>
            </a:xfrm>
            <a:prstGeom prst="rect">
              <a:avLst/>
            </a:prstGeom>
          </xdr:spPr>
          <xdr:txBody>
            <a:bodyPr vertOverflow="clip" horzOverflow="clip" wrap="none">
              <a:spAutoFit/>
            </a:bodyPr>
            <a:lstStyle/>
            <a:p>
              <a:pPr/>
              <a:r>
                <a:rPr lang="en-US" i="0">
                  <a:solidFill>
                    <a:srgbClr val="000000"/>
                  </a:solidFill>
                  <a:latin typeface="Cambria Math" panose="02040503050406030204" pitchFamily="18" charset="0"/>
                </a:rPr>
                <a:t>𝑉_𝑂</a:t>
              </a:r>
              <a:r>
                <a:rPr lang="en-US" b="0" i="0">
                  <a:solidFill>
                    <a:srgbClr val="000000"/>
                  </a:solidFill>
                  <a:latin typeface="Cambria Math" panose="02040503050406030204" pitchFamily="18" charset="0"/>
                </a:rPr>
                <a:t>𝑈𝑇</a:t>
              </a:r>
              <a:r>
                <a:rPr lang="en-US" i="0">
                  <a:solidFill>
                    <a:srgbClr val="000000"/>
                  </a:solidFill>
                  <a:latin typeface="Cambria Math" panose="02040503050406030204" pitchFamily="18" charset="0"/>
                </a:rPr>
                <a:t>=</a:t>
              </a:r>
              <a:r>
                <a:rPr lang="en-US" b="0" i="0">
                  <a:solidFill>
                    <a:srgbClr val="000000"/>
                  </a:solidFill>
                  <a:latin typeface="Cambria Math" panose="02040503050406030204" pitchFamily="18" charset="0"/>
                </a:rPr>
                <a:t>𝑉_𝑅𝐸𝐹 </a:t>
              </a:r>
              <a:r>
                <a:rPr lang="en-US" i="0">
                  <a:solidFill>
                    <a:srgbClr val="000000"/>
                  </a:solidFill>
                  <a:latin typeface="Cambria Math" panose="02040503050406030204" pitchFamily="18" charset="0"/>
                </a:rPr>
                <a:t>(1+𝑅_2/𝑅_1 )+𝐼_𝐴𝐷𝐽 𝑅_2</a:t>
              </a:r>
              <a:endParaRPr lang="en-US"/>
            </a:p>
          </xdr:txBody>
        </xdr:sp>
      </mc:Fallback>
    </mc:AlternateContent>
    <xdr:clientData/>
  </xdr:twoCellAnchor>
  <xdr:twoCellAnchor editAs="oneCell">
    <xdr:from>
      <xdr:col>4</xdr:col>
      <xdr:colOff>0</xdr:colOff>
      <xdr:row>2</xdr:row>
      <xdr:rowOff>177311</xdr:rowOff>
    </xdr:from>
    <xdr:to>
      <xdr:col>5</xdr:col>
      <xdr:colOff>218566</xdr:colOff>
      <xdr:row>4</xdr:row>
      <xdr:rowOff>161047</xdr:rowOff>
    </xdr:to>
    <mc:AlternateContent xmlns:mc="http://schemas.openxmlformats.org/markup-compatibility/2006" xmlns:a14="http://schemas.microsoft.com/office/drawing/2010/main">
      <mc:Choice Requires="a14">
        <xdr:sp macro="" textlink="">
          <xdr:nvSpPr>
            <xdr:cNvPr id="3" name="Object 2">
              <a:extLst>
                <a:ext uri="{63B3BB69-23CF-44E3-9099-C40C66FF867C}">
                  <a14:compatExt spid="_x0000_s21506"/>
                </a:ext>
                <a:ext uri="{FF2B5EF4-FFF2-40B4-BE49-F238E27FC236}">
                  <a16:creationId xmlns:a16="http://schemas.microsoft.com/office/drawing/2014/main" id="{66CD26ED-5593-46BF-976C-BD5DA18FD87A}"/>
                </a:ext>
              </a:extLst>
            </xdr:cNvPr>
            <xdr:cNvSpPr txBox="1"/>
          </xdr:nvSpPr>
          <xdr:spPr>
            <a:xfrm>
              <a:off x="3875942" y="594946"/>
              <a:ext cx="826701" cy="438005"/>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𝑅</m:t>
                        </m:r>
                      </m:e>
                      <m:sub>
                        <m:r>
                          <a:rPr lang="en-US" b="0" i="1">
                            <a:solidFill>
                              <a:srgbClr val="000000"/>
                            </a:solidFill>
                            <a:latin typeface="Cambria Math" panose="02040503050406030204" pitchFamily="18" charset="0"/>
                          </a:rPr>
                          <m:t>1</m:t>
                        </m:r>
                      </m:sub>
                    </m:sSub>
                    <m:r>
                      <a:rPr lang="en-US" i="1">
                        <a:solidFill>
                          <a:srgbClr val="000000"/>
                        </a:solidFill>
                        <a:latin typeface="Cambria Math" panose="02040503050406030204" pitchFamily="18" charset="0"/>
                      </a:rPr>
                      <m:t>=</m:t>
                    </m:r>
                    <m:f>
                      <m:fPr>
                        <m:ctrlPr>
                          <a:rPr lang="en-US" b="0" i="1">
                            <a:solidFill>
                              <a:srgbClr val="000000"/>
                            </a:solidFill>
                            <a:latin typeface="Cambria Math" panose="02040503050406030204" pitchFamily="18" charset="0"/>
                          </a:rPr>
                        </m:ctrlPr>
                      </m:fPr>
                      <m:num>
                        <m:sSub>
                          <m:sSubPr>
                            <m:ctrlPr>
                              <a:rPr lang="en-US" b="0" i="1">
                                <a:solidFill>
                                  <a:srgbClr val="000000"/>
                                </a:solidFill>
                                <a:latin typeface="Cambria Math" panose="02040503050406030204" pitchFamily="18" charset="0"/>
                              </a:rPr>
                            </m:ctrlPr>
                          </m:sSubPr>
                          <m:e>
                            <m:r>
                              <a:rPr lang="en-US" b="0" i="1">
                                <a:solidFill>
                                  <a:srgbClr val="000000"/>
                                </a:solidFill>
                                <a:latin typeface="Cambria Math" panose="02040503050406030204" pitchFamily="18" charset="0"/>
                              </a:rPr>
                              <m:t>𝑉</m:t>
                            </m:r>
                          </m:e>
                          <m:sub>
                            <m:r>
                              <a:rPr lang="en-US" b="0" i="1">
                                <a:solidFill>
                                  <a:srgbClr val="000000"/>
                                </a:solidFill>
                                <a:latin typeface="Cambria Math" panose="02040503050406030204" pitchFamily="18" charset="0"/>
                              </a:rPr>
                              <m:t>𝑅𝐸𝐹</m:t>
                            </m:r>
                          </m:sub>
                        </m:sSub>
                      </m:num>
                      <m:den>
                        <m:sSub>
                          <m:sSubPr>
                            <m:ctrlPr>
                              <a:rPr lang="en-US" sz="1100" b="0" i="1">
                                <a:effectLst/>
                                <a:latin typeface="Cambria Math" panose="02040503050406030204" pitchFamily="18" charset="0"/>
                                <a:ea typeface="+mn-ea"/>
                                <a:cs typeface="+mn-cs"/>
                              </a:rPr>
                            </m:ctrlPr>
                          </m:sSubPr>
                          <m:e>
                            <m:r>
                              <a:rPr lang="en-US" sz="1100" b="0" i="1">
                                <a:effectLst/>
                                <a:latin typeface="Cambria Math" panose="02040503050406030204" pitchFamily="18" charset="0"/>
                                <a:ea typeface="+mn-ea"/>
                                <a:cs typeface="+mn-cs"/>
                              </a:rPr>
                              <m:t>𝐼</m:t>
                            </m:r>
                          </m:e>
                          <m:sub>
                            <m:r>
                              <a:rPr lang="en-US" sz="1100" b="0" i="1">
                                <a:effectLst/>
                                <a:latin typeface="Cambria Math" panose="02040503050406030204" pitchFamily="18" charset="0"/>
                                <a:ea typeface="+mn-ea"/>
                                <a:cs typeface="+mn-cs"/>
                              </a:rPr>
                              <m:t>𝑆𝐸𝑇</m:t>
                            </m:r>
                          </m:sub>
                        </m:sSub>
                      </m:den>
                    </m:f>
                  </m:oMath>
                </m:oMathPara>
              </a14:m>
              <a:endParaRPr lang="en-US"/>
            </a:p>
          </xdr:txBody>
        </xdr:sp>
      </mc:Choice>
      <mc:Fallback xmlns="">
        <xdr:sp macro="" textlink="">
          <xdr:nvSpPr>
            <xdr:cNvPr id="3" name="Object 2">
              <a:extLst>
                <a:ext uri="{63B3BB69-23CF-44E3-9099-C40C66FF867C}">
                  <a14:compatExt xmlns:a14="http://schemas.microsoft.com/office/drawing/2010/main" spid="_x0000_s21506"/>
                </a:ext>
                <a:ext uri="{FF2B5EF4-FFF2-40B4-BE49-F238E27FC236}">
                  <a16:creationId xmlns:a16="http://schemas.microsoft.com/office/drawing/2014/main" id="{66CD26ED-5593-46BF-976C-BD5DA18FD87A}"/>
                </a:ext>
              </a:extLst>
            </xdr:cNvPr>
            <xdr:cNvSpPr txBox="1"/>
          </xdr:nvSpPr>
          <xdr:spPr>
            <a:xfrm>
              <a:off x="3875942" y="594946"/>
              <a:ext cx="826701" cy="438005"/>
            </a:xfrm>
            <a:prstGeom prst="rect">
              <a:avLst/>
            </a:prstGeom>
          </xdr:spPr>
          <xdr:txBody>
            <a:bodyPr vertOverflow="clip" horzOverflow="clip" wrap="none">
              <a:spAutoFit/>
            </a:bodyPr>
            <a:lstStyle/>
            <a:p>
              <a:pPr/>
              <a:r>
                <a:rPr lang="en-US" i="0">
                  <a:solidFill>
                    <a:srgbClr val="000000"/>
                  </a:solidFill>
                  <a:latin typeface="Cambria Math" panose="02040503050406030204" pitchFamily="18" charset="0"/>
                </a:rPr>
                <a:t>𝑅_</a:t>
              </a:r>
              <a:r>
                <a:rPr lang="en-US" b="0" i="0">
                  <a:solidFill>
                    <a:srgbClr val="000000"/>
                  </a:solidFill>
                  <a:latin typeface="Cambria Math" panose="02040503050406030204" pitchFamily="18" charset="0"/>
                </a:rPr>
                <a:t>1</a:t>
              </a:r>
              <a:r>
                <a:rPr lang="en-US" i="0">
                  <a:solidFill>
                    <a:srgbClr val="000000"/>
                  </a:solidFill>
                  <a:latin typeface="Cambria Math" panose="02040503050406030204" pitchFamily="18" charset="0"/>
                </a:rPr>
                <a:t>=</a:t>
              </a:r>
              <a:r>
                <a:rPr lang="en-US" b="0" i="0">
                  <a:solidFill>
                    <a:srgbClr val="000000"/>
                  </a:solidFill>
                  <a:latin typeface="Cambria Math" panose="02040503050406030204" pitchFamily="18" charset="0"/>
                </a:rPr>
                <a:t>𝑉_𝑅𝐸𝐹/</a:t>
              </a:r>
              <a:r>
                <a:rPr lang="en-US" sz="1100" b="0" i="0">
                  <a:effectLst/>
                  <a:latin typeface="+mn-lt"/>
                  <a:ea typeface="+mn-ea"/>
                  <a:cs typeface="+mn-cs"/>
                </a:rPr>
                <a:t>𝐼_𝑆𝐸𝑇</a:t>
              </a:r>
              <a:r>
                <a:rPr lang="en-US" sz="1100" b="0" i="0">
                  <a:solidFill>
                    <a:srgbClr val="000000"/>
                  </a:solidFill>
                  <a:effectLst/>
                  <a:latin typeface="Cambria Math" panose="02040503050406030204" pitchFamily="18" charset="0"/>
                  <a:ea typeface="+mn-ea"/>
                  <a:cs typeface="+mn-cs"/>
                </a:rPr>
                <a:t> </a:t>
              </a:r>
              <a:endParaRPr lang="en-US"/>
            </a:p>
          </xdr:txBody>
        </xdr:sp>
      </mc:Fallback>
    </mc:AlternateContent>
    <xdr:clientData/>
  </xdr:twoCellAnchor>
  <xdr:twoCellAnchor editAs="oneCell">
    <xdr:from>
      <xdr:col>4</xdr:col>
      <xdr:colOff>0</xdr:colOff>
      <xdr:row>5</xdr:row>
      <xdr:rowOff>47625</xdr:rowOff>
    </xdr:from>
    <xdr:to>
      <xdr:col>6</xdr:col>
      <xdr:colOff>186870</xdr:colOff>
      <xdr:row>7</xdr:row>
      <xdr:rowOff>148635</xdr:rowOff>
    </xdr:to>
    <mc:AlternateContent xmlns:mc="http://schemas.openxmlformats.org/markup-compatibility/2006" xmlns:a14="http://schemas.microsoft.com/office/drawing/2010/main">
      <mc:Choice Requires="a14">
        <xdr:sp macro="" textlink="">
          <xdr:nvSpPr>
            <xdr:cNvPr id="4" name="Object 2">
              <a:extLst>
                <a:ext uri="{63B3BB69-23CF-44E3-9099-C40C66FF867C}">
                  <a14:compatExt spid="_x0000_s21506"/>
                </a:ext>
                <a:ext uri="{FF2B5EF4-FFF2-40B4-BE49-F238E27FC236}">
                  <a16:creationId xmlns:a16="http://schemas.microsoft.com/office/drawing/2014/main" id="{14A6EEF4-8DDD-4E38-9AF4-080C89FE4D62}"/>
                </a:ext>
              </a:extLst>
            </xdr:cNvPr>
            <xdr:cNvSpPr txBox="1"/>
          </xdr:nvSpPr>
          <xdr:spPr>
            <a:xfrm>
              <a:off x="3875942" y="1146663"/>
              <a:ext cx="1403141" cy="55528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𝑅</m:t>
                        </m:r>
                      </m:e>
                      <m:sub>
                        <m:r>
                          <a:rPr lang="en-US" i="1">
                            <a:solidFill>
                              <a:srgbClr val="000000"/>
                            </a:solidFill>
                            <a:latin typeface="Cambria Math" panose="02040503050406030204" pitchFamily="18" charset="0"/>
                          </a:rPr>
                          <m:t>2</m:t>
                        </m:r>
                      </m:sub>
                    </m:sSub>
                    <m:r>
                      <a:rPr lang="en-US" i="1">
                        <a:solidFill>
                          <a:srgbClr val="000000"/>
                        </a:solidFill>
                        <a:latin typeface="Cambria Math" panose="02040503050406030204" pitchFamily="18" charset="0"/>
                      </a:rPr>
                      <m:t>=</m:t>
                    </m:r>
                    <m:f>
                      <m:fPr>
                        <m:ctrlPr>
                          <a:rPr lang="en-US" i="1">
                            <a:solidFill>
                              <a:srgbClr val="000000"/>
                            </a:solidFill>
                            <a:latin typeface="Cambria Math" panose="02040503050406030204" pitchFamily="18" charset="0"/>
                          </a:rPr>
                        </m:ctrlPr>
                      </m:fPr>
                      <m:num>
                        <m:d>
                          <m:dPr>
                            <m:ctrlPr>
                              <a:rPr lang="en-US" i="1">
                                <a:solidFill>
                                  <a:srgbClr val="000000"/>
                                </a:solidFill>
                                <a:latin typeface="Cambria Math" panose="02040503050406030204" pitchFamily="18" charset="0"/>
                              </a:rPr>
                            </m:ctrlPr>
                          </m:dPr>
                          <m:e>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𝑉</m:t>
                                </m:r>
                              </m:e>
                              <m:sub>
                                <m:r>
                                  <a:rPr lang="en-US" b="0" i="1">
                                    <a:solidFill>
                                      <a:srgbClr val="000000"/>
                                    </a:solidFill>
                                    <a:latin typeface="Cambria Math" panose="02040503050406030204" pitchFamily="18" charset="0"/>
                                  </a:rPr>
                                  <m:t>𝑂𝑈𝑇</m:t>
                                </m:r>
                              </m:sub>
                            </m:sSub>
                            <m:r>
                              <a:rPr lang="en-US" i="1">
                                <a:solidFill>
                                  <a:srgbClr val="000000"/>
                                </a:solidFill>
                                <a:latin typeface="Cambria Math" panose="02040503050406030204" pitchFamily="18" charset="0"/>
                              </a:rPr>
                              <m:t>−</m:t>
                            </m:r>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𝑉</m:t>
                                </m:r>
                              </m:e>
                              <m:sub>
                                <m:r>
                                  <a:rPr lang="en-US" b="0" i="1">
                                    <a:solidFill>
                                      <a:srgbClr val="000000"/>
                                    </a:solidFill>
                                    <a:latin typeface="Cambria Math" panose="02040503050406030204" pitchFamily="18" charset="0"/>
                                  </a:rPr>
                                  <m:t>𝑅𝐸𝐹</m:t>
                                </m:r>
                              </m:sub>
                            </m:sSub>
                          </m:e>
                        </m:d>
                      </m:num>
                      <m:den>
                        <m:f>
                          <m:fPr>
                            <m:ctrlPr>
                              <a:rPr lang="en-US" b="0" i="1">
                                <a:solidFill>
                                  <a:srgbClr val="000000"/>
                                </a:solidFill>
                                <a:latin typeface="Cambria Math" panose="02040503050406030204" pitchFamily="18" charset="0"/>
                              </a:rPr>
                            </m:ctrlPr>
                          </m:fPr>
                          <m:num>
                            <m:sSub>
                              <m:sSubPr>
                                <m:ctrlPr>
                                  <a:rPr lang="en-US" i="1">
                                    <a:solidFill>
                                      <a:srgbClr val="000000"/>
                                    </a:solidFill>
                                    <a:latin typeface="Cambria Math" panose="02040503050406030204" pitchFamily="18" charset="0"/>
                                  </a:rPr>
                                </m:ctrlPr>
                              </m:sSubPr>
                              <m:e>
                                <m:r>
                                  <a:rPr lang="en-US" i="1">
                                    <a:solidFill>
                                      <a:srgbClr val="000000"/>
                                    </a:solidFill>
                                    <a:latin typeface="Cambria Math" panose="02040503050406030204" pitchFamily="18" charset="0"/>
                                  </a:rPr>
                                  <m:t>𝑉</m:t>
                                </m:r>
                              </m:e>
                              <m:sub>
                                <m:r>
                                  <a:rPr lang="en-US" i="1">
                                    <a:solidFill>
                                      <a:srgbClr val="000000"/>
                                    </a:solidFill>
                                    <a:latin typeface="Cambria Math" panose="02040503050406030204" pitchFamily="18" charset="0"/>
                                  </a:rPr>
                                  <m:t>𝑅𝐸𝐹</m:t>
                                </m:r>
                              </m:sub>
                            </m:sSub>
                          </m:num>
                          <m:den>
                            <m:r>
                              <a:rPr lang="en-US" b="0" i="1">
                                <a:solidFill>
                                  <a:srgbClr val="000000"/>
                                </a:solidFill>
                                <a:latin typeface="Cambria Math" panose="02040503050406030204" pitchFamily="18" charset="0"/>
                              </a:rPr>
                              <m:t>𝑅</m:t>
                            </m:r>
                            <m:r>
                              <a:rPr lang="en-US" b="0" i="1">
                                <a:solidFill>
                                  <a:srgbClr val="000000"/>
                                </a:solidFill>
                                <a:latin typeface="Cambria Math" panose="02040503050406030204" pitchFamily="18" charset="0"/>
                              </a:rPr>
                              <m:t>1</m:t>
                            </m:r>
                          </m:den>
                        </m:f>
                        <m:r>
                          <a:rPr lang="en-US" b="0" i="1">
                            <a:solidFill>
                              <a:srgbClr val="000000"/>
                            </a:solidFill>
                            <a:latin typeface="Cambria Math" panose="02040503050406030204" pitchFamily="18" charset="0"/>
                          </a:rPr>
                          <m:t>+</m:t>
                        </m:r>
                        <m:sSub>
                          <m:sSubPr>
                            <m:ctrlPr>
                              <a:rPr lang="en-US" b="0" i="1">
                                <a:solidFill>
                                  <a:srgbClr val="000000"/>
                                </a:solidFill>
                                <a:latin typeface="Cambria Math" panose="02040503050406030204" pitchFamily="18" charset="0"/>
                              </a:rPr>
                            </m:ctrlPr>
                          </m:sSubPr>
                          <m:e>
                            <m:r>
                              <a:rPr lang="en-US" b="0" i="1">
                                <a:solidFill>
                                  <a:srgbClr val="000000"/>
                                </a:solidFill>
                                <a:latin typeface="Cambria Math" panose="02040503050406030204" pitchFamily="18" charset="0"/>
                              </a:rPr>
                              <m:t>𝐼</m:t>
                            </m:r>
                          </m:e>
                          <m:sub>
                            <m:r>
                              <a:rPr lang="en-US" b="0" i="1">
                                <a:solidFill>
                                  <a:srgbClr val="000000"/>
                                </a:solidFill>
                                <a:latin typeface="Cambria Math" panose="02040503050406030204" pitchFamily="18" charset="0"/>
                              </a:rPr>
                              <m:t>𝐴𝐷𝐽</m:t>
                            </m:r>
                          </m:sub>
                        </m:sSub>
                      </m:den>
                    </m:f>
                  </m:oMath>
                </m:oMathPara>
              </a14:m>
              <a:endParaRPr lang="en-US"/>
            </a:p>
          </xdr:txBody>
        </xdr:sp>
      </mc:Choice>
      <mc:Fallback xmlns="">
        <xdr:sp macro="" textlink="">
          <xdr:nvSpPr>
            <xdr:cNvPr id="4" name="Object 2">
              <a:extLst>
                <a:ext uri="{63B3BB69-23CF-44E3-9099-C40C66FF867C}">
                  <a14:compatExt xmlns:a14="http://schemas.microsoft.com/office/drawing/2010/main" spid="_x0000_s21506"/>
                </a:ext>
                <a:ext uri="{FF2B5EF4-FFF2-40B4-BE49-F238E27FC236}">
                  <a16:creationId xmlns:a16="http://schemas.microsoft.com/office/drawing/2014/main" id="{14A6EEF4-8DDD-4E38-9AF4-080C89FE4D62}"/>
                </a:ext>
              </a:extLst>
            </xdr:cNvPr>
            <xdr:cNvSpPr txBox="1"/>
          </xdr:nvSpPr>
          <xdr:spPr>
            <a:xfrm>
              <a:off x="3875942" y="1146663"/>
              <a:ext cx="1403141" cy="555280"/>
            </a:xfrm>
            <a:prstGeom prst="rect">
              <a:avLst/>
            </a:prstGeom>
          </xdr:spPr>
          <xdr:txBody>
            <a:bodyPr vertOverflow="clip" horzOverflow="clip" wrap="none">
              <a:spAutoFit/>
            </a:bodyPr>
            <a:lstStyle/>
            <a:p>
              <a:pPr/>
              <a:r>
                <a:rPr lang="en-US" i="0">
                  <a:solidFill>
                    <a:srgbClr val="000000"/>
                  </a:solidFill>
                  <a:latin typeface="Cambria Math" panose="02040503050406030204" pitchFamily="18" charset="0"/>
                </a:rPr>
                <a:t>𝑅_2=((𝑉_</a:t>
              </a:r>
              <a:r>
                <a:rPr lang="en-US" b="0" i="0">
                  <a:solidFill>
                    <a:srgbClr val="000000"/>
                  </a:solidFill>
                  <a:latin typeface="Cambria Math" panose="02040503050406030204" pitchFamily="18" charset="0"/>
                </a:rPr>
                <a:t>𝑂𝑈𝑇</a:t>
              </a:r>
              <a:r>
                <a:rPr lang="en-US" i="0">
                  <a:solidFill>
                    <a:srgbClr val="000000"/>
                  </a:solidFill>
                  <a:latin typeface="Cambria Math" panose="02040503050406030204" pitchFamily="18" charset="0"/>
                </a:rPr>
                <a:t>−𝑉_</a:t>
              </a:r>
              <a:r>
                <a:rPr lang="en-US" b="0" i="0">
                  <a:solidFill>
                    <a:srgbClr val="000000"/>
                  </a:solidFill>
                  <a:latin typeface="Cambria Math" panose="02040503050406030204" pitchFamily="18" charset="0"/>
                </a:rPr>
                <a:t>𝑅𝐸𝐹 ))/(</a:t>
              </a:r>
              <a:r>
                <a:rPr lang="en-US" i="0">
                  <a:solidFill>
                    <a:srgbClr val="000000"/>
                  </a:solidFill>
                  <a:latin typeface="Cambria Math" panose="02040503050406030204" pitchFamily="18" charset="0"/>
                </a:rPr>
                <a:t>𝑉_𝑅𝐸𝐹</a:t>
              </a:r>
              <a:r>
                <a:rPr lang="en-US" b="0" i="0">
                  <a:solidFill>
                    <a:srgbClr val="000000"/>
                  </a:solidFill>
                  <a:latin typeface="Cambria Math" panose="02040503050406030204" pitchFamily="18" charset="0"/>
                </a:rPr>
                <a:t>/𝑅1+𝐼_𝐴𝐷𝐽 )</a:t>
              </a:r>
              <a:endParaRPr lang="en-US"/>
            </a:p>
          </xdr:txBody>
        </xdr:sp>
      </mc:Fallback>
    </mc:AlternateContent>
    <xdr:clientData/>
  </xdr:twoCellAnchor>
  <xdr:twoCellAnchor editAs="oneCell">
    <xdr:from>
      <xdr:col>7</xdr:col>
      <xdr:colOff>238125</xdr:colOff>
      <xdr:row>2</xdr:row>
      <xdr:rowOff>19050</xdr:rowOff>
    </xdr:from>
    <xdr:to>
      <xdr:col>8</xdr:col>
      <xdr:colOff>146956</xdr:colOff>
      <xdr:row>7</xdr:row>
      <xdr:rowOff>93052</xdr:rowOff>
    </xdr:to>
    <xdr:pic>
      <xdr:nvPicPr>
        <xdr:cNvPr id="6" name="Picture 5">
          <a:extLst>
            <a:ext uri="{FF2B5EF4-FFF2-40B4-BE49-F238E27FC236}">
              <a16:creationId xmlns:a16="http://schemas.microsoft.com/office/drawing/2014/main" id="{5EE57CED-B9F8-4C8F-AA3F-1E2190AEBBD2}"/>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14000"/>
                  </a14:imgEffect>
                  <a14:imgEffect>
                    <a14:brightnessContrast bright="22000" contrast="-15000"/>
                  </a14:imgEffect>
                </a14:imgLayer>
              </a14:imgProps>
            </a:ext>
            <a:ext uri="{28A0092B-C50C-407E-A947-70E740481C1C}">
              <a14:useLocalDpi xmlns:a14="http://schemas.microsoft.com/office/drawing/2010/main" val="0"/>
            </a:ext>
          </a:extLst>
        </a:blip>
        <a:stretch>
          <a:fillRect/>
        </a:stretch>
      </xdr:blipFill>
      <xdr:spPr>
        <a:xfrm>
          <a:off x="5943600" y="400050"/>
          <a:ext cx="518432" cy="1209675"/>
        </a:xfrm>
        <a:prstGeom prst="rect">
          <a:avLst/>
        </a:prstGeom>
      </xdr:spPr>
    </xdr:pic>
    <xdr:clientData/>
  </xdr:twoCellAnchor>
  <xdr:oneCellAnchor>
    <xdr:from>
      <xdr:col>7</xdr:col>
      <xdr:colOff>437618</xdr:colOff>
      <xdr:row>15</xdr:row>
      <xdr:rowOff>153868</xdr:rowOff>
    </xdr:from>
    <xdr:ext cx="469744" cy="224998"/>
    <xdr:sp macro="" textlink="_R1_Label">
      <xdr:nvSpPr>
        <xdr:cNvPr id="10" name="TextBox 9">
          <a:extLst>
            <a:ext uri="{FF2B5EF4-FFF2-40B4-BE49-F238E27FC236}">
              <a16:creationId xmlns:a16="http://schemas.microsoft.com/office/drawing/2014/main" id="{85F761ED-28DE-1A93-7FFD-F938DF4C30CC}"/>
            </a:ext>
          </a:extLst>
        </xdr:cNvPr>
        <xdr:cNvSpPr txBox="1"/>
      </xdr:nvSpPr>
      <xdr:spPr>
        <a:xfrm>
          <a:off x="6203906" y="3304445"/>
          <a:ext cx="46974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31744B2C-4490-47FE-BC4E-4F10AF75D47A}" type="TxLink">
            <a:rPr lang="en-US" sz="900" b="1" i="0" u="none" strike="noStrike">
              <a:solidFill>
                <a:srgbClr val="000000"/>
              </a:solidFill>
              <a:latin typeface="Arial" panose="020B0604020202020204" pitchFamily="34" charset="0"/>
              <a:cs typeface="Arial" panose="020B0604020202020204" pitchFamily="34" charset="0"/>
            </a:rPr>
            <a:pPr/>
            <a:t>249Ω</a:t>
          </a:fld>
          <a:endParaRPr lang="en-US" sz="900" b="1">
            <a:latin typeface="Arial" panose="020B0604020202020204" pitchFamily="34" charset="0"/>
            <a:cs typeface="Arial" panose="020B0604020202020204" pitchFamily="34" charset="0"/>
          </a:endParaRPr>
        </a:p>
      </xdr:txBody>
    </xdr:sp>
    <xdr:clientData/>
  </xdr:oneCellAnchor>
  <xdr:oneCellAnchor>
    <xdr:from>
      <xdr:col>6</xdr:col>
      <xdr:colOff>195164</xdr:colOff>
      <xdr:row>18</xdr:row>
      <xdr:rowOff>177845</xdr:rowOff>
    </xdr:from>
    <xdr:ext cx="341376" cy="224998"/>
    <xdr:sp macro="" textlink="_R2_Label">
      <xdr:nvSpPr>
        <xdr:cNvPr id="11" name="TextBox 10">
          <a:extLst>
            <a:ext uri="{FF2B5EF4-FFF2-40B4-BE49-F238E27FC236}">
              <a16:creationId xmlns:a16="http://schemas.microsoft.com/office/drawing/2014/main" id="{A126A367-1F7C-0DB7-6C06-82D1AC42C888}"/>
            </a:ext>
          </a:extLst>
        </xdr:cNvPr>
        <xdr:cNvSpPr txBox="1"/>
      </xdr:nvSpPr>
      <xdr:spPr>
        <a:xfrm>
          <a:off x="5353318" y="3973191"/>
          <a:ext cx="341376"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BA419C4-9064-48A6-BF25-DE71F0B0944B}" type="TxLink">
            <a:rPr lang="en-US" sz="900" b="1" i="0" u="none" strike="noStrike">
              <a:solidFill>
                <a:srgbClr val="000000"/>
              </a:solidFill>
              <a:latin typeface="Arial" panose="020B0604020202020204" pitchFamily="34" charset="0"/>
              <a:cs typeface="Arial" panose="020B0604020202020204" pitchFamily="34" charset="0"/>
            </a:rPr>
            <a:pPr/>
            <a:t>0Ω</a:t>
          </a:fld>
          <a:endParaRPr lang="en-US" sz="900" b="1">
            <a:latin typeface="Arial" panose="020B0604020202020204" pitchFamily="34" charset="0"/>
            <a:cs typeface="Arial" panose="020B0604020202020204" pitchFamily="34" charset="0"/>
          </a:endParaRPr>
        </a:p>
      </xdr:txBody>
    </xdr:sp>
    <xdr:clientData/>
  </xdr:oneCellAnchor>
  <xdr:twoCellAnchor editAs="oneCell">
    <xdr:from>
      <xdr:col>4</xdr:col>
      <xdr:colOff>0</xdr:colOff>
      <xdr:row>8</xdr:row>
      <xdr:rowOff>120894</xdr:rowOff>
    </xdr:from>
    <xdr:to>
      <xdr:col>7</xdr:col>
      <xdr:colOff>490718</xdr:colOff>
      <xdr:row>10</xdr:row>
      <xdr:rowOff>212588</xdr:rowOff>
    </xdr:to>
    <mc:AlternateContent xmlns:mc="http://schemas.openxmlformats.org/markup-compatibility/2006" xmlns:a14="http://schemas.microsoft.com/office/drawing/2010/main">
      <mc:Choice Requires="a14">
        <xdr:sp macro="" textlink="">
          <xdr:nvSpPr>
            <xdr:cNvPr id="5" name="Object 2">
              <a:extLst>
                <a:ext uri="{63B3BB69-23CF-44E3-9099-C40C66FF867C}">
                  <a14:compatExt spid="_x0000_s21506"/>
                </a:ext>
                <a:ext uri="{FF2B5EF4-FFF2-40B4-BE49-F238E27FC236}">
                  <a16:creationId xmlns:a16="http://schemas.microsoft.com/office/drawing/2014/main" id="{384FC88C-6398-EBB6-0C66-7C9881DF8341}"/>
                </a:ext>
              </a:extLst>
            </xdr:cNvPr>
            <xdr:cNvSpPr txBox="1"/>
          </xdr:nvSpPr>
          <xdr:spPr>
            <a:xfrm>
              <a:off x="3941885" y="1864702"/>
              <a:ext cx="2315121" cy="472694"/>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i="1">
                            <a:solidFill>
                              <a:srgbClr val="000000"/>
                            </a:solidFill>
                            <a:latin typeface="Cambria Math" panose="02040503050406030204" pitchFamily="18" charset="0"/>
                          </a:rPr>
                        </m:ctrlPr>
                      </m:sSubPr>
                      <m:e>
                        <m:r>
                          <a:rPr lang="en-US" b="0" i="1">
                            <a:solidFill>
                              <a:srgbClr val="000000"/>
                            </a:solidFill>
                            <a:latin typeface="Cambria Math" panose="02040503050406030204" pitchFamily="18" charset="0"/>
                          </a:rPr>
                          <m:t>𝑃</m:t>
                        </m:r>
                      </m:e>
                      <m:sub>
                        <m:r>
                          <a:rPr lang="en-US" b="0" i="1">
                            <a:solidFill>
                              <a:srgbClr val="000000"/>
                            </a:solidFill>
                            <a:latin typeface="Cambria Math" panose="02040503050406030204" pitchFamily="18" charset="0"/>
                          </a:rPr>
                          <m:t>𝐷</m:t>
                        </m:r>
                      </m:sub>
                    </m:sSub>
                    <m:r>
                      <a:rPr lang="en-US" i="1">
                        <a:solidFill>
                          <a:srgbClr val="000000"/>
                        </a:solidFill>
                        <a:latin typeface="Cambria Math" panose="02040503050406030204" pitchFamily="18" charset="0"/>
                      </a:rPr>
                      <m:t>=</m:t>
                    </m:r>
                    <m:d>
                      <m:dPr>
                        <m:ctrlPr>
                          <a:rPr lang="en-US" sz="1100" i="1">
                            <a:effectLst/>
                            <a:latin typeface="Cambria Math" panose="02040503050406030204" pitchFamily="18" charset="0"/>
                            <a:ea typeface="+mn-ea"/>
                            <a:cs typeface="+mn-cs"/>
                          </a:rPr>
                        </m:ctrlPr>
                      </m:dPr>
                      <m:e>
                        <m:sSub>
                          <m:sSubPr>
                            <m:ctrlPr>
                              <a:rPr lang="en-US" sz="1100" b="0" i="1">
                                <a:effectLst/>
                                <a:latin typeface="Cambria Math" panose="02040503050406030204" pitchFamily="18" charset="0"/>
                                <a:ea typeface="+mn-ea"/>
                                <a:cs typeface="+mn-cs"/>
                              </a:rPr>
                            </m:ctrlPr>
                          </m:sSubPr>
                          <m:e>
                            <m:r>
                              <a:rPr lang="en-US" sz="1100" b="0" i="1">
                                <a:effectLst/>
                                <a:latin typeface="Cambria Math" panose="02040503050406030204" pitchFamily="18" charset="0"/>
                                <a:ea typeface="+mn-ea"/>
                                <a:cs typeface="+mn-cs"/>
                              </a:rPr>
                              <m:t>𝑉</m:t>
                            </m:r>
                          </m:e>
                          <m:sub>
                            <m:r>
                              <a:rPr lang="en-US" sz="1100" b="0" i="1">
                                <a:effectLst/>
                                <a:latin typeface="Cambria Math" panose="02040503050406030204" pitchFamily="18" charset="0"/>
                                <a:ea typeface="+mn-ea"/>
                                <a:cs typeface="+mn-cs"/>
                              </a:rPr>
                              <m:t>𝐼𝑁</m:t>
                            </m:r>
                          </m:sub>
                        </m:sSub>
                        <m:r>
                          <a:rPr lang="en-US" sz="1100" b="0" i="1">
                            <a:effectLst/>
                            <a:latin typeface="Cambria Math" panose="02040503050406030204" pitchFamily="18" charset="0"/>
                            <a:ea typeface="+mn-ea"/>
                            <a:cs typeface="+mn-cs"/>
                          </a:rPr>
                          <m:t>−</m:t>
                        </m:r>
                        <m:sSub>
                          <m:sSubPr>
                            <m:ctrlPr>
                              <a:rPr lang="en-US" sz="1100" b="0" i="1">
                                <a:effectLst/>
                                <a:latin typeface="Cambria Math" panose="02040503050406030204" pitchFamily="18" charset="0"/>
                                <a:ea typeface="+mn-ea"/>
                                <a:cs typeface="+mn-cs"/>
                              </a:rPr>
                            </m:ctrlPr>
                          </m:sSubPr>
                          <m:e>
                            <m:r>
                              <a:rPr lang="en-US" sz="1100" b="0" i="1">
                                <a:effectLst/>
                                <a:latin typeface="Cambria Math" panose="02040503050406030204" pitchFamily="18" charset="0"/>
                                <a:ea typeface="+mn-ea"/>
                                <a:cs typeface="+mn-cs"/>
                              </a:rPr>
                              <m:t>𝑉</m:t>
                            </m:r>
                          </m:e>
                          <m:sub>
                            <m:r>
                              <a:rPr lang="en-US" sz="1100" b="0" i="1">
                                <a:effectLst/>
                                <a:latin typeface="Cambria Math" panose="02040503050406030204" pitchFamily="18" charset="0"/>
                                <a:ea typeface="+mn-ea"/>
                                <a:cs typeface="+mn-cs"/>
                              </a:rPr>
                              <m:t>𝑂𝑈𝑇</m:t>
                            </m:r>
                          </m:sub>
                        </m:sSub>
                      </m:e>
                    </m:d>
                    <m:d>
                      <m:dPr>
                        <m:ctrlPr>
                          <a:rPr lang="en-US" sz="1100" b="0" i="1">
                            <a:effectLst/>
                            <a:latin typeface="Cambria Math" panose="02040503050406030204" pitchFamily="18" charset="0"/>
                            <a:ea typeface="+mn-ea"/>
                            <a:cs typeface="+mn-cs"/>
                          </a:rPr>
                        </m:ctrlPr>
                      </m:dPr>
                      <m:e>
                        <m:sSub>
                          <m:sSubPr>
                            <m:ctrlPr>
                              <a:rPr lang="en-US" sz="1100" b="0" i="1">
                                <a:effectLst/>
                                <a:latin typeface="Cambria Math" panose="02040503050406030204" pitchFamily="18" charset="0"/>
                                <a:ea typeface="+mn-ea"/>
                                <a:cs typeface="+mn-cs"/>
                              </a:rPr>
                            </m:ctrlPr>
                          </m:sSubPr>
                          <m:e>
                            <m:r>
                              <a:rPr lang="en-US" sz="1100" b="0" i="1">
                                <a:effectLst/>
                                <a:latin typeface="Cambria Math" panose="02040503050406030204" pitchFamily="18" charset="0"/>
                                <a:ea typeface="+mn-ea"/>
                                <a:cs typeface="+mn-cs"/>
                              </a:rPr>
                              <m:t>𝐼</m:t>
                            </m:r>
                          </m:e>
                          <m:sub>
                            <m:r>
                              <a:rPr lang="en-US" sz="1100" b="0" i="1">
                                <a:effectLst/>
                                <a:latin typeface="Cambria Math" panose="02040503050406030204" pitchFamily="18" charset="0"/>
                                <a:ea typeface="+mn-ea"/>
                                <a:cs typeface="+mn-cs"/>
                              </a:rPr>
                              <m:t>𝐿</m:t>
                            </m:r>
                          </m:sub>
                        </m:sSub>
                        <m:r>
                          <a:rPr lang="en-US" sz="1100" b="0" i="1">
                            <a:effectLst/>
                            <a:latin typeface="Cambria Math" panose="02040503050406030204" pitchFamily="18" charset="0"/>
                            <a:ea typeface="+mn-ea"/>
                            <a:cs typeface="+mn-cs"/>
                          </a:rPr>
                          <m:t>+</m:t>
                        </m:r>
                        <m:f>
                          <m:fPr>
                            <m:ctrlPr>
                              <a:rPr lang="en-US" sz="1100" b="0" i="1">
                                <a:effectLst/>
                                <a:latin typeface="Cambria Math" panose="02040503050406030204" pitchFamily="18" charset="0"/>
                                <a:ea typeface="+mn-ea"/>
                                <a:cs typeface="+mn-cs"/>
                              </a:rPr>
                            </m:ctrlPr>
                          </m:fPr>
                          <m:num>
                            <m:sSub>
                              <m:sSubPr>
                                <m:ctrlPr>
                                  <a:rPr lang="en-US" sz="1100" b="0" i="1">
                                    <a:effectLst/>
                                    <a:latin typeface="Cambria Math" panose="02040503050406030204" pitchFamily="18" charset="0"/>
                                    <a:ea typeface="+mn-ea"/>
                                    <a:cs typeface="+mn-cs"/>
                                  </a:rPr>
                                </m:ctrlPr>
                              </m:sSubPr>
                              <m:e>
                                <m:r>
                                  <a:rPr lang="en-US" sz="1100" b="0" i="1">
                                    <a:effectLst/>
                                    <a:latin typeface="Cambria Math" panose="02040503050406030204" pitchFamily="18" charset="0"/>
                                    <a:ea typeface="+mn-ea"/>
                                    <a:cs typeface="+mn-cs"/>
                                  </a:rPr>
                                  <m:t>𝑉</m:t>
                                </m:r>
                              </m:e>
                              <m:sub>
                                <m:r>
                                  <a:rPr lang="en-US" sz="1100" b="0" i="1">
                                    <a:effectLst/>
                                    <a:latin typeface="Cambria Math" panose="02040503050406030204" pitchFamily="18" charset="0"/>
                                    <a:ea typeface="+mn-ea"/>
                                    <a:cs typeface="+mn-cs"/>
                                  </a:rPr>
                                  <m:t>𝑂𝑈𝑇</m:t>
                                </m:r>
                              </m:sub>
                            </m:sSub>
                          </m:num>
                          <m:den>
                            <m:sSub>
                              <m:sSubPr>
                                <m:ctrlPr>
                                  <a:rPr lang="en-US" sz="1100" b="0" i="1">
                                    <a:effectLst/>
                                    <a:latin typeface="Cambria Math" panose="02040503050406030204" pitchFamily="18" charset="0"/>
                                    <a:ea typeface="+mn-ea"/>
                                    <a:cs typeface="+mn-cs"/>
                                  </a:rPr>
                                </m:ctrlPr>
                              </m:sSubPr>
                              <m:e>
                                <m:r>
                                  <a:rPr lang="en-US" sz="1100" b="0" i="1">
                                    <a:effectLst/>
                                    <a:latin typeface="Cambria Math" panose="02040503050406030204" pitchFamily="18" charset="0"/>
                                    <a:ea typeface="+mn-ea"/>
                                    <a:cs typeface="+mn-cs"/>
                                  </a:rPr>
                                  <m:t>𝑅</m:t>
                                </m:r>
                              </m:e>
                              <m:sub>
                                <m:r>
                                  <a:rPr lang="en-US" sz="1100" b="0" i="1">
                                    <a:effectLst/>
                                    <a:latin typeface="Cambria Math" panose="02040503050406030204" pitchFamily="18" charset="0"/>
                                    <a:ea typeface="+mn-ea"/>
                                    <a:cs typeface="+mn-cs"/>
                                  </a:rPr>
                                  <m:t>1</m:t>
                                </m:r>
                              </m:sub>
                            </m:sSub>
                            <m:r>
                              <a:rPr lang="en-US" sz="1100" b="0" i="1">
                                <a:effectLst/>
                                <a:latin typeface="Cambria Math" panose="02040503050406030204" pitchFamily="18" charset="0"/>
                                <a:ea typeface="+mn-ea"/>
                                <a:cs typeface="+mn-cs"/>
                              </a:rPr>
                              <m:t>+</m:t>
                            </m:r>
                            <m:sSub>
                              <m:sSubPr>
                                <m:ctrlPr>
                                  <a:rPr lang="en-US" sz="1100" b="0" i="1">
                                    <a:effectLst/>
                                    <a:latin typeface="Cambria Math" panose="02040503050406030204" pitchFamily="18" charset="0"/>
                                    <a:ea typeface="+mn-ea"/>
                                    <a:cs typeface="+mn-cs"/>
                                  </a:rPr>
                                </m:ctrlPr>
                              </m:sSubPr>
                              <m:e>
                                <m:r>
                                  <a:rPr lang="en-US" sz="1100" b="0" i="1">
                                    <a:effectLst/>
                                    <a:latin typeface="Cambria Math" panose="02040503050406030204" pitchFamily="18" charset="0"/>
                                    <a:ea typeface="+mn-ea"/>
                                    <a:cs typeface="+mn-cs"/>
                                  </a:rPr>
                                  <m:t>𝑅</m:t>
                                </m:r>
                              </m:e>
                              <m:sub>
                                <m:r>
                                  <a:rPr lang="en-US" sz="1100" b="0" i="1">
                                    <a:effectLst/>
                                    <a:latin typeface="Cambria Math" panose="02040503050406030204" pitchFamily="18" charset="0"/>
                                    <a:ea typeface="+mn-ea"/>
                                    <a:cs typeface="+mn-cs"/>
                                  </a:rPr>
                                  <m:t>2</m:t>
                                </m:r>
                              </m:sub>
                            </m:sSub>
                          </m:den>
                        </m:f>
                      </m:e>
                    </m:d>
                  </m:oMath>
                </m:oMathPara>
              </a14:m>
              <a:endParaRPr lang="en-US"/>
            </a:p>
          </xdr:txBody>
        </xdr:sp>
      </mc:Choice>
      <mc:Fallback xmlns="">
        <xdr:sp macro="" textlink="">
          <xdr:nvSpPr>
            <xdr:cNvPr id="5" name="Object 2">
              <a:extLst>
                <a:ext uri="{63B3BB69-23CF-44E3-9099-C40C66FF867C}">
                  <a14:compatExt xmlns:a14="http://schemas.microsoft.com/office/drawing/2010/main" spid="_x0000_s21506"/>
                </a:ext>
                <a:ext uri="{FF2B5EF4-FFF2-40B4-BE49-F238E27FC236}">
                  <a16:creationId xmlns:a16="http://schemas.microsoft.com/office/drawing/2014/main" id="{384FC88C-6398-EBB6-0C66-7C9881DF8341}"/>
                </a:ext>
              </a:extLst>
            </xdr:cNvPr>
            <xdr:cNvSpPr txBox="1"/>
          </xdr:nvSpPr>
          <xdr:spPr>
            <a:xfrm>
              <a:off x="3941885" y="1864702"/>
              <a:ext cx="2315121" cy="472694"/>
            </a:xfrm>
            <a:prstGeom prst="rect">
              <a:avLst/>
            </a:prstGeom>
          </xdr:spPr>
          <xdr:txBody>
            <a:bodyPr vertOverflow="clip" horzOverflow="clip" wrap="none">
              <a:spAutoFit/>
            </a:bodyPr>
            <a:lstStyle/>
            <a:p>
              <a:pPr/>
              <a:r>
                <a:rPr lang="en-US" b="0" i="0">
                  <a:solidFill>
                    <a:srgbClr val="000000"/>
                  </a:solidFill>
                  <a:latin typeface="Cambria Math" panose="02040503050406030204" pitchFamily="18" charset="0"/>
                </a:rPr>
                <a:t>𝑃_𝐷</a:t>
              </a:r>
              <a:r>
                <a:rPr lang="en-US" i="0">
                  <a:solidFill>
                    <a:srgbClr val="000000"/>
                  </a:solidFill>
                  <a:latin typeface="Cambria Math" panose="02040503050406030204" pitchFamily="18" charset="0"/>
                </a:rPr>
                <a:t>=</a:t>
              </a:r>
              <a:r>
                <a:rPr lang="en-US" sz="1100" i="0">
                  <a:effectLst/>
                  <a:latin typeface="+mn-lt"/>
                  <a:ea typeface="+mn-ea"/>
                  <a:cs typeface="+mn-cs"/>
                </a:rPr>
                <a:t>(</a:t>
              </a:r>
              <a:r>
                <a:rPr lang="en-US" sz="1100" b="0" i="0">
                  <a:effectLst/>
                  <a:latin typeface="+mn-lt"/>
                  <a:ea typeface="+mn-ea"/>
                  <a:cs typeface="+mn-cs"/>
                </a:rPr>
                <a:t>𝑉_𝐼𝑁−𝑉_𝑂𝑈𝑇 )</a:t>
              </a:r>
              <a:r>
                <a:rPr lang="en-US" sz="1100" b="0" i="0">
                  <a:effectLst/>
                  <a:latin typeface="Cambria Math" panose="02040503050406030204" pitchFamily="18" charset="0"/>
                  <a:ea typeface="+mn-ea"/>
                  <a:cs typeface="+mn-cs"/>
                </a:rPr>
                <a:t>(</a:t>
              </a:r>
              <a:r>
                <a:rPr lang="en-US" sz="1100" b="0" i="0">
                  <a:effectLst/>
                  <a:latin typeface="+mn-lt"/>
                  <a:ea typeface="+mn-ea"/>
                  <a:cs typeface="+mn-cs"/>
                </a:rPr>
                <a:t>𝐼_𝐿</a:t>
              </a:r>
              <a:r>
                <a:rPr lang="en-US" sz="1100" b="0" i="0">
                  <a:effectLst/>
                  <a:latin typeface="Cambria Math" panose="02040503050406030204" pitchFamily="18" charset="0"/>
                  <a:ea typeface="+mn-ea"/>
                  <a:cs typeface="+mn-cs"/>
                </a:rPr>
                <a:t>+𝑉_𝑂𝑈𝑇/(𝑅_1+𝑅_2 ))</a:t>
              </a:r>
              <a:endParaRPr lang="en-US"/>
            </a:p>
          </xdr:txBody>
        </xdr:sp>
      </mc:Fallback>
    </mc:AlternateContent>
    <xdr:clientData/>
  </xdr:twoCellAnchor>
  <xdr:twoCellAnchor editAs="oneCell">
    <xdr:from>
      <xdr:col>3</xdr:col>
      <xdr:colOff>552450</xdr:colOff>
      <xdr:row>12</xdr:row>
      <xdr:rowOff>38100</xdr:rowOff>
    </xdr:from>
    <xdr:to>
      <xdr:col>10</xdr:col>
      <xdr:colOff>990600</xdr:colOff>
      <xdr:row>22</xdr:row>
      <xdr:rowOff>114300</xdr:rowOff>
    </xdr:to>
    <xdr:pic>
      <xdr:nvPicPr>
        <xdr:cNvPr id="9" name="Graphic 8">
          <a:extLst>
            <a:ext uri="{FF2B5EF4-FFF2-40B4-BE49-F238E27FC236}">
              <a16:creationId xmlns:a16="http://schemas.microsoft.com/office/drawing/2014/main" id="{82139C41-558B-863A-0382-64951AD49CE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86200" y="2590800"/>
          <a:ext cx="4705350" cy="2171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5</xdr:col>
      <xdr:colOff>119062</xdr:colOff>
      <xdr:row>1</xdr:row>
      <xdr:rowOff>28575</xdr:rowOff>
    </xdr:from>
    <xdr:ext cx="2696251" cy="2108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D8469E-F638-42E1-B759-CA543D14D593}"/>
                </a:ext>
              </a:extLst>
            </xdr:cNvPr>
            <xdr:cNvSpPr txBox="1"/>
          </xdr:nvSpPr>
          <xdr:spPr>
            <a:xfrm>
              <a:off x="6102494" y="227734"/>
              <a:ext cx="2696251" cy="2108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𝑇</m:t>
                        </m:r>
                      </m:e>
                      <m:sub>
                        <m:r>
                          <a:rPr lang="en-US" sz="1200" b="0" i="1">
                            <a:latin typeface="Cambria Math" panose="02040503050406030204" pitchFamily="18" charset="0"/>
                          </a:rPr>
                          <m:t>𝐽</m:t>
                        </m:r>
                      </m:sub>
                    </m:sSub>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𝑇</m:t>
                        </m:r>
                      </m:e>
                      <m:sub>
                        <m:r>
                          <a:rPr lang="en-US" sz="1200" b="0" i="1">
                            <a:latin typeface="Cambria Math" panose="02040503050406030204" pitchFamily="18" charset="0"/>
                          </a:rPr>
                          <m:t>𝐴𝑀𝐵</m:t>
                        </m:r>
                      </m:sub>
                    </m:sSub>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𝑃</m:t>
                        </m:r>
                      </m:e>
                      <m:sub>
                        <m:r>
                          <a:rPr lang="en-US" sz="1200" b="0" i="1">
                            <a:latin typeface="Cambria Math" panose="02040503050406030204" pitchFamily="18" charset="0"/>
                          </a:rPr>
                          <m:t>𝐷𝐼𝑆𝑆</m:t>
                        </m:r>
                      </m:sub>
                    </m:sSub>
                    <m:d>
                      <m:dPr>
                        <m:ctrlPr>
                          <a:rPr lang="en-US" sz="1200" b="0" i="1">
                            <a:latin typeface="Cambria Math" panose="02040503050406030204" pitchFamily="18" charset="0"/>
                          </a:rPr>
                        </m:ctrlPr>
                      </m:dPr>
                      <m:e>
                        <m:sSub>
                          <m:sSubPr>
                            <m:ctrlPr>
                              <a:rPr lang="en-US" sz="1200" b="0" i="1">
                                <a:latin typeface="Cambria Math" panose="02040503050406030204" pitchFamily="18" charset="0"/>
                              </a:rPr>
                            </m:ctrlPr>
                          </m:sSubPr>
                          <m:e>
                            <m:r>
                              <a:rPr lang="en-US" sz="1200" b="0" i="1">
                                <a:latin typeface="Cambria Math" panose="02040503050406030204" pitchFamily="18" charset="0"/>
                              </a:rPr>
                              <m:t>𝑅</m:t>
                            </m:r>
                          </m:e>
                          <m:sub>
                            <m:r>
                              <a:rPr lang="en-US" sz="1100" b="0" i="1">
                                <a:solidFill>
                                  <a:schemeClr val="tx1"/>
                                </a:solidFill>
                                <a:effectLst/>
                                <a:latin typeface="Cambria Math" panose="02040503050406030204" pitchFamily="18" charset="0"/>
                                <a:ea typeface="+mn-ea"/>
                                <a:cs typeface="+mn-cs"/>
                              </a:rPr>
                              <m:t>𝜃</m:t>
                            </m:r>
                            <m:r>
                              <a:rPr lang="en-US" sz="1200" b="0" i="1">
                                <a:latin typeface="Cambria Math" panose="02040503050406030204" pitchFamily="18" charset="0"/>
                              </a:rPr>
                              <m:t>𝐽𝐶</m:t>
                            </m:r>
                          </m:sub>
                        </m:sSub>
                        <m:r>
                          <a:rPr lang="en-US" sz="1200" b="0" i="1">
                            <a:latin typeface="Cambria Math" panose="02040503050406030204" pitchFamily="18" charset="0"/>
                          </a:rPr>
                          <m:t>+</m:t>
                        </m:r>
                        <m:sSub>
                          <m:sSubPr>
                            <m:ctrlPr>
                              <a:rPr lang="en-US" sz="1200" b="0" i="1">
                                <a:solidFill>
                                  <a:schemeClr val="tx1"/>
                                </a:solidFill>
                                <a:effectLst/>
                                <a:latin typeface="Cambria Math" panose="02040503050406030204" pitchFamily="18" charset="0"/>
                                <a:ea typeface="+mn-ea"/>
                                <a:cs typeface="+mn-cs"/>
                              </a:rPr>
                            </m:ctrlPr>
                          </m:sSubPr>
                          <m:e>
                            <m:r>
                              <a:rPr lang="en-US" sz="12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𝜃</m:t>
                            </m:r>
                            <m:r>
                              <a:rPr lang="en-US" sz="1200" b="0" i="1">
                                <a:solidFill>
                                  <a:schemeClr val="tx1"/>
                                </a:solidFill>
                                <a:effectLst/>
                                <a:latin typeface="Cambria Math" panose="02040503050406030204" pitchFamily="18" charset="0"/>
                                <a:ea typeface="+mn-ea"/>
                                <a:cs typeface="+mn-cs"/>
                              </a:rPr>
                              <m:t>𝑇𝐼𝑀</m:t>
                            </m:r>
                          </m:sub>
                        </m:sSub>
                        <m:r>
                          <a:rPr lang="en-US" sz="1200" b="0" i="1">
                            <a:solidFill>
                              <a:schemeClr val="tx1"/>
                            </a:solidFill>
                            <a:effectLst/>
                            <a:latin typeface="Cambria Math" panose="02040503050406030204" pitchFamily="18" charset="0"/>
                            <a:ea typeface="+mn-ea"/>
                            <a:cs typeface="+mn-cs"/>
                          </a:rPr>
                          <m:t>+</m:t>
                        </m:r>
                        <m:sSub>
                          <m:sSubPr>
                            <m:ctrlPr>
                              <a:rPr lang="en-US" sz="1200" b="0" i="1">
                                <a:solidFill>
                                  <a:schemeClr val="tx1"/>
                                </a:solidFill>
                                <a:effectLst/>
                                <a:latin typeface="Cambria Math" panose="02040503050406030204" pitchFamily="18" charset="0"/>
                                <a:ea typeface="+mn-ea"/>
                                <a:cs typeface="+mn-cs"/>
                              </a:rPr>
                            </m:ctrlPr>
                          </m:sSubPr>
                          <m:e>
                            <m:r>
                              <a:rPr lang="en-US" sz="12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𝜃</m:t>
                            </m:r>
                            <m:r>
                              <a:rPr lang="en-US" sz="1200" b="0" i="1">
                                <a:solidFill>
                                  <a:schemeClr val="tx1"/>
                                </a:solidFill>
                                <a:effectLst/>
                                <a:latin typeface="Cambria Math" panose="02040503050406030204" pitchFamily="18" charset="0"/>
                                <a:ea typeface="+mn-ea"/>
                                <a:cs typeface="+mn-cs"/>
                              </a:rPr>
                              <m:t>𝑆𝐴</m:t>
                            </m:r>
                          </m:sub>
                        </m:sSub>
                      </m:e>
                    </m:d>
                  </m:oMath>
                </m:oMathPara>
              </a14:m>
              <a:endParaRPr lang="en-US" sz="1200"/>
            </a:p>
          </xdr:txBody>
        </xdr:sp>
      </mc:Choice>
      <mc:Fallback xmlns="">
        <xdr:sp macro="" textlink="">
          <xdr:nvSpPr>
            <xdr:cNvPr id="2" name="TextBox 1">
              <a:extLst>
                <a:ext uri="{FF2B5EF4-FFF2-40B4-BE49-F238E27FC236}">
                  <a16:creationId xmlns:a16="http://schemas.microsoft.com/office/drawing/2014/main" id="{F1D8469E-F638-42E1-B759-CA543D14D593}"/>
                </a:ext>
              </a:extLst>
            </xdr:cNvPr>
            <xdr:cNvSpPr txBox="1"/>
          </xdr:nvSpPr>
          <xdr:spPr>
            <a:xfrm>
              <a:off x="6102494" y="227734"/>
              <a:ext cx="2696251" cy="2108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0" i="0">
                  <a:latin typeface="Cambria Math" panose="02040503050406030204" pitchFamily="18" charset="0"/>
                </a:rPr>
                <a:t>𝑇_𝐽=𝑇_𝐴𝑀𝐵+𝑃_𝐷𝐼𝑆𝑆 (𝑅_</a:t>
              </a:r>
              <a:r>
                <a:rPr lang="en-US" sz="1100" b="0" i="0">
                  <a:solidFill>
                    <a:schemeClr val="tx1"/>
                  </a:solidFill>
                  <a:effectLst/>
                  <a:latin typeface="Cambria Math" panose="02040503050406030204" pitchFamily="18" charset="0"/>
                  <a:ea typeface="+mn-ea"/>
                  <a:cs typeface="+mn-cs"/>
                </a:rPr>
                <a:t>𝜃</a:t>
              </a:r>
              <a:r>
                <a:rPr lang="en-US" sz="1200" b="0" i="0">
                  <a:latin typeface="Cambria Math" panose="02040503050406030204" pitchFamily="18" charset="0"/>
                </a:rPr>
                <a:t>𝐽𝐶+</a:t>
              </a:r>
              <a:r>
                <a:rPr lang="en-US" sz="1200" b="0" i="0">
                  <a:solidFill>
                    <a:schemeClr val="tx1"/>
                  </a:solidFill>
                  <a:effectLst/>
                  <a:latin typeface="Cambria Math" panose="02040503050406030204" pitchFamily="18" charset="0"/>
                  <a:ea typeface="+mn-ea"/>
                  <a:cs typeface="+mn-cs"/>
                </a:rPr>
                <a:t>𝑅_</a:t>
              </a:r>
              <a:r>
                <a:rPr lang="en-US" sz="1100" b="0" i="0">
                  <a:solidFill>
                    <a:schemeClr val="tx1"/>
                  </a:solidFill>
                  <a:effectLst/>
                  <a:latin typeface="Cambria Math" panose="02040503050406030204" pitchFamily="18" charset="0"/>
                  <a:ea typeface="+mn-ea"/>
                  <a:cs typeface="+mn-cs"/>
                </a:rPr>
                <a:t>𝜃</a:t>
              </a:r>
              <a:r>
                <a:rPr lang="en-US" sz="1200" b="0" i="0">
                  <a:solidFill>
                    <a:schemeClr val="tx1"/>
                  </a:solidFill>
                  <a:effectLst/>
                  <a:latin typeface="Cambria Math" panose="02040503050406030204" pitchFamily="18" charset="0"/>
                  <a:ea typeface="+mn-ea"/>
                  <a:cs typeface="+mn-cs"/>
                </a:rPr>
                <a:t>𝑇𝐼𝑀+𝑅_</a:t>
              </a:r>
              <a:r>
                <a:rPr lang="en-US" sz="1100" b="0" i="0">
                  <a:solidFill>
                    <a:schemeClr val="tx1"/>
                  </a:solidFill>
                  <a:effectLst/>
                  <a:latin typeface="Cambria Math" panose="02040503050406030204" pitchFamily="18" charset="0"/>
                  <a:ea typeface="+mn-ea"/>
                  <a:cs typeface="+mn-cs"/>
                </a:rPr>
                <a:t>𝜃</a:t>
              </a:r>
              <a:r>
                <a:rPr lang="en-US" sz="1200" b="0" i="0">
                  <a:solidFill>
                    <a:schemeClr val="tx1"/>
                  </a:solidFill>
                  <a:effectLst/>
                  <a:latin typeface="Cambria Math" panose="02040503050406030204" pitchFamily="18" charset="0"/>
                  <a:ea typeface="+mn-ea"/>
                  <a:cs typeface="+mn-cs"/>
                </a:rPr>
                <a:t>𝑆𝐴 )</a:t>
              </a:r>
              <a:endParaRPr lang="en-US" sz="1200"/>
            </a:p>
          </xdr:txBody>
        </xdr:sp>
      </mc:Fallback>
    </mc:AlternateContent>
    <xdr:clientData/>
  </xdr:oneCellAnchor>
  <xdr:twoCellAnchor editAs="oneCell">
    <xdr:from>
      <xdr:col>9</xdr:col>
      <xdr:colOff>200025</xdr:colOff>
      <xdr:row>5</xdr:row>
      <xdr:rowOff>123824</xdr:rowOff>
    </xdr:from>
    <xdr:to>
      <xdr:col>9</xdr:col>
      <xdr:colOff>680085</xdr:colOff>
      <xdr:row>18</xdr:row>
      <xdr:rowOff>143827</xdr:rowOff>
    </xdr:to>
    <xdr:pic>
      <xdr:nvPicPr>
        <xdr:cNvPr id="6" name="Graphic 5">
          <a:extLst>
            <a:ext uri="{FF2B5EF4-FFF2-40B4-BE49-F238E27FC236}">
              <a16:creationId xmlns:a16="http://schemas.microsoft.com/office/drawing/2014/main" id="{B469F3EF-EEA7-4C3B-9777-B2E60BE1DD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906125" y="1123949"/>
          <a:ext cx="480060" cy="2620328"/>
        </a:xfrm>
        <a:prstGeom prst="rect">
          <a:avLst/>
        </a:prstGeom>
      </xdr:spPr>
    </xdr:pic>
    <xdr:clientData/>
  </xdr:twoCellAnchor>
  <xdr:twoCellAnchor editAs="oneCell">
    <xdr:from>
      <xdr:col>4</xdr:col>
      <xdr:colOff>219075</xdr:colOff>
      <xdr:row>5</xdr:row>
      <xdr:rowOff>123825</xdr:rowOff>
    </xdr:from>
    <xdr:to>
      <xdr:col>4</xdr:col>
      <xdr:colOff>699135</xdr:colOff>
      <xdr:row>26</xdr:row>
      <xdr:rowOff>143828</xdr:rowOff>
    </xdr:to>
    <xdr:pic>
      <xdr:nvPicPr>
        <xdr:cNvPr id="7" name="Graphic 6">
          <a:extLst>
            <a:ext uri="{FF2B5EF4-FFF2-40B4-BE49-F238E27FC236}">
              <a16:creationId xmlns:a16="http://schemas.microsoft.com/office/drawing/2014/main" id="{DD96DCCA-44A4-494D-B173-26D080EFCB0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162675" y="1123950"/>
          <a:ext cx="480060" cy="422052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1495425</xdr:colOff>
      <xdr:row>1</xdr:row>
      <xdr:rowOff>0</xdr:rowOff>
    </xdr:from>
    <xdr:ext cx="1753172" cy="19133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D8A9B91F-FBA1-47FF-9763-B93DE27A8680}"/>
                </a:ext>
              </a:extLst>
            </xdr:cNvPr>
            <xdr:cNvSpPr txBox="1"/>
          </xdr:nvSpPr>
          <xdr:spPr>
            <a:xfrm>
              <a:off x="1495425" y="190500"/>
              <a:ext cx="1753172"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i="1">
                        <a:latin typeface="Cambria Math" panose="02040503050406030204" pitchFamily="18" charset="0"/>
                        <a:ea typeface="Cambria Math" panose="02040503050406030204" pitchFamily="18" charset="0"/>
                      </a:rPr>
                      <m:t>∆</m:t>
                    </m:r>
                    <m:r>
                      <a:rPr lang="en-US" sz="1200" b="0" i="1">
                        <a:latin typeface="Cambria Math" panose="02040503050406030204" pitchFamily="18" charset="0"/>
                        <a:ea typeface="Cambria Math" panose="02040503050406030204" pitchFamily="18" charset="0"/>
                      </a:rPr>
                      <m:t>𝑇</m:t>
                    </m:r>
                    <m:r>
                      <a:rPr lang="en-US" sz="1200" b="0" i="1">
                        <a:latin typeface="Cambria Math" panose="02040503050406030204" pitchFamily="18" charset="0"/>
                        <a:ea typeface="Cambria Math" panose="02040503050406030204" pitchFamily="18" charset="0"/>
                      </a:rPr>
                      <m:t>=</m:t>
                    </m:r>
                    <m:r>
                      <a:rPr lang="en-US" sz="1200" b="0" i="1">
                        <a:latin typeface="Cambria Math" panose="02040503050406030204" pitchFamily="18" charset="0"/>
                        <a:ea typeface="Cambria Math" panose="02040503050406030204" pitchFamily="18" charset="0"/>
                      </a:rPr>
                      <m:t>𝑎</m:t>
                    </m:r>
                    <m:sSup>
                      <m:sSupPr>
                        <m:ctrlPr>
                          <a:rPr lang="en-US" sz="1200" b="0" i="1">
                            <a:latin typeface="Cambria Math" panose="02040503050406030204" pitchFamily="18" charset="0"/>
                            <a:ea typeface="Cambria Math" panose="02040503050406030204" pitchFamily="18" charset="0"/>
                          </a:rPr>
                        </m:ctrlPr>
                      </m:sSupPr>
                      <m:e>
                        <m:r>
                          <a:rPr lang="en-US" sz="1200" b="0" i="1">
                            <a:latin typeface="Cambria Math" panose="02040503050406030204" pitchFamily="18" charset="0"/>
                            <a:ea typeface="Cambria Math" panose="02040503050406030204" pitchFamily="18" charset="0"/>
                          </a:rPr>
                          <m:t>𝑃</m:t>
                        </m:r>
                      </m:e>
                      <m:sup>
                        <m:r>
                          <a:rPr lang="en-US" sz="1200" b="0" i="1">
                            <a:latin typeface="Cambria Math" panose="02040503050406030204" pitchFamily="18" charset="0"/>
                            <a:ea typeface="Cambria Math" panose="02040503050406030204" pitchFamily="18" charset="0"/>
                          </a:rPr>
                          <m:t>3</m:t>
                        </m:r>
                      </m:sup>
                    </m:sSup>
                    <m:r>
                      <a:rPr lang="en-US" sz="1200" b="0" i="1">
                        <a:latin typeface="Cambria Math" panose="02040503050406030204" pitchFamily="18" charset="0"/>
                        <a:ea typeface="Cambria Math" panose="02040503050406030204" pitchFamily="18" charset="0"/>
                      </a:rPr>
                      <m:t>+</m:t>
                    </m:r>
                    <m:r>
                      <a:rPr lang="en-US" sz="1200" b="0" i="1">
                        <a:latin typeface="Cambria Math" panose="02040503050406030204" pitchFamily="18" charset="0"/>
                        <a:ea typeface="Cambria Math" panose="02040503050406030204" pitchFamily="18" charset="0"/>
                      </a:rPr>
                      <m:t>𝑏</m:t>
                    </m:r>
                    <m:sSup>
                      <m:sSupPr>
                        <m:ctrlPr>
                          <a:rPr lang="en-US" sz="1200" b="0" i="1">
                            <a:latin typeface="Cambria Math" panose="02040503050406030204" pitchFamily="18" charset="0"/>
                            <a:ea typeface="Cambria Math" panose="02040503050406030204" pitchFamily="18" charset="0"/>
                          </a:rPr>
                        </m:ctrlPr>
                      </m:sSupPr>
                      <m:e>
                        <m:r>
                          <a:rPr lang="en-US" sz="1200" b="0" i="1">
                            <a:latin typeface="Cambria Math" panose="02040503050406030204" pitchFamily="18" charset="0"/>
                            <a:ea typeface="Cambria Math" panose="02040503050406030204" pitchFamily="18" charset="0"/>
                          </a:rPr>
                          <m:t>𝑃</m:t>
                        </m:r>
                      </m:e>
                      <m:sup>
                        <m:r>
                          <a:rPr lang="en-US" sz="1200" b="0" i="1">
                            <a:latin typeface="Cambria Math" panose="02040503050406030204" pitchFamily="18" charset="0"/>
                            <a:ea typeface="Cambria Math" panose="02040503050406030204" pitchFamily="18" charset="0"/>
                          </a:rPr>
                          <m:t>2</m:t>
                        </m:r>
                      </m:sup>
                    </m:sSup>
                    <m:r>
                      <a:rPr lang="en-US" sz="1200" b="0" i="1">
                        <a:latin typeface="Cambria Math" panose="02040503050406030204" pitchFamily="18" charset="0"/>
                        <a:ea typeface="Cambria Math" panose="02040503050406030204" pitchFamily="18" charset="0"/>
                      </a:rPr>
                      <m:t>+</m:t>
                    </m:r>
                    <m:r>
                      <a:rPr lang="en-US" sz="1200" b="0" i="1">
                        <a:latin typeface="Cambria Math" panose="02040503050406030204" pitchFamily="18" charset="0"/>
                        <a:ea typeface="Cambria Math" panose="02040503050406030204" pitchFamily="18" charset="0"/>
                      </a:rPr>
                      <m:t>𝑐𝑃</m:t>
                    </m:r>
                    <m:r>
                      <a:rPr lang="en-US" sz="1200" b="0" i="1">
                        <a:latin typeface="Cambria Math" panose="02040503050406030204" pitchFamily="18" charset="0"/>
                        <a:ea typeface="Cambria Math" panose="02040503050406030204" pitchFamily="18" charset="0"/>
                      </a:rPr>
                      <m:t>+</m:t>
                    </m:r>
                    <m:r>
                      <a:rPr lang="en-US" sz="1200" b="0" i="1">
                        <a:latin typeface="Cambria Math" panose="02040503050406030204" pitchFamily="18" charset="0"/>
                        <a:ea typeface="Cambria Math" panose="02040503050406030204" pitchFamily="18" charset="0"/>
                      </a:rPr>
                      <m:t>𝑑</m:t>
                    </m:r>
                  </m:oMath>
                </m:oMathPara>
              </a14:m>
              <a:endParaRPr lang="en-US" sz="1200"/>
            </a:p>
          </xdr:txBody>
        </xdr:sp>
      </mc:Choice>
      <mc:Fallback xmlns="">
        <xdr:sp macro="" textlink="">
          <xdr:nvSpPr>
            <xdr:cNvPr id="3" name="TextBox 2">
              <a:extLst>
                <a:ext uri="{FF2B5EF4-FFF2-40B4-BE49-F238E27FC236}">
                  <a16:creationId xmlns:a16="http://schemas.microsoft.com/office/drawing/2014/main" id="{D8A9B91F-FBA1-47FF-9763-B93DE27A8680}"/>
                </a:ext>
              </a:extLst>
            </xdr:cNvPr>
            <xdr:cNvSpPr txBox="1"/>
          </xdr:nvSpPr>
          <xdr:spPr>
            <a:xfrm>
              <a:off x="1495425" y="190500"/>
              <a:ext cx="1753172" cy="191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i="0">
                  <a:latin typeface="Cambria Math" panose="02040503050406030204" pitchFamily="18" charset="0"/>
                  <a:ea typeface="Cambria Math" panose="02040503050406030204" pitchFamily="18" charset="0"/>
                </a:rPr>
                <a:t>∆</a:t>
              </a:r>
              <a:r>
                <a:rPr lang="en-US" sz="1200" b="0" i="0">
                  <a:latin typeface="Cambria Math" panose="02040503050406030204" pitchFamily="18" charset="0"/>
                  <a:ea typeface="Cambria Math" panose="02040503050406030204" pitchFamily="18" charset="0"/>
                </a:rPr>
                <a:t>𝑇=𝑎𝑃^3+𝑏𝑃^2+𝑐𝑃+𝑑</a:t>
              </a:r>
              <a:endParaRPr lang="en-US" sz="1200"/>
            </a:p>
          </xdr:txBody>
        </xdr:sp>
      </mc:Fallback>
    </mc:AlternateContent>
    <xdr:clientData/>
  </xdr:oneCellAnchor>
  <xdr:oneCellAnchor>
    <xdr:from>
      <xdr:col>2</xdr:col>
      <xdr:colOff>76200</xdr:colOff>
      <xdr:row>0</xdr:row>
      <xdr:rowOff>57150</xdr:rowOff>
    </xdr:from>
    <xdr:ext cx="701025" cy="33701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B717E63D-8969-4F61-ADCE-02B7532EC86E}"/>
                </a:ext>
              </a:extLst>
            </xdr:cNvPr>
            <xdr:cNvSpPr txBox="1"/>
          </xdr:nvSpPr>
          <xdr:spPr>
            <a:xfrm>
              <a:off x="3810000" y="57150"/>
              <a:ext cx="701025" cy="33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ea typeface="Cambria Math" panose="02040503050406030204" pitchFamily="18" charset="0"/>
                          </a:rPr>
                        </m:ctrlPr>
                      </m:sSubPr>
                      <m:e>
                        <m:r>
                          <a:rPr lang="en-US" sz="1200" b="0" i="1">
                            <a:latin typeface="Cambria Math" panose="02040503050406030204" pitchFamily="18" charset="0"/>
                            <a:ea typeface="Cambria Math" panose="02040503050406030204" pitchFamily="18" charset="0"/>
                          </a:rPr>
                          <m:t>𝑅</m:t>
                        </m:r>
                      </m:e>
                      <m:sub>
                        <m:r>
                          <a:rPr lang="en-US" sz="1100" i="1">
                            <a:solidFill>
                              <a:schemeClr val="tx1"/>
                            </a:solidFill>
                            <a:effectLst/>
                            <a:latin typeface="Cambria Math" panose="02040503050406030204" pitchFamily="18" charset="0"/>
                            <a:ea typeface="+mn-ea"/>
                            <a:cs typeface="+mn-cs"/>
                          </a:rPr>
                          <m:t>𝜃</m:t>
                        </m:r>
                        <m:r>
                          <a:rPr lang="en-US" sz="1200" b="0" i="1">
                            <a:latin typeface="Cambria Math" panose="02040503050406030204" pitchFamily="18" charset="0"/>
                            <a:ea typeface="Cambria Math" panose="02040503050406030204" pitchFamily="18" charset="0"/>
                          </a:rPr>
                          <m:t>𝑆𝐴</m:t>
                        </m:r>
                      </m:sub>
                    </m:sSub>
                    <m:r>
                      <a:rPr lang="en-US" sz="1200" b="0" i="1">
                        <a:latin typeface="Cambria Math" panose="02040503050406030204" pitchFamily="18" charset="0"/>
                        <a:ea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𝑇</m:t>
                        </m:r>
                      </m:num>
                      <m:den>
                        <m:r>
                          <a:rPr lang="en-US" sz="1100" b="0" i="1">
                            <a:solidFill>
                              <a:schemeClr val="tx1"/>
                            </a:solidFill>
                            <a:effectLst/>
                            <a:latin typeface="Cambria Math" panose="02040503050406030204" pitchFamily="18" charset="0"/>
                            <a:ea typeface="+mn-ea"/>
                            <a:cs typeface="+mn-cs"/>
                          </a:rPr>
                          <m:t>𝑃</m:t>
                        </m:r>
                      </m:den>
                    </m:f>
                  </m:oMath>
                </m:oMathPara>
              </a14:m>
              <a:endParaRPr lang="en-US" sz="1200"/>
            </a:p>
          </xdr:txBody>
        </xdr:sp>
      </mc:Choice>
      <mc:Fallback xmlns="">
        <xdr:sp macro="" textlink="">
          <xdr:nvSpPr>
            <xdr:cNvPr id="4" name="TextBox 3">
              <a:extLst>
                <a:ext uri="{FF2B5EF4-FFF2-40B4-BE49-F238E27FC236}">
                  <a16:creationId xmlns:a16="http://schemas.microsoft.com/office/drawing/2014/main" id="{B717E63D-8969-4F61-ADCE-02B7532EC86E}"/>
                </a:ext>
              </a:extLst>
            </xdr:cNvPr>
            <xdr:cNvSpPr txBox="1"/>
          </xdr:nvSpPr>
          <xdr:spPr>
            <a:xfrm>
              <a:off x="3810000" y="57150"/>
              <a:ext cx="701025" cy="33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0" i="0">
                  <a:latin typeface="Cambria Math" panose="02040503050406030204" pitchFamily="18" charset="0"/>
                  <a:ea typeface="Cambria Math" panose="02040503050406030204" pitchFamily="18" charset="0"/>
                </a:rPr>
                <a:t>𝑅_</a:t>
              </a:r>
              <a:r>
                <a:rPr lang="en-US" sz="1100" i="0">
                  <a:solidFill>
                    <a:schemeClr val="tx1"/>
                  </a:solidFill>
                  <a:effectLst/>
                  <a:latin typeface="+mn-lt"/>
                  <a:ea typeface="+mn-ea"/>
                  <a:cs typeface="+mn-cs"/>
                </a:rPr>
                <a:t>𝜃</a:t>
              </a:r>
              <a:r>
                <a:rPr lang="en-US" sz="1200" b="0" i="0">
                  <a:latin typeface="Cambria Math" panose="02040503050406030204" pitchFamily="18" charset="0"/>
                  <a:ea typeface="Cambria Math" panose="02040503050406030204" pitchFamily="18" charset="0"/>
                </a:rPr>
                <a:t>𝑆𝐴=</a:t>
              </a:r>
              <a:r>
                <a:rPr lang="en-US" sz="1100" b="0" i="0">
                  <a:solidFill>
                    <a:schemeClr val="tx1"/>
                  </a:solidFill>
                  <a:effectLst/>
                  <a:latin typeface="Cambria Math" panose="02040503050406030204" pitchFamily="18" charset="0"/>
                  <a:ea typeface="+mn-ea"/>
                  <a:cs typeface="+mn-cs"/>
                </a:rPr>
                <a:t>∆𝑇/𝑃</a:t>
              </a:r>
              <a:endParaRPr lang="en-US" sz="1200"/>
            </a:p>
          </xdr:txBody>
        </xdr:sp>
      </mc:Fallback>
    </mc:AlternateContent>
    <xdr:clientData/>
  </xdr:oneCellAnchor>
  <xdr:twoCellAnchor editAs="oneCell">
    <xdr:from>
      <xdr:col>17</xdr:col>
      <xdr:colOff>16329</xdr:colOff>
      <xdr:row>5</xdr:row>
      <xdr:rowOff>54474</xdr:rowOff>
    </xdr:from>
    <xdr:to>
      <xdr:col>22</xdr:col>
      <xdr:colOff>491219</xdr:colOff>
      <xdr:row>11</xdr:row>
      <xdr:rowOff>104657</xdr:rowOff>
    </xdr:to>
    <xdr:pic>
      <xdr:nvPicPr>
        <xdr:cNvPr id="2" name="Picture 1">
          <a:extLst>
            <a:ext uri="{FF2B5EF4-FFF2-40B4-BE49-F238E27FC236}">
              <a16:creationId xmlns:a16="http://schemas.microsoft.com/office/drawing/2014/main" id="{CD1FBF19-9125-47AA-BD6B-5320898FEEBB}"/>
            </a:ext>
          </a:extLst>
        </xdr:cNvPr>
        <xdr:cNvPicPr>
          <a:picLocks noChangeAspect="1"/>
        </xdr:cNvPicPr>
      </xdr:nvPicPr>
      <xdr:blipFill>
        <a:blip xmlns:r="http://schemas.openxmlformats.org/officeDocument/2006/relationships" r:embed="rId1"/>
        <a:stretch>
          <a:fillRect/>
        </a:stretch>
      </xdr:blipFill>
      <xdr:spPr>
        <a:xfrm>
          <a:off x="16142154" y="1330824"/>
          <a:ext cx="4389665" cy="1221758"/>
        </a:xfrm>
        <a:prstGeom prst="rect">
          <a:avLst/>
        </a:prstGeom>
      </xdr:spPr>
    </xdr:pic>
    <xdr:clientData/>
  </xdr:twoCellAnchor>
  <xdr:twoCellAnchor editAs="absolute">
    <xdr:from>
      <xdr:col>23</xdr:col>
      <xdr:colOff>238125</xdr:colOff>
      <xdr:row>7</xdr:row>
      <xdr:rowOff>9525</xdr:rowOff>
    </xdr:from>
    <xdr:to>
      <xdr:col>27</xdr:col>
      <xdr:colOff>158786</xdr:colOff>
      <xdr:row>32</xdr:row>
      <xdr:rowOff>188513</xdr:rowOff>
    </xdr:to>
    <xdr:grpSp>
      <xdr:nvGrpSpPr>
        <xdr:cNvPr id="5" name="Group 4">
          <a:extLst>
            <a:ext uri="{FF2B5EF4-FFF2-40B4-BE49-F238E27FC236}">
              <a16:creationId xmlns:a16="http://schemas.microsoft.com/office/drawing/2014/main" id="{B4D9F157-CF69-41E1-A7C8-493658BF95D5}"/>
            </a:ext>
          </a:extLst>
        </xdr:cNvPr>
        <xdr:cNvGrpSpPr/>
      </xdr:nvGrpSpPr>
      <xdr:grpSpPr>
        <a:xfrm>
          <a:off x="22136100" y="1504950"/>
          <a:ext cx="3987836" cy="4941488"/>
          <a:chOff x="29686318" y="5028641"/>
          <a:chExt cx="3970564" cy="4941488"/>
        </a:xfrm>
      </xdr:grpSpPr>
      <xdr:grpSp>
        <xdr:nvGrpSpPr>
          <xdr:cNvPr id="6" name="Group 5">
            <a:extLst>
              <a:ext uri="{FF2B5EF4-FFF2-40B4-BE49-F238E27FC236}">
                <a16:creationId xmlns:a16="http://schemas.microsoft.com/office/drawing/2014/main" id="{1FCDED2B-AF5A-A854-131C-CC9E77A5DC09}"/>
              </a:ext>
            </a:extLst>
          </xdr:cNvPr>
          <xdr:cNvGrpSpPr/>
        </xdr:nvGrpSpPr>
        <xdr:grpSpPr>
          <a:xfrm>
            <a:off x="30609722" y="6007728"/>
            <a:ext cx="1955987" cy="3962401"/>
            <a:chOff x="4572000" y="2514599"/>
            <a:chExt cx="1981200" cy="3962401"/>
          </a:xfrm>
        </xdr:grpSpPr>
        <xdr:sp macro="" textlink="">
          <xdr:nvSpPr>
            <xdr:cNvPr id="33" name="Rectangle 32">
              <a:extLst>
                <a:ext uri="{FF2B5EF4-FFF2-40B4-BE49-F238E27FC236}">
                  <a16:creationId xmlns:a16="http://schemas.microsoft.com/office/drawing/2014/main" id="{178201BC-EB2D-F814-D8DA-85A59DF07145}"/>
                </a:ext>
              </a:extLst>
            </xdr:cNvPr>
            <xdr:cNvSpPr/>
          </xdr:nvSpPr>
          <xdr:spPr bwMode="auto">
            <a:xfrm>
              <a:off x="4572000" y="2514599"/>
              <a:ext cx="1981200" cy="2971801"/>
            </a:xfrm>
            <a:prstGeom prst="rect">
              <a:avLst/>
            </a:prstGeom>
            <a:solidFill>
              <a:schemeClr val="tx1"/>
            </a:solidFill>
            <a:ln w="12700" algn="ctr">
              <a:noFill/>
              <a:miter lim="800000"/>
              <a:headEnd/>
              <a:tailEnd/>
            </a:ln>
          </xdr:spPr>
          <xdr:txBody>
            <a:bodyPr wrap="square" rtlCol="0" anchor="ct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lgn="ctr"/>
              <a:endParaRPr lang="en-US"/>
            </a:p>
          </xdr:txBody>
        </xdr:sp>
        <xdr:sp macro="" textlink="">
          <xdr:nvSpPr>
            <xdr:cNvPr id="34" name="Rectangle 33">
              <a:extLst>
                <a:ext uri="{FF2B5EF4-FFF2-40B4-BE49-F238E27FC236}">
                  <a16:creationId xmlns:a16="http://schemas.microsoft.com/office/drawing/2014/main" id="{8AB9F6DD-A9B0-3BD1-FE2F-E696F8BD7A87}"/>
                </a:ext>
              </a:extLst>
            </xdr:cNvPr>
            <xdr:cNvSpPr/>
          </xdr:nvSpPr>
          <xdr:spPr bwMode="auto">
            <a:xfrm>
              <a:off x="4902200" y="5486401"/>
              <a:ext cx="304800" cy="990599"/>
            </a:xfrm>
            <a:prstGeom prst="rect">
              <a:avLst/>
            </a:prstGeom>
            <a:solidFill>
              <a:srgbClr val="B5B5B5"/>
            </a:solidFill>
            <a:ln w="12700" algn="ctr">
              <a:noFill/>
              <a:miter lim="800000"/>
              <a:headEnd/>
              <a:tailEnd/>
            </a:ln>
          </xdr:spPr>
          <xdr:txBody>
            <a:bodyPr wrap="square" rtlCol="0" anchor="ct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lgn="ctr"/>
              <a:endParaRPr lang="en-US"/>
            </a:p>
          </xdr:txBody>
        </xdr:sp>
        <xdr:sp macro="" textlink="">
          <xdr:nvSpPr>
            <xdr:cNvPr id="35" name="Rectangle 34">
              <a:extLst>
                <a:ext uri="{FF2B5EF4-FFF2-40B4-BE49-F238E27FC236}">
                  <a16:creationId xmlns:a16="http://schemas.microsoft.com/office/drawing/2014/main" id="{27E67F51-D917-7DAB-00AD-512B63DE880E}"/>
                </a:ext>
              </a:extLst>
            </xdr:cNvPr>
            <xdr:cNvSpPr/>
          </xdr:nvSpPr>
          <xdr:spPr bwMode="auto">
            <a:xfrm>
              <a:off x="5384800" y="5486401"/>
              <a:ext cx="304800" cy="990599"/>
            </a:xfrm>
            <a:prstGeom prst="rect">
              <a:avLst/>
            </a:prstGeom>
            <a:solidFill>
              <a:srgbClr val="B5B5B5"/>
            </a:solidFill>
            <a:ln w="12700" algn="ctr">
              <a:noFill/>
              <a:miter lim="800000"/>
              <a:headEnd/>
              <a:tailEnd/>
            </a:ln>
          </xdr:spPr>
          <xdr:txBody>
            <a:bodyPr wrap="square" rtlCol="0" anchor="ct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lgn="ctr"/>
              <a:endParaRPr lang="en-US"/>
            </a:p>
          </xdr:txBody>
        </xdr:sp>
        <xdr:sp macro="" textlink="">
          <xdr:nvSpPr>
            <xdr:cNvPr id="36" name="Rectangle 35">
              <a:extLst>
                <a:ext uri="{FF2B5EF4-FFF2-40B4-BE49-F238E27FC236}">
                  <a16:creationId xmlns:a16="http://schemas.microsoft.com/office/drawing/2014/main" id="{29FC6DC5-1A85-345A-B561-D39BB33354E6}"/>
                </a:ext>
              </a:extLst>
            </xdr:cNvPr>
            <xdr:cNvSpPr/>
          </xdr:nvSpPr>
          <xdr:spPr bwMode="auto">
            <a:xfrm>
              <a:off x="5867400" y="5486401"/>
              <a:ext cx="304800" cy="990599"/>
            </a:xfrm>
            <a:prstGeom prst="rect">
              <a:avLst/>
            </a:prstGeom>
            <a:solidFill>
              <a:srgbClr val="B5B5B5"/>
            </a:solidFill>
            <a:ln w="12700" algn="ctr">
              <a:noFill/>
              <a:miter lim="800000"/>
              <a:headEnd/>
              <a:tailEnd/>
            </a:ln>
          </xdr:spPr>
          <xdr:txBody>
            <a:bodyPr wrap="square" rtlCol="0" anchor="ct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lgn="ctr"/>
              <a:endParaRPr lang="en-US"/>
            </a:p>
          </xdr:txBody>
        </xdr:sp>
      </xdr:grpSp>
      <xdr:sp macro="" textlink="">
        <xdr:nvSpPr>
          <xdr:cNvPr id="7" name="Freeform: Shape 6">
            <a:extLst>
              <a:ext uri="{FF2B5EF4-FFF2-40B4-BE49-F238E27FC236}">
                <a16:creationId xmlns:a16="http://schemas.microsoft.com/office/drawing/2014/main" id="{DB617FCE-9C65-D022-CDA0-156D1B5C7EB4}"/>
              </a:ext>
            </a:extLst>
          </xdr:cNvPr>
          <xdr:cNvSpPr/>
        </xdr:nvSpPr>
        <xdr:spPr bwMode="auto">
          <a:xfrm>
            <a:off x="30609722" y="6007729"/>
            <a:ext cx="1955987" cy="2362200"/>
          </a:xfrm>
          <a:custGeom>
            <a:avLst/>
            <a:gdLst>
              <a:gd name="connsiteX0" fmla="*/ 0 w 1981200"/>
              <a:gd name="connsiteY0" fmla="*/ 0 h 2362200"/>
              <a:gd name="connsiteX1" fmla="*/ 228600 w 1981200"/>
              <a:gd name="connsiteY1" fmla="*/ 0 h 2362200"/>
              <a:gd name="connsiteX2" fmla="*/ 1752600 w 1981200"/>
              <a:gd name="connsiteY2" fmla="*/ 0 h 2362200"/>
              <a:gd name="connsiteX3" fmla="*/ 1981200 w 1981200"/>
              <a:gd name="connsiteY3" fmla="*/ 0 h 2362200"/>
              <a:gd name="connsiteX4" fmla="*/ 1981200 w 1981200"/>
              <a:gd name="connsiteY4" fmla="*/ 1219200 h 2362200"/>
              <a:gd name="connsiteX5" fmla="*/ 1752600 w 1981200"/>
              <a:gd name="connsiteY5" fmla="*/ 1219200 h 2362200"/>
              <a:gd name="connsiteX6" fmla="*/ 1752600 w 1981200"/>
              <a:gd name="connsiteY6" fmla="*/ 2362200 h 2362200"/>
              <a:gd name="connsiteX7" fmla="*/ 228600 w 1981200"/>
              <a:gd name="connsiteY7" fmla="*/ 2362200 h 2362200"/>
              <a:gd name="connsiteX8" fmla="*/ 228600 w 1981200"/>
              <a:gd name="connsiteY8" fmla="*/ 1219200 h 2362200"/>
              <a:gd name="connsiteX9" fmla="*/ 0 w 1981200"/>
              <a:gd name="connsiteY9" fmla="*/ 1219200 h 2362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1981200" h="2362200">
                <a:moveTo>
                  <a:pt x="0" y="0"/>
                </a:moveTo>
                <a:lnTo>
                  <a:pt x="228600" y="0"/>
                </a:lnTo>
                <a:lnTo>
                  <a:pt x="1752600" y="0"/>
                </a:lnTo>
                <a:lnTo>
                  <a:pt x="1981200" y="0"/>
                </a:lnTo>
                <a:lnTo>
                  <a:pt x="1981200" y="1219200"/>
                </a:lnTo>
                <a:lnTo>
                  <a:pt x="1752600" y="1219200"/>
                </a:lnTo>
                <a:lnTo>
                  <a:pt x="1752600" y="2362200"/>
                </a:lnTo>
                <a:lnTo>
                  <a:pt x="228600" y="2362200"/>
                </a:lnTo>
                <a:lnTo>
                  <a:pt x="228600" y="1219200"/>
                </a:lnTo>
                <a:lnTo>
                  <a:pt x="0" y="1219200"/>
                </a:lnTo>
                <a:close/>
              </a:path>
            </a:pathLst>
          </a:custGeom>
          <a:solidFill>
            <a:srgbClr val="B5B5B5"/>
          </a:solidFill>
          <a:ln w="12700" algn="ctr">
            <a:noFill/>
            <a:miter lim="800000"/>
            <a:headEnd/>
            <a:tailEnd/>
          </a:ln>
        </xdr:spPr>
        <xdr:txBody>
          <a:bodyPr wrap="square" rtlCol="0" anchor="ctr">
            <a:noAutofit/>
          </a:bodyP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D9C4A403-B7AD-42F3-2737-6BC78FCF396C}"/>
              </a:ext>
            </a:extLst>
          </xdr:cNvPr>
          <xdr:cNvGrpSpPr/>
        </xdr:nvGrpSpPr>
        <xdr:grpSpPr>
          <a:xfrm>
            <a:off x="32601324" y="6026488"/>
            <a:ext cx="1055558" cy="2945502"/>
            <a:chOff x="4765164" y="2078907"/>
            <a:chExt cx="1083573" cy="816694"/>
          </a:xfrm>
        </xdr:grpSpPr>
        <xdr:cxnSp macro="">
          <xdr:nvCxnSpPr>
            <xdr:cNvPr id="28" name="Straight Arrow Connector 27">
              <a:extLst>
                <a:ext uri="{FF2B5EF4-FFF2-40B4-BE49-F238E27FC236}">
                  <a16:creationId xmlns:a16="http://schemas.microsoft.com/office/drawing/2014/main" id="{CEA08B7A-F73B-550C-FE1A-0FB63FF19F98}"/>
                </a:ext>
              </a:extLst>
            </xdr:cNvPr>
            <xdr:cNvCxnSpPr>
              <a:cxnSpLocks/>
            </xdr:cNvCxnSpPr>
          </xdr:nvCxnSpPr>
          <xdr:spPr>
            <a:xfrm>
              <a:off x="4765164" y="2895600"/>
              <a:ext cx="901114" cy="0"/>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29" name="Straight Arrow Connector 28">
              <a:extLst>
                <a:ext uri="{FF2B5EF4-FFF2-40B4-BE49-F238E27FC236}">
                  <a16:creationId xmlns:a16="http://schemas.microsoft.com/office/drawing/2014/main" id="{AD5A34AB-4B28-4B5E-B9FC-A3B26F4160DE}"/>
                </a:ext>
              </a:extLst>
            </xdr:cNvPr>
            <xdr:cNvCxnSpPr>
              <a:cxnSpLocks/>
              <a:stCxn id="30" idx="2"/>
            </xdr:cNvCxnSpPr>
          </xdr:nvCxnSpPr>
          <xdr:spPr>
            <a:xfrm flipH="1">
              <a:off x="5562599" y="2425707"/>
              <a:ext cx="1" cy="469894"/>
            </a:xfrm>
            <a:prstGeom prst="straightConnector1">
              <a:avLst/>
            </a:prstGeom>
            <a:ln w="19050" cap="flat" cmpd="sng" algn="ctr">
              <a:solidFill>
                <a:schemeClr val="tx1"/>
              </a:solidFill>
              <a:prstDash val="solid"/>
              <a:round/>
              <a:headEnd type="none" w="med" len="med"/>
              <a:tailEnd type="triangle" w="med" len="med"/>
            </a:ln>
          </xdr:spPr>
          <xdr:style>
            <a:lnRef idx="0">
              <a:scrgbClr r="0" g="0" b="0"/>
            </a:lnRef>
            <a:fillRef idx="0">
              <a:scrgbClr r="0" g="0" b="0"/>
            </a:fillRef>
            <a:effectRef idx="0">
              <a:scrgbClr r="0" g="0" b="0"/>
            </a:effectRef>
            <a:fontRef idx="minor">
              <a:schemeClr val="tx1"/>
            </a:fontRef>
          </xdr:style>
        </xdr:cxnSp>
        <xdr:sp macro="" textlink="">
          <xdr:nvSpPr>
            <xdr:cNvPr id="30" name="TextBox 20">
              <a:extLst>
                <a:ext uri="{FF2B5EF4-FFF2-40B4-BE49-F238E27FC236}">
                  <a16:creationId xmlns:a16="http://schemas.microsoft.com/office/drawing/2014/main" id="{C8271006-3DBA-C1B9-6766-9F1D637BD15B}"/>
                </a:ext>
              </a:extLst>
            </xdr:cNvPr>
            <xdr:cNvSpPr txBox="1"/>
          </xdr:nvSpPr>
          <xdr:spPr>
            <a:xfrm>
              <a:off x="5276464" y="2364144"/>
              <a:ext cx="572273" cy="61563"/>
            </a:xfrm>
            <a:prstGeom prst="rect">
              <a:avLst/>
            </a:prstGeom>
            <a:noFill/>
            <a:ln w="19050">
              <a:noFill/>
            </a:ln>
          </xdr:spPr>
          <xdr:style>
            <a:lnRef idx="2">
              <a:schemeClr val="dk1"/>
            </a:lnRef>
            <a:fillRef idx="1">
              <a:schemeClr val="lt1"/>
            </a:fillRef>
            <a:effectRef idx="0">
              <a:schemeClr val="dk1"/>
            </a:effectRef>
            <a:fontRef idx="minor">
              <a:schemeClr val="dk1"/>
            </a:fontRef>
          </xdr:style>
          <xdr:txBody>
            <a:bodyPr wrap="square" lIns="0" tIns="0" rIns="0" bIns="0" rtlCol="0">
              <a:spAutoFit/>
            </a:bodyPr>
            <a:lstStyle>
              <a:defPPr>
                <a:defRPr lang="en-US"/>
              </a:defPPr>
              <a:lvl1pPr marL="0" algn="l" defTabSz="1219170" rtl="0" eaLnBrk="1" latinLnBrk="0" hangingPunct="1">
                <a:defRPr sz="2400" kern="1200">
                  <a:solidFill>
                    <a:schemeClr val="dk1"/>
                  </a:solidFill>
                  <a:latin typeface="+mn-lt"/>
                  <a:ea typeface="+mn-ea"/>
                  <a:cs typeface="+mn-cs"/>
                </a:defRPr>
              </a:lvl1pPr>
              <a:lvl2pPr marL="609585" algn="l" defTabSz="1219170" rtl="0" eaLnBrk="1" latinLnBrk="0" hangingPunct="1">
                <a:defRPr sz="2400" kern="1200">
                  <a:solidFill>
                    <a:schemeClr val="dk1"/>
                  </a:solidFill>
                  <a:latin typeface="+mn-lt"/>
                  <a:ea typeface="+mn-ea"/>
                  <a:cs typeface="+mn-cs"/>
                </a:defRPr>
              </a:lvl2pPr>
              <a:lvl3pPr marL="1219170" algn="l" defTabSz="1219170" rtl="0" eaLnBrk="1" latinLnBrk="0" hangingPunct="1">
                <a:defRPr sz="2400" kern="1200">
                  <a:solidFill>
                    <a:schemeClr val="dk1"/>
                  </a:solidFill>
                  <a:latin typeface="+mn-lt"/>
                  <a:ea typeface="+mn-ea"/>
                  <a:cs typeface="+mn-cs"/>
                </a:defRPr>
              </a:lvl3pPr>
              <a:lvl4pPr marL="1828754" algn="l" defTabSz="1219170" rtl="0" eaLnBrk="1" latinLnBrk="0" hangingPunct="1">
                <a:defRPr sz="2400" kern="1200">
                  <a:solidFill>
                    <a:schemeClr val="dk1"/>
                  </a:solidFill>
                  <a:latin typeface="+mn-lt"/>
                  <a:ea typeface="+mn-ea"/>
                  <a:cs typeface="+mn-cs"/>
                </a:defRPr>
              </a:lvl4pPr>
              <a:lvl5pPr marL="2438339" algn="l" defTabSz="1219170" rtl="0" eaLnBrk="1" latinLnBrk="0" hangingPunct="1">
                <a:defRPr sz="2400" kern="1200">
                  <a:solidFill>
                    <a:schemeClr val="dk1"/>
                  </a:solidFill>
                  <a:latin typeface="+mn-lt"/>
                  <a:ea typeface="+mn-ea"/>
                  <a:cs typeface="+mn-cs"/>
                </a:defRPr>
              </a:lvl5pPr>
              <a:lvl6pPr marL="3047924" algn="l" defTabSz="1219170" rtl="0" eaLnBrk="1" latinLnBrk="0" hangingPunct="1">
                <a:defRPr sz="2400" kern="1200">
                  <a:solidFill>
                    <a:schemeClr val="dk1"/>
                  </a:solidFill>
                  <a:latin typeface="+mn-lt"/>
                  <a:ea typeface="+mn-ea"/>
                  <a:cs typeface="+mn-cs"/>
                </a:defRPr>
              </a:lvl6pPr>
              <a:lvl7pPr marL="3657509" algn="l" defTabSz="1219170" rtl="0" eaLnBrk="1" latinLnBrk="0" hangingPunct="1">
                <a:defRPr sz="2400" kern="1200">
                  <a:solidFill>
                    <a:schemeClr val="dk1"/>
                  </a:solidFill>
                  <a:latin typeface="+mn-lt"/>
                  <a:ea typeface="+mn-ea"/>
                  <a:cs typeface="+mn-cs"/>
                </a:defRPr>
              </a:lvl7pPr>
              <a:lvl8pPr marL="4267093" algn="l" defTabSz="1219170" rtl="0" eaLnBrk="1" latinLnBrk="0" hangingPunct="1">
                <a:defRPr sz="2400" kern="1200">
                  <a:solidFill>
                    <a:schemeClr val="dk1"/>
                  </a:solidFill>
                  <a:latin typeface="+mn-lt"/>
                  <a:ea typeface="+mn-ea"/>
                  <a:cs typeface="+mn-cs"/>
                </a:defRPr>
              </a:lvl8pPr>
              <a:lvl9pPr marL="4876678" algn="l" defTabSz="1219170" rtl="0" eaLnBrk="1" latinLnBrk="0" hangingPunct="1">
                <a:defRPr sz="2400" kern="1200">
                  <a:solidFill>
                    <a:schemeClr val="dk1"/>
                  </a:solidFill>
                  <a:latin typeface="+mn-lt"/>
                  <a:ea typeface="+mn-ea"/>
                  <a:cs typeface="+mn-cs"/>
                </a:defRPr>
              </a:lvl9pPr>
            </a:lstStyle>
            <a:p>
              <a:pPr algn="ctr"/>
              <a:r>
                <a:rPr lang="en-US" sz="1400">
                  <a:solidFill>
                    <a:schemeClr val="tx1"/>
                  </a:solidFill>
                  <a:latin typeface="Calibri" panose="020F0502020204030204" pitchFamily="34" charset="0"/>
                  <a:cs typeface="Calibri" panose="020F0502020204030204" pitchFamily="34" charset="0"/>
                </a:rPr>
                <a:t>0.4935</a:t>
              </a:r>
              <a:endParaRPr lang="en-US" sz="1400" baseline="30000">
                <a:solidFill>
                  <a:schemeClr val="tx1"/>
                </a:solidFill>
                <a:latin typeface="Calibri" panose="020F0502020204030204" pitchFamily="34" charset="0"/>
                <a:cs typeface="Calibri" panose="020F0502020204030204" pitchFamily="34" charset="0"/>
              </a:endParaRPr>
            </a:p>
          </xdr:txBody>
        </xdr:sp>
        <xdr:cxnSp macro="">
          <xdr:nvCxnSpPr>
            <xdr:cNvPr id="31" name="Straight Arrow Connector 30">
              <a:extLst>
                <a:ext uri="{FF2B5EF4-FFF2-40B4-BE49-F238E27FC236}">
                  <a16:creationId xmlns:a16="http://schemas.microsoft.com/office/drawing/2014/main" id="{0D353FC2-6983-AB4A-32AD-D41DCB6EAB81}"/>
                </a:ext>
              </a:extLst>
            </xdr:cNvPr>
            <xdr:cNvCxnSpPr>
              <a:cxnSpLocks/>
            </xdr:cNvCxnSpPr>
          </xdr:nvCxnSpPr>
          <xdr:spPr>
            <a:xfrm>
              <a:off x="4765164" y="2078908"/>
              <a:ext cx="901114" cy="0"/>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32" name="Straight Arrow Connector 31">
              <a:extLst>
                <a:ext uri="{FF2B5EF4-FFF2-40B4-BE49-F238E27FC236}">
                  <a16:creationId xmlns:a16="http://schemas.microsoft.com/office/drawing/2014/main" id="{AA2E45E1-9784-4459-7170-779A4CDD3495}"/>
                </a:ext>
              </a:extLst>
            </xdr:cNvPr>
            <xdr:cNvCxnSpPr>
              <a:cxnSpLocks/>
              <a:endCxn id="30" idx="0"/>
            </xdr:cNvCxnSpPr>
          </xdr:nvCxnSpPr>
          <xdr:spPr>
            <a:xfrm>
              <a:off x="5562599" y="2078907"/>
              <a:ext cx="1" cy="285237"/>
            </a:xfrm>
            <a:prstGeom prst="straightConnector1">
              <a:avLst/>
            </a:prstGeom>
            <a:ln w="19050" cap="flat" cmpd="sng" algn="ctr">
              <a:solidFill>
                <a:schemeClr val="tx1"/>
              </a:solidFill>
              <a:prstDash val="solid"/>
              <a:round/>
              <a:headEnd type="triangle" w="med" len="med"/>
              <a:tailEnd type="none" w="med" len="med"/>
            </a:ln>
          </xdr:spPr>
          <xdr:style>
            <a:lnRef idx="0">
              <a:scrgbClr r="0" g="0" b="0"/>
            </a:lnRef>
            <a:fillRef idx="0">
              <a:scrgbClr r="0" g="0" b="0"/>
            </a:fillRef>
            <a:effectRef idx="0">
              <a:scrgbClr r="0" g="0" b="0"/>
            </a:effectRef>
            <a:fontRef idx="minor">
              <a:schemeClr val="tx1"/>
            </a:fontRef>
          </xdr:style>
        </xdr:cxnSp>
      </xdr:grpSp>
      <xdr:grpSp>
        <xdr:nvGrpSpPr>
          <xdr:cNvPr id="9" name="Group 8">
            <a:extLst>
              <a:ext uri="{FF2B5EF4-FFF2-40B4-BE49-F238E27FC236}">
                <a16:creationId xmlns:a16="http://schemas.microsoft.com/office/drawing/2014/main" id="{5495A7B0-D9BF-8DFA-5B7C-B44AA70BC368}"/>
              </a:ext>
            </a:extLst>
          </xdr:cNvPr>
          <xdr:cNvGrpSpPr/>
        </xdr:nvGrpSpPr>
        <xdr:grpSpPr>
          <a:xfrm rot="16200000">
            <a:off x="31137166" y="4501201"/>
            <a:ext cx="901116" cy="1955995"/>
            <a:chOff x="4765164" y="2045504"/>
            <a:chExt cx="901116" cy="1981208"/>
          </a:xfrm>
        </xdr:grpSpPr>
        <xdr:cxnSp macro="">
          <xdr:nvCxnSpPr>
            <xdr:cNvPr id="23" name="Straight Arrow Connector 22">
              <a:extLst>
                <a:ext uri="{FF2B5EF4-FFF2-40B4-BE49-F238E27FC236}">
                  <a16:creationId xmlns:a16="http://schemas.microsoft.com/office/drawing/2014/main" id="{68834F74-4C78-3C50-A04A-2C9B6CB6D214}"/>
                </a:ext>
              </a:extLst>
            </xdr:cNvPr>
            <xdr:cNvCxnSpPr>
              <a:cxnSpLocks/>
            </xdr:cNvCxnSpPr>
          </xdr:nvCxnSpPr>
          <xdr:spPr>
            <a:xfrm rot="5400000" flipV="1">
              <a:off x="5215721" y="3576155"/>
              <a:ext cx="0" cy="901114"/>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24" name="Straight Arrow Connector 23">
              <a:extLst>
                <a:ext uri="{FF2B5EF4-FFF2-40B4-BE49-F238E27FC236}">
                  <a16:creationId xmlns:a16="http://schemas.microsoft.com/office/drawing/2014/main" id="{C5A5AED2-8091-D7AE-CC0F-BC0C40964CEF}"/>
                </a:ext>
              </a:extLst>
            </xdr:cNvPr>
            <xdr:cNvCxnSpPr>
              <a:cxnSpLocks/>
              <a:stCxn id="25" idx="3"/>
            </xdr:cNvCxnSpPr>
          </xdr:nvCxnSpPr>
          <xdr:spPr>
            <a:xfrm rot="5400000" flipV="1">
              <a:off x="5245048" y="3704174"/>
              <a:ext cx="631679" cy="8380"/>
            </a:xfrm>
            <a:prstGeom prst="straightConnector1">
              <a:avLst/>
            </a:prstGeom>
            <a:ln w="19050" cap="flat" cmpd="sng" algn="ctr">
              <a:solidFill>
                <a:schemeClr val="tx1"/>
              </a:solidFill>
              <a:prstDash val="solid"/>
              <a:round/>
              <a:headEnd type="none" w="med" len="med"/>
              <a:tailEnd type="triangle" w="med" len="med"/>
            </a:ln>
          </xdr:spPr>
          <xdr:style>
            <a:lnRef idx="0">
              <a:scrgbClr r="0" g="0" b="0"/>
            </a:lnRef>
            <a:fillRef idx="0">
              <a:scrgbClr r="0" g="0" b="0"/>
            </a:fillRef>
            <a:effectRef idx="0">
              <a:scrgbClr r="0" g="0" b="0"/>
            </a:effectRef>
            <a:fontRef idx="minor">
              <a:schemeClr val="tx1"/>
            </a:fontRef>
          </xdr:style>
        </xdr:cxnSp>
        <xdr:sp macro="" textlink="">
          <xdr:nvSpPr>
            <xdr:cNvPr id="25" name="TextBox 25">
              <a:extLst>
                <a:ext uri="{FF2B5EF4-FFF2-40B4-BE49-F238E27FC236}">
                  <a16:creationId xmlns:a16="http://schemas.microsoft.com/office/drawing/2014/main" id="{C2206B0F-5C7E-60E7-EC64-8B4CD862C85D}"/>
                </a:ext>
              </a:extLst>
            </xdr:cNvPr>
            <xdr:cNvSpPr txBox="1"/>
          </xdr:nvSpPr>
          <xdr:spPr>
            <a:xfrm rot="5400000">
              <a:off x="5276493" y="3002737"/>
              <a:ext cx="560411" cy="219163"/>
            </a:xfrm>
            <a:prstGeom prst="rect">
              <a:avLst/>
            </a:prstGeom>
            <a:noFill/>
            <a:ln w="19050">
              <a:noFill/>
            </a:ln>
          </xdr:spPr>
          <xdr:style>
            <a:lnRef idx="2">
              <a:schemeClr val="dk1"/>
            </a:lnRef>
            <a:fillRef idx="1">
              <a:schemeClr val="lt1"/>
            </a:fillRef>
            <a:effectRef idx="0">
              <a:schemeClr val="dk1"/>
            </a:effectRef>
            <a:fontRef idx="minor">
              <a:schemeClr val="dk1"/>
            </a:fontRef>
          </xdr:style>
          <xdr:txBody>
            <a:bodyPr wrap="square" lIns="45720" tIns="0" rIns="45720" bIns="0" rtlCol="0">
              <a:spAutoFit/>
            </a:bodyPr>
            <a:lstStyle>
              <a:defPPr>
                <a:defRPr lang="en-US"/>
              </a:defPPr>
              <a:lvl1pPr marL="0" algn="l" defTabSz="1219170" rtl="0" eaLnBrk="1" latinLnBrk="0" hangingPunct="1">
                <a:defRPr sz="2400" kern="1200">
                  <a:solidFill>
                    <a:schemeClr val="dk1"/>
                  </a:solidFill>
                  <a:latin typeface="+mn-lt"/>
                  <a:ea typeface="+mn-ea"/>
                  <a:cs typeface="+mn-cs"/>
                </a:defRPr>
              </a:lvl1pPr>
              <a:lvl2pPr marL="609585" algn="l" defTabSz="1219170" rtl="0" eaLnBrk="1" latinLnBrk="0" hangingPunct="1">
                <a:defRPr sz="2400" kern="1200">
                  <a:solidFill>
                    <a:schemeClr val="dk1"/>
                  </a:solidFill>
                  <a:latin typeface="+mn-lt"/>
                  <a:ea typeface="+mn-ea"/>
                  <a:cs typeface="+mn-cs"/>
                </a:defRPr>
              </a:lvl2pPr>
              <a:lvl3pPr marL="1219170" algn="l" defTabSz="1219170" rtl="0" eaLnBrk="1" latinLnBrk="0" hangingPunct="1">
                <a:defRPr sz="2400" kern="1200">
                  <a:solidFill>
                    <a:schemeClr val="dk1"/>
                  </a:solidFill>
                  <a:latin typeface="+mn-lt"/>
                  <a:ea typeface="+mn-ea"/>
                  <a:cs typeface="+mn-cs"/>
                </a:defRPr>
              </a:lvl3pPr>
              <a:lvl4pPr marL="1828754" algn="l" defTabSz="1219170" rtl="0" eaLnBrk="1" latinLnBrk="0" hangingPunct="1">
                <a:defRPr sz="2400" kern="1200">
                  <a:solidFill>
                    <a:schemeClr val="dk1"/>
                  </a:solidFill>
                  <a:latin typeface="+mn-lt"/>
                  <a:ea typeface="+mn-ea"/>
                  <a:cs typeface="+mn-cs"/>
                </a:defRPr>
              </a:lvl4pPr>
              <a:lvl5pPr marL="2438339" algn="l" defTabSz="1219170" rtl="0" eaLnBrk="1" latinLnBrk="0" hangingPunct="1">
                <a:defRPr sz="2400" kern="1200">
                  <a:solidFill>
                    <a:schemeClr val="dk1"/>
                  </a:solidFill>
                  <a:latin typeface="+mn-lt"/>
                  <a:ea typeface="+mn-ea"/>
                  <a:cs typeface="+mn-cs"/>
                </a:defRPr>
              </a:lvl5pPr>
              <a:lvl6pPr marL="3047924" algn="l" defTabSz="1219170" rtl="0" eaLnBrk="1" latinLnBrk="0" hangingPunct="1">
                <a:defRPr sz="2400" kern="1200">
                  <a:solidFill>
                    <a:schemeClr val="dk1"/>
                  </a:solidFill>
                  <a:latin typeface="+mn-lt"/>
                  <a:ea typeface="+mn-ea"/>
                  <a:cs typeface="+mn-cs"/>
                </a:defRPr>
              </a:lvl6pPr>
              <a:lvl7pPr marL="3657509" algn="l" defTabSz="1219170" rtl="0" eaLnBrk="1" latinLnBrk="0" hangingPunct="1">
                <a:defRPr sz="2400" kern="1200">
                  <a:solidFill>
                    <a:schemeClr val="dk1"/>
                  </a:solidFill>
                  <a:latin typeface="+mn-lt"/>
                  <a:ea typeface="+mn-ea"/>
                  <a:cs typeface="+mn-cs"/>
                </a:defRPr>
              </a:lvl7pPr>
              <a:lvl8pPr marL="4267093" algn="l" defTabSz="1219170" rtl="0" eaLnBrk="1" latinLnBrk="0" hangingPunct="1">
                <a:defRPr sz="2400" kern="1200">
                  <a:solidFill>
                    <a:schemeClr val="dk1"/>
                  </a:solidFill>
                  <a:latin typeface="+mn-lt"/>
                  <a:ea typeface="+mn-ea"/>
                  <a:cs typeface="+mn-cs"/>
                </a:defRPr>
              </a:lvl8pPr>
              <a:lvl9pPr marL="4876678" algn="l" defTabSz="1219170" rtl="0" eaLnBrk="1" latinLnBrk="0" hangingPunct="1">
                <a:defRPr sz="2400" kern="1200">
                  <a:solidFill>
                    <a:schemeClr val="dk1"/>
                  </a:solidFill>
                  <a:latin typeface="+mn-lt"/>
                  <a:ea typeface="+mn-ea"/>
                  <a:cs typeface="+mn-cs"/>
                </a:defRPr>
              </a:lvl9pPr>
            </a:lstStyle>
            <a:p>
              <a:pPr algn="ctr"/>
              <a:r>
                <a:rPr lang="en-US" sz="1400">
                  <a:solidFill>
                    <a:schemeClr val="tx1"/>
                  </a:solidFill>
                  <a:latin typeface="Calibri" panose="020F0502020204030204" pitchFamily="34" charset="0"/>
                  <a:cs typeface="Calibri" panose="020F0502020204030204" pitchFamily="34" charset="0"/>
                </a:rPr>
                <a:t>0.400</a:t>
              </a:r>
              <a:endParaRPr lang="en-US" sz="1400" baseline="30000">
                <a:solidFill>
                  <a:schemeClr val="tx1"/>
                </a:solidFill>
                <a:latin typeface="Calibri" panose="020F0502020204030204" pitchFamily="34" charset="0"/>
                <a:cs typeface="Calibri" panose="020F0502020204030204" pitchFamily="34" charset="0"/>
              </a:endParaRPr>
            </a:p>
          </xdr:txBody>
        </xdr:sp>
        <xdr:cxnSp macro="">
          <xdr:nvCxnSpPr>
            <xdr:cNvPr id="26" name="Straight Arrow Connector 25">
              <a:extLst>
                <a:ext uri="{FF2B5EF4-FFF2-40B4-BE49-F238E27FC236}">
                  <a16:creationId xmlns:a16="http://schemas.microsoft.com/office/drawing/2014/main" id="{72991FE6-67F0-CEBC-035F-957A3F16B6CD}"/>
                </a:ext>
              </a:extLst>
            </xdr:cNvPr>
            <xdr:cNvCxnSpPr>
              <a:cxnSpLocks/>
            </xdr:cNvCxnSpPr>
          </xdr:nvCxnSpPr>
          <xdr:spPr>
            <a:xfrm rot="5400000" flipV="1">
              <a:off x="5215722" y="1594947"/>
              <a:ext cx="0" cy="901114"/>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27" name="Straight Arrow Connector 26">
              <a:extLst>
                <a:ext uri="{FF2B5EF4-FFF2-40B4-BE49-F238E27FC236}">
                  <a16:creationId xmlns:a16="http://schemas.microsoft.com/office/drawing/2014/main" id="{09A10889-21E4-7577-60DE-BBEC892CD9BD}"/>
                </a:ext>
              </a:extLst>
            </xdr:cNvPr>
            <xdr:cNvCxnSpPr>
              <a:cxnSpLocks/>
              <a:endCxn id="25" idx="1"/>
            </xdr:cNvCxnSpPr>
          </xdr:nvCxnSpPr>
          <xdr:spPr>
            <a:xfrm rot="5400000" flipV="1">
              <a:off x="5156837" y="2432253"/>
              <a:ext cx="784288" cy="15433"/>
            </a:xfrm>
            <a:prstGeom prst="straightConnector1">
              <a:avLst/>
            </a:prstGeom>
            <a:ln w="19050" cap="flat" cmpd="sng" algn="ctr">
              <a:solidFill>
                <a:schemeClr val="tx1"/>
              </a:solidFill>
              <a:prstDash val="solid"/>
              <a:round/>
              <a:headEnd type="triangle" w="med" len="med"/>
              <a:tailEnd type="none" w="med" len="med"/>
            </a:ln>
          </xdr:spPr>
          <xdr:style>
            <a:lnRef idx="0">
              <a:scrgbClr r="0" g="0" b="0"/>
            </a:lnRef>
            <a:fillRef idx="0">
              <a:scrgbClr r="0" g="0" b="0"/>
            </a:fillRef>
            <a:effectRef idx="0">
              <a:scrgbClr r="0" g="0" b="0"/>
            </a:effectRef>
            <a:fontRef idx="minor">
              <a:schemeClr val="tx1"/>
            </a:fontRef>
          </xdr:style>
        </xdr:cxnSp>
      </xdr:grpSp>
      <xdr:grpSp>
        <xdr:nvGrpSpPr>
          <xdr:cNvPr id="10" name="Group 9">
            <a:extLst>
              <a:ext uri="{FF2B5EF4-FFF2-40B4-BE49-F238E27FC236}">
                <a16:creationId xmlns:a16="http://schemas.microsoft.com/office/drawing/2014/main" id="{E926DF15-8870-CB60-6D28-07CD9584A4B2}"/>
              </a:ext>
            </a:extLst>
          </xdr:cNvPr>
          <xdr:cNvGrpSpPr/>
        </xdr:nvGrpSpPr>
        <xdr:grpSpPr>
          <a:xfrm>
            <a:off x="29686318" y="6001735"/>
            <a:ext cx="796925" cy="1227180"/>
            <a:chOff x="5433918" y="2077967"/>
            <a:chExt cx="796925" cy="422459"/>
          </a:xfrm>
        </xdr:grpSpPr>
        <xdr:cxnSp macro="">
          <xdr:nvCxnSpPr>
            <xdr:cNvPr id="18" name="Straight Arrow Connector 17">
              <a:extLst>
                <a:ext uri="{FF2B5EF4-FFF2-40B4-BE49-F238E27FC236}">
                  <a16:creationId xmlns:a16="http://schemas.microsoft.com/office/drawing/2014/main" id="{97102A1B-2E92-1CB7-8020-7990505C2203}"/>
                </a:ext>
              </a:extLst>
            </xdr:cNvPr>
            <xdr:cNvCxnSpPr>
              <a:cxnSpLocks/>
            </xdr:cNvCxnSpPr>
          </xdr:nvCxnSpPr>
          <xdr:spPr>
            <a:xfrm>
              <a:off x="5529318" y="2500426"/>
              <a:ext cx="701525" cy="0"/>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19" name="Straight Arrow Connector 18">
              <a:extLst>
                <a:ext uri="{FF2B5EF4-FFF2-40B4-BE49-F238E27FC236}">
                  <a16:creationId xmlns:a16="http://schemas.microsoft.com/office/drawing/2014/main" id="{2227D0B7-5DB3-6F61-2DA3-F48D886C2A9C}"/>
                </a:ext>
              </a:extLst>
            </xdr:cNvPr>
            <xdr:cNvCxnSpPr>
              <a:cxnSpLocks/>
              <a:stCxn id="20" idx="2"/>
            </xdr:cNvCxnSpPr>
          </xdr:nvCxnSpPr>
          <xdr:spPr>
            <a:xfrm>
              <a:off x="5615859" y="2301913"/>
              <a:ext cx="0" cy="198513"/>
            </a:xfrm>
            <a:prstGeom prst="straightConnector1">
              <a:avLst/>
            </a:prstGeom>
            <a:ln w="19050" cap="flat" cmpd="sng" algn="ctr">
              <a:solidFill>
                <a:schemeClr val="tx1"/>
              </a:solidFill>
              <a:prstDash val="solid"/>
              <a:round/>
              <a:headEnd type="none" w="med" len="med"/>
              <a:tailEnd type="triangle" w="med" len="med"/>
            </a:ln>
          </xdr:spPr>
          <xdr:style>
            <a:lnRef idx="0">
              <a:scrgbClr r="0" g="0" b="0"/>
            </a:lnRef>
            <a:fillRef idx="0">
              <a:scrgbClr r="0" g="0" b="0"/>
            </a:fillRef>
            <a:effectRef idx="0">
              <a:scrgbClr r="0" g="0" b="0"/>
            </a:effectRef>
            <a:fontRef idx="minor">
              <a:schemeClr val="tx1"/>
            </a:fontRef>
          </xdr:style>
        </xdr:cxnSp>
        <xdr:sp macro="" textlink="">
          <xdr:nvSpPr>
            <xdr:cNvPr id="20" name="TextBox 45">
              <a:extLst>
                <a:ext uri="{FF2B5EF4-FFF2-40B4-BE49-F238E27FC236}">
                  <a16:creationId xmlns:a16="http://schemas.microsoft.com/office/drawing/2014/main" id="{B11B83BB-5FBB-A088-17DA-5CCE639E7B9B}"/>
                </a:ext>
              </a:extLst>
            </xdr:cNvPr>
            <xdr:cNvSpPr txBox="1"/>
          </xdr:nvSpPr>
          <xdr:spPr>
            <a:xfrm>
              <a:off x="5433918" y="2228738"/>
              <a:ext cx="363882" cy="73175"/>
            </a:xfrm>
            <a:prstGeom prst="rect">
              <a:avLst/>
            </a:prstGeom>
            <a:noFill/>
            <a:ln w="19050">
              <a:noFill/>
            </a:ln>
          </xdr:spPr>
          <xdr:style>
            <a:lnRef idx="2">
              <a:schemeClr val="dk1"/>
            </a:lnRef>
            <a:fillRef idx="1">
              <a:schemeClr val="lt1"/>
            </a:fillRef>
            <a:effectRef idx="0">
              <a:schemeClr val="dk1"/>
            </a:effectRef>
            <a:fontRef idx="minor">
              <a:schemeClr val="dk1"/>
            </a:fontRef>
          </xdr:style>
          <xdr:txBody>
            <a:bodyPr wrap="square" lIns="0" tIns="0" rIns="0" bIns="0" rtlCol="0">
              <a:spAutoFit/>
            </a:bodyPr>
            <a:lstStyle>
              <a:defPPr>
                <a:defRPr lang="en-US"/>
              </a:defPPr>
              <a:lvl1pPr marL="0" algn="l" defTabSz="1219170" rtl="0" eaLnBrk="1" latinLnBrk="0" hangingPunct="1">
                <a:defRPr sz="2400" kern="1200">
                  <a:solidFill>
                    <a:schemeClr val="dk1"/>
                  </a:solidFill>
                  <a:latin typeface="+mn-lt"/>
                  <a:ea typeface="+mn-ea"/>
                  <a:cs typeface="+mn-cs"/>
                </a:defRPr>
              </a:lvl1pPr>
              <a:lvl2pPr marL="609585" algn="l" defTabSz="1219170" rtl="0" eaLnBrk="1" latinLnBrk="0" hangingPunct="1">
                <a:defRPr sz="2400" kern="1200">
                  <a:solidFill>
                    <a:schemeClr val="dk1"/>
                  </a:solidFill>
                  <a:latin typeface="+mn-lt"/>
                  <a:ea typeface="+mn-ea"/>
                  <a:cs typeface="+mn-cs"/>
                </a:defRPr>
              </a:lvl2pPr>
              <a:lvl3pPr marL="1219170" algn="l" defTabSz="1219170" rtl="0" eaLnBrk="1" latinLnBrk="0" hangingPunct="1">
                <a:defRPr sz="2400" kern="1200">
                  <a:solidFill>
                    <a:schemeClr val="dk1"/>
                  </a:solidFill>
                  <a:latin typeface="+mn-lt"/>
                  <a:ea typeface="+mn-ea"/>
                  <a:cs typeface="+mn-cs"/>
                </a:defRPr>
              </a:lvl3pPr>
              <a:lvl4pPr marL="1828754" algn="l" defTabSz="1219170" rtl="0" eaLnBrk="1" latinLnBrk="0" hangingPunct="1">
                <a:defRPr sz="2400" kern="1200">
                  <a:solidFill>
                    <a:schemeClr val="dk1"/>
                  </a:solidFill>
                  <a:latin typeface="+mn-lt"/>
                  <a:ea typeface="+mn-ea"/>
                  <a:cs typeface="+mn-cs"/>
                </a:defRPr>
              </a:lvl4pPr>
              <a:lvl5pPr marL="2438339" algn="l" defTabSz="1219170" rtl="0" eaLnBrk="1" latinLnBrk="0" hangingPunct="1">
                <a:defRPr sz="2400" kern="1200">
                  <a:solidFill>
                    <a:schemeClr val="dk1"/>
                  </a:solidFill>
                  <a:latin typeface="+mn-lt"/>
                  <a:ea typeface="+mn-ea"/>
                  <a:cs typeface="+mn-cs"/>
                </a:defRPr>
              </a:lvl5pPr>
              <a:lvl6pPr marL="3047924" algn="l" defTabSz="1219170" rtl="0" eaLnBrk="1" latinLnBrk="0" hangingPunct="1">
                <a:defRPr sz="2400" kern="1200">
                  <a:solidFill>
                    <a:schemeClr val="dk1"/>
                  </a:solidFill>
                  <a:latin typeface="+mn-lt"/>
                  <a:ea typeface="+mn-ea"/>
                  <a:cs typeface="+mn-cs"/>
                </a:defRPr>
              </a:lvl6pPr>
              <a:lvl7pPr marL="3657509" algn="l" defTabSz="1219170" rtl="0" eaLnBrk="1" latinLnBrk="0" hangingPunct="1">
                <a:defRPr sz="2400" kern="1200">
                  <a:solidFill>
                    <a:schemeClr val="dk1"/>
                  </a:solidFill>
                  <a:latin typeface="+mn-lt"/>
                  <a:ea typeface="+mn-ea"/>
                  <a:cs typeface="+mn-cs"/>
                </a:defRPr>
              </a:lvl7pPr>
              <a:lvl8pPr marL="4267093" algn="l" defTabSz="1219170" rtl="0" eaLnBrk="1" latinLnBrk="0" hangingPunct="1">
                <a:defRPr sz="2400" kern="1200">
                  <a:solidFill>
                    <a:schemeClr val="dk1"/>
                  </a:solidFill>
                  <a:latin typeface="+mn-lt"/>
                  <a:ea typeface="+mn-ea"/>
                  <a:cs typeface="+mn-cs"/>
                </a:defRPr>
              </a:lvl8pPr>
              <a:lvl9pPr marL="4876678" algn="l" defTabSz="1219170" rtl="0" eaLnBrk="1" latinLnBrk="0" hangingPunct="1">
                <a:defRPr sz="2400" kern="1200">
                  <a:solidFill>
                    <a:schemeClr val="dk1"/>
                  </a:solidFill>
                  <a:latin typeface="+mn-lt"/>
                  <a:ea typeface="+mn-ea"/>
                  <a:cs typeface="+mn-cs"/>
                </a:defRPr>
              </a:lvl9pPr>
            </a:lstStyle>
            <a:p>
              <a:pPr algn="ctr"/>
              <a:r>
                <a:rPr lang="en-US" sz="1400">
                  <a:solidFill>
                    <a:schemeClr val="tx1"/>
                  </a:solidFill>
                  <a:latin typeface="Calibri" panose="020F0502020204030204" pitchFamily="34" charset="0"/>
                  <a:cs typeface="Calibri" panose="020F0502020204030204" pitchFamily="34" charset="0"/>
                </a:rPr>
                <a:t>0.25</a:t>
              </a:r>
              <a:endParaRPr lang="en-US" sz="1400" baseline="30000">
                <a:solidFill>
                  <a:schemeClr val="tx1"/>
                </a:solidFill>
                <a:latin typeface="Calibri" panose="020F0502020204030204" pitchFamily="34" charset="0"/>
                <a:cs typeface="Calibri" panose="020F0502020204030204" pitchFamily="34" charset="0"/>
              </a:endParaRPr>
            </a:p>
          </xdr:txBody>
        </xdr:sp>
        <xdr:cxnSp macro="">
          <xdr:nvCxnSpPr>
            <xdr:cNvPr id="21" name="Straight Arrow Connector 20">
              <a:extLst>
                <a:ext uri="{FF2B5EF4-FFF2-40B4-BE49-F238E27FC236}">
                  <a16:creationId xmlns:a16="http://schemas.microsoft.com/office/drawing/2014/main" id="{F8484C2A-DAE3-B4F8-77CC-89E6E13FA82A}"/>
                </a:ext>
              </a:extLst>
            </xdr:cNvPr>
            <xdr:cNvCxnSpPr>
              <a:cxnSpLocks/>
            </xdr:cNvCxnSpPr>
          </xdr:nvCxnSpPr>
          <xdr:spPr>
            <a:xfrm>
              <a:off x="5519834" y="2078908"/>
              <a:ext cx="711009" cy="0"/>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22" name="Straight Arrow Connector 21">
              <a:extLst>
                <a:ext uri="{FF2B5EF4-FFF2-40B4-BE49-F238E27FC236}">
                  <a16:creationId xmlns:a16="http://schemas.microsoft.com/office/drawing/2014/main" id="{E8485DEC-06A1-FB40-17C8-E394CFCC87B6}"/>
                </a:ext>
              </a:extLst>
            </xdr:cNvPr>
            <xdr:cNvCxnSpPr>
              <a:cxnSpLocks/>
              <a:endCxn id="20" idx="0"/>
            </xdr:cNvCxnSpPr>
          </xdr:nvCxnSpPr>
          <xdr:spPr>
            <a:xfrm>
              <a:off x="5615859" y="2077967"/>
              <a:ext cx="0" cy="150771"/>
            </a:xfrm>
            <a:prstGeom prst="straightConnector1">
              <a:avLst/>
            </a:prstGeom>
            <a:ln w="19050" cap="flat" cmpd="sng" algn="ctr">
              <a:solidFill>
                <a:schemeClr val="tx1"/>
              </a:solidFill>
              <a:prstDash val="solid"/>
              <a:round/>
              <a:headEnd type="triangle" w="med" len="med"/>
              <a:tailEnd type="none" w="med" len="med"/>
            </a:ln>
          </xdr:spPr>
          <xdr:style>
            <a:lnRef idx="0">
              <a:scrgbClr r="0" g="0" b="0"/>
            </a:lnRef>
            <a:fillRef idx="0">
              <a:scrgbClr r="0" g="0" b="0"/>
            </a:fillRef>
            <a:effectRef idx="0">
              <a:scrgbClr r="0" g="0" b="0"/>
            </a:effectRef>
            <a:fontRef idx="minor">
              <a:schemeClr val="tx1"/>
            </a:fontRef>
          </xdr:style>
        </xdr:cxnSp>
      </xdr:grpSp>
      <xdr:sp macro="" textlink="">
        <xdr:nvSpPr>
          <xdr:cNvPr id="11" name="Oval 10">
            <a:extLst>
              <a:ext uri="{FF2B5EF4-FFF2-40B4-BE49-F238E27FC236}">
                <a16:creationId xmlns:a16="http://schemas.microsoft.com/office/drawing/2014/main" id="{FCB0BFFF-CD5E-CA97-3E26-3C9CA9623DC0}"/>
              </a:ext>
            </a:extLst>
          </xdr:cNvPr>
          <xdr:cNvSpPr/>
        </xdr:nvSpPr>
        <xdr:spPr bwMode="auto">
          <a:xfrm>
            <a:off x="31239119" y="6183205"/>
            <a:ext cx="752195" cy="762000"/>
          </a:xfrm>
          <a:prstGeom prst="ellipse">
            <a:avLst/>
          </a:prstGeom>
          <a:solidFill>
            <a:schemeClr val="bg1"/>
          </a:solidFill>
          <a:ln w="12700" algn="ctr">
            <a:noFill/>
            <a:miter lim="800000"/>
            <a:headEnd/>
            <a:tailEnd/>
          </a:ln>
        </xdr:spPr>
        <xdr:txBody>
          <a:bodyPr wrap="square" rtlCol="0" anchor="ct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90DB8420-C0E6-FCB9-DD87-C14ED8AD90E1}"/>
              </a:ext>
            </a:extLst>
          </xdr:cNvPr>
          <xdr:cNvGrpSpPr/>
        </xdr:nvGrpSpPr>
        <xdr:grpSpPr>
          <a:xfrm rot="16200000">
            <a:off x="30838079" y="5580026"/>
            <a:ext cx="1505362" cy="1492527"/>
            <a:chOff x="4160920" y="2312719"/>
            <a:chExt cx="1505362" cy="1523995"/>
          </a:xfrm>
        </xdr:grpSpPr>
        <xdr:cxnSp macro="">
          <xdr:nvCxnSpPr>
            <xdr:cNvPr id="13" name="Straight Arrow Connector 12">
              <a:extLst>
                <a:ext uri="{FF2B5EF4-FFF2-40B4-BE49-F238E27FC236}">
                  <a16:creationId xmlns:a16="http://schemas.microsoft.com/office/drawing/2014/main" id="{8F952F30-66EA-1259-FDBF-394DA42C5A1C}"/>
                </a:ext>
              </a:extLst>
            </xdr:cNvPr>
            <xdr:cNvCxnSpPr>
              <a:cxnSpLocks/>
            </xdr:cNvCxnSpPr>
          </xdr:nvCxnSpPr>
          <xdr:spPr>
            <a:xfrm rot="5400000" flipV="1">
              <a:off x="4913601" y="3078826"/>
              <a:ext cx="0" cy="1505362"/>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14" name="Straight Arrow Connector 13">
              <a:extLst>
                <a:ext uri="{FF2B5EF4-FFF2-40B4-BE49-F238E27FC236}">
                  <a16:creationId xmlns:a16="http://schemas.microsoft.com/office/drawing/2014/main" id="{BFD49023-05B4-C5A3-6092-41D714419DFF}"/>
                </a:ext>
              </a:extLst>
            </xdr:cNvPr>
            <xdr:cNvCxnSpPr>
              <a:cxnSpLocks/>
              <a:stCxn id="15" idx="3"/>
            </xdr:cNvCxnSpPr>
          </xdr:nvCxnSpPr>
          <xdr:spPr>
            <a:xfrm rot="5400000">
              <a:off x="5279978" y="3588571"/>
              <a:ext cx="496287" cy="0"/>
            </a:xfrm>
            <a:prstGeom prst="straightConnector1">
              <a:avLst/>
            </a:prstGeom>
            <a:ln w="19050" cap="flat" cmpd="sng" algn="ctr">
              <a:solidFill>
                <a:schemeClr val="tx1"/>
              </a:solidFill>
              <a:prstDash val="solid"/>
              <a:round/>
              <a:headEnd type="none" w="med" len="med"/>
              <a:tailEnd type="triangle" w="med" len="med"/>
            </a:ln>
          </xdr:spPr>
          <xdr:style>
            <a:lnRef idx="0">
              <a:scrgbClr r="0" g="0" b="0"/>
            </a:lnRef>
            <a:fillRef idx="0">
              <a:scrgbClr r="0" g="0" b="0"/>
            </a:fillRef>
            <a:effectRef idx="0">
              <a:scrgbClr r="0" g="0" b="0"/>
            </a:effectRef>
            <a:fontRef idx="minor">
              <a:schemeClr val="tx1"/>
            </a:fontRef>
          </xdr:style>
        </xdr:cxnSp>
        <xdr:sp macro="" textlink="">
          <xdr:nvSpPr>
            <xdr:cNvPr id="15" name="TextBox 63">
              <a:extLst>
                <a:ext uri="{FF2B5EF4-FFF2-40B4-BE49-F238E27FC236}">
                  <a16:creationId xmlns:a16="http://schemas.microsoft.com/office/drawing/2014/main" id="{E17B30AA-E459-80A4-9F34-82171E86B0F2}"/>
                </a:ext>
              </a:extLst>
            </xdr:cNvPr>
            <xdr:cNvSpPr txBox="1"/>
          </xdr:nvSpPr>
          <xdr:spPr>
            <a:xfrm rot="5400000">
              <a:off x="5300014" y="3002739"/>
              <a:ext cx="456215" cy="219163"/>
            </a:xfrm>
            <a:prstGeom prst="rect">
              <a:avLst/>
            </a:prstGeom>
            <a:noFill/>
            <a:ln w="19050">
              <a:noFill/>
            </a:ln>
          </xdr:spPr>
          <xdr:style>
            <a:lnRef idx="2">
              <a:schemeClr val="dk1"/>
            </a:lnRef>
            <a:fillRef idx="1">
              <a:schemeClr val="lt1"/>
            </a:fillRef>
            <a:effectRef idx="0">
              <a:schemeClr val="dk1"/>
            </a:effectRef>
            <a:fontRef idx="minor">
              <a:schemeClr val="dk1"/>
            </a:fontRef>
          </xdr:style>
          <xdr:txBody>
            <a:bodyPr wrap="square" lIns="45720" tIns="0" rIns="45720" bIns="0" rtlCol="0">
              <a:spAutoFit/>
            </a:bodyPr>
            <a:lstStyle>
              <a:defPPr>
                <a:defRPr lang="en-US"/>
              </a:defPPr>
              <a:lvl1pPr marL="0" algn="l" defTabSz="1219170" rtl="0" eaLnBrk="1" latinLnBrk="0" hangingPunct="1">
                <a:defRPr sz="2400" kern="1200">
                  <a:solidFill>
                    <a:schemeClr val="dk1"/>
                  </a:solidFill>
                  <a:latin typeface="+mn-lt"/>
                  <a:ea typeface="+mn-ea"/>
                  <a:cs typeface="+mn-cs"/>
                </a:defRPr>
              </a:lvl1pPr>
              <a:lvl2pPr marL="609585" algn="l" defTabSz="1219170" rtl="0" eaLnBrk="1" latinLnBrk="0" hangingPunct="1">
                <a:defRPr sz="2400" kern="1200">
                  <a:solidFill>
                    <a:schemeClr val="dk1"/>
                  </a:solidFill>
                  <a:latin typeface="+mn-lt"/>
                  <a:ea typeface="+mn-ea"/>
                  <a:cs typeface="+mn-cs"/>
                </a:defRPr>
              </a:lvl2pPr>
              <a:lvl3pPr marL="1219170" algn="l" defTabSz="1219170" rtl="0" eaLnBrk="1" latinLnBrk="0" hangingPunct="1">
                <a:defRPr sz="2400" kern="1200">
                  <a:solidFill>
                    <a:schemeClr val="dk1"/>
                  </a:solidFill>
                  <a:latin typeface="+mn-lt"/>
                  <a:ea typeface="+mn-ea"/>
                  <a:cs typeface="+mn-cs"/>
                </a:defRPr>
              </a:lvl3pPr>
              <a:lvl4pPr marL="1828754" algn="l" defTabSz="1219170" rtl="0" eaLnBrk="1" latinLnBrk="0" hangingPunct="1">
                <a:defRPr sz="2400" kern="1200">
                  <a:solidFill>
                    <a:schemeClr val="dk1"/>
                  </a:solidFill>
                  <a:latin typeface="+mn-lt"/>
                  <a:ea typeface="+mn-ea"/>
                  <a:cs typeface="+mn-cs"/>
                </a:defRPr>
              </a:lvl4pPr>
              <a:lvl5pPr marL="2438339" algn="l" defTabSz="1219170" rtl="0" eaLnBrk="1" latinLnBrk="0" hangingPunct="1">
                <a:defRPr sz="2400" kern="1200">
                  <a:solidFill>
                    <a:schemeClr val="dk1"/>
                  </a:solidFill>
                  <a:latin typeface="+mn-lt"/>
                  <a:ea typeface="+mn-ea"/>
                  <a:cs typeface="+mn-cs"/>
                </a:defRPr>
              </a:lvl5pPr>
              <a:lvl6pPr marL="3047924" algn="l" defTabSz="1219170" rtl="0" eaLnBrk="1" latinLnBrk="0" hangingPunct="1">
                <a:defRPr sz="2400" kern="1200">
                  <a:solidFill>
                    <a:schemeClr val="dk1"/>
                  </a:solidFill>
                  <a:latin typeface="+mn-lt"/>
                  <a:ea typeface="+mn-ea"/>
                  <a:cs typeface="+mn-cs"/>
                </a:defRPr>
              </a:lvl6pPr>
              <a:lvl7pPr marL="3657509" algn="l" defTabSz="1219170" rtl="0" eaLnBrk="1" latinLnBrk="0" hangingPunct="1">
                <a:defRPr sz="2400" kern="1200">
                  <a:solidFill>
                    <a:schemeClr val="dk1"/>
                  </a:solidFill>
                  <a:latin typeface="+mn-lt"/>
                  <a:ea typeface="+mn-ea"/>
                  <a:cs typeface="+mn-cs"/>
                </a:defRPr>
              </a:lvl7pPr>
              <a:lvl8pPr marL="4267093" algn="l" defTabSz="1219170" rtl="0" eaLnBrk="1" latinLnBrk="0" hangingPunct="1">
                <a:defRPr sz="2400" kern="1200">
                  <a:solidFill>
                    <a:schemeClr val="dk1"/>
                  </a:solidFill>
                  <a:latin typeface="+mn-lt"/>
                  <a:ea typeface="+mn-ea"/>
                  <a:cs typeface="+mn-cs"/>
                </a:defRPr>
              </a:lvl8pPr>
              <a:lvl9pPr marL="4876678" algn="l" defTabSz="1219170" rtl="0" eaLnBrk="1" latinLnBrk="0" hangingPunct="1">
                <a:defRPr sz="2400" kern="1200">
                  <a:solidFill>
                    <a:schemeClr val="dk1"/>
                  </a:solidFill>
                  <a:latin typeface="+mn-lt"/>
                  <a:ea typeface="+mn-ea"/>
                  <a:cs typeface="+mn-cs"/>
                </a:defRPr>
              </a:lvl9pPr>
            </a:lstStyle>
            <a:p>
              <a:pPr algn="ctr"/>
              <a:r>
                <a:rPr lang="en-US" sz="1400">
                  <a:solidFill>
                    <a:schemeClr val="tx1"/>
                  </a:solidFill>
                  <a:latin typeface="Calibri" panose="020F0502020204030204" pitchFamily="34" charset="0"/>
                  <a:cs typeface="Calibri" panose="020F0502020204030204" pitchFamily="34" charset="0"/>
                </a:rPr>
                <a:t>0.31</a:t>
              </a:r>
              <a:endParaRPr lang="en-US" sz="1400" baseline="30000">
                <a:solidFill>
                  <a:schemeClr val="tx1"/>
                </a:solidFill>
                <a:latin typeface="Calibri" panose="020F0502020204030204" pitchFamily="34" charset="0"/>
                <a:cs typeface="Calibri" panose="020F0502020204030204" pitchFamily="34" charset="0"/>
              </a:endParaRPr>
            </a:p>
          </xdr:txBody>
        </xdr:sp>
        <xdr:cxnSp macro="">
          <xdr:nvCxnSpPr>
            <xdr:cNvPr id="16" name="Straight Arrow Connector 15">
              <a:extLst>
                <a:ext uri="{FF2B5EF4-FFF2-40B4-BE49-F238E27FC236}">
                  <a16:creationId xmlns:a16="http://schemas.microsoft.com/office/drawing/2014/main" id="{C72D817E-FE6D-59F2-7BBB-7309287B4F61}"/>
                </a:ext>
              </a:extLst>
            </xdr:cNvPr>
            <xdr:cNvCxnSpPr>
              <a:cxnSpLocks/>
            </xdr:cNvCxnSpPr>
          </xdr:nvCxnSpPr>
          <xdr:spPr>
            <a:xfrm rot="5400000" flipV="1">
              <a:off x="4913601" y="1560038"/>
              <a:ext cx="0" cy="1505362"/>
            </a:xfrm>
            <a:prstGeom prst="straightConnector1">
              <a:avLst/>
            </a:prstGeom>
            <a:ln w="19050" cap="flat" cmpd="sng" algn="ctr">
              <a:solidFill>
                <a:schemeClr val="tx1"/>
              </a:solidFill>
              <a:prstDash val="solid"/>
              <a:round/>
              <a:headEnd type="none" w="med" len="med"/>
              <a:tailEnd type="none" w="lg" len="lg"/>
            </a:ln>
          </xdr:spPr>
          <xdr:style>
            <a:lnRef idx="0">
              <a:scrgbClr r="0" g="0" b="0"/>
            </a:lnRef>
            <a:fillRef idx="0">
              <a:scrgbClr r="0" g="0" b="0"/>
            </a:fillRef>
            <a:effectRef idx="0">
              <a:scrgbClr r="0" g="0" b="0"/>
            </a:effectRef>
            <a:fontRef idx="minor">
              <a:schemeClr val="tx1"/>
            </a:fontRef>
          </xdr:style>
        </xdr:cxnSp>
        <xdr:cxnSp macro="">
          <xdr:nvCxnSpPr>
            <xdr:cNvPr id="17" name="Straight Arrow Connector 16">
              <a:extLst>
                <a:ext uri="{FF2B5EF4-FFF2-40B4-BE49-F238E27FC236}">
                  <a16:creationId xmlns:a16="http://schemas.microsoft.com/office/drawing/2014/main" id="{7768F0E6-4B15-E605-B346-3E61593DA983}"/>
                </a:ext>
              </a:extLst>
            </xdr:cNvPr>
            <xdr:cNvCxnSpPr>
              <a:cxnSpLocks/>
              <a:endCxn id="15" idx="1"/>
            </xdr:cNvCxnSpPr>
          </xdr:nvCxnSpPr>
          <xdr:spPr>
            <a:xfrm rot="5400000">
              <a:off x="5245420" y="2601512"/>
              <a:ext cx="565402" cy="0"/>
            </a:xfrm>
            <a:prstGeom prst="straightConnector1">
              <a:avLst/>
            </a:prstGeom>
            <a:ln w="19050" cap="flat" cmpd="sng" algn="ctr">
              <a:solidFill>
                <a:schemeClr val="tx1"/>
              </a:solidFill>
              <a:prstDash val="solid"/>
              <a:round/>
              <a:headEnd type="triangle" w="med" len="med"/>
              <a:tailEnd type="none" w="med" len="med"/>
            </a:ln>
          </xdr:spPr>
          <xdr:style>
            <a:lnRef idx="0">
              <a:scrgbClr r="0" g="0" b="0"/>
            </a:lnRef>
            <a:fillRef idx="0">
              <a:scrgbClr r="0" g="0" b="0"/>
            </a:fillRef>
            <a:effectRef idx="0">
              <a:scrgbClr r="0" g="0" b="0"/>
            </a:effectRef>
            <a:fontRef idx="minor">
              <a:schemeClr val="tx1"/>
            </a:fontRef>
          </xdr:style>
        </xdr:cxnSp>
      </xdr:grpSp>
    </xdr:grpSp>
    <xdr:clientData/>
  </xdr:twoCellAnchor>
  <xdr:oneCellAnchor>
    <xdr:from>
      <xdr:col>12</xdr:col>
      <xdr:colOff>4762</xdr:colOff>
      <xdr:row>0</xdr:row>
      <xdr:rowOff>19050</xdr:rowOff>
    </xdr:from>
    <xdr:ext cx="573490" cy="345736"/>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94CEF18-3EA4-4D83-A862-FD8F806EA440}"/>
                </a:ext>
              </a:extLst>
            </xdr:cNvPr>
            <xdr:cNvSpPr txBox="1"/>
          </xdr:nvSpPr>
          <xdr:spPr>
            <a:xfrm>
              <a:off x="11491912" y="19050"/>
              <a:ext cx="573490"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𝑅</m:t>
                        </m:r>
                      </m:e>
                      <m:sub>
                        <m:r>
                          <a:rPr lang="en-US" sz="1200" b="0" i="1">
                            <a:latin typeface="Cambria Math" panose="02040503050406030204" pitchFamily="18" charset="0"/>
                          </a:rPr>
                          <m:t>𝑡</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r>
                          <a:rPr lang="en-US" sz="1200" b="0" i="1">
                            <a:latin typeface="Cambria Math" panose="02040503050406030204" pitchFamily="18" charset="0"/>
                          </a:rPr>
                          <m:t>𝐿</m:t>
                        </m:r>
                      </m:num>
                      <m:den>
                        <m:r>
                          <a:rPr lang="en-US" sz="1200" b="0" i="1">
                            <a:latin typeface="Cambria Math" panose="02040503050406030204" pitchFamily="18" charset="0"/>
                          </a:rPr>
                          <m:t>𝑘𝐴</m:t>
                        </m:r>
                      </m:den>
                    </m:f>
                  </m:oMath>
                </m:oMathPara>
              </a14:m>
              <a:endParaRPr lang="en-US" sz="1200"/>
            </a:p>
          </xdr:txBody>
        </xdr:sp>
      </mc:Choice>
      <mc:Fallback xmlns="">
        <xdr:sp macro="" textlink="">
          <xdr:nvSpPr>
            <xdr:cNvPr id="38" name="TextBox 37">
              <a:extLst>
                <a:ext uri="{FF2B5EF4-FFF2-40B4-BE49-F238E27FC236}">
                  <a16:creationId xmlns:a16="http://schemas.microsoft.com/office/drawing/2014/main" id="{094CEF18-3EA4-4D83-A862-FD8F806EA440}"/>
                </a:ext>
              </a:extLst>
            </xdr:cNvPr>
            <xdr:cNvSpPr txBox="1"/>
          </xdr:nvSpPr>
          <xdr:spPr>
            <a:xfrm>
              <a:off x="11491912" y="19050"/>
              <a:ext cx="573490"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200" b="0" i="0">
                  <a:latin typeface="Cambria Math" panose="02040503050406030204" pitchFamily="18" charset="0"/>
                </a:rPr>
                <a:t>𝑅_𝑡=𝐿/𝑘𝐴</a:t>
              </a:r>
              <a:endParaRPr lang="en-US" sz="1200"/>
            </a:p>
          </xdr:txBody>
        </xdr:sp>
      </mc:Fallback>
    </mc:AlternateContent>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29E5FE-0CB6-445F-A649-AEFCA67B5AF4}" name="ResistorPowers" displayName="ResistorPowers" ref="A3:A11" totalsRowShown="0">
  <autoFilter ref="A3:A11" xr:uid="{F329E5FE-0CB6-445F-A649-AEFCA67B5AF4}">
    <filterColumn colId="0" hiddenButton="1"/>
  </autoFilter>
  <tableColumns count="1">
    <tableColumn id="1" xr3:uid="{F67ADCB6-A9E2-4461-BFEA-9EA137778F05}" name="Resistor Dissipation Option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DE7308-587A-4779-B102-32C82DA21199}" name="Heatsinks" displayName="Heatsinks" ref="A4:E17" totalsRowShown="0">
  <autoFilter ref="A4:E17" xr:uid="{93DE7308-587A-4779-B102-32C82DA21199}"/>
  <tableColumns count="5">
    <tableColumn id="1" xr3:uid="{FE62BCEB-EB92-4807-A05A-04959B6A3E0D}" name="Description"/>
    <tableColumn id="2" xr3:uid="{DDA8866A-7A68-4DA6-A1CC-3D1EEE72279E}" name="a"/>
    <tableColumn id="3" xr3:uid="{72E2F211-C142-454A-8648-9A2C02D6872D}" name="b"/>
    <tableColumn id="4" xr3:uid="{886F5401-78EB-4FA7-928E-5162E01D9490}" name="c"/>
    <tableColumn id="5" xr3:uid="{9E192197-8FB6-4264-A687-4B7F66B15262}" name="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AF8D19B-E803-43C6-934A-BAA2378AE28A}" name="InsulatorPads" displayName="InsulatorPads" ref="G4:N12" totalsRowShown="0">
  <autoFilter ref="G4:N12" xr:uid="{0AF8D19B-E803-43C6-934A-BAA2378AE28A}">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AFCDD31-6EDB-4980-BE55-31BEC032407F}" name="Desc"/>
    <tableColumn id="2" xr3:uid="{E8177119-C13B-4FBC-AA66-9CF073C5276F}" name="k (W/mK)"/>
    <tableColumn id="3" xr3:uid="{37E2F8F2-5466-4FAF-B845-2475859A7EE0}" name="R (°C-in2/W)"/>
    <tableColumn id="4" xr3:uid="{58DA5BB2-9E65-4487-A479-4BE10273D2AC}" name="L (in)"/>
    <tableColumn id="5" xr3:uid="{5A513EC3-4C92-4B91-8AC7-2E7A162FA7FC}" name="A (in2)" dataDxfId="3">
      <calculatedColumnFormula>TO220_Total_Area</calculatedColumnFormula>
    </tableColumn>
    <tableColumn id="6" xr3:uid="{2202CC91-E7D7-4A0C-8906-BBC53FC2DC51}" name="A (m2)" dataDxfId="2">
      <calculatedColumnFormula>CONVERT(InsulatorPads[[#This Row],[A (in2)]],"in2","m2")</calculatedColumnFormula>
    </tableColumn>
    <tableColumn id="7" xr3:uid="{E90A30F5-0903-41B9-A3D4-6A094A2A28C6}" name="L (m)" dataDxfId="1">
      <calculatedColumnFormula>CONVERT(InsulatorPads[[#This Row],[L (in)]],"in","m")</calculatedColumnFormula>
    </tableColumn>
    <tableColumn id="8" xr3:uid="{A0F38EA8-572D-4343-866B-61AAD77EB966}" name="Rt (°C/W)" dataDxfId="0">
      <calculatedColumnFormula>IF(ISBLANK(InsulatorPads[[#This Row],[R (°C-in2/W)]]),InsulatorPads[[#This Row],[L (m)]]/(InsulatorPads[[#This Row],[k (W/mK)]]*InsulatorPads[[#This Row],[A (m2)]]),InsulatorPads[[#This Row],[R (°C-in2/W)]]/InsulatorPads[[#This Row],[A (in2)]])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media.digikey.com/pdf/Data%20Sheets/Nuventix%20PDFs/Aavid_Board_Level_Heatsinks_Catalog_2018.pdf" TargetMode="External"/><Relationship Id="rId7" Type="http://schemas.openxmlformats.org/officeDocument/2006/relationships/table" Target="../tables/table3.xml"/><Relationship Id="rId2" Type="http://schemas.openxmlformats.org/officeDocument/2006/relationships/hyperlink" Target="https://www.boydcorp.com/thermal/conduction-cooling/thermal-films-interface-materials.html" TargetMode="External"/><Relationship Id="rId1" Type="http://schemas.openxmlformats.org/officeDocument/2006/relationships/hyperlink" Target="https://www.mgchemicals.com/downloads/category-data-sheets/CDS-Thermal%20Pastes.pdf" TargetMode="External"/><Relationship Id="rId6" Type="http://schemas.openxmlformats.org/officeDocument/2006/relationships/table" Target="../tables/table2.x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726FA-3B27-4DBB-8142-F5516E92D86A}">
  <sheetPr codeName="Sheet1"/>
  <dimension ref="A1:N22"/>
  <sheetViews>
    <sheetView showGridLines="0" tabSelected="1" zoomScale="130" zoomScaleNormal="130" workbookViewId="0">
      <selection activeCell="C4" sqref="C4"/>
    </sheetView>
  </sheetViews>
  <sheetFormatPr defaultRowHeight="15" x14ac:dyDescent="0.25"/>
  <cols>
    <col min="1" max="1" width="30.7109375" bestFit="1" customWidth="1"/>
    <col min="2" max="2" width="8.28515625" bestFit="1" customWidth="1"/>
    <col min="3" max="3" width="11" bestFit="1" customWidth="1"/>
    <col min="11" max="11" width="30.5703125" customWidth="1"/>
    <col min="12" max="12" width="6.42578125" bestFit="1" customWidth="1"/>
  </cols>
  <sheetData>
    <row r="1" spans="1:14" x14ac:dyDescent="0.25">
      <c r="A1" s="4" t="s">
        <v>15</v>
      </c>
      <c r="K1" s="3" t="s">
        <v>8</v>
      </c>
    </row>
    <row r="2" spans="1:14" ht="18" x14ac:dyDescent="0.35">
      <c r="C2" s="9" t="s">
        <v>5</v>
      </c>
      <c r="K2" s="2" t="s">
        <v>6</v>
      </c>
      <c r="L2" s="10" t="s">
        <v>11</v>
      </c>
      <c r="M2" s="6">
        <v>40</v>
      </c>
      <c r="N2" t="s">
        <v>3</v>
      </c>
    </row>
    <row r="3" spans="1:14" ht="18" x14ac:dyDescent="0.35">
      <c r="A3" s="2" t="s">
        <v>0</v>
      </c>
      <c r="B3" s="10" t="s">
        <v>17</v>
      </c>
      <c r="C3" s="1">
        <v>11</v>
      </c>
      <c r="D3" t="s">
        <v>3</v>
      </c>
      <c r="K3" s="2" t="s">
        <v>9</v>
      </c>
      <c r="L3" s="10" t="s">
        <v>12</v>
      </c>
      <c r="M3" s="6">
        <v>1.25</v>
      </c>
      <c r="N3" t="s">
        <v>3</v>
      </c>
    </row>
    <row r="4" spans="1:14" ht="18" x14ac:dyDescent="0.35">
      <c r="A4" s="2" t="s">
        <v>1</v>
      </c>
      <c r="B4" s="10" t="s">
        <v>18</v>
      </c>
      <c r="C4" s="1">
        <v>1.25</v>
      </c>
      <c r="D4" t="s">
        <v>3</v>
      </c>
      <c r="K4" s="2" t="s">
        <v>10</v>
      </c>
      <c r="L4" s="10" t="s">
        <v>13</v>
      </c>
      <c r="M4" s="7">
        <v>5.0000000000000002E-5</v>
      </c>
      <c r="N4" t="s">
        <v>4</v>
      </c>
    </row>
    <row r="5" spans="1:14" ht="18" x14ac:dyDescent="0.35">
      <c r="A5" s="2" t="s">
        <v>2</v>
      </c>
      <c r="B5" s="10" t="s">
        <v>19</v>
      </c>
      <c r="C5" s="8">
        <v>5.0000000000000001E-3</v>
      </c>
      <c r="D5" t="s">
        <v>4</v>
      </c>
      <c r="K5" s="2" t="s">
        <v>131</v>
      </c>
      <c r="L5" s="10" t="s">
        <v>130</v>
      </c>
      <c r="M5" s="6">
        <v>3</v>
      </c>
      <c r="N5" t="s">
        <v>3</v>
      </c>
    </row>
    <row r="6" spans="1:14" ht="18" x14ac:dyDescent="0.35">
      <c r="A6" s="2" t="s">
        <v>39</v>
      </c>
      <c r="B6" s="10" t="s">
        <v>40</v>
      </c>
      <c r="C6" s="1">
        <v>1</v>
      </c>
      <c r="D6" t="s">
        <v>4</v>
      </c>
      <c r="K6" s="2" t="s">
        <v>132</v>
      </c>
      <c r="L6" s="10" t="s">
        <v>133</v>
      </c>
      <c r="M6" s="7">
        <v>0.01</v>
      </c>
      <c r="N6" t="s">
        <v>4</v>
      </c>
    </row>
    <row r="7" spans="1:14" ht="18" x14ac:dyDescent="0.35">
      <c r="K7" s="2" t="s">
        <v>134</v>
      </c>
      <c r="L7" s="10" t="s">
        <v>135</v>
      </c>
      <c r="M7" s="6">
        <v>1.5</v>
      </c>
      <c r="N7" t="s">
        <v>4</v>
      </c>
    </row>
    <row r="8" spans="1:14" x14ac:dyDescent="0.25">
      <c r="B8" s="10"/>
      <c r="C8" s="9" t="s">
        <v>7</v>
      </c>
    </row>
    <row r="9" spans="1:14" x14ac:dyDescent="0.25">
      <c r="A9" s="2" t="s">
        <v>16</v>
      </c>
      <c r="B9" s="10" t="s">
        <v>27</v>
      </c>
      <c r="C9" s="5" cm="1">
        <f t="array" ref="C9">Eseries(VREF/ISET)</f>
        <v>249.00000000000003</v>
      </c>
      <c r="D9" t="s">
        <v>20</v>
      </c>
    </row>
    <row r="10" spans="1:14" x14ac:dyDescent="0.25">
      <c r="B10" s="10" t="s">
        <v>21</v>
      </c>
      <c r="C10" s="5" t="str" cm="1">
        <f t="array" ref="C10">EngPrefix(_R1)&amp;"Ω"</f>
        <v>249Ω</v>
      </c>
    </row>
    <row r="11" spans="1:14" ht="18" x14ac:dyDescent="0.35">
      <c r="A11" s="2" t="s">
        <v>28</v>
      </c>
      <c r="B11" s="10" t="s">
        <v>24</v>
      </c>
      <c r="C11" s="31">
        <f>VREF^2/_R1</f>
        <v>6.2751004016064248E-3</v>
      </c>
      <c r="D11" t="s">
        <v>23</v>
      </c>
    </row>
    <row r="12" spans="1:14" ht="18" x14ac:dyDescent="0.35">
      <c r="A12" s="2" t="s">
        <v>32</v>
      </c>
      <c r="B12" s="10" t="s">
        <v>33</v>
      </c>
      <c r="C12" s="5" cm="1">
        <f t="array" ref="C12">_xlfn.XLOOKUP(PR1_/Rderating,ResistorPowers[],ResistorPowers[],"Not Found",1)</f>
        <v>3.1E-2</v>
      </c>
      <c r="D12" t="s">
        <v>23</v>
      </c>
    </row>
    <row r="13" spans="1:14" x14ac:dyDescent="0.25">
      <c r="B13" s="10"/>
    </row>
    <row r="14" spans="1:14" x14ac:dyDescent="0.25">
      <c r="A14" s="2" t="s">
        <v>16</v>
      </c>
      <c r="B14" s="10" t="s">
        <v>26</v>
      </c>
      <c r="C14" s="5" cm="1">
        <f t="array" ref="C14">Eseries((VOUT-VREF)/(VREF/_R1+IADJ))</f>
        <v>0</v>
      </c>
      <c r="D14" t="s">
        <v>20</v>
      </c>
    </row>
    <row r="15" spans="1:14" x14ac:dyDescent="0.25">
      <c r="B15" t="s">
        <v>22</v>
      </c>
      <c r="C15" s="5" t="str" cm="1">
        <f t="array" ref="C15">EngPrefix(_R2)&amp;"Ω"</f>
        <v>0Ω</v>
      </c>
    </row>
    <row r="16" spans="1:14" ht="18" x14ac:dyDescent="0.35">
      <c r="A16" s="2" t="s">
        <v>29</v>
      </c>
      <c r="B16" s="10" t="s">
        <v>25</v>
      </c>
      <c r="C16" s="32">
        <f>(ISET+IADJ)^2*_R2</f>
        <v>0</v>
      </c>
      <c r="D16" t="s">
        <v>23</v>
      </c>
    </row>
    <row r="17" spans="1:4" ht="18" x14ac:dyDescent="0.35">
      <c r="A17" s="2" t="s">
        <v>34</v>
      </c>
      <c r="B17" s="10" t="s">
        <v>35</v>
      </c>
      <c r="C17" s="5" cm="1">
        <f t="array" ref="C17">_xlfn.XLOOKUP(PR2_/Rderating,ResistorPowers[],ResistorPowers[],"Not Found",1)</f>
        <v>3.1E-2</v>
      </c>
      <c r="D17" t="s">
        <v>23</v>
      </c>
    </row>
    <row r="19" spans="1:4" ht="18" x14ac:dyDescent="0.35">
      <c r="A19" s="2" t="s">
        <v>37</v>
      </c>
      <c r="B19" s="10" t="s">
        <v>36</v>
      </c>
      <c r="C19" s="33">
        <f>VREF*(1+_R2/_R1)+IADJ*_R2</f>
        <v>1.25</v>
      </c>
      <c r="D19" t="s">
        <v>3</v>
      </c>
    </row>
    <row r="20" spans="1:4" x14ac:dyDescent="0.25">
      <c r="C20" s="34"/>
    </row>
    <row r="21" spans="1:4" ht="18" x14ac:dyDescent="0.35">
      <c r="A21" s="2" t="s">
        <v>6</v>
      </c>
      <c r="B21" s="10" t="s">
        <v>14</v>
      </c>
      <c r="C21" s="33">
        <f>VIN-VOUTA</f>
        <v>9.75</v>
      </c>
      <c r="D21" t="s">
        <v>3</v>
      </c>
    </row>
    <row r="22" spans="1:4" ht="18" x14ac:dyDescent="0.35">
      <c r="A22" s="2" t="s">
        <v>38</v>
      </c>
      <c r="B22" s="10" t="s">
        <v>74</v>
      </c>
      <c r="C22" s="33">
        <f>(VIN-VOUTA)*(IL+VOUTA/(_R1+_R2))</f>
        <v>9.7989457831325311</v>
      </c>
      <c r="D22" t="s">
        <v>23</v>
      </c>
    </row>
  </sheetData>
  <sheetProtection sheet="1" objects="1" scenarios="1"/>
  <dataValidations count="3">
    <dataValidation type="custom" allowBlank="1" showInputMessage="1" showErrorMessage="1" errorTitle="Input - Output Voltage Criteria" error="1. Output voltage must be greater than or equal to Reference Voltage_x000a_2. Input-Differential must be below spec._x000a_3. Voltage across regulator must be greater than the dropout spec._x000a_" promptTitle="Input - Output Voltage Criteria" prompt="1. Output voltage must be greater than or equal to Reference Voltage_x000a_2. Input-Differential must be below spec._x000a_3. Voltage across regulator must be greater than the dropout spec." sqref="C3:C4" xr:uid="{AD024937-F39F-47B0-B07F-6C518503D682}">
      <formula1>AND(VIN-VOUT&gt;=VDO,VIN-VOUT&lt;=VDIFF,VOUT&gt;=VREF)</formula1>
    </dataValidation>
    <dataValidation type="decimal" errorStyle="warning" allowBlank="1" showInputMessage="1" showErrorMessage="1" errorTitle="Out of Range" error="Set resistor current should be greater than 10X the adjustment pin current to reduce error in set voltage, and not higher than the minimum load current to maintain regulation, which would waste power. Typical value is 5mA." promptTitle="Set Resistor Current" prompt="Set resistor current should be greater than 10X the adjustment pin current to reduce error in set voltage, and not higher than the minimum load current to maintain regulation, which would waste power. Typical value is 5mA." sqref="C5" xr:uid="{71DBE372-D13F-44AB-9191-60BEC2E392C6}">
      <formula1>10*M4</formula1>
      <formula2>M6</formula2>
    </dataValidation>
    <dataValidation type="decimal" errorStyle="warning" allowBlank="1" showInputMessage="1" showErrorMessage="1" errorTitle="Out of Range" error="This load current input is only used to calculate power dissipation. Value should be less than or equal to the spec current limit." promptTitle="Load Current" prompt="This load current input is only used to calculate power dissipation. Value should be less than or equal to the spec current limit." sqref="C6" xr:uid="{011841EC-C02B-4E8B-BDB6-803FD62DB745}">
      <formula1>0</formula1>
      <formula2>M7</formula2>
    </dataValidation>
  </dataValidations>
  <pageMargins left="0.7" right="0.7" top="0.75" bottom="0.75" header="0.3" footer="0.3"/>
  <pageSetup orientation="portrait" horizontalDpi="0"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F36E6-9FD0-4C7E-BC7C-82BD539D105C}">
  <sheetPr codeName="Sheet2"/>
  <dimension ref="A1:B11"/>
  <sheetViews>
    <sheetView showGridLines="0" workbookViewId="0">
      <selection activeCell="C15" sqref="C15"/>
    </sheetView>
  </sheetViews>
  <sheetFormatPr defaultRowHeight="15" x14ac:dyDescent="0.25"/>
  <cols>
    <col min="1" max="1" width="26.42578125" bestFit="1" customWidth="1"/>
    <col min="2" max="2" width="4.5703125" bestFit="1" customWidth="1"/>
  </cols>
  <sheetData>
    <row r="1" spans="1:2" x14ac:dyDescent="0.25">
      <c r="A1" s="2" t="s">
        <v>30</v>
      </c>
      <c r="B1" s="11">
        <v>0.5</v>
      </c>
    </row>
    <row r="3" spans="1:2" x14ac:dyDescent="0.25">
      <c r="A3" t="s">
        <v>31</v>
      </c>
    </row>
    <row r="4" spans="1:2" x14ac:dyDescent="0.25">
      <c r="A4">
        <v>3.1E-2</v>
      </c>
    </row>
    <row r="5" spans="1:2" x14ac:dyDescent="0.25">
      <c r="A5">
        <v>0.05</v>
      </c>
    </row>
    <row r="6" spans="1:2" x14ac:dyDescent="0.25">
      <c r="A6">
        <v>6.3E-2</v>
      </c>
    </row>
    <row r="7" spans="1:2" x14ac:dyDescent="0.25">
      <c r="A7">
        <v>0.125</v>
      </c>
    </row>
    <row r="8" spans="1:2" x14ac:dyDescent="0.25">
      <c r="A8">
        <v>0.25</v>
      </c>
    </row>
    <row r="9" spans="1:2" x14ac:dyDescent="0.25">
      <c r="A9">
        <v>0.5</v>
      </c>
    </row>
    <row r="10" spans="1:2" x14ac:dyDescent="0.25">
      <c r="A10">
        <v>1</v>
      </c>
    </row>
    <row r="11" spans="1:2" x14ac:dyDescent="0.25">
      <c r="A11">
        <v>2</v>
      </c>
    </row>
  </sheetData>
  <pageMargins left="0.7" right="0.7" top="0.75" bottom="0.75" header="0.3" footer="0.3"/>
  <pageSetup orientation="portrait" horizontalDpi="0"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D1B67-0CB0-4A3D-B035-29A18FA128D1}">
  <sheetPr codeName="Sheet3"/>
  <dimension ref="A1:O27"/>
  <sheetViews>
    <sheetView showGridLines="0" zoomScaleNormal="100" workbookViewId="0">
      <selection activeCell="L33" sqref="L33"/>
    </sheetView>
  </sheetViews>
  <sheetFormatPr defaultRowHeight="15.95" customHeight="1" x14ac:dyDescent="0.25"/>
  <cols>
    <col min="1" max="1" width="40" customWidth="1"/>
    <col min="2" max="2" width="36" customWidth="1"/>
    <col min="3" max="3" width="6.7109375" bestFit="1" customWidth="1"/>
    <col min="4" max="4" width="6.85546875" customWidth="1"/>
    <col min="5" max="5" width="13" customWidth="1"/>
    <col min="6" max="6" width="5.7109375" customWidth="1"/>
    <col min="7" max="7" width="37.28515625" bestFit="1" customWidth="1"/>
    <col min="8" max="8" width="6.28515625" bestFit="1" customWidth="1"/>
    <col min="9" max="9" width="9.140625" customWidth="1"/>
    <col min="10" max="10" width="13.42578125" customWidth="1"/>
    <col min="11" max="11" width="9.85546875" bestFit="1" customWidth="1"/>
    <col min="12" max="12" width="37.28515625" bestFit="1" customWidth="1"/>
    <col min="13" max="13" width="8.28515625" customWidth="1"/>
    <col min="14" max="15" width="9.140625" customWidth="1"/>
    <col min="18" max="19" width="17" customWidth="1"/>
    <col min="20" max="20" width="14.85546875" bestFit="1" customWidth="1"/>
    <col min="25" max="25" width="14" bestFit="1" customWidth="1"/>
    <col min="26" max="26" width="13.42578125" customWidth="1"/>
    <col min="28" max="28" width="11.5703125" customWidth="1"/>
    <col min="29" max="29" width="12.28515625" customWidth="1"/>
    <col min="30" max="30" width="10.85546875" bestFit="1" customWidth="1"/>
    <col min="31" max="31" width="11.7109375" customWidth="1"/>
    <col min="37" max="37" width="10.42578125" customWidth="1"/>
  </cols>
  <sheetData>
    <row r="1" spans="1:15" ht="15.95" customHeight="1" x14ac:dyDescent="0.25">
      <c r="A1" s="4" t="s">
        <v>41</v>
      </c>
      <c r="L1" s="4" t="s">
        <v>42</v>
      </c>
    </row>
    <row r="2" spans="1:15" ht="15.95" customHeight="1" x14ac:dyDescent="0.35">
      <c r="A2" t="s">
        <v>43</v>
      </c>
      <c r="B2" s="2" t="s">
        <v>44</v>
      </c>
      <c r="C2" s="10" t="s">
        <v>45</v>
      </c>
      <c r="D2" s="17">
        <f>PD</f>
        <v>9.7989457831325311</v>
      </c>
      <c r="E2" t="s">
        <v>23</v>
      </c>
      <c r="G2" s="2"/>
      <c r="H2" s="10"/>
      <c r="L2" s="12" t="s">
        <v>46</v>
      </c>
      <c r="M2" s="13" t="s">
        <v>47</v>
      </c>
      <c r="N2" s="6">
        <v>125</v>
      </c>
      <c r="O2" s="14" t="s">
        <v>48</v>
      </c>
    </row>
    <row r="3" spans="1:15" ht="15.95" customHeight="1" x14ac:dyDescent="0.35">
      <c r="B3" s="2" t="s">
        <v>49</v>
      </c>
      <c r="C3" s="10" t="s">
        <v>50</v>
      </c>
      <c r="D3" s="1">
        <v>40</v>
      </c>
      <c r="E3" t="s">
        <v>48</v>
      </c>
      <c r="L3" s="12" t="s">
        <v>51</v>
      </c>
      <c r="M3" s="13" t="s">
        <v>52</v>
      </c>
      <c r="N3" s="6">
        <v>23.3</v>
      </c>
      <c r="O3" s="14" t="s">
        <v>53</v>
      </c>
    </row>
    <row r="4" spans="1:15" ht="15.95" customHeight="1" x14ac:dyDescent="0.35">
      <c r="B4" s="2" t="s">
        <v>49</v>
      </c>
      <c r="C4" s="10" t="s">
        <v>50</v>
      </c>
      <c r="D4" s="5">
        <f>CONVERT(TAMB,"C","F")</f>
        <v>104</v>
      </c>
      <c r="E4" t="s">
        <v>54</v>
      </c>
      <c r="L4" s="12" t="s">
        <v>55</v>
      </c>
      <c r="M4" s="13" t="s">
        <v>56</v>
      </c>
      <c r="N4" s="6">
        <v>1.1000000000000001</v>
      </c>
      <c r="O4" s="14" t="s">
        <v>53</v>
      </c>
    </row>
    <row r="5" spans="1:15" ht="15.95" customHeight="1" thickBot="1" x14ac:dyDescent="0.3"/>
    <row r="6" spans="1:15" ht="15.95" customHeight="1" x14ac:dyDescent="0.35">
      <c r="A6" s="18" t="s">
        <v>59</v>
      </c>
      <c r="B6" s="19"/>
      <c r="C6" s="19"/>
      <c r="D6" s="19"/>
      <c r="E6" s="20"/>
      <c r="G6" s="18" t="s">
        <v>60</v>
      </c>
      <c r="H6" s="19"/>
      <c r="I6" s="19"/>
      <c r="J6" s="20"/>
      <c r="L6" s="2" t="s">
        <v>57</v>
      </c>
      <c r="M6" s="10" t="s">
        <v>58</v>
      </c>
      <c r="N6" s="1">
        <v>120</v>
      </c>
      <c r="O6" t="s">
        <v>48</v>
      </c>
    </row>
    <row r="7" spans="1:15" ht="15.95" customHeight="1" x14ac:dyDescent="0.25">
      <c r="A7" s="23"/>
      <c r="B7" s="3"/>
      <c r="C7" s="3"/>
      <c r="D7" s="3"/>
      <c r="E7" s="22"/>
      <c r="G7" s="21"/>
      <c r="H7" s="9"/>
      <c r="I7" s="9"/>
      <c r="J7" s="22"/>
    </row>
    <row r="8" spans="1:15" ht="15.95" customHeight="1" x14ac:dyDescent="0.25">
      <c r="A8" s="23"/>
      <c r="E8" s="24"/>
      <c r="G8" s="23"/>
      <c r="J8" s="24"/>
      <c r="K8" s="15"/>
    </row>
    <row r="9" spans="1:15" ht="15.95" customHeight="1" x14ac:dyDescent="0.25">
      <c r="A9" s="23"/>
      <c r="E9" s="24"/>
      <c r="G9" s="23"/>
      <c r="J9" s="24"/>
      <c r="K9" s="16"/>
    </row>
    <row r="10" spans="1:15" ht="15.95" customHeight="1" x14ac:dyDescent="0.35">
      <c r="A10" s="23"/>
      <c r="B10" s="2" t="s">
        <v>61</v>
      </c>
      <c r="C10" s="10" t="s">
        <v>62</v>
      </c>
      <c r="D10" s="30">
        <f>PDISS*RθJC+TC</f>
        <v>168.33144870448933</v>
      </c>
      <c r="E10" s="26" t="s">
        <v>63</v>
      </c>
      <c r="G10" s="25" t="s">
        <v>64</v>
      </c>
      <c r="H10" s="10" t="s">
        <v>65</v>
      </c>
      <c r="I10" s="30">
        <f>PDISS*RθJA+TAMB</f>
        <v>268.31543674698798</v>
      </c>
      <c r="J10" s="26" t="s">
        <v>63</v>
      </c>
    </row>
    <row r="11" spans="1:15" ht="15.95" customHeight="1" x14ac:dyDescent="0.25">
      <c r="A11" s="23"/>
      <c r="B11" s="2"/>
      <c r="C11" s="10"/>
      <c r="E11" s="26"/>
      <c r="G11" s="23"/>
      <c r="H11" s="10"/>
      <c r="J11" s="24"/>
    </row>
    <row r="12" spans="1:15" ht="15.95" customHeight="1" x14ac:dyDescent="0.35">
      <c r="A12" s="23"/>
      <c r="B12" s="2" t="s">
        <v>55</v>
      </c>
      <c r="C12" s="10" t="s">
        <v>56</v>
      </c>
      <c r="D12" s="17">
        <f>RθJC</f>
        <v>1.1000000000000001</v>
      </c>
      <c r="E12" s="26" t="s">
        <v>53</v>
      </c>
      <c r="G12" s="25" t="s">
        <v>51</v>
      </c>
      <c r="H12" s="10" t="s">
        <v>52</v>
      </c>
      <c r="I12" s="17">
        <f>RθJA</f>
        <v>23.3</v>
      </c>
      <c r="J12" s="26" t="s">
        <v>53</v>
      </c>
    </row>
    <row r="13" spans="1:15" ht="15.95" customHeight="1" x14ac:dyDescent="0.25">
      <c r="A13" s="23"/>
      <c r="B13" s="2"/>
      <c r="C13" s="10"/>
      <c r="E13" s="26"/>
      <c r="G13" s="23"/>
      <c r="H13" s="10"/>
      <c r="J13" s="24"/>
    </row>
    <row r="14" spans="1:15" ht="15.95" customHeight="1" x14ac:dyDescent="0.35">
      <c r="A14" s="23"/>
      <c r="B14" s="2" t="s">
        <v>66</v>
      </c>
      <c r="C14" s="10" t="s">
        <v>67</v>
      </c>
      <c r="D14" s="30">
        <f>PDISS*RθTIM+THS</f>
        <v>157.55260834304354</v>
      </c>
      <c r="E14" s="26" t="s">
        <v>63</v>
      </c>
      <c r="G14" s="25" t="s">
        <v>49</v>
      </c>
      <c r="H14" s="10" t="s">
        <v>50</v>
      </c>
      <c r="I14" s="17">
        <f>TAMB</f>
        <v>40</v>
      </c>
      <c r="J14" s="26" t="s">
        <v>63</v>
      </c>
    </row>
    <row r="15" spans="1:15" ht="15.95" customHeight="1" x14ac:dyDescent="0.25">
      <c r="A15" s="40" t="s">
        <v>124</v>
      </c>
      <c r="B15" s="2"/>
      <c r="C15" s="10"/>
      <c r="E15" s="26"/>
      <c r="G15" s="23"/>
      <c r="J15" s="24"/>
    </row>
    <row r="16" spans="1:15" ht="15.95" customHeight="1" x14ac:dyDescent="0.35">
      <c r="A16" s="38" t="s">
        <v>116</v>
      </c>
      <c r="B16" s="2" t="s">
        <v>73</v>
      </c>
      <c r="C16" s="10" t="s">
        <v>68</v>
      </c>
      <c r="D16" s="5">
        <f>_xlfn.XLOOKUP(PadSelect,InsulatorPads[Desc],InsulatorPads[Rt (°C/W)])</f>
        <v>1.463152879664835</v>
      </c>
      <c r="E16" s="26" t="s">
        <v>53</v>
      </c>
      <c r="G16" s="23"/>
      <c r="J16" s="24"/>
    </row>
    <row r="17" spans="1:10" ht="15.95" customHeight="1" x14ac:dyDescent="0.25">
      <c r="A17" s="23"/>
      <c r="B17" s="2"/>
      <c r="C17" s="10"/>
      <c r="E17" s="26"/>
      <c r="G17" s="23"/>
      <c r="J17" s="24"/>
    </row>
    <row r="18" spans="1:10" ht="15.95" customHeight="1" x14ac:dyDescent="0.35">
      <c r="A18" s="23"/>
      <c r="B18" s="2" t="s">
        <v>69</v>
      </c>
      <c r="C18" s="10" t="s">
        <v>70</v>
      </c>
      <c r="D18" s="30">
        <f>PDISS*RθSA+TAMB</f>
        <v>143.2152526027736</v>
      </c>
      <c r="E18" s="26" t="s">
        <v>63</v>
      </c>
      <c r="G18" s="23"/>
      <c r="J18" s="24"/>
    </row>
    <row r="19" spans="1:10" ht="15.95" customHeight="1" thickBot="1" x14ac:dyDescent="0.3">
      <c r="A19" s="40" t="s">
        <v>125</v>
      </c>
      <c r="C19" s="10"/>
      <c r="E19" s="26"/>
      <c r="G19" s="27"/>
      <c r="H19" s="28"/>
      <c r="I19" s="28"/>
      <c r="J19" s="29"/>
    </row>
    <row r="20" spans="1:10" ht="15.95" customHeight="1" x14ac:dyDescent="0.35">
      <c r="A20" s="38" t="s">
        <v>81</v>
      </c>
      <c r="B20" s="2" t="s">
        <v>71</v>
      </c>
      <c r="C20" s="10" t="s">
        <v>72</v>
      </c>
      <c r="D20" s="5">
        <f>(_xlfn.XLOOKUP(HeatsinkSelect,Heatsinks[Description],Heatsinks[a])*PDISS^3
+_xlfn.XLOOKUP(HeatsinkSelect,Heatsinks[Description],Heatsinks[b])*PDISS^2
+_xlfn.XLOOKUP(HeatsinkSelect,Heatsinks[Description],Heatsinks[c])*PDISS
+_xlfn.XLOOKUP(HeatsinkSelect,Heatsinks[Description],Heatsinks[d]))/PDISS</f>
        <v>10.533301733380721</v>
      </c>
      <c r="E20" s="26" t="s">
        <v>53</v>
      </c>
    </row>
    <row r="21" spans="1:10" ht="15.95" customHeight="1" x14ac:dyDescent="0.25">
      <c r="A21" s="23"/>
      <c r="B21" s="2"/>
      <c r="C21" s="10"/>
      <c r="E21" s="26"/>
    </row>
    <row r="22" spans="1:10" ht="15.95" customHeight="1" x14ac:dyDescent="0.35">
      <c r="A22" s="23"/>
      <c r="B22" s="2" t="s">
        <v>49</v>
      </c>
      <c r="C22" s="10" t="s">
        <v>50</v>
      </c>
      <c r="D22" s="17">
        <f>TAMB</f>
        <v>40</v>
      </c>
      <c r="E22" s="26" t="s">
        <v>63</v>
      </c>
    </row>
    <row r="23" spans="1:10" ht="15.95" customHeight="1" x14ac:dyDescent="0.25">
      <c r="A23" s="23"/>
      <c r="E23" s="24"/>
    </row>
    <row r="24" spans="1:10" ht="15.95" customHeight="1" x14ac:dyDescent="0.25">
      <c r="A24" s="23"/>
      <c r="E24" s="24"/>
    </row>
    <row r="25" spans="1:10" ht="15.95" customHeight="1" x14ac:dyDescent="0.25">
      <c r="A25" s="23"/>
      <c r="E25" s="24"/>
    </row>
    <row r="26" spans="1:10" ht="15.95" customHeight="1" x14ac:dyDescent="0.25">
      <c r="A26" s="23"/>
      <c r="E26" s="24"/>
    </row>
    <row r="27" spans="1:10" ht="15.95" customHeight="1" thickBot="1" x14ac:dyDescent="0.3">
      <c r="A27" s="27"/>
      <c r="B27" s="28"/>
      <c r="C27" s="28"/>
      <c r="D27" s="28"/>
      <c r="E27" s="29"/>
    </row>
  </sheetData>
  <conditionalFormatting sqref="D10 I10">
    <cfRule type="cellIs" dxfId="4" priority="1" operator="greaterThan">
      <formula>$N$6</formula>
    </cfRule>
  </conditionalFormatting>
  <dataValidations count="2">
    <dataValidation type="list" allowBlank="1" showInputMessage="1" showErrorMessage="1" sqref="A20" xr:uid="{E458F263-8373-48EF-BD75-EF6B9F7B7396}">
      <formula1>INDIRECT("Heatsinks[Description]")</formula1>
    </dataValidation>
    <dataValidation type="list" allowBlank="1" showInputMessage="1" showErrorMessage="1" sqref="A16" xr:uid="{C9B13D3D-069E-464D-9929-D4609A2DFF3C}">
      <formula1>INDIRECT("InsulatorPads[Desc]")</formula1>
    </dataValidation>
  </dataValidations>
  <pageMargins left="0.7" right="0.7"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9DD24-F79F-431B-8E50-C4CF8C8D67A3}">
  <sheetPr codeName="Sheet4"/>
  <dimension ref="A1:AA17"/>
  <sheetViews>
    <sheetView showGridLines="0" workbookViewId="0">
      <selection activeCell="E3" sqref="E3"/>
    </sheetView>
  </sheetViews>
  <sheetFormatPr defaultRowHeight="15" x14ac:dyDescent="0.25"/>
  <cols>
    <col min="1" max="1" width="46.85546875" bestFit="1" customWidth="1"/>
    <col min="7" max="7" width="42.42578125" bestFit="1" customWidth="1"/>
    <col min="8" max="8" width="11.7109375" customWidth="1"/>
    <col min="9" max="9" width="13.85546875" customWidth="1"/>
    <col min="14" max="14" width="11" customWidth="1"/>
    <col min="16" max="16" width="34.140625" customWidth="1"/>
    <col min="18" max="18" width="25.42578125" bestFit="1" customWidth="1"/>
    <col min="20" max="20" width="5.85546875" customWidth="1"/>
    <col min="25" max="25" width="33.5703125" bestFit="1" customWidth="1"/>
  </cols>
  <sheetData>
    <row r="1" spans="1:27" x14ac:dyDescent="0.25">
      <c r="A1" s="4" t="s">
        <v>93</v>
      </c>
      <c r="G1" s="4" t="s">
        <v>108</v>
      </c>
      <c r="R1" s="4" t="s">
        <v>95</v>
      </c>
      <c r="Y1" s="4" t="s">
        <v>102</v>
      </c>
    </row>
    <row r="2" spans="1:27" ht="17.25" x14ac:dyDescent="0.25">
      <c r="A2" s="4" t="s">
        <v>94</v>
      </c>
      <c r="G2" s="4" t="s">
        <v>109</v>
      </c>
      <c r="P2" s="4" t="s">
        <v>129</v>
      </c>
      <c r="R2" t="s">
        <v>96</v>
      </c>
      <c r="U2" s="35">
        <v>1.0980000000000001</v>
      </c>
      <c r="V2" t="s">
        <v>97</v>
      </c>
      <c r="Y2" t="s">
        <v>103</v>
      </c>
      <c r="Z2" s="36">
        <f>(0.4935*0.31)+((0.4-0.31)*0.25)</f>
        <v>0.175485</v>
      </c>
      <c r="AA2" t="s">
        <v>97</v>
      </c>
    </row>
    <row r="3" spans="1:27" ht="17.25" x14ac:dyDescent="0.25">
      <c r="R3" t="s">
        <v>98</v>
      </c>
      <c r="S3" s="6">
        <v>0.188</v>
      </c>
      <c r="T3" t="s">
        <v>99</v>
      </c>
      <c r="U3" s="32">
        <f>PI()*(TO3_ScrewHole/2)^2</f>
        <v>2.7759112687119412E-2</v>
      </c>
      <c r="V3" t="s">
        <v>100</v>
      </c>
      <c r="Y3" t="s">
        <v>104</v>
      </c>
      <c r="Z3" s="36">
        <v>0.14000000000000001</v>
      </c>
      <c r="AA3" t="s">
        <v>97</v>
      </c>
    </row>
    <row r="4" spans="1:27" ht="18.75" x14ac:dyDescent="0.35">
      <c r="A4" t="s">
        <v>75</v>
      </c>
      <c r="B4" t="s">
        <v>76</v>
      </c>
      <c r="C4" t="s">
        <v>77</v>
      </c>
      <c r="D4" t="s">
        <v>78</v>
      </c>
      <c r="E4" t="s">
        <v>79</v>
      </c>
      <c r="G4" t="s">
        <v>110</v>
      </c>
      <c r="H4" t="s">
        <v>111</v>
      </c>
      <c r="I4" t="s">
        <v>112</v>
      </c>
      <c r="J4" t="s">
        <v>113</v>
      </c>
      <c r="K4" t="s">
        <v>114</v>
      </c>
      <c r="L4" t="s">
        <v>115</v>
      </c>
      <c r="M4" t="s">
        <v>122</v>
      </c>
      <c r="N4" t="s">
        <v>123</v>
      </c>
      <c r="P4" s="39" t="s">
        <v>126</v>
      </c>
      <c r="R4" t="s">
        <v>101</v>
      </c>
      <c r="S4" s="1">
        <v>0.16</v>
      </c>
      <c r="T4" t="s">
        <v>99</v>
      </c>
      <c r="U4" s="32">
        <f>PI()*(TO3_LeadHole/2)^2</f>
        <v>2.0106192982974676E-2</v>
      </c>
      <c r="V4" t="s">
        <v>100</v>
      </c>
      <c r="Y4" t="s">
        <v>107</v>
      </c>
      <c r="Z4" s="5">
        <f>PI()*(TO220ScrewDia/2)^2</f>
        <v>1.5393804002589988E-2</v>
      </c>
    </row>
    <row r="5" spans="1:27" ht="17.25" x14ac:dyDescent="0.25">
      <c r="A5" t="s">
        <v>80</v>
      </c>
      <c r="B5">
        <v>-5.0000000000000001E-3</v>
      </c>
      <c r="C5">
        <v>-0.4743</v>
      </c>
      <c r="D5">
        <v>16.16</v>
      </c>
      <c r="E5">
        <v>-1.0869</v>
      </c>
      <c r="G5" t="s">
        <v>116</v>
      </c>
      <c r="H5">
        <v>0.92</v>
      </c>
      <c r="J5">
        <v>6.0000000000000001E-3</v>
      </c>
      <c r="K5" s="34">
        <f>TO220_Total_Area</f>
        <v>0.175485</v>
      </c>
      <c r="L5" s="37">
        <f>CONVERT(InsulatorPads[[#This Row],[A (in2)]],"in2","m2")</f>
        <v>1.132159026E-4</v>
      </c>
      <c r="M5" s="37">
        <f>CONVERT(InsulatorPads[[#This Row],[L (in)]],"in","m")</f>
        <v>1.5239999999999999E-4</v>
      </c>
      <c r="N5" s="34">
        <f>IF(ISBLANK(InsulatorPads[[#This Row],[R (°C-in2/W)]]),InsulatorPads[[#This Row],[L (m)]]/(InsulatorPads[[#This Row],[k (W/mK)]]*InsulatorPads[[#This Row],[A (m2)]]),InsulatorPads[[#This Row],[R (°C-in2/W)]]/InsulatorPads[[#This Row],[A (in2)]])</f>
        <v>1.463152879664835</v>
      </c>
      <c r="P5" s="39" t="s">
        <v>127</v>
      </c>
      <c r="R5" t="s">
        <v>95</v>
      </c>
      <c r="U5" s="33">
        <f>TO3_Outline-TO3_ScrewHoleArea*2-TO3_LeadHoleArea*2</f>
        <v>1.002269388659812</v>
      </c>
      <c r="V5" t="s">
        <v>97</v>
      </c>
      <c r="Y5" t="s">
        <v>105</v>
      </c>
      <c r="Z5" s="1" t="s">
        <v>106</v>
      </c>
    </row>
    <row r="6" spans="1:27" ht="17.25" x14ac:dyDescent="0.25">
      <c r="A6" t="s">
        <v>81</v>
      </c>
      <c r="B6">
        <v>1.11E-2</v>
      </c>
      <c r="C6">
        <v>-0.55420000000000003</v>
      </c>
      <c r="D6">
        <v>14.978</v>
      </c>
      <c r="E6">
        <v>-0.7833</v>
      </c>
      <c r="G6" t="s">
        <v>117</v>
      </c>
      <c r="I6">
        <v>0.1</v>
      </c>
      <c r="J6">
        <v>3.0000000000000001E-3</v>
      </c>
      <c r="K6" s="34">
        <f>TO220_Total_Area</f>
        <v>0.175485</v>
      </c>
      <c r="L6" s="37">
        <f>CONVERT(InsulatorPads[[#This Row],[A (in2)]],"in2","m2")</f>
        <v>1.132159026E-4</v>
      </c>
      <c r="M6" s="37">
        <f>CONVERT(InsulatorPads[[#This Row],[L (in)]],"in","m")</f>
        <v>7.6199999999999995E-5</v>
      </c>
      <c r="N6" s="34">
        <f>IF(ISBLANK(InsulatorPads[[#This Row],[R (°C-in2/W)]]),InsulatorPads[[#This Row],[L (m)]]/(InsulatorPads[[#This Row],[k (W/mK)]]*InsulatorPads[[#This Row],[A (m2)]]),InsulatorPads[[#This Row],[R (°C-in2/W)]]/InsulatorPads[[#This Row],[A (in2)]])</f>
        <v>0.56984927486679771</v>
      </c>
      <c r="P6" s="39" t="s">
        <v>128</v>
      </c>
      <c r="Y6" t="s">
        <v>102</v>
      </c>
      <c r="Z6" s="32">
        <f>IF(TO220_ScrewSelect="N",TO220TabArea-TO220ScrewArea,TO220TabArea)</f>
        <v>0.175485</v>
      </c>
      <c r="AA6" t="s">
        <v>97</v>
      </c>
    </row>
    <row r="7" spans="1:27" x14ac:dyDescent="0.25">
      <c r="A7" t="s">
        <v>82</v>
      </c>
      <c r="B7">
        <v>1.38E-2</v>
      </c>
      <c r="C7">
        <v>-0.45469999999999999</v>
      </c>
      <c r="D7">
        <v>12.273999999999999</v>
      </c>
      <c r="E7">
        <v>0.83650000000000002</v>
      </c>
      <c r="G7" t="s">
        <v>116</v>
      </c>
      <c r="H7">
        <v>0.92</v>
      </c>
      <c r="J7">
        <v>6.0000000000000001E-3</v>
      </c>
      <c r="K7" s="34">
        <f>TO220_Total_Area</f>
        <v>0.175485</v>
      </c>
      <c r="L7" s="37">
        <f>CONVERT(InsulatorPads[[#This Row],[A (in2)]],"in2","m2")</f>
        <v>1.132159026E-4</v>
      </c>
      <c r="M7" s="37">
        <f>CONVERT(InsulatorPads[[#This Row],[L (in)]],"in","m")</f>
        <v>1.5239999999999999E-4</v>
      </c>
      <c r="N7" s="34">
        <f>IF(ISBLANK(InsulatorPads[[#This Row],[R (°C-in2/W)]]),InsulatorPads[[#This Row],[L (m)]]/(InsulatorPads[[#This Row],[k (W/mK)]]*InsulatorPads[[#This Row],[A (m2)]]),InsulatorPads[[#This Row],[R (°C-in2/W)]]/InsulatorPads[[#This Row],[A (in2)]])</f>
        <v>1.463152879664835</v>
      </c>
    </row>
    <row r="8" spans="1:27" x14ac:dyDescent="0.25">
      <c r="A8" t="s">
        <v>83</v>
      </c>
      <c r="B8">
        <v>1.9800000000000002E-2</v>
      </c>
      <c r="C8">
        <v>-0.50060000000000004</v>
      </c>
      <c r="D8">
        <v>11.045999999999999</v>
      </c>
      <c r="E8">
        <v>0.54600000000000004</v>
      </c>
      <c r="G8" t="s">
        <v>117</v>
      </c>
      <c r="I8">
        <v>0.1</v>
      </c>
      <c r="J8">
        <v>3.0000000000000001E-3</v>
      </c>
      <c r="K8" s="34">
        <f>TO220_Total_Area</f>
        <v>0.175485</v>
      </c>
      <c r="L8" s="37">
        <f>CONVERT(InsulatorPads[[#This Row],[A (in2)]],"in2","m2")</f>
        <v>1.132159026E-4</v>
      </c>
      <c r="M8" s="37">
        <f>CONVERT(InsulatorPads[[#This Row],[L (in)]],"in","m")</f>
        <v>7.6199999999999995E-5</v>
      </c>
      <c r="N8" s="34">
        <f>IF(ISBLANK(InsulatorPads[[#This Row],[R (°C-in2/W)]]),InsulatorPads[[#This Row],[L (m)]]/(InsulatorPads[[#This Row],[k (W/mK)]]*InsulatorPads[[#This Row],[A (m2)]]),InsulatorPads[[#This Row],[R (°C-in2/W)]]/InsulatorPads[[#This Row],[A (in2)]])</f>
        <v>0.56984927486679771</v>
      </c>
    </row>
    <row r="9" spans="1:27" x14ac:dyDescent="0.25">
      <c r="A9" t="s">
        <v>84</v>
      </c>
      <c r="D9">
        <v>5.4089999999999998</v>
      </c>
      <c r="G9" t="s">
        <v>118</v>
      </c>
      <c r="I9">
        <v>0.17</v>
      </c>
      <c r="K9" s="34">
        <f>TO220_Total_Area</f>
        <v>0.175485</v>
      </c>
      <c r="L9" s="37">
        <f>CONVERT(InsulatorPads[[#This Row],[A (in2)]],"in2","m2")</f>
        <v>1.132159026E-4</v>
      </c>
      <c r="M9" s="37">
        <f>CONVERT(InsulatorPads[[#This Row],[L (in)]],"in","m")</f>
        <v>0</v>
      </c>
      <c r="N9" s="34">
        <f>IF(ISBLANK(InsulatorPads[[#This Row],[R (°C-in2/W)]]),InsulatorPads[[#This Row],[L (m)]]/(InsulatorPads[[#This Row],[k (W/mK)]]*InsulatorPads[[#This Row],[A (m2)]]),InsulatorPads[[#This Row],[R (°C-in2/W)]]/InsulatorPads[[#This Row],[A (in2)]])</f>
        <v>0.96874376727355616</v>
      </c>
    </row>
    <row r="10" spans="1:27" x14ac:dyDescent="0.25">
      <c r="A10" t="s">
        <v>85</v>
      </c>
      <c r="D10">
        <v>4.78</v>
      </c>
      <c r="G10" t="s">
        <v>119</v>
      </c>
      <c r="H10">
        <v>0.92</v>
      </c>
      <c r="J10">
        <v>6.0000000000000001E-3</v>
      </c>
      <c r="K10" s="34">
        <f>TO3_Total_Area</f>
        <v>1.002269388659812</v>
      </c>
      <c r="L10" s="37">
        <f>CONVERT(InsulatorPads[[#This Row],[A (in2)]],"in2","m2")</f>
        <v>6.4662411878776429E-4</v>
      </c>
      <c r="M10" s="37">
        <f>CONVERT(InsulatorPads[[#This Row],[L (in)]],"in","m")</f>
        <v>1.5239999999999999E-4</v>
      </c>
      <c r="N10" s="34">
        <f>IF(ISBLANK(InsulatorPads[[#This Row],[R (°C-in2/W)]]),InsulatorPads[[#This Row],[L (m)]]/(InsulatorPads[[#This Row],[k (W/mK)]]*InsulatorPads[[#This Row],[A (m2)]]),InsulatorPads[[#This Row],[R (°C-in2/W)]]/InsulatorPads[[#This Row],[A (in2)]])</f>
        <v>0.25618001107597721</v>
      </c>
    </row>
    <row r="11" spans="1:27" x14ac:dyDescent="0.25">
      <c r="A11" t="s">
        <v>86</v>
      </c>
      <c r="D11">
        <v>3.7530000000000001</v>
      </c>
      <c r="G11" t="s">
        <v>120</v>
      </c>
      <c r="I11">
        <v>0.1</v>
      </c>
      <c r="J11">
        <v>3.0000000000000001E-3</v>
      </c>
      <c r="K11" s="34">
        <f>TO3_Total_Area</f>
        <v>1.002269388659812</v>
      </c>
      <c r="L11" s="37">
        <f>CONVERT(InsulatorPads[[#This Row],[A (in2)]],"in2","m2")</f>
        <v>6.4662411878776429E-4</v>
      </c>
      <c r="M11" s="37">
        <f>CONVERT(InsulatorPads[[#This Row],[L (in)]],"in","m")</f>
        <v>7.6199999999999995E-5</v>
      </c>
      <c r="N11" s="34">
        <f>IF(ISBLANK(InsulatorPads[[#This Row],[R (°C-in2/W)]]),InsulatorPads[[#This Row],[L (m)]]/(InsulatorPads[[#This Row],[k (W/mK)]]*InsulatorPads[[#This Row],[A (m2)]]),InsulatorPads[[#This Row],[R (°C-in2/W)]]/InsulatorPads[[#This Row],[A (in2)]])</f>
        <v>9.9773574980390606E-2</v>
      </c>
    </row>
    <row r="12" spans="1:27" x14ac:dyDescent="0.25">
      <c r="A12" t="s">
        <v>87</v>
      </c>
      <c r="D12">
        <v>3.6920000000000002</v>
      </c>
      <c r="G12" t="s">
        <v>121</v>
      </c>
      <c r="I12">
        <v>0.17</v>
      </c>
      <c r="K12" s="34">
        <f>TO3_Total_Area</f>
        <v>1.002269388659812</v>
      </c>
      <c r="L12" s="37">
        <f>CONVERT(InsulatorPads[[#This Row],[A (in2)]],"in2","m2")</f>
        <v>6.4662411878776429E-4</v>
      </c>
      <c r="M12" s="37">
        <f>CONVERT(InsulatorPads[[#This Row],[L (in)]],"in","m")</f>
        <v>0</v>
      </c>
      <c r="N12" s="34">
        <f>IF(ISBLANK(InsulatorPads[[#This Row],[R (°C-in2/W)]]),InsulatorPads[[#This Row],[L (m)]]/(InsulatorPads[[#This Row],[k (W/mK)]]*InsulatorPads[[#This Row],[A (m2)]]),InsulatorPads[[#This Row],[R (°C-in2/W)]]/InsulatorPads[[#This Row],[A (in2)]])</f>
        <v>0.16961507746666404</v>
      </c>
    </row>
    <row r="13" spans="1:27" x14ac:dyDescent="0.25">
      <c r="A13" t="s">
        <v>88</v>
      </c>
      <c r="D13">
        <v>3.4449999999999998</v>
      </c>
    </row>
    <row r="14" spans="1:27" x14ac:dyDescent="0.25">
      <c r="A14" t="s">
        <v>89</v>
      </c>
      <c r="D14">
        <v>3.21</v>
      </c>
    </row>
    <row r="15" spans="1:27" x14ac:dyDescent="0.25">
      <c r="A15" t="s">
        <v>90</v>
      </c>
      <c r="D15">
        <v>2.4849999999999999</v>
      </c>
    </row>
    <row r="16" spans="1:27" x14ac:dyDescent="0.25">
      <c r="A16" t="s">
        <v>91</v>
      </c>
      <c r="D16">
        <v>2.4510000000000001</v>
      </c>
    </row>
    <row r="17" spans="1:5" x14ac:dyDescent="0.25">
      <c r="A17" t="s">
        <v>92</v>
      </c>
      <c r="B17">
        <v>0</v>
      </c>
      <c r="C17">
        <v>-1.7299999999999999E-2</v>
      </c>
      <c r="D17">
        <v>2.6532</v>
      </c>
      <c r="E17">
        <v>-0.6371</v>
      </c>
    </row>
  </sheetData>
  <dataValidations disablePrompts="1" count="4">
    <dataValidation type="list" allowBlank="1" showInputMessage="1" showErrorMessage="1" sqref="Z5" xr:uid="{E30DADA6-4441-49FC-AE30-B77D5E32A299}">
      <formula1>"Y,N"</formula1>
    </dataValidation>
    <dataValidation type="custom" allowBlank="1" showInputMessage="1" showErrorMessage="1" errorTitle="Unallowed" error="Properties k (W/mK) or R (°C-in2/W) is single allowed entry, not both." sqref="I5:I12" xr:uid="{5473B8FD-446A-40A6-AED6-C90CE0E2F2E4}">
      <formula1>ISBLANK(H5)</formula1>
    </dataValidation>
    <dataValidation type="custom" allowBlank="1" showInputMessage="1" showErrorMessage="1" sqref="H5" xr:uid="{E0758A8B-91A5-4E5D-8EFB-CBCACE72C277}">
      <formula1>ISBLANK(I5)</formula1>
    </dataValidation>
    <dataValidation type="custom" allowBlank="1" showInputMessage="1" showErrorMessage="1" errorTitle="Unallowed" error="Properties k (W/mK) or R (°C-in2/W) is single allowed entry, not both." sqref="H6:H12" xr:uid="{C64C919C-F126-4A68-9922-7D3781D1172E}">
      <formula1>ISBLANK(I6)</formula1>
    </dataValidation>
  </dataValidations>
  <hyperlinks>
    <hyperlink ref="P4" r:id="rId1" xr:uid="{6ED266B8-EDF1-430D-9D55-2B1CBAD8FD70}"/>
    <hyperlink ref="P5" r:id="rId2" location="menu1" xr:uid="{3F4C8B54-2FC1-4595-93F7-96F34DDCC604}"/>
    <hyperlink ref="P6" r:id="rId3" xr:uid="{65F38B6F-643C-4388-9016-73CB5904653E}"/>
  </hyperlinks>
  <pageMargins left="0.7" right="0.7" top="0.75" bottom="0.75" header="0.3" footer="0.3"/>
  <pageSetup orientation="portrait" horizontalDpi="0" verticalDpi="0" r:id="rId4"/>
  <ignoredErrors>
    <ignoredError sqref="K10:K12" calculatedColumn="1"/>
  </ignoredErrors>
  <drawing r:id="rId5"/>
  <tableParts count="2">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47</vt:i4>
      </vt:variant>
    </vt:vector>
  </HeadingPairs>
  <TitlesOfParts>
    <vt:vector size="51" baseType="lpstr">
      <vt:lpstr>LM117 LM317 Voltage Regulator</vt:lpstr>
      <vt:lpstr>ResistorPowers</vt:lpstr>
      <vt:lpstr>Thermal Device Calc</vt:lpstr>
      <vt:lpstr>Thermal Materials</vt:lpstr>
      <vt:lpstr>_R1</vt:lpstr>
      <vt:lpstr>_R1_Label</vt:lpstr>
      <vt:lpstr>_R2</vt:lpstr>
      <vt:lpstr>_R2_Label</vt:lpstr>
      <vt:lpstr>HeatsinkSelect</vt:lpstr>
      <vt:lpstr>IADJ</vt:lpstr>
      <vt:lpstr>ICL</vt:lpstr>
      <vt:lpstr>IL</vt:lpstr>
      <vt:lpstr>ILMIN</vt:lpstr>
      <vt:lpstr>ISET</vt:lpstr>
      <vt:lpstr>PadSelect</vt:lpstr>
      <vt:lpstr>PD</vt:lpstr>
      <vt:lpstr>PDISS</vt:lpstr>
      <vt:lpstr>PR1_</vt:lpstr>
      <vt:lpstr>PR1D</vt:lpstr>
      <vt:lpstr>PR2_</vt:lpstr>
      <vt:lpstr>PR2D</vt:lpstr>
      <vt:lpstr>Rderating</vt:lpstr>
      <vt:lpstr>RθJA</vt:lpstr>
      <vt:lpstr>RθJC</vt:lpstr>
      <vt:lpstr>RθSA</vt:lpstr>
      <vt:lpstr>RθTIM</vt:lpstr>
      <vt:lpstr>TAMB</vt:lpstr>
      <vt:lpstr>TC</vt:lpstr>
      <vt:lpstr>THS</vt:lpstr>
      <vt:lpstr>TJD</vt:lpstr>
      <vt:lpstr>TJHS</vt:lpstr>
      <vt:lpstr>TJMAX</vt:lpstr>
      <vt:lpstr>TJNHS</vt:lpstr>
      <vt:lpstr>TO220_ScrewSelect</vt:lpstr>
      <vt:lpstr>TO220_Total_Area</vt:lpstr>
      <vt:lpstr>TO220ScrewArea</vt:lpstr>
      <vt:lpstr>TO220ScrewDia</vt:lpstr>
      <vt:lpstr>TO220TabArea</vt:lpstr>
      <vt:lpstr>TO3_LeadHole</vt:lpstr>
      <vt:lpstr>TO3_LeadHoleArea</vt:lpstr>
      <vt:lpstr>TO3_Outline</vt:lpstr>
      <vt:lpstr>TO3_ScrewHole</vt:lpstr>
      <vt:lpstr>TO3_ScrewHoleArea</vt:lpstr>
      <vt:lpstr>TO3_Total_Area</vt:lpstr>
      <vt:lpstr>VD</vt:lpstr>
      <vt:lpstr>VDIFF</vt:lpstr>
      <vt:lpstr>VDO</vt:lpstr>
      <vt:lpstr>VIN</vt:lpstr>
      <vt:lpstr>VOUT</vt:lpstr>
      <vt:lpstr>VOUTA</vt:lpstr>
      <vt:lpstr>VREF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Oldhack EE</dc:creator>
  <cp:lastModifiedBy>Note</cp:lastModifiedBy>
  <dcterms:created xsi:type="dcterms:W3CDTF">2023-02-08T19:35:20Z</dcterms:created>
  <dcterms:modified xsi:type="dcterms:W3CDTF">2023-05-14T20:40:11Z</dcterms:modified>
</cp:coreProperties>
</file>