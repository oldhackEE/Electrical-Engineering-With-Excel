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c1699b8cd4d2a22/Documents/Terry's Presentations/Excel for Electrical Engineering/Best Fit Voltage Divider/"/>
    </mc:Choice>
  </mc:AlternateContent>
  <xr:revisionPtr revIDLastSave="519" documentId="8_{ED9E3C8B-C8D8-4878-B53F-A4646A617A1A}" xr6:coauthVersionLast="47" xr6:coauthVersionMax="47" xr10:uidLastSave="{3F87A7F1-E60F-45C7-82FA-85D3F93160C0}"/>
  <bookViews>
    <workbookView xWindow="3470" yWindow="1490" windowWidth="26130" windowHeight="14370" xr2:uid="{4DA5E0DE-9B42-48E2-BAFB-30E10424F0FD}"/>
  </bookViews>
  <sheets>
    <sheet name="Best Fit Voltage Divider" sheetId="1" r:id="rId1"/>
  </sheets>
  <functionGroups builtInGroupCount="19"/>
  <definedNames>
    <definedName name="_R1">'Best Fit Voltage Divider'!$E$5</definedName>
    <definedName name="_R2">'Best Fit Voltage Divider'!$E$9</definedName>
    <definedName name="DPOWER">'Best Fit Voltage Divider'!$C$15</definedName>
    <definedName name="Error">'Best Fit Voltage Divider'!$F$11</definedName>
    <definedName name="PR1_">'Best Fit Voltage Divider'!$C$13</definedName>
    <definedName name="PR2_">'Best Fit Voltage Divider'!$C$14</definedName>
    <definedName name="VIN">'Best Fit Voltage Divider'!$C$3</definedName>
    <definedName name="VLOW">'Best Fit Voltage Divider'!$C$11</definedName>
    <definedName name="VOUT">'Best Fit Voltage Divider'!$C$7</definedName>
    <definedName name="VOUTA">'Best Fit Voltage Divider'!$F$7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 a="1"/>
  <c r="C23" i="1" l="1"/>
  <c r="C25" i="1"/>
  <c r="E5" i="1"/>
  <c r="F7" i="1" s="1"/>
  <c r="F11" i="1" s="1"/>
  <c r="C20" i="1"/>
  <c r="C21" i="1"/>
  <c r="C24" i="1"/>
  <c r="C26" i="1"/>
  <c r="C19" i="1"/>
  <c r="C22" i="1"/>
  <c r="B25" i="1" l="1"/>
  <c r="D25" i="1" s="1"/>
  <c r="B21" i="1"/>
  <c r="D21" i="1" s="1"/>
  <c r="B26" i="1"/>
  <c r="D26" i="1" s="1"/>
  <c r="B22" i="1"/>
  <c r="D22" i="1" s="1"/>
  <c r="B23" i="1"/>
  <c r="D23" i="1" s="1"/>
  <c r="B19" i="1"/>
  <c r="D19" i="1" s="1"/>
  <c r="F13" i="1"/>
  <c r="B20" i="1"/>
  <c r="D20" i="1" s="1"/>
  <c r="B24" i="1"/>
  <c r="D24" i="1" s="1"/>
  <c r="E20" i="1" l="1"/>
  <c r="F20" i="1"/>
  <c r="E26" i="1"/>
  <c r="F26" i="1"/>
  <c r="E24" i="1"/>
  <c r="F24" i="1"/>
  <c r="E21" i="1"/>
  <c r="F21" i="1"/>
  <c r="F19" i="1"/>
  <c r="E19" i="1"/>
  <c r="F23" i="1"/>
  <c r="E23" i="1"/>
  <c r="E22" i="1"/>
  <c r="F22" i="1"/>
  <c r="F25" i="1"/>
  <c r="E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<sst xmlns="http://schemas.openxmlformats.org/spreadsheetml/2006/main" count="34" uniqueCount="28">
  <si>
    <t>Best Fit Voltage Divider</t>
  </si>
  <si>
    <t>Input Voltage</t>
  </si>
  <si>
    <r>
      <t>(V</t>
    </r>
    <r>
      <rPr>
        <vertAlign val="subscript"/>
        <sz val="11"/>
        <color theme="1"/>
        <rFont val="Aptos Narrow"/>
        <family val="2"/>
        <scheme val="minor"/>
      </rPr>
      <t>IN</t>
    </r>
    <r>
      <rPr>
        <sz val="11"/>
        <color theme="1"/>
        <rFont val="Calibri"/>
        <family val="2"/>
      </rPr>
      <t>)</t>
    </r>
  </si>
  <si>
    <r>
      <t>(V</t>
    </r>
    <r>
      <rPr>
        <vertAlign val="subscript"/>
        <sz val="11"/>
        <color theme="1"/>
        <rFont val="Aptos Narrow"/>
        <family val="2"/>
        <scheme val="minor"/>
      </rPr>
      <t>OUT</t>
    </r>
    <r>
      <rPr>
        <sz val="11"/>
        <color theme="1"/>
        <rFont val="Calibri"/>
        <family val="2"/>
      </rPr>
      <t>)</t>
    </r>
  </si>
  <si>
    <t>Low Side Voltage</t>
  </si>
  <si>
    <r>
      <t>(V</t>
    </r>
    <r>
      <rPr>
        <vertAlign val="subscript"/>
        <sz val="11"/>
        <color theme="1"/>
        <rFont val="Aptos Narrow"/>
        <family val="2"/>
        <scheme val="minor"/>
      </rPr>
      <t>LOW</t>
    </r>
    <r>
      <rPr>
        <sz val="11"/>
        <color theme="1"/>
        <rFont val="Calibri"/>
        <family val="2"/>
      </rPr>
      <t>)</t>
    </r>
  </si>
  <si>
    <t>Desired Output Voltage</t>
  </si>
  <si>
    <t>Base Resistor Values</t>
  </si>
  <si>
    <t>Ω</t>
  </si>
  <si>
    <t>V</t>
  </si>
  <si>
    <t>Error</t>
  </si>
  <si>
    <t>R1</t>
  </si>
  <si>
    <t>R2</t>
  </si>
  <si>
    <t>Scaled Up Values</t>
  </si>
  <si>
    <t>Divider Current (A)</t>
  </si>
  <si>
    <t>Dissipation (W)</t>
  </si>
  <si>
    <t>Decade</t>
  </si>
  <si>
    <t>R1 Power Rating</t>
  </si>
  <si>
    <t>R2 Power Rating</t>
  </si>
  <si>
    <r>
      <t>(P</t>
    </r>
    <r>
      <rPr>
        <vertAlign val="subscript"/>
        <sz val="11"/>
        <color theme="1"/>
        <rFont val="Calibri"/>
        <family val="2"/>
      </rPr>
      <t>R1</t>
    </r>
    <r>
      <rPr>
        <sz val="11"/>
        <color theme="1"/>
        <rFont val="Calibri"/>
        <family val="2"/>
      </rPr>
      <t>)</t>
    </r>
  </si>
  <si>
    <r>
      <t>(P</t>
    </r>
    <r>
      <rPr>
        <vertAlign val="subscript"/>
        <sz val="11"/>
        <color theme="1"/>
        <rFont val="Calibri"/>
        <family val="2"/>
      </rPr>
      <t>R2</t>
    </r>
    <r>
      <rPr>
        <sz val="11"/>
        <color theme="1"/>
        <rFont val="Calibri"/>
        <family val="2"/>
      </rPr>
      <t>)</t>
    </r>
  </si>
  <si>
    <t>Derating</t>
  </si>
  <si>
    <r>
      <t>(D</t>
    </r>
    <r>
      <rPr>
        <vertAlign val="subscript"/>
        <sz val="11"/>
        <color theme="1"/>
        <rFont val="Calibri"/>
        <family val="2"/>
      </rPr>
      <t>POWER</t>
    </r>
    <r>
      <rPr>
        <sz val="11"/>
        <color theme="1"/>
        <rFont val="Calibri"/>
        <family val="2"/>
      </rPr>
      <t>)</t>
    </r>
  </si>
  <si>
    <t>W</t>
  </si>
  <si>
    <t>1% values are not usually available above 1 megohm</t>
  </si>
  <si>
    <r>
      <t>Actual Output Voltage (V</t>
    </r>
    <r>
      <rPr>
        <vertAlign val="subscript"/>
        <sz val="11"/>
        <color theme="1"/>
        <rFont val="Calibri"/>
        <family val="2"/>
      </rPr>
      <t>OUTA</t>
    </r>
    <r>
      <rPr>
        <sz val="11"/>
        <color theme="1"/>
        <rFont val="Calibri"/>
        <family val="2"/>
      </rPr>
      <t>) V</t>
    </r>
  </si>
  <si>
    <t>↓↓</t>
  </si>
  <si>
    <r>
      <t>Number of E96 intervals between R</t>
    </r>
    <r>
      <rPr>
        <vertAlign val="subscript"/>
        <sz val="11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 and R</t>
    </r>
    <r>
      <rPr>
        <vertAlign val="subscript"/>
        <sz val="11"/>
        <color theme="1"/>
        <rFont val="Calibri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</si>
</sst>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00%"/>
    <numFmt numFmtId="166" formatCode="##0.00E+0"/>
  </numFmts>
  <fonts count="11" x14ac:knownFonts="1">
    <font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vertAlign val="subscript"/>
      <sz val="11"/>
      <color theme="1"/>
      <name val="Calibri"/>
      <family val="2"/>
    </font>
    <font>
      <b/>
      <sz val="11"/>
      <color theme="0"/>
      <name val="Calibri"/>
      <family val="2"/>
    </font>
    <font>
      <b/>
      <i/>
      <sz val="11"/>
      <color theme="1"/>
      <name val="Calibri"/>
      <family val="2"/>
    </font>
    <font>
      <sz val="11"/>
      <color theme="1"/>
      <name val="Aptos Narrow"/>
      <family val="2"/>
    </font>
    <font>
      <b/>
      <sz val="12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3" tint="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4" fillId="2" borderId="1">
      <alignment horizontal="center" vertical="center"/>
      <protection locked="0"/>
    </xf>
    <xf numFmtId="0" fontId="4" fillId="6" borderId="1">
      <alignment horizontal="center" vertical="center"/>
    </xf>
    <xf numFmtId="0" fontId="4" fillId="3" borderId="1">
      <alignment horizontal="center" vertical="center"/>
    </xf>
    <xf numFmtId="0" fontId="4" fillId="4" borderId="1">
      <alignment horizontal="center" vertical="center"/>
    </xf>
    <xf numFmtId="0" fontId="5" fillId="5" borderId="1" applyProtection="0">
      <alignment horizontal="center" vertical="center"/>
    </xf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4" fillId="2" borderId="1" xfId="2">
      <alignment horizontal="center" vertical="center"/>
      <protection locked="0"/>
    </xf>
    <xf numFmtId="0" fontId="4" fillId="6" borderId="1" xfId="3">
      <alignment horizontal="center" vertical="center"/>
    </xf>
    <xf numFmtId="165" fontId="4" fillId="6" borderId="1" xfId="1" applyNumberFormat="1" applyFont="1" applyFill="1" applyBorder="1" applyAlignment="1">
      <alignment horizontal="center" vertical="center"/>
    </xf>
    <xf numFmtId="0" fontId="8" fillId="0" borderId="0" xfId="0" applyFont="1"/>
    <xf numFmtId="0" fontId="9" fillId="0" borderId="0" xfId="0" applyFont="1" applyAlignment="1">
      <alignment horizontal="center"/>
    </xf>
    <xf numFmtId="0" fontId="7" fillId="7" borderId="0" xfId="0" applyFont="1" applyFill="1" applyAlignment="1">
      <alignment horizontal="right"/>
    </xf>
    <xf numFmtId="0" fontId="7" fillId="7" borderId="0" xfId="0" applyFont="1" applyFill="1" applyAlignment="1">
      <alignment horizontal="center"/>
    </xf>
    <xf numFmtId="0" fontId="7" fillId="7" borderId="0" xfId="0" applyFont="1" applyFill="1" applyAlignment="1">
      <alignment horizontal="center" wrapText="1"/>
    </xf>
    <xf numFmtId="164" fontId="4" fillId="2" borderId="1" xfId="1" applyNumberFormat="1" applyFont="1" applyFill="1" applyBorder="1" applyAlignment="1" applyProtection="1">
      <alignment horizontal="center" vertical="center"/>
      <protection locked="0"/>
    </xf>
    <xf numFmtId="0" fontId="10" fillId="6" borderId="1" xfId="3" applyFont="1">
      <alignment horizontal="center" vertical="center"/>
    </xf>
    <xf numFmtId="16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7">
    <cellStyle name="INPUTS" xfId="2" xr:uid="{E65AD077-5A44-4BCB-8E3D-A081BD4CB9EF}"/>
    <cellStyle name="Normal" xfId="0" builtinId="0" customBuiltin="1"/>
    <cellStyle name="OUTPUTS" xfId="3" xr:uid="{C5476D2B-7D89-4CC0-A4CA-0278B362D496}"/>
    <cellStyle name="Percent" xfId="1" builtinId="5"/>
    <cellStyle name="REFERENCE" xfId="4" xr:uid="{986B8FDB-A10D-4769-B312-D7E45D047306}"/>
    <cellStyle name="SPECS" xfId="5" xr:uid="{AA9ABF0E-E741-4EC8-8315-8102DE2B4CAD}"/>
    <cellStyle name="UNPROTECTED OUTPUTS" xfId="6" xr:uid="{30E123B4-8B93-4E38-A556-4DE67913E79B}"/>
  </cellStyles>
  <dxfs count="7">
    <dxf>
      <numFmt numFmtId="166" formatCode="##0.00E+0"/>
    </dxf>
    <dxf>
      <numFmt numFmtId="166" formatCode="##0.00E+0"/>
    </dxf>
    <dxf>
      <numFmt numFmtId="166" formatCode="##0.00E+0"/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strike/>
        <color rgb="FF9C0006"/>
      </font>
      <fill>
        <patternFill>
          <bgColor rgb="FFFFC7CE"/>
        </patternFill>
      </fill>
    </dxf>
    <dxf>
      <font>
        <strike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44450</xdr:colOff>
      <xdr:row>1</xdr:row>
      <xdr:rowOff>114299</xdr:rowOff>
    </xdr:from>
    <xdr:to>
      <xdr:col>4</xdr:col>
      <xdr:colOff>311150</xdr:colOff>
      <xdr:row>11</xdr:row>
      <xdr:rowOff>76200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368EED22-3262-A003-0894-94F2E18B5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14650" y="298449"/>
          <a:ext cx="1003300" cy="1879601"/>
        </a:xfrm>
        <a:prstGeom prst="rect">
          <a:avLst/>
        </a:prstGeom>
      </xdr:spPr>
    </xdr:pic>
    <xdr:clientData/>
  </xdr:twoCellAnchor>
  <xdr:oneCellAnchor>
    <xdr:from>
      <xdr:col>5</xdr:col>
      <xdr:colOff>317500</xdr:colOff>
      <xdr:row>3</xdr:row>
      <xdr:rowOff>53975</xdr:rowOff>
    </xdr:from>
    <xdr:ext cx="1632242" cy="3885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3F0FF94-E00B-452F-328A-16FE33AD24D9}"/>
                </a:ext>
              </a:extLst>
            </xdr:cNvPr>
            <xdr:cNvSpPr txBox="1"/>
          </xdr:nvSpPr>
          <xdr:spPr>
            <a:xfrm>
              <a:off x="4641850" y="631825"/>
              <a:ext cx="1632242" cy="3885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𝑂𝑈𝑇𝐴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𝐼𝑁</m:t>
                                </m:r>
                              </m:sub>
                            </m:s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𝑉</m:t>
                                </m:r>
                              </m:e>
                              <m:sub>
                                <m:r>
                                  <a:rPr lang="en-US" sz="12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𝐿𝑂𝑊</m:t>
                                </m:r>
                              </m:sub>
                            </m:sSub>
                          </m:e>
                        </m:d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3F0FF94-E00B-452F-328A-16FE33AD24D9}"/>
                </a:ext>
              </a:extLst>
            </xdr:cNvPr>
            <xdr:cNvSpPr txBox="1"/>
          </xdr:nvSpPr>
          <xdr:spPr>
            <a:xfrm>
              <a:off x="4641850" y="631825"/>
              <a:ext cx="1632242" cy="3885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200" b="0" i="0">
                  <a:latin typeface="Cambria Math" panose="02040503050406030204" pitchFamily="18" charset="0"/>
                </a:rPr>
                <a:t>𝑉_𝑂𝑈𝑇𝐴=((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𝑉_𝐼𝑁−𝑉_𝐿𝑂𝑊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</a:t>
              </a:r>
              <a:r>
                <a:rPr lang="en-US" sz="1200" b="0" i="0">
                  <a:latin typeface="Cambria Math" panose="02040503050406030204" pitchFamily="18" charset="0"/>
                </a:rPr>
                <a:t>𝑅_2)/(𝑅_1+𝑅_2 )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3</xdr:col>
      <xdr:colOff>152400</xdr:colOff>
      <xdr:row>3</xdr:row>
      <xdr:rowOff>155575</xdr:rowOff>
    </xdr:from>
    <xdr:ext cx="224036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DB84C3-9C8C-DBA0-7E6A-C82E20668A8F}"/>
                </a:ext>
              </a:extLst>
            </xdr:cNvPr>
            <xdr:cNvSpPr txBox="1"/>
          </xdr:nvSpPr>
          <xdr:spPr>
            <a:xfrm>
              <a:off x="3022600" y="733425"/>
              <a:ext cx="224036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DB84C3-9C8C-DBA0-7E6A-C82E20668A8F}"/>
                </a:ext>
              </a:extLst>
            </xdr:cNvPr>
            <xdr:cNvSpPr txBox="1"/>
          </xdr:nvSpPr>
          <xdr:spPr>
            <a:xfrm>
              <a:off x="3022600" y="733425"/>
              <a:ext cx="224036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𝑅_1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3</xdr:col>
      <xdr:colOff>152400</xdr:colOff>
      <xdr:row>7</xdr:row>
      <xdr:rowOff>161925</xdr:rowOff>
    </xdr:from>
    <xdr:ext cx="228204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3FD2F8C5-2597-5657-E117-9414FC096B33}"/>
                </a:ext>
              </a:extLst>
            </xdr:cNvPr>
            <xdr:cNvSpPr txBox="1"/>
          </xdr:nvSpPr>
          <xdr:spPr>
            <a:xfrm>
              <a:off x="3022600" y="1501775"/>
              <a:ext cx="228204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3FD2F8C5-2597-5657-E117-9414FC096B33}"/>
                </a:ext>
              </a:extLst>
            </xdr:cNvPr>
            <xdr:cNvSpPr txBox="1"/>
          </xdr:nvSpPr>
          <xdr:spPr>
            <a:xfrm>
              <a:off x="3022600" y="1501775"/>
              <a:ext cx="228204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𝑅_2</a:t>
              </a:r>
              <a:endParaRPr lang="en-US" sz="140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A15F286-E00B-4983-BF7E-A548828835E9}" name="Table3" displayName="Table3" ref="A19:F26" headerRowCount="0" totalsRowShown="0">
  <tableColumns count="6">
    <tableColumn id="1" xr3:uid="{C0C2297B-9D9E-4605-88F5-1176D13D8D4B}" name="Column1"/>
    <tableColumn id="2" xr3:uid="{D78CCE7D-84E6-4530-89B9-7EE27EA1D9EF}" name="Column2">
      <calculatedColumnFormula>_R1*10^A19</calculatedColumnFormula>
    </tableColumn>
    <tableColumn id="3" xr3:uid="{622436C0-5D0E-4026-ACE7-1C3FEB8036DB}" name="Column3">
      <calculatedColumnFormula>_R2*10^A19</calculatedColumnFormula>
    </tableColumn>
    <tableColumn id="4" xr3:uid="{6E18DC66-4DD3-4FCA-BE14-ECB4F1A0B635}" name="Column4" dataDxfId="2">
      <calculatedColumnFormula>(VIN-VLOW)/(B19+C19)</calculatedColumnFormula>
    </tableColumn>
    <tableColumn id="5" xr3:uid="{00AA6D3E-9EA4-4F21-B9F2-6AEF3CF61496}" name="Column5" dataDxfId="1">
      <calculatedColumnFormula>D19^2*B19</calculatedColumnFormula>
    </tableColumn>
    <tableColumn id="6" xr3:uid="{89A9302D-E170-4FCC-B98C-7A4DD2D9E106}" name="Column6" dataDxfId="0">
      <calculatedColumnFormula>D19^2*C19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5B722-270E-4234-9FC1-D93BC6BD1142}">
  <sheetPr codeName="Sheet1"/>
  <dimension ref="A1:O28"/>
  <sheetViews>
    <sheetView showGridLines="0" tabSelected="1" workbookViewId="0">
      <selection activeCell="C8" sqref="C8"/>
    </sheetView>
  </sheetViews>
  <sheetFormatPr defaultRowHeight="14.5" x14ac:dyDescent="0.35"/>
  <cols>
    <col min="1" max="1" width="20.54296875" customWidth="1"/>
    <col min="2" max="3" width="10.26953125" customWidth="1"/>
    <col min="4" max="4" width="10.54296875" customWidth="1"/>
    <col min="5" max="6" width="10.26953125" customWidth="1"/>
    <col min="8" max="8" width="11.81640625" bestFit="1" customWidth="1"/>
  </cols>
  <sheetData>
    <row r="1" spans="1:15" x14ac:dyDescent="0.35">
      <c r="A1" s="1" t="s">
        <v>0</v>
      </c>
      <c r="O1" s="8"/>
    </row>
    <row r="3" spans="1:15" ht="16.5" x14ac:dyDescent="0.45">
      <c r="A3" s="3" t="s">
        <v>1</v>
      </c>
      <c r="B3" s="4" t="s">
        <v>2</v>
      </c>
      <c r="C3" s="5">
        <v>12</v>
      </c>
      <c r="D3" t="s">
        <v>9</v>
      </c>
      <c r="E3" t="s">
        <v>7</v>
      </c>
    </row>
    <row r="4" spans="1:15" x14ac:dyDescent="0.35">
      <c r="B4" s="4"/>
      <c r="E4" s="9" t="s">
        <v>26</v>
      </c>
    </row>
    <row r="5" spans="1:15" x14ac:dyDescent="0.35">
      <c r="A5" s="3"/>
      <c r="B5" s="4"/>
      <c r="E5" s="6" cm="1">
        <f t="array" ref="E5:E9">BFVD(VIN,VOUT,VLOW)</f>
        <v>1.4</v>
      </c>
      <c r="F5" t="s">
        <v>8</v>
      </c>
    </row>
    <row r="6" spans="1:15" x14ac:dyDescent="0.35">
      <c r="A6" s="3"/>
      <c r="B6" s="4"/>
      <c r="E6" t="str">
        <v/>
      </c>
    </row>
    <row r="7" spans="1:15" ht="16.5" x14ac:dyDescent="0.45">
      <c r="A7" s="3" t="s">
        <v>6</v>
      </c>
      <c r="B7" s="4" t="s">
        <v>3</v>
      </c>
      <c r="C7" s="5">
        <v>5</v>
      </c>
      <c r="D7" t="s">
        <v>9</v>
      </c>
      <c r="E7" t="str">
        <v/>
      </c>
      <c r="F7" s="14">
        <f>(VIN-VLOW)*E9/(_R1+_R2)+VLOW</f>
        <v>5</v>
      </c>
      <c r="G7" t="s">
        <v>25</v>
      </c>
    </row>
    <row r="8" spans="1:15" x14ac:dyDescent="0.35">
      <c r="A8" s="3"/>
      <c r="B8" s="4"/>
      <c r="E8" t="str">
        <v/>
      </c>
    </row>
    <row r="9" spans="1:15" x14ac:dyDescent="0.35">
      <c r="A9" s="3"/>
      <c r="B9" s="4"/>
      <c r="E9" s="6">
        <v>1</v>
      </c>
      <c r="F9" t="s">
        <v>8</v>
      </c>
    </row>
    <row r="10" spans="1:15" x14ac:dyDescent="0.35">
      <c r="A10" s="3"/>
      <c r="B10" s="4"/>
    </row>
    <row r="11" spans="1:15" ht="16.5" x14ac:dyDescent="0.45">
      <c r="A11" s="3" t="s">
        <v>4</v>
      </c>
      <c r="B11" s="4" t="s">
        <v>5</v>
      </c>
      <c r="C11" s="5">
        <v>0</v>
      </c>
      <c r="D11" t="s">
        <v>9</v>
      </c>
      <c r="E11" s="2" t="s">
        <v>10</v>
      </c>
      <c r="F11" s="7">
        <f>(VOUTA-VOUT)/VOUT</f>
        <v>0</v>
      </c>
    </row>
    <row r="13" spans="1:15" ht="16.5" x14ac:dyDescent="0.45">
      <c r="A13" s="2" t="s">
        <v>17</v>
      </c>
      <c r="B13" s="4" t="s">
        <v>19</v>
      </c>
      <c r="C13" s="5">
        <v>0.125</v>
      </c>
      <c r="D13" t="s">
        <v>23</v>
      </c>
      <c r="F13" s="6">
        <f>ROUND(ABS(LOG(_R1)/LOG(10^(1/96))-LOG(_R2)/LOG(10^(1/96))),0)</f>
        <v>14</v>
      </c>
      <c r="G13" t="s">
        <v>27</v>
      </c>
    </row>
    <row r="14" spans="1:15" ht="16.5" x14ac:dyDescent="0.45">
      <c r="A14" s="2" t="s">
        <v>18</v>
      </c>
      <c r="B14" s="4" t="s">
        <v>20</v>
      </c>
      <c r="C14" s="5">
        <v>0.125</v>
      </c>
      <c r="D14" t="s">
        <v>23</v>
      </c>
    </row>
    <row r="15" spans="1:15" ht="16.5" x14ac:dyDescent="0.45">
      <c r="A15" s="2" t="s">
        <v>21</v>
      </c>
      <c r="B15" s="4" t="s">
        <v>22</v>
      </c>
      <c r="C15" s="13">
        <v>0.5</v>
      </c>
    </row>
    <row r="16" spans="1:15" x14ac:dyDescent="0.35">
      <c r="E16" s="17"/>
      <c r="F16" s="17"/>
    </row>
    <row r="17" spans="1:6" x14ac:dyDescent="0.35">
      <c r="B17" s="16" t="s">
        <v>13</v>
      </c>
      <c r="C17" s="16"/>
      <c r="E17" s="16" t="s">
        <v>15</v>
      </c>
      <c r="F17" s="16"/>
    </row>
    <row r="18" spans="1:6" ht="29" x14ac:dyDescent="0.35">
      <c r="A18" s="10" t="s">
        <v>16</v>
      </c>
      <c r="B18" s="11" t="s">
        <v>11</v>
      </c>
      <c r="C18" s="11" t="s">
        <v>12</v>
      </c>
      <c r="D18" s="12" t="s">
        <v>14</v>
      </c>
      <c r="E18" s="11" t="s">
        <v>11</v>
      </c>
      <c r="F18" s="11" t="s">
        <v>12</v>
      </c>
    </row>
    <row r="19" spans="1:6" x14ac:dyDescent="0.35">
      <c r="A19">
        <v>0</v>
      </c>
      <c r="B19">
        <f t="shared" ref="B19:B26" si="0">_R1*10^A19</f>
        <v>1.4</v>
      </c>
      <c r="C19">
        <f t="shared" ref="C19:C26" si="1">_R2*10^A19</f>
        <v>1</v>
      </c>
      <c r="D19" s="15">
        <f t="shared" ref="D19:D26" si="2">(VIN-VLOW)/(B19+C19)</f>
        <v>5</v>
      </c>
      <c r="E19" s="15">
        <f>D19^2*B19</f>
        <v>35</v>
      </c>
      <c r="F19" s="15">
        <f>D19^2*C19</f>
        <v>25</v>
      </c>
    </row>
    <row r="20" spans="1:6" x14ac:dyDescent="0.35">
      <c r="A20">
        <v>1</v>
      </c>
      <c r="B20">
        <f t="shared" si="0"/>
        <v>14</v>
      </c>
      <c r="C20">
        <f t="shared" si="1"/>
        <v>10</v>
      </c>
      <c r="D20" s="15">
        <f t="shared" si="2"/>
        <v>0.5</v>
      </c>
      <c r="E20" s="15">
        <f t="shared" ref="E20:E26" si="3">D20^2*B20</f>
        <v>3.5</v>
      </c>
      <c r="F20" s="15">
        <f t="shared" ref="F20:F26" si="4">D20^2*C20</f>
        <v>2.5</v>
      </c>
    </row>
    <row r="21" spans="1:6" x14ac:dyDescent="0.35">
      <c r="A21">
        <v>2</v>
      </c>
      <c r="B21">
        <f t="shared" si="0"/>
        <v>140</v>
      </c>
      <c r="C21">
        <f t="shared" si="1"/>
        <v>100</v>
      </c>
      <c r="D21" s="15">
        <f t="shared" si="2"/>
        <v>0.05</v>
      </c>
      <c r="E21" s="15">
        <f t="shared" si="3"/>
        <v>0.35000000000000009</v>
      </c>
      <c r="F21" s="15">
        <f t="shared" si="4"/>
        <v>0.25000000000000006</v>
      </c>
    </row>
    <row r="22" spans="1:6" x14ac:dyDescent="0.35">
      <c r="A22">
        <v>3</v>
      </c>
      <c r="B22">
        <f t="shared" si="0"/>
        <v>1400</v>
      </c>
      <c r="C22">
        <f t="shared" si="1"/>
        <v>1000</v>
      </c>
      <c r="D22" s="15">
        <f t="shared" si="2"/>
        <v>5.0000000000000001E-3</v>
      </c>
      <c r="E22" s="15">
        <f t="shared" si="3"/>
        <v>3.5000000000000003E-2</v>
      </c>
      <c r="F22" s="15">
        <f t="shared" si="4"/>
        <v>2.5000000000000001E-2</v>
      </c>
    </row>
    <row r="23" spans="1:6" x14ac:dyDescent="0.35">
      <c r="A23">
        <v>4</v>
      </c>
      <c r="B23">
        <f t="shared" si="0"/>
        <v>14000</v>
      </c>
      <c r="C23">
        <f t="shared" si="1"/>
        <v>10000</v>
      </c>
      <c r="D23" s="15">
        <f t="shared" si="2"/>
        <v>5.0000000000000001E-4</v>
      </c>
      <c r="E23" s="15">
        <f t="shared" si="3"/>
        <v>3.4999999999999996E-3</v>
      </c>
      <c r="F23" s="15">
        <f t="shared" si="4"/>
        <v>2.5000000000000001E-3</v>
      </c>
    </row>
    <row r="24" spans="1:6" x14ac:dyDescent="0.35">
      <c r="A24">
        <v>5</v>
      </c>
      <c r="B24">
        <f t="shared" si="0"/>
        <v>140000</v>
      </c>
      <c r="C24">
        <f t="shared" si="1"/>
        <v>100000</v>
      </c>
      <c r="D24" s="15">
        <f t="shared" si="2"/>
        <v>5.0000000000000002E-5</v>
      </c>
      <c r="E24" s="15">
        <f t="shared" si="3"/>
        <v>3.5E-4</v>
      </c>
      <c r="F24" s="15">
        <f t="shared" si="4"/>
        <v>2.5000000000000001E-4</v>
      </c>
    </row>
    <row r="25" spans="1:6" x14ac:dyDescent="0.35">
      <c r="A25">
        <v>6</v>
      </c>
      <c r="B25">
        <f t="shared" si="0"/>
        <v>1400000</v>
      </c>
      <c r="C25">
        <f t="shared" si="1"/>
        <v>1000000</v>
      </c>
      <c r="D25" s="15">
        <f t="shared" si="2"/>
        <v>5.0000000000000004E-6</v>
      </c>
      <c r="E25" s="15">
        <f t="shared" si="3"/>
        <v>3.5000000000000004E-5</v>
      </c>
      <c r="F25" s="15">
        <f t="shared" si="4"/>
        <v>2.5000000000000005E-5</v>
      </c>
    </row>
    <row r="26" spans="1:6" x14ac:dyDescent="0.35">
      <c r="A26">
        <v>7</v>
      </c>
      <c r="B26">
        <f t="shared" si="0"/>
        <v>14000000</v>
      </c>
      <c r="C26">
        <f t="shared" si="1"/>
        <v>10000000</v>
      </c>
      <c r="D26" s="15">
        <f t="shared" si="2"/>
        <v>4.9999999999999998E-7</v>
      </c>
      <c r="E26" s="15">
        <f t="shared" si="3"/>
        <v>3.4999999999999999E-6</v>
      </c>
      <c r="F26" s="15">
        <f t="shared" si="4"/>
        <v>2.4999999999999998E-6</v>
      </c>
    </row>
    <row r="28" spans="1:6" x14ac:dyDescent="0.35">
      <c r="B28" s="16" t="s">
        <v>24</v>
      </c>
      <c r="C28" s="16"/>
      <c r="D28" s="16"/>
      <c r="E28" s="16"/>
      <c r="F28" s="16"/>
    </row>
  </sheetData>
  <sheetProtection sheet="1" objects="1" scenarios="1"/>
  <mergeCells count="4">
    <mergeCell ref="B17:C17"/>
    <mergeCell ref="E17:F17"/>
    <mergeCell ref="E16:F16"/>
    <mergeCell ref="B28:F28"/>
  </mergeCells>
  <conditionalFormatting sqref="E19:E26">
    <cfRule type="cellIs" dxfId="6" priority="4" operator="greaterThan">
      <formula>$C$15*$C$13</formula>
    </cfRule>
  </conditionalFormatting>
  <conditionalFormatting sqref="F19:F26">
    <cfRule type="cellIs" dxfId="5" priority="3" operator="greaterThan">
      <formula>$C$15*$C$14</formula>
    </cfRule>
  </conditionalFormatting>
  <conditionalFormatting sqref="B19:C26">
    <cfRule type="cellIs" dxfId="4" priority="2" operator="greaterThan">
      <formula>1000000</formula>
    </cfRule>
  </conditionalFormatting>
  <conditionalFormatting sqref="B28">
    <cfRule type="cellIs" dxfId="3" priority="1" operator="greaterThan">
      <formula>1000000</formula>
    </cfRule>
  </conditionalFormatting>
  <dataValidations count="5">
    <dataValidation type="decimal" operator="greaterThan" allowBlank="1" showInputMessage="1" showErrorMessage="1" errorTitle="Out of Range" error="Input voltage must be greater than VOUT." promptTitle="Input Voltage" prompt="Input voltage must be greater than VOUT." sqref="C3" xr:uid="{2F5BD071-E27A-4A76-9F93-67D29CD5E793}">
      <formula1>C7</formula1>
    </dataValidation>
    <dataValidation type="custom" allowBlank="1" showInputMessage="1" showErrorMessage="1" errorTitle="Out of Range" error="Must be less than VIN and greater than VLOW." promptTitle="Output Voltage" prompt="Must be less than VIN and greater than VLOW." sqref="C7" xr:uid="{431BB0CD-F9D5-4850-B769-ADD00816101F}">
      <formula1>AND(C7&gt;0,C7&lt;C3)</formula1>
    </dataValidation>
    <dataValidation type="decimal" operator="lessThan" allowBlank="1" showInputMessage="1" showErrorMessage="1" errorTitle="Out of Range" error="Must be lower than VOUT. Can be used to input negative numbers." promptTitle="V Low" prompt="Must be lower than VOUT. Can be used to input negative numbers." sqref="C11" xr:uid="{B638D4F2-424C-41EB-ADF9-82594D36FB39}">
      <formula1>C7</formula1>
    </dataValidation>
    <dataValidation type="decimal" operator="greaterThan" allowBlank="1" showInputMessage="1" showErrorMessage="1" errorTitle="Out of range" error="Must be greater than zero." promptTitle="Resistor Power Rating" prompt="Enter the maximum size power desired. Must be greater than zero." sqref="C13:C14" xr:uid="{83A41923-178E-4746-A5C5-84AEDFCA1264}">
      <formula1>0</formula1>
    </dataValidation>
    <dataValidation type="decimal" allowBlank="1" showInputMessage="1" showErrorMessage="1" errorTitle="Out of range" error="Must be between 0 and 100%" promptTitle="Resistor Power Derating Factor" prompt="Must be between 0 and 100% (Typically 50%)" sqref="C15" xr:uid="{D0012001-60C1-463A-B7DA-4F7A8CA59B88}">
      <formula1>0</formula1>
      <formula2>1</formula2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Best Fit Voltage Divider</vt:lpstr>
      <vt:lpstr>_R1</vt:lpstr>
      <vt:lpstr>_R2</vt:lpstr>
      <vt:lpstr>DPOWER</vt:lpstr>
      <vt:lpstr>Error</vt:lpstr>
      <vt:lpstr>PR1_</vt:lpstr>
      <vt:lpstr>PR2_</vt:lpstr>
      <vt:lpstr>VIN</vt:lpstr>
      <vt:lpstr>VLOW</vt:lpstr>
      <vt:lpstr>VOUT</vt:lpstr>
      <vt:lpstr>VOUTA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Oldhack EE</dc:creator>
  <cp:lastModifiedBy>Oldhack EE</cp:lastModifiedBy>
  <dcterms:created xsi:type="dcterms:W3CDTF">2024-06-21T17:20:54Z</dcterms:created>
  <dcterms:modified xsi:type="dcterms:W3CDTF">2024-06-24T01:17:30Z</dcterms:modified>
</cp:coreProperties>
</file>