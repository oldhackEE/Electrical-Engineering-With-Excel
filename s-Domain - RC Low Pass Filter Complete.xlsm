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Terry's Presentations\Excel for Electrical Engineering\s-Domain\"/>
    </mc:Choice>
  </mc:AlternateContent>
  <xr:revisionPtr revIDLastSave="0" documentId="13_ncr:1_{310C117A-00BC-4D3B-B905-11E22EFA24EA}" xr6:coauthVersionLast="47" xr6:coauthVersionMax="47" xr10:uidLastSave="{00000000-0000-0000-0000-000000000000}"/>
  <bookViews>
    <workbookView xWindow="-120" yWindow="-120" windowWidth="29040" windowHeight="15840" xr2:uid="{CDCD2FDB-8CC5-4704-B071-AB21BBA62760}"/>
  </bookViews>
  <sheets>
    <sheet name="RC Low Pass" sheetId="4" r:id="rId1"/>
  </sheets>
  <functionGroups builtInGroupCount="19"/>
  <externalReferences>
    <externalReference r:id="rId2"/>
  </externalReferences>
  <definedNames>
    <definedName name="_C">'RC Low Pass'!$B$4</definedName>
    <definedName name="_fc">'RC Low Pass'!$B$3</definedName>
    <definedName name="_R">'RC Low Pass'!$B$6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4" l="1"/>
  <c r="I2" i="4" s="1"/>
  <c r="H3" i="4"/>
  <c r="I3" i="4" s="1"/>
  <c r="H4" i="4"/>
  <c r="I4" i="4" s="1"/>
  <c r="H5" i="4"/>
  <c r="I5" i="4" s="1"/>
  <c r="H6" i="4"/>
  <c r="I6" i="4" s="1"/>
  <c r="H7" i="4"/>
  <c r="I7" i="4" s="1"/>
  <c r="H8" i="4"/>
  <c r="I8" i="4" s="1"/>
  <c r="H9" i="4"/>
  <c r="I9" i="4" s="1"/>
  <c r="H10" i="4"/>
  <c r="I10" i="4" s="1"/>
  <c r="H11" i="4"/>
  <c r="I11" i="4" s="1"/>
  <c r="H12" i="4"/>
  <c r="I12" i="4" s="1"/>
  <c r="H13" i="4"/>
  <c r="I13" i="4" s="1"/>
  <c r="H14" i="4"/>
  <c r="I14" i="4" s="1"/>
  <c r="H15" i="4"/>
  <c r="I15" i="4" s="1"/>
  <c r="H16" i="4"/>
  <c r="I16" i="4" s="1"/>
  <c r="H17" i="4"/>
  <c r="I17" i="4" s="1"/>
  <c r="H18" i="4"/>
  <c r="I18" i="4" s="1"/>
  <c r="H19" i="4"/>
  <c r="I19" i="4" s="1"/>
  <c r="H20" i="4"/>
  <c r="I20" i="4" s="1"/>
  <c r="H21" i="4"/>
  <c r="I21" i="4" s="1"/>
  <c r="H22" i="4"/>
  <c r="I22" i="4" s="1"/>
  <c r="H23" i="4"/>
  <c r="I23" i="4" s="1"/>
  <c r="H24" i="4"/>
  <c r="I24" i="4" s="1"/>
  <c r="H25" i="4"/>
  <c r="I25" i="4" s="1"/>
  <c r="H26" i="4"/>
  <c r="I26" i="4" s="1"/>
  <c r="H27" i="4"/>
  <c r="I27" i="4" s="1"/>
  <c r="H28" i="4"/>
  <c r="I28" i="4" s="1"/>
  <c r="H29" i="4"/>
  <c r="I29" i="4" s="1"/>
  <c r="H30" i="4"/>
  <c r="I30" i="4" s="1"/>
  <c r="H31" i="4"/>
  <c r="I31" i="4" s="1"/>
  <c r="H32" i="4"/>
  <c r="I32" i="4" s="1"/>
  <c r="H33" i="4"/>
  <c r="I33" i="4" s="1"/>
  <c r="H34" i="4"/>
  <c r="I34" i="4" s="1"/>
  <c r="H35" i="4"/>
  <c r="I35" i="4" s="1"/>
  <c r="H36" i="4"/>
  <c r="I36" i="4" s="1"/>
  <c r="H37" i="4"/>
  <c r="I37" i="4" s="1"/>
  <c r="H38" i="4"/>
  <c r="I38" i="4" s="1"/>
  <c r="H39" i="4"/>
  <c r="I39" i="4" s="1"/>
  <c r="H40" i="4"/>
  <c r="I40" i="4" s="1"/>
  <c r="H41" i="4"/>
  <c r="I41" i="4" s="1"/>
  <c r="H42" i="4"/>
  <c r="I42" i="4" s="1"/>
  <c r="H43" i="4"/>
  <c r="I43" i="4" s="1"/>
  <c r="H44" i="4"/>
  <c r="I44" i="4" s="1"/>
  <c r="H45" i="4"/>
  <c r="I45" i="4" s="1"/>
  <c r="H46" i="4"/>
  <c r="I46" i="4" s="1"/>
  <c r="H47" i="4"/>
  <c r="I47" i="4" s="1"/>
  <c r="H48" i="4"/>
  <c r="I48" i="4" s="1"/>
  <c r="H49" i="4"/>
  <c r="I49" i="4" s="1"/>
  <c r="H50" i="4"/>
  <c r="I50" i="4" s="1"/>
  <c r="H51" i="4"/>
  <c r="I51" i="4" s="1"/>
  <c r="H52" i="4"/>
  <c r="I52" i="4" s="1"/>
  <c r="H53" i="4"/>
  <c r="I53" i="4" s="1"/>
  <c r="H54" i="4"/>
  <c r="I54" i="4" s="1"/>
  <c r="H55" i="4"/>
  <c r="I55" i="4" s="1"/>
  <c r="H56" i="4"/>
  <c r="I56" i="4" s="1"/>
  <c r="H57" i="4"/>
  <c r="I57" i="4" s="1"/>
  <c r="H58" i="4"/>
  <c r="I58" i="4" s="1"/>
  <c r="H59" i="4"/>
  <c r="I59" i="4" s="1"/>
  <c r="H60" i="4"/>
  <c r="I60" i="4" s="1"/>
  <c r="H61" i="4"/>
  <c r="I61" i="4" s="1"/>
  <c r="H62" i="4"/>
  <c r="I62" i="4" s="1"/>
  <c r="H63" i="4"/>
  <c r="I63" i="4" s="1"/>
  <c r="H64" i="4"/>
  <c r="I64" i="4" s="1"/>
  <c r="H65" i="4"/>
  <c r="I65" i="4" s="1"/>
  <c r="H66" i="4"/>
  <c r="I66" i="4" s="1"/>
  <c r="H67" i="4"/>
  <c r="I67" i="4" s="1"/>
  <c r="H68" i="4"/>
  <c r="I68" i="4" s="1"/>
  <c r="H69" i="4"/>
  <c r="I69" i="4" s="1"/>
  <c r="H70" i="4"/>
  <c r="I70" i="4" s="1"/>
  <c r="H71" i="4"/>
  <c r="I71" i="4" s="1"/>
  <c r="H72" i="4"/>
  <c r="I72" i="4" s="1"/>
  <c r="H73" i="4"/>
  <c r="I73" i="4" s="1"/>
  <c r="H74" i="4"/>
  <c r="I74" i="4" s="1"/>
  <c r="H75" i="4"/>
  <c r="I75" i="4" s="1"/>
  <c r="H76" i="4"/>
  <c r="I76" i="4" s="1"/>
  <c r="H77" i="4"/>
  <c r="I77" i="4" s="1"/>
  <c r="H78" i="4"/>
  <c r="I78" i="4" s="1"/>
  <c r="H79" i="4"/>
  <c r="I79" i="4" s="1"/>
  <c r="H80" i="4"/>
  <c r="I80" i="4" s="1"/>
  <c r="H81" i="4"/>
  <c r="I81" i="4" s="1"/>
  <c r="H82" i="4"/>
  <c r="I82" i="4" s="1"/>
  <c r="H83" i="4"/>
  <c r="I83" i="4" s="1"/>
  <c r="H84" i="4"/>
  <c r="I84" i="4" s="1"/>
  <c r="H85" i="4"/>
  <c r="I85" i="4" s="1"/>
  <c r="H86" i="4"/>
  <c r="I86" i="4" s="1"/>
  <c r="H87" i="4"/>
  <c r="I87" i="4" s="1"/>
  <c r="H88" i="4"/>
  <c r="I88" i="4" s="1"/>
  <c r="H89" i="4"/>
  <c r="I89" i="4" s="1"/>
  <c r="H90" i="4"/>
  <c r="I90" i="4" s="1"/>
  <c r="H91" i="4"/>
  <c r="I91" i="4" s="1"/>
  <c r="H92" i="4"/>
  <c r="I92" i="4" s="1"/>
  <c r="H93" i="4"/>
  <c r="I93" i="4" s="1"/>
  <c r="H94" i="4"/>
  <c r="I94" i="4" s="1"/>
  <c r="H95" i="4"/>
  <c r="I95" i="4" s="1"/>
  <c r="H96" i="4"/>
  <c r="I96" i="4" s="1"/>
  <c r="H97" i="4"/>
  <c r="I97" i="4" s="1"/>
  <c r="H98" i="4"/>
  <c r="I98" i="4" s="1"/>
  <c r="H99" i="4"/>
  <c r="I99" i="4" s="1"/>
  <c r="H100" i="4"/>
  <c r="I100" i="4" s="1"/>
  <c r="H101" i="4"/>
  <c r="I101" i="4" s="1"/>
  <c r="H102" i="4"/>
  <c r="I102" i="4" s="1"/>
  <c r="H103" i="4"/>
  <c r="I103" i="4" s="1"/>
  <c r="H104" i="4"/>
  <c r="I104" i="4" s="1"/>
  <c r="H105" i="4"/>
  <c r="I105" i="4" s="1"/>
  <c r="H106" i="4"/>
  <c r="I106" i="4" s="1"/>
  <c r="H107" i="4"/>
  <c r="I107" i="4" s="1"/>
  <c r="H108" i="4"/>
  <c r="I108" i="4" s="1"/>
  <c r="H109" i="4"/>
  <c r="I109" i="4" s="1"/>
  <c r="H110" i="4"/>
  <c r="I110" i="4" s="1"/>
  <c r="H111" i="4"/>
  <c r="I111" i="4" s="1"/>
  <c r="H112" i="4"/>
  <c r="I112" i="4" s="1"/>
  <c r="H113" i="4"/>
  <c r="I113" i="4" s="1"/>
  <c r="H114" i="4"/>
  <c r="I114" i="4" s="1"/>
  <c r="H115" i="4"/>
  <c r="I115" i="4" s="1"/>
  <c r="H116" i="4"/>
  <c r="I116" i="4" s="1"/>
  <c r="H117" i="4"/>
  <c r="I117" i="4" s="1"/>
  <c r="H118" i="4"/>
  <c r="I118" i="4" s="1"/>
  <c r="H119" i="4"/>
  <c r="I119" i="4" s="1"/>
  <c r="H120" i="4"/>
  <c r="I120" i="4" s="1"/>
  <c r="H121" i="4"/>
  <c r="I121" i="4" s="1"/>
  <c r="H122" i="4"/>
  <c r="I122" i="4" s="1"/>
  <c r="H123" i="4"/>
  <c r="I123" i="4" s="1"/>
  <c r="H124" i="4"/>
  <c r="I124" i="4" s="1"/>
  <c r="H125" i="4"/>
  <c r="I125" i="4" s="1"/>
  <c r="H126" i="4"/>
  <c r="I126" i="4" s="1"/>
  <c r="H127" i="4"/>
  <c r="I127" i="4" s="1"/>
  <c r="H128" i="4"/>
  <c r="I128" i="4" s="1"/>
  <c r="H129" i="4"/>
  <c r="I129" i="4" s="1"/>
  <c r="H130" i="4"/>
  <c r="I130" i="4" s="1"/>
  <c r="H131" i="4"/>
  <c r="I131" i="4" s="1"/>
  <c r="H132" i="4"/>
  <c r="I132" i="4" s="1"/>
  <c r="H133" i="4"/>
  <c r="I133" i="4" s="1"/>
  <c r="H134" i="4"/>
  <c r="I134" i="4" s="1"/>
  <c r="H135" i="4"/>
  <c r="I135" i="4" s="1"/>
  <c r="H136" i="4"/>
  <c r="I136" i="4" s="1"/>
  <c r="H137" i="4"/>
  <c r="I137" i="4" s="1"/>
  <c r="H138" i="4"/>
  <c r="I138" i="4" s="1"/>
  <c r="H139" i="4"/>
  <c r="I139" i="4" s="1"/>
  <c r="H140" i="4"/>
  <c r="I140" i="4" s="1"/>
  <c r="H141" i="4"/>
  <c r="I141" i="4" s="1"/>
  <c r="H142" i="4"/>
  <c r="I142" i="4" s="1"/>
  <c r="H143" i="4"/>
  <c r="I143" i="4" s="1"/>
  <c r="H144" i="4"/>
  <c r="I144" i="4" s="1"/>
  <c r="H145" i="4"/>
  <c r="I145" i="4" s="1"/>
  <c r="H146" i="4"/>
  <c r="I146" i="4" s="1"/>
  <c r="H147" i="4"/>
  <c r="I147" i="4" s="1"/>
  <c r="H148" i="4"/>
  <c r="I148" i="4" s="1"/>
  <c r="H149" i="4"/>
  <c r="I149" i="4" s="1"/>
  <c r="H150" i="4"/>
  <c r="I150" i="4" s="1"/>
  <c r="H151" i="4"/>
  <c r="I151" i="4" s="1"/>
  <c r="H152" i="4"/>
  <c r="I152" i="4" s="1"/>
  <c r="H153" i="4"/>
  <c r="I153" i="4" s="1"/>
  <c r="H154" i="4"/>
  <c r="I154" i="4" s="1"/>
  <c r="H155" i="4"/>
  <c r="I155" i="4" s="1"/>
  <c r="H156" i="4"/>
  <c r="I156" i="4" s="1"/>
  <c r="H157" i="4"/>
  <c r="I157" i="4" s="1"/>
  <c r="H158" i="4"/>
  <c r="I158" i="4" s="1"/>
  <c r="H159" i="4"/>
  <c r="I159" i="4" s="1"/>
  <c r="H160" i="4"/>
  <c r="I160" i="4" s="1"/>
  <c r="H161" i="4"/>
  <c r="I161" i="4" s="1"/>
  <c r="H162" i="4"/>
  <c r="I162" i="4" s="1"/>
  <c r="H163" i="4"/>
  <c r="I163" i="4" s="1"/>
  <c r="H164" i="4"/>
  <c r="I164" i="4" s="1"/>
  <c r="H165" i="4"/>
  <c r="I165" i="4" s="1"/>
  <c r="H166" i="4"/>
  <c r="I166" i="4" s="1"/>
  <c r="H167" i="4"/>
  <c r="I167" i="4" s="1"/>
  <c r="H168" i="4"/>
  <c r="I168" i="4" s="1"/>
  <c r="H169" i="4"/>
  <c r="I169" i="4" s="1"/>
  <c r="H170" i="4"/>
  <c r="I170" i="4" s="1"/>
  <c r="H171" i="4"/>
  <c r="I171" i="4" s="1"/>
  <c r="H172" i="4"/>
  <c r="I172" i="4" s="1"/>
  <c r="H173" i="4"/>
  <c r="I173" i="4" s="1"/>
  <c r="H174" i="4"/>
  <c r="I174" i="4" s="1"/>
  <c r="H175" i="4"/>
  <c r="I175" i="4" s="1"/>
  <c r="H176" i="4"/>
  <c r="I176" i="4" s="1"/>
  <c r="H177" i="4"/>
  <c r="I177" i="4" s="1"/>
  <c r="H178" i="4"/>
  <c r="I178" i="4" s="1"/>
  <c r="H179" i="4"/>
  <c r="I179" i="4" s="1"/>
  <c r="H180" i="4"/>
  <c r="I180" i="4" s="1"/>
  <c r="H181" i="4"/>
  <c r="I181" i="4" s="1"/>
  <c r="H182" i="4"/>
  <c r="I182" i="4" s="1"/>
  <c r="H183" i="4"/>
  <c r="I183" i="4" s="1"/>
  <c r="H184" i="4"/>
  <c r="I184" i="4" s="1"/>
  <c r="H185" i="4"/>
  <c r="I185" i="4" s="1"/>
  <c r="H186" i="4"/>
  <c r="I186" i="4" s="1"/>
  <c r="H187" i="4"/>
  <c r="I187" i="4" s="1"/>
  <c r="H188" i="4"/>
  <c r="I188" i="4" s="1"/>
  <c r="H189" i="4"/>
  <c r="I189" i="4" s="1"/>
  <c r="H190" i="4"/>
  <c r="I190" i="4" s="1"/>
  <c r="H191" i="4"/>
  <c r="I191" i="4" s="1"/>
  <c r="H192" i="4"/>
  <c r="I192" i="4" s="1"/>
  <c r="H193" i="4"/>
  <c r="I193" i="4" s="1"/>
  <c r="H194" i="4"/>
  <c r="I194" i="4" s="1"/>
  <c r="H195" i="4"/>
  <c r="I195" i="4" s="1"/>
  <c r="H196" i="4"/>
  <c r="I196" i="4" s="1"/>
  <c r="H197" i="4"/>
  <c r="I197" i="4" s="1"/>
  <c r="H198" i="4"/>
  <c r="I198" i="4" s="1"/>
  <c r="H199" i="4"/>
  <c r="I199" i="4" s="1"/>
  <c r="H200" i="4"/>
  <c r="I200" i="4" s="1"/>
  <c r="H201" i="4"/>
  <c r="I201" i="4" s="1"/>
  <c r="H202" i="4"/>
  <c r="I202" i="4" s="1"/>
  <c r="B6" i="4" a="1"/>
  <c r="B6" i="4" l="1"/>
  <c r="J193" i="4" s="1"/>
  <c r="K193" i="4" l="1"/>
  <c r="L193" i="4"/>
  <c r="J6" i="4"/>
  <c r="J14" i="4"/>
  <c r="J86" i="4"/>
  <c r="J134" i="4"/>
  <c r="J65" i="4"/>
  <c r="J3" i="4"/>
  <c r="J22" i="4"/>
  <c r="J150" i="4"/>
  <c r="J19" i="4"/>
  <c r="J70" i="4"/>
  <c r="J198" i="4"/>
  <c r="J83" i="4"/>
  <c r="J38" i="4"/>
  <c r="J102" i="4"/>
  <c r="J166" i="4"/>
  <c r="J113" i="4"/>
  <c r="J35" i="4"/>
  <c r="J99" i="4"/>
  <c r="J54" i="4"/>
  <c r="J118" i="4"/>
  <c r="J182" i="4"/>
  <c r="J161" i="4"/>
  <c r="J51" i="4"/>
  <c r="J115" i="4"/>
  <c r="J67" i="4"/>
  <c r="J131" i="4"/>
  <c r="J147" i="4"/>
  <c r="J163" i="4"/>
  <c r="J179" i="4"/>
  <c r="J195" i="4"/>
  <c r="J57" i="4"/>
  <c r="J105" i="4"/>
  <c r="J153" i="4"/>
  <c r="J201" i="4"/>
  <c r="J16" i="4"/>
  <c r="J32" i="4"/>
  <c r="J48" i="4"/>
  <c r="J64" i="4"/>
  <c r="J80" i="4"/>
  <c r="J96" i="4"/>
  <c r="J112" i="4"/>
  <c r="J128" i="4"/>
  <c r="J144" i="4"/>
  <c r="J160" i="4"/>
  <c r="J176" i="4"/>
  <c r="J192" i="4"/>
  <c r="J9" i="4"/>
  <c r="J25" i="4"/>
  <c r="J61" i="4"/>
  <c r="J109" i="4"/>
  <c r="J157" i="4"/>
  <c r="J10" i="4"/>
  <c r="J26" i="4"/>
  <c r="J42" i="4"/>
  <c r="J58" i="4"/>
  <c r="J74" i="4"/>
  <c r="J90" i="4"/>
  <c r="J106" i="4"/>
  <c r="J122" i="4"/>
  <c r="J138" i="4"/>
  <c r="J154" i="4"/>
  <c r="J170" i="4"/>
  <c r="J186" i="4"/>
  <c r="J202" i="4"/>
  <c r="J77" i="4"/>
  <c r="J121" i="4"/>
  <c r="J173" i="4"/>
  <c r="J7" i="4"/>
  <c r="J23" i="4"/>
  <c r="J39" i="4"/>
  <c r="J55" i="4"/>
  <c r="J71" i="4"/>
  <c r="J87" i="4"/>
  <c r="J103" i="4"/>
  <c r="J119" i="4"/>
  <c r="J135" i="4"/>
  <c r="J151" i="4"/>
  <c r="J167" i="4"/>
  <c r="J183" i="4"/>
  <c r="J199" i="4"/>
  <c r="J69" i="4"/>
  <c r="J117" i="4"/>
  <c r="J165" i="4"/>
  <c r="J4" i="4"/>
  <c r="J20" i="4"/>
  <c r="J36" i="4"/>
  <c r="J52" i="4"/>
  <c r="J68" i="4"/>
  <c r="J84" i="4"/>
  <c r="J100" i="4"/>
  <c r="J116" i="4"/>
  <c r="J132" i="4"/>
  <c r="J148" i="4"/>
  <c r="J164" i="4"/>
  <c r="J180" i="4"/>
  <c r="J196" i="4"/>
  <c r="J13" i="4"/>
  <c r="J29" i="4"/>
  <c r="J73" i="4"/>
  <c r="J125" i="4"/>
  <c r="J169" i="4"/>
  <c r="J46" i="4"/>
  <c r="J78" i="4"/>
  <c r="J110" i="4"/>
  <c r="J126" i="4"/>
  <c r="J142" i="4"/>
  <c r="J158" i="4"/>
  <c r="J174" i="4"/>
  <c r="J190" i="4"/>
  <c r="J33" i="4"/>
  <c r="J89" i="4"/>
  <c r="J133" i="4"/>
  <c r="J185" i="4"/>
  <c r="J11" i="4"/>
  <c r="J27" i="4"/>
  <c r="J43" i="4"/>
  <c r="J59" i="4"/>
  <c r="J75" i="4"/>
  <c r="J91" i="4"/>
  <c r="J107" i="4"/>
  <c r="J123" i="4"/>
  <c r="J139" i="4"/>
  <c r="J155" i="4"/>
  <c r="J171" i="4"/>
  <c r="J187" i="4"/>
  <c r="J37" i="4"/>
  <c r="J81" i="4"/>
  <c r="J129" i="4"/>
  <c r="J177" i="4"/>
  <c r="J8" i="4"/>
  <c r="J24" i="4"/>
  <c r="J40" i="4"/>
  <c r="J56" i="4"/>
  <c r="J72" i="4"/>
  <c r="J88" i="4"/>
  <c r="J104" i="4"/>
  <c r="J120" i="4"/>
  <c r="J136" i="4"/>
  <c r="J152" i="4"/>
  <c r="J168" i="4"/>
  <c r="J184" i="4"/>
  <c r="J200" i="4"/>
  <c r="J17" i="4"/>
  <c r="J41" i="4"/>
  <c r="J85" i="4"/>
  <c r="J137" i="4"/>
  <c r="J181" i="4"/>
  <c r="J30" i="4"/>
  <c r="J62" i="4"/>
  <c r="J94" i="4"/>
  <c r="J2" i="4"/>
  <c r="J18" i="4"/>
  <c r="J34" i="4"/>
  <c r="J50" i="4"/>
  <c r="J66" i="4"/>
  <c r="J82" i="4"/>
  <c r="J98" i="4"/>
  <c r="J114" i="4"/>
  <c r="J130" i="4"/>
  <c r="J146" i="4"/>
  <c r="J162" i="4"/>
  <c r="J178" i="4"/>
  <c r="J194" i="4"/>
  <c r="J53" i="4"/>
  <c r="J101" i="4"/>
  <c r="J149" i="4"/>
  <c r="J197" i="4"/>
  <c r="J15" i="4"/>
  <c r="J31" i="4"/>
  <c r="J47" i="4"/>
  <c r="J63" i="4"/>
  <c r="J79" i="4"/>
  <c r="J95" i="4"/>
  <c r="J111" i="4"/>
  <c r="J127" i="4"/>
  <c r="J143" i="4"/>
  <c r="J159" i="4"/>
  <c r="J175" i="4"/>
  <c r="J191" i="4"/>
  <c r="J49" i="4"/>
  <c r="J93" i="4"/>
  <c r="J141" i="4"/>
  <c r="J189" i="4"/>
  <c r="J12" i="4"/>
  <c r="J28" i="4"/>
  <c r="J44" i="4"/>
  <c r="J60" i="4"/>
  <c r="J76" i="4"/>
  <c r="J92" i="4"/>
  <c r="J108" i="4"/>
  <c r="J124" i="4"/>
  <c r="J140" i="4"/>
  <c r="J156" i="4"/>
  <c r="J172" i="4"/>
  <c r="J188" i="4"/>
  <c r="J5" i="4"/>
  <c r="J21" i="4"/>
  <c r="J45" i="4"/>
  <c r="J97" i="4"/>
  <c r="J145" i="4"/>
  <c r="K172" i="4" l="1"/>
  <c r="L172" i="4"/>
  <c r="K141" i="4"/>
  <c r="L141" i="4"/>
  <c r="K47" i="4"/>
  <c r="L47" i="4"/>
  <c r="K114" i="4"/>
  <c r="L114" i="4"/>
  <c r="K137" i="4"/>
  <c r="L137" i="4"/>
  <c r="K72" i="4"/>
  <c r="L72" i="4"/>
  <c r="K139" i="4"/>
  <c r="L139" i="4"/>
  <c r="K33" i="4"/>
  <c r="L33" i="4"/>
  <c r="K29" i="4"/>
  <c r="L29" i="4"/>
  <c r="K36" i="4"/>
  <c r="L36" i="4"/>
  <c r="K103" i="4"/>
  <c r="L103" i="4"/>
  <c r="K170" i="4"/>
  <c r="L170" i="4"/>
  <c r="K42" i="4"/>
  <c r="L42" i="4"/>
  <c r="K128" i="4"/>
  <c r="L128" i="4"/>
  <c r="K195" i="4"/>
  <c r="L195" i="4"/>
  <c r="K161" i="4"/>
  <c r="L161" i="4"/>
  <c r="K102" i="4"/>
  <c r="L102" i="4"/>
  <c r="K3" i="4"/>
  <c r="L3" i="4"/>
  <c r="K21" i="4"/>
  <c r="L21" i="4"/>
  <c r="K156" i="4"/>
  <c r="L156" i="4"/>
  <c r="K92" i="4"/>
  <c r="L92" i="4"/>
  <c r="K28" i="4"/>
  <c r="L28" i="4"/>
  <c r="K93" i="4"/>
  <c r="L93" i="4"/>
  <c r="K159" i="4"/>
  <c r="L159" i="4"/>
  <c r="K95" i="4"/>
  <c r="L95" i="4"/>
  <c r="K31" i="4"/>
  <c r="L31" i="4"/>
  <c r="K101" i="4"/>
  <c r="L101" i="4"/>
  <c r="K162" i="4"/>
  <c r="L162" i="4"/>
  <c r="K98" i="4"/>
  <c r="L98" i="4"/>
  <c r="K34" i="4"/>
  <c r="L34" i="4"/>
  <c r="K62" i="4"/>
  <c r="L62" i="4"/>
  <c r="K85" i="4"/>
  <c r="L85" i="4"/>
  <c r="K184" i="4"/>
  <c r="L184" i="4"/>
  <c r="K120" i="4"/>
  <c r="L120" i="4"/>
  <c r="K56" i="4"/>
  <c r="L56" i="4"/>
  <c r="K177" i="4"/>
  <c r="L177" i="4"/>
  <c r="K187" i="4"/>
  <c r="L187" i="4"/>
  <c r="K123" i="4"/>
  <c r="L123" i="4"/>
  <c r="K59" i="4"/>
  <c r="L59" i="4"/>
  <c r="K185" i="4"/>
  <c r="L185" i="4"/>
  <c r="K190" i="4"/>
  <c r="L190" i="4"/>
  <c r="K126" i="4"/>
  <c r="L126" i="4"/>
  <c r="K169" i="4"/>
  <c r="L169" i="4"/>
  <c r="K13" i="4"/>
  <c r="L13" i="4"/>
  <c r="K148" i="4"/>
  <c r="L148" i="4"/>
  <c r="K84" i="4"/>
  <c r="L84" i="4"/>
  <c r="K20" i="4"/>
  <c r="L20" i="4"/>
  <c r="K69" i="4"/>
  <c r="L69" i="4"/>
  <c r="K151" i="4"/>
  <c r="L151" i="4"/>
  <c r="K87" i="4"/>
  <c r="L87" i="4"/>
  <c r="K23" i="4"/>
  <c r="L23" i="4"/>
  <c r="K77" i="4"/>
  <c r="L77" i="4"/>
  <c r="K154" i="4"/>
  <c r="L154" i="4"/>
  <c r="K90" i="4"/>
  <c r="L90" i="4"/>
  <c r="K26" i="4"/>
  <c r="L26" i="4"/>
  <c r="K61" i="4"/>
  <c r="L61" i="4"/>
  <c r="K176" i="4"/>
  <c r="L176" i="4"/>
  <c r="K112" i="4"/>
  <c r="L112" i="4"/>
  <c r="K48" i="4"/>
  <c r="L48" i="4"/>
  <c r="K153" i="4"/>
  <c r="L153" i="4"/>
  <c r="K179" i="4"/>
  <c r="L179" i="4"/>
  <c r="K67" i="4"/>
  <c r="L67" i="4"/>
  <c r="K182" i="4"/>
  <c r="L182" i="4"/>
  <c r="K35" i="4"/>
  <c r="L35" i="4"/>
  <c r="K38" i="4"/>
  <c r="L38" i="4"/>
  <c r="K19" i="4"/>
  <c r="L19" i="4"/>
  <c r="K65" i="4"/>
  <c r="L65" i="4"/>
  <c r="K6" i="4"/>
  <c r="L6" i="4"/>
  <c r="K108" i="4"/>
  <c r="L108" i="4"/>
  <c r="K175" i="4"/>
  <c r="L175" i="4"/>
  <c r="K149" i="4"/>
  <c r="L149" i="4"/>
  <c r="K50" i="4"/>
  <c r="L50" i="4"/>
  <c r="K200" i="4"/>
  <c r="L200" i="4"/>
  <c r="K8" i="4"/>
  <c r="L8" i="4"/>
  <c r="K75" i="4"/>
  <c r="L75" i="4"/>
  <c r="K142" i="4"/>
  <c r="L142" i="4"/>
  <c r="K164" i="4"/>
  <c r="L164" i="4"/>
  <c r="K117" i="4"/>
  <c r="L117" i="4"/>
  <c r="K39" i="4"/>
  <c r="L39" i="4"/>
  <c r="K106" i="4"/>
  <c r="L106" i="4"/>
  <c r="K192" i="4"/>
  <c r="L192" i="4"/>
  <c r="K64" i="4"/>
  <c r="L64" i="4"/>
  <c r="K131" i="4"/>
  <c r="L131" i="4"/>
  <c r="K99" i="4"/>
  <c r="L99" i="4"/>
  <c r="K70" i="4"/>
  <c r="L70" i="4"/>
  <c r="K14" i="4"/>
  <c r="L14" i="4"/>
  <c r="K145" i="4"/>
  <c r="L145" i="4"/>
  <c r="K5" i="4"/>
  <c r="L5" i="4"/>
  <c r="K140" i="4"/>
  <c r="L140" i="4"/>
  <c r="K76" i="4"/>
  <c r="L76" i="4"/>
  <c r="K12" i="4"/>
  <c r="L12" i="4"/>
  <c r="K49" i="4"/>
  <c r="L49" i="4"/>
  <c r="K143" i="4"/>
  <c r="L143" i="4"/>
  <c r="K79" i="4"/>
  <c r="L79" i="4"/>
  <c r="K15" i="4"/>
  <c r="L15" i="4"/>
  <c r="K53" i="4"/>
  <c r="L53" i="4"/>
  <c r="K146" i="4"/>
  <c r="L146" i="4"/>
  <c r="K82" i="4"/>
  <c r="L82" i="4"/>
  <c r="K18" i="4"/>
  <c r="L18" i="4"/>
  <c r="K30" i="4"/>
  <c r="L30" i="4"/>
  <c r="K41" i="4"/>
  <c r="L41" i="4"/>
  <c r="K168" i="4"/>
  <c r="L168" i="4"/>
  <c r="K104" i="4"/>
  <c r="L104" i="4"/>
  <c r="K40" i="4"/>
  <c r="L40" i="4"/>
  <c r="K129" i="4"/>
  <c r="L129" i="4"/>
  <c r="K171" i="4"/>
  <c r="L171" i="4"/>
  <c r="K107" i="4"/>
  <c r="L107" i="4"/>
  <c r="K43" i="4"/>
  <c r="L43" i="4"/>
  <c r="K133" i="4"/>
  <c r="L133" i="4"/>
  <c r="K174" i="4"/>
  <c r="L174" i="4"/>
  <c r="K110" i="4"/>
  <c r="L110" i="4"/>
  <c r="K125" i="4"/>
  <c r="L125" i="4"/>
  <c r="K196" i="4"/>
  <c r="L196" i="4"/>
  <c r="K132" i="4"/>
  <c r="L132" i="4"/>
  <c r="K68" i="4"/>
  <c r="L68" i="4"/>
  <c r="K4" i="4"/>
  <c r="L4" i="4"/>
  <c r="K199" i="4"/>
  <c r="L199" i="4"/>
  <c r="K135" i="4"/>
  <c r="L135" i="4"/>
  <c r="K71" i="4"/>
  <c r="L71" i="4"/>
  <c r="K7" i="4"/>
  <c r="L7" i="4"/>
  <c r="K202" i="4"/>
  <c r="L202" i="4"/>
  <c r="K138" i="4"/>
  <c r="L138" i="4"/>
  <c r="K74" i="4"/>
  <c r="L74" i="4"/>
  <c r="K10" i="4"/>
  <c r="L10" i="4"/>
  <c r="K25" i="4"/>
  <c r="L25" i="4"/>
  <c r="K160" i="4"/>
  <c r="L160" i="4"/>
  <c r="K96" i="4"/>
  <c r="L96" i="4"/>
  <c r="K32" i="4"/>
  <c r="L32" i="4"/>
  <c r="K105" i="4"/>
  <c r="L105" i="4"/>
  <c r="K163" i="4"/>
  <c r="L163" i="4"/>
  <c r="K115" i="4"/>
  <c r="L115" i="4"/>
  <c r="K118" i="4"/>
  <c r="L118" i="4"/>
  <c r="K113" i="4"/>
  <c r="L113" i="4"/>
  <c r="K83" i="4"/>
  <c r="L83" i="4"/>
  <c r="K150" i="4"/>
  <c r="L150" i="4"/>
  <c r="K134" i="4"/>
  <c r="L134" i="4"/>
  <c r="K45" i="4"/>
  <c r="L45" i="4"/>
  <c r="K44" i="4"/>
  <c r="L44" i="4"/>
  <c r="K111" i="4"/>
  <c r="L111" i="4"/>
  <c r="K178" i="4"/>
  <c r="L178" i="4"/>
  <c r="K94" i="4"/>
  <c r="L94" i="4"/>
  <c r="K136" i="4"/>
  <c r="L136" i="4"/>
  <c r="K37" i="4"/>
  <c r="L37" i="4"/>
  <c r="K11" i="4"/>
  <c r="L11" i="4"/>
  <c r="K46" i="4"/>
  <c r="L46" i="4"/>
  <c r="K100" i="4"/>
  <c r="L100" i="4"/>
  <c r="K167" i="4"/>
  <c r="L167" i="4"/>
  <c r="K121" i="4"/>
  <c r="L121" i="4"/>
  <c r="K109" i="4"/>
  <c r="L109" i="4"/>
  <c r="K201" i="4"/>
  <c r="L201" i="4"/>
  <c r="K97" i="4"/>
  <c r="L97" i="4"/>
  <c r="K188" i="4"/>
  <c r="L188" i="4"/>
  <c r="K124" i="4"/>
  <c r="L124" i="4"/>
  <c r="K60" i="4"/>
  <c r="L60" i="4"/>
  <c r="K189" i="4"/>
  <c r="L189" i="4"/>
  <c r="K191" i="4"/>
  <c r="L191" i="4"/>
  <c r="K127" i="4"/>
  <c r="L127" i="4"/>
  <c r="K63" i="4"/>
  <c r="L63" i="4"/>
  <c r="K197" i="4"/>
  <c r="L197" i="4"/>
  <c r="K194" i="4"/>
  <c r="L194" i="4"/>
  <c r="K130" i="4"/>
  <c r="L130" i="4"/>
  <c r="K66" i="4"/>
  <c r="L66" i="4"/>
  <c r="K2" i="4"/>
  <c r="L2" i="4"/>
  <c r="K181" i="4"/>
  <c r="L181" i="4"/>
  <c r="K17" i="4"/>
  <c r="L17" i="4"/>
  <c r="K152" i="4"/>
  <c r="L152" i="4"/>
  <c r="K88" i="4"/>
  <c r="L88" i="4"/>
  <c r="K24" i="4"/>
  <c r="L24" i="4"/>
  <c r="K81" i="4"/>
  <c r="L81" i="4"/>
  <c r="K155" i="4"/>
  <c r="L155" i="4"/>
  <c r="K91" i="4"/>
  <c r="L91" i="4"/>
  <c r="K27" i="4"/>
  <c r="L27" i="4"/>
  <c r="K89" i="4"/>
  <c r="L89" i="4"/>
  <c r="K158" i="4"/>
  <c r="L158" i="4"/>
  <c r="K78" i="4"/>
  <c r="L78" i="4"/>
  <c r="K73" i="4"/>
  <c r="L73" i="4"/>
  <c r="K180" i="4"/>
  <c r="L180" i="4"/>
  <c r="K116" i="4"/>
  <c r="L116" i="4"/>
  <c r="K52" i="4"/>
  <c r="L52" i="4"/>
  <c r="K165" i="4"/>
  <c r="L165" i="4"/>
  <c r="K183" i="4"/>
  <c r="L183" i="4"/>
  <c r="K119" i="4"/>
  <c r="L119" i="4"/>
  <c r="K55" i="4"/>
  <c r="L55" i="4"/>
  <c r="K173" i="4"/>
  <c r="L173" i="4"/>
  <c r="K186" i="4"/>
  <c r="L186" i="4"/>
  <c r="K122" i="4"/>
  <c r="L122" i="4"/>
  <c r="K58" i="4"/>
  <c r="L58" i="4"/>
  <c r="K157" i="4"/>
  <c r="L157" i="4"/>
  <c r="K9" i="4"/>
  <c r="L9" i="4"/>
  <c r="K144" i="4"/>
  <c r="L144" i="4"/>
  <c r="K80" i="4"/>
  <c r="L80" i="4"/>
  <c r="K16" i="4"/>
  <c r="L16" i="4"/>
  <c r="K57" i="4"/>
  <c r="L57" i="4"/>
  <c r="K147" i="4"/>
  <c r="L147" i="4"/>
  <c r="K51" i="4"/>
  <c r="L51" i="4"/>
  <c r="K54" i="4"/>
  <c r="L54" i="4"/>
  <c r="K166" i="4"/>
  <c r="L166" i="4"/>
  <c r="K198" i="4"/>
  <c r="L198" i="4"/>
  <c r="K22" i="4"/>
  <c r="L22" i="4"/>
  <c r="K86" i="4"/>
  <c r="L8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<sst xmlns="http://schemas.openxmlformats.org/spreadsheetml/2006/main" count="15" uniqueCount="15">
  <si>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r>
      <rPr>
        <b/>
        <sz val="11"/>
        <color theme="1"/>
        <rFont val="Calibri"/>
        <family val="2"/>
      </rPr>
      <t>┌</t>
    </r>
    <r>
      <rPr>
        <b/>
        <sz val="11"/>
        <color theme="1"/>
        <rFont val="Calibri"/>
        <family val="2"/>
        <scheme val="minor"/>
      </rPr>
      <t>INPUTS</t>
    </r>
    <r>
      <rPr>
        <b/>
        <sz val="11"/>
        <color theme="1"/>
        <rFont val="Calibri"/>
        <family val="2"/>
      </rPr>
      <t>┐</t>
    </r>
  </si>
  <si>
    <r>
      <t>Cutoff Frequency - f</t>
    </r>
    <r>
      <rPr>
        <vertAlign val="subscript"/>
        <sz val="11"/>
        <color theme="1"/>
        <rFont val="Calibri"/>
        <family val="2"/>
        <scheme val="minor"/>
      </rPr>
      <t>c</t>
    </r>
  </si>
  <si>
    <t>Hz</t>
  </si>
  <si>
    <t>F</t>
  </si>
  <si>
    <t>Ω</t>
  </si>
  <si>
    <r>
      <rPr>
        <b/>
        <sz val="11"/>
        <color theme="1"/>
        <rFont val="Calibri"/>
        <family val="2"/>
      </rPr>
      <t>┌OUT</t>
    </r>
    <r>
      <rPr>
        <b/>
        <sz val="11"/>
        <color theme="1"/>
        <rFont val="Calibri"/>
        <family val="2"/>
        <scheme val="minor"/>
      </rPr>
      <t>PUTS</t>
    </r>
    <r>
      <rPr>
        <b/>
        <sz val="11"/>
        <color theme="1"/>
        <rFont val="Calibri"/>
        <family val="2"/>
      </rPr>
      <t>┐</t>
    </r>
  </si>
  <si>
    <t>C</t>
  </si>
  <si>
    <t>R</t>
  </si>
  <si>
    <t>Low Pass RC Filter</t>
  </si>
  <si>
    <t>Decade</t>
  </si>
  <si>
    <t>f</t>
  </si>
  <si>
    <t>s</t>
  </si>
  <si>
    <t>H(s)</t>
  </si>
  <si>
    <t>Mag (dB)</t>
  </si>
  <si>
    <r>
      <t>Phase (</t>
    </r>
    <r>
      <rPr>
        <sz val="11"/>
        <color theme="1"/>
        <rFont val="Calibri"/>
        <family val="2"/>
      </rPr>
      <t>Φ)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</si>
</sst>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E+00"/>
    <numFmt numFmtId="165" formatCode="##0.000E+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164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  <xf numFmtId="48" fontId="0" fillId="2" borderId="1" xfId="0" applyNumberFormat="1" applyFill="1" applyBorder="1" applyAlignment="1" applyProtection="1">
      <alignment horizontal="center" vertical="center"/>
      <protection locked="0"/>
    </xf>
    <xf numFmtId="165" fontId="0" fillId="3" borderId="1" xfId="0" applyNumberFormat="1" applyFill="1" applyBorder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'RC Low Pass'!$H$2:$H$202</c:f>
              <c:numCache>
                <c:formatCode>General</c:formatCode>
                <c:ptCount val="201"/>
                <c:pt idx="0">
                  <c:v>10</c:v>
                </c:pt>
                <c:pt idx="1">
                  <c:v>10.471285480508989</c:v>
                </c:pt>
                <c:pt idx="2">
                  <c:v>10.96478196143185</c:v>
                </c:pt>
                <c:pt idx="3">
                  <c:v>11.481536214968827</c:v>
                </c:pt>
                <c:pt idx="4">
                  <c:v>12.022644346174125</c:v>
                </c:pt>
                <c:pt idx="5">
                  <c:v>12.589254117941664</c:v>
                </c:pt>
                <c:pt idx="6">
                  <c:v>13.182567385564075</c:v>
                </c:pt>
                <c:pt idx="7">
                  <c:v>13.803842646028848</c:v>
                </c:pt>
                <c:pt idx="8">
                  <c:v>14.454397707459272</c:v>
                </c:pt>
                <c:pt idx="9">
                  <c:v>15.135612484362076</c:v>
                </c:pt>
                <c:pt idx="10">
                  <c:v>15.848931924611124</c:v>
                </c:pt>
                <c:pt idx="11">
                  <c:v>16.595869074375592</c:v>
                </c:pt>
                <c:pt idx="12">
                  <c:v>17.378008287493756</c:v>
                </c:pt>
                <c:pt idx="13">
                  <c:v>18.19700858609983</c:v>
                </c:pt>
                <c:pt idx="14">
                  <c:v>19.054607179632463</c:v>
                </c:pt>
                <c:pt idx="15">
                  <c:v>19.95262314968879</c:v>
                </c:pt>
                <c:pt idx="16">
                  <c:v>20.892961308540386</c:v>
                </c:pt>
                <c:pt idx="17">
                  <c:v>21.877616239495524</c:v>
                </c:pt>
                <c:pt idx="18">
                  <c:v>22.908676527677709</c:v>
                </c:pt>
                <c:pt idx="19">
                  <c:v>23.988329190194893</c:v>
                </c:pt>
                <c:pt idx="20">
                  <c:v>25.118864315095781</c:v>
                </c:pt>
                <c:pt idx="21">
                  <c:v>26.302679918953803</c:v>
                </c:pt>
                <c:pt idx="22">
                  <c:v>27.542287033381648</c:v>
                </c:pt>
                <c:pt idx="23">
                  <c:v>28.840315031266048</c:v>
                </c:pt>
                <c:pt idx="24">
                  <c:v>30.199517204020147</c:v>
                </c:pt>
                <c:pt idx="25">
                  <c:v>31.622776601683785</c:v>
                </c:pt>
                <c:pt idx="26">
                  <c:v>33.113112148259106</c:v>
                </c:pt>
                <c:pt idx="27">
                  <c:v>34.673685045253158</c:v>
                </c:pt>
                <c:pt idx="28">
                  <c:v>36.307805477010135</c:v>
                </c:pt>
                <c:pt idx="29">
                  <c:v>38.01893963205611</c:v>
                </c:pt>
                <c:pt idx="30">
                  <c:v>39.810717055349727</c:v>
                </c:pt>
                <c:pt idx="31">
                  <c:v>41.686938347033532</c:v>
                </c:pt>
                <c:pt idx="32">
                  <c:v>43.651583224016605</c:v>
                </c:pt>
                <c:pt idx="33">
                  <c:v>45.708818961487502</c:v>
                </c:pt>
                <c:pt idx="34">
                  <c:v>47.863009232263835</c:v>
                </c:pt>
                <c:pt idx="35">
                  <c:v>50.118723362727231</c:v>
                </c:pt>
                <c:pt idx="36">
                  <c:v>52.480746024977243</c:v>
                </c:pt>
                <c:pt idx="37">
                  <c:v>54.954087385762435</c:v>
                </c:pt>
                <c:pt idx="38">
                  <c:v>57.543993733715688</c:v>
                </c:pt>
                <c:pt idx="39">
                  <c:v>60.255958607435744</c:v>
                </c:pt>
                <c:pt idx="40">
                  <c:v>63.095734448019314</c:v>
                </c:pt>
                <c:pt idx="41">
                  <c:v>66.06934480075958</c:v>
                </c:pt>
                <c:pt idx="42">
                  <c:v>69.183097091893615</c:v>
                </c:pt>
                <c:pt idx="43">
                  <c:v>72.443596007498954</c:v>
                </c:pt>
                <c:pt idx="44">
                  <c:v>75.857757502918361</c:v>
                </c:pt>
                <c:pt idx="45">
                  <c:v>79.432823472428097</c:v>
                </c:pt>
                <c:pt idx="46">
                  <c:v>83.176377110267083</c:v>
                </c:pt>
                <c:pt idx="47">
                  <c:v>87.096358995608014</c:v>
                </c:pt>
                <c:pt idx="48">
                  <c:v>91.201083935590944</c:v>
                </c:pt>
                <c:pt idx="49">
                  <c:v>95.499258602143556</c:v>
                </c:pt>
                <c:pt idx="50">
                  <c:v>100</c:v>
                </c:pt>
                <c:pt idx="51">
                  <c:v>104.71285480508996</c:v>
                </c:pt>
                <c:pt idx="52">
                  <c:v>109.64781961431849</c:v>
                </c:pt>
                <c:pt idx="53">
                  <c:v>114.8153621496883</c:v>
                </c:pt>
                <c:pt idx="54">
                  <c:v>120.22644346174128</c:v>
                </c:pt>
                <c:pt idx="55">
                  <c:v>125.89254117941672</c:v>
                </c:pt>
                <c:pt idx="56">
                  <c:v>131.8256738556407</c:v>
                </c:pt>
                <c:pt idx="57">
                  <c:v>138.03842646028849</c:v>
                </c:pt>
                <c:pt idx="58">
                  <c:v>144.54397707459268</c:v>
                </c:pt>
                <c:pt idx="59">
                  <c:v>151.35612484362076</c:v>
                </c:pt>
                <c:pt idx="60">
                  <c:v>158.48931924611131</c:v>
                </c:pt>
                <c:pt idx="61">
                  <c:v>165.95869074375599</c:v>
                </c:pt>
                <c:pt idx="62">
                  <c:v>173.78008287493748</c:v>
                </c:pt>
                <c:pt idx="63">
                  <c:v>181.97008586099832</c:v>
                </c:pt>
                <c:pt idx="64">
                  <c:v>190.54607179632472</c:v>
                </c:pt>
                <c:pt idx="65">
                  <c:v>199.52623149688796</c:v>
                </c:pt>
                <c:pt idx="66">
                  <c:v>208.92961308540399</c:v>
                </c:pt>
                <c:pt idx="67">
                  <c:v>218.77616239495529</c:v>
                </c:pt>
                <c:pt idx="68">
                  <c:v>229.08676527677733</c:v>
                </c:pt>
                <c:pt idx="69">
                  <c:v>239.88329190194906</c:v>
                </c:pt>
                <c:pt idx="70">
                  <c:v>251.18864315095806</c:v>
                </c:pt>
                <c:pt idx="71">
                  <c:v>263.02679918953817</c:v>
                </c:pt>
                <c:pt idx="72">
                  <c:v>275.4228703338166</c:v>
                </c:pt>
                <c:pt idx="73">
                  <c:v>288.40315031266056</c:v>
                </c:pt>
                <c:pt idx="74">
                  <c:v>301.99517204020157</c:v>
                </c:pt>
                <c:pt idx="75">
                  <c:v>316.22776601683796</c:v>
                </c:pt>
                <c:pt idx="76">
                  <c:v>331.13112148259103</c:v>
                </c:pt>
                <c:pt idx="77">
                  <c:v>346.73685045253166</c:v>
                </c:pt>
                <c:pt idx="78">
                  <c:v>363.07805477010135</c:v>
                </c:pt>
                <c:pt idx="79">
                  <c:v>380.18939632056123</c:v>
                </c:pt>
                <c:pt idx="80">
                  <c:v>398.10717055349733</c:v>
                </c:pt>
                <c:pt idx="81">
                  <c:v>416.86938347033549</c:v>
                </c:pt>
                <c:pt idx="82">
                  <c:v>436.51583224016605</c:v>
                </c:pt>
                <c:pt idx="83">
                  <c:v>457.08818961487515</c:v>
                </c:pt>
                <c:pt idx="84">
                  <c:v>478.63009232263829</c:v>
                </c:pt>
                <c:pt idx="85">
                  <c:v>501.18723362727224</c:v>
                </c:pt>
                <c:pt idx="86">
                  <c:v>524.80746024977259</c:v>
                </c:pt>
                <c:pt idx="87">
                  <c:v>549.54087385762455</c:v>
                </c:pt>
                <c:pt idx="88">
                  <c:v>575.43993733715695</c:v>
                </c:pt>
                <c:pt idx="89">
                  <c:v>602.55958607435775</c:v>
                </c:pt>
                <c:pt idx="90">
                  <c:v>630.95734448019323</c:v>
                </c:pt>
                <c:pt idx="91">
                  <c:v>660.69344800759609</c:v>
                </c:pt>
                <c:pt idx="92">
                  <c:v>691.8309709189366</c:v>
                </c:pt>
                <c:pt idx="93">
                  <c:v>724.43596007499025</c:v>
                </c:pt>
                <c:pt idx="94">
                  <c:v>758.577575029184</c:v>
                </c:pt>
                <c:pt idx="95">
                  <c:v>794.32823472428174</c:v>
                </c:pt>
                <c:pt idx="96">
                  <c:v>831.76377110267083</c:v>
                </c:pt>
                <c:pt idx="97">
                  <c:v>870.96358995608057</c:v>
                </c:pt>
                <c:pt idx="98">
                  <c:v>912.01083935590964</c:v>
                </c:pt>
                <c:pt idx="99">
                  <c:v>954.99258602143584</c:v>
                </c:pt>
                <c:pt idx="100">
                  <c:v>1000</c:v>
                </c:pt>
                <c:pt idx="101">
                  <c:v>1047.1285480508996</c:v>
                </c:pt>
                <c:pt idx="102">
                  <c:v>1096.4781961431852</c:v>
                </c:pt>
                <c:pt idx="103">
                  <c:v>1148.1536214968828</c:v>
                </c:pt>
                <c:pt idx="104">
                  <c:v>1202.2644346174131</c:v>
                </c:pt>
                <c:pt idx="105">
                  <c:v>1258.9254117941675</c:v>
                </c:pt>
                <c:pt idx="106">
                  <c:v>1318.2567385564075</c:v>
                </c:pt>
                <c:pt idx="107">
                  <c:v>1380.3842646028852</c:v>
                </c:pt>
                <c:pt idx="108">
                  <c:v>1445.4397707459282</c:v>
                </c:pt>
                <c:pt idx="109">
                  <c:v>1513.5612484362086</c:v>
                </c:pt>
                <c:pt idx="110">
                  <c:v>1584.8931924611143</c:v>
                </c:pt>
                <c:pt idx="111">
                  <c:v>1659.5869074375614</c:v>
                </c:pt>
                <c:pt idx="112">
                  <c:v>1737.8008287493765</c:v>
                </c:pt>
                <c:pt idx="113">
                  <c:v>1819.7008586099846</c:v>
                </c:pt>
                <c:pt idx="114">
                  <c:v>1905.4607179632483</c:v>
                </c:pt>
                <c:pt idx="115">
                  <c:v>1995.2623149688811</c:v>
                </c:pt>
                <c:pt idx="116">
                  <c:v>2089.2961308540389</c:v>
                </c:pt>
                <c:pt idx="117">
                  <c:v>2187.7616239495519</c:v>
                </c:pt>
                <c:pt idx="118">
                  <c:v>2290.8676527677726</c:v>
                </c:pt>
                <c:pt idx="119">
                  <c:v>2398.83291901949</c:v>
                </c:pt>
                <c:pt idx="120">
                  <c:v>2511.8864315095798</c:v>
                </c:pt>
                <c:pt idx="121">
                  <c:v>2630.2679918953818</c:v>
                </c:pt>
                <c:pt idx="122">
                  <c:v>2754.2287033381663</c:v>
                </c:pt>
                <c:pt idx="123">
                  <c:v>2884.0315031266059</c:v>
                </c:pt>
                <c:pt idx="124">
                  <c:v>3019.9517204020167</c:v>
                </c:pt>
                <c:pt idx="125">
                  <c:v>3162.2776601683795</c:v>
                </c:pt>
                <c:pt idx="126">
                  <c:v>3311.3112148259115</c:v>
                </c:pt>
                <c:pt idx="127">
                  <c:v>3467.3685045253169</c:v>
                </c:pt>
                <c:pt idx="128">
                  <c:v>3630.7805477010138</c:v>
                </c:pt>
                <c:pt idx="129">
                  <c:v>3801.8939632056126</c:v>
                </c:pt>
                <c:pt idx="130">
                  <c:v>3981.0717055349737</c:v>
                </c:pt>
                <c:pt idx="131">
                  <c:v>4168.6938347033556</c:v>
                </c:pt>
                <c:pt idx="132">
                  <c:v>4365.1583224016613</c:v>
                </c:pt>
                <c:pt idx="133">
                  <c:v>4570.8818961487523</c:v>
                </c:pt>
                <c:pt idx="134">
                  <c:v>4786.3009232263867</c:v>
                </c:pt>
                <c:pt idx="135">
                  <c:v>5011.872336272726</c:v>
                </c:pt>
                <c:pt idx="136">
                  <c:v>5248.0746024977298</c:v>
                </c:pt>
                <c:pt idx="137">
                  <c:v>5495.4087385762496</c:v>
                </c:pt>
                <c:pt idx="138">
                  <c:v>5754.3993733715743</c:v>
                </c:pt>
                <c:pt idx="139">
                  <c:v>6025.5958607435823</c:v>
                </c:pt>
                <c:pt idx="140">
                  <c:v>6309.5734448019375</c:v>
                </c:pt>
                <c:pt idx="141">
                  <c:v>6606.9344800759582</c:v>
                </c:pt>
                <c:pt idx="142">
                  <c:v>6918.3097091893633</c:v>
                </c:pt>
                <c:pt idx="143">
                  <c:v>7244.3596007499009</c:v>
                </c:pt>
                <c:pt idx="144">
                  <c:v>7585.7757502918375</c:v>
                </c:pt>
                <c:pt idx="145">
                  <c:v>7943.2823472428136</c:v>
                </c:pt>
                <c:pt idx="146">
                  <c:v>8317.6377110267113</c:v>
                </c:pt>
                <c:pt idx="147">
                  <c:v>8709.6358995608043</c:v>
                </c:pt>
                <c:pt idx="148">
                  <c:v>9120.1083935590977</c:v>
                </c:pt>
                <c:pt idx="149">
                  <c:v>9549.9258602143582</c:v>
                </c:pt>
                <c:pt idx="150">
                  <c:v>10000</c:v>
                </c:pt>
                <c:pt idx="151">
                  <c:v>10471.285480508999</c:v>
                </c:pt>
                <c:pt idx="152">
                  <c:v>10964.781961431854</c:v>
                </c:pt>
                <c:pt idx="153">
                  <c:v>11481.536214968834</c:v>
                </c:pt>
                <c:pt idx="154">
                  <c:v>12022.644346174133</c:v>
                </c:pt>
                <c:pt idx="155">
                  <c:v>12589.25411794168</c:v>
                </c:pt>
                <c:pt idx="156">
                  <c:v>13182.567385564076</c:v>
                </c:pt>
                <c:pt idx="157">
                  <c:v>13803.842646028857</c:v>
                </c:pt>
                <c:pt idx="158">
                  <c:v>14454.397707459282</c:v>
                </c:pt>
                <c:pt idx="159">
                  <c:v>15135.612484362091</c:v>
                </c:pt>
                <c:pt idx="160">
                  <c:v>15848.931924611143</c:v>
                </c:pt>
                <c:pt idx="161">
                  <c:v>16595.86907437562</c:v>
                </c:pt>
                <c:pt idx="162">
                  <c:v>17378.008287493762</c:v>
                </c:pt>
                <c:pt idx="163">
                  <c:v>18197.008586099848</c:v>
                </c:pt>
                <c:pt idx="164">
                  <c:v>19054.607179632483</c:v>
                </c:pt>
                <c:pt idx="165">
                  <c:v>19952.623149688814</c:v>
                </c:pt>
                <c:pt idx="166">
                  <c:v>20892.961308540416</c:v>
                </c:pt>
                <c:pt idx="167">
                  <c:v>21877.616239495528</c:v>
                </c:pt>
                <c:pt idx="168">
                  <c:v>22908.676527677726</c:v>
                </c:pt>
                <c:pt idx="169">
                  <c:v>23988.329190194909</c:v>
                </c:pt>
                <c:pt idx="170">
                  <c:v>25118.864315095798</c:v>
                </c:pt>
                <c:pt idx="171">
                  <c:v>26302.679918953825</c:v>
                </c:pt>
                <c:pt idx="172">
                  <c:v>27542.287033381665</c:v>
                </c:pt>
                <c:pt idx="173">
                  <c:v>28840.315031266065</c:v>
                </c:pt>
                <c:pt idx="174">
                  <c:v>30199.517204020165</c:v>
                </c:pt>
                <c:pt idx="175">
                  <c:v>31622.776601683803</c:v>
                </c:pt>
                <c:pt idx="176">
                  <c:v>33113.112148259126</c:v>
                </c:pt>
                <c:pt idx="177">
                  <c:v>34673.68504525318</c:v>
                </c:pt>
                <c:pt idx="178">
                  <c:v>36307.805477010159</c:v>
                </c:pt>
                <c:pt idx="179">
                  <c:v>38018.939632056135</c:v>
                </c:pt>
                <c:pt idx="180">
                  <c:v>39810.717055349756</c:v>
                </c:pt>
                <c:pt idx="181">
                  <c:v>41686.93834703356</c:v>
                </c:pt>
                <c:pt idx="182">
                  <c:v>43651.583224016635</c:v>
                </c:pt>
                <c:pt idx="183">
                  <c:v>45708.81896148753</c:v>
                </c:pt>
                <c:pt idx="184">
                  <c:v>47863.009232263874</c:v>
                </c:pt>
                <c:pt idx="185">
                  <c:v>50118.723362727258</c:v>
                </c:pt>
                <c:pt idx="186">
                  <c:v>52480.746024977307</c:v>
                </c:pt>
                <c:pt idx="187">
                  <c:v>54954.087385762519</c:v>
                </c:pt>
                <c:pt idx="188">
                  <c:v>57543.993733715746</c:v>
                </c:pt>
                <c:pt idx="189">
                  <c:v>60255.958607435823</c:v>
                </c:pt>
                <c:pt idx="190">
                  <c:v>63095.734448019364</c:v>
                </c:pt>
                <c:pt idx="191">
                  <c:v>66069.344800759674</c:v>
                </c:pt>
                <c:pt idx="192">
                  <c:v>69183.097091893651</c:v>
                </c:pt>
                <c:pt idx="193">
                  <c:v>72443.596007499014</c:v>
                </c:pt>
                <c:pt idx="194">
                  <c:v>75857.757502918364</c:v>
                </c:pt>
                <c:pt idx="195">
                  <c:v>79432.823472428194</c:v>
                </c:pt>
                <c:pt idx="196">
                  <c:v>83176.377110267131</c:v>
                </c:pt>
                <c:pt idx="197">
                  <c:v>87096.358995608069</c:v>
                </c:pt>
                <c:pt idx="198">
                  <c:v>91201.08393559097</c:v>
                </c:pt>
                <c:pt idx="199">
                  <c:v>95499.258602143658</c:v>
                </c:pt>
                <c:pt idx="200">
                  <c:v>100000</c:v>
                </c:pt>
              </c:numCache>
            </c:numRef>
          </c:xVal>
          <c:yVal>
            <c:numRef>
              <c:f>'RC Low Pass'!$K$2:$K$202</c:f>
              <c:numCache>
                <c:formatCode>General</c:formatCode>
                <c:ptCount val="201"/>
                <c:pt idx="0">
                  <c:v>-4.2799315381736243E-4</c:v>
                </c:pt>
                <c:pt idx="1">
                  <c:v>-4.692829304075074E-4</c:v>
                </c:pt>
                <c:pt idx="2">
                  <c:v>-5.1455581897021357E-4</c:v>
                </c:pt>
                <c:pt idx="3">
                  <c:v>-5.6419601172406398E-4</c:v>
                </c:pt>
                <c:pt idx="4">
                  <c:v>-6.1862474858635568E-4</c:v>
                </c:pt>
                <c:pt idx="5">
                  <c:v>-6.7830388779320776E-4</c:v>
                </c:pt>
                <c:pt idx="6">
                  <c:v>-7.4373982011869235E-4</c:v>
                </c:pt>
                <c:pt idx="7">
                  <c:v>-8.1548775997101835E-4</c:v>
                </c:pt>
                <c:pt idx="8">
                  <c:v>-8.9415644928844066E-4</c:v>
                </c:pt>
                <c:pt idx="9">
                  <c:v>-9.8041331400974341E-4</c:v>
                </c:pt>
                <c:pt idx="10">
                  <c:v>-1.0749901163995101E-3</c:v>
                </c:pt>
                <c:pt idx="11">
                  <c:v>-1.1786891508863951E-3</c:v>
                </c:pt>
                <c:pt idx="12">
                  <c:v>-1.2923900352988481E-3</c:v>
                </c:pt>
                <c:pt idx="13">
                  <c:v>-1.4170571546252657E-3</c:v>
                </c:pt>
                <c:pt idx="14">
                  <c:v>-1.5537478196780518E-3</c:v>
                </c:pt>
                <c:pt idx="15">
                  <c:v>-1.7036212088215211E-3</c:v>
                </c:pt>
                <c:pt idx="16">
                  <c:v>-1.8679481677978771E-3</c:v>
                </c:pt>
                <c:pt idx="17">
                  <c:v>-2.048121949128243E-3</c:v>
                </c:pt>
                <c:pt idx="18">
                  <c:v>-2.2456699809412129E-3</c:v>
                </c:pt>
                <c:pt idx="19">
                  <c:v>-2.4622667628997055E-3</c:v>
                </c:pt>
                <c:pt idx="20">
                  <c:v>-2.6997479963779712E-3</c:v>
                </c:pt>
                <c:pt idx="21">
                  <c:v>-2.9601260660446797E-3</c:v>
                </c:pt>
                <c:pt idx="22">
                  <c:v>-3.2456070007626544E-3</c:v>
                </c:pt>
                <c:pt idx="23">
                  <c:v>-3.5586090535869091E-3</c:v>
                </c:pt>
                <c:pt idx="24">
                  <c:v>-3.9017830537669933E-3</c:v>
                </c:pt>
                <c:pt idx="25">
                  <c:v>-4.278034697361063E-3</c:v>
                </c:pt>
                <c:pt idx="26">
                  <c:v>-4.6905489586669836E-3</c:v>
                </c:pt>
                <c:pt idx="27">
                  <c:v>-5.1428168209442177E-3</c:v>
                </c:pt>
                <c:pt idx="28">
                  <c:v>-5.6386645430756364E-3</c:v>
                </c:pt>
                <c:pt idx="29">
                  <c:v>-6.1822856981201754E-3</c:v>
                </c:pt>
                <c:pt idx="30">
                  <c:v>-6.7782762408431048E-3</c:v>
                </c:pt>
                <c:pt idx="31">
                  <c:v>-7.4316728839493498E-3</c:v>
                </c:pt>
                <c:pt idx="32">
                  <c:v>-8.1479950872729266E-3</c:v>
                </c:pt>
                <c:pt idx="33">
                  <c:v>-8.9332909906310043E-3</c:v>
                </c:pt>
                <c:pt idx="34">
                  <c:v>-9.7941876491122373E-3</c:v>
                </c:pt>
                <c:pt idx="35">
                  <c:v>-1.0737945960257053E-2</c:v>
                </c:pt>
                <c:pt idx="36">
                  <c:v>-1.1772520704720979E-2</c:v>
                </c:pt>
                <c:pt idx="37">
                  <c:v>-1.2906626156628704E-2</c:v>
                </c:pt>
                <c:pt idx="38">
                  <c:v>-1.4149807756542612E-2</c:v>
                </c:pt>
                <c:pt idx="39">
                  <c:v>-1.5512520378652011E-2</c:v>
                </c:pt>
                <c:pt idx="40">
                  <c:v>-1.7006213764523614E-2</c:v>
                </c:pt>
                <c:pt idx="41">
                  <c:v>-1.8643425738399201E-2</c:v>
                </c:pt>
                <c:pt idx="42">
                  <c:v>-2.0437883863399675E-2</c:v>
                </c:pt>
                <c:pt idx="43">
                  <c:v>-2.2404616243643656E-2</c:v>
                </c:pt>
                <c:pt idx="44">
                  <c:v>-2.456007222381458E-2</c:v>
                </c:pt>
                <c:pt idx="45">
                  <c:v>-2.6922253784824567E-2</c:v>
                </c:pt>
                <c:pt idx="46">
                  <c:v>-2.9510858481066111E-2</c:v>
                </c:pt>
                <c:pt idx="47">
                  <c:v>-3.2347434809865086E-2</c:v>
                </c:pt>
                <c:pt idx="48">
                  <c:v>-3.5455550947300206E-2</c:v>
                </c:pt>
                <c:pt idx="49">
                  <c:v>-3.8860977823338236E-2</c:v>
                </c:pt>
                <c:pt idx="50">
                  <c:v>-4.2591887543152504E-2</c:v>
                </c:pt>
                <c:pt idx="51">
                  <c:v>-4.6679068187225441E-2</c:v>
                </c:pt>
                <c:pt idx="52">
                  <c:v>-5.1156156038085085E-2</c:v>
                </c:pt>
                <c:pt idx="53">
                  <c:v>-5.6059886283450183E-2</c:v>
                </c:pt>
                <c:pt idx="54">
                  <c:v>-6.1430363229611762E-2</c:v>
                </c:pt>
                <c:pt idx="55">
                  <c:v>-6.7311351021671462E-2</c:v>
                </c:pt>
                <c:pt idx="56">
                  <c:v>-7.3750585802052057E-2</c:v>
                </c:pt>
                <c:pt idx="57">
                  <c:v>-8.0800110140920006E-2</c:v>
                </c:pt>
                <c:pt idx="58">
                  <c:v>-8.8516630433599058E-2</c:v>
                </c:pt>
                <c:pt idx="59">
                  <c:v>-9.6961897772844002E-2</c:v>
                </c:pt>
                <c:pt idx="60">
                  <c:v>-0.10620311255910259</c:v>
                </c:pt>
                <c:pt idx="61">
                  <c:v>-0.11631335279911727</c:v>
                </c:pt>
                <c:pt idx="62">
                  <c:v>-0.12737202565053404</c:v>
                </c:pt>
                <c:pt idx="63">
                  <c:v>-0.13946534128635421</c:v>
                </c:pt>
                <c:pt idx="64">
                  <c:v>-0.15268680756348754</c:v>
                </c:pt>
                <c:pt idx="65">
                  <c:v>-0.16713774327188979</c:v>
                </c:pt>
                <c:pt idx="66">
                  <c:v>-0.18292780690011923</c:v>
                </c:pt>
                <c:pt idx="67">
                  <c:v>-0.20017553686698158</c:v>
                </c:pt>
                <c:pt idx="68">
                  <c:v>-0.21900889802497026</c:v>
                </c:pt>
                <c:pt idx="69">
                  <c:v>-0.23956582793070913</c:v>
                </c:pt>
                <c:pt idx="70">
                  <c:v>-0.2619947748947577</c:v>
                </c:pt>
                <c:pt idx="71">
                  <c:v>-0.28645521816907615</c:v>
                </c:pt>
                <c:pt idx="72">
                  <c:v>-0.31311815881327243</c:v>
                </c:pt>
                <c:pt idx="73">
                  <c:v>-0.34216656781955784</c:v>
                </c:pt>
                <c:pt idx="74">
                  <c:v>-0.37379577600379826</c:v>
                </c:pt>
                <c:pt idx="75">
                  <c:v>-0.40821378803452213</c:v>
                </c:pt>
                <c:pt idx="76">
                  <c:v>-0.44564150084153775</c:v>
                </c:pt>
                <c:pt idx="77">
                  <c:v>-0.48631280461200166</c:v>
                </c:pt>
                <c:pt idx="78">
                  <c:v>-0.53047454275918871</c:v>
                </c:pt>
                <c:pt idx="79">
                  <c:v>-0.57838630577964745</c:v>
                </c:pt>
                <c:pt idx="80">
                  <c:v>-0.63032003296466543</c:v>
                </c:pt>
                <c:pt idx="81">
                  <c:v>-0.6865593956920506</c:v>
                </c:pt>
                <c:pt idx="82">
                  <c:v>-0.74739893670126278</c:v>
                </c:pt>
                <c:pt idx="83">
                  <c:v>-0.81314294156326727</c:v>
                </c:pt>
                <c:pt idx="84">
                  <c:v>-0.88410402170524105</c:v>
                </c:pt>
                <c:pt idx="85">
                  <c:v>-0.96060139302275815</c:v>
                </c:pt>
                <c:pt idx="86">
                  <c:v>-1.0429588404455061</c:v>
                </c:pt>
                <c:pt idx="87">
                  <c:v>-1.131502366881987</c:v>
                </c:pt>
                <c:pt idx="88">
                  <c:v>-1.2265575347157276</c:v>
                </c:pt>
                <c:pt idx="89">
                  <c:v>-1.3284465193011035</c:v>
                </c:pt>
                <c:pt idx="90">
                  <c:v>-1.4374849063989465</c:v>
                </c:pt>
                <c:pt idx="91">
                  <c:v>-1.5539782787337932</c:v>
                </c:pt>
                <c:pt idx="92">
                  <c:v>-1.6782186502191005</c:v>
                </c:pt>
                <c:pt idx="93">
                  <c:v>-1.8104808191194004</c:v>
                </c:pt>
                <c:pt idx="94">
                  <c:v>-1.9510187226353861</c:v>
                </c:pt>
                <c:pt idx="95">
                  <c:v>-2.1000618842038294</c:v>
                </c:pt>
                <c:pt idx="96">
                  <c:v>-2.2578120503305787</c:v>
                </c:pt>
                <c:pt idx="97">
                  <c:v>-2.42444011527465</c:v>
                </c:pt>
                <c:pt idx="98">
                  <c:v>-2.6000834288405708</c:v>
                </c:pt>
                <c:pt idx="99">
                  <c:v>-2.7848435746703517</c:v>
                </c:pt>
                <c:pt idx="100">
                  <c:v>-2.9787846938587319</c:v>
                </c:pt>
                <c:pt idx="101">
                  <c:v>-3.1819324119205987</c:v>
                </c:pt>
                <c:pt idx="102">
                  <c:v>-3.3942734069483933</c:v>
                </c:pt>
                <c:pt idx="103">
                  <c:v>-3.6157556343379014</c:v>
                </c:pt>
                <c:pt idx="104">
                  <c:v>-3.8462892000688322</c:v>
                </c:pt>
                <c:pt idx="105">
                  <c:v>-4.0857478516216421</c:v>
                </c:pt>
                <c:pt idx="106">
                  <c:v>-4.3339710345694584</c:v>
                </c:pt>
                <c:pt idx="107">
                  <c:v>-4.5907664449085832</c:v>
                </c:pt>
                <c:pt idx="108">
                  <c:v>-4.8559129932190253</c:v>
                </c:pt>
                <c:pt idx="109">
                  <c:v>-5.1291640873631792</c:v>
                </c:pt>
                <c:pt idx="110">
                  <c:v>-5.4102511358622305</c:v>
                </c:pt>
                <c:pt idx="111">
                  <c:v>-5.6988871741912162</c:v>
                </c:pt>
                <c:pt idx="112">
                  <c:v>-5.9947705205602873</c:v>
                </c:pt>
                <c:pt idx="113">
                  <c:v>-6.2975883756067939</c:v>
                </c:pt>
                <c:pt idx="114">
                  <c:v>-6.6070202909759059</c:v>
                </c:pt>
                <c:pt idx="115">
                  <c:v>-6.9227414441104482</c:v>
                </c:pt>
                <c:pt idx="116">
                  <c:v>-7.2444256698199609</c:v>
                </c:pt>
                <c:pt idx="117">
                  <c:v>-7.5717482125552316</c:v>
                </c:pt>
                <c:pt idx="118">
                  <c:v>-7.9043881761014969</c:v>
                </c:pt>
                <c:pt idx="119">
                  <c:v>-8.2420306591042021</c:v>
                </c:pt>
                <c:pt idx="120">
                  <c:v>-8.5843685750972085</c:v>
                </c:pt>
                <c:pt idx="121">
                  <c:v>-8.9311041643050348</c:v>
                </c:pt>
                <c:pt idx="122">
                  <c:v>-9.2819502113676293</c:v>
                </c:pt>
                <c:pt idx="123">
                  <c:v>-9.6366309883214356</c:v>
                </c:pt>
                <c:pt idx="124">
                  <c:v>-9.9948829457851254</c:v>
                </c:pt>
                <c:pt idx="125">
                  <c:v>-10.356455177505426</c:v>
                </c:pt>
                <c:pt idx="126">
                  <c:v>-10.721109684434875</c:v>
                </c:pt>
                <c:pt idx="127">
                  <c:v>-11.088621464534906</c:v>
                </c:pt>
                <c:pt idx="128">
                  <c:v>-11.458778453756073</c:v>
                </c:pt>
                <c:pt idx="129">
                  <c:v>-11.831381342318997</c:v>
                </c:pt>
                <c:pt idx="130">
                  <c:v>-12.206243288694944</c:v>
                </c:pt>
                <c:pt idx="131">
                  <c:v>-12.583189551702183</c:v>
                </c:pt>
                <c:pt idx="132">
                  <c:v>-12.962057059024879</c:v>
                </c:pt>
                <c:pt idx="133">
                  <c:v>-13.342693928318571</c:v>
                </c:pt>
                <c:pt idx="134">
                  <c:v>-13.7249589549677</c:v>
                </c:pt>
                <c:pt idx="135">
                  <c:v>-14.108721078560118</c:v>
                </c:pt>
                <c:pt idx="136">
                  <c:v>-14.49385883827806</c:v>
                </c:pt>
                <c:pt idx="137">
                  <c:v>-14.880259825698223</c:v>
                </c:pt>
                <c:pt idx="138">
                  <c:v>-15.267820141955832</c:v>
                </c:pt>
                <c:pt idx="139">
                  <c:v>-15.656443864863389</c:v>
                </c:pt>
                <c:pt idx="140">
                  <c:v>-16.046042530378493</c:v>
                </c:pt>
                <c:pt idx="141">
                  <c:v>-16.436534631780649</c:v>
                </c:pt>
                <c:pt idx="142">
                  <c:v>-16.827845139031375</c:v>
                </c:pt>
                <c:pt idx="143">
                  <c:v>-17.219905040043976</c:v>
                </c:pt>
                <c:pt idx="144">
                  <c:v>-17.612650904963139</c:v>
                </c:pt>
                <c:pt idx="145">
                  <c:v>-18.006024474039634</c:v>
                </c:pt>
                <c:pt idx="146">
                  <c:v>-18.399972269264829</c:v>
                </c:pt>
                <c:pt idx="147">
                  <c:v>-18.794445229592437</c:v>
                </c:pt>
                <c:pt idx="148">
                  <c:v>-19.189398369311206</c:v>
                </c:pt>
                <c:pt idx="149">
                  <c:v>-19.584790458925475</c:v>
                </c:pt>
                <c:pt idx="150">
                  <c:v>-19.980583727751593</c:v>
                </c:pt>
                <c:pt idx="151">
                  <c:v>-20.376743587322601</c:v>
                </c:pt>
                <c:pt idx="152">
                  <c:v>-20.77323837462486</c:v>
                </c:pt>
                <c:pt idx="153">
                  <c:v>-21.170039114140259</c:v>
                </c:pt>
                <c:pt idx="154">
                  <c:v>-21.567119297647498</c:v>
                </c:pt>
                <c:pt idx="155">
                  <c:v>-21.964454680732789</c:v>
                </c:pt>
                <c:pt idx="156">
                  <c:v>-22.362023094971025</c:v>
                </c:pt>
                <c:pt idx="157">
                  <c:v>-22.759804274761176</c:v>
                </c:pt>
                <c:pt idx="158">
                  <c:v>-23.157779697832026</c:v>
                </c:pt>
                <c:pt idx="159">
                  <c:v>-23.555932438470848</c:v>
                </c:pt>
                <c:pt idx="160">
                  <c:v>-23.954247032570962</c:v>
                </c:pt>
                <c:pt idx="161">
                  <c:v>-24.352709353637163</c:v>
                </c:pt>
                <c:pt idx="162">
                  <c:v>-24.751306498936781</c:v>
                </c:pt>
                <c:pt idx="163">
                  <c:v>-25.150026685028898</c:v>
                </c:pt>
                <c:pt idx="164">
                  <c:v>-25.548859151952602</c:v>
                </c:pt>
                <c:pt idx="165">
                  <c:v>-25.947794075400552</c:v>
                </c:pt>
                <c:pt idx="166">
                  <c:v>-26.346822486248598</c:v>
                </c:pt>
                <c:pt idx="167">
                  <c:v>-26.745936196856618</c:v>
                </c:pt>
                <c:pt idx="168">
                  <c:v>-27.145127733595714</c:v>
                </c:pt>
                <c:pt idx="169">
                  <c:v>-27.544390275096561</c:v>
                </c:pt>
                <c:pt idx="170">
                  <c:v>-27.94371759575229</c:v>
                </c:pt>
                <c:pt idx="171">
                  <c:v>-28.34310401404241</c:v>
                </c:pt>
                <c:pt idx="172">
                  <c:v>-28.7425443452798</c:v>
                </c:pt>
                <c:pt idx="173">
                  <c:v>-29.142033858410468</c:v>
                </c:pt>
                <c:pt idx="174">
                  <c:v>-29.541568236529191</c:v>
                </c:pt>
                <c:pt idx="175">
                  <c:v>-29.941143540796613</c:v>
                </c:pt>
                <c:pt idx="176">
                  <c:v>-30.340756177471523</c:v>
                </c:pt>
                <c:pt idx="177">
                  <c:v>-30.740402867793634</c:v>
                </c:pt>
                <c:pt idx="178">
                  <c:v>-31.140080620475565</c:v>
                </c:pt>
                <c:pt idx="179">
                  <c:v>-31.539786706579488</c:v>
                </c:pt>
                <c:pt idx="180">
                  <c:v>-31.939518636576668</c:v>
                </c:pt>
                <c:pt idx="181">
                  <c:v>-32.339274139400665</c:v>
                </c:pt>
                <c:pt idx="182">
                  <c:v>-32.73905114332414</c:v>
                </c:pt>
                <c:pt idx="183">
                  <c:v>-33.138847758501527</c:v>
                </c:pt>
                <c:pt idx="184">
                  <c:v>-33.538662261033878</c:v>
                </c:pt>
                <c:pt idx="185">
                  <c:v>-33.938493078424422</c:v>
                </c:pt>
                <c:pt idx="186">
                  <c:v>-34.338338776304305</c:v>
                </c:pt>
                <c:pt idx="187">
                  <c:v>-34.738198046318153</c:v>
                </c:pt>
                <c:pt idx="188">
                  <c:v>-35.138069695069177</c:v>
                </c:pt>
                <c:pt idx="189">
                  <c:v>-35.53795263403147</c:v>
                </c:pt>
                <c:pt idx="190">
                  <c:v>-35.937845870345051</c:v>
                </c:pt>
                <c:pt idx="191">
                  <c:v>-36.33774849841744</c:v>
                </c:pt>
                <c:pt idx="192">
                  <c:v>-36.737659692260465</c:v>
                </c:pt>
                <c:pt idx="193">
                  <c:v>-37.137578698499361</c:v>
                </c:pt>
                <c:pt idx="194">
                  <c:v>-37.537504829994383</c:v>
                </c:pt>
                <c:pt idx="195">
                  <c:v>-37.937437460021613</c:v>
                </c:pt>
                <c:pt idx="196">
                  <c:v>-38.337376016965024</c:v>
                </c:pt>
                <c:pt idx="197">
                  <c:v>-38.737319979473469</c:v>
                </c:pt>
                <c:pt idx="198">
                  <c:v>-39.137268872043336</c:v>
                </c:pt>
                <c:pt idx="199">
                  <c:v>-39.537222260988685</c:v>
                </c:pt>
                <c:pt idx="200">
                  <c:v>-39.937179750765516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64-4477-9C63-20D484EEF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646984"/>
        <c:axId val="527647312"/>
      </c:scatterChart>
      <c:valAx>
        <c:axId val="527646984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7312"/>
        <c:crossesAt val="-500"/>
        <c:crossBetween val="midCat"/>
      </c:valAx>
      <c:valAx>
        <c:axId val="5276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'RC Low Pass'!$H$2:$H$202</c:f>
              <c:numCache>
                <c:formatCode>General</c:formatCode>
                <c:ptCount val="201"/>
                <c:pt idx="0">
                  <c:v>10</c:v>
                </c:pt>
                <c:pt idx="1">
                  <c:v>10.471285480508989</c:v>
                </c:pt>
                <c:pt idx="2">
                  <c:v>10.96478196143185</c:v>
                </c:pt>
                <c:pt idx="3">
                  <c:v>11.481536214968827</c:v>
                </c:pt>
                <c:pt idx="4">
                  <c:v>12.022644346174125</c:v>
                </c:pt>
                <c:pt idx="5">
                  <c:v>12.589254117941664</c:v>
                </c:pt>
                <c:pt idx="6">
                  <c:v>13.182567385564075</c:v>
                </c:pt>
                <c:pt idx="7">
                  <c:v>13.803842646028848</c:v>
                </c:pt>
                <c:pt idx="8">
                  <c:v>14.454397707459272</c:v>
                </c:pt>
                <c:pt idx="9">
                  <c:v>15.135612484362076</c:v>
                </c:pt>
                <c:pt idx="10">
                  <c:v>15.848931924611124</c:v>
                </c:pt>
                <c:pt idx="11">
                  <c:v>16.595869074375592</c:v>
                </c:pt>
                <c:pt idx="12">
                  <c:v>17.378008287493756</c:v>
                </c:pt>
                <c:pt idx="13">
                  <c:v>18.19700858609983</c:v>
                </c:pt>
                <c:pt idx="14">
                  <c:v>19.054607179632463</c:v>
                </c:pt>
                <c:pt idx="15">
                  <c:v>19.95262314968879</c:v>
                </c:pt>
                <c:pt idx="16">
                  <c:v>20.892961308540386</c:v>
                </c:pt>
                <c:pt idx="17">
                  <c:v>21.877616239495524</c:v>
                </c:pt>
                <c:pt idx="18">
                  <c:v>22.908676527677709</c:v>
                </c:pt>
                <c:pt idx="19">
                  <c:v>23.988329190194893</c:v>
                </c:pt>
                <c:pt idx="20">
                  <c:v>25.118864315095781</c:v>
                </c:pt>
                <c:pt idx="21">
                  <c:v>26.302679918953803</c:v>
                </c:pt>
                <c:pt idx="22">
                  <c:v>27.542287033381648</c:v>
                </c:pt>
                <c:pt idx="23">
                  <c:v>28.840315031266048</c:v>
                </c:pt>
                <c:pt idx="24">
                  <c:v>30.199517204020147</c:v>
                </c:pt>
                <c:pt idx="25">
                  <c:v>31.622776601683785</c:v>
                </c:pt>
                <c:pt idx="26">
                  <c:v>33.113112148259106</c:v>
                </c:pt>
                <c:pt idx="27">
                  <c:v>34.673685045253158</c:v>
                </c:pt>
                <c:pt idx="28">
                  <c:v>36.307805477010135</c:v>
                </c:pt>
                <c:pt idx="29">
                  <c:v>38.01893963205611</c:v>
                </c:pt>
                <c:pt idx="30">
                  <c:v>39.810717055349727</c:v>
                </c:pt>
                <c:pt idx="31">
                  <c:v>41.686938347033532</c:v>
                </c:pt>
                <c:pt idx="32">
                  <c:v>43.651583224016605</c:v>
                </c:pt>
                <c:pt idx="33">
                  <c:v>45.708818961487502</c:v>
                </c:pt>
                <c:pt idx="34">
                  <c:v>47.863009232263835</c:v>
                </c:pt>
                <c:pt idx="35">
                  <c:v>50.118723362727231</c:v>
                </c:pt>
                <c:pt idx="36">
                  <c:v>52.480746024977243</c:v>
                </c:pt>
                <c:pt idx="37">
                  <c:v>54.954087385762435</c:v>
                </c:pt>
                <c:pt idx="38">
                  <c:v>57.543993733715688</c:v>
                </c:pt>
                <c:pt idx="39">
                  <c:v>60.255958607435744</c:v>
                </c:pt>
                <c:pt idx="40">
                  <c:v>63.095734448019314</c:v>
                </c:pt>
                <c:pt idx="41">
                  <c:v>66.06934480075958</c:v>
                </c:pt>
                <c:pt idx="42">
                  <c:v>69.183097091893615</c:v>
                </c:pt>
                <c:pt idx="43">
                  <c:v>72.443596007498954</c:v>
                </c:pt>
                <c:pt idx="44">
                  <c:v>75.857757502918361</c:v>
                </c:pt>
                <c:pt idx="45">
                  <c:v>79.432823472428097</c:v>
                </c:pt>
                <c:pt idx="46">
                  <c:v>83.176377110267083</c:v>
                </c:pt>
                <c:pt idx="47">
                  <c:v>87.096358995608014</c:v>
                </c:pt>
                <c:pt idx="48">
                  <c:v>91.201083935590944</c:v>
                </c:pt>
                <c:pt idx="49">
                  <c:v>95.499258602143556</c:v>
                </c:pt>
                <c:pt idx="50">
                  <c:v>100</c:v>
                </c:pt>
                <c:pt idx="51">
                  <c:v>104.71285480508996</c:v>
                </c:pt>
                <c:pt idx="52">
                  <c:v>109.64781961431849</c:v>
                </c:pt>
                <c:pt idx="53">
                  <c:v>114.8153621496883</c:v>
                </c:pt>
                <c:pt idx="54">
                  <c:v>120.22644346174128</c:v>
                </c:pt>
                <c:pt idx="55">
                  <c:v>125.89254117941672</c:v>
                </c:pt>
                <c:pt idx="56">
                  <c:v>131.8256738556407</c:v>
                </c:pt>
                <c:pt idx="57">
                  <c:v>138.03842646028849</c:v>
                </c:pt>
                <c:pt idx="58">
                  <c:v>144.54397707459268</c:v>
                </c:pt>
                <c:pt idx="59">
                  <c:v>151.35612484362076</c:v>
                </c:pt>
                <c:pt idx="60">
                  <c:v>158.48931924611131</c:v>
                </c:pt>
                <c:pt idx="61">
                  <c:v>165.95869074375599</c:v>
                </c:pt>
                <c:pt idx="62">
                  <c:v>173.78008287493748</c:v>
                </c:pt>
                <c:pt idx="63">
                  <c:v>181.97008586099832</c:v>
                </c:pt>
                <c:pt idx="64">
                  <c:v>190.54607179632472</c:v>
                </c:pt>
                <c:pt idx="65">
                  <c:v>199.52623149688796</c:v>
                </c:pt>
                <c:pt idx="66">
                  <c:v>208.92961308540399</c:v>
                </c:pt>
                <c:pt idx="67">
                  <c:v>218.77616239495529</c:v>
                </c:pt>
                <c:pt idx="68">
                  <c:v>229.08676527677733</c:v>
                </c:pt>
                <c:pt idx="69">
                  <c:v>239.88329190194906</c:v>
                </c:pt>
                <c:pt idx="70">
                  <c:v>251.18864315095806</c:v>
                </c:pt>
                <c:pt idx="71">
                  <c:v>263.02679918953817</c:v>
                </c:pt>
                <c:pt idx="72">
                  <c:v>275.4228703338166</c:v>
                </c:pt>
                <c:pt idx="73">
                  <c:v>288.40315031266056</c:v>
                </c:pt>
                <c:pt idx="74">
                  <c:v>301.99517204020157</c:v>
                </c:pt>
                <c:pt idx="75">
                  <c:v>316.22776601683796</c:v>
                </c:pt>
                <c:pt idx="76">
                  <c:v>331.13112148259103</c:v>
                </c:pt>
                <c:pt idx="77">
                  <c:v>346.73685045253166</c:v>
                </c:pt>
                <c:pt idx="78">
                  <c:v>363.07805477010135</c:v>
                </c:pt>
                <c:pt idx="79">
                  <c:v>380.18939632056123</c:v>
                </c:pt>
                <c:pt idx="80">
                  <c:v>398.10717055349733</c:v>
                </c:pt>
                <c:pt idx="81">
                  <c:v>416.86938347033549</c:v>
                </c:pt>
                <c:pt idx="82">
                  <c:v>436.51583224016605</c:v>
                </c:pt>
                <c:pt idx="83">
                  <c:v>457.08818961487515</c:v>
                </c:pt>
                <c:pt idx="84">
                  <c:v>478.63009232263829</c:v>
                </c:pt>
                <c:pt idx="85">
                  <c:v>501.18723362727224</c:v>
                </c:pt>
                <c:pt idx="86">
                  <c:v>524.80746024977259</c:v>
                </c:pt>
                <c:pt idx="87">
                  <c:v>549.54087385762455</c:v>
                </c:pt>
                <c:pt idx="88">
                  <c:v>575.43993733715695</c:v>
                </c:pt>
                <c:pt idx="89">
                  <c:v>602.55958607435775</c:v>
                </c:pt>
                <c:pt idx="90">
                  <c:v>630.95734448019323</c:v>
                </c:pt>
                <c:pt idx="91">
                  <c:v>660.69344800759609</c:v>
                </c:pt>
                <c:pt idx="92">
                  <c:v>691.8309709189366</c:v>
                </c:pt>
                <c:pt idx="93">
                  <c:v>724.43596007499025</c:v>
                </c:pt>
                <c:pt idx="94">
                  <c:v>758.577575029184</c:v>
                </c:pt>
                <c:pt idx="95">
                  <c:v>794.32823472428174</c:v>
                </c:pt>
                <c:pt idx="96">
                  <c:v>831.76377110267083</c:v>
                </c:pt>
                <c:pt idx="97">
                  <c:v>870.96358995608057</c:v>
                </c:pt>
                <c:pt idx="98">
                  <c:v>912.01083935590964</c:v>
                </c:pt>
                <c:pt idx="99">
                  <c:v>954.99258602143584</c:v>
                </c:pt>
                <c:pt idx="100">
                  <c:v>1000</c:v>
                </c:pt>
                <c:pt idx="101">
                  <c:v>1047.1285480508996</c:v>
                </c:pt>
                <c:pt idx="102">
                  <c:v>1096.4781961431852</c:v>
                </c:pt>
                <c:pt idx="103">
                  <c:v>1148.1536214968828</c:v>
                </c:pt>
                <c:pt idx="104">
                  <c:v>1202.2644346174131</c:v>
                </c:pt>
                <c:pt idx="105">
                  <c:v>1258.9254117941675</c:v>
                </c:pt>
                <c:pt idx="106">
                  <c:v>1318.2567385564075</c:v>
                </c:pt>
                <c:pt idx="107">
                  <c:v>1380.3842646028852</c:v>
                </c:pt>
                <c:pt idx="108">
                  <c:v>1445.4397707459282</c:v>
                </c:pt>
                <c:pt idx="109">
                  <c:v>1513.5612484362086</c:v>
                </c:pt>
                <c:pt idx="110">
                  <c:v>1584.8931924611143</c:v>
                </c:pt>
                <c:pt idx="111">
                  <c:v>1659.5869074375614</c:v>
                </c:pt>
                <c:pt idx="112">
                  <c:v>1737.8008287493765</c:v>
                </c:pt>
                <c:pt idx="113">
                  <c:v>1819.7008586099846</c:v>
                </c:pt>
                <c:pt idx="114">
                  <c:v>1905.4607179632483</c:v>
                </c:pt>
                <c:pt idx="115">
                  <c:v>1995.2623149688811</c:v>
                </c:pt>
                <c:pt idx="116">
                  <c:v>2089.2961308540389</c:v>
                </c:pt>
                <c:pt idx="117">
                  <c:v>2187.7616239495519</c:v>
                </c:pt>
                <c:pt idx="118">
                  <c:v>2290.8676527677726</c:v>
                </c:pt>
                <c:pt idx="119">
                  <c:v>2398.83291901949</c:v>
                </c:pt>
                <c:pt idx="120">
                  <c:v>2511.8864315095798</c:v>
                </c:pt>
                <c:pt idx="121">
                  <c:v>2630.2679918953818</c:v>
                </c:pt>
                <c:pt idx="122">
                  <c:v>2754.2287033381663</c:v>
                </c:pt>
                <c:pt idx="123">
                  <c:v>2884.0315031266059</c:v>
                </c:pt>
                <c:pt idx="124">
                  <c:v>3019.9517204020167</c:v>
                </c:pt>
                <c:pt idx="125">
                  <c:v>3162.2776601683795</c:v>
                </c:pt>
                <c:pt idx="126">
                  <c:v>3311.3112148259115</c:v>
                </c:pt>
                <c:pt idx="127">
                  <c:v>3467.3685045253169</c:v>
                </c:pt>
                <c:pt idx="128">
                  <c:v>3630.7805477010138</c:v>
                </c:pt>
                <c:pt idx="129">
                  <c:v>3801.8939632056126</c:v>
                </c:pt>
                <c:pt idx="130">
                  <c:v>3981.0717055349737</c:v>
                </c:pt>
                <c:pt idx="131">
                  <c:v>4168.6938347033556</c:v>
                </c:pt>
                <c:pt idx="132">
                  <c:v>4365.1583224016613</c:v>
                </c:pt>
                <c:pt idx="133">
                  <c:v>4570.8818961487523</c:v>
                </c:pt>
                <c:pt idx="134">
                  <c:v>4786.3009232263867</c:v>
                </c:pt>
                <c:pt idx="135">
                  <c:v>5011.872336272726</c:v>
                </c:pt>
                <c:pt idx="136">
                  <c:v>5248.0746024977298</c:v>
                </c:pt>
                <c:pt idx="137">
                  <c:v>5495.4087385762496</c:v>
                </c:pt>
                <c:pt idx="138">
                  <c:v>5754.3993733715743</c:v>
                </c:pt>
                <c:pt idx="139">
                  <c:v>6025.5958607435823</c:v>
                </c:pt>
                <c:pt idx="140">
                  <c:v>6309.5734448019375</c:v>
                </c:pt>
                <c:pt idx="141">
                  <c:v>6606.9344800759582</c:v>
                </c:pt>
                <c:pt idx="142">
                  <c:v>6918.3097091893633</c:v>
                </c:pt>
                <c:pt idx="143">
                  <c:v>7244.3596007499009</c:v>
                </c:pt>
                <c:pt idx="144">
                  <c:v>7585.7757502918375</c:v>
                </c:pt>
                <c:pt idx="145">
                  <c:v>7943.2823472428136</c:v>
                </c:pt>
                <c:pt idx="146">
                  <c:v>8317.6377110267113</c:v>
                </c:pt>
                <c:pt idx="147">
                  <c:v>8709.6358995608043</c:v>
                </c:pt>
                <c:pt idx="148">
                  <c:v>9120.1083935590977</c:v>
                </c:pt>
                <c:pt idx="149">
                  <c:v>9549.9258602143582</c:v>
                </c:pt>
                <c:pt idx="150">
                  <c:v>10000</c:v>
                </c:pt>
                <c:pt idx="151">
                  <c:v>10471.285480508999</c:v>
                </c:pt>
                <c:pt idx="152">
                  <c:v>10964.781961431854</c:v>
                </c:pt>
                <c:pt idx="153">
                  <c:v>11481.536214968834</c:v>
                </c:pt>
                <c:pt idx="154">
                  <c:v>12022.644346174133</c:v>
                </c:pt>
                <c:pt idx="155">
                  <c:v>12589.25411794168</c:v>
                </c:pt>
                <c:pt idx="156">
                  <c:v>13182.567385564076</c:v>
                </c:pt>
                <c:pt idx="157">
                  <c:v>13803.842646028857</c:v>
                </c:pt>
                <c:pt idx="158">
                  <c:v>14454.397707459282</c:v>
                </c:pt>
                <c:pt idx="159">
                  <c:v>15135.612484362091</c:v>
                </c:pt>
                <c:pt idx="160">
                  <c:v>15848.931924611143</c:v>
                </c:pt>
                <c:pt idx="161">
                  <c:v>16595.86907437562</c:v>
                </c:pt>
                <c:pt idx="162">
                  <c:v>17378.008287493762</c:v>
                </c:pt>
                <c:pt idx="163">
                  <c:v>18197.008586099848</c:v>
                </c:pt>
                <c:pt idx="164">
                  <c:v>19054.607179632483</c:v>
                </c:pt>
                <c:pt idx="165">
                  <c:v>19952.623149688814</c:v>
                </c:pt>
                <c:pt idx="166">
                  <c:v>20892.961308540416</c:v>
                </c:pt>
                <c:pt idx="167">
                  <c:v>21877.616239495528</c:v>
                </c:pt>
                <c:pt idx="168">
                  <c:v>22908.676527677726</c:v>
                </c:pt>
                <c:pt idx="169">
                  <c:v>23988.329190194909</c:v>
                </c:pt>
                <c:pt idx="170">
                  <c:v>25118.864315095798</c:v>
                </c:pt>
                <c:pt idx="171">
                  <c:v>26302.679918953825</c:v>
                </c:pt>
                <c:pt idx="172">
                  <c:v>27542.287033381665</c:v>
                </c:pt>
                <c:pt idx="173">
                  <c:v>28840.315031266065</c:v>
                </c:pt>
                <c:pt idx="174">
                  <c:v>30199.517204020165</c:v>
                </c:pt>
                <c:pt idx="175">
                  <c:v>31622.776601683803</c:v>
                </c:pt>
                <c:pt idx="176">
                  <c:v>33113.112148259126</c:v>
                </c:pt>
                <c:pt idx="177">
                  <c:v>34673.68504525318</c:v>
                </c:pt>
                <c:pt idx="178">
                  <c:v>36307.805477010159</c:v>
                </c:pt>
                <c:pt idx="179">
                  <c:v>38018.939632056135</c:v>
                </c:pt>
                <c:pt idx="180">
                  <c:v>39810.717055349756</c:v>
                </c:pt>
                <c:pt idx="181">
                  <c:v>41686.93834703356</c:v>
                </c:pt>
                <c:pt idx="182">
                  <c:v>43651.583224016635</c:v>
                </c:pt>
                <c:pt idx="183">
                  <c:v>45708.81896148753</c:v>
                </c:pt>
                <c:pt idx="184">
                  <c:v>47863.009232263874</c:v>
                </c:pt>
                <c:pt idx="185">
                  <c:v>50118.723362727258</c:v>
                </c:pt>
                <c:pt idx="186">
                  <c:v>52480.746024977307</c:v>
                </c:pt>
                <c:pt idx="187">
                  <c:v>54954.087385762519</c:v>
                </c:pt>
                <c:pt idx="188">
                  <c:v>57543.993733715746</c:v>
                </c:pt>
                <c:pt idx="189">
                  <c:v>60255.958607435823</c:v>
                </c:pt>
                <c:pt idx="190">
                  <c:v>63095.734448019364</c:v>
                </c:pt>
                <c:pt idx="191">
                  <c:v>66069.344800759674</c:v>
                </c:pt>
                <c:pt idx="192">
                  <c:v>69183.097091893651</c:v>
                </c:pt>
                <c:pt idx="193">
                  <c:v>72443.596007499014</c:v>
                </c:pt>
                <c:pt idx="194">
                  <c:v>75857.757502918364</c:v>
                </c:pt>
                <c:pt idx="195">
                  <c:v>79432.823472428194</c:v>
                </c:pt>
                <c:pt idx="196">
                  <c:v>83176.377110267131</c:v>
                </c:pt>
                <c:pt idx="197">
                  <c:v>87096.358995608069</c:v>
                </c:pt>
                <c:pt idx="198">
                  <c:v>91201.08393559097</c:v>
                </c:pt>
                <c:pt idx="199">
                  <c:v>95499.258602143658</c:v>
                </c:pt>
                <c:pt idx="200">
                  <c:v>100000</c:v>
                </c:pt>
              </c:numCache>
            </c:numRef>
          </c:xVal>
          <c:yVal>
            <c:numRef>
              <c:f>'RC Low Pass'!$L$2:$L$202</c:f>
              <c:numCache>
                <c:formatCode>General</c:formatCode>
                <c:ptCount val="201"/>
                <c:pt idx="0">
                  <c:v>-0.56878131528130316</c:v>
                </c:pt>
                <c:pt idx="1">
                  <c:v>-0.59558526532629019</c:v>
                </c:pt>
                <c:pt idx="2">
                  <c:v>-0.623652167004483</c:v>
                </c:pt>
                <c:pt idx="3">
                  <c:v>-0.6530414999734292</c:v>
                </c:pt>
                <c:pt idx="4">
                  <c:v>-0.6838155409459189</c:v>
                </c:pt>
                <c:pt idx="5">
                  <c:v>-0.71603949460268412</c:v>
                </c:pt>
                <c:pt idx="6">
                  <c:v>-0.74978163054043223</c:v>
                </c:pt>
                <c:pt idx="7">
                  <c:v>-0.78511342651958116</c:v>
                </c:pt>
                <c:pt idx="8">
                  <c:v>-0.82210971828594614</c:v>
                </c:pt>
                <c:pt idx="9">
                  <c:v>-0.86084885624984242</c:v>
                </c:pt>
                <c:pt idx="10">
                  <c:v>-0.90141286931584663</c:v>
                </c:pt>
                <c:pt idx="11">
                  <c:v>-0.94388763616551441</c:v>
                </c:pt>
                <c:pt idx="12">
                  <c:v>-0.98836306430495846</c:v>
                </c:pt>
                <c:pt idx="13">
                  <c:v>-1.0349332771975359</c:v>
                </c:pt>
                <c:pt idx="14">
                  <c:v>-1.0836968098106223</c:v>
                </c:pt>
                <c:pt idx="15">
                  <c:v>-1.1347568129132812</c:v>
                </c:pt>
                <c:pt idx="16">
                  <c:v>-1.1882212664683436</c:v>
                </c:pt>
                <c:pt idx="17">
                  <c:v>-1.2442032024689818</c:v>
                </c:pt>
                <c:pt idx="18">
                  <c:v>-1.3028209375744255</c:v>
                </c:pt>
                <c:pt idx="19">
                  <c:v>-1.3641983159029194</c:v>
                </c:pt>
                <c:pt idx="20">
                  <c:v>-1.4284649623417673</c:v>
                </c:pt>
                <c:pt idx="21">
                  <c:v>-1.4957565467339862</c:v>
                </c:pt>
                <c:pt idx="22">
                  <c:v>-1.5662150592973783</c:v>
                </c:pt>
                <c:pt idx="23">
                  <c:v>-1.6399890976266187</c:v>
                </c:pt>
                <c:pt idx="24">
                  <c:v>-1.7172341656183294</c:v>
                </c:pt>
                <c:pt idx="25">
                  <c:v>-1.7981129846457395</c:v>
                </c:pt>
                <c:pt idx="26">
                  <c:v>-1.8827958172901147</c:v>
                </c:pt>
                <c:pt idx="27">
                  <c:v>-1.9714608039113828</c:v>
                </c:pt>
                <c:pt idx="28">
                  <c:v>-2.0642943123085953</c:v>
                </c:pt>
                <c:pt idx="29">
                  <c:v>-2.1614913006811514</c:v>
                </c:pt>
                <c:pt idx="30">
                  <c:v>-2.2632556940527149</c:v>
                </c:pt>
                <c:pt idx="31">
                  <c:v>-2.3698007742599998</c:v>
                </c:pt>
                <c:pt idx="32">
                  <c:v>-2.4813495835364709</c:v>
                </c:pt>
                <c:pt idx="33">
                  <c:v>-2.5981353416347139</c:v>
                </c:pt>
                <c:pt idx="34">
                  <c:v>-2.7204018763280349</c:v>
                </c:pt>
                <c:pt idx="35">
                  <c:v>-2.8484040670105215</c:v>
                </c:pt>
                <c:pt idx="36">
                  <c:v>-2.9824083009705946</c:v>
                </c:pt>
                <c:pt idx="37">
                  <c:v>-3.1226929417454392</c:v>
                </c:pt>
                <c:pt idx="38">
                  <c:v>-3.269548808766304</c:v>
                </c:pt>
                <c:pt idx="39">
                  <c:v>-3.423279667275998</c:v>
                </c:pt>
                <c:pt idx="40">
                  <c:v>-3.5842027272336843</c:v>
                </c:pt>
                <c:pt idx="41">
                  <c:v>-3.7526491496143626</c:v>
                </c:pt>
                <c:pt idx="42">
                  <c:v>-3.9289645581552493</c:v>
                </c:pt>
                <c:pt idx="43">
                  <c:v>-4.1135095541927447</c:v>
                </c:pt>
                <c:pt idx="44">
                  <c:v>-4.3066602317642513</c:v>
                </c:pt>
                <c:pt idx="45">
                  <c:v>-4.5088086896124819</c:v>
                </c:pt>
                <c:pt idx="46">
                  <c:v>-4.7203635361172269</c:v>
                </c:pt>
                <c:pt idx="47">
                  <c:v>-4.9417503824811622</c:v>
                </c:pt>
                <c:pt idx="48">
                  <c:v>-5.1734123187052559</c:v>
                </c:pt>
                <c:pt idx="49">
                  <c:v>-5.4158103659918648</c:v>
                </c:pt>
                <c:pt idx="50">
                  <c:v>-5.6694238982028917</c:v>
                </c:pt>
                <c:pt idx="51">
                  <c:v>-5.9347510238626713</c:v>
                </c:pt>
                <c:pt idx="52">
                  <c:v>-6.2123089189203586</c:v>
                </c:pt>
                <c:pt idx="53">
                  <c:v>-6.5026340990653093</c:v>
                </c:pt>
                <c:pt idx="54">
                  <c:v>-6.806282618806323</c:v>
                </c:pt>
                <c:pt idx="55">
                  <c:v>-7.1238301827800443</c:v>
                </c:pt>
                <c:pt idx="56">
                  <c:v>-7.4558721528298566</c:v>
                </c:pt>
                <c:pt idx="57">
                  <c:v>-7.8030234322959879</c:v>
                </c:pt>
                <c:pt idx="58">
                  <c:v>-8.1659182066767926</c:v>
                </c:pt>
                <c:pt idx="59">
                  <c:v>-8.5452095173680345</c:v>
                </c:pt>
                <c:pt idx="60">
                  <c:v>-8.9415686425699921</c:v>
                </c:pt>
                <c:pt idx="61">
                  <c:v>-9.3556842566954224</c:v>
                </c:pt>
                <c:pt idx="62">
                  <c:v>-9.7882613367522566</c:v>
                </c:pt>
                <c:pt idx="63">
                  <c:v>-10.240019781250295</c:v>
                </c:pt>
                <c:pt idx="64">
                  <c:v>-10.711692704272776</c:v>
                </c:pt>
                <c:pt idx="65">
                  <c:v>-11.2040243645364</c:v>
                </c:pt>
                <c:pt idx="66">
                  <c:v>-11.71776768666105</c:v>
                </c:pt>
                <c:pt idx="67">
                  <c:v>-12.253681329622864</c:v>
                </c:pt>
                <c:pt idx="68">
                  <c:v>-12.812526255652052</c:v>
                </c:pt>
                <c:pt idx="69">
                  <c:v>-13.395061751877016</c:v>
                </c:pt>
                <c:pt idx="70">
                  <c:v>-14.002040857070435</c:v>
                </c:pt>
                <c:pt idx="71">
                  <c:v>-14.634205147220735</c:v>
                </c:pt>
                <c:pt idx="72">
                  <c:v>-15.29227883667957</c:v>
                </c:pt>
                <c:pt idx="73">
                  <c:v>-15.976962156709474</c:v>
                </c:pt>
                <c:pt idx="74">
                  <c:v>-16.688923980794829</c:v>
                </c:pt>
                <c:pt idx="75">
                  <c:v>-17.428793676509574</c:v>
                </c:pt>
                <c:pt idx="76">
                  <c:v>-18.197152177505657</c:v>
                </c:pt>
                <c:pt idx="77">
                  <c:v>-18.994522286689456</c:v>
                </c:pt>
                <c:pt idx="78">
                  <c:v>-19.821358243231586</c:v>
                </c:pt>
                <c:pt idx="79">
                  <c:v>-20.678034611937548</c:v>
                </c:pt>
                <c:pt idx="80">
                  <c:v>-21.564834583731194</c:v>
                </c:pt>
                <c:pt idx="81">
                  <c:v>-22.481937810402908</c:v>
                </c:pt>
                <c:pt idx="82">
                  <c:v>-23.429407934846161</c:v>
                </c:pt>
                <c:pt idx="83">
                  <c:v>-24.407180018897304</c:v>
                </c:pt>
                <c:pt idx="84">
                  <c:v>-25.415048113301545</c:v>
                </c:pt>
                <c:pt idx="85">
                  <c:v>-26.452653256473987</c:v>
                </c:pt>
                <c:pt idx="86">
                  <c:v>-27.519472228353663</c:v>
                </c:pt>
                <c:pt idx="87">
                  <c:v>-28.61480742003306</c:v>
                </c:pt>
                <c:pt idx="88">
                  <c:v>-29.737778205896191</c:v>
                </c:pt>
                <c:pt idx="89">
                  <c:v>-30.887314219414485</c:v>
                </c:pt>
                <c:pt idx="90">
                  <c:v>-32.062150933236666</c:v>
                </c:pt>
                <c:pt idx="91">
                  <c:v>-33.260827925771494</c:v>
                </c:pt>
                <c:pt idx="92">
                  <c:v>-34.481690177755063</c:v>
                </c:pt>
                <c:pt idx="93">
                  <c:v>-35.722892681967949</c:v>
                </c:pt>
                <c:pt idx="94">
                  <c:v>-36.982408567330197</c:v>
                </c:pt>
                <c:pt idx="95">
                  <c:v>-38.25804083668082</c:v>
                </c:pt>
                <c:pt idx="96">
                  <c:v>-39.547437699058669</c:v>
                </c:pt>
                <c:pt idx="97">
                  <c:v>-40.848111347417216</c:v>
                </c:pt>
                <c:pt idx="98">
                  <c:v>-42.157459898155054</c:v>
                </c:pt>
                <c:pt idx="99">
                  <c:v>-43.472792077487142</c:v>
                </c:pt>
                <c:pt idx="100">
                  <c:v>-44.791354119879109</c:v>
                </c:pt>
                <c:pt idx="101">
                  <c:v>-46.110358243674327</c:v>
                </c:pt>
                <c:pt idx="102">
                  <c:v>-47.427011995787758</c:v>
                </c:pt>
                <c:pt idx="103">
                  <c:v>-48.738547716328206</c:v>
                </c:pt>
                <c:pt idx="104">
                  <c:v>-50.042251368311256</c:v>
                </c:pt>
                <c:pt idx="105">
                  <c:v>-51.335490007684101</c:v>
                </c:pt>
                <c:pt idx="106">
                  <c:v>-52.615737232420798</c:v>
                </c:pt>
                <c:pt idx="107">
                  <c:v>-53.880596041753421</c:v>
                </c:pt>
                <c:pt idx="108">
                  <c:v>-55.127818651022679</c:v>
                </c:pt>
                <c:pt idx="109">
                  <c:v>-56.355322936242779</c:v>
                </c:pt>
                <c:pt idx="110">
                  <c:v>-57.561205316903141</c:v>
                </c:pt>
                <c:pt idx="111">
                  <c:v>-58.743750017681201</c:v>
                </c:pt>
                <c:pt idx="112">
                  <c:v>-59.901434772475611</c:v>
                </c:pt>
                <c:pt idx="113">
                  <c:v>-61.032933141782664</c:v>
                </c:pt>
                <c:pt idx="114">
                  <c:v>-62.13711370296042</c:v>
                </c:pt>
                <c:pt idx="115">
                  <c:v>-63.213036440155669</c:v>
                </c:pt>
                <c:pt idx="116">
                  <c:v>-64.259946706130023</c:v>
                </c:pt>
                <c:pt idx="117">
                  <c:v>-65.27726715285489</c:v>
                </c:pt>
                <c:pt idx="118">
                  <c:v>-66.264588033627447</c:v>
                </c:pt>
                <c:pt idx="119">
                  <c:v>-67.221656269416272</c:v>
                </c:pt>
                <c:pt idx="120">
                  <c:v>-68.148363649417504</c:v>
                </c:pt>
                <c:pt idx="121">
                  <c:v>-69.04473450369872</c:v>
                </c:pt>
                <c:pt idx="122">
                  <c:v>-69.91091314753173</c:v>
                </c:pt>
                <c:pt idx="123">
                  <c:v>-70.747151355389022</c:v>
                </c:pt>
                <c:pt idx="124">
                  <c:v>-71.553796080047874</c:v>
                </c:pt>
                <c:pt idx="125">
                  <c:v>-72.331277590703579</c:v>
                </c:pt>
                <c:pt idx="126">
                  <c:v>-73.080098164924394</c:v>
                </c:pt>
                <c:pt idx="127">
                  <c:v>-73.800821433644685</c:v>
                </c:pt>
                <c:pt idx="128">
                  <c:v>-74.494062446818688</c:v>
                </c:pt>
                <c:pt idx="129">
                  <c:v>-75.160478500092708</c:v>
                </c:pt>
                <c:pt idx="130">
                  <c:v>-75.800760739937999</c:v>
                </c:pt>
                <c:pt idx="131">
                  <c:v>-76.415626545919977</c:v>
                </c:pt>
                <c:pt idx="132">
                  <c:v>-77.005812673873166</c:v>
                </c:pt>
                <c:pt idx="133">
                  <c:v>-77.572069132311469</c:v>
                </c:pt>
                <c:pt idx="134">
                  <c:v>-78.115153755992637</c:v>
                </c:pt>
                <c:pt idx="135">
                  <c:v>-78.635827434755186</c:v>
                </c:pt>
                <c:pt idx="136">
                  <c:v>-79.134849952109576</c:v>
                </c:pt>
                <c:pt idx="137">
                  <c:v>-79.612976386215109</c:v>
                </c:pt>
                <c:pt idx="138">
                  <c:v>-80.070954025437885</c:v>
                </c:pt>
                <c:pt idx="139">
                  <c:v>-80.509519751354901</c:v>
                </c:pt>
                <c:pt idx="140">
                  <c:v>-80.929397843569376</c:v>
                </c:pt>
                <c:pt idx="141">
                  <c:v>-81.331298162800167</c:v>
                </c:pt>
                <c:pt idx="142">
                  <c:v>-81.715914671218187</c:v>
                </c:pt>
                <c:pt idx="143">
                  <c:v>-82.08392425176261</c:v>
                </c:pt>
                <c:pt idx="144">
                  <c:v>-82.435985791063317</c:v>
                </c:pt>
                <c:pt idx="145">
                  <c:v>-82.772739493520191</c:v>
                </c:pt>
                <c:pt idx="146">
                  <c:v>-83.094806396978527</c:v>
                </c:pt>
                <c:pt idx="147">
                  <c:v>-83.402788063232052</c:v>
                </c:pt>
                <c:pt idx="148">
                  <c:v>-83.697266419248621</c:v>
                </c:pt>
                <c:pt idx="149">
                  <c:v>-83.978803727522688</c:v>
                </c:pt>
                <c:pt idx="150">
                  <c:v>-84.247942666289958</c:v>
                </c:pt>
                <c:pt idx="151">
                  <c:v>-84.505206502504763</c:v>
                </c:pt>
                <c:pt idx="152">
                  <c:v>-84.751099342452193</c:v>
                </c:pt>
                <c:pt idx="153">
                  <c:v>-84.986106446674654</c:v>
                </c:pt>
                <c:pt idx="154">
                  <c:v>-85.210694597521993</c:v>
                </c:pt>
                <c:pt idx="155">
                  <c:v>-85.425312509107755</c:v>
                </c:pt>
                <c:pt idx="156">
                  <c:v>-85.630391270772876</c:v>
                </c:pt>
                <c:pt idx="157">
                  <c:v>-85.826344816338334</c:v>
                </c:pt>
                <c:pt idx="158">
                  <c:v>-86.013570412478586</c:v>
                </c:pt>
                <c:pt idx="159">
                  <c:v>-86.192449160478958</c:v>
                </c:pt>
                <c:pt idx="160">
                  <c:v>-86.363346506463955</c:v>
                </c:pt>
                <c:pt idx="161">
                  <c:v>-86.526612755910392</c:v>
                </c:pt>
                <c:pt idx="162">
                  <c:v>-86.682583588897756</c:v>
                </c:pt>
                <c:pt idx="163">
                  <c:v>-86.831580573107829</c:v>
                </c:pt>
                <c:pt idx="164">
                  <c:v>-86.973911672076014</c:v>
                </c:pt>
                <c:pt idx="165">
                  <c:v>-87.109871746623156</c:v>
                </c:pt>
                <c:pt idx="166">
                  <c:v>-87.239743047768272</c:v>
                </c:pt>
                <c:pt idx="167">
                  <c:v>-87.363795699745182</c:v>
                </c:pt>
                <c:pt idx="168">
                  <c:v>-87.482288172023743</c:v>
                </c:pt>
                <c:pt idx="169">
                  <c:v>-87.595467739477527</c:v>
                </c:pt>
                <c:pt idx="170">
                  <c:v>-87.703570930045927</c:v>
                </c:pt>
                <c:pt idx="171">
                  <c:v>-87.806823959415595</c:v>
                </c:pt>
                <c:pt idx="172">
                  <c:v>-87.90544315239741</c:v>
                </c:pt>
                <c:pt idx="173">
                  <c:v>-87.999635350802905</c:v>
                </c:pt>
                <c:pt idx="174">
                  <c:v>-88.089598307734065</c:v>
                </c:pt>
                <c:pt idx="175">
                  <c:v>-88.175521068289669</c:v>
                </c:pt>
                <c:pt idx="176">
                  <c:v>-88.257584336770108</c:v>
                </c:pt>
                <c:pt idx="177">
                  <c:v>-88.335960830524158</c:v>
                </c:pt>
                <c:pt idx="178">
                  <c:v>-88.410815620634708</c:v>
                </c:pt>
                <c:pt idx="179">
                  <c:v>-88.482306459682022</c:v>
                </c:pt>
                <c:pt idx="180">
                  <c:v>-88.550584096857932</c:v>
                </c:pt>
                <c:pt idx="181">
                  <c:v>-88.615792580731181</c:v>
                </c:pt>
                <c:pt idx="182">
                  <c:v>-88.678069549984414</c:v>
                </c:pt>
                <c:pt idx="183">
                  <c:v>-88.737546512459673</c:v>
                </c:pt>
                <c:pt idx="184">
                  <c:v>-88.794349112859507</c:v>
                </c:pt>
                <c:pt idx="185">
                  <c:v>-88.848597389458661</c:v>
                </c:pt>
                <c:pt idx="186">
                  <c:v>-88.900406020184633</c:v>
                </c:pt>
                <c:pt idx="187">
                  <c:v>-88.949884558427399</c:v>
                </c:pt>
                <c:pt idx="188">
                  <c:v>-88.997137658936907</c:v>
                </c:pt>
                <c:pt idx="189">
                  <c:v>-89.04226529416438</c:v>
                </c:pt>
                <c:pt idx="190">
                  <c:v>-89.08536296139917</c:v>
                </c:pt>
                <c:pt idx="191">
                  <c:v>-89.126521881046628</c:v>
                </c:pt>
                <c:pt idx="192">
                  <c:v>-89.16582918638646</c:v>
                </c:pt>
                <c:pt idx="193">
                  <c:v>-89.203368105142289</c:v>
                </c:pt>
                <c:pt idx="194">
                  <c:v>-89.239218133186583</c:v>
                </c:pt>
                <c:pt idx="195">
                  <c:v>-89.273455200694571</c:v>
                </c:pt>
                <c:pt idx="196">
                  <c:v>-89.306151831052915</c:v>
                </c:pt>
                <c:pt idx="197">
                  <c:v>-89.33737729281944</c:v>
                </c:pt>
                <c:pt idx="198">
                  <c:v>-89.367197745020079</c:v>
                </c:pt>
                <c:pt idx="199">
                  <c:v>-89.395676376060493</c:v>
                </c:pt>
                <c:pt idx="200">
                  <c:v>-89.422873536519731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F0-49AD-953E-02FEAEB24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646984"/>
        <c:axId val="527647312"/>
      </c:scatterChart>
      <c:valAx>
        <c:axId val="527646984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7312"/>
        <c:crossesAt val="-500"/>
        <c:crossBetween val="midCat"/>
      </c:valAx>
      <c:valAx>
        <c:axId val="5276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(</a:t>
                </a:r>
                <a:r>
                  <a:rPr lang="el-GR">
                    <a:latin typeface="Calibri" panose="020F0502020204030204" pitchFamily="34" charset="0"/>
                    <a:cs typeface="Calibri" panose="020F0502020204030204" pitchFamily="34" charset="0"/>
                  </a:rPr>
                  <a:t>Φ</a:t>
                </a:r>
                <a:r>
                  <a:rPr lang="en-US">
                    <a:latin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548273</xdr:colOff>
      <xdr:row>8</xdr:row>
      <xdr:rowOff>121080</xdr:rowOff>
    </xdr:from>
    <xdr:to>
      <xdr:col>1</xdr:col>
      <xdr:colOff>600075</xdr:colOff>
      <xdr:row>13</xdr:row>
      <xdr:rowOff>95250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1600EC13-3A56-FF5F-44B7-F374270EB2EA}"/>
            </a:ext>
          </a:extLst>
        </xdr:cNvPr>
        <xdr:cNvGrpSpPr/>
      </xdr:nvGrpSpPr>
      <xdr:grpSpPr>
        <a:xfrm>
          <a:off x="548273" y="1797480"/>
          <a:ext cx="1432927" cy="1021920"/>
          <a:chOff x="733792" y="2768782"/>
          <a:chExt cx="1944158" cy="1223251"/>
        </a:xfrm>
      </xdr:grpSpPr>
      <xdr:pic>
        <xdr:nvPicPr>
          <xdr:cNvPr id="7" name="Graphic 6">
            <a:extLst>
              <a:ext uri="{FF2B5EF4-FFF2-40B4-BE49-F238E27FC236}">
                <a16:creationId xmlns:a16="http://schemas.microsoft.com/office/drawing/2014/main" id="{7E7BAC74-4138-6CA6-76DB-D9D4D0F55A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62001" y="2963333"/>
            <a:ext cx="1790700" cy="1028700"/>
          </a:xfrm>
          <a:prstGeom prst="rect">
            <a:avLst/>
          </a:prstGeom>
        </xdr:spPr>
      </xdr:pic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733792" y="2768782"/>
            <a:ext cx="1944158" cy="769741"/>
            <a:chOff x="497417" y="1765300"/>
            <a:chExt cx="1944158" cy="769741"/>
          </a:xfrm>
        </xdr:grpSpPr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6" name="TextBox 12">
                  <a:extLst>
                    <a:ext uri="{FF2B5EF4-FFF2-40B4-BE49-F238E27FC236}">
                      <a16:creationId xmlns:a16="http://schemas.microsoft.com/office/drawing/2014/main" id="{00000000-0008-0000-0000-000010000000}"/>
                    </a:ext>
                  </a:extLst>
                </xdr:cNvPr>
                <xdr:cNvSpPr txBox="1"/>
              </xdr:nvSpPr>
              <xdr:spPr>
                <a:xfrm>
                  <a:off x="1097125" y="1765300"/>
                  <a:ext cx="299184" cy="215982"/>
                </a:xfrm>
                <a:prstGeom prst="rect">
                  <a:avLst/>
                </a:prstGeom>
                <a:noFill/>
              </xdr:spPr>
              <xdr:txBody>
                <a:bodyPr wrap="square" lIns="0" tIns="0" rIns="0" bIns="0" rtlCol="0">
                  <a:spAutoFit/>
                </a:bodyPr>
                <a:lstStyle>
                  <a:defPPr>
                    <a:defRPr lang="en-US"/>
                  </a:defPPr>
                  <a:lvl1pPr marL="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609585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121917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82875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243833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304792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365750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4267093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4876678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en-US" sz="12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𝑅</m:t>
                        </m:r>
                      </m:oMath>
                    </m:oMathPara>
                  </a14:m>
                  <a:endParaRPr lang="en-US" sz="1200">
                    <a:latin typeface="Arial" pitchFamily="34" charset="0"/>
                    <a:cs typeface="Arial" pitchFamily="34" charset="0"/>
                  </a:endParaRPr>
                </a:p>
              </xdr:txBody>
            </xdr:sp>
          </mc:Choice>
          <mc:Fallback xmlns="">
            <xdr:sp macro="" textlink="">
              <xdr:nvSpPr>
                <xdr:cNvPr id="16" name="TextBox 12">
                  <a:extLst>
                    <a:ext uri="{FF2B5EF4-FFF2-40B4-BE49-F238E27FC236}">
                      <a16:creationId xmlns:a16="http://schemas.microsoft.com/office/drawing/2014/main" id="{00000000-0008-0000-0000-000010000000}"/>
                    </a:ext>
                  </a:extLst>
                </xdr:cNvPr>
                <xdr:cNvSpPr txBox="1"/>
              </xdr:nvSpPr>
              <xdr:spPr>
                <a:xfrm>
                  <a:off x="1097125" y="1765300"/>
                  <a:ext cx="299184" cy="215982"/>
                </a:xfrm>
                <a:prstGeom prst="rect">
                  <a:avLst/>
                </a:prstGeom>
                <a:noFill/>
              </xdr:spPr>
              <xdr:txBody>
                <a:bodyPr wrap="square" lIns="0" tIns="0" rIns="0" bIns="0" rtlCol="0">
                  <a:spAutoFit/>
                </a:bodyPr>
                <a:lstStyle>
                  <a:defPPr>
                    <a:defRPr lang="en-US"/>
                  </a:defPPr>
                  <a:lvl1pPr marL="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609585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121917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82875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243833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304792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365750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4267093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4876678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US" sz="1200" b="0" i="0">
                      <a:latin typeface="Cambria Math" panose="02040503050406030204" pitchFamily="18" charset="0"/>
                      <a:cs typeface="Arial" pitchFamily="34" charset="0"/>
                    </a:rPr>
                    <a:t>𝑅</a:t>
                  </a:r>
                  <a:endParaRPr lang="en-US" sz="1200">
                    <a:latin typeface="Arial" pitchFamily="34" charset="0"/>
                    <a:cs typeface="Arial" pitchFamily="34" charset="0"/>
                  </a:endParaRP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8" name="TextBox 14">
                  <a:extLst>
                    <a:ext uri="{FF2B5EF4-FFF2-40B4-BE49-F238E27FC236}">
                      <a16:creationId xmlns:a16="http://schemas.microsoft.com/office/drawing/2014/main" id="{00000000-0008-0000-0000-000012000000}"/>
                    </a:ext>
                  </a:extLst>
                </xdr:cNvPr>
                <xdr:cNvSpPr txBox="1"/>
              </xdr:nvSpPr>
              <xdr:spPr>
                <a:xfrm>
                  <a:off x="1380903" y="2288337"/>
                  <a:ext cx="281103" cy="215982"/>
                </a:xfrm>
                <a:prstGeom prst="rect">
                  <a:avLst/>
                </a:prstGeom>
                <a:noFill/>
              </xdr:spPr>
              <xdr:txBody>
                <a:bodyPr wrap="square" lIns="0" tIns="0" rIns="0" bIns="0" rtlCol="0">
                  <a:spAutoFit/>
                </a:bodyPr>
                <a:lstStyle>
                  <a:defPPr>
                    <a:defRPr lang="en-US"/>
                  </a:defPPr>
                  <a:lvl1pPr marL="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609585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121917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82875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243833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304792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365750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4267093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4876678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r>
                          <a:rPr lang="en-US" sz="12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𝐶</m:t>
                        </m:r>
                      </m:oMath>
                    </m:oMathPara>
                  </a14:m>
                  <a:endParaRPr lang="en-US" sz="1200">
                    <a:latin typeface="Arial" pitchFamily="34" charset="0"/>
                    <a:cs typeface="Arial" pitchFamily="34" charset="0"/>
                  </a:endParaRPr>
                </a:p>
              </xdr:txBody>
            </xdr:sp>
          </mc:Choice>
          <mc:Fallback xmlns="">
            <xdr:sp macro="" textlink="">
              <xdr:nvSpPr>
                <xdr:cNvPr id="18" name="TextBox 14">
                  <a:extLst>
                    <a:ext uri="{FF2B5EF4-FFF2-40B4-BE49-F238E27FC236}">
                      <a16:creationId xmlns:a16="http://schemas.microsoft.com/office/drawing/2014/main" id="{00000000-0008-0000-0000-000012000000}"/>
                    </a:ext>
                  </a:extLst>
                </xdr:cNvPr>
                <xdr:cNvSpPr txBox="1"/>
              </xdr:nvSpPr>
              <xdr:spPr>
                <a:xfrm>
                  <a:off x="1380903" y="2288337"/>
                  <a:ext cx="281103" cy="215982"/>
                </a:xfrm>
                <a:prstGeom prst="rect">
                  <a:avLst/>
                </a:prstGeom>
                <a:noFill/>
              </xdr:spPr>
              <xdr:txBody>
                <a:bodyPr wrap="square" lIns="0" tIns="0" rIns="0" bIns="0" rtlCol="0">
                  <a:spAutoFit/>
                </a:bodyPr>
                <a:lstStyle>
                  <a:defPPr>
                    <a:defRPr lang="en-US"/>
                  </a:defPPr>
                  <a:lvl1pPr marL="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609585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121917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82875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243833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304792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365750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4267093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4876678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US" sz="1200" b="0" i="0">
                      <a:latin typeface="Cambria Math" panose="02040503050406030204" pitchFamily="18" charset="0"/>
                      <a:cs typeface="Arial" pitchFamily="34" charset="0"/>
                    </a:rPr>
                    <a:t>𝐶</a:t>
                  </a:r>
                  <a:endParaRPr lang="en-US" sz="1200">
                    <a:latin typeface="Arial" pitchFamily="34" charset="0"/>
                    <a:cs typeface="Arial" pitchFamily="34" charset="0"/>
                  </a:endParaRP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19" name="TextBox 17">
                  <a:extLst>
                    <a:ext uri="{FF2B5EF4-FFF2-40B4-BE49-F238E27FC236}">
                      <a16:creationId xmlns:a16="http://schemas.microsoft.com/office/drawing/2014/main" id="{00000000-0008-0000-0000-000013000000}"/>
                    </a:ext>
                  </a:extLst>
                </xdr:cNvPr>
                <xdr:cNvSpPr txBox="1"/>
              </xdr:nvSpPr>
              <xdr:spPr>
                <a:xfrm>
                  <a:off x="497417" y="2298518"/>
                  <a:ext cx="247697" cy="215982"/>
                </a:xfrm>
                <a:prstGeom prst="rect">
                  <a:avLst/>
                </a:prstGeom>
                <a:noFill/>
              </xdr:spPr>
              <xdr:txBody>
                <a:bodyPr wrap="square" lIns="0" tIns="0" rIns="0" bIns="0" rtlCol="0">
                  <a:spAutoFit/>
                </a:bodyPr>
                <a:lstStyle>
                  <a:defPPr>
                    <a:defRPr lang="en-US"/>
                  </a:defPPr>
                  <a:lvl1pPr marL="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609585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121917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82875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243833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304792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365750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4267093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4876678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𝐼𝑁</m:t>
                            </m:r>
                          </m:sub>
                        </m:sSub>
                      </m:oMath>
                    </m:oMathPara>
                  </a14:m>
                  <a:endParaRPr lang="en-US" sz="1200">
                    <a:latin typeface="Arial" pitchFamily="34" charset="0"/>
                    <a:cs typeface="Arial" pitchFamily="34" charset="0"/>
                  </a:endParaRPr>
                </a:p>
              </xdr:txBody>
            </xdr:sp>
          </mc:Choice>
          <mc:Fallback xmlns="">
            <xdr:sp macro="" textlink="">
              <xdr:nvSpPr>
                <xdr:cNvPr id="19" name="TextBox 17">
                  <a:extLst>
                    <a:ext uri="{FF2B5EF4-FFF2-40B4-BE49-F238E27FC236}">
                      <a16:creationId xmlns:a16="http://schemas.microsoft.com/office/drawing/2014/main" id="{00000000-0008-0000-0000-000013000000}"/>
                    </a:ext>
                  </a:extLst>
                </xdr:cNvPr>
                <xdr:cNvSpPr txBox="1"/>
              </xdr:nvSpPr>
              <xdr:spPr>
                <a:xfrm>
                  <a:off x="497417" y="2298518"/>
                  <a:ext cx="247697" cy="215982"/>
                </a:xfrm>
                <a:prstGeom prst="rect">
                  <a:avLst/>
                </a:prstGeom>
                <a:noFill/>
              </xdr:spPr>
              <xdr:txBody>
                <a:bodyPr wrap="square" lIns="0" tIns="0" rIns="0" bIns="0" rtlCol="0">
                  <a:spAutoFit/>
                </a:bodyPr>
                <a:lstStyle>
                  <a:defPPr>
                    <a:defRPr lang="en-US"/>
                  </a:defPPr>
                  <a:lvl1pPr marL="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609585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121917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82875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243833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304792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365750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4267093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4876678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US" sz="1200" b="0" i="0">
                      <a:latin typeface="Cambria Math" panose="02040503050406030204" pitchFamily="18" charset="0"/>
                      <a:cs typeface="Arial" pitchFamily="34" charset="0"/>
                    </a:rPr>
                    <a:t>𝑉_𝐼𝑁</a:t>
                  </a:r>
                  <a:endParaRPr lang="en-US" sz="1200">
                    <a:latin typeface="Arial" pitchFamily="34" charset="0"/>
                    <a:cs typeface="Arial" pitchFamily="34" charset="0"/>
                  </a:endParaRPr>
                </a:p>
              </xdr:txBody>
            </xdr:sp>
          </mc:Fallback>
        </mc:AlternateContent>
        <mc:AlternateContent xmlns:mc="http://schemas.openxmlformats.org/markup-compatibility/2006" xmlns:a14="http://schemas.microsoft.com/office/drawing/2010/main">
          <mc:Choice Requires="a14">
            <xdr:sp macro="" textlink="">
              <xdr:nvSpPr>
                <xdr:cNvPr id="20" name="TextBox 20">
                  <a:extLst>
                    <a:ext uri="{FF2B5EF4-FFF2-40B4-BE49-F238E27FC236}">
                      <a16:creationId xmlns:a16="http://schemas.microsoft.com/office/drawing/2014/main" id="{00000000-0008-0000-0000-000014000000}"/>
                    </a:ext>
                  </a:extLst>
                </xdr:cNvPr>
                <xdr:cNvSpPr txBox="1"/>
              </xdr:nvSpPr>
              <xdr:spPr>
                <a:xfrm>
                  <a:off x="2185031" y="2319059"/>
                  <a:ext cx="256544" cy="215982"/>
                </a:xfrm>
                <a:prstGeom prst="rect">
                  <a:avLst/>
                </a:prstGeom>
                <a:noFill/>
              </xdr:spPr>
              <xdr:txBody>
                <a:bodyPr wrap="square" lIns="0" tIns="0" rIns="0" bIns="0" rtlCol="0">
                  <a:spAutoFit/>
                </a:bodyPr>
                <a:lstStyle>
                  <a:defPPr>
                    <a:defRPr lang="en-US"/>
                  </a:defPPr>
                  <a:lvl1pPr marL="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609585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121917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82875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243833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304792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365750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4267093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4876678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14:m>
                    <m:oMathPara xmlns:m="http://schemas.openxmlformats.org/officeDocument/2006/math">
                      <m:oMathParaPr>
                        <m:jc m:val="centerGroup"/>
                      </m:oMathParaPr>
                      <m:oMath xmlns:m="http://schemas.openxmlformats.org/officeDocument/2006/math"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𝑂𝑈𝑇</m:t>
                            </m:r>
                          </m:sub>
                        </m:sSub>
                      </m:oMath>
                    </m:oMathPara>
                  </a14:m>
                  <a:endParaRPr lang="en-US" sz="1200">
                    <a:latin typeface="Arial" pitchFamily="34" charset="0"/>
                    <a:cs typeface="Arial" pitchFamily="34" charset="0"/>
                  </a:endParaRPr>
                </a:p>
              </xdr:txBody>
            </xdr:sp>
          </mc:Choice>
          <mc:Fallback xmlns="">
            <xdr:sp macro="" textlink="">
              <xdr:nvSpPr>
                <xdr:cNvPr id="20" name="TextBox 20">
                  <a:extLst>
                    <a:ext uri="{FF2B5EF4-FFF2-40B4-BE49-F238E27FC236}">
                      <a16:creationId xmlns:a16="http://schemas.microsoft.com/office/drawing/2014/main" id="{00000000-0008-0000-0000-000014000000}"/>
                    </a:ext>
                  </a:extLst>
                </xdr:cNvPr>
                <xdr:cNvSpPr txBox="1"/>
              </xdr:nvSpPr>
              <xdr:spPr>
                <a:xfrm>
                  <a:off x="2185031" y="2319059"/>
                  <a:ext cx="256544" cy="215982"/>
                </a:xfrm>
                <a:prstGeom prst="rect">
                  <a:avLst/>
                </a:prstGeom>
                <a:noFill/>
              </xdr:spPr>
              <xdr:txBody>
                <a:bodyPr wrap="square" lIns="0" tIns="0" rIns="0" bIns="0" rtlCol="0">
                  <a:spAutoFit/>
                </a:bodyPr>
                <a:lstStyle>
                  <a:defPPr>
                    <a:defRPr lang="en-US"/>
                  </a:defPPr>
                  <a:lvl1pPr marL="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609585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1219170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82875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243833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3047924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3657509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4267093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4876678" algn="l" defTabSz="1219170" rtl="0" eaLnBrk="1" latinLnBrk="0" hangingPunct="1">
                    <a:defRPr sz="24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/>
                  <a:r>
                    <a:rPr lang="en-US" sz="1200" b="0" i="0">
                      <a:latin typeface="Cambria Math" panose="02040503050406030204" pitchFamily="18" charset="0"/>
                      <a:cs typeface="Arial" pitchFamily="34" charset="0"/>
                    </a:rPr>
                    <a:t>𝑉_𝑂𝑈𝑇</a:t>
                  </a:r>
                  <a:endParaRPr lang="en-US" sz="1200">
                    <a:latin typeface="Arial" pitchFamily="34" charset="0"/>
                    <a:cs typeface="Arial" pitchFamily="34" charset="0"/>
                  </a:endParaRPr>
                </a:p>
              </xdr:txBody>
            </xdr:sp>
          </mc:Fallback>
        </mc:AlternateContent>
      </xdr:grpSp>
    </xdr:grpSp>
    <xdr:clientData/>
  </xdr:twoCellAnchor>
  <xdr:twoCellAnchor>
    <xdr:from>
      <xdr:col>0</xdr:col>
      <xdr:colOff>491316</xdr:colOff>
      <xdr:row>16</xdr:row>
      <xdr:rowOff>172509</xdr:rowOff>
    </xdr:from>
    <xdr:to>
      <xdr:col>1</xdr:col>
      <xdr:colOff>454691</xdr:colOff>
      <xdr:row>18</xdr:row>
      <xdr:rowOff>71445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491316" y="3525309"/>
              <a:ext cx="1344500" cy="31803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𝑓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𝐶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 pitchFamily="34" charset="0"/>
                          </a:rPr>
                          <m:t>𝜋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 pitchFamily="34" charset="0"/>
                          </a:rPr>
                          <m:t>𝑅𝐶</m:t>
                        </m:r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1" name="TextBox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491316" y="3525309"/>
              <a:ext cx="1344500" cy="318036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𝑓_𝐶=1/2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𝜋𝑅𝐶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247650</xdr:colOff>
      <xdr:row>14</xdr:row>
      <xdr:rowOff>61385</xdr:rowOff>
    </xdr:from>
    <xdr:to>
      <xdr:col>1</xdr:col>
      <xdr:colOff>787400</xdr:colOff>
      <xdr:row>15</xdr:row>
      <xdr:rowOff>198405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247650" y="2995085"/>
              <a:ext cx="1920875" cy="34657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𝑜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𝑠𝑅𝐶</m:t>
                        </m:r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247650" y="2995085"/>
              <a:ext cx="1920875" cy="34657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𝑒_𝑜/𝑒_𝑖 =1/(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1+𝑠𝑅𝐶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)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438150</xdr:colOff>
      <xdr:row>4</xdr:row>
      <xdr:rowOff>160183</xdr:rowOff>
    </xdr:from>
    <xdr:to>
      <xdr:col>0</xdr:col>
      <xdr:colOff>1238250</xdr:colOff>
      <xdr:row>6</xdr:row>
      <xdr:rowOff>73033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21">
              <a:extLst>
                <a:ext uri="{FF2B5EF4-FFF2-40B4-BE49-F238E27FC236}">
                  <a16:creationId xmlns:a16="http://schemas.microsoft.com/office/drawing/2014/main" id="{15F16D59-6B41-1369-D08A-D2D2DE82BBB3}"/>
                </a:ext>
              </a:extLst>
            </xdr:cNvPr>
            <xdr:cNvSpPr txBox="1"/>
          </xdr:nvSpPr>
          <xdr:spPr>
            <a:xfrm>
              <a:off x="438150" y="998383"/>
              <a:ext cx="800100" cy="3319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050" b="0" i="1">
                        <a:latin typeface="Cambria Math" panose="02040503050406030204" pitchFamily="18" charset="0"/>
                        <a:cs typeface="Arial" pitchFamily="34" charset="0"/>
                      </a:rPr>
                      <m:t>𝑅</m:t>
                    </m:r>
                    <m:r>
                      <a:rPr lang="en-US" sz="105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05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r>
                          <a:rPr lang="en-US" sz="105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</m:t>
                        </m:r>
                      </m:num>
                      <m:den>
                        <m:r>
                          <a:rPr lang="en-US" sz="105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 pitchFamily="34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05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 pitchFamily="34" charset="0"/>
                          </a:rPr>
                          <m:t>𝐶</m:t>
                        </m:r>
                      </m:den>
                    </m:f>
                  </m:oMath>
                </m:oMathPara>
              </a14:m>
              <a:endParaRPr lang="en-US" sz="105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" name="TextBox 21">
              <a:extLst>
                <a:ext uri="{FF2B5EF4-FFF2-40B4-BE49-F238E27FC236}">
                  <a16:creationId xmlns:a16="http://schemas.microsoft.com/office/drawing/2014/main" id="{15F16D59-6B41-1369-D08A-D2D2DE82BBB3}"/>
                </a:ext>
              </a:extLst>
            </xdr:cNvPr>
            <xdr:cNvSpPr txBox="1"/>
          </xdr:nvSpPr>
          <xdr:spPr>
            <a:xfrm>
              <a:off x="438150" y="998383"/>
              <a:ext cx="800100" cy="3319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050" b="0" i="0">
                  <a:latin typeface="Cambria Math" panose="02040503050406030204" pitchFamily="18" charset="0"/>
                  <a:cs typeface="Arial" pitchFamily="34" charset="0"/>
                </a:rPr>
                <a:t>𝑅=1/(2</a:t>
              </a:r>
              <a:r>
                <a:rPr lang="en-US" sz="1050" b="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𝜋𝑓_𝑐 𝐶)</a:t>
              </a:r>
              <a:endParaRPr lang="en-US" sz="105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3</xdr:col>
      <xdr:colOff>100012</xdr:colOff>
      <xdr:row>1</xdr:row>
      <xdr:rowOff>109537</xdr:rowOff>
    </xdr:from>
    <xdr:to>
      <xdr:col>5</xdr:col>
      <xdr:colOff>538162</xdr:colOff>
      <xdr:row>14</xdr:row>
      <xdr:rowOff>128587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7620D63-A6E1-F137-13EC-DB03E8707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100012</xdr:colOff>
      <xdr:row>14</xdr:row>
      <xdr:rowOff>204787</xdr:rowOff>
    </xdr:from>
    <xdr:to>
      <xdr:col>5</xdr:col>
      <xdr:colOff>538162</xdr:colOff>
      <xdr:row>28</xdr:row>
      <xdr:rowOff>14287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36D9821-8DBD-2926-E9D4-8D46C18EEC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rry.DESKTOP-78893LF\AppData\Roaming\Microsoft\AddIns\Engineering%20Workbook%20Custom%20Function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eseries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E7AC24-7EDF-48E0-88E6-4EF04C039F74}" name="Table3" displayName="Table3" ref="G1:L202" totalsRowShown="0" headerRowDxfId="5">
  <autoFilter ref="G1:L202" xr:uid="{0CE7AC24-7EDF-48E0-88E6-4EF04C039F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ED90CD0-AF13-4750-88E0-98E27F481826}" name="Decade"/>
    <tableColumn id="2" xr3:uid="{AA7344BB-BF07-4F19-84EF-76EFA05C1149}" name="f" dataDxfId="4">
      <calculatedColumnFormula>_fc*10^Table3[[#This Row],[Decade]]</calculatedColumnFormula>
    </tableColumn>
    <tableColumn id="3" xr3:uid="{CBCDD446-1043-4473-B497-381FEE0BC0F0}" name="s" dataDxfId="3">
      <calculatedColumnFormula>COMPLEX(0,2*PI()*Table3[[#This Row],[f]],"j")</calculatedColumnFormula>
    </tableColumn>
    <tableColumn id="4" xr3:uid="{4E5DF99B-06E0-4195-9D67-9BD19AC66980}" name="H(s)" dataDxfId="2">
      <calculatedColumnFormula>IMDIV(1,
 IMSUM(1,
 IMPRODUCT(Table3[[#This Row],[s]],_R,_C)))</calculatedColumnFormula>
    </tableColumn>
    <tableColumn id="5" xr3:uid="{D0953C39-577C-4976-99A2-13787AF2E5AA}" name="Mag (dB)" dataDxfId="1">
      <calculatedColumnFormula>20*LOG(IMABS(Table3[[#This Row],[H(s)]]))</calculatedColumnFormula>
    </tableColumn>
    <tableColumn id="6" xr3:uid="{0B052C7C-E956-40CE-8497-612295C11F79}" name="Phase (Φ)" dataDxfId="0">
      <calculatedColumnFormula>DEGREES(IMARGUMENT(Table3[[#This Row],[H(s)]]))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76E0-45D5-44B7-9F39-332462049498}">
  <sheetPr codeName="Sheet4"/>
  <dimension ref="A1:L202"/>
  <sheetViews>
    <sheetView showGridLines="0" tabSelected="1" zoomScaleNormal="100" workbookViewId="0">
      <selection activeCell="B3" sqref="B3"/>
    </sheetView>
  </sheetViews>
  <sheetFormatPr defaultRowHeight="16.5" customHeight="1" x14ac:dyDescent="0.25"/>
  <cols>
    <col min="1" max="1" width="20.7109375" customWidth="1"/>
    <col min="2" max="2" width="15" customWidth="1"/>
    <col min="3" max="3" width="5.7109375" customWidth="1"/>
    <col min="4" max="4" width="72.5703125" customWidth="1"/>
    <col min="7" max="7" width="9.7109375" customWidth="1"/>
    <col min="9" max="9" width="17.42578125" bestFit="1" customWidth="1"/>
    <col min="10" max="10" width="40.42578125" bestFit="1" customWidth="1"/>
  </cols>
  <sheetData>
    <row r="1" spans="1:12" ht="16.5" customHeight="1" x14ac:dyDescent="0.25">
      <c r="A1" s="1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</row>
    <row r="2" spans="1:12" ht="16.5" customHeight="1" x14ac:dyDescent="0.25">
      <c r="B2" s="2" t="s">
        <v>0</v>
      </c>
      <c r="G2">
        <v>-2</v>
      </c>
      <c r="H2">
        <f>_fc*10^Table3[[#This Row],[Decade]]</f>
        <v>10</v>
      </c>
      <c r="I2" t="str">
        <f>COMPLEX(0,2*PI()*Table3[[#This Row],[f]],"j")</f>
        <v>62.8318530717959j</v>
      </c>
      <c r="J2" t="str">
        <f>IMDIV(1,
 IMSUM(1,
 IMPRODUCT(Table3[[#This Row],[s]],_R,_C)))</f>
        <v>0.999901455790211-0.00992645449432468j</v>
      </c>
      <c r="K2" s="11">
        <f>20*LOG(IMABS(Table3[[#This Row],[H(s)]]))</f>
        <v>-4.2799315381736243E-4</v>
      </c>
      <c r="L2" s="11">
        <f>DEGREES(IMARGUMENT(Table3[[#This Row],[H(s)]]))</f>
        <v>-0.56878131528130316</v>
      </c>
    </row>
    <row r="3" spans="1:12" ht="16.5" customHeight="1" x14ac:dyDescent="0.35">
      <c r="A3" s="4" t="s">
        <v>1</v>
      </c>
      <c r="B3" s="3">
        <v>1000</v>
      </c>
      <c r="C3" t="s">
        <v>2</v>
      </c>
      <c r="G3">
        <v>-1.98</v>
      </c>
      <c r="H3">
        <f>_fc*10^Table3[[#This Row],[Decade]]</f>
        <v>10.471285480508989</v>
      </c>
      <c r="I3" t="str">
        <f>COMPLEX(0,2*PI()*Table3[[#This Row],[f]],"j")</f>
        <v>65.793027078417j</v>
      </c>
      <c r="J3" t="str">
        <f>IMDIV(1,
 IMSUM(1,
 IMPRODUCT(Table3[[#This Row],[s]],_R,_C)))</f>
        <v>0.999891949449886-0.0103941750606923j</v>
      </c>
      <c r="K3" s="11">
        <f>20*LOG(IMABS(Table3[[#This Row],[H(s)]]))</f>
        <v>-4.692829304075074E-4</v>
      </c>
      <c r="L3" s="11">
        <f>DEGREES(IMARGUMENT(Table3[[#This Row],[H(s)]]))</f>
        <v>-0.59558526532629019</v>
      </c>
    </row>
    <row r="4" spans="1:12" ht="16.5" customHeight="1" x14ac:dyDescent="0.25">
      <c r="A4" s="5" t="s">
        <v>6</v>
      </c>
      <c r="B4" s="9">
        <v>1E-8</v>
      </c>
      <c r="C4" t="s">
        <v>3</v>
      </c>
      <c r="G4">
        <v>-1.96</v>
      </c>
      <c r="H4">
        <f>_fc*10^Table3[[#This Row],[Decade]]</f>
        <v>10.96478196143185</v>
      </c>
      <c r="I4" t="str">
        <f>COMPLEX(0,2*PI()*Table3[[#This Row],[f]],"j")</f>
        <v>68.8937569164964j</v>
      </c>
      <c r="J4" t="str">
        <f>IMDIV(1,
 IMSUM(1,
 IMPRODUCT(Table3[[#This Row],[s]],_R,_C)))</f>
        <v>0.999881526162752-0.0108839239797828j</v>
      </c>
      <c r="K4" s="11">
        <f>20*LOG(IMABS(Table3[[#This Row],[H(s)]]))</f>
        <v>-5.1455581897021357E-4</v>
      </c>
      <c r="L4" s="11">
        <f>DEGREES(IMARGUMENT(Table3[[#This Row],[H(s)]]))</f>
        <v>-0.623652167004483</v>
      </c>
    </row>
    <row r="5" spans="1:12" ht="16.5" customHeight="1" x14ac:dyDescent="0.25">
      <c r="A5" s="4"/>
      <c r="B5" s="2" t="s">
        <v>5</v>
      </c>
      <c r="G5">
        <v>-1.94</v>
      </c>
      <c r="H5">
        <f>_fc*10^Table3[[#This Row],[Decade]]</f>
        <v>11.481536214968827</v>
      </c>
      <c r="I5" t="str">
        <f>COMPLEX(0,2*PI()*Table3[[#This Row],[f]],"j")</f>
        <v>72.1406196497424j</v>
      </c>
      <c r="J5" t="str">
        <f>IMDIV(1,
 IMSUM(1,
 IMPRODUCT(Table3[[#This Row],[s]],_R,_C)))</f>
        <v>0.999870097505448-0.01139673724772j</v>
      </c>
      <c r="K5" s="11">
        <f>20*LOG(IMABS(Table3[[#This Row],[H(s)]]))</f>
        <v>-5.6419601172406398E-4</v>
      </c>
      <c r="L5" s="11">
        <f>DEGREES(IMARGUMENT(Table3[[#This Row],[H(s)]]))</f>
        <v>-0.6530414999734292</v>
      </c>
    </row>
    <row r="6" spans="1:12" ht="16.5" customHeight="1" x14ac:dyDescent="0.25">
      <c r="A6" s="4" t="s">
        <v>7</v>
      </c>
      <c r="B6" s="10" cm="1">
        <f t="array" ref="B6">[1]!eseries(1/(2*PI()*_fc*_C))</f>
        <v>15800</v>
      </c>
      <c r="C6" s="7" t="s">
        <v>4</v>
      </c>
      <c r="G6">
        <v>-1.92</v>
      </c>
      <c r="H6">
        <f>_fc*10^Table3[[#This Row],[Decade]]</f>
        <v>12.022644346174125</v>
      </c>
      <c r="I6" t="str">
        <f>COMPLEX(0,2*PI()*Table3[[#This Row],[f]],"j")</f>
        <v>75.540502309327j</v>
      </c>
      <c r="J6" t="str">
        <f>IMDIV(1,
 IMSUM(1,
 IMPRODUCT(Table3[[#This Row],[s]],_R,_C)))</f>
        <v>0.999857566532184-0.0119336993645524j</v>
      </c>
      <c r="K6" s="11">
        <f>20*LOG(IMABS(Table3[[#This Row],[H(s)]]))</f>
        <v>-6.1862474858635568E-4</v>
      </c>
      <c r="L6" s="11">
        <f>DEGREES(IMARGUMENT(Table3[[#This Row],[H(s)]]))</f>
        <v>-0.6838155409459189</v>
      </c>
    </row>
    <row r="7" spans="1:12" ht="16.5" customHeight="1" x14ac:dyDescent="0.25">
      <c r="G7">
        <v>-1.9</v>
      </c>
      <c r="H7">
        <f>_fc*10^Table3[[#This Row],[Decade]]</f>
        <v>12.589254117941664</v>
      </c>
      <c r="I7" t="str">
        <f>COMPLEX(0,2*PI()*Table3[[#This Row],[f]],"j")</f>
        <v>79.1006165022012j</v>
      </c>
      <c r="J7" t="str">
        <f>IMDIV(1,
 IMSUM(1,
 IMPRODUCT(Table3[[#This Row],[s]],_R,_C)))</f>
        <v>0.999843826954225-0.0124959455726439j</v>
      </c>
      <c r="K7" s="11">
        <f>20*LOG(IMABS(Table3[[#This Row],[H(s)]]))</f>
        <v>-6.7830388779320776E-4</v>
      </c>
      <c r="L7" s="11">
        <f>DEGREES(IMARGUMENT(Table3[[#This Row],[H(s)]]))</f>
        <v>-0.71603949460268412</v>
      </c>
    </row>
    <row r="8" spans="1:12" ht="16.5" customHeight="1" x14ac:dyDescent="0.25">
      <c r="G8">
        <v>-1.88</v>
      </c>
      <c r="H8">
        <f>_fc*10^Table3[[#This Row],[Decade]]</f>
        <v>13.182567385564075</v>
      </c>
      <c r="I8" t="str">
        <f>COMPLEX(0,2*PI()*Table3[[#This Row],[f]],"j")</f>
        <v>82.828513707881j</v>
      </c>
      <c r="J8" t="str">
        <f>IMDIV(1,
 IMSUM(1,
 IMPRODUCT(Table3[[#This Row],[s]],_R,_C)))</f>
        <v>0.999828762240572-0.0130846641935268j</v>
      </c>
      <c r="K8" s="11">
        <f>20*LOG(IMABS(Table3[[#This Row],[H(s)]]))</f>
        <v>-7.4373982011869235E-4</v>
      </c>
      <c r="L8" s="11">
        <f>DEGREES(IMARGUMENT(Table3[[#This Row],[H(s)]]))</f>
        <v>-0.74978163054043223</v>
      </c>
    </row>
    <row r="9" spans="1:12" ht="16.5" customHeight="1" x14ac:dyDescent="0.25">
      <c r="C9" s="6"/>
      <c r="G9">
        <v>-1.8599999999999999</v>
      </c>
      <c r="H9">
        <f>_fc*10^Table3[[#This Row],[Decade]]</f>
        <v>13.803842646028848</v>
      </c>
      <c r="I9" t="str">
        <f>COMPLEX(0,2*PI()*Table3[[#This Row],[f]],"j")</f>
        <v>86.7321012961474j</v>
      </c>
      <c r="J9" t="str">
        <f>IMDIV(1,
 IMSUM(1,
 IMPRODUCT(Table3[[#This Row],[s]],_R,_C)))</f>
        <v>0.999812244632283-0.013701099066815j</v>
      </c>
      <c r="K9" s="11">
        <f>20*LOG(IMABS(Table3[[#This Row],[H(s)]]))</f>
        <v>-8.1548775997101835E-4</v>
      </c>
      <c r="L9" s="11">
        <f>DEGREES(IMARGUMENT(Table3[[#This Row],[H(s)]]))</f>
        <v>-0.78511342651958116</v>
      </c>
    </row>
    <row r="10" spans="1:12" ht="16.5" customHeight="1" x14ac:dyDescent="0.25">
      <c r="G10">
        <v>-1.84</v>
      </c>
      <c r="H10">
        <f>_fc*10^Table3[[#This Row],[Decade]]</f>
        <v>14.454397707459272</v>
      </c>
      <c r="I10" t="str">
        <f>COMPLEX(0,2*PI()*Table3[[#This Row],[f]],"j")</f>
        <v>90.8196592996384j</v>
      </c>
      <c r="J10" t="str">
        <f>IMDIV(1,
 IMSUM(1,
 IMPRODUCT(Table3[[#This Row],[s]],_R,_C)))</f>
        <v>0.999794134062207-0.0143465520947985j</v>
      </c>
      <c r="K10" s="11">
        <f>20*LOG(IMABS(Table3[[#This Row],[H(s)]]))</f>
        <v>-8.9415644928844066E-4</v>
      </c>
      <c r="L10" s="11">
        <f>DEGREES(IMARGUMENT(Table3[[#This Row],[H(s)]]))</f>
        <v>-0.82210971828594614</v>
      </c>
    </row>
    <row r="11" spans="1:12" ht="16.5" customHeight="1" x14ac:dyDescent="0.25">
      <c r="G11">
        <v>-1.82</v>
      </c>
      <c r="H11">
        <f>_fc*10^Table3[[#This Row],[Decade]]</f>
        <v>15.135612484362076</v>
      </c>
      <c r="I11" t="str">
        <f>COMPLEX(0,2*PI()*Table3[[#This Row],[f]],"j")</f>
        <v>95.0998579769077j</v>
      </c>
      <c r="J11" t="str">
        <f>IMDIV(1,
 IMSUM(1,
 IMPRODUCT(Table3[[#This Row],[s]],_R,_C)))</f>
        <v>0.999774276971096-0.0150223858963288j</v>
      </c>
      <c r="K11" s="11">
        <f>20*LOG(IMABS(Table3[[#This Row],[H(s)]]))</f>
        <v>-9.8041331400974341E-4</v>
      </c>
      <c r="L11" s="11">
        <f>DEGREES(IMARGUMENT(Table3[[#This Row],[H(s)]]))</f>
        <v>-0.86084885624984242</v>
      </c>
    </row>
    <row r="12" spans="1:12" ht="16.5" customHeight="1" x14ac:dyDescent="0.25">
      <c r="A12" s="4"/>
      <c r="C12" s="6"/>
      <c r="G12">
        <v>-1.8</v>
      </c>
      <c r="H12">
        <f>_fc*10^Table3[[#This Row],[Decade]]</f>
        <v>15.848931924611124</v>
      </c>
      <c r="I12" t="str">
        <f>COMPLEX(0,2*PI()*Table3[[#This Row],[f]],"j")</f>
        <v>99.5817762032061j</v>
      </c>
      <c r="J12" t="str">
        <f>IMDIV(1,
 IMSUM(1,
 IMPRODUCT(Table3[[#This Row],[s]],_R,_C)))</f>
        <v>0.999752505010225-0.0157300265735787j</v>
      </c>
      <c r="K12" s="11">
        <f>20*LOG(IMABS(Table3[[#This Row],[H(s)]]))</f>
        <v>-1.0749901163995101E-3</v>
      </c>
      <c r="L12" s="11">
        <f>DEGREES(IMARGUMENT(Table3[[#This Row],[H(s)]]))</f>
        <v>-0.90141286931584663</v>
      </c>
    </row>
    <row r="13" spans="1:12" ht="16.5" customHeight="1" x14ac:dyDescent="0.25">
      <c r="A13" s="4"/>
      <c r="C13" s="7"/>
      <c r="G13">
        <v>-1.78</v>
      </c>
      <c r="H13">
        <f>_fc*10^Table3[[#This Row],[Decade]]</f>
        <v>16.595869074375592</v>
      </c>
      <c r="I13" t="str">
        <f>COMPLEX(0,2*PI()*Table3[[#This Row],[f]],"j")</f>
        <v>104.274920727993j</v>
      </c>
      <c r="J13" t="str">
        <f>IMDIV(1,
 IMSUM(1,
 IMPRODUCT(Table3[[#This Row],[s]],_R,_C)))</f>
        <v>0.999728633619708-0.0164709665951916j</v>
      </c>
      <c r="K13" s="11">
        <f>20*LOG(IMABS(Table3[[#This Row],[H(s)]]))</f>
        <v>-1.1786891508863951E-3</v>
      </c>
      <c r="L13" s="11">
        <f>DEGREES(IMARGUMENT(Table3[[#This Row],[H(s)]]))</f>
        <v>-0.94388763616551441</v>
      </c>
    </row>
    <row r="14" spans="1:12" ht="16.5" customHeight="1" x14ac:dyDescent="0.25">
      <c r="A14" s="4"/>
      <c r="C14" s="7"/>
      <c r="G14">
        <v>-1.76</v>
      </c>
      <c r="H14">
        <f>_fc*10^Table3[[#This Row],[Decade]]</f>
        <v>17.378008287493756</v>
      </c>
      <c r="I14" t="str">
        <f>COMPLEX(0,2*PI()*Table3[[#This Row],[f]],"j")</f>
        <v>109.189246340026j</v>
      </c>
      <c r="J14" t="str">
        <f>IMDIV(1,
 IMSUM(1,
 IMPRODUCT(Table3[[#This Row],[s]],_R,_C)))</f>
        <v>0.999702460470707-0.0172467677992444j</v>
      </c>
      <c r="K14" s="11">
        <f>20*LOG(IMABS(Table3[[#This Row],[H(s)]]))</f>
        <v>-1.2923900352988481E-3</v>
      </c>
      <c r="L14" s="11">
        <f>DEGREES(IMARGUMENT(Table3[[#This Row],[H(s)]]))</f>
        <v>-0.98836306430495846</v>
      </c>
    </row>
    <row r="15" spans="1:12" ht="16.5" customHeight="1" x14ac:dyDescent="0.25">
      <c r="A15" s="4"/>
      <c r="C15" s="7"/>
      <c r="G15">
        <v>-1.74</v>
      </c>
      <c r="H15">
        <f>_fc*10^Table3[[#This Row],[Decade]]</f>
        <v>18.19700858609983</v>
      </c>
      <c r="I15" t="str">
        <f>COMPLEX(0,2*PI()*Table3[[#This Row],[f]],"j")</f>
        <v>114.335176982803j</v>
      </c>
      <c r="J15" t="str">
        <f>IMDIV(1,
 IMSUM(1,
 IMPRODUCT(Table3[[#This Row],[s]],_R,_C)))</f>
        <v>0.999673763758603-0.018059064519296j</v>
      </c>
      <c r="K15" s="11">
        <f>20*LOG(IMABS(Table3[[#This Row],[H(s)]]))</f>
        <v>-1.4170571546252657E-3</v>
      </c>
      <c r="L15" s="11">
        <f>DEGREES(IMARGUMENT(Table3[[#This Row],[H(s)]]))</f>
        <v>-1.0349332771975359</v>
      </c>
    </row>
    <row r="16" spans="1:12" ht="16.5" customHeight="1" x14ac:dyDescent="0.25">
      <c r="A16" s="4"/>
      <c r="C16" s="7"/>
      <c r="G16">
        <v>-1.72</v>
      </c>
      <c r="H16">
        <f>_fc*10^Table3[[#This Row],[Decade]]</f>
        <v>19.054607179632463</v>
      </c>
      <c r="I16" t="str">
        <f>COMPLEX(0,2*PI()*Table3[[#This Row],[f]],"j")</f>
        <v>119.723627865145j</v>
      </c>
      <c r="J16" t="str">
        <f>IMDIV(1,
 IMSUM(1,
 IMPRODUCT(Table3[[#This Row],[s]],_R,_C)))</f>
        <v>0.999642300333-0.0189095668366054j</v>
      </c>
      <c r="K16" s="11">
        <f>20*LOG(IMABS(Table3[[#This Row],[H(s)]]))</f>
        <v>-1.5537478196780518E-3</v>
      </c>
      <c r="L16" s="11">
        <f>DEGREES(IMARGUMENT(Table3[[#This Row],[H(s)]]))</f>
        <v>-1.0836968098106223</v>
      </c>
    </row>
    <row r="17" spans="1:12" ht="16.5" customHeight="1" x14ac:dyDescent="0.25">
      <c r="A17" s="4"/>
      <c r="C17" s="7"/>
      <c r="G17">
        <v>-1.7</v>
      </c>
      <c r="H17">
        <f>_fc*10^Table3[[#This Row],[Decade]]</f>
        <v>19.95262314968879</v>
      </c>
      <c r="I17" t="str">
        <f>COMPLEX(0,2*PI()*Table3[[#This Row],[f]],"j")</f>
        <v>125.366028613816j</v>
      </c>
      <c r="J17" t="str">
        <f>IMDIV(1,
 IMSUM(1,
 IMPRODUCT(Table3[[#This Row],[s]],_R,_C)))</f>
        <v>0.999607803649149-0.0198000639613499j</v>
      </c>
      <c r="K17" s="11">
        <f>20*LOG(IMABS(Table3[[#This Row],[H(s)]]))</f>
        <v>-1.7036212088215211E-3</v>
      </c>
      <c r="L17" s="11">
        <f>DEGREES(IMARGUMENT(Table3[[#This Row],[H(s)]]))</f>
        <v>-1.1347568129132812</v>
      </c>
    </row>
    <row r="18" spans="1:12" ht="16.5" customHeight="1" x14ac:dyDescent="0.25">
      <c r="A18" s="4"/>
      <c r="C18" s="7"/>
      <c r="G18">
        <v>-1.68</v>
      </c>
      <c r="H18">
        <f>_fc*10^Table3[[#This Row],[Decade]]</f>
        <v>20.892961308540386</v>
      </c>
      <c r="I18" t="str">
        <f>COMPLEX(0,2*PI()*Table3[[#This Row],[f]],"j")</f>
        <v>131.274347517293j</v>
      </c>
      <c r="J18" t="str">
        <f>IMDIV(1,
 IMSUM(1,
 IMPRODUCT(Table3[[#This Row],[s]],_R,_C)))</f>
        <v>0.999569981523894-0.0207324277453427j</v>
      </c>
      <c r="K18" s="11">
        <f>20*LOG(IMABS(Table3[[#This Row],[H(s)]]))</f>
        <v>-1.8679481677978771E-3</v>
      </c>
      <c r="L18" s="11">
        <f>DEGREES(IMARGUMENT(Table3[[#This Row],[H(s)]]))</f>
        <v>-1.1882212664683436</v>
      </c>
    </row>
    <row r="19" spans="1:12" ht="16.5" customHeight="1" x14ac:dyDescent="0.25">
      <c r="G19">
        <v>-1.66</v>
      </c>
      <c r="H19">
        <f>_fc*10^Table3[[#This Row],[Decade]]</f>
        <v>21.877616239495524</v>
      </c>
      <c r="I19" t="str">
        <f>COMPLEX(0,2*PI()*Table3[[#This Row],[f]],"j")</f>
        <v>137.461116912112j</v>
      </c>
      <c r="J19" t="str">
        <f>IMDIV(1,
 IMSUM(1,
 IMPRODUCT(Table3[[#This Row],[s]],_R,_C)))</f>
        <v>0.999528513677756-0.0217086163283523j</v>
      </c>
      <c r="K19" s="11">
        <f>20*LOG(IMABS(Table3[[#This Row],[H(s)]]))</f>
        <v>-2.048121949128243E-3</v>
      </c>
      <c r="L19" s="11">
        <f>DEGREES(IMARGUMENT(Table3[[#This Row],[H(s)]]))</f>
        <v>-1.2442032024689818</v>
      </c>
    </row>
    <row r="20" spans="1:12" ht="16.5" customHeight="1" x14ac:dyDescent="0.25">
      <c r="A20" s="7"/>
      <c r="G20">
        <v>-1.6400000000000001</v>
      </c>
      <c r="H20">
        <f>_fc*10^Table3[[#This Row],[Decade]]</f>
        <v>22.908676527677709</v>
      </c>
      <c r="I20" t="str">
        <f>COMPLEX(0,2*PI()*Table3[[#This Row],[f]],"j")</f>
        <v>143.939459765634j</v>
      </c>
      <c r="J20" t="str">
        <f>IMDIV(1,
 IMSUM(1,
 IMPRODUCT(Table3[[#This Row],[s]],_R,_C)))</f>
        <v>0.999483049043023-0.0227306779196175j</v>
      </c>
      <c r="K20" s="11">
        <f>20*LOG(IMABS(Table3[[#This Row],[H(s)]]))</f>
        <v>-2.2456699809412129E-3</v>
      </c>
      <c r="L20" s="11">
        <f>DEGREES(IMARGUMENT(Table3[[#This Row],[H(s)]]))</f>
        <v>-1.3028209375744255</v>
      </c>
    </row>
    <row r="21" spans="1:12" ht="16.5" customHeight="1" x14ac:dyDescent="0.25">
      <c r="A21" s="7"/>
      <c r="G21">
        <v>-1.62</v>
      </c>
      <c r="H21">
        <f>_fc*10^Table3[[#This Row],[Decade]]</f>
        <v>23.988329190194893</v>
      </c>
      <c r="I21" t="str">
        <f>COMPLEX(0,2*PI()*Table3[[#This Row],[f]],"j")</f>
        <v>150.72311751162j</v>
      </c>
      <c r="J21" t="str">
        <f>IMDIV(1,
 IMSUM(1,
 IMPRODUCT(Table3[[#This Row],[s]],_R,_C)))</f>
        <v>0.999433202815923-0.0238007547155402j</v>
      </c>
      <c r="K21" s="11">
        <f>20*LOG(IMABS(Table3[[#This Row],[H(s)]]))</f>
        <v>-2.4622667628997055E-3</v>
      </c>
      <c r="L21" s="11">
        <f>DEGREES(IMARGUMENT(Table3[[#This Row],[H(s)]]))</f>
        <v>-1.3641983159029194</v>
      </c>
    </row>
    <row r="22" spans="1:12" ht="16.5" customHeight="1" x14ac:dyDescent="0.25">
      <c r="G22">
        <v>-1.6</v>
      </c>
      <c r="H22">
        <f>_fc*10^Table3[[#This Row],[Decade]]</f>
        <v>25.118864315095781</v>
      </c>
      <c r="I22" t="str">
        <f>COMPLEX(0,2*PI()*Table3[[#This Row],[f]],"j")</f>
        <v>157.826479197647j</v>
      </c>
      <c r="J22" t="str">
        <f>IMDIV(1,
 IMSUM(1,
 IMPRODUCT(Table3[[#This Row],[s]],_R,_C)))</f>
        <v>0.999378553228952-0.0249210869537986j</v>
      </c>
      <c r="K22" s="11">
        <f>20*LOG(IMABS(Table3[[#This Row],[H(s)]]))</f>
        <v>-2.6997479963779712E-3</v>
      </c>
      <c r="L22" s="11">
        <f>DEGREES(IMARGUMENT(Table3[[#This Row],[H(s)]]))</f>
        <v>-1.4284649623417673</v>
      </c>
    </row>
    <row r="23" spans="1:12" ht="16.5" customHeight="1" x14ac:dyDescent="0.25">
      <c r="A23" s="4"/>
      <c r="G23">
        <v>-1.58</v>
      </c>
      <c r="H23">
        <f>_fc*10^Table3[[#This Row],[Decade]]</f>
        <v>26.302679918953803</v>
      </c>
      <c r="I23" t="str">
        <f>COMPLEX(0,2*PI()*Table3[[#This Row],[f]],"j")</f>
        <v>165.264612006218j</v>
      </c>
      <c r="J23" t="str">
        <f>IMDIV(1,
 IMSUM(1,
 IMPRODUCT(Table3[[#This Row],[s]],_R,_C)))</f>
        <v>0.999318638017265-0.0260940171032358j</v>
      </c>
      <c r="K23" s="11">
        <f>20*LOG(IMABS(Table3[[#This Row],[H(s)]]))</f>
        <v>-2.9601260660446797E-3</v>
      </c>
      <c r="L23" s="11">
        <f>DEGREES(IMARGUMENT(Table3[[#This Row],[H(s)]]))</f>
        <v>-1.4957565467339862</v>
      </c>
    </row>
    <row r="24" spans="1:12" ht="16.5" customHeight="1" x14ac:dyDescent="0.25">
      <c r="A24" s="4"/>
      <c r="G24">
        <v>-1.56</v>
      </c>
      <c r="H24">
        <f>_fc*10^Table3[[#This Row],[Decade]]</f>
        <v>27.542287033381648</v>
      </c>
      <c r="I24" t="str">
        <f>COMPLEX(0,2*PI()*Table3[[#This Row],[f]],"j")</f>
        <v>173.053293214266j</v>
      </c>
      <c r="J24" t="str">
        <f>IMDIV(1,
 IMSUM(1,
 IMPRODUCT(Table3[[#This Row],[s]],_R,_C)))</f>
        <v>0.999252950550722-0.0273219941878061j</v>
      </c>
      <c r="K24" s="11">
        <f>20*LOG(IMABS(Table3[[#This Row],[H(s)]]))</f>
        <v>-3.2456070007626544E-3</v>
      </c>
      <c r="L24" s="11">
        <f>DEGREES(IMARGUMENT(Table3[[#This Row],[H(s)]]))</f>
        <v>-1.5662150592973783</v>
      </c>
    </row>
    <row r="25" spans="1:12" ht="16.5" customHeight="1" x14ac:dyDescent="0.25">
      <c r="A25" s="4"/>
      <c r="G25">
        <v>-1.54</v>
      </c>
      <c r="H25">
        <f>_fc*10^Table3[[#This Row],[Decade]]</f>
        <v>28.840315031266048</v>
      </c>
      <c r="I25" t="str">
        <f>COMPLEX(0,2*PI()*Table3[[#This Row],[f]],"j")</f>
        <v>181.209043658881j</v>
      </c>
      <c r="J25" t="str">
        <f>IMDIV(1,
 IMSUM(1,
 IMPRODUCT(Table3[[#This Row],[s]],_R,_C)))</f>
        <v>0.99918093560066-0.0286075782416163j</v>
      </c>
      <c r="K25" s="11">
        <f>20*LOG(IMABS(Table3[[#This Row],[H(s)]]))</f>
        <v>-3.5586090535869091E-3</v>
      </c>
      <c r="L25" s="11">
        <f>DEGREES(IMARGUMENT(Table3[[#This Row],[H(s)]]))</f>
        <v>-1.6399890976266187</v>
      </c>
    </row>
    <row r="26" spans="1:12" ht="16.5" customHeight="1" x14ac:dyDescent="0.25">
      <c r="A26" s="4"/>
      <c r="G26">
        <v>-1.52</v>
      </c>
      <c r="H26">
        <f>_fc*10^Table3[[#This Row],[Decade]]</f>
        <v>30.199517204020147</v>
      </c>
      <c r="I26" t="str">
        <f>COMPLEX(0,2*PI()*Table3[[#This Row],[f]],"j")</f>
        <v>189.749162780217j</v>
      </c>
      <c r="J26" t="str">
        <f>IMDIV(1,
 IMSUM(1,
 IMPRODUCT(Table3[[#This Row],[s]],_R,_C)))</f>
        <v>0.999101984707721-0.0299534448905942j</v>
      </c>
      <c r="K26" s="11">
        <f>20*LOG(IMABS(Table3[[#This Row],[H(s)]]))</f>
        <v>-3.9017830537669933E-3</v>
      </c>
      <c r="L26" s="11">
        <f>DEGREES(IMARGUMENT(Table3[[#This Row],[H(s)]]))</f>
        <v>-1.7172341656183294</v>
      </c>
    </row>
    <row r="27" spans="1:12" ht="16.5" customHeight="1" x14ac:dyDescent="0.25">
      <c r="A27" s="4"/>
      <c r="G27">
        <v>-1.5</v>
      </c>
      <c r="H27">
        <f>_fc*10^Table3[[#This Row],[Decade]]</f>
        <v>31.622776601683785</v>
      </c>
      <c r="I27" t="str">
        <f>COMPLEX(0,2*PI()*Table3[[#This Row],[f]],"j")</f>
        <v>198.691765315922j</v>
      </c>
      <c r="J27" t="str">
        <f>IMDIV(1,
 IMSUM(1,
 IMPRODUCT(Table3[[#This Row],[s]],_R,_C)))</f>
        <v>0.999015431114174-0.0313623900545757j</v>
      </c>
      <c r="K27" s="11">
        <f>20*LOG(IMABS(Table3[[#This Row],[H(s)]]))</f>
        <v>-4.278034697361063E-3</v>
      </c>
      <c r="L27" s="11">
        <f>DEGREES(IMARGUMENT(Table3[[#This Row],[H(s)]]))</f>
        <v>-1.7981129846457395</v>
      </c>
    </row>
    <row r="28" spans="1:12" ht="16.5" customHeight="1" x14ac:dyDescent="0.25">
      <c r="A28" s="4"/>
      <c r="G28">
        <v>-1.48</v>
      </c>
      <c r="H28">
        <f>_fc*10^Table3[[#This Row],[Decade]]</f>
        <v>33.113112148259106</v>
      </c>
      <c r="I28" t="str">
        <f>COMPLEX(0,2*PI()*Table3[[#This Row],[f]],"j")</f>
        <v>208.055819724931j</v>
      </c>
      <c r="J28" t="str">
        <f>IMDIV(1,
 IMSUM(1,
 IMPRODUCT(Table3[[#This Row],[s]],_R,_C)))</f>
        <v>0.99892054422098-0.0328373347615393j</v>
      </c>
      <c r="K28" s="11">
        <f>20*LOG(IMABS(Table3[[#This Row],[H(s)]]))</f>
        <v>-4.6905489586669836E-3</v>
      </c>
      <c r="L28" s="11">
        <f>DEGREES(IMARGUMENT(Table3[[#This Row],[H(s)]]))</f>
        <v>-1.8827958172901147</v>
      </c>
    </row>
    <row r="29" spans="1:12" ht="16.5" customHeight="1" x14ac:dyDescent="0.25">
      <c r="G29">
        <v>-1.46</v>
      </c>
      <c r="H29">
        <f>_fc*10^Table3[[#This Row],[Decade]]</f>
        <v>34.673685045253158</v>
      </c>
      <c r="I29" t="str">
        <f>COMPLEX(0,2*PI()*Table3[[#This Row],[f]],"j")</f>
        <v>217.861188422107j</v>
      </c>
      <c r="J29" t="str">
        <f>IMDIV(1,
 IMSUM(1,
 IMPRODUCT(Table3[[#This Row],[s]],_R,_C)))</f>
        <v>0.998816523526514-0.0343813300633175j</v>
      </c>
      <c r="K29" s="11">
        <f>20*LOG(IMABS(Table3[[#This Row],[H(s)]]))</f>
        <v>-5.1428168209442177E-3</v>
      </c>
      <c r="L29" s="11">
        <f>DEGREES(IMARGUMENT(Table3[[#This Row],[H(s)]]))</f>
        <v>-1.9714608039113828</v>
      </c>
    </row>
    <row r="30" spans="1:12" ht="16.5" customHeight="1" x14ac:dyDescent="0.25">
      <c r="G30">
        <v>-1.44</v>
      </c>
      <c r="H30">
        <f>_fc*10^Table3[[#This Row],[Decade]]</f>
        <v>36.307805477010135</v>
      </c>
      <c r="I30" t="str">
        <f>COMPLEX(0,2*PI()*Table3[[#This Row],[f]],"j")</f>
        <v>228.128669909085j</v>
      </c>
      <c r="J30" t="str">
        <f>IMDIV(1,
 IMSUM(1,
 IMPRODUCT(Table3[[#This Row],[s]],_R,_C)))</f>
        <v>0.998702492000216-0.0359975620393138j</v>
      </c>
      <c r="K30" s="11">
        <f>20*LOG(IMABS(Table3[[#This Row],[H(s)]]))</f>
        <v>-5.6386645430756364E-3</v>
      </c>
      <c r="L30" s="11">
        <f>DEGREES(IMARGUMENT(Table3[[#This Row],[H(s)]]))</f>
        <v>-2.0642943123085953</v>
      </c>
    </row>
    <row r="31" spans="1:12" ht="16.5" customHeight="1" x14ac:dyDescent="0.25">
      <c r="B31" s="8"/>
      <c r="G31">
        <v>-1.42</v>
      </c>
      <c r="H31">
        <f>_fc*10^Table3[[#This Row],[Decade]]</f>
        <v>38.01893963205611</v>
      </c>
      <c r="I31" t="str">
        <f>COMPLEX(0,2*PI()*Table3[[#This Row],[f]],"j")</f>
        <v>238.880042890683j</v>
      </c>
      <c r="J31" t="str">
        <f>IMDIV(1,
 IMSUM(1,
 IMPRODUCT(Table3[[#This Row],[s]],_R,_C)))</f>
        <v>0.998577488840614-0.0376893568714988j</v>
      </c>
      <c r="K31" s="11">
        <f>20*LOG(IMABS(Table3[[#This Row],[H(s)]]))</f>
        <v>-6.1822856981201754E-3</v>
      </c>
      <c r="L31" s="11">
        <f>DEGREES(IMARGUMENT(Table3[[#This Row],[H(s)]]))</f>
        <v>-2.1614913006811514</v>
      </c>
    </row>
    <row r="32" spans="1:12" ht="16.5" customHeight="1" x14ac:dyDescent="0.25">
      <c r="B32" s="8"/>
      <c r="G32">
        <v>-1.4</v>
      </c>
      <c r="H32">
        <f>_fc*10^Table3[[#This Row],[Decade]]</f>
        <v>39.810717055349727</v>
      </c>
      <c r="I32" t="str">
        <f>COMPLEX(0,2*PI()*Table3[[#This Row],[f]],"j")</f>
        <v>250.138112470457j</v>
      </c>
      <c r="J32" t="str">
        <f>IMDIV(1,
 IMSUM(1,
 IMPRODUCT(Table3[[#This Row],[s]],_R,_C)))</f>
        <v>0.998440461563062-0.0394601859701836j</v>
      </c>
      <c r="K32" s="11">
        <f>20*LOG(IMABS(Table3[[#This Row],[H(s)]]))</f>
        <v>-6.7782762408431048E-3</v>
      </c>
      <c r="L32" s="11">
        <f>DEGREES(IMARGUMENT(Table3[[#This Row],[H(s)]]))</f>
        <v>-2.2632556940527149</v>
      </c>
    </row>
    <row r="33" spans="7:12" ht="16.5" customHeight="1" x14ac:dyDescent="0.25">
      <c r="G33">
        <v>-1.38</v>
      </c>
      <c r="H33">
        <f>_fc*10^Table3[[#This Row],[Decade]]</f>
        <v>41.686938347033532</v>
      </c>
      <c r="I33" t="str">
        <f>COMPLEX(0,2*PI()*Table3[[#This Row],[f]],"j")</f>
        <v>261.926758523382j</v>
      </c>
      <c r="J33" t="str">
        <f>IMDIV(1,
 IMSUM(1,
 IMPRODUCT(Table3[[#This Row],[s]],_R,_C)))</f>
        <v>0.998290257358216-0.0413136711256991j</v>
      </c>
      <c r="K33" s="11">
        <f>20*LOG(IMABS(Table3[[#This Row],[H(s)]]))</f>
        <v>-7.4316728839493498E-3</v>
      </c>
      <c r="L33" s="11">
        <f>DEGREES(IMARGUMENT(Table3[[#This Row],[H(s)]]))</f>
        <v>-2.3698007742599998</v>
      </c>
    </row>
    <row r="34" spans="7:12" ht="16.5" customHeight="1" x14ac:dyDescent="0.25">
      <c r="G34">
        <v>-1.3599999999999999</v>
      </c>
      <c r="H34">
        <f>_fc*10^Table3[[#This Row],[Decade]]</f>
        <v>43.651583224016605</v>
      </c>
      <c r="I34" t="str">
        <f>COMPLEX(0,2*PI()*Table3[[#This Row],[f]],"j")</f>
        <v>274.270986348268j</v>
      </c>
      <c r="J34" t="str">
        <f>IMDIV(1,
 IMSUM(1,
 IMPRODUCT(Table3[[#This Row],[s]],_R,_C)))</f>
        <v>0.998125613657705-0.0432535896560642j</v>
      </c>
      <c r="K34" s="11">
        <f>20*LOG(IMABS(Table3[[#This Row],[H(s)]]))</f>
        <v>-8.1479950872729266E-3</v>
      </c>
      <c r="L34" s="11">
        <f>DEGREES(IMARGUMENT(Table3[[#This Row],[H(s)]]))</f>
        <v>-2.4813495835364709</v>
      </c>
    </row>
    <row r="35" spans="7:12" ht="16.5" customHeight="1" x14ac:dyDescent="0.25">
      <c r="G35">
        <v>-1.3399999999999999</v>
      </c>
      <c r="H35">
        <f>_fc*10^Table3[[#This Row],[Decade]]</f>
        <v>45.708818961487502</v>
      </c>
      <c r="I35" t="str">
        <f>COMPLEX(0,2*PI()*Table3[[#This Row],[f]],"j")</f>
        <v>287.19697970735j</v>
      </c>
      <c r="J35" t="str">
        <f>IMDIV(1,
 IMSUM(1,
 IMPRODUCT(Table3[[#This Row],[s]],_R,_C)))</f>
        <v>0.997945147838674-0.0452838795149138j</v>
      </c>
      <c r="K35" s="11">
        <f>20*LOG(IMABS(Table3[[#This Row],[H(s)]]))</f>
        <v>-8.9332909906310043E-3</v>
      </c>
      <c r="L35" s="11">
        <f>DEGREES(IMARGUMENT(Table3[[#This Row],[H(s)]]))</f>
        <v>-2.5981353416347139</v>
      </c>
    </row>
    <row r="36" spans="7:12" ht="16.5" customHeight="1" x14ac:dyDescent="0.25">
      <c r="G36">
        <v>-1.3199999999999998</v>
      </c>
      <c r="H36">
        <f>_fc*10^Table3[[#This Row],[Decade]]</f>
        <v>47.863009232263835</v>
      </c>
      <c r="I36" t="str">
        <f>COMPLEX(0,2*PI()*Table3[[#This Row],[f]],"j")</f>
        <v>300.732156365561j</v>
      </c>
      <c r="J36" t="str">
        <f>IMDIV(1,
 IMSUM(1,
 IMPRODUCT(Table3[[#This Row],[s]],_R,_C)))</f>
        <v>0.997747345993928-0.0474086443172655j</v>
      </c>
      <c r="K36" s="11">
        <f>20*LOG(IMABS(Table3[[#This Row],[H(s)]]))</f>
        <v>-9.7941876491122373E-3</v>
      </c>
      <c r="L36" s="11">
        <f>DEGREES(IMARGUMENT(Table3[[#This Row],[H(s)]]))</f>
        <v>-2.7204018763280349</v>
      </c>
    </row>
    <row r="37" spans="7:12" ht="16.5" customHeight="1" x14ac:dyDescent="0.25">
      <c r="G37">
        <v>-1.2999999999999998</v>
      </c>
      <c r="H37">
        <f>_fc*10^Table3[[#This Row],[Decade]]</f>
        <v>50.118723362727231</v>
      </c>
      <c r="I37" t="str">
        <f>COMPLEX(0,2*PI()*Table3[[#This Row],[f]],"j")</f>
        <v>314.905226247286j</v>
      </c>
      <c r="J37" t="str">
        <f>IMDIV(1,
 IMSUM(1,
 IMPRODUCT(Table3[[#This Row],[s]],_R,_C)))</f>
        <v>0.997530550689233-0.0496321582330329j</v>
      </c>
      <c r="K37" s="11">
        <f>20*LOG(IMABS(Table3[[#This Row],[H(s)]]))</f>
        <v>-1.0737945960257053E-2</v>
      </c>
      <c r="L37" s="11">
        <f>DEGREES(IMARGUMENT(Table3[[#This Row],[H(s)]]))</f>
        <v>-2.8484040670105215</v>
      </c>
    </row>
    <row r="38" spans="7:12" ht="16.5" customHeight="1" x14ac:dyDescent="0.25">
      <c r="G38">
        <v>-1.28</v>
      </c>
      <c r="H38">
        <f>_fc*10^Table3[[#This Row],[Decade]]</f>
        <v>52.480746024977243</v>
      </c>
      <c r="I38" t="str">
        <f>COMPLEX(0,2*PI()*Table3[[#This Row],[f]],"j")</f>
        <v>329.746252333961j</v>
      </c>
      <c r="J38" t="str">
        <f>IMDIV(1,
 IMSUM(1,
 IMPRODUCT(Table3[[#This Row],[s]],_R,_C)))</f>
        <v>0.997292947624118-0.0519588706893864j</v>
      </c>
      <c r="K38" s="11">
        <f>20*LOG(IMABS(Table3[[#This Row],[H(s)]]))</f>
        <v>-1.1772520704720979E-2</v>
      </c>
      <c r="L38" s="11">
        <f>DEGREES(IMARGUMENT(Table3[[#This Row],[H(s)]]))</f>
        <v>-2.9824083009705946</v>
      </c>
    </row>
    <row r="39" spans="7:12" ht="16.5" customHeight="1" x14ac:dyDescent="0.25">
      <c r="G39">
        <v>-1.26</v>
      </c>
      <c r="H39">
        <f>_fc*10^Table3[[#This Row],[Decade]]</f>
        <v>54.954087385762435</v>
      </c>
      <c r="I39" t="str">
        <f>COMPLEX(0,2*PI()*Table3[[#This Row],[f]],"j")</f>
        <v>345.286714431686j</v>
      </c>
      <c r="J39" t="str">
        <f>IMDIV(1,
 IMSUM(1,
 IMPRODUCT(Table3[[#This Row],[s]],_R,_C)))</f>
        <v>0.997032551107195-0.0543934108130128j</v>
      </c>
      <c r="K39" s="11">
        <f>20*LOG(IMABS(Table3[[#This Row],[H(s)]]))</f>
        <v>-1.2906626156628704E-2</v>
      </c>
      <c r="L39" s="11">
        <f>DEGREES(IMARGUMENT(Table3[[#This Row],[H(s)]]))</f>
        <v>-3.1226929417454392</v>
      </c>
    </row>
    <row r="40" spans="7:12" ht="16.5" customHeight="1" x14ac:dyDescent="0.25">
      <c r="G40">
        <v>-1.24</v>
      </c>
      <c r="H40">
        <f>_fc*10^Table3[[#This Row],[Decade]]</f>
        <v>57.543993733715688</v>
      </c>
      <c r="I40" t="str">
        <f>COMPLEX(0,2*PI()*Table3[[#This Row],[f]],"j")</f>
        <v>361.559575944117j</v>
      </c>
      <c r="J40" t="str">
        <f>IMDIV(1,
 IMSUM(1,
 IMPRODUCT(Table3[[#This Row],[s]],_R,_C)))</f>
        <v>0.996747188251735-0.0569405915318306j</v>
      </c>
      <c r="K40" s="11">
        <f>20*LOG(IMABS(Table3[[#This Row],[H(s)]]))</f>
        <v>-1.4149807756542612E-2</v>
      </c>
      <c r="L40" s="11">
        <f>DEGREES(IMARGUMENT(Table3[[#This Row],[H(s)]]))</f>
        <v>-3.269548808766304</v>
      </c>
    </row>
    <row r="41" spans="7:12" ht="16.5" customHeight="1" x14ac:dyDescent="0.25">
      <c r="G41">
        <v>-1.22</v>
      </c>
      <c r="H41">
        <f>_fc*10^Table3[[#This Row],[Decade]]</f>
        <v>60.255958607435744</v>
      </c>
      <c r="I41" t="str">
        <f>COMPLEX(0,2*PI()*Table3[[#This Row],[f]],"j")</f>
        <v>378.599353792262j</v>
      </c>
      <c r="J41" t="str">
        <f>IMDIV(1,
 IMSUM(1,
 IMPRODUCT(Table3[[#This Row],[s]],_R,_C)))</f>
        <v>0.996434481792083-0.059605413242644j</v>
      </c>
      <c r="K41" s="11">
        <f>20*LOG(IMABS(Table3[[#This Row],[H(s)]]))</f>
        <v>-1.5512520378652011E-2</v>
      </c>
      <c r="L41" s="11">
        <f>DEGREES(IMARGUMENT(Table3[[#This Row],[H(s)]]))</f>
        <v>-3.423279667275998</v>
      </c>
    </row>
    <row r="42" spans="7:12" ht="16.5" customHeight="1" x14ac:dyDescent="0.25">
      <c r="G42">
        <v>-1.2</v>
      </c>
      <c r="H42">
        <f>_fc*10^Table3[[#This Row],[Decade]]</f>
        <v>63.095734448019314</v>
      </c>
      <c r="I42" t="str">
        <f>COMPLEX(0,2*PI()*Table3[[#This Row],[f]],"j")</f>
        <v>396.4421916295j</v>
      </c>
      <c r="J42" t="str">
        <f>IMDIV(1,
 IMSUM(1,
 IMPRODUCT(Table3[[#This Row],[s]],_R,_C)))</f>
        <v>0.996091831416601-0.0623930669363442j</v>
      </c>
      <c r="K42" s="11">
        <f>20*LOG(IMABS(Table3[[#This Row],[H(s)]]))</f>
        <v>-1.7006213764523614E-2</v>
      </c>
      <c r="L42" s="11">
        <f>DEGREES(IMARGUMENT(Table3[[#This Row],[H(s)]]))</f>
        <v>-3.5842027272336843</v>
      </c>
    </row>
    <row r="43" spans="7:12" ht="16.5" customHeight="1" x14ac:dyDescent="0.25">
      <c r="G43">
        <v>-1.18</v>
      </c>
      <c r="H43">
        <f>_fc*10^Table3[[#This Row],[Decade]]</f>
        <v>66.06934480075958</v>
      </c>
      <c r="I43" t="str">
        <f>COMPLEX(0,2*PI()*Table3[[#This Row],[f]],"j")</f>
        <v>415.125936507115j</v>
      </c>
      <c r="J43" t="str">
        <f>IMDIV(1,
 IMSUM(1,
 IMPRODUCT(Table3[[#This Row],[s]],_R,_C)))</f>
        <v>0.995716393508365-0.0653089366554023j</v>
      </c>
      <c r="K43" s="11">
        <f>20*LOG(IMABS(Table3[[#This Row],[H(s)]]))</f>
        <v>-1.8643425738399201E-2</v>
      </c>
      <c r="L43" s="11">
        <f>DEGREES(IMARGUMENT(Table3[[#This Row],[H(s)]]))</f>
        <v>-3.7526491496143626</v>
      </c>
    </row>
    <row r="44" spans="7:12" ht="16.5" customHeight="1" x14ac:dyDescent="0.25">
      <c r="G44">
        <v>-1.1600000000000001</v>
      </c>
      <c r="H44">
        <f>_fc*10^Table3[[#This Row],[Decade]]</f>
        <v>69.183097091893615</v>
      </c>
      <c r="I44" t="str">
        <f>COMPLEX(0,2*PI()*Table3[[#This Row],[f]],"j")</f>
        <v>434.690219152965j</v>
      </c>
      <c r="J44" t="str">
        <f>IMDIV(1,
 IMSUM(1,
 IMPRODUCT(Table3[[#This Row],[s]],_R,_C)))</f>
        <v>0.995305059180982-0.0683586011393109j</v>
      </c>
      <c r="K44" s="11">
        <f>20*LOG(IMABS(Table3[[#This Row],[H(s)]]))</f>
        <v>-2.0437883863399675E-2</v>
      </c>
      <c r="L44" s="11">
        <f>DEGREES(IMARGUMENT(Table3[[#This Row],[H(s)]]))</f>
        <v>-3.9289645581552493</v>
      </c>
    </row>
    <row r="45" spans="7:12" ht="16.5" customHeight="1" x14ac:dyDescent="0.25">
      <c r="G45">
        <v>-1.1400000000000001</v>
      </c>
      <c r="H45">
        <f>_fc*10^Table3[[#This Row],[Decade]]</f>
        <v>72.443596007498954</v>
      </c>
      <c r="I45" t="str">
        <f>COMPLEX(0,2*PI()*Table3[[#This Row],[f]],"j")</f>
        <v>455.176538033571j</v>
      </c>
      <c r="J45" t="str">
        <f>IMDIV(1,
 IMSUM(1,
 IMPRODUCT(Table3[[#This Row],[s]],_R,_C)))</f>
        <v>0.99485443049395-0.0715478344920962j</v>
      </c>
      <c r="K45" s="11">
        <f>20*LOG(IMABS(Table3[[#This Row],[H(s)]]))</f>
        <v>-2.2404616243643656E-2</v>
      </c>
      <c r="L45" s="11">
        <f>DEGREES(IMARGUMENT(Table3[[#This Row],[H(s)]]))</f>
        <v>-4.1135095541927447</v>
      </c>
    </row>
    <row r="46" spans="7:12" ht="16.5" customHeight="1" x14ac:dyDescent="0.25">
      <c r="G46">
        <v>-1.1200000000000001</v>
      </c>
      <c r="H46">
        <f>_fc*10^Table3[[#This Row],[Decade]]</f>
        <v>75.857757502918361</v>
      </c>
      <c r="I46" t="str">
        <f>COMPLEX(0,2*PI()*Table3[[#This Row],[f]],"j")</f>
        <v>476.628347377929j</v>
      </c>
      <c r="J46" t="str">
        <f>IMDIV(1,
 IMSUM(1,
 IMPRODUCT(Table3[[#This Row],[s]],_R,_C)))</f>
        <v>0.994360794730234-0.0748826056817688j</v>
      </c>
      <c r="K46" s="11">
        <f>20*LOG(IMABS(Table3[[#This Row],[H(s)]]))</f>
        <v>-2.456007222381458E-2</v>
      </c>
      <c r="L46" s="11">
        <f>DEGREES(IMARGUMENT(Table3[[#This Row],[H(s)]]))</f>
        <v>-4.3066602317642513</v>
      </c>
    </row>
    <row r="47" spans="7:12" ht="16.5" customHeight="1" x14ac:dyDescent="0.25">
      <c r="G47">
        <v>-1.1000000000000001</v>
      </c>
      <c r="H47">
        <f>_fc*10^Table3[[#This Row],[Decade]]</f>
        <v>79.432823472428097</v>
      </c>
      <c r="I47" t="str">
        <f>COMPLEX(0,2*PI()*Table3[[#This Row],[f]],"j")</f>
        <v>499.09114934975j</v>
      </c>
      <c r="J47" t="str">
        <f>IMDIV(1,
 IMSUM(1,
 IMPRODUCT(Table3[[#This Row],[s]],_R,_C)))</f>
        <v>0.993820096618536-0.0783690766543795j</v>
      </c>
      <c r="K47" s="11">
        <f>20*LOG(IMABS(Table3[[#This Row],[H(s)]]))</f>
        <v>-2.6922253784824567E-2</v>
      </c>
      <c r="L47" s="11">
        <f>DEGREES(IMARGUMENT(Table3[[#This Row],[H(s)]]))</f>
        <v>-4.5088086896124819</v>
      </c>
    </row>
    <row r="48" spans="7:12" ht="16.5" customHeight="1" x14ac:dyDescent="0.25">
      <c r="G48">
        <v>-1.08</v>
      </c>
      <c r="H48">
        <f>_fc*10^Table3[[#This Row],[Decade]]</f>
        <v>83.176377110267083</v>
      </c>
      <c r="I48" t="str">
        <f>COMPLEX(0,2*PI()*Table3[[#This Row],[f]],"j")</f>
        <v>522.612590563659j</v>
      </c>
      <c r="J48" t="str">
        <f>IMDIV(1,
 IMSUM(1,
 IMPRODUCT(Table3[[#This Row],[s]],_R,_C)))</f>
        <v>0.993227908384578-0.0820135988149163j</v>
      </c>
      <c r="K48" s="11">
        <f>20*LOG(IMABS(Table3[[#This Row],[H(s)]]))</f>
        <v>-2.9510858481066111E-2</v>
      </c>
      <c r="L48" s="11">
        <f>DEGREES(IMARGUMENT(Table3[[#This Row],[H(s)]]))</f>
        <v>-4.7203635361172269</v>
      </c>
    </row>
    <row r="49" spans="7:12" ht="16.5" customHeight="1" x14ac:dyDescent="0.25">
      <c r="G49">
        <v>-1.06</v>
      </c>
      <c r="H49">
        <f>_fc*10^Table3[[#This Row],[Decade]]</f>
        <v>87.096358995608014</v>
      </c>
      <c r="I49" t="str">
        <f>COMPLEX(0,2*PI()*Table3[[#This Row],[f]],"j")</f>
        <v>547.242563150043j</v>
      </c>
      <c r="J49" t="str">
        <f>IMDIV(1,
 IMSUM(1,
 IMPRODUCT(Table3[[#This Row],[s]],_R,_C)))</f>
        <v>0.992579397520181-0.0858227075933613j</v>
      </c>
      <c r="K49" s="11">
        <f>20*LOG(IMABS(Table3[[#This Row],[H(s)]]))</f>
        <v>-3.2347434809865086E-2</v>
      </c>
      <c r="L49" s="11">
        <f>DEGREES(IMARGUMENT(Table3[[#This Row],[H(s)]]))</f>
        <v>-4.9417503824811622</v>
      </c>
    </row>
    <row r="50" spans="7:12" ht="16.5" customHeight="1" x14ac:dyDescent="0.25">
      <c r="G50">
        <v>-1.04</v>
      </c>
      <c r="H50">
        <f>_fc*10^Table3[[#This Row],[Decade]]</f>
        <v>91.201083935590944</v>
      </c>
      <c r="I50" t="str">
        <f>COMPLEX(0,2*PI()*Table3[[#This Row],[f]],"j")</f>
        <v>573.033310582957j</v>
      </c>
      <c r="J50" t="str">
        <f>IMDIV(1,
 IMSUM(1,
 IMPRODUCT(Table3[[#This Row],[s]],_R,_C)))</f>
        <v>0.991869292166546-0.0898031147766116j</v>
      </c>
      <c r="K50" s="11">
        <f>20*LOG(IMABS(Table3[[#This Row],[H(s)]]))</f>
        <v>-3.5455550947300206E-2</v>
      </c>
      <c r="L50" s="11">
        <f>DEGREES(IMARGUMENT(Table3[[#This Row],[H(s)]]))</f>
        <v>-5.1734123187052559</v>
      </c>
    </row>
    <row r="51" spans="7:12" ht="16.5" customHeight="1" x14ac:dyDescent="0.25">
      <c r="G51">
        <v>-1.02</v>
      </c>
      <c r="H51">
        <f>_fc*10^Table3[[#This Row],[Decade]]</f>
        <v>95.499258602143556</v>
      </c>
      <c r="I51" t="str">
        <f>COMPLEX(0,2*PI()*Table3[[#This Row],[f]],"j")</f>
        <v>600.039538495532j</v>
      </c>
      <c r="J51" t="str">
        <f>IMDIV(1,
 IMSUM(1,
 IMPRODUCT(Table3[[#This Row],[s]],_R,_C)))</f>
        <v>0.991091844019875-0.0939616982453948j</v>
      </c>
      <c r="K51" s="11">
        <f>20*LOG(IMABS(Table3[[#This Row],[H(s)]]))</f>
        <v>-3.8860977823338236E-2</v>
      </c>
      <c r="L51" s="11">
        <f>DEGREES(IMARGUMENT(Table3[[#This Row],[H(s)]]))</f>
        <v>-5.4158103659918648</v>
      </c>
    </row>
    <row r="52" spans="7:12" ht="16.5" customHeight="1" x14ac:dyDescent="0.25">
      <c r="G52">
        <v>-1</v>
      </c>
      <c r="H52">
        <f>_fc*10^Table3[[#This Row],[Decade]]</f>
        <v>100</v>
      </c>
      <c r="I52" t="str">
        <f>COMPLEX(0,2*PI()*Table3[[#This Row],[f]],"j")</f>
        <v>628.318530717959j</v>
      </c>
      <c r="J52" t="str">
        <f>IMDIV(1,
 IMSUM(1,
 IMPRODUCT(Table3[[#This Row],[s]],_R,_C)))</f>
        <v>0.990240788684044-0.0983054887096663j</v>
      </c>
      <c r="K52" s="11">
        <f>20*LOG(IMABS(Table3[[#This Row],[H(s)]]))</f>
        <v>-4.2591887543152504E-2</v>
      </c>
      <c r="L52" s="11">
        <f>DEGREES(IMARGUMENT(Table3[[#This Row],[H(s)]]))</f>
        <v>-5.6694238982028917</v>
      </c>
    </row>
    <row r="53" spans="7:12" ht="16.5" customHeight="1" x14ac:dyDescent="0.25">
      <c r="G53">
        <v>-0.98</v>
      </c>
      <c r="H53">
        <f>_fc*10^Table3[[#This Row],[Decade]]</f>
        <v>104.71285480508996</v>
      </c>
      <c r="I53" t="str">
        <f>COMPLEX(0,2*PI()*Table3[[#This Row],[f]],"j")</f>
        <v>657.930270784171j</v>
      </c>
      <c r="J53" t="str">
        <f>IMDIV(1,
 IMSUM(1,
 IMPRODUCT(Table3[[#This Row],[s]],_R,_C)))</f>
        <v>0.989309303417665-0.102841652986128j</v>
      </c>
      <c r="K53" s="11">
        <f>20*LOG(IMABS(Table3[[#This Row],[H(s)]]))</f>
        <v>-4.6679068187225441E-2</v>
      </c>
      <c r="L53" s="11">
        <f>DEGREES(IMARGUMENT(Table3[[#This Row],[H(s)]]))</f>
        <v>-5.9347510238626713</v>
      </c>
    </row>
    <row r="54" spans="7:12" ht="16.5" customHeight="1" x14ac:dyDescent="0.25">
      <c r="G54">
        <v>-0.96</v>
      </c>
      <c r="H54">
        <f>_fc*10^Table3[[#This Row],[Decade]]</f>
        <v>109.64781961431849</v>
      </c>
      <c r="I54" t="str">
        <f>COMPLEX(0,2*PI()*Table3[[#This Row],[f]],"j")</f>
        <v>688.937569164964j</v>
      </c>
      <c r="J54" t="str">
        <f>IMDIV(1,
 IMSUM(1,
 IMPRODUCT(Table3[[#This Row],[s]],_R,_C)))</f>
        <v>0.988289962252737-0.107577473307476j</v>
      </c>
      <c r="K54" s="11">
        <f>20*LOG(IMABS(Table3[[#This Row],[H(s)]]))</f>
        <v>-5.1156156038085085E-2</v>
      </c>
      <c r="L54" s="11">
        <f>DEGREES(IMARGUMENT(Table3[[#This Row],[H(s)]]))</f>
        <v>-6.2123089189203586</v>
      </c>
    </row>
    <row r="55" spans="7:12" ht="16.5" customHeight="1" x14ac:dyDescent="0.25">
      <c r="G55">
        <v>-0.94</v>
      </c>
      <c r="H55">
        <f>_fc*10^Table3[[#This Row],[Decade]]</f>
        <v>114.8153621496883</v>
      </c>
      <c r="I55" t="str">
        <f>COMPLEX(0,2*PI()*Table3[[#This Row],[f]],"j")</f>
        <v>721.406196497425j</v>
      </c>
      <c r="J55" t="str">
        <f>IMDIV(1,
 IMSUM(1,
 IMPRODUCT(Table3[[#This Row],[s]],_R,_C)))</f>
        <v>0.987174688500594-0.112520322094939j</v>
      </c>
      <c r="K55" s="11">
        <f>20*LOG(IMABS(Table3[[#This Row],[H(s)]]))</f>
        <v>-5.6059886283450183E-2</v>
      </c>
      <c r="L55" s="11">
        <f>DEGREES(IMARGUMENT(Table3[[#This Row],[H(s)]]))</f>
        <v>-6.5026340990653093</v>
      </c>
    </row>
    <row r="56" spans="7:12" ht="16.5" customHeight="1" x14ac:dyDescent="0.25">
      <c r="G56">
        <v>-0.91999999999999993</v>
      </c>
      <c r="H56">
        <f>_fc*10^Table3[[#This Row],[Decade]]</f>
        <v>120.22644346174128</v>
      </c>
      <c r="I56" t="str">
        <f>COMPLEX(0,2*PI()*Table3[[#This Row],[f]],"j")</f>
        <v>755.40502309327j</v>
      </c>
      <c r="J56" t="str">
        <f>IMDIV(1,
 IMSUM(1,
 IMPRODUCT(Table3[[#This Row],[s]],_R,_C)))</f>
        <v>0.985954704709728-0.117677631563867j</v>
      </c>
      <c r="K56" s="11">
        <f>20*LOG(IMABS(Table3[[#This Row],[H(s)]]))</f>
        <v>-6.1430363229611762E-2</v>
      </c>
      <c r="L56" s="11">
        <f>DEGREES(IMARGUMENT(Table3[[#This Row],[H(s)]]))</f>
        <v>-6.806282618806323</v>
      </c>
    </row>
    <row r="57" spans="7:12" ht="16.5" customHeight="1" x14ac:dyDescent="0.25">
      <c r="G57">
        <v>-0.89999999999999991</v>
      </c>
      <c r="H57">
        <f>_fc*10^Table3[[#This Row],[Decade]]</f>
        <v>125.89254117941672</v>
      </c>
      <c r="I57" t="str">
        <f>COMPLEX(0,2*PI()*Table3[[#This Row],[f]],"j")</f>
        <v>791.006165022012j</v>
      </c>
      <c r="J57" t="str">
        <f>IMDIV(1,
 IMSUM(1,
 IMPRODUCT(Table3[[#This Row],[s]],_R,_C)))</f>
        <v>0.984620480201036-0.123056857467261j</v>
      </c>
      <c r="K57" s="11">
        <f>20*LOG(IMABS(Table3[[#This Row],[H(s)]]))</f>
        <v>-6.7311351021671462E-2</v>
      </c>
      <c r="L57" s="11">
        <f>DEGREES(IMARGUMENT(Table3[[#This Row],[H(s)]]))</f>
        <v>-7.1238301827800443</v>
      </c>
    </row>
    <row r="58" spans="7:12" ht="16.5" customHeight="1" x14ac:dyDescent="0.25">
      <c r="G58">
        <v>-0.87999999999999989</v>
      </c>
      <c r="H58">
        <f>_fc*10^Table3[[#This Row],[Decade]]</f>
        <v>131.8256738556407</v>
      </c>
      <c r="I58" t="str">
        <f>COMPLEX(0,2*PI()*Table3[[#This Row],[f]],"j")</f>
        <v>828.28513707881j</v>
      </c>
      <c r="J58" t="str">
        <f>IMDIV(1,
 IMSUM(1,
 IMPRODUCT(Table3[[#This Row],[s]],_R,_C)))</f>
        <v>0.983161676381327-0.128665436214958j</v>
      </c>
      <c r="K58" s="11">
        <f>20*LOG(IMABS(Table3[[#This Row],[H(s)]]))</f>
        <v>-7.3750585802052057E-2</v>
      </c>
      <c r="L58" s="11">
        <f>DEGREES(IMARGUMENT(Table3[[#This Row],[H(s)]]))</f>
        <v>-7.4558721528298566</v>
      </c>
    </row>
    <row r="59" spans="7:12" ht="16.5" customHeight="1" x14ac:dyDescent="0.25">
      <c r="G59">
        <v>-0.85999999999999988</v>
      </c>
      <c r="H59">
        <f>_fc*10^Table3[[#This Row],[Decade]]</f>
        <v>138.03842646028849</v>
      </c>
      <c r="I59" t="str">
        <f>COMPLEX(0,2*PI()*Table3[[#This Row],[f]],"j")</f>
        <v>867.321012961474j</v>
      </c>
      <c r="J59" t="str">
        <f>IMDIV(1,
 IMSUM(1,
 IMPRODUCT(Table3[[#This Row],[s]],_R,_C)))</f>
        <v>0.981567090127667-0.13451073453807j</v>
      </c>
      <c r="K59" s="11">
        <f>20*LOG(IMABS(Table3[[#This Row],[H(s)]]))</f>
        <v>-8.0800110140920006E-2</v>
      </c>
      <c r="L59" s="11">
        <f>DEGREES(IMARGUMENT(Table3[[#This Row],[H(s)]]))</f>
        <v>-7.8030234322959879</v>
      </c>
    </row>
    <row r="60" spans="7:12" ht="16.5" customHeight="1" x14ac:dyDescent="0.25">
      <c r="G60">
        <v>-0.84000000000000008</v>
      </c>
      <c r="H60">
        <f>_fc*10^Table3[[#This Row],[Decade]]</f>
        <v>144.54397707459268</v>
      </c>
      <c r="I60" t="str">
        <f>COMPLEX(0,2*PI()*Table3[[#This Row],[f]],"j")</f>
        <v>908.196592996384j</v>
      </c>
      <c r="J60" t="str">
        <f>IMDIV(1,
 IMSUM(1,
 IMPRODUCT(Table3[[#This Row],[s]],_R,_C)))</f>
        <v>0.979824595645922-0.140599990800951j</v>
      </c>
      <c r="K60" s="11">
        <f>20*LOG(IMABS(Table3[[#This Row],[H(s)]]))</f>
        <v>-8.8516630433599058E-2</v>
      </c>
      <c r="L60" s="11">
        <f>DEGREES(IMARGUMENT(Table3[[#This Row],[H(s)]]))</f>
        <v>-8.1659182066767926</v>
      </c>
    </row>
    <row r="61" spans="7:12" ht="16.5" customHeight="1" x14ac:dyDescent="0.25">
      <c r="G61">
        <v>-0.82000000000000006</v>
      </c>
      <c r="H61">
        <f>_fc*10^Table3[[#This Row],[Decade]]</f>
        <v>151.35612484362076</v>
      </c>
      <c r="I61" t="str">
        <f>COMPLEX(0,2*PI()*Table3[[#This Row],[f]],"j")</f>
        <v>950.998579769077j</v>
      </c>
      <c r="J61" t="str">
        <f>IMDIV(1,
 IMSUM(1,
 IMPRODUCT(Table3[[#This Row],[s]],_R,_C)))</f>
        <v>0.97792108533932-0.14694024699886j</v>
      </c>
      <c r="K61" s="11">
        <f>20*LOG(IMABS(Table3[[#This Row],[H(s)]]))</f>
        <v>-9.6961897772844002E-2</v>
      </c>
      <c r="L61" s="11">
        <f>DEGREES(IMARGUMENT(Table3[[#This Row],[H(s)]]))</f>
        <v>-8.5452095173680345</v>
      </c>
    </row>
    <row r="62" spans="7:12" ht="16.5" customHeight="1" x14ac:dyDescent="0.25">
      <c r="G62">
        <v>-0.8</v>
      </c>
      <c r="H62">
        <f>_fc*10^Table3[[#This Row],[Decade]]</f>
        <v>158.48931924611131</v>
      </c>
      <c r="I62" t="str">
        <f>COMPLEX(0,2*PI()*Table3[[#This Row],[f]],"j")</f>
        <v>995.817762032061j</v>
      </c>
      <c r="J62" t="str">
        <f>IMDIV(1,
 IMSUM(1,
 IMPRODUCT(Table3[[#This Row],[s]],_R,_C)))</f>
        <v>0.975842410379667-0.15353827042164j</v>
      </c>
      <c r="K62" s="11">
        <f>20*LOG(IMABS(Table3[[#This Row],[H(s)]]))</f>
        <v>-0.10620311255910259</v>
      </c>
      <c r="L62" s="11">
        <f>DEGREES(IMARGUMENT(Table3[[#This Row],[H(s)]]))</f>
        <v>-8.9415686425699921</v>
      </c>
    </row>
    <row r="63" spans="7:12" ht="16.5" customHeight="1" x14ac:dyDescent="0.25">
      <c r="G63">
        <v>-0.78</v>
      </c>
      <c r="H63">
        <f>_fc*10^Table3[[#This Row],[Decade]]</f>
        <v>165.95869074375599</v>
      </c>
      <c r="I63" t="str">
        <f>COMPLEX(0,2*PI()*Table3[[#This Row],[f]],"j")</f>
        <v>1042.74920727993j</v>
      </c>
      <c r="J63" t="str">
        <f>IMDIV(1,
 IMSUM(1,
 IMPRODUCT(Table3[[#This Row],[s]],_R,_C)))</f>
        <v>0.973573321857841-0.160400463916192j</v>
      </c>
      <c r="K63" s="11">
        <f>20*LOG(IMABS(Table3[[#This Row],[H(s)]]))</f>
        <v>-0.11631335279911727</v>
      </c>
      <c r="L63" s="11">
        <f>DEGREES(IMARGUMENT(Table3[[#This Row],[H(s)]]))</f>
        <v>-9.3556842566954224</v>
      </c>
    </row>
    <row r="64" spans="7:12" ht="16.5" customHeight="1" x14ac:dyDescent="0.25">
      <c r="G64">
        <v>-0.76</v>
      </c>
      <c r="H64">
        <f>_fc*10^Table3[[#This Row],[Decade]]</f>
        <v>173.78008287493748</v>
      </c>
      <c r="I64" t="str">
        <f>COMPLEX(0,2*PI()*Table3[[#This Row],[f]],"j")</f>
        <v>1091.89246340026j</v>
      </c>
      <c r="J64" t="str">
        <f>IMDIV(1,
 IMSUM(1,
 IMPRODUCT(Table3[[#This Row],[s]],_R,_C)))</f>
        <v>0.971097413603955-0.16753276364838j</v>
      </c>
      <c r="K64" s="11">
        <f>20*LOG(IMABS(Table3[[#This Row],[H(s)]]))</f>
        <v>-0.12737202565053404</v>
      </c>
      <c r="L64" s="11">
        <f>DEGREES(IMARGUMENT(Table3[[#This Row],[H(s)]]))</f>
        <v>-9.7882613367522566</v>
      </c>
    </row>
    <row r="65" spans="7:12" ht="16.5" customHeight="1" x14ac:dyDescent="0.25">
      <c r="G65">
        <v>-0.74</v>
      </c>
      <c r="H65">
        <f>_fc*10^Table3[[#This Row],[Decade]]</f>
        <v>181.97008586099832</v>
      </c>
      <c r="I65" t="str">
        <f>COMPLEX(0,2*PI()*Table3[[#This Row],[f]],"j")</f>
        <v>1143.35176982803j</v>
      </c>
      <c r="J65" t="str">
        <f>IMDIV(1,
 IMSUM(1,
 IMPRODUCT(Table3[[#This Row],[s]],_R,_C)))</f>
        <v>0.968397068013367-0.174940523254279j</v>
      </c>
      <c r="K65" s="11">
        <f>20*LOG(IMABS(Table3[[#This Row],[H(s)]]))</f>
        <v>-0.13946534128635421</v>
      </c>
      <c r="L65" s="11">
        <f>DEGREES(IMARGUMENT(Table3[[#This Row],[H(s)]]))</f>
        <v>-10.240019781250295</v>
      </c>
    </row>
    <row r="66" spans="7:12" ht="16.5" customHeight="1" x14ac:dyDescent="0.25">
      <c r="G66">
        <v>-0.72</v>
      </c>
      <c r="H66">
        <f>_fc*10^Table3[[#This Row],[Decade]]</f>
        <v>190.54607179632472</v>
      </c>
      <c r="I66" t="str">
        <f>COMPLEX(0,2*PI()*Table3[[#This Row],[f]],"j")</f>
        <v>1197.23627865145j</v>
      </c>
      <c r="J66" t="str">
        <f>IMDIV(1,
 IMSUM(1,
 IMPRODUCT(Table3[[#This Row],[s]],_R,_C)))</f>
        <v>0.965453406494321-0.182628383289215j</v>
      </c>
      <c r="K66" s="11">
        <f>20*LOG(IMABS(Table3[[#This Row],[H(s)]]))</f>
        <v>-0.15268680756348754</v>
      </c>
      <c r="L66" s="11">
        <f>DEGREES(IMARGUMENT(Table3[[#This Row],[H(s)]]))</f>
        <v>-10.711692704272776</v>
      </c>
    </row>
    <row r="67" spans="7:12" ht="16.5" customHeight="1" x14ac:dyDescent="0.25">
      <c r="G67">
        <v>-0.7</v>
      </c>
      <c r="H67">
        <f>_fc*10^Table3[[#This Row],[Decade]]</f>
        <v>199.52623149688796</v>
      </c>
      <c r="I67" t="str">
        <f>COMPLEX(0,2*PI()*Table3[[#This Row],[f]],"j")</f>
        <v>1253.66028613816j</v>
      </c>
      <c r="J67" t="str">
        <f>IMDIV(1,
 IMSUM(1,
 IMPRODUCT(Table3[[#This Row],[s]],_R,_C)))</f>
        <v>0.962246246467168-0.190600124939661j</v>
      </c>
      <c r="K67" s="11">
        <f>20*LOG(IMABS(Table3[[#This Row],[H(s)]]))</f>
        <v>-0.16713774327188979</v>
      </c>
      <c r="L67" s="11">
        <f>DEGREES(IMARGUMENT(Table3[[#This Row],[H(s)]]))</f>
        <v>-11.2040243645364</v>
      </c>
    </row>
    <row r="68" spans="7:12" ht="16.5" customHeight="1" x14ac:dyDescent="0.25">
      <c r="G68">
        <v>-0.67999999999999994</v>
      </c>
      <c r="H68">
        <f>_fc*10^Table3[[#This Row],[Decade]]</f>
        <v>208.92961308540399</v>
      </c>
      <c r="I68" t="str">
        <f>COMPLEX(0,2*PI()*Table3[[#This Row],[f]],"j")</f>
        <v>1312.74347517293j</v>
      </c>
      <c r="J68" t="str">
        <f>IMDIV(1,
 IMSUM(1,
 IMPRODUCT(Table3[[#This Row],[s]],_R,_C)))</f>
        <v>0.958754067193371-0.19885850706857j</v>
      </c>
      <c r="K68" s="11">
        <f>20*LOG(IMABS(Table3[[#This Row],[H(s)]]))</f>
        <v>-0.18292780690011923</v>
      </c>
      <c r="L68" s="11">
        <f>DEGREES(IMARGUMENT(Table3[[#This Row],[H(s)]]))</f>
        <v>-11.71776768666105</v>
      </c>
    </row>
    <row r="69" spans="7:12" ht="16.5" customHeight="1" x14ac:dyDescent="0.25">
      <c r="G69">
        <v>-0.65999999999999992</v>
      </c>
      <c r="H69">
        <f>_fc*10^Table3[[#This Row],[Decade]]</f>
        <v>218.77616239495529</v>
      </c>
      <c r="I69" t="str">
        <f>COMPLEX(0,2*PI()*Table3[[#This Row],[f]],"j")</f>
        <v>1374.61116912112j</v>
      </c>
      <c r="J69" t="str">
        <f>IMDIV(1,
 IMSUM(1,
 IMPRODUCT(Table3[[#This Row],[s]],_R,_C)))</f>
        <v>0.954953987092429-0.207405085831332j</v>
      </c>
      <c r="K69" s="11">
        <f>20*LOG(IMABS(Table3[[#This Row],[H(s)]]))</f>
        <v>-0.20017553686698158</v>
      </c>
      <c r="L69" s="11">
        <f>DEGREES(IMARGUMENT(Table3[[#This Row],[H(s)]]))</f>
        <v>-12.253681329622864</v>
      </c>
    </row>
    <row r="70" spans="7:12" ht="16.5" customHeight="1" x14ac:dyDescent="0.25">
      <c r="G70">
        <v>-0.6399999999999999</v>
      </c>
      <c r="H70">
        <f>_fc*10^Table3[[#This Row],[Decade]]</f>
        <v>229.08676527677733</v>
      </c>
      <c r="I70" t="str">
        <f>COMPLEX(0,2*PI()*Table3[[#This Row],[f]],"j")</f>
        <v>1439.39459765635j</v>
      </c>
      <c r="J70" t="str">
        <f>IMDIV(1,
 IMSUM(1,
 IMPRODUCT(Table3[[#This Row],[s]],_R,_C)))</f>
        <v>0.950821755611671-0.216240016341127j</v>
      </c>
      <c r="K70" s="11">
        <f>20*LOG(IMABS(Table3[[#This Row],[H(s)]]))</f>
        <v>-0.21900889802497026</v>
      </c>
      <c r="L70" s="11">
        <f>DEGREES(IMARGUMENT(Table3[[#This Row],[H(s)]]))</f>
        <v>-12.812526255652052</v>
      </c>
    </row>
    <row r="71" spans="7:12" ht="16.5" customHeight="1" x14ac:dyDescent="0.25">
      <c r="G71">
        <v>-0.61999999999999988</v>
      </c>
      <c r="H71">
        <f>_fc*10^Table3[[#This Row],[Decade]]</f>
        <v>239.88329190194906</v>
      </c>
      <c r="I71" t="str">
        <f>COMPLEX(0,2*PI()*Table3[[#This Row],[f]],"j")</f>
        <v>1507.2311751162j</v>
      </c>
      <c r="J71" t="str">
        <f>IMDIV(1,
 IMSUM(1,
 IMPRODUCT(Table3[[#This Row],[s]],_R,_C)))</f>
        <v>0.946331763139449-0.225361836194221j</v>
      </c>
      <c r="K71" s="11">
        <f>20*LOG(IMABS(Table3[[#This Row],[H(s)]]))</f>
        <v>-0.23956582793070913</v>
      </c>
      <c r="L71" s="11">
        <f>DEGREES(IMARGUMENT(Table3[[#This Row],[H(s)]]))</f>
        <v>-13.395061751877016</v>
      </c>
    </row>
    <row r="72" spans="7:12" ht="16.5" customHeight="1" x14ac:dyDescent="0.25">
      <c r="G72">
        <v>-0.59999999999999987</v>
      </c>
      <c r="H72">
        <f>_fc*10^Table3[[#This Row],[Decade]]</f>
        <v>251.18864315095806</v>
      </c>
      <c r="I72" t="str">
        <f>COMPLEX(0,2*PI()*Table3[[#This Row],[f]],"j")</f>
        <v>1578.26479197648j</v>
      </c>
      <c r="J72" t="str">
        <f>IMDIV(1,
 IMSUM(1,
 IMPRODUCT(Table3[[#This Row],[s]],_R,_C)))</f>
        <v>0.941457072884532-0.234767231103961j</v>
      </c>
      <c r="K72" s="11">
        <f>20*LOG(IMABS(Table3[[#This Row],[H(s)]]))</f>
        <v>-0.2619947748947577</v>
      </c>
      <c r="L72" s="11">
        <f>DEGREES(IMARGUMENT(Table3[[#This Row],[H(s)]]))</f>
        <v>-14.002040857070435</v>
      </c>
    </row>
    <row r="73" spans="7:12" ht="16.5" customHeight="1" x14ac:dyDescent="0.25">
      <c r="G73">
        <v>-0.58000000000000007</v>
      </c>
      <c r="H73">
        <f>_fc*10^Table3[[#This Row],[Decade]]</f>
        <v>263.02679918953817</v>
      </c>
      <c r="I73" t="str">
        <f>COMPLEX(0,2*PI()*Table3[[#This Row],[f]],"j")</f>
        <v>1652.64612006218j</v>
      </c>
      <c r="J73" t="str">
        <f>IMDIV(1,
 IMSUM(1,
 IMPRODUCT(Table3[[#This Row],[s]],_R,_C)))</f>
        <v>0.936169479066386-0.244450783453351j</v>
      </c>
      <c r="K73" s="11">
        <f>20*LOG(IMABS(Table3[[#This Row],[H(s)]]))</f>
        <v>-0.28645521816907615</v>
      </c>
      <c r="L73" s="11">
        <f>DEGREES(IMARGUMENT(Table3[[#This Row],[H(s)]]))</f>
        <v>-14.634205147220735</v>
      </c>
    </row>
    <row r="74" spans="7:12" ht="16.5" customHeight="1" x14ac:dyDescent="0.25">
      <c r="G74">
        <v>-0.56000000000000005</v>
      </c>
      <c r="H74">
        <f>_fc*10^Table3[[#This Row],[Decade]]</f>
        <v>275.4228703338166</v>
      </c>
      <c r="I74" t="str">
        <f>COMPLEX(0,2*PI()*Table3[[#This Row],[f]],"j")</f>
        <v>1730.53293214266j</v>
      </c>
      <c r="J74" t="str">
        <f>IMDIV(1,
 IMSUM(1,
 IMPRODUCT(Table3[[#This Row],[s]],_R,_C)))</f>
        <v>0.930439596149595-0.25440470527601j</v>
      </c>
      <c r="K74" s="11">
        <f>20*LOG(IMABS(Table3[[#This Row],[H(s)]]))</f>
        <v>-0.31311815881327243</v>
      </c>
      <c r="L74" s="11">
        <f>DEGREES(IMARGUMENT(Table3[[#This Row],[H(s)]]))</f>
        <v>-15.29227883667957</v>
      </c>
    </row>
    <row r="75" spans="7:12" ht="16.5" customHeight="1" x14ac:dyDescent="0.25">
      <c r="G75">
        <v>-0.54</v>
      </c>
      <c r="H75">
        <f>_fc*10^Table3[[#This Row],[Decade]]</f>
        <v>288.40315031266056</v>
      </c>
      <c r="I75" t="str">
        <f>COMPLEX(0,2*PI()*Table3[[#This Row],[f]],"j")</f>
        <v>1812.09043658881j</v>
      </c>
      <c r="J75" t="str">
        <f>IMDIV(1,
 IMSUM(1,
 IMPRODUCT(Table3[[#This Row],[s]],_R,_C)))</f>
        <v>0.924236984181287-0.264618558027902j</v>
      </c>
      <c r="K75" s="11">
        <f>20*LOG(IMABS(Table3[[#This Row],[H(s)]]))</f>
        <v>-0.34216656781955784</v>
      </c>
      <c r="L75" s="11">
        <f>DEGREES(IMARGUMENT(Table3[[#This Row],[H(s)]]))</f>
        <v>-15.976962156709474</v>
      </c>
    </row>
    <row r="76" spans="7:12" ht="16.5" customHeight="1" x14ac:dyDescent="0.25">
      <c r="G76">
        <v>-0.52</v>
      </c>
      <c r="H76">
        <f>_fc*10^Table3[[#This Row],[Decade]]</f>
        <v>301.99517204020157</v>
      </c>
      <c r="I76" t="str">
        <f>COMPLEX(0,2*PI()*Table3[[#This Row],[f]],"j")</f>
        <v>1897.49162780217j</v>
      </c>
      <c r="J76" t="str">
        <f>IMDIV(1,
 IMSUM(1,
 IMPRODUCT(Table3[[#This Row],[s]],_R,_C)))</f>
        <v>0.917530315515896-0.275078962527483j</v>
      </c>
      <c r="K76" s="11">
        <f>20*LOG(IMABS(Table3[[#This Row],[H(s)]]))</f>
        <v>-0.37379577600379826</v>
      </c>
      <c r="L76" s="11">
        <f>DEGREES(IMARGUMENT(Table3[[#This Row],[H(s)]]))</f>
        <v>-16.688923980794829</v>
      </c>
    </row>
    <row r="77" spans="7:12" ht="16.5" customHeight="1" x14ac:dyDescent="0.25">
      <c r="G77">
        <v>-0.5</v>
      </c>
      <c r="H77">
        <f>_fc*10^Table3[[#This Row],[Decade]]</f>
        <v>316.22776601683796</v>
      </c>
      <c r="I77" t="str">
        <f>COMPLEX(0,2*PI()*Table3[[#This Row],[f]],"j")</f>
        <v>1986.91765315922j</v>
      </c>
      <c r="J77" t="str">
        <f>IMDIV(1,
 IMSUM(1,
 IMPRODUCT(Table3[[#This Row],[s]],_R,_C)))</f>
        <v>0.910287588292132-0.285769303623441j</v>
      </c>
      <c r="K77" s="11">
        <f>20*LOG(IMABS(Table3[[#This Row],[H(s)]]))</f>
        <v>-0.40821378803452213</v>
      </c>
      <c r="L77" s="11">
        <f>DEGREES(IMARGUMENT(Table3[[#This Row],[H(s)]]))</f>
        <v>-17.428793676509574</v>
      </c>
    </row>
    <row r="78" spans="7:12" ht="16.5" customHeight="1" x14ac:dyDescent="0.25">
      <c r="G78">
        <v>-0.48</v>
      </c>
      <c r="H78">
        <f>_fc*10^Table3[[#This Row],[Decade]]</f>
        <v>331.13112148259103</v>
      </c>
      <c r="I78" t="str">
        <f>COMPLEX(0,2*PI()*Table3[[#This Row],[f]],"j")</f>
        <v>2080.55819724931j</v>
      </c>
      <c r="J78" t="str">
        <f>IMDIV(1,
 IMSUM(1,
 IMPRODUCT(Table3[[#This Row],[s]],_R,_C)))</f>
        <v>0.902476391909997-0.296669435491947j</v>
      </c>
      <c r="K78" s="11">
        <f>20*LOG(IMABS(Table3[[#This Row],[H(s)]]))</f>
        <v>-0.44564150084153775</v>
      </c>
      <c r="L78" s="11">
        <f>DEGREES(IMARGUMENT(Table3[[#This Row],[H(s)]]))</f>
        <v>-18.197152177505657</v>
      </c>
    </row>
    <row r="79" spans="7:12" ht="16.5" customHeight="1" x14ac:dyDescent="0.25">
      <c r="G79">
        <v>-0.45999999999999996</v>
      </c>
      <c r="H79">
        <f>_fc*10^Table3[[#This Row],[Decade]]</f>
        <v>346.73685045253166</v>
      </c>
      <c r="I79" t="str">
        <f>COMPLEX(0,2*PI()*Table3[[#This Row],[f]],"j")</f>
        <v>2178.61188422107j</v>
      </c>
      <c r="J79" t="str">
        <f>IMDIV(1,
 IMSUM(1,
 IMPRODUCT(Table3[[#This Row],[s]],_R,_C)))</f>
        <v>0.894064229381881-0.307755394951354j</v>
      </c>
      <c r="K79" s="11">
        <f>20*LOG(IMABS(Table3[[#This Row],[H(s)]]))</f>
        <v>-0.48631280461200166</v>
      </c>
      <c r="L79" s="11">
        <f>DEGREES(IMARGUMENT(Table3[[#This Row],[H(s)]]))</f>
        <v>-18.994522286689456</v>
      </c>
    </row>
    <row r="80" spans="7:12" ht="16.5" customHeight="1" x14ac:dyDescent="0.25">
      <c r="G80">
        <v>-0.43999999999999995</v>
      </c>
      <c r="H80">
        <f>_fc*10^Table3[[#This Row],[Decade]]</f>
        <v>363.07805477010135</v>
      </c>
      <c r="I80" t="str">
        <f>COMPLEX(0,2*PI()*Table3[[#This Row],[f]],"j")</f>
        <v>2281.28669909085j</v>
      </c>
      <c r="J80" t="str">
        <f>IMDIV(1,
 IMSUM(1,
 IMPRODUCT(Table3[[#This Row],[s]],_R,_C)))</f>
        <v>0.885018900737243-0.318999131777948j</v>
      </c>
      <c r="K80" s="11">
        <f>20*LOG(IMABS(Table3[[#This Row],[H(s)]]))</f>
        <v>-0.53047454275918871</v>
      </c>
      <c r="L80" s="11">
        <f>DEGREES(IMARGUMENT(Table3[[#This Row],[H(s)]]))</f>
        <v>-19.821358243231586</v>
      </c>
    </row>
    <row r="81" spans="7:12" ht="16.5" customHeight="1" x14ac:dyDescent="0.25">
      <c r="G81">
        <v>-0.41999999999999993</v>
      </c>
      <c r="H81">
        <f>_fc*10^Table3[[#This Row],[Decade]]</f>
        <v>380.18939632056123</v>
      </c>
      <c r="I81" t="str">
        <f>COMPLEX(0,2*PI()*Table3[[#This Row],[f]],"j")</f>
        <v>2388.80042890683j</v>
      </c>
      <c r="J81" t="str">
        <f>IMDIV(1,
 IMSUM(1,
 IMPRODUCT(Table3[[#This Row],[s]],_R,_C)))</f>
        <v>0.875308950579732-0.330368266658195j</v>
      </c>
      <c r="K81" s="11">
        <f>20*LOG(IMABS(Table3[[#This Row],[H(s)]]))</f>
        <v>-0.57838630577964745</v>
      </c>
      <c r="L81" s="11">
        <f>DEGREES(IMARGUMENT(Table3[[#This Row],[H(s)]]))</f>
        <v>-20.678034611937548</v>
      </c>
    </row>
    <row r="82" spans="7:12" ht="16.5" customHeight="1" x14ac:dyDescent="0.25">
      <c r="G82">
        <v>-0.39999999999999991</v>
      </c>
      <c r="H82">
        <f>_fc*10^Table3[[#This Row],[Decade]]</f>
        <v>398.10717055349733</v>
      </c>
      <c r="I82" t="str">
        <f>COMPLEX(0,2*PI()*Table3[[#This Row],[f]],"j")</f>
        <v>2501.38112470457j</v>
      </c>
      <c r="J82" t="str">
        <f>IMDIV(1,
 IMSUM(1,
 IMPRODUCT(Table3[[#This Row],[s]],_R,_C)))</f>
        <v>0.864904181367147-0.341825889044075j</v>
      </c>
      <c r="K82" s="11">
        <f>20*LOG(IMABS(Table3[[#This Row],[H(s)]]))</f>
        <v>-0.63032003296466543</v>
      </c>
      <c r="L82" s="11">
        <f>DEGREES(IMARGUMENT(Table3[[#This Row],[H(s)]]))</f>
        <v>-21.564834583731194</v>
      </c>
    </row>
    <row r="83" spans="7:12" ht="16.5" customHeight="1" x14ac:dyDescent="0.25">
      <c r="G83">
        <v>-0.37999999999999989</v>
      </c>
      <c r="H83">
        <f>_fc*10^Table3[[#This Row],[Decade]]</f>
        <v>416.86938347033549</v>
      </c>
      <c r="I83" t="str">
        <f>COMPLEX(0,2*PI()*Table3[[#This Row],[f]],"j")</f>
        <v>2619.26758523382j</v>
      </c>
      <c r="J83" t="str">
        <f>IMDIV(1,
 IMSUM(1,
 IMPRODUCT(Table3[[#This Row],[s]],_R,_C)))</f>
        <v>0.853776231956759-0.35333040868637j</v>
      </c>
      <c r="K83" s="11">
        <f>20*LOG(IMABS(Table3[[#This Row],[H(s)]]))</f>
        <v>-0.6865593956920506</v>
      </c>
      <c r="L83" s="11">
        <f>DEGREES(IMARGUMENT(Table3[[#This Row],[H(s)]]))</f>
        <v>-22.481937810402908</v>
      </c>
    </row>
    <row r="84" spans="7:12" ht="16.5" customHeight="1" x14ac:dyDescent="0.25">
      <c r="G84">
        <v>-0.35999999999999988</v>
      </c>
      <c r="H84">
        <f>_fc*10^Table3[[#This Row],[Decade]]</f>
        <v>436.51583224016605</v>
      </c>
      <c r="I84" t="str">
        <f>COMPLEX(0,2*PI()*Table3[[#This Row],[f]],"j")</f>
        <v>2742.70986348268j</v>
      </c>
      <c r="J84" t="str">
        <f>IMDIV(1,
 IMSUM(1,
 IMPRODUCT(Table3[[#This Row],[s]],_R,_C)))</f>
        <v>0.841899218398694-0.364835475876952j</v>
      </c>
      <c r="K84" s="11">
        <f>20*LOG(IMABS(Table3[[#This Row],[H(s)]]))</f>
        <v>-0.74739893670126278</v>
      </c>
      <c r="L84" s="11">
        <f>DEGREES(IMARGUMENT(Table3[[#This Row],[H(s)]]))</f>
        <v>-23.429407934846161</v>
      </c>
    </row>
    <row r="85" spans="7:12" ht="16.5" customHeight="1" x14ac:dyDescent="0.25">
      <c r="G85">
        <v>-0.33999999999999986</v>
      </c>
      <c r="H85">
        <f>_fc*10^Table3[[#This Row],[Decade]]</f>
        <v>457.08818961487515</v>
      </c>
      <c r="I85" t="str">
        <f>COMPLEX(0,2*PI()*Table3[[#This Row],[f]],"j")</f>
        <v>2871.9697970735j</v>
      </c>
      <c r="J85" t="str">
        <f>IMDIV(1,
 IMSUM(1,
 IMPRODUCT(Table3[[#This Row],[s]],_R,_C)))</f>
        <v>0.829250430864551-0.376289986281202j</v>
      </c>
      <c r="K85" s="11">
        <f>20*LOG(IMABS(Table3[[#This Row],[H(s)]]))</f>
        <v>-0.81314294156326727</v>
      </c>
      <c r="L85" s="11">
        <f>DEGREES(IMARGUMENT(Table3[[#This Row],[H(s)]]))</f>
        <v>-24.407180018897304</v>
      </c>
    </row>
    <row r="86" spans="7:12" ht="16.5" customHeight="1" x14ac:dyDescent="0.25">
      <c r="G86">
        <v>-0.32000000000000006</v>
      </c>
      <c r="H86">
        <f>_fc*10^Table3[[#This Row],[Decade]]</f>
        <v>478.63009232263829</v>
      </c>
      <c r="I86" t="str">
        <f>COMPLEX(0,2*PI()*Table3[[#This Row],[f]],"j")</f>
        <v>3007.32156365561j</v>
      </c>
      <c r="J86" t="str">
        <f>IMDIV(1,
 IMSUM(1,
 IMPRODUCT(Table3[[#This Row],[s]],_R,_C)))</f>
        <v>0.815811077003703-0.38763818651129j</v>
      </c>
      <c r="K86" s="11">
        <f>20*LOG(IMABS(Table3[[#This Row],[H(s)]]))</f>
        <v>-0.88410402170524105</v>
      </c>
      <c r="L86" s="11">
        <f>DEGREES(IMARGUMENT(Table3[[#This Row],[H(s)]]))</f>
        <v>-25.415048113301545</v>
      </c>
    </row>
    <row r="87" spans="7:12" ht="16.5" customHeight="1" x14ac:dyDescent="0.25">
      <c r="G87">
        <v>-0.30000000000000004</v>
      </c>
      <c r="H87">
        <f>_fc*10^Table3[[#This Row],[Decade]]</f>
        <v>501.18723362727224</v>
      </c>
      <c r="I87" t="str">
        <f>COMPLEX(0,2*PI()*Table3[[#This Row],[f]],"j")</f>
        <v>3149.05226247286j</v>
      </c>
      <c r="J87" t="str">
        <f>IMDIV(1,
 IMSUM(1,
 IMPRODUCT(Table3[[#This Row],[s]],_R,_C)))</f>
        <v>0.801567058013628-0.398819896094722j</v>
      </c>
      <c r="K87" s="11">
        <f>20*LOG(IMABS(Table3[[#This Row],[H(s)]]))</f>
        <v>-0.96060139302275815</v>
      </c>
      <c r="L87" s="11">
        <f>DEGREES(IMARGUMENT(Table3[[#This Row],[H(s)]]))</f>
        <v>-26.452653256473987</v>
      </c>
    </row>
    <row r="88" spans="7:12" ht="16.5" customHeight="1" x14ac:dyDescent="0.25">
      <c r="G88">
        <v>-0.28000000000000003</v>
      </c>
      <c r="H88">
        <f>_fc*10^Table3[[#This Row],[Decade]]</f>
        <v>524.80746024977259</v>
      </c>
      <c r="I88" t="str">
        <f>COMPLEX(0,2*PI()*Table3[[#This Row],[f]],"j")</f>
        <v>3297.46252333961j</v>
      </c>
      <c r="J88" t="str">
        <f>IMDIV(1,
 IMSUM(1,
 IMPRODUCT(Table3[[#This Row],[s]],_R,_C)))</f>
        <v>0.7865097594419-0.409770860048082j</v>
      </c>
      <c r="K88" s="11">
        <f>20*LOG(IMABS(Table3[[#This Row],[H(s)]]))</f>
        <v>-1.0429588404455061</v>
      </c>
      <c r="L88" s="11">
        <f>DEGREES(IMARGUMENT(Table3[[#This Row],[H(s)]]))</f>
        <v>-27.519472228353663</v>
      </c>
    </row>
    <row r="89" spans="7:12" ht="16.5" customHeight="1" x14ac:dyDescent="0.25">
      <c r="G89">
        <v>-0.26</v>
      </c>
      <c r="H89">
        <f>_fc*10^Table3[[#This Row],[Decade]]</f>
        <v>549.54087385762455</v>
      </c>
      <c r="I89" t="str">
        <f>COMPLEX(0,2*PI()*Table3[[#This Row],[f]],"j")</f>
        <v>3452.86714431686j</v>
      </c>
      <c r="J89" t="str">
        <f>IMDIV(1,
 IMSUM(1,
 IMPRODUCT(Table3[[#This Row],[s]],_R,_C)))</f>
        <v>0.770636834422198-0.420423243712728j</v>
      </c>
      <c r="K89" s="11">
        <f>20*LOG(IMABS(Table3[[#This Row],[H(s)]]))</f>
        <v>-1.131502366881987</v>
      </c>
      <c r="L89" s="11">
        <f>DEGREES(IMARGUMENT(Table3[[#This Row],[H(s)]]))</f>
        <v>-28.61480742003306</v>
      </c>
    </row>
    <row r="90" spans="7:12" ht="16.5" customHeight="1" x14ac:dyDescent="0.25">
      <c r="G90">
        <v>-0.24</v>
      </c>
      <c r="H90">
        <f>_fc*10^Table3[[#This Row],[Decade]]</f>
        <v>575.43993733715695</v>
      </c>
      <c r="I90" t="str">
        <f>COMPLEX(0,2*PI()*Table3[[#This Row],[f]],"j")</f>
        <v>3615.59575944117j</v>
      </c>
      <c r="J90" t="str">
        <f>IMDIV(1,
 IMSUM(1,
 IMPRODUCT(Table3[[#This Row],[s]],_R,_C)))</f>
        <v>0.753952952969129-0.430706277732586j</v>
      </c>
      <c r="K90" s="11">
        <f>20*LOG(IMABS(Table3[[#This Row],[H(s)]]))</f>
        <v>-1.2265575347157276</v>
      </c>
      <c r="L90" s="11">
        <f>DEGREES(IMARGUMENT(Table3[[#This Row],[H(s)]]))</f>
        <v>-29.737778205896191</v>
      </c>
    </row>
    <row r="91" spans="7:12" ht="16.5" customHeight="1" x14ac:dyDescent="0.25">
      <c r="G91">
        <v>-0.21999999999999997</v>
      </c>
      <c r="H91">
        <f>_fc*10^Table3[[#This Row],[Decade]]</f>
        <v>602.55958607435775</v>
      </c>
      <c r="I91" t="str">
        <f>COMPLEX(0,2*PI()*Table3[[#This Row],[f]],"j")</f>
        <v>3785.99353792262j</v>
      </c>
      <c r="J91" t="str">
        <f>IMDIV(1,
 IMSUM(1,
 IMPRODUCT(Table3[[#This Row],[s]],_R,_C)))</f>
        <v>0.736470487461091-0.440547056010949j</v>
      </c>
      <c r="K91" s="11">
        <f>20*LOG(IMABS(Table3[[#This Row],[H(s)]]))</f>
        <v>-1.3284465193011035</v>
      </c>
      <c r="L91" s="11">
        <f>DEGREES(IMARGUMENT(Table3[[#This Row],[H(s)]]))</f>
        <v>-30.887314219414485</v>
      </c>
    </row>
    <row r="92" spans="7:12" ht="16.5" customHeight="1" x14ac:dyDescent="0.25">
      <c r="G92">
        <v>-0.19999999999999996</v>
      </c>
      <c r="H92">
        <f>_fc*10^Table3[[#This Row],[Decade]]</f>
        <v>630.95734448019323</v>
      </c>
      <c r="I92" t="str">
        <f>COMPLEX(0,2*PI()*Table3[[#This Row],[f]],"j")</f>
        <v>3964.421916295j</v>
      </c>
      <c r="J92" t="str">
        <f>IMDIV(1,
 IMSUM(1,
 IMPRODUCT(Table3[[#This Row],[s]],_R,_C)))</f>
        <v>0.718210101914824-0.449871483228624j</v>
      </c>
      <c r="K92" s="11">
        <f>20*LOG(IMABS(Table3[[#This Row],[H(s)]]))</f>
        <v>-1.4374849063989465</v>
      </c>
      <c r="L92" s="11">
        <f>DEGREES(IMARGUMENT(Table3[[#This Row],[H(s)]]))</f>
        <v>-32.062150933236666</v>
      </c>
    </row>
    <row r="93" spans="7:12" ht="16.5" customHeight="1" x14ac:dyDescent="0.25">
      <c r="G93">
        <v>-0.17999999999999994</v>
      </c>
      <c r="H93">
        <f>_fc*10^Table3[[#This Row],[Decade]]</f>
        <v>660.69344800759609</v>
      </c>
      <c r="I93" t="str">
        <f>COMPLEX(0,2*PI()*Table3[[#This Row],[f]],"j")</f>
        <v>4151.25936507115j</v>
      </c>
      <c r="J93" t="str">
        <f>IMDIV(1,
 IMSUM(1,
 IMPRODUCT(Table3[[#This Row],[s]],_R,_C)))</f>
        <v>0.699201211502032-0.458605361216071j</v>
      </c>
      <c r="K93" s="11">
        <f>20*LOG(IMABS(Table3[[#This Row],[H(s)]]))</f>
        <v>-1.5539782787337932</v>
      </c>
      <c r="L93" s="11">
        <f>DEGREES(IMARGUMENT(Table3[[#This Row],[H(s)]]))</f>
        <v>-33.260827925771494</v>
      </c>
    </row>
    <row r="94" spans="7:12" ht="16.5" customHeight="1" x14ac:dyDescent="0.25">
      <c r="G94">
        <v>-0.15999999999999992</v>
      </c>
      <c r="H94">
        <f>_fc*10^Table3[[#This Row],[Decade]]</f>
        <v>691.8309709189366</v>
      </c>
      <c r="I94" t="str">
        <f>COMPLEX(0,2*PI()*Table3[[#This Row],[f]],"j")</f>
        <v>4346.90219152965j</v>
      </c>
      <c r="J94" t="str">
        <f>IMDIV(1,
 IMSUM(1,
 IMPRODUCT(Table3[[#This Row],[s]],_R,_C)))</f>
        <v>0.679482279355575-0.466675595459338j</v>
      </c>
      <c r="K94" s="11">
        <f>20*LOG(IMABS(Table3[[#This Row],[H(s)]]))</f>
        <v>-1.6782186502191005</v>
      </c>
      <c r="L94" s="11">
        <f>DEGREES(IMARGUMENT(Table3[[#This Row],[H(s)]]))</f>
        <v>-34.481690177755063</v>
      </c>
    </row>
    <row r="95" spans="7:12" ht="16.5" customHeight="1" x14ac:dyDescent="0.25">
      <c r="G95">
        <v>-0.1399999999999999</v>
      </c>
      <c r="H95">
        <f>_fc*10^Table3[[#This Row],[Decade]]</f>
        <v>724.43596007499025</v>
      </c>
      <c r="I95" t="str">
        <f>COMPLEX(0,2*PI()*Table3[[#This Row],[f]],"j")</f>
        <v>4551.76538033572j</v>
      </c>
      <c r="J95" t="str">
        <f>IMDIV(1,
 IMSUM(1,
 IMPRODUCT(Table3[[#This Row],[s]],_R,_C)))</f>
        <v>0.659100920366475-0.474011494732502j</v>
      </c>
      <c r="K95" s="11">
        <f>20*LOG(IMABS(Table3[[#This Row],[H(s)]]))</f>
        <v>-1.8104808191194004</v>
      </c>
      <c r="L95" s="11">
        <f>DEGREES(IMARGUMENT(Table3[[#This Row],[H(s)]]))</f>
        <v>-35.722892681967949</v>
      </c>
    </row>
    <row r="96" spans="7:12" ht="16.5" customHeight="1" x14ac:dyDescent="0.25">
      <c r="G96">
        <v>-0.11999999999999988</v>
      </c>
      <c r="H96">
        <f>_fc*10^Table3[[#This Row],[Decade]]</f>
        <v>758.577575029184</v>
      </c>
      <c r="I96" t="str">
        <f>COMPLEX(0,2*PI()*Table3[[#This Row],[f]],"j")</f>
        <v>4766.28347377929j</v>
      </c>
      <c r="J96" t="str">
        <f>IMDIV(1,
 IMSUM(1,
 IMPRODUCT(Table3[[#This Row],[s]],_R,_C)))</f>
        <v>0.63811378656653-0.480546128857839j</v>
      </c>
      <c r="K96" s="11">
        <f>20*LOG(IMABS(Table3[[#This Row],[H(s)]]))</f>
        <v>-1.9510187226353861</v>
      </c>
      <c r="L96" s="11">
        <f>DEGREES(IMARGUMENT(Table3[[#This Row],[H(s)]]))</f>
        <v>-36.982408567330197</v>
      </c>
    </row>
    <row r="97" spans="7:12" ht="16.5" customHeight="1" x14ac:dyDescent="0.25">
      <c r="G97">
        <v>-9.9999999999999867E-2</v>
      </c>
      <c r="H97">
        <f>_fc*10^Table3[[#This Row],[Decade]]</f>
        <v>794.32823472428174</v>
      </c>
      <c r="I97" t="str">
        <f>COMPLEX(0,2*PI()*Table3[[#This Row],[f]],"j")</f>
        <v>4990.91149349751j</v>
      </c>
      <c r="J97" t="str">
        <f>IMDIV(1,
 IMSUM(1,
 IMPRODUCT(Table3[[#This Row],[s]],_R,_C)))</f>
        <v>0.616586215837135-0.486217702553884j</v>
      </c>
      <c r="K97" s="11">
        <f>20*LOG(IMABS(Table3[[#This Row],[H(s)]]))</f>
        <v>-2.1000618842038294</v>
      </c>
      <c r="L97" s="11">
        <f>DEGREES(IMARGUMENT(Table3[[#This Row],[H(s)]]))</f>
        <v>-38.25804083668082</v>
      </c>
    </row>
    <row r="98" spans="7:12" ht="16.5" customHeight="1" x14ac:dyDescent="0.25">
      <c r="G98">
        <v>-8.0000000000000071E-2</v>
      </c>
      <c r="H98">
        <f>_fc*10^Table3[[#This Row],[Decade]]</f>
        <v>831.76377110267083</v>
      </c>
      <c r="I98" t="str">
        <f>COMPLEX(0,2*PI()*Table3[[#This Row],[f]],"j")</f>
        <v>5226.12590563659j</v>
      </c>
      <c r="J98" t="str">
        <f>IMDIV(1,
 IMSUM(1,
 IMPRODUCT(Table3[[#This Row],[s]],_R,_C)))</f>
        <v>0.594591634887589-0.490970897925013j</v>
      </c>
      <c r="K98" s="11">
        <f>20*LOG(IMABS(Table3[[#This Row],[H(s)]]))</f>
        <v>-2.2578120503305787</v>
      </c>
      <c r="L98" s="11">
        <f>DEGREES(IMARGUMENT(Table3[[#This Row],[H(s)]]))</f>
        <v>-39.547437699058669</v>
      </c>
    </row>
    <row r="99" spans="7:12" ht="16.5" customHeight="1" x14ac:dyDescent="0.25">
      <c r="G99">
        <v>-6.0000000000000053E-2</v>
      </c>
      <c r="H99">
        <f>_fc*10^Table3[[#This Row],[Decade]]</f>
        <v>870.96358995608057</v>
      </c>
      <c r="I99" t="str">
        <f>COMPLEX(0,2*PI()*Table3[[#This Row],[f]],"j")</f>
        <v>5472.42563150043j</v>
      </c>
      <c r="J99" t="str">
        <f>IMDIV(1,
 IMSUM(1,
 IMPRODUCT(Table3[[#This Row],[s]],_R,_C)))</f>
        <v>0.572210718286033-0.494758135016106j</v>
      </c>
      <c r="K99" s="11">
        <f>20*LOG(IMABS(Table3[[#This Row],[H(s)]]))</f>
        <v>-2.42444011527465</v>
      </c>
      <c r="L99" s="11">
        <f>DEGREES(IMARGUMENT(Table3[[#This Row],[H(s)]]))</f>
        <v>-40.848111347417216</v>
      </c>
    </row>
    <row r="100" spans="7:12" ht="16.5" customHeight="1" x14ac:dyDescent="0.25">
      <c r="G100">
        <v>-4.0000000000000036E-2</v>
      </c>
      <c r="H100">
        <f>_fc*10^Table3[[#This Row],[Decade]]</f>
        <v>912.01083935590964</v>
      </c>
      <c r="I100" t="str">
        <f>COMPLEX(0,2*PI()*Table3[[#This Row],[f]],"j")</f>
        <v>5730.33310582957j</v>
      </c>
      <c r="J100" t="str">
        <f>IMDIV(1,
 IMSUM(1,
 IMPRODUCT(Table3[[#This Row],[s]],_R,_C)))</f>
        <v>0.549530317168674-0.497540699522331j</v>
      </c>
      <c r="K100" s="11">
        <f>20*LOG(IMABS(Table3[[#This Row],[H(s)]]))</f>
        <v>-2.6000834288405708</v>
      </c>
      <c r="L100" s="11">
        <f>DEGREES(IMARGUMENT(Table3[[#This Row],[H(s)]]))</f>
        <v>-42.157459898155054</v>
      </c>
    </row>
    <row r="101" spans="7:12" ht="16.5" customHeight="1" x14ac:dyDescent="0.25">
      <c r="G101">
        <v>-2.0000000000000018E-2</v>
      </c>
      <c r="H101">
        <f>_fc*10^Table3[[#This Row],[Decade]]</f>
        <v>954.99258602143584</v>
      </c>
      <c r="I101" t="str">
        <f>COMPLEX(0,2*PI()*Table3[[#This Row],[f]],"j")</f>
        <v>6000.39538495532j</v>
      </c>
      <c r="J101" t="str">
        <f>IMDIV(1,
 IMSUM(1,
 IMPRODUCT(Table3[[#This Row],[s]],_R,_C)))</f>
        <v>0.526642183289072-0.499289689528626j</v>
      </c>
      <c r="K101" s="11">
        <f>20*LOG(IMABS(Table3[[#This Row],[H(s)]]))</f>
        <v>-2.7848435746703517</v>
      </c>
      <c r="L101" s="11">
        <f>DEGREES(IMARGUMENT(Table3[[#This Row],[H(s)]]))</f>
        <v>-43.472792077487142</v>
      </c>
    </row>
    <row r="102" spans="7:12" ht="16.5" customHeight="1" x14ac:dyDescent="0.25">
      <c r="G102">
        <v>0</v>
      </c>
      <c r="H102">
        <f>_fc*10^Table3[[#This Row],[Decade]]</f>
        <v>1000</v>
      </c>
      <c r="I102" t="str">
        <f>COMPLEX(0,2*PI()*Table3[[#This Row],[f]],"j")</f>
        <v>6283.18530717959j</v>
      </c>
      <c r="J102" t="str">
        <f>IMDIV(1,
 IMSUM(1,
 IMPRODUCT(Table3[[#This Row],[s]],_R,_C)))</f>
        <v>0.503641525385261-0.499986739117017j</v>
      </c>
      <c r="K102" s="11">
        <f>20*LOG(IMABS(Table3[[#This Row],[H(s)]]))</f>
        <v>-2.9787846938587319</v>
      </c>
      <c r="L102" s="11">
        <f>DEGREES(IMARGUMENT(Table3[[#This Row],[H(s)]]))</f>
        <v>-44.791354119879109</v>
      </c>
    </row>
    <row r="103" spans="7:12" ht="16.5" customHeight="1" x14ac:dyDescent="0.25">
      <c r="G103">
        <v>2.0000000000000018E-2</v>
      </c>
      <c r="H103">
        <f>_fc*10^Table3[[#This Row],[Decade]]</f>
        <v>1047.1285480508996</v>
      </c>
      <c r="I103" t="str">
        <f>COMPLEX(0,2*PI()*Table3[[#This Row],[f]],"j")</f>
        <v>6579.30270784171j</v>
      </c>
      <c r="J103" t="str">
        <f>IMDIV(1,
 IMSUM(1,
 IMPRODUCT(Table3[[#This Row],[s]],_R,_C)))</f>
        <v>0.480625444511972-0.499624485588568j</v>
      </c>
      <c r="K103" s="11">
        <f>20*LOG(IMABS(Table3[[#This Row],[H(s)]]))</f>
        <v>-3.1819324119205987</v>
      </c>
      <c r="L103" s="11">
        <f>DEGREES(IMARGUMENT(Table3[[#This Row],[H(s)]]))</f>
        <v>-46.110358243674327</v>
      </c>
    </row>
    <row r="104" spans="7:12" ht="16.5" customHeight="1" x14ac:dyDescent="0.25">
      <c r="G104">
        <v>4.0000000000000036E-2</v>
      </c>
      <c r="H104">
        <f>_fc*10^Table3[[#This Row],[Decade]]</f>
        <v>1096.4781961431852</v>
      </c>
      <c r="I104" t="str">
        <f>COMPLEX(0,2*PI()*Table3[[#This Row],[f]],"j")</f>
        <v>6889.37569164964j</v>
      </c>
      <c r="J104" t="str">
        <f>IMDIV(1,
 IMSUM(1,
 IMPRODUCT(Table3[[#This Row],[s]],_R,_C)))</f>
        <v>0.457691302173368-0.498206758372681j</v>
      </c>
      <c r="K104" s="11">
        <f>20*LOG(IMABS(Table3[[#This Row],[H(s)]]))</f>
        <v>-3.3942734069483933</v>
      </c>
      <c r="L104" s="11">
        <f>DEGREES(IMARGUMENT(Table3[[#This Row],[H(s)]]))</f>
        <v>-47.427011995787758</v>
      </c>
    </row>
    <row r="105" spans="7:12" ht="16.5" customHeight="1" x14ac:dyDescent="0.25">
      <c r="G105">
        <v>6.0000000000000053E-2</v>
      </c>
      <c r="H105">
        <f>_fc*10^Table3[[#This Row],[Decade]]</f>
        <v>1148.1536214968828</v>
      </c>
      <c r="I105" t="str">
        <f>COMPLEX(0,2*PI()*Table3[[#This Row],[f]],"j")</f>
        <v>7214.06196497425j</v>
      </c>
      <c r="J105" t="str">
        <f>IMDIV(1,
 IMSUM(1,
 IMPRODUCT(Table3[[#This Row],[s]],_R,_C)))</f>
        <v>0.434935079154833-0.495748480658703j</v>
      </c>
      <c r="K105" s="11">
        <f>20*LOG(IMABS(Table3[[#This Row],[H(s)]]))</f>
        <v>-3.6157556343379014</v>
      </c>
      <c r="L105" s="11">
        <f>DEGREES(IMARGUMENT(Table3[[#This Row],[H(s)]]))</f>
        <v>-48.738547716328206</v>
      </c>
    </row>
    <row r="106" spans="7:12" ht="16.5" customHeight="1" x14ac:dyDescent="0.25">
      <c r="G106">
        <v>8.0000000000000071E-2</v>
      </c>
      <c r="H106">
        <f>_fc*10^Table3[[#This Row],[Decade]]</f>
        <v>1202.2644346174131</v>
      </c>
      <c r="I106" t="str">
        <f>COMPLEX(0,2*PI()*Table3[[#This Row],[f]],"j")</f>
        <v>7554.0502309327j</v>
      </c>
      <c r="J106" t="str">
        <f>IMDIV(1,
 IMSUM(1,
 IMPRODUCT(Table3[[#This Row],[s]],_R,_C)))</f>
        <v>0.412449783518724-0.492275288425167j</v>
      </c>
      <c r="K106" s="11">
        <f>20*LOG(IMABS(Table3[[#This Row],[H(s)]]))</f>
        <v>-3.8462892000688322</v>
      </c>
      <c r="L106" s="11">
        <f>DEGREES(IMARGUMENT(Table3[[#This Row],[H(s)]]))</f>
        <v>-50.042251368311256</v>
      </c>
    </row>
    <row r="107" spans="7:12" ht="16.5" customHeight="1" x14ac:dyDescent="0.25">
      <c r="G107">
        <v>0.10000000000000009</v>
      </c>
      <c r="H107">
        <f>_fc*10^Table3[[#This Row],[Decade]]</f>
        <v>1258.9254117941675</v>
      </c>
      <c r="I107" t="str">
        <f>COMPLEX(0,2*PI()*Table3[[#This Row],[f]],"j")</f>
        <v>7910.06165022012j</v>
      </c>
      <c r="J107" t="str">
        <f>IMDIV(1,
 IMSUM(1,
 IMPRODUCT(Table3[[#This Row],[s]],_R,_C)))</f>
        <v>0.390323963246228-0.487822884828075j</v>
      </c>
      <c r="K107" s="11">
        <f>20*LOG(IMABS(Table3[[#This Row],[H(s)]]))</f>
        <v>-4.0857478516216421</v>
      </c>
      <c r="L107" s="11">
        <f>DEGREES(IMARGUMENT(Table3[[#This Row],[H(s)]]))</f>
        <v>-51.335490007684101</v>
      </c>
    </row>
    <row r="108" spans="7:12" ht="16.5" customHeight="1" x14ac:dyDescent="0.25">
      <c r="G108">
        <v>0.12000000000000011</v>
      </c>
      <c r="H108">
        <f>_fc*10^Table3[[#This Row],[Decade]]</f>
        <v>1318.2567385564075</v>
      </c>
      <c r="I108" t="str">
        <f>COMPLEX(0,2*PI()*Table3[[#This Row],[f]],"j")</f>
        <v>8282.8513707881j</v>
      </c>
      <c r="J108" t="str">
        <f>IMDIV(1,
 IMSUM(1,
 IMPRODUCT(Table3[[#This Row],[s]],_R,_C)))</f>
        <v>0.368640372749752-0.482436159847783j</v>
      </c>
      <c r="K108" s="11">
        <f>20*LOG(IMABS(Table3[[#This Row],[H(s)]]))</f>
        <v>-4.3339710345694584</v>
      </c>
      <c r="L108" s="11">
        <f>DEGREES(IMARGUMENT(Table3[[#This Row],[H(s)]]))</f>
        <v>-52.615737232420798</v>
      </c>
    </row>
    <row r="109" spans="7:12" ht="16.5" customHeight="1" x14ac:dyDescent="0.25">
      <c r="G109">
        <v>0.14000000000000012</v>
      </c>
      <c r="H109">
        <f>_fc*10^Table3[[#This Row],[Decade]]</f>
        <v>1380.3842646028852</v>
      </c>
      <c r="I109" t="str">
        <f>COMPLEX(0,2*PI()*Table3[[#This Row],[f]],"j")</f>
        <v>8673.21012961475j</v>
      </c>
      <c r="J109" t="str">
        <f>IMDIV(1,
 IMSUM(1,
 IMPRODUCT(Table3[[#This Row],[s]],_R,_C)))</f>
        <v>0.347474833512584-0.476168114837592j</v>
      </c>
      <c r="K109" s="11">
        <f>20*LOG(IMABS(Table3[[#This Row],[H(s)]]))</f>
        <v>-4.5907664449085832</v>
      </c>
      <c r="L109" s="11">
        <f>DEGREES(IMARGUMENT(Table3[[#This Row],[H(s)]]))</f>
        <v>-53.880596041753421</v>
      </c>
    </row>
    <row r="110" spans="7:12" ht="16.5" customHeight="1" x14ac:dyDescent="0.25">
      <c r="G110">
        <v>0.16000000000000014</v>
      </c>
      <c r="H110">
        <f>_fc*10^Table3[[#This Row],[Decade]]</f>
        <v>1445.4397707459282</v>
      </c>
      <c r="I110" t="str">
        <f>COMPLEX(0,2*PI()*Table3[[#This Row],[f]],"j")</f>
        <v>9081.96592996385j</v>
      </c>
      <c r="J110" t="str">
        <f>IMDIV(1,
 IMSUM(1,
 IMPRODUCT(Table3[[#This Row],[s]],_R,_C)))</f>
        <v>0.326895318219372-0.469078638551818j</v>
      </c>
      <c r="K110" s="11">
        <f>20*LOG(IMABS(Table3[[#This Row],[H(s)]]))</f>
        <v>-4.8559129932190253</v>
      </c>
      <c r="L110" s="11">
        <f>DEGREES(IMARGUMENT(Table3[[#This Row],[H(s)]]))</f>
        <v>-55.127818651022679</v>
      </c>
    </row>
    <row r="111" spans="7:12" ht="16.5" customHeight="1" x14ac:dyDescent="0.25">
      <c r="G111">
        <v>0.18000000000000016</v>
      </c>
      <c r="H111">
        <f>_fc*10^Table3[[#This Row],[Decade]]</f>
        <v>1513.5612484362086</v>
      </c>
      <c r="I111" t="str">
        <f>COMPLEX(0,2*PI()*Table3[[#This Row],[f]],"j")</f>
        <v>9509.98579769078j</v>
      </c>
      <c r="J111" t="str">
        <f>IMDIV(1,
 IMSUM(1,
 IMPRODUCT(Table3[[#This Row],[s]],_R,_C)))</f>
        <v>0.30696127583129-0.461233185028264j</v>
      </c>
      <c r="K111" s="11">
        <f>20*LOG(IMABS(Table3[[#This Row],[H(s)]]))</f>
        <v>-5.1291640873631792</v>
      </c>
      <c r="L111" s="11">
        <f>DEGREES(IMARGUMENT(Table3[[#This Row],[H(s)]]))</f>
        <v>-56.355322936242779</v>
      </c>
    </row>
    <row r="112" spans="7:12" ht="16.5" customHeight="1" x14ac:dyDescent="0.25">
      <c r="G112">
        <v>0.20000000000000018</v>
      </c>
      <c r="H112">
        <f>_fc*10^Table3[[#This Row],[Decade]]</f>
        <v>1584.8931924611143</v>
      </c>
      <c r="I112" t="str">
        <f>COMPLEX(0,2*PI()*Table3[[#This Row],[f]],"j")</f>
        <v>9958.17762032062j</v>
      </c>
      <c r="J112" t="str">
        <f>IMDIV(1,
 IMSUM(1,
 IMPRODUCT(Table3[[#This Row],[s]],_R,_C)))</f>
        <v>0.287723203061861-0.45270140432926j</v>
      </c>
      <c r="K112" s="11">
        <f>20*LOG(IMABS(Table3[[#This Row],[H(s)]]))</f>
        <v>-5.4102511358622305</v>
      </c>
      <c r="L112" s="11">
        <f>DEGREES(IMARGUMENT(Table3[[#This Row],[H(s)]]))</f>
        <v>-57.561205316903141</v>
      </c>
    </row>
    <row r="113" spans="7:12" ht="16.5" customHeight="1" x14ac:dyDescent="0.25">
      <c r="G113">
        <v>0.2200000000000002</v>
      </c>
      <c r="H113">
        <f>_fc*10^Table3[[#This Row],[Decade]]</f>
        <v>1659.5869074375614</v>
      </c>
      <c r="I113" t="str">
        <f>COMPLEX(0,2*PI()*Table3[[#This Row],[f]],"j")</f>
        <v>10427.4920727993j</v>
      </c>
      <c r="J113" t="str">
        <f>IMDIV(1,
 IMSUM(1,
 IMPRODUCT(Table3[[#This Row],[s]],_R,_C)))</f>
        <v>0.269222456474482-0.44355577485174j</v>
      </c>
      <c r="K113" s="11">
        <f>20*LOG(IMABS(Table3[[#This Row],[H(s)]]))</f>
        <v>-5.6988871741912162</v>
      </c>
      <c r="L113" s="11">
        <f>DEGREES(IMARGUMENT(Table3[[#This Row],[H(s)]]))</f>
        <v>-58.743750017681201</v>
      </c>
    </row>
    <row r="114" spans="7:12" ht="16.5" customHeight="1" x14ac:dyDescent="0.25">
      <c r="G114">
        <v>0.24000000000000021</v>
      </c>
      <c r="H114">
        <f>_fc*10^Table3[[#This Row],[Decade]]</f>
        <v>1737.8008287493765</v>
      </c>
      <c r="I114" t="str">
        <f>COMPLEX(0,2*PI()*Table3[[#This Row],[f]],"j")</f>
        <v>10918.9246340026j</v>
      </c>
      <c r="J114" t="str">
        <f>IMDIV(1,
 IMSUM(1,
 IMPRODUCT(Table3[[#This Row],[s]],_R,_C)))</f>
        <v>0.251491289646047-0.433870281165022j</v>
      </c>
      <c r="K114" s="11">
        <f>20*LOG(IMABS(Table3[[#This Row],[H(s)]]))</f>
        <v>-5.9947705205602873</v>
      </c>
      <c r="L114" s="11">
        <f>DEGREES(IMARGUMENT(Table3[[#This Row],[H(s)]]))</f>
        <v>-59.901434772475611</v>
      </c>
    </row>
    <row r="115" spans="7:12" ht="16.5" customHeight="1" x14ac:dyDescent="0.25">
      <c r="G115">
        <v>0.26000000000000023</v>
      </c>
      <c r="H115">
        <f>_fc*10^Table3[[#This Row],[Decade]]</f>
        <v>1819.7008586099846</v>
      </c>
      <c r="I115" t="str">
        <f>COMPLEX(0,2*PI()*Table3[[#This Row],[f]],"j")</f>
        <v>11433.5176982803j</v>
      </c>
      <c r="J115" t="str">
        <f>IMDIV(1,
 IMSUM(1,
 IMPRODUCT(Table3[[#This Row],[s]],_R,_C)))</f>
        <v>0.234553092013094-0.423719174737456j</v>
      </c>
      <c r="K115" s="11">
        <f>20*LOG(IMABS(Table3[[#This Row],[H(s)]]))</f>
        <v>-6.2975883756067939</v>
      </c>
      <c r="L115" s="11">
        <f>DEGREES(IMARGUMENT(Table3[[#This Row],[H(s)]]))</f>
        <v>-61.032933141782664</v>
      </c>
    </row>
    <row r="116" spans="7:12" ht="16.5" customHeight="1" x14ac:dyDescent="0.25">
      <c r="G116">
        <v>0.28000000000000025</v>
      </c>
      <c r="H116">
        <f>_fc*10^Table3[[#This Row],[Decade]]</f>
        <v>1905.4607179632483</v>
      </c>
      <c r="I116" t="str">
        <f>COMPLEX(0,2*PI()*Table3[[#This Row],[f]],"j")</f>
        <v>11972.3627865145j</v>
      </c>
      <c r="J116" t="str">
        <f>IMDIV(1,
 IMSUM(1,
 IMPRODUCT(Table3[[#This Row],[s]],_R,_C)))</f>
        <v>0.218422800402947-0.413175847148743j</v>
      </c>
      <c r="K116" s="11">
        <f>20*LOG(IMABS(Table3[[#This Row],[H(s)]]))</f>
        <v>-6.6070202909759059</v>
      </c>
      <c r="L116" s="11">
        <f>DEGREES(IMARGUMENT(Table3[[#This Row],[H(s)]]))</f>
        <v>-62.13711370296042</v>
      </c>
    </row>
    <row r="117" spans="7:12" ht="16.5" customHeight="1" x14ac:dyDescent="0.25">
      <c r="G117">
        <v>0.30000000000000027</v>
      </c>
      <c r="H117">
        <f>_fc*10^Table3[[#This Row],[Decade]]</f>
        <v>1995.2623149688811</v>
      </c>
      <c r="I117" t="str">
        <f>COMPLEX(0,2*PI()*Table3[[#This Row],[f]],"j")</f>
        <v>12536.6028613816j</v>
      </c>
      <c r="J117" t="str">
        <f>IMDIV(1,
 IMSUM(1,
 IMPRODUCT(Table3[[#This Row],[s]],_R,_C)))</f>
        <v>0.203107450902762-0.402311837124567j</v>
      </c>
      <c r="K117" s="11">
        <f>20*LOG(IMABS(Table3[[#This Row],[H(s)]]))</f>
        <v>-6.9227414441104482</v>
      </c>
      <c r="L117" s="11">
        <f>DEGREES(IMARGUMENT(Table3[[#This Row],[H(s)]]))</f>
        <v>-63.213036440155669</v>
      </c>
    </row>
    <row r="118" spans="7:12" ht="16.5" customHeight="1" x14ac:dyDescent="0.25">
      <c r="G118">
        <v>0.31999999999999984</v>
      </c>
      <c r="H118">
        <f>_fc*10^Table3[[#This Row],[Decade]]</f>
        <v>2089.2961308540389</v>
      </c>
      <c r="I118" t="str">
        <f>COMPLEX(0,2*PI()*Table3[[#This Row],[f]],"j")</f>
        <v>13127.4347517293j</v>
      </c>
      <c r="J118" t="str">
        <f>IMDIV(1,
 IMSUM(1,
 IMPRODUCT(Table3[[#This Row],[s]],_R,_C)))</f>
        <v>0.188606837500035-0.391195984575852j</v>
      </c>
      <c r="K118" s="11">
        <f>20*LOG(IMABS(Table3[[#This Row],[H(s)]]))</f>
        <v>-7.2444256698199609</v>
      </c>
      <c r="L118" s="11">
        <f>DEGREES(IMARGUMENT(Table3[[#This Row],[H(s)]]))</f>
        <v>-64.259946706130023</v>
      </c>
    </row>
    <row r="119" spans="7:12" ht="16.5" customHeight="1" x14ac:dyDescent="0.25">
      <c r="G119">
        <v>0.33999999999999986</v>
      </c>
      <c r="H119">
        <f>_fc*10^Table3[[#This Row],[Decade]]</f>
        <v>2187.7616239495519</v>
      </c>
      <c r="I119" t="str">
        <f>COMPLEX(0,2*PI()*Table3[[#This Row],[f]],"j")</f>
        <v>13746.1116912112j</v>
      </c>
      <c r="J119" t="str">
        <f>IMDIV(1,
 IMSUM(1,
 IMPRODUCT(Table3[[#This Row],[s]],_R,_C)))</f>
        <v>0.174914244566194-0.379893737266135j</v>
      </c>
      <c r="K119" s="11">
        <f>20*LOG(IMABS(Table3[[#This Row],[H(s)]]))</f>
        <v>-7.5717482125552316</v>
      </c>
      <c r="L119" s="11">
        <f>DEGREES(IMARGUMENT(Table3[[#This Row],[H(s)]]))</f>
        <v>-65.27726715285489</v>
      </c>
    </row>
    <row r="120" spans="7:12" ht="16.5" customHeight="1" x14ac:dyDescent="0.25">
      <c r="G120">
        <v>0.35999999999999988</v>
      </c>
      <c r="H120">
        <f>_fc*10^Table3[[#This Row],[Decade]]</f>
        <v>2290.8676527677726</v>
      </c>
      <c r="I120" t="str">
        <f>COMPLEX(0,2*PI()*Table3[[#This Row],[f]],"j")</f>
        <v>14393.9459765635j</v>
      </c>
      <c r="J120" t="str">
        <f>IMDIV(1,
 IMSUM(1,
 IMPRODUCT(Table3[[#This Row],[s]],_R,_C)))</f>
        <v>0.162017222389679-0.368466609123286j</v>
      </c>
      <c r="K120" s="11">
        <f>20*LOG(IMABS(Table3[[#This Row],[H(s)]]))</f>
        <v>-7.9043881761014969</v>
      </c>
      <c r="L120" s="11">
        <f>DEGREES(IMARGUMENT(Table3[[#This Row],[H(s)]]))</f>
        <v>-66.264588033627447</v>
      </c>
    </row>
    <row r="121" spans="7:12" ht="16.5" customHeight="1" x14ac:dyDescent="0.25">
      <c r="G121">
        <v>0.37999999999999989</v>
      </c>
      <c r="H121">
        <f>_fc*10^Table3[[#This Row],[Decade]]</f>
        <v>2398.83291901949</v>
      </c>
      <c r="I121" t="str">
        <f>COMPLEX(0,2*PI()*Table3[[#This Row],[f]],"j")</f>
        <v>15072.311751162j</v>
      </c>
      <c r="J121" t="str">
        <f>IMDIV(1,
 IMSUM(1,
 IMPRODUCT(Table3[[#This Row],[s]],_R,_C)))</f>
        <v>0.149898378196942-0.356971783774108j</v>
      </c>
      <c r="K121" s="11">
        <f>20*LOG(IMABS(Table3[[#This Row],[H(s)]]))</f>
        <v>-8.2420306591042021</v>
      </c>
      <c r="L121" s="11">
        <f>DEGREES(IMARGUMENT(Table3[[#This Row],[H(s)]]))</f>
        <v>-67.221656269416272</v>
      </c>
    </row>
    <row r="122" spans="7:12" ht="16.5" customHeight="1" x14ac:dyDescent="0.25">
      <c r="G122">
        <v>0.39999999999999991</v>
      </c>
      <c r="H122">
        <f>_fc*10^Table3[[#This Row],[Decade]]</f>
        <v>2511.8864315095798</v>
      </c>
      <c r="I122" t="str">
        <f>COMPLEX(0,2*PI()*Table3[[#This Row],[f]],"j")</f>
        <v>15782.6479197648j</v>
      </c>
      <c r="J122" t="str">
        <f>IMDIV(1,
 IMSUM(1,
 IMPRODUCT(Table3[[#This Row],[s]],_R,_C)))</f>
        <v>0.138536159033012-0.345461852703583j</v>
      </c>
      <c r="K122" s="11">
        <f>20*LOG(IMABS(Table3[[#This Row],[H(s)]]))</f>
        <v>-8.5843685750972085</v>
      </c>
      <c r="L122" s="11">
        <f>DEGREES(IMARGUMENT(Table3[[#This Row],[H(s)]]))</f>
        <v>-68.148363649417504</v>
      </c>
    </row>
    <row r="123" spans="7:12" ht="16.5" customHeight="1" x14ac:dyDescent="0.25">
      <c r="G123">
        <v>0.41999999999999993</v>
      </c>
      <c r="H123">
        <f>_fc*10^Table3[[#This Row],[Decade]]</f>
        <v>2630.2679918953818</v>
      </c>
      <c r="I123" t="str">
        <f>COMPLEX(0,2*PI()*Table3[[#This Row],[f]],"j")</f>
        <v>16526.4612006218j</v>
      </c>
      <c r="J123" t="str">
        <f>IMDIV(1,
 IMSUM(1,
 IMPRODUCT(Table3[[#This Row],[s]],_R,_C)))</f>
        <v>0.127905607147218-0.333984674509953j</v>
      </c>
      <c r="K123" s="11">
        <f>20*LOG(IMABS(Table3[[#This Row],[H(s)]]))</f>
        <v>-8.9311041643050348</v>
      </c>
      <c r="L123" s="11">
        <f>DEGREES(IMARGUMENT(Table3[[#This Row],[H(s)]]))</f>
        <v>-69.04473450369872</v>
      </c>
    </row>
    <row r="124" spans="7:12" ht="16.5" customHeight="1" x14ac:dyDescent="0.25">
      <c r="G124">
        <v>0.43999999999999995</v>
      </c>
      <c r="H124">
        <f>_fc*10^Table3[[#This Row],[Decade]]</f>
        <v>2754.2287033381663</v>
      </c>
      <c r="I124" t="str">
        <f>COMPLEX(0,2*PI()*Table3[[#This Row],[f]],"j")</f>
        <v>17305.3293214266j</v>
      </c>
      <c r="J124" t="str">
        <f>IMDIV(1,
 IMSUM(1,
 IMPRODUCT(Table3[[#This Row],[s]],_R,_C)))</f>
        <v>0.117979072839692-0.322583339947336j</v>
      </c>
      <c r="K124" s="11">
        <f>20*LOG(IMABS(Table3[[#This Row],[H(s)]]))</f>
        <v>-9.2819502113676293</v>
      </c>
      <c r="L124" s="11">
        <f>DEGREES(IMARGUMENT(Table3[[#This Row],[H(s)]]))</f>
        <v>-69.91091314753173</v>
      </c>
    </row>
    <row r="125" spans="7:12" ht="16.5" customHeight="1" x14ac:dyDescent="0.25">
      <c r="G125">
        <v>0.45999999999999996</v>
      </c>
      <c r="H125">
        <f>_fc*10^Table3[[#This Row],[Decade]]</f>
        <v>2884.0315031266059</v>
      </c>
      <c r="I125" t="str">
        <f>COMPLEX(0,2*PI()*Table3[[#This Row],[f]],"j")</f>
        <v>18120.904365888j</v>
      </c>
      <c r="J125" t="str">
        <f>IMDIV(1,
 IMSUM(1,
 IMPRODUCT(Table3[[#This Row],[s]],_R,_C)))</f>
        <v>0.108726873832712-0.311296226670478j</v>
      </c>
      <c r="K125" s="11">
        <f>20*LOG(IMABS(Table3[[#This Row],[H(s)]]))</f>
        <v>-9.6366309883214356</v>
      </c>
      <c r="L125" s="11">
        <f>DEGREES(IMARGUMENT(Table3[[#This Row],[H(s)]]))</f>
        <v>-70.747151355389022</v>
      </c>
    </row>
    <row r="126" spans="7:12" ht="16.5" customHeight="1" x14ac:dyDescent="0.25">
      <c r="G126">
        <v>0.48</v>
      </c>
      <c r="H126">
        <f>_fc*10^Table3[[#This Row],[Decade]]</f>
        <v>3019.9517204020167</v>
      </c>
      <c r="I126" t="str">
        <f>COMPLEX(0,2*PI()*Table3[[#This Row],[f]],"j")</f>
        <v>18974.9162780217j</v>
      </c>
      <c r="J126" t="str">
        <f>IMDIV(1,
 IMSUM(1,
 IMPRODUCT(Table3[[#This Row],[s]],_R,_C)))</f>
        <v>0.100117893967919-0.300157127643751j</v>
      </c>
      <c r="K126" s="11">
        <f>20*LOG(IMABS(Table3[[#This Row],[H(s)]]))</f>
        <v>-9.9948829457851254</v>
      </c>
      <c r="L126" s="11">
        <f>DEGREES(IMARGUMENT(Table3[[#This Row],[H(s)]]))</f>
        <v>-71.553796080047874</v>
      </c>
    </row>
    <row r="127" spans="7:12" ht="16.5" customHeight="1" x14ac:dyDescent="0.25">
      <c r="G127">
        <v>0.5</v>
      </c>
      <c r="H127">
        <f>_fc*10^Table3[[#This Row],[Decade]]</f>
        <v>3162.2776601683795</v>
      </c>
      <c r="I127" t="str">
        <f>COMPLEX(0,2*PI()*Table3[[#This Row],[f]],"j")</f>
        <v>19869.1765315922j</v>
      </c>
      <c r="J127" t="str">
        <f>IMDIV(1,
 IMSUM(1,
 IMPRODUCT(Table3[[#This Row],[s]],_R,_C)))</f>
        <v>0.0921201172901286-0.28919543786267j</v>
      </c>
      <c r="K127" s="11">
        <f>20*LOG(IMABS(Table3[[#This Row],[H(s)]]))</f>
        <v>-10.356455177505426</v>
      </c>
      <c r="L127" s="11">
        <f>DEGREES(IMARGUMENT(Table3[[#This Row],[H(s)]]))</f>
        <v>-72.331277590703579</v>
      </c>
    </row>
    <row r="128" spans="7:12" ht="16.5" customHeight="1" x14ac:dyDescent="0.25">
      <c r="G128">
        <v>0.52</v>
      </c>
      <c r="H128">
        <f>_fc*10^Table3[[#This Row],[Decade]]</f>
        <v>3311.3112148259115</v>
      </c>
      <c r="I128" t="str">
        <f>COMPLEX(0,2*PI()*Table3[[#This Row],[f]],"j")</f>
        <v>20805.5819724932j</v>
      </c>
      <c r="J128" t="str">
        <f>IMDIV(1,
 IMSUM(1,
 IMPRODUCT(Table3[[#This Row],[s]],_R,_C)))</f>
        <v>0.0847010963089029-0.278436385181558j</v>
      </c>
      <c r="K128" s="11">
        <f>20*LOG(IMABS(Table3[[#This Row],[H(s)]]))</f>
        <v>-10.721109684434875</v>
      </c>
      <c r="L128" s="11">
        <f>DEGREES(IMARGUMENT(Table3[[#This Row],[H(s)]]))</f>
        <v>-73.080098164924394</v>
      </c>
    </row>
    <row r="129" spans="7:12" ht="16.5" customHeight="1" x14ac:dyDescent="0.25">
      <c r="G129">
        <v>0.54</v>
      </c>
      <c r="H129">
        <f>_fc*10^Table3[[#This Row],[Decade]]</f>
        <v>3467.3685045253169</v>
      </c>
      <c r="I129" t="str">
        <f>COMPLEX(0,2*PI()*Table3[[#This Row],[f]],"j")</f>
        <v>21786.1188422107j</v>
      </c>
      <c r="J129" t="str">
        <f>IMDIV(1,
 IMSUM(1,
 IMPRODUCT(Table3[[#This Row],[s]],_R,_C)))</f>
        <v>0.0778283554229062-0.267901292484885j</v>
      </c>
      <c r="K129" s="11">
        <f>20*LOG(IMABS(Table3[[#This Row],[H(s)]]))</f>
        <v>-11.088621464534906</v>
      </c>
      <c r="L129" s="11">
        <f>DEGREES(IMARGUMENT(Table3[[#This Row],[H(s)]]))</f>
        <v>-73.800821433644685</v>
      </c>
    </row>
    <row r="130" spans="7:12" ht="16.5" customHeight="1" x14ac:dyDescent="0.25">
      <c r="G130">
        <v>0.56000000000000005</v>
      </c>
      <c r="H130">
        <f>_fc*10^Table3[[#This Row],[Decade]]</f>
        <v>3630.7805477010138</v>
      </c>
      <c r="I130" t="str">
        <f>COMPLEX(0,2*PI()*Table3[[#This Row],[f]],"j")</f>
        <v>22812.8669909085j</v>
      </c>
      <c r="J130" t="str">
        <f>IMDIV(1,
 IMSUM(1,
 IMPRODUCT(Table3[[#This Row],[s]],_R,_C)))</f>
        <v>0.0714697321735551-0.257607860044284j</v>
      </c>
      <c r="K130" s="11">
        <f>20*LOG(IMABS(Table3[[#This Row],[H(s)]]))</f>
        <v>-11.458778453756073</v>
      </c>
      <c r="L130" s="11">
        <f>DEGREES(IMARGUMENT(Table3[[#This Row],[H(s)]]))</f>
        <v>-74.494062446818688</v>
      </c>
    </row>
    <row r="131" spans="7:12" ht="16.5" customHeight="1" x14ac:dyDescent="0.25">
      <c r="G131">
        <v>0.58000000000000007</v>
      </c>
      <c r="H131">
        <f>_fc*10^Table3[[#This Row],[Decade]]</f>
        <v>3801.8939632056126</v>
      </c>
      <c r="I131" t="str">
        <f>COMPLEX(0,2*PI()*Table3[[#This Row],[f]],"j")</f>
        <v>23888.0042890683j</v>
      </c>
      <c r="J131" t="str">
        <f>IMDIV(1,
 IMSUM(1,
 IMPRODUCT(Table3[[#This Row],[s]],_R,_C)))</f>
        <v>0.065593660210487-0.247570458558121j</v>
      </c>
      <c r="K131" s="11">
        <f>20*LOG(IMABS(Table3[[#This Row],[H(s)]]))</f>
        <v>-11.831381342318997</v>
      </c>
      <c r="L131" s="11">
        <f>DEGREES(IMARGUMENT(Table3[[#This Row],[H(s)]]))</f>
        <v>-75.160478500092708</v>
      </c>
    </row>
    <row r="132" spans="7:12" ht="16.5" customHeight="1" x14ac:dyDescent="0.25">
      <c r="G132">
        <v>0.60000000000000009</v>
      </c>
      <c r="H132">
        <f>_fc*10^Table3[[#This Row],[Decade]]</f>
        <v>3981.0717055349737</v>
      </c>
      <c r="I132" t="str">
        <f>COMPLEX(0,2*PI()*Table3[[#This Row],[f]],"j")</f>
        <v>25013.8112470457j</v>
      </c>
      <c r="J132" t="str">
        <f>IMDIV(1,
 IMSUM(1,
 IMPRODUCT(Table3[[#This Row],[s]],_R,_C)))</f>
        <v>0.0601693986609635-0.237800424990666j</v>
      </c>
      <c r="K132" s="11">
        <f>20*LOG(IMABS(Table3[[#This Row],[H(s)]]))</f>
        <v>-12.206243288694944</v>
      </c>
      <c r="L132" s="11">
        <f>DEGREES(IMARGUMENT(Table3[[#This Row],[H(s)]]))</f>
        <v>-75.800760739937999</v>
      </c>
    </row>
    <row r="133" spans="7:12" ht="16.5" customHeight="1" x14ac:dyDescent="0.25">
      <c r="G133">
        <v>0.62000000000000011</v>
      </c>
      <c r="H133">
        <f>_fc*10^Table3[[#This Row],[Decade]]</f>
        <v>4168.6938347033556</v>
      </c>
      <c r="I133" t="str">
        <f>COMPLEX(0,2*PI()*Table3[[#This Row],[f]],"j")</f>
        <v>26192.6758523383j</v>
      </c>
      <c r="J133" t="str">
        <f>IMDIV(1,
 IMSUM(1,
 IMPRODUCT(Table3[[#This Row],[s]],_R,_C)))</f>
        <v>0.055167213063559-0.228306354853208j</v>
      </c>
      <c r="K133" s="11">
        <f>20*LOG(IMABS(Table3[[#This Row],[H(s)]]))</f>
        <v>-12.583189551702183</v>
      </c>
      <c r="L133" s="11">
        <f>DEGREES(IMARGUMENT(Table3[[#This Row],[H(s)]]))</f>
        <v>-76.415626545919977</v>
      </c>
    </row>
    <row r="134" spans="7:12" ht="16.5" customHeight="1" x14ac:dyDescent="0.25">
      <c r="G134">
        <v>0.64000000000000012</v>
      </c>
      <c r="H134">
        <f>_fc*10^Table3[[#This Row],[Decade]]</f>
        <v>4365.1583224016613</v>
      </c>
      <c r="I134" t="str">
        <f>COMPLEX(0,2*PI()*Table3[[#This Row],[f]],"j")</f>
        <v>27427.0986348268j</v>
      </c>
      <c r="J134" t="str">
        <f>IMDIV(1,
 IMSUM(1,
 IMPRODUCT(Table3[[#This Row],[s]],_R,_C)))</f>
        <v>0.0505585132180291-0.21909438596005j</v>
      </c>
      <c r="K134" s="11">
        <f>20*LOG(IMABS(Table3[[#This Row],[H(s)]]))</f>
        <v>-12.962057059024879</v>
      </c>
      <c r="L134" s="11">
        <f>DEGREES(IMARGUMENT(Table3[[#This Row],[H(s)]]))</f>
        <v>-77.005812673873166</v>
      </c>
    </row>
    <row r="135" spans="7:12" ht="16.5" customHeight="1" x14ac:dyDescent="0.25">
      <c r="G135">
        <v>0.66000000000000014</v>
      </c>
      <c r="H135">
        <f>_fc*10^Table3[[#This Row],[Decade]]</f>
        <v>4570.8818961487523</v>
      </c>
      <c r="I135" t="str">
        <f>COMPLEX(0,2*PI()*Table3[[#This Row],[f]],"j")</f>
        <v>28719.697970735j</v>
      </c>
      <c r="J135" t="str">
        <f>IMDIV(1,
 IMSUM(1,
 IMPRODUCT(Table3[[#This Row],[s]],_R,_C)))</f>
        <v>0.0463159532791875-0.21016846992598j</v>
      </c>
      <c r="K135" s="11">
        <f>20*LOG(IMABS(Table3[[#This Row],[H(s)]]))</f>
        <v>-13.342693928318571</v>
      </c>
      <c r="L135" s="11">
        <f>DEGREES(IMARGUMENT(Table3[[#This Row],[H(s)]]))</f>
        <v>-77.572069132311469</v>
      </c>
    </row>
    <row r="136" spans="7:12" ht="16.5" customHeight="1" x14ac:dyDescent="0.25">
      <c r="G136">
        <v>0.68000000000000016</v>
      </c>
      <c r="H136">
        <f>_fc*10^Table3[[#This Row],[Decade]]</f>
        <v>4786.3009232263867</v>
      </c>
      <c r="I136" t="str">
        <f>COMPLEX(0,2*PI()*Table3[[#This Row],[f]],"j")</f>
        <v>30073.2156365561j</v>
      </c>
      <c r="J136" t="str">
        <f>IMDIV(1,
 IMSUM(1,
 IMPRODUCT(Table3[[#This Row],[s]],_R,_C)))</f>
        <v>0.0424134992377767-0.201530628739613j</v>
      </c>
      <c r="K136" s="11">
        <f>20*LOG(IMABS(Table3[[#This Row],[H(s)]]))</f>
        <v>-13.7249589549677</v>
      </c>
      <c r="L136" s="11">
        <f>DEGREES(IMARGUMENT(Table3[[#This Row],[H(s)]]))</f>
        <v>-78.115153755992637</v>
      </c>
    </row>
    <row r="137" spans="7:12" ht="16.5" customHeight="1" x14ac:dyDescent="0.25">
      <c r="G137">
        <v>0.70000000000000018</v>
      </c>
      <c r="H137">
        <f>_fc*10^Table3[[#This Row],[Decade]]</f>
        <v>5011.872336272726</v>
      </c>
      <c r="I137" t="str">
        <f>COMPLEX(0,2*PI()*Table3[[#This Row],[f]],"j")</f>
        <v>31490.5226247286j</v>
      </c>
      <c r="J137" t="str">
        <f>IMDIV(1,
 IMSUM(1,
 IMPRODUCT(Table3[[#This Row],[s]],_R,_C)))</f>
        <v>0.0388264686329826-0.19318119465019j</v>
      </c>
      <c r="K137" s="11">
        <f>20*LOG(IMABS(Table3[[#This Row],[H(s)]]))</f>
        <v>-14.108721078560118</v>
      </c>
      <c r="L137" s="11">
        <f>DEGREES(IMARGUMENT(Table3[[#This Row],[H(s)]]))</f>
        <v>-78.635827434755186</v>
      </c>
    </row>
    <row r="138" spans="7:12" ht="16.5" customHeight="1" x14ac:dyDescent="0.25">
      <c r="G138">
        <v>0.7200000000000002</v>
      </c>
      <c r="H138">
        <f>_fc*10^Table3[[#This Row],[Decade]]</f>
        <v>5248.0746024977298</v>
      </c>
      <c r="I138" t="str">
        <f>COMPLEX(0,2*PI()*Table3[[#This Row],[f]],"j")</f>
        <v>32974.6252333961j</v>
      </c>
      <c r="J138" t="str">
        <f>IMDIV(1,
 IMSUM(1,
 IMPRODUCT(Table3[[#This Row],[s]],_R,_C)))</f>
        <v>0.0355315469690628-0.18511903235229j</v>
      </c>
      <c r="K138" s="11">
        <f>20*LOG(IMABS(Table3[[#This Row],[H(s)]]))</f>
        <v>-14.49385883827806</v>
      </c>
      <c r="L138" s="11">
        <f>DEGREES(IMARGUMENT(Table3[[#This Row],[H(s)]]))</f>
        <v>-79.134849952109576</v>
      </c>
    </row>
    <row r="139" spans="7:12" ht="16.5" customHeight="1" x14ac:dyDescent="0.25">
      <c r="G139">
        <v>0.74000000000000021</v>
      </c>
      <c r="H139">
        <f>_fc*10^Table3[[#This Row],[Decade]]</f>
        <v>5495.4087385762496</v>
      </c>
      <c r="I139" t="str">
        <f>COMPLEX(0,2*PI()*Table3[[#This Row],[f]],"j")</f>
        <v>34528.6714431686j</v>
      </c>
      <c r="J139" t="str">
        <f>IMDIV(1,
 IMSUM(1,
 IMPRODUCT(Table3[[#This Row],[s]],_R,_C)))</f>
        <v>0.032506784894413-0.177341743056285j</v>
      </c>
      <c r="K139" s="11">
        <f>20*LOG(IMABS(Table3[[#This Row],[H(s)]]))</f>
        <v>-14.880259825698223</v>
      </c>
      <c r="L139" s="11">
        <f>DEGREES(IMARGUMENT(Table3[[#This Row],[H(s)]]))</f>
        <v>-79.612976386215109</v>
      </c>
    </row>
    <row r="140" spans="7:12" ht="16.5" customHeight="1" x14ac:dyDescent="0.25">
      <c r="G140">
        <v>0.76000000000000023</v>
      </c>
      <c r="H140">
        <f>_fc*10^Table3[[#This Row],[Decade]]</f>
        <v>5754.3993733715743</v>
      </c>
      <c r="I140" t="str">
        <f>COMPLEX(0,2*PI()*Table3[[#This Row],[f]],"j")</f>
        <v>36155.9575944117j</v>
      </c>
      <c r="J140" t="str">
        <f>IMDIV(1,
 IMSUM(1,
 IMPRODUCT(Table3[[#This Row],[s]],_R,_C)))</f>
        <v>0.0297315797703143-0.169845850507676j</v>
      </c>
      <c r="K140" s="11">
        <f>20*LOG(IMABS(Table3[[#This Row],[H(s)]]))</f>
        <v>-15.267820141955832</v>
      </c>
      <c r="L140" s="11">
        <f>DEGREES(IMARGUMENT(Table3[[#This Row],[H(s)]]))</f>
        <v>-80.070954025437885</v>
      </c>
    </row>
    <row r="141" spans="7:12" ht="16.5" customHeight="1" x14ac:dyDescent="0.25">
      <c r="G141">
        <v>0.78000000000000025</v>
      </c>
      <c r="H141">
        <f>_fc*10^Table3[[#This Row],[Decade]]</f>
        <v>6025.5958607435823</v>
      </c>
      <c r="I141" t="str">
        <f>COMPLEX(0,2*PI()*Table3[[#This Row],[f]],"j")</f>
        <v>37859.9353792262j</v>
      </c>
      <c r="J141" t="str">
        <f>IMDIV(1,
 IMSUM(1,
 IMPRODUCT(Table3[[#This Row],[s]],_R,_C)))</f>
        <v>0.0271866448273744-0.162626969382094j</v>
      </c>
      <c r="K141" s="11">
        <f>20*LOG(IMABS(Table3[[#This Row],[H(s)]]))</f>
        <v>-15.656443864863389</v>
      </c>
      <c r="L141" s="11">
        <f>DEGREES(IMARGUMENT(Table3[[#This Row],[H(s)]]))</f>
        <v>-80.509519751354901</v>
      </c>
    </row>
    <row r="142" spans="7:12" ht="16.5" customHeight="1" x14ac:dyDescent="0.25">
      <c r="G142">
        <v>0.80000000000000027</v>
      </c>
      <c r="H142">
        <f>_fc*10^Table3[[#This Row],[Decade]]</f>
        <v>6309.5734448019375</v>
      </c>
      <c r="I142" t="str">
        <f>COMPLEX(0,2*PI()*Table3[[#This Row],[f]],"j")</f>
        <v>39644.21916295j</v>
      </c>
      <c r="J142" t="str">
        <f>IMDIV(1,
 IMSUM(1,
 IMPRODUCT(Table3[[#This Row],[s]],_R,_C)))</f>
        <v>0.024853968693885-0.155679956751177j</v>
      </c>
      <c r="K142" s="11">
        <f>20*LOG(IMABS(Table3[[#This Row],[H(s)]]))</f>
        <v>-16.046042530378493</v>
      </c>
      <c r="L142" s="11">
        <f>DEGREES(IMARGUMENT(Table3[[#This Row],[H(s)]]))</f>
        <v>-80.929397843569376</v>
      </c>
    </row>
    <row r="143" spans="7:12" ht="16.5" customHeight="1" x14ac:dyDescent="0.25">
      <c r="G143">
        <v>0.81999999999999984</v>
      </c>
      <c r="H143">
        <f>_fc*10^Table3[[#This Row],[Decade]]</f>
        <v>6606.9344800759582</v>
      </c>
      <c r="I143" t="str">
        <f>COMPLEX(0,2*PI()*Table3[[#This Row],[f]],"j")</f>
        <v>41512.5936507115j</v>
      </c>
      <c r="J143" t="str">
        <f>IMDIV(1,
 IMSUM(1,
 IMPRODUCT(Table3[[#This Row],[s]],_R,_C)))</f>
        <v>0.0227167676912214-0.148999047503279j</v>
      </c>
      <c r="K143" s="11">
        <f>20*LOG(IMABS(Table3[[#This Row],[H(s)]]))</f>
        <v>-16.436534631780649</v>
      </c>
      <c r="L143" s="11">
        <f>DEGREES(IMARGUMENT(Table3[[#This Row],[H(s)]]))</f>
        <v>-81.331298162800167</v>
      </c>
    </row>
    <row r="144" spans="7:12" ht="16.5" customHeight="1" x14ac:dyDescent="0.25">
      <c r="G144">
        <v>0.83999999999999986</v>
      </c>
      <c r="H144">
        <f>_fc*10^Table3[[#This Row],[Decade]]</f>
        <v>6918.3097091893633</v>
      </c>
      <c r="I144" t="str">
        <f>COMPLEX(0,2*PI()*Table3[[#This Row],[f]],"j")</f>
        <v>43469.0219152965j</v>
      </c>
      <c r="J144" t="str">
        <f>IMDIV(1,
 IMSUM(1,
 IMPRODUCT(Table3[[#This Row],[s]],_R,_C)))</f>
        <v>0.0207594329327719-0.142577974726399j</v>
      </c>
      <c r="K144" s="11">
        <f>20*LOG(IMABS(Table3[[#This Row],[H(s)]]))</f>
        <v>-16.827845139031375</v>
      </c>
      <c r="L144" s="11">
        <f>DEGREES(IMARGUMENT(Table3[[#This Row],[H(s)]]))</f>
        <v>-81.715914671218187</v>
      </c>
    </row>
    <row r="145" spans="7:12" ht="16.5" customHeight="1" x14ac:dyDescent="0.25">
      <c r="G145">
        <v>0.85999999999999988</v>
      </c>
      <c r="H145">
        <f>_fc*10^Table3[[#This Row],[Decade]]</f>
        <v>7244.3596007499009</v>
      </c>
      <c r="I145" t="str">
        <f>COMPLEX(0,2*PI()*Table3[[#This Row],[f]],"j")</f>
        <v>45517.6538033571j</v>
      </c>
      <c r="J145" t="str">
        <f>IMDIV(1,
 IMSUM(1,
 IMPRODUCT(Table3[[#This Row],[s]],_R,_C)))</f>
        <v>0.0189674739378045-0.136410076131579j</v>
      </c>
      <c r="K145" s="11">
        <f>20*LOG(IMABS(Table3[[#This Row],[H(s)]]))</f>
        <v>-17.219905040043976</v>
      </c>
      <c r="L145" s="11">
        <f>DEGREES(IMARGUMENT(Table3[[#This Row],[H(s)]]))</f>
        <v>-82.08392425176261</v>
      </c>
    </row>
    <row r="146" spans="7:12" ht="16.5" customHeight="1" x14ac:dyDescent="0.25">
      <c r="G146">
        <v>0.87999999999999989</v>
      </c>
      <c r="H146">
        <f>_fc*10^Table3[[#This Row],[Decade]]</f>
        <v>7585.7757502918375</v>
      </c>
      <c r="I146" t="str">
        <f>COMPLEX(0,2*PI()*Table3[[#This Row],[f]],"j")</f>
        <v>47662.8347377929j</v>
      </c>
      <c r="J146" t="str">
        <f>IMDIV(1,
 IMSUM(1,
 IMPRODUCT(Table3[[#This Row],[s]],_R,_C)))</f>
        <v>0.0173274601811825-0.130488387624539j</v>
      </c>
      <c r="K146" s="11">
        <f>20*LOG(IMABS(Table3[[#This Row],[H(s)]]))</f>
        <v>-17.612650904963139</v>
      </c>
      <c r="L146" s="11">
        <f>DEGREES(IMARGUMENT(Table3[[#This Row],[H(s)]]))</f>
        <v>-82.435985791063317</v>
      </c>
    </row>
    <row r="147" spans="7:12" ht="16.5" customHeight="1" x14ac:dyDescent="0.25">
      <c r="G147">
        <v>0.89999999999999991</v>
      </c>
      <c r="H147">
        <f>_fc*10^Table3[[#This Row],[Decade]]</f>
        <v>7943.2823472428136</v>
      </c>
      <c r="I147" t="str">
        <f>COMPLEX(0,2*PI()*Table3[[#This Row],[f]],"j")</f>
        <v>49909.114934975j</v>
      </c>
      <c r="J147" t="str">
        <f>IMDIV(1,
 IMSUM(1,
 IMPRODUCT(Table3[[#This Row],[s]],_R,_C)))</f>
        <v>0.0158269617434972-0.124805725130969j</v>
      </c>
      <c r="K147" s="11">
        <f>20*LOG(IMABS(Table3[[#This Row],[H(s)]]))</f>
        <v>-18.006024474039634</v>
      </c>
      <c r="L147" s="11">
        <f>DEGREES(IMARGUMENT(Table3[[#This Row],[H(s)]]))</f>
        <v>-82.772739493520191</v>
      </c>
    </row>
    <row r="148" spans="7:12" ht="16.5" customHeight="1" x14ac:dyDescent="0.25">
      <c r="G148">
        <v>0.91999999999999993</v>
      </c>
      <c r="H148">
        <f>_fc*10^Table3[[#This Row],[Decade]]</f>
        <v>8317.6377110267113</v>
      </c>
      <c r="I148" t="str">
        <f>COMPLEX(0,2*PI()*Table3[[#This Row],[f]],"j")</f>
        <v>52261.2590563659j</v>
      </c>
      <c r="J148" t="str">
        <f>IMDIV(1,
 IMSUM(1,
 IMPRODUCT(Table3[[#This Row],[s]],_R,_C)))</f>
        <v>0.0144544900025198-0.119354755754795j</v>
      </c>
      <c r="K148" s="11">
        <f>20*LOG(IMABS(Table3[[#This Row],[H(s)]]))</f>
        <v>-18.399972269264829</v>
      </c>
      <c r="L148" s="11">
        <f>DEGREES(IMARGUMENT(Table3[[#This Row],[H(s)]]))</f>
        <v>-83.094806396978527</v>
      </c>
    </row>
    <row r="149" spans="7:12" ht="16.5" customHeight="1" x14ac:dyDescent="0.25">
      <c r="G149">
        <v>0.94</v>
      </c>
      <c r="H149">
        <f>_fc*10^Table3[[#This Row],[Decade]]</f>
        <v>8709.6358995608043</v>
      </c>
      <c r="I149" t="str">
        <f>COMPLEX(0,2*PI()*Table3[[#This Row],[f]],"j")</f>
        <v>54724.2563150043j</v>
      </c>
      <c r="J149" t="str">
        <f>IMDIV(1,
 IMSUM(1,
 IMPRODUCT(Table3[[#This Row],[s]],_R,_C)))</f>
        <v>0.0131994391137487-0.114128059305463j</v>
      </c>
      <c r="K149" s="11">
        <f>20*LOG(IMABS(Table3[[#This Row],[H(s)]]))</f>
        <v>-18.794445229592437</v>
      </c>
      <c r="L149" s="11">
        <f>DEGREES(IMARGUMENT(Table3[[#This Row],[H(s)]]))</f>
        <v>-83.402788063232052</v>
      </c>
    </row>
    <row r="150" spans="7:12" ht="16.5" customHeight="1" x14ac:dyDescent="0.25">
      <c r="G150">
        <v>0.96</v>
      </c>
      <c r="H150">
        <f>_fc*10^Table3[[#This Row],[Decade]]</f>
        <v>9120.1083935590977</v>
      </c>
      <c r="I150" t="str">
        <f>COMPLEX(0,2*PI()*Table3[[#This Row],[f]],"j")</f>
        <v>57303.3310582957j</v>
      </c>
      <c r="J150" t="str">
        <f>IMDIV(1,
 IMSUM(1,
 IMPRODUCT(Table3[[#This Row],[s]],_R,_C)))</f>
        <v>0.0120520288626953-0.109118181175219j</v>
      </c>
      <c r="K150" s="11">
        <f>20*LOG(IMABS(Table3[[#This Row],[H(s)]]))</f>
        <v>-19.189398369311206</v>
      </c>
      <c r="L150" s="11">
        <f>DEGREES(IMARGUMENT(Table3[[#This Row],[H(s)]]))</f>
        <v>-83.697266419248621</v>
      </c>
    </row>
    <row r="151" spans="7:12" ht="16.5" customHeight="1" x14ac:dyDescent="0.25">
      <c r="G151">
        <v>0.98</v>
      </c>
      <c r="H151">
        <f>_fc*10^Table3[[#This Row],[Decade]]</f>
        <v>9549.9258602143582</v>
      </c>
      <c r="I151" t="str">
        <f>COMPLEX(0,2*PI()*Table3[[#This Row],[f]],"j")</f>
        <v>60003.9538495532j</v>
      </c>
      <c r="J151" t="str">
        <f>IMDIV(1,
 IMSUM(1,
 IMPRODUCT(Table3[[#This Row],[s]],_R,_C)))</f>
        <v>0.0110032493316959-0.104317677484885j</v>
      </c>
      <c r="K151" s="11">
        <f>20*LOG(IMABS(Table3[[#This Row],[H(s)]]))</f>
        <v>-19.584790458925475</v>
      </c>
      <c r="L151" s="11">
        <f>DEGREES(IMARGUMENT(Table3[[#This Row],[H(s)]]))</f>
        <v>-83.978803727522688</v>
      </c>
    </row>
    <row r="152" spans="7:12" ht="16.5" customHeight="1" x14ac:dyDescent="0.25">
      <c r="G152">
        <v>1</v>
      </c>
      <c r="H152">
        <f>_fc*10^Table3[[#This Row],[Decade]]</f>
        <v>10000</v>
      </c>
      <c r="I152" t="str">
        <f>COMPLEX(0,2*PI()*Table3[[#This Row],[f]],"j")</f>
        <v>62831.8530717959j</v>
      </c>
      <c r="J152" t="str">
        <f>IMDIV(1,
 IMSUM(1,
 IMPRODUCT(Table3[[#This Row],[s]],_R,_C)))</f>
        <v>0.0100448077067012-0.0997191533499786j</v>
      </c>
      <c r="K152" s="11">
        <f>20*LOG(IMABS(Table3[[#This Row],[H(s)]]))</f>
        <v>-19.980583727751593</v>
      </c>
      <c r="L152" s="11">
        <f>DEGREES(IMARGUMENT(Table3[[#This Row],[H(s)]]))</f>
        <v>-84.247942666289958</v>
      </c>
    </row>
    <row r="153" spans="7:12" ht="16.5" customHeight="1" x14ac:dyDescent="0.25">
      <c r="G153">
        <v>1.02</v>
      </c>
      <c r="H153">
        <f>_fc*10^Table3[[#This Row],[Decade]]</f>
        <v>10471.285480508999</v>
      </c>
      <c r="I153" t="str">
        <f>COMPLEX(0,2*PI()*Table3[[#This Row],[f]],"j")</f>
        <v>65793.0270784171j</v>
      </c>
      <c r="J153" t="str">
        <f>IMDIV(1,
 IMSUM(1,
 IMPRODUCT(Table3[[#This Row],[s]],_R,_C)))</f>
        <v>0.00916907745198206-0.0953152950510127j</v>
      </c>
      <c r="K153" s="11">
        <f>20*LOG(IMABS(Table3[[#This Row],[H(s)]]))</f>
        <v>-20.376743587322601</v>
      </c>
      <c r="L153" s="11">
        <f>DEGREES(IMARGUMENT(Table3[[#This Row],[H(s)]]))</f>
        <v>-84.505206502504763</v>
      </c>
    </row>
    <row r="154" spans="7:12" ht="16.5" customHeight="1" x14ac:dyDescent="0.25">
      <c r="G154">
        <v>1.04</v>
      </c>
      <c r="H154">
        <f>_fc*10^Table3[[#This Row],[Decade]]</f>
        <v>10964.781961431854</v>
      </c>
      <c r="I154" t="str">
        <f>COMPLEX(0,2*PI()*Table3[[#This Row],[f]],"j")</f>
        <v>68893.7569164964j</v>
      </c>
      <c r="J154" t="str">
        <f>IMDIV(1,
 IMSUM(1,
 IMPRODUCT(Table3[[#This Row],[s]],_R,_C)))</f>
        <v>0.00836905000048121-0.0910988968241145j</v>
      </c>
      <c r="K154" s="11">
        <f>20*LOG(IMABS(Table3[[#This Row],[H(s)]]))</f>
        <v>-20.77323837462486</v>
      </c>
      <c r="L154" s="11">
        <f>DEGREES(IMARGUMENT(Table3[[#This Row],[H(s)]]))</f>
        <v>-84.751099342452193</v>
      </c>
    </row>
    <row r="155" spans="7:12" ht="16.5" customHeight="1" x14ac:dyDescent="0.25">
      <c r="G155">
        <v>1.06</v>
      </c>
      <c r="H155">
        <f>_fc*10^Table3[[#This Row],[Decade]]</f>
        <v>11481.536214968834</v>
      </c>
      <c r="I155" t="str">
        <f>COMPLEX(0,2*PI()*Table3[[#This Row],[f]],"j")</f>
        <v>72140.6196497425j</v>
      </c>
      <c r="J155" t="str">
        <f>IMDIV(1,
 IMSUM(1,
 IMPRODUCT(Table3[[#This Row],[s]],_R,_C)))</f>
        <v>0.0076382890422585-0.0870628829224338j</v>
      </c>
      <c r="K155" s="11">
        <f>20*LOG(IMABS(Table3[[#This Row],[H(s)]]))</f>
        <v>-21.170039114140259</v>
      </c>
      <c r="L155" s="11">
        <f>DEGREES(IMARGUMENT(Table3[[#This Row],[H(s)]]))</f>
        <v>-84.986106446674654</v>
      </c>
    </row>
    <row r="156" spans="7:12" ht="16.5" customHeight="1" x14ac:dyDescent="0.25">
      <c r="G156">
        <v>1.08</v>
      </c>
      <c r="H156">
        <f>_fc*10^Table3[[#This Row],[Decade]]</f>
        <v>12022.644346174133</v>
      </c>
      <c r="I156" t="str">
        <f>COMPLEX(0,2*PI()*Table3[[#This Row],[f]],"j")</f>
        <v>75540.502309327j</v>
      </c>
      <c r="J156" t="str">
        <f>IMDIV(1,
 IMSUM(1,
 IMPRODUCT(Table3[[#This Row],[s]],_R,_C)))</f>
        <v>0.00697088744100227-0.0832003255359446j</v>
      </c>
      <c r="K156" s="11">
        <f>20*LOG(IMABS(Table3[[#This Row],[H(s)]]))</f>
        <v>-21.567119297647498</v>
      </c>
      <c r="L156" s="11">
        <f>DEGREES(IMARGUMENT(Table3[[#This Row],[H(s)]]))</f>
        <v>-85.210694597521993</v>
      </c>
    </row>
    <row r="157" spans="7:12" ht="16.5" customHeight="1" x14ac:dyDescent="0.25">
      <c r="G157">
        <v>1.1000000000000001</v>
      </c>
      <c r="H157">
        <f>_fc*10^Table3[[#This Row],[Decade]]</f>
        <v>12589.25411794168</v>
      </c>
      <c r="I157" t="str">
        <f>COMPLEX(0,2*PI()*Table3[[#This Row],[f]],"j")</f>
        <v>79100.6165022013j</v>
      </c>
      <c r="J157" t="str">
        <f>IMDIV(1,
 IMSUM(1,
 IMPRODUCT(Table3[[#This Row],[s]],_R,_C)))</f>
        <v>0.00636142676697131-0.0795044590979636j</v>
      </c>
      <c r="K157" s="11">
        <f>20*LOG(IMABS(Table3[[#This Row],[H(s)]]))</f>
        <v>-21.964454680732789</v>
      </c>
      <c r="L157" s="11">
        <f>DEGREES(IMARGUMENT(Table3[[#This Row],[H(s)]]))</f>
        <v>-85.425312509107755</v>
      </c>
    </row>
    <row r="158" spans="7:12" ht="16.5" customHeight="1" x14ac:dyDescent="0.25">
      <c r="G158">
        <v>1.1200000000000001</v>
      </c>
      <c r="H158">
        <f>_fc*10^Table3[[#This Row],[Decade]]</f>
        <v>13182.567385564076</v>
      </c>
      <c r="I158" t="str">
        <f>COMPLEX(0,2*PI()*Table3[[#This Row],[f]],"j")</f>
        <v>82828.513707881j</v>
      </c>
      <c r="J158" t="str">
        <f>IMDIV(1,
 IMSUM(1,
 IMPRODUCT(Table3[[#This Row],[s]],_R,_C)))</f>
        <v>0.00580493940230092-0.0759686914513902j</v>
      </c>
      <c r="K158" s="11">
        <f>20*LOG(IMABS(Table3[[#This Row],[H(s)]]))</f>
        <v>-22.362023094971025</v>
      </c>
      <c r="L158" s="11">
        <f>DEGREES(IMARGUMENT(Table3[[#This Row],[H(s)]]))</f>
        <v>-85.630391270772876</v>
      </c>
    </row>
    <row r="159" spans="7:12" ht="16.5" customHeight="1" x14ac:dyDescent="0.25">
      <c r="G159">
        <v>1.1400000000000001</v>
      </c>
      <c r="H159">
        <f>_fc*10^Table3[[#This Row],[Decade]]</f>
        <v>13803.842646028857</v>
      </c>
      <c r="I159" t="str">
        <f>COMPLEX(0,2*PI()*Table3[[#This Row],[f]],"j")</f>
        <v>86732.1012961475j</v>
      </c>
      <c r="J159" t="str">
        <f>IMDIV(1,
 IMSUM(1,
 IMPRODUCT(Table3[[#This Row],[s]],_R,_C)))</f>
        <v>0.00529687314984761-0.0725866122964975j</v>
      </c>
      <c r="K159" s="11">
        <f>20*LOG(IMABS(Table3[[#This Row],[H(s)]]))</f>
        <v>-22.759804274761176</v>
      </c>
      <c r="L159" s="11">
        <f>DEGREES(IMARGUMENT(Table3[[#This Row],[H(s)]]))</f>
        <v>-85.826344816338334</v>
      </c>
    </row>
    <row r="160" spans="7:12" ht="16.5" customHeight="1" x14ac:dyDescent="0.25">
      <c r="G160">
        <v>1.1600000000000001</v>
      </c>
      <c r="H160">
        <f>_fc*10^Table3[[#This Row],[Decade]]</f>
        <v>14454.397707459282</v>
      </c>
      <c r="I160" t="str">
        <f>COMPLEX(0,2*PI()*Table3[[#This Row],[f]],"j")</f>
        <v>90819.6592996385j</v>
      </c>
      <c r="J160" t="str">
        <f>IMDIV(1,
 IMSUM(1,
 IMPRODUCT(Table3[[#This Row],[s]],_R,_C)))</f>
        <v>0.00483305825835952-0.0693519992951236j</v>
      </c>
      <c r="K160" s="11">
        <f>20*LOG(IMABS(Table3[[#This Row],[H(s)]]))</f>
        <v>-23.157779697832026</v>
      </c>
      <c r="L160" s="11">
        <f>DEGREES(IMARGUMENT(Table3[[#This Row],[H(s)]]))</f>
        <v>-86.013570412478586</v>
      </c>
    </row>
    <row r="161" spans="7:12" ht="16.5" customHeight="1" x14ac:dyDescent="0.25">
      <c r="G161">
        <v>1.1800000000000002</v>
      </c>
      <c r="H161">
        <f>_fc*10^Table3[[#This Row],[Decade]]</f>
        <v>15135.612484362091</v>
      </c>
      <c r="I161" t="str">
        <f>COMPLEX(0,2*PI()*Table3[[#This Row],[f]],"j")</f>
        <v>95099.8579769078j</v>
      </c>
      <c r="J161" t="str">
        <f>IMDIV(1,
 IMSUM(1,
 IMPRODUCT(Table3[[#This Row],[s]],_R,_C)))</f>
        <v>0.00440967676362525-0.0662588221632832j</v>
      </c>
      <c r="K161" s="11">
        <f>20*LOG(IMABS(Table3[[#This Row],[H(s)]]))</f>
        <v>-23.555932438470848</v>
      </c>
      <c r="L161" s="11">
        <f>DEGREES(IMARGUMENT(Table3[[#This Row],[H(s)]]))</f>
        <v>-86.192449160478958</v>
      </c>
    </row>
    <row r="162" spans="7:12" ht="16.5" customHeight="1" x14ac:dyDescent="0.25">
      <c r="G162">
        <v>1.2000000000000002</v>
      </c>
      <c r="H162">
        <f>_fc*10^Table3[[#This Row],[Decade]]</f>
        <v>15848.931924611143</v>
      </c>
      <c r="I162" t="str">
        <f>COMPLEX(0,2*PI()*Table3[[#This Row],[f]],"j")</f>
        <v>99581.7762032062j</v>
      </c>
      <c r="J162" t="str">
        <f>IMDIV(1,
 IMSUM(1,
 IMPRODUCT(Table3[[#This Row],[s]],_R,_C)))</f>
        <v>0.00402323403640408-0.0633012450453575j</v>
      </c>
      <c r="K162" s="11">
        <f>20*LOG(IMABS(Table3[[#This Row],[H(s)]]))</f>
        <v>-23.954247032570962</v>
      </c>
      <c r="L162" s="11">
        <f>DEGREES(IMARGUMENT(Table3[[#This Row],[H(s)]]))</f>
        <v>-86.363346506463955</v>
      </c>
    </row>
    <row r="163" spans="7:12" ht="16.5" customHeight="1" x14ac:dyDescent="0.25">
      <c r="G163">
        <v>1.2200000000000002</v>
      </c>
      <c r="H163">
        <f>_fc*10^Table3[[#This Row],[Decade]]</f>
        <v>16595.86907437562</v>
      </c>
      <c r="I163" t="str">
        <f>COMPLEX(0,2*PI()*Table3[[#This Row],[f]],"j")</f>
        <v>104274.920727993j</v>
      </c>
      <c r="J163" t="str">
        <f>IMDIV(1,
 IMSUM(1,
 IMPRODUCT(Table3[[#This Row],[s]],_R,_C)))</f>
        <v>0.00367053242256265-0.0604736274279753j</v>
      </c>
      <c r="K163" s="11">
        <f>20*LOG(IMABS(Table3[[#This Row],[H(s)]]))</f>
        <v>-24.352709353637163</v>
      </c>
      <c r="L163" s="11">
        <f>DEGREES(IMARGUMENT(Table3[[#This Row],[H(s)]]))</f>
        <v>-86.526612755910392</v>
      </c>
    </row>
    <row r="164" spans="7:12" ht="16.5" customHeight="1" x14ac:dyDescent="0.25">
      <c r="G164">
        <v>1.2400000000000002</v>
      </c>
      <c r="H164">
        <f>_fc*10^Table3[[#This Row],[Decade]]</f>
        <v>17378.008287493762</v>
      </c>
      <c r="I164" t="str">
        <f>COMPLEX(0,2*PI()*Table3[[#This Row],[f]],"j")</f>
        <v>109189.246340026j</v>
      </c>
      <c r="J164" t="str">
        <f>IMDIV(1,
 IMSUM(1,
 IMPRODUCT(Table3[[#This Row],[s]],_R,_C)))</f>
        <v>0.0033486468582386-0.057770523820175j</v>
      </c>
      <c r="K164" s="11">
        <f>20*LOG(IMABS(Table3[[#This Row],[H(s)]]))</f>
        <v>-24.751306498936781</v>
      </c>
      <c r="L164" s="11">
        <f>DEGREES(IMARGUMENT(Table3[[#This Row],[H(s)]]))</f>
        <v>-86.682583588897756</v>
      </c>
    </row>
    <row r="165" spans="7:12" ht="16.5" customHeight="1" x14ac:dyDescent="0.25">
      <c r="G165">
        <v>1.2600000000000002</v>
      </c>
      <c r="H165">
        <f>_fc*10^Table3[[#This Row],[Decade]]</f>
        <v>18197.008586099848</v>
      </c>
      <c r="I165" t="str">
        <f>COMPLEX(0,2*PI()*Table3[[#This Row],[f]],"j")</f>
        <v>114335.176982803j</v>
      </c>
      <c r="J165" t="str">
        <f>IMDIV(1,
 IMSUM(1,
 IMPRODUCT(Table3[[#This Row],[s]],_R,_C)))</f>
        <v>0.00305490234244795-0.0551866823982567j</v>
      </c>
      <c r="K165" s="11">
        <f>20*LOG(IMABS(Table3[[#This Row],[H(s)]]))</f>
        <v>-25.150026685028898</v>
      </c>
      <c r="L165" s="11">
        <f>DEGREES(IMARGUMENT(Table3[[#This Row],[H(s)]]))</f>
        <v>-86.831580573107829</v>
      </c>
    </row>
    <row r="166" spans="7:12" ht="16.5" customHeight="1" x14ac:dyDescent="0.25">
      <c r="G166">
        <v>1.2800000000000002</v>
      </c>
      <c r="H166">
        <f>_fc*10^Table3[[#This Row],[Decade]]</f>
        <v>19054.607179632483</v>
      </c>
      <c r="I166" t="str">
        <f>COMPLEX(0,2*PI()*Table3[[#This Row],[f]],"j")</f>
        <v>119723.627865145j</v>
      </c>
      <c r="J166" t="str">
        <f>IMDIV(1,
 IMSUM(1,
 IMPRODUCT(Table3[[#This Row],[s]],_R,_C)))</f>
        <v>0.00278685315085599-0.0527170427885666j</v>
      </c>
      <c r="K166" s="11">
        <f>20*LOG(IMABS(Table3[[#This Row],[H(s)]]))</f>
        <v>-25.548859151952602</v>
      </c>
      <c r="L166" s="11">
        <f>DEGREES(IMARGUMENT(Table3[[#This Row],[H(s)]]))</f>
        <v>-86.973911672076014</v>
      </c>
    </row>
    <row r="167" spans="7:12" ht="16.5" customHeight="1" x14ac:dyDescent="0.25">
      <c r="G167">
        <v>1.3000000000000003</v>
      </c>
      <c r="H167">
        <f>_fc*10^Table3[[#This Row],[Decade]]</f>
        <v>19952.623149688814</v>
      </c>
      <c r="I167" t="str">
        <f>COMPLEX(0,2*PI()*Table3[[#This Row],[f]],"j")</f>
        <v>125366.028613816j</v>
      </c>
      <c r="J167" t="str">
        <f>IMDIV(1,
 IMSUM(1,
 IMPRODUCT(Table3[[#This Row],[s]],_R,_C)))</f>
        <v>0.0025422636770453-0.0503567331390915j</v>
      </c>
      <c r="K167" s="11">
        <f>20*LOG(IMABS(Table3[[#This Row],[H(s)]]))</f>
        <v>-25.947794075400552</v>
      </c>
      <c r="L167" s="11">
        <f>DEGREES(IMARGUMENT(Table3[[#This Row],[H(s)]]))</f>
        <v>-87.109871746623156</v>
      </c>
    </row>
    <row r="168" spans="7:12" ht="16.5" customHeight="1" x14ac:dyDescent="0.25">
      <c r="G168">
        <v>1.3200000000000003</v>
      </c>
      <c r="H168">
        <f>_fc*10^Table3[[#This Row],[Decade]]</f>
        <v>20892.961308540416</v>
      </c>
      <c r="I168" t="str">
        <f>COMPLEX(0,2*PI()*Table3[[#This Row],[f]],"j")</f>
        <v>131274.347517293j</v>
      </c>
      <c r="J168" t="str">
        <f>IMDIV(1,
 IMSUM(1,
 IMPRODUCT(Table3[[#This Row],[s]],_R,_C)))</f>
        <v>0.00231909079120492-0.0481010666109086j</v>
      </c>
      <c r="K168" s="11">
        <f>20*LOG(IMABS(Table3[[#This Row],[H(s)]]))</f>
        <v>-26.346822486248598</v>
      </c>
      <c r="L168" s="11">
        <f>DEGREES(IMARGUMENT(Table3[[#This Row],[H(s)]]))</f>
        <v>-87.239743047768272</v>
      </c>
    </row>
    <row r="169" spans="7:12" ht="16.5" customHeight="1" x14ac:dyDescent="0.25">
      <c r="G169">
        <v>1.3399999999999999</v>
      </c>
      <c r="H169">
        <f>_fc*10^Table3[[#This Row],[Decade]]</f>
        <v>21877.616239495528</v>
      </c>
      <c r="I169" t="str">
        <f>COMPLEX(0,2*PI()*Table3[[#This Row],[f]],"j")</f>
        <v>137461.116912112j</v>
      </c>
      <c r="J169" t="str">
        <f>IMDIV(1,
 IMSUM(1,
 IMPRODUCT(Table3[[#This Row],[s]],_R,_C)))</f>
        <v>0.0021154676104599-0.045945537402984j</v>
      </c>
      <c r="K169" s="11">
        <f>20*LOG(IMABS(Table3[[#This Row],[H(s)]]))</f>
        <v>-26.745936196856618</v>
      </c>
      <c r="L169" s="11">
        <f>DEGREES(IMARGUMENT(Table3[[#This Row],[H(s)]]))</f>
        <v>-87.363795699745182</v>
      </c>
    </row>
    <row r="170" spans="7:12" ht="16.5" customHeight="1" x14ac:dyDescent="0.25">
      <c r="G170">
        <v>1.3599999999999999</v>
      </c>
      <c r="H170">
        <f>_fc*10^Table3[[#This Row],[Decade]]</f>
        <v>22908.676527677726</v>
      </c>
      <c r="I170" t="str">
        <f>COMPLEX(0,2*PI()*Table3[[#This Row],[f]],"j")</f>
        <v>143939.459765635j</v>
      </c>
      <c r="J170" t="str">
        <f>IMDIV(1,
 IMSUM(1,
 IMPRODUCT(Table3[[#This Row],[s]],_R,_C)))</f>
        <v>0.00192968857984205-0.043885816408344j</v>
      </c>
      <c r="K170" s="11">
        <f>20*LOG(IMABS(Table3[[#This Row],[H(s)]]))</f>
        <v>-27.145127733595714</v>
      </c>
      <c r="L170" s="11">
        <f>DEGREES(IMARGUMENT(Table3[[#This Row],[H(s)]]))</f>
        <v>-87.482288172023743</v>
      </c>
    </row>
    <row r="171" spans="7:12" ht="16.5" customHeight="1" x14ac:dyDescent="0.25">
      <c r="G171">
        <v>1.38</v>
      </c>
      <c r="H171">
        <f>_fc*10^Table3[[#This Row],[Decade]]</f>
        <v>23988.329190194909</v>
      </c>
      <c r="I171" t="str">
        <f>COMPLEX(0,2*PI()*Table3[[#This Row],[f]],"j")</f>
        <v>150723.11751162j</v>
      </c>
      <c r="J171" t="str">
        <f>IMDIV(1,
 IMSUM(1,
 IMPRODUCT(Table3[[#This Row],[s]],_R,_C)))</f>
        <v>0.0017601957679911-0.0419177465860159j</v>
      </c>
      <c r="K171" s="11">
        <f>20*LOG(IMABS(Table3[[#This Row],[H(s)]]))</f>
        <v>-27.544390275096561</v>
      </c>
      <c r="L171" s="11">
        <f>DEGREES(IMARGUMENT(Table3[[#This Row],[H(s)]]))</f>
        <v>-87.595467739477527</v>
      </c>
    </row>
    <row r="172" spans="7:12" ht="16.5" customHeight="1" x14ac:dyDescent="0.25">
      <c r="G172">
        <v>1.4</v>
      </c>
      <c r="H172">
        <f>_fc*10^Table3[[#This Row],[Decade]]</f>
        <v>25118.864315095798</v>
      </c>
      <c r="I172" t="str">
        <f>COMPLEX(0,2*PI()*Table3[[#This Row],[f]],"j")</f>
        <v>157826.479197648j</v>
      </c>
      <c r="J172" t="str">
        <f>IMDIV(1,
 IMSUM(1,
 IMPRODUCT(Table3[[#This Row],[s]],_R,_C)))</f>
        <v>0.0016055662869296-0.0400373381211573j</v>
      </c>
      <c r="K172" s="11">
        <f>20*LOG(IMABS(Table3[[#This Row],[H(s)]]))</f>
        <v>-27.94371759575229</v>
      </c>
      <c r="L172" s="11">
        <f>DEGREES(IMARGUMENT(Table3[[#This Row],[H(s)]]))</f>
        <v>-87.703570930045927</v>
      </c>
    </row>
    <row r="173" spans="7:12" ht="16.5" customHeight="1" x14ac:dyDescent="0.25">
      <c r="G173">
        <v>1.42</v>
      </c>
      <c r="H173">
        <f>_fc*10^Table3[[#This Row],[Decade]]</f>
        <v>26302.679918953825</v>
      </c>
      <c r="I173" t="str">
        <f>COMPLEX(0,2*PI()*Table3[[#This Row],[f]],"j")</f>
        <v>165264.612006218j</v>
      </c>
      <c r="J173" t="str">
        <f>IMDIV(1,
 IMSUM(1,
 IMPRODUCT(Table3[[#This Row],[s]],_R,_C)))</f>
        <v>0.00146450075056393-0.0382407634353124j</v>
      </c>
      <c r="K173" s="11">
        <f>20*LOG(IMABS(Table3[[#This Row],[H(s)]]))</f>
        <v>-28.34310401404241</v>
      </c>
      <c r="L173" s="11">
        <f>DEGREES(IMARGUMENT(Table3[[#This Row],[H(s)]]))</f>
        <v>-87.806823959415595</v>
      </c>
    </row>
    <row r="174" spans="7:12" ht="16.5" customHeight="1" x14ac:dyDescent="0.25">
      <c r="G174">
        <v>1.44</v>
      </c>
      <c r="H174">
        <f>_fc*10^Table3[[#This Row],[Decade]]</f>
        <v>27542.287033381665</v>
      </c>
      <c r="I174" t="str">
        <f>COMPLEX(0,2*PI()*Table3[[#This Row],[f]],"j")</f>
        <v>173053.293214267j</v>
      </c>
      <c r="J174" t="str">
        <f>IMDIV(1,
 IMSUM(1,
 IMPRODUCT(Table3[[#This Row],[s]],_R,_C)))</f>
        <v>0.00133581269183883-0.0365243520995398j</v>
      </c>
      <c r="K174" s="11">
        <f>20*LOG(IMABS(Table3[[#This Row],[H(s)]]))</f>
        <v>-28.7425443452798</v>
      </c>
      <c r="L174" s="11">
        <f>DEGREES(IMARGUMENT(Table3[[#This Row],[H(s)]]))</f>
        <v>-87.90544315239741</v>
      </c>
    </row>
    <row r="175" spans="7:12" ht="16.5" customHeight="1" x14ac:dyDescent="0.25">
      <c r="G175">
        <v>1.46</v>
      </c>
      <c r="H175">
        <f>_fc*10^Table3[[#This Row],[Decade]]</f>
        <v>28840.315031266065</v>
      </c>
      <c r="I175" t="str">
        <f>COMPLEX(0,2*PI()*Table3[[#This Row],[f]],"j")</f>
        <v>181209.043658882j</v>
      </c>
      <c r="J175" t="str">
        <f>IMDIV(1,
 IMSUM(1,
 IMPRODUCT(Table3[[#This Row],[s]],_R,_C)))</f>
        <v>0.00121841886364992-0.0348845856951551j</v>
      </c>
      <c r="K175" s="11">
        <f>20*LOG(IMABS(Table3[[#This Row],[H(s)]]))</f>
        <v>-29.142033858410468</v>
      </c>
      <c r="L175" s="11">
        <f>DEGREES(IMARGUMENT(Table3[[#This Row],[H(s)]]))</f>
        <v>-87.999635350802905</v>
      </c>
    </row>
    <row r="176" spans="7:12" ht="16.5" customHeight="1" x14ac:dyDescent="0.25">
      <c r="G176">
        <v>1.48</v>
      </c>
      <c r="H176">
        <f>_fc*10^Table3[[#This Row],[Decade]]</f>
        <v>30199.517204020165</v>
      </c>
      <c r="I176" t="str">
        <f>COMPLEX(0,2*PI()*Table3[[#This Row],[f]],"j")</f>
        <v>189749.162780217j</v>
      </c>
      <c r="J176" t="str">
        <f>IMDIV(1,
 IMSUM(1,
 IMPRODUCT(Table3[[#This Row],[s]],_R,_C)))</f>
        <v>0.0011113303536435-0.0333180926598233j</v>
      </c>
      <c r="K176" s="11">
        <f>20*LOG(IMABS(Table3[[#This Row],[H(s)]]))</f>
        <v>-29.541568236529191</v>
      </c>
      <c r="L176" s="11">
        <f>DEGREES(IMARGUMENT(Table3[[#This Row],[H(s)]]))</f>
        <v>-88.089598307734065</v>
      </c>
    </row>
    <row r="177" spans="7:12" ht="16.5" customHeight="1" x14ac:dyDescent="0.25">
      <c r="G177">
        <v>1.5</v>
      </c>
      <c r="H177">
        <f>_fc*10^Table3[[#This Row],[Decade]]</f>
        <v>31622.776601683803</v>
      </c>
      <c r="I177" t="str">
        <f>COMPLEX(0,2*PI()*Table3[[#This Row],[f]],"j")</f>
        <v>198691.765315922j</v>
      </c>
      <c r="J177" t="str">
        <f>IMDIV(1,
 IMSUM(1,
 IMPRODUCT(Table3[[#This Row],[s]],_R,_C)))</f>
        <v>0.0010136444478758-0.0318216431506781j</v>
      </c>
      <c r="K177" s="11">
        <f>20*LOG(IMABS(Table3[[#This Row],[H(s)]]))</f>
        <v>-29.941143540796613</v>
      </c>
      <c r="L177" s="11">
        <f>DEGREES(IMARGUMENT(Table3[[#This Row],[H(s)]]))</f>
        <v>-88.175521068289669</v>
      </c>
    </row>
    <row r="178" spans="7:12" ht="16.5" customHeight="1" x14ac:dyDescent="0.25">
      <c r="G178">
        <v>1.52</v>
      </c>
      <c r="H178">
        <f>_fc*10^Table3[[#This Row],[Decade]]</f>
        <v>33113.112148259126</v>
      </c>
      <c r="I178" t="str">
        <f>COMPLEX(0,2*PI()*Table3[[#This Row],[f]],"j")</f>
        <v>208055.819724932j</v>
      </c>
      <c r="J178" t="str">
        <f>IMDIV(1,
 IMSUM(1,
 IMPRODUCT(Table3[[#This Row],[s]],_R,_C)))</f>
        <v>0.000924537182931986-0.0303921439508529j</v>
      </c>
      <c r="K178" s="11">
        <f>20*LOG(IMABS(Table3[[#This Row],[H(s)]]))</f>
        <v>-30.340756177471523</v>
      </c>
      <c r="L178" s="11">
        <f>DEGREES(IMARGUMENT(Table3[[#This Row],[H(s)]]))</f>
        <v>-88.257584336770108</v>
      </c>
    </row>
    <row r="179" spans="7:12" ht="16.5" customHeight="1" x14ac:dyDescent="0.25">
      <c r="G179">
        <v>1.54</v>
      </c>
      <c r="H179">
        <f>_fc*10^Table3[[#This Row],[Decade]]</f>
        <v>34673.68504525318</v>
      </c>
      <c r="I179" t="str">
        <f>COMPLEX(0,2*PI()*Table3[[#This Row],[f]],"j")</f>
        <v>217861.188422107j</v>
      </c>
      <c r="J179" t="str">
        <f>IMDIV(1,
 IMSUM(1,
 IMPRODUCT(Table3[[#This Row],[s]],_R,_C)))</f>
        <v>0.000843256530508471-0.029026633441242j</v>
      </c>
      <c r="K179" s="11">
        <f>20*LOG(IMABS(Table3[[#This Row],[H(s)]]))</f>
        <v>-30.740402867793634</v>
      </c>
      <c r="L179" s="11">
        <f>DEGREES(IMARGUMENT(Table3[[#This Row],[H(s)]]))</f>
        <v>-88.335960830524158</v>
      </c>
    </row>
    <row r="180" spans="7:12" ht="16.5" customHeight="1" x14ac:dyDescent="0.25">
      <c r="G180">
        <v>1.56</v>
      </c>
      <c r="H180">
        <f>_fc*10^Table3[[#This Row],[Decade]]</f>
        <v>36307.805477010159</v>
      </c>
      <c r="I180" t="str">
        <f>COMPLEX(0,2*PI()*Table3[[#This Row],[f]],"j")</f>
        <v>228128.669909085j</v>
      </c>
      <c r="J180" t="str">
        <f>IMDIV(1,
 IMSUM(1,
 IMPRODUCT(Table3[[#This Row],[s]],_R,_C)))</f>
        <v>0.000769116162627346-0.0277222766553494j</v>
      </c>
      <c r="K180" s="11">
        <f>20*LOG(IMABS(Table3[[#This Row],[H(s)]]))</f>
        <v>-31.140080620475565</v>
      </c>
      <c r="L180" s="11">
        <f>DEGREES(IMARGUMENT(Table3[[#This Row],[H(s)]]))</f>
        <v>-88.410815620634708</v>
      </c>
    </row>
    <row r="181" spans="7:12" ht="16.5" customHeight="1" x14ac:dyDescent="0.25">
      <c r="G181">
        <v>1.58</v>
      </c>
      <c r="H181">
        <f>_fc*10^Table3[[#This Row],[Decade]]</f>
        <v>38018.939632056135</v>
      </c>
      <c r="I181" t="str">
        <f>COMPLEX(0,2*PI()*Table3[[#This Row],[f]],"j")</f>
        <v>238880.042890683j</v>
      </c>
      <c r="J181" t="str">
        <f>IMDIV(1,
 IMSUM(1,
 IMPRODUCT(Table3[[#This Row],[s]],_R,_C)))</f>
        <v>0.000701489749577016-0.0264763604316805j</v>
      </c>
      <c r="K181" s="11">
        <f>20*LOG(IMABS(Table3[[#This Row],[H(s)]]))</f>
        <v>-31.539786706579488</v>
      </c>
      <c r="L181" s="11">
        <f>DEGREES(IMARGUMENT(Table3[[#This Row],[H(s)]]))</f>
        <v>-88.482306459682022</v>
      </c>
    </row>
    <row r="182" spans="7:12" ht="16.5" customHeight="1" x14ac:dyDescent="0.25">
      <c r="G182">
        <v>1.6</v>
      </c>
      <c r="H182">
        <f>_fc*10^Table3[[#This Row],[Decade]]</f>
        <v>39810.717055349756</v>
      </c>
      <c r="I182" t="str">
        <f>COMPLEX(0,2*PI()*Table3[[#This Row],[f]],"j")</f>
        <v>250138.112470457j</v>
      </c>
      <c r="J182" t="str">
        <f>IMDIV(1,
 IMSUM(1,
 IMPRODUCT(Table3[[#This Row],[s]],_R,_C)))</f>
        <v>0.00063980574635762-0.0252862886751802j</v>
      </c>
      <c r="K182" s="11">
        <f>20*LOG(IMABS(Table3[[#This Row],[H(s)]]))</f>
        <v>-31.939518636576668</v>
      </c>
      <c r="L182" s="11">
        <f>DEGREES(IMARGUMENT(Table3[[#This Row],[H(s)]]))</f>
        <v>-88.550584096857932</v>
      </c>
    </row>
    <row r="183" spans="7:12" ht="16.5" customHeight="1" x14ac:dyDescent="0.25">
      <c r="G183">
        <v>1.62</v>
      </c>
      <c r="H183">
        <f>_fc*10^Table3[[#This Row],[Decade]]</f>
        <v>41686.93834703356</v>
      </c>
      <c r="I183" t="str">
        <f>COMPLEX(0,2*PI()*Table3[[#This Row],[f]],"j")</f>
        <v>261926.758523383j</v>
      </c>
      <c r="J183" t="str">
        <f>IMDIV(1,
 IMSUM(1,
 IMPRODUCT(Table3[[#This Row],[s]],_R,_C)))</f>
        <v>0.000583542626858908-0.0241495777367131j</v>
      </c>
      <c r="K183" s="11">
        <f>20*LOG(IMABS(Table3[[#This Row],[H(s)]]))</f>
        <v>-32.339274139400665</v>
      </c>
      <c r="L183" s="11">
        <f>DEGREES(IMARGUMENT(Table3[[#This Row],[H(s)]]))</f>
        <v>-88.615792580731181</v>
      </c>
    </row>
    <row r="184" spans="7:12" ht="16.5" customHeight="1" x14ac:dyDescent="0.25">
      <c r="G184">
        <v>1.6400000000000001</v>
      </c>
      <c r="H184">
        <f>_fc*10^Table3[[#This Row],[Decade]]</f>
        <v>43651.583224016635</v>
      </c>
      <c r="I184" t="str">
        <f>COMPLEX(0,2*PI()*Table3[[#This Row],[f]],"j")</f>
        <v>274270.986348268j</v>
      </c>
      <c r="J184" t="str">
        <f>IMDIV(1,
 IMSUM(1,
 IMPRODUCT(Table3[[#This Row],[s]],_R,_C)))</f>
        <v>0.000532224528216644-0.0230638519174098j</v>
      </c>
      <c r="K184" s="11">
        <f>20*LOG(IMABS(Table3[[#This Row],[H(s)]]))</f>
        <v>-32.73905114332414</v>
      </c>
      <c r="L184" s="11">
        <f>DEGREES(IMARGUMENT(Table3[[#This Row],[H(s)]]))</f>
        <v>-88.678069549984414</v>
      </c>
    </row>
    <row r="185" spans="7:12" ht="16.5" customHeight="1" x14ac:dyDescent="0.25">
      <c r="G185">
        <v>1.6600000000000001</v>
      </c>
      <c r="H185">
        <f>_fc*10^Table3[[#This Row],[Decade]]</f>
        <v>45708.81896148753</v>
      </c>
      <c r="I185" t="str">
        <f>COMPLEX(0,2*PI()*Table3[[#This Row],[f]],"j")</f>
        <v>287196.97970735j</v>
      </c>
      <c r="J185" t="str">
        <f>IMDIV(1,
 IMSUM(1,
 IMPRODUCT(Table3[[#This Row],[s]],_R,_C)))</f>
        <v>0.000485417270790363-0.0220268391028668j</v>
      </c>
      <c r="K185" s="11">
        <f>20*LOG(IMABS(Table3[[#This Row],[H(s)]]))</f>
        <v>-33.138847758501527</v>
      </c>
      <c r="L185" s="11">
        <f>DEGREES(IMARGUMENT(Table3[[#This Row],[H(s)]]))</f>
        <v>-88.737546512459673</v>
      </c>
    </row>
    <row r="186" spans="7:12" ht="16.5" customHeight="1" x14ac:dyDescent="0.25">
      <c r="G186">
        <v>1.6800000000000002</v>
      </c>
      <c r="H186">
        <f>_fc*10^Table3[[#This Row],[Decade]]</f>
        <v>47863.009232263874</v>
      </c>
      <c r="I186" t="str">
        <f>COMPLEX(0,2*PI()*Table3[[#This Row],[f]],"j")</f>
        <v>300732.156365561j</v>
      </c>
      <c r="J186" t="str">
        <f>IMDIV(1,
 IMSUM(1,
 IMPRODUCT(Table3[[#This Row],[s]],_R,_C)))</f>
        <v>0.000442724721989841-0.021036366530615j</v>
      </c>
      <c r="K186" s="11">
        <f>20*LOG(IMABS(Table3[[#This Row],[H(s)]]))</f>
        <v>-33.538662261033878</v>
      </c>
      <c r="L186" s="11">
        <f>DEGREES(IMARGUMENT(Table3[[#This Row],[H(s)]]))</f>
        <v>-88.794349112859507</v>
      </c>
    </row>
    <row r="187" spans="7:12" ht="16.5" customHeight="1" x14ac:dyDescent="0.25">
      <c r="G187">
        <v>1.7000000000000002</v>
      </c>
      <c r="H187">
        <f>_fc*10^Table3[[#This Row],[Decade]]</f>
        <v>50118.723362727258</v>
      </c>
      <c r="I187" t="str">
        <f>COMPLEX(0,2*PI()*Table3[[#This Row],[f]],"j")</f>
        <v>314905.226247286j</v>
      </c>
      <c r="J187" t="str">
        <f>IMDIV(1,
 IMSUM(1,
 IMPRODUCT(Table3[[#This Row],[s]],_R,_C)))</f>
        <v>0.00040378547475932-0.0200903566929434j</v>
      </c>
      <c r="K187" s="11">
        <f>20*LOG(IMABS(Table3[[#This Row],[H(s)]]))</f>
        <v>-33.938493078424422</v>
      </c>
      <c r="L187" s="11">
        <f>DEGREES(IMARGUMENT(Table3[[#This Row],[H(s)]]))</f>
        <v>-88.848597389458661</v>
      </c>
    </row>
    <row r="188" spans="7:12" ht="16.5" customHeight="1" x14ac:dyDescent="0.25">
      <c r="G188">
        <v>1.7200000000000002</v>
      </c>
      <c r="H188">
        <f>_fc*10^Table3[[#This Row],[Decade]]</f>
        <v>52480.746024977307</v>
      </c>
      <c r="I188" t="str">
        <f>COMPLEX(0,2*PI()*Table3[[#This Row],[f]],"j")</f>
        <v>329746.252333961j</v>
      </c>
      <c r="J188" t="str">
        <f>IMDIV(1,
 IMSUM(1,
 IMPRODUCT(Table3[[#This Row],[s]],_R,_C)))</f>
        <v>0.000368269813919284-0.0191868233760422j</v>
      </c>
      <c r="K188" s="11">
        <f>20*LOG(IMABS(Table3[[#This Row],[H(s)]]))</f>
        <v>-34.338338776304305</v>
      </c>
      <c r="L188" s="11">
        <f>DEGREES(IMARGUMENT(Table3[[#This Row],[H(s)]]))</f>
        <v>-88.900406020184633</v>
      </c>
    </row>
    <row r="189" spans="7:12" ht="16.5" customHeight="1" x14ac:dyDescent="0.25">
      <c r="G189">
        <v>1.7400000000000002</v>
      </c>
      <c r="H189">
        <f>_fc*10^Table3[[#This Row],[Decade]]</f>
        <v>54954.087385762519</v>
      </c>
      <c r="I189" t="str">
        <f>COMPLEX(0,2*PI()*Table3[[#This Row],[f]],"j")</f>
        <v>345286.714431686j</v>
      </c>
      <c r="J189" t="str">
        <f>IMDIV(1,
 IMSUM(1,
 IMPRODUCT(Table3[[#This Row],[s]],_R,_C)))</f>
        <v>0.000335876945775162-0.0183238678354887j</v>
      </c>
      <c r="K189" s="11">
        <f>20*LOG(IMABS(Table3[[#This Row],[H(s)]]))</f>
        <v>-34.738198046318153</v>
      </c>
      <c r="L189" s="11">
        <f>DEGREES(IMARGUMENT(Table3[[#This Row],[H(s)]]))</f>
        <v>-88.949884558427399</v>
      </c>
    </row>
    <row r="190" spans="7:12" ht="16.5" customHeight="1" x14ac:dyDescent="0.25">
      <c r="G190">
        <v>1.7600000000000002</v>
      </c>
      <c r="H190">
        <f>_fc*10^Table3[[#This Row],[Decade]]</f>
        <v>57543.993733715746</v>
      </c>
      <c r="I190" t="str">
        <f>COMPLEX(0,2*PI()*Table3[[#This Row],[f]],"j")</f>
        <v>361559.575944117j</v>
      </c>
      <c r="J190" t="str">
        <f>IMDIV(1,
 IMSUM(1,
 IMPRODUCT(Table3[[#This Row],[s]],_R,_C)))</f>
        <v>0.000306332468442666-0.0174996751073111j</v>
      </c>
      <c r="K190" s="11">
        <f>20*LOG(IMABS(Table3[[#This Row],[H(s)]]))</f>
        <v>-35.138069695069177</v>
      </c>
      <c r="L190" s="11">
        <f>DEGREES(IMARGUMENT(Table3[[#This Row],[H(s)]]))</f>
        <v>-88.997137658936907</v>
      </c>
    </row>
    <row r="191" spans="7:12" ht="16.5" customHeight="1" x14ac:dyDescent="0.25">
      <c r="G191">
        <v>1.7800000000000002</v>
      </c>
      <c r="H191">
        <f>_fc*10^Table3[[#This Row],[Decade]]</f>
        <v>60255.958607435823</v>
      </c>
      <c r="I191" t="str">
        <f>COMPLEX(0,2*PI()*Table3[[#This Row],[f]],"j")</f>
        <v>378599.353792262j</v>
      </c>
      <c r="J191" t="str">
        <f>IMDIV(1,
 IMSUM(1,
 IMPRODUCT(Table3[[#This Row],[s]],_R,_C)))</f>
        <v>0.000279386062220621-0.0167125104532161j</v>
      </c>
      <c r="K191" s="11">
        <f>20*LOG(IMABS(Table3[[#This Row],[H(s)]]))</f>
        <v>-35.53795263403147</v>
      </c>
      <c r="L191" s="11">
        <f>DEGREES(IMARGUMENT(Table3[[#This Row],[H(s)]]))</f>
        <v>-89.04226529416438</v>
      </c>
    </row>
    <row r="192" spans="7:12" ht="16.5" customHeight="1" x14ac:dyDescent="0.25">
      <c r="G192">
        <v>1.8000000000000003</v>
      </c>
      <c r="H192">
        <f>_fc*10^Table3[[#This Row],[Decade]]</f>
        <v>63095.734448019364</v>
      </c>
      <c r="I192" t="str">
        <f>COMPLEX(0,2*PI()*Table3[[#This Row],[f]],"j")</f>
        <v>396442.1916295j</v>
      </c>
      <c r="J192" t="str">
        <f>IMDIV(1,
 IMSUM(1,
 IMPRODUCT(Table3[[#This Row],[s]],_R,_C)))</f>
        <v>0.0002548093810752-0.015960715938031j</v>
      </c>
      <c r="K192" s="11">
        <f>20*LOG(IMABS(Table3[[#This Row],[H(s)]]))</f>
        <v>-35.937845870345051</v>
      </c>
      <c r="L192" s="11">
        <f>DEGREES(IMARGUMENT(Table3[[#This Row],[H(s)]]))</f>
        <v>-89.08536296139917</v>
      </c>
    </row>
    <row r="193" spans="7:12" ht="16.5" customHeight="1" x14ac:dyDescent="0.25">
      <c r="G193">
        <v>1.8200000000000003</v>
      </c>
      <c r="H193">
        <f>_fc*10^Table3[[#This Row],[Decade]]</f>
        <v>66069.344800759674</v>
      </c>
      <c r="I193" t="str">
        <f>COMPLEX(0,2*PI()*Table3[[#This Row],[f]],"j")</f>
        <v>415125.936507115j</v>
      </c>
      <c r="J193" t="str">
        <f>IMDIV(1,
 IMSUM(1,
 IMPRODUCT(Table3[[#This Row],[s]],_R,_C)))</f>
        <v>0.00023239412789423-0.0152427071369737j</v>
      </c>
      <c r="K193" s="11">
        <f>20*LOG(IMABS(Table3[[#This Row],[H(s)]]))</f>
        <v>-36.33774849841744</v>
      </c>
      <c r="L193" s="11">
        <f>DEGREES(IMARGUMENT(Table3[[#This Row],[H(s)]]))</f>
        <v>-89.126521881046628</v>
      </c>
    </row>
    <row r="194" spans="7:12" ht="16.5" customHeight="1" x14ac:dyDescent="0.25">
      <c r="G194">
        <v>1.8399999999999999</v>
      </c>
      <c r="H194">
        <f>_fc*10^Table3[[#This Row],[Decade]]</f>
        <v>69183.097091893651</v>
      </c>
      <c r="I194" t="str">
        <f>COMPLEX(0,2*PI()*Table3[[#This Row],[f]],"j")</f>
        <v>434690.219152965j</v>
      </c>
      <c r="J194" t="str">
        <f>IMDIV(1,
 IMSUM(1,
 IMPRODUCT(Table3[[#This Row],[s]],_R,_C)))</f>
        <v>0.000211950297636701-0.0145569699700189j</v>
      </c>
      <c r="K194" s="11">
        <f>20*LOG(IMABS(Table3[[#This Row],[H(s)]]))</f>
        <v>-36.737659692260465</v>
      </c>
      <c r="L194" s="11">
        <f>DEGREES(IMARGUMENT(Table3[[#This Row],[H(s)]]))</f>
        <v>-89.16582918638646</v>
      </c>
    </row>
    <row r="195" spans="7:12" ht="16.5" customHeight="1" x14ac:dyDescent="0.25">
      <c r="G195">
        <v>1.8599999999999999</v>
      </c>
      <c r="H195">
        <f>_fc*10^Table3[[#This Row],[Decade]]</f>
        <v>72443.596007499014</v>
      </c>
      <c r="I195" t="str">
        <f>COMPLEX(0,2*PI()*Table3[[#This Row],[f]],"j")</f>
        <v>455176.538033572j</v>
      </c>
      <c r="J195" t="str">
        <f>IMDIV(1,
 IMSUM(1,
 IMPRODUCT(Table3[[#This Row],[s]],_R,_C)))</f>
        <v>0.000193304573849936-0.0139020576603489j</v>
      </c>
      <c r="K195" s="11">
        <f>20*LOG(IMABS(Table3[[#This Row],[H(s)]]))</f>
        <v>-37.137578698499361</v>
      </c>
      <c r="L195" s="11">
        <f>DEGREES(IMARGUMENT(Table3[[#This Row],[H(s)]]))</f>
        <v>-89.203368105142289</v>
      </c>
    </row>
    <row r="196" spans="7:12" ht="16.5" customHeight="1" x14ac:dyDescent="0.25">
      <c r="G196">
        <v>1.88</v>
      </c>
      <c r="H196">
        <f>_fc*10^Table3[[#This Row],[Decade]]</f>
        <v>75857.757502918364</v>
      </c>
      <c r="I196" t="str">
        <f>COMPLEX(0,2*PI()*Table3[[#This Row],[f]],"j")</f>
        <v>476628.347377929j</v>
      </c>
      <c r="J196" t="str">
        <f>IMDIV(1,
 IMSUM(1,
 IMPRODUCT(Table3[[#This Row],[s]],_R,_C)))</f>
        <v>0.000176298865263996-0.0132765878136704j</v>
      </c>
      <c r="K196" s="11">
        <f>20*LOG(IMABS(Table3[[#This Row],[H(s)]]))</f>
        <v>-37.537504829994383</v>
      </c>
      <c r="L196" s="11">
        <f>DEGREES(IMARGUMENT(Table3[[#This Row],[H(s)]]))</f>
        <v>-89.239218133186583</v>
      </c>
    </row>
    <row r="197" spans="7:12" ht="16.5" customHeight="1" x14ac:dyDescent="0.25">
      <c r="G197">
        <v>1.9</v>
      </c>
      <c r="H197">
        <f>_fc*10^Table3[[#This Row],[Decade]]</f>
        <v>79432.823472428194</v>
      </c>
      <c r="I197" t="str">
        <f>COMPLEX(0,2*PI()*Table3[[#This Row],[f]],"j")</f>
        <v>499091.149349751j</v>
      </c>
      <c r="J197" t="str">
        <f>IMDIV(1,
 IMSUM(1,
 IMPRODUCT(Table3[[#This Row],[s]],_R,_C)))</f>
        <v>0.000160788970307994-0.0126792396150172j</v>
      </c>
      <c r="K197" s="11">
        <f>20*LOG(IMABS(Table3[[#This Row],[H(s)]]))</f>
        <v>-37.937437460021613</v>
      </c>
      <c r="L197" s="11">
        <f>DEGREES(IMARGUMENT(Table3[[#This Row],[H(s)]]))</f>
        <v>-89.273455200694571</v>
      </c>
    </row>
    <row r="198" spans="7:12" ht="16.5" customHeight="1" x14ac:dyDescent="0.25">
      <c r="G198">
        <v>1.92</v>
      </c>
      <c r="H198">
        <f>_fc*10^Table3[[#This Row],[Decade]]</f>
        <v>83176.377110267131</v>
      </c>
      <c r="I198" t="str">
        <f>COMPLEX(0,2*PI()*Table3[[#This Row],[f]],"j")</f>
        <v>522612.590563659j</v>
      </c>
      <c r="J198" t="str">
        <f>IMDIV(1,
 IMSUM(1,
 IMPRODUCT(Table3[[#This Row],[s]],_R,_C)))</f>
        <v>0.000146643358434034-0.0121087511395462j</v>
      </c>
      <c r="K198" s="11">
        <f>20*LOG(IMABS(Table3[[#This Row],[H(s)]]))</f>
        <v>-38.337376016965024</v>
      </c>
      <c r="L198" s="11">
        <f>DEGREES(IMARGUMENT(Table3[[#This Row],[H(s)]]))</f>
        <v>-89.306151831052915</v>
      </c>
    </row>
    <row r="199" spans="7:12" ht="16.5" customHeight="1" x14ac:dyDescent="0.25">
      <c r="G199">
        <v>1.94</v>
      </c>
      <c r="H199">
        <f>_fc*10^Table3[[#This Row],[Decade]]</f>
        <v>87096.358995608069</v>
      </c>
      <c r="I199" t="str">
        <f>COMPLEX(0,2*PI()*Table3[[#This Row],[f]],"j")</f>
        <v>547242.563150043j</v>
      </c>
      <c r="J199" t="str">
        <f>IMDIV(1,
 IMSUM(1,
 IMPRODUCT(Table3[[#This Row],[s]],_R,_C)))</f>
        <v>0.000133742058088649-0.0115639167737643j</v>
      </c>
      <c r="K199" s="11">
        <f>20*LOG(IMABS(Table3[[#This Row],[H(s)]]))</f>
        <v>-38.737319979473469</v>
      </c>
      <c r="L199" s="11">
        <f>DEGREES(IMARGUMENT(Table3[[#This Row],[H(s)]]))</f>
        <v>-89.33737729281944</v>
      </c>
    </row>
    <row r="200" spans="7:12" ht="16.5" customHeight="1" x14ac:dyDescent="0.25">
      <c r="G200">
        <v>1.96</v>
      </c>
      <c r="H200">
        <f>_fc*10^Table3[[#This Row],[Decade]]</f>
        <v>91201.08393559097</v>
      </c>
      <c r="I200" t="str">
        <f>COMPLEX(0,2*PI()*Table3[[#This Row],[f]],"j")</f>
        <v>573033.310582957j</v>
      </c>
      <c r="J200" t="str">
        <f>IMDIV(1,
 IMSUM(1,
 IMPRODUCT(Table3[[#This Row],[s]],_R,_C)))</f>
        <v>0.00012197564204585-0.0110435847435784j</v>
      </c>
      <c r="K200" s="11">
        <f>20*LOG(IMABS(Table3[[#This Row],[H(s)]]))</f>
        <v>-39.137268872043336</v>
      </c>
      <c r="L200" s="11">
        <f>DEGREES(IMARGUMENT(Table3[[#This Row],[H(s)]]))</f>
        <v>-89.367197745020079</v>
      </c>
    </row>
    <row r="201" spans="7:12" ht="16.5" customHeight="1" x14ac:dyDescent="0.25">
      <c r="G201">
        <v>1.98</v>
      </c>
      <c r="H201">
        <f>_fc*10^Table3[[#This Row],[Decade]]</f>
        <v>95499.258602143658</v>
      </c>
      <c r="I201" t="str">
        <f>COMPLEX(0,2*PI()*Table3[[#This Row],[f]],"j")</f>
        <v>600039.538495533j</v>
      </c>
      <c r="J201" t="str">
        <f>IMDIV(1,
 IMSUM(1,
 IMPRODUCT(Table3[[#This Row],[s]],_R,_C)))</f>
        <v>0.000111244301616501-0.0105466547455513j</v>
      </c>
      <c r="K201" s="11">
        <f>20*LOG(IMABS(Table3[[#This Row],[H(s)]]))</f>
        <v>-39.537222260988685</v>
      </c>
      <c r="L201" s="11">
        <f>DEGREES(IMARGUMENT(Table3[[#This Row],[H(s)]]))</f>
        <v>-89.395676376060493</v>
      </c>
    </row>
    <row r="202" spans="7:12" ht="16.5" customHeight="1" x14ac:dyDescent="0.25">
      <c r="G202">
        <v>2</v>
      </c>
      <c r="H202">
        <f>_fc*10^Table3[[#This Row],[Decade]]</f>
        <v>100000</v>
      </c>
      <c r="I202" t="str">
        <f>COMPLEX(0,2*PI()*Table3[[#This Row],[f]],"j")</f>
        <v>628318.530717959j</v>
      </c>
      <c r="J202" t="str">
        <f>IMDIV(1,
 IMSUM(1,
 IMPRODUCT(Table3[[#This Row],[s]],_R,_C)))</f>
        <v>0.000101457001981662-0.0100720756777543j</v>
      </c>
      <c r="K202" s="11">
        <f>20*LOG(IMABS(Table3[[#This Row],[H(s)]]))</f>
        <v>-39.937179750765516</v>
      </c>
      <c r="L202" s="11">
        <f>DEGREES(IMARGUMENT(Table3[[#This Row],[H(s)]]))</f>
        <v>-89.422873536519731</v>
      </c>
    </row>
  </sheetData>
  <phoneticPr fontId="6" type="noConversion"/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RC Low Pass</vt:lpstr>
      <vt:lpstr>_C</vt:lpstr>
      <vt:lpstr>_fc</vt:lpstr>
      <vt:lpstr>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Downs</dc:creator>
  <cp:lastModifiedBy>Terry Downs</cp:lastModifiedBy>
  <dcterms:created xsi:type="dcterms:W3CDTF">2022-04-22T15:44:40Z</dcterms:created>
  <dcterms:modified xsi:type="dcterms:W3CDTF">2022-08-14T19:19:10Z</dcterms:modified>
</cp:coreProperties>
</file>