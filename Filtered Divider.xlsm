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c1699b8cd4d2a22/Documents/Terry's Presentations/Floobydust/Filtered Divider/"/>
    </mc:Choice>
  </mc:AlternateContent>
  <xr:revisionPtr revIDLastSave="293" documentId="13_ncr:1_{8793CE81-8996-471A-9060-FF5F76FB5EC6}" xr6:coauthVersionLast="47" xr6:coauthVersionMax="47" xr10:uidLastSave="{F719AA78-B8C1-4E88-9570-5A87D6E39637}"/>
  <bookViews>
    <workbookView xWindow="11110" yWindow="3740" windowWidth="20670" windowHeight="13580" xr2:uid="{CDCD2FDB-8CC5-4704-B071-AB21BBA62760}"/>
  </bookViews>
  <sheets>
    <sheet name="Filtered Divider" sheetId="4" r:id="rId1"/>
  </sheets>
  <functionGroups builtInGroupCount="19"/>
  <definedNames>
    <definedName name="_C">'Filtered Divider'!$B$4</definedName>
    <definedName name="_Clbl">'Filtered Divider'!$N$4</definedName>
    <definedName name="_fc">'Filtered Divider'!$B$3</definedName>
    <definedName name="_R1">'Filtered Divider'!$B$11</definedName>
    <definedName name="_R1lbl">'Filtered Divider'!$N$3</definedName>
    <definedName name="_R2">'Filtered Divider'!$B$10</definedName>
    <definedName name="_R2lbl">'Filtered Divider'!$N$2</definedName>
    <definedName name="Rth">'Filtered Divider'!$B$8</definedName>
    <definedName name="α">'Filtered Divider'!$B$5</definedName>
    <definedName name="σ">'Filtered Divider'!$B$9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4" i="4" l="1" a="1"/>
  <c r="N4" i="4" s="1"/>
  <c r="N2" i="4" a="1"/>
  <c r="N2" i="4" s="1"/>
  <c r="N3" i="4" a="1"/>
  <c r="N3" i="4" s="1"/>
  <c r="B10" i="4" a="1"/>
  <c r="B10" i="4" s="1"/>
  <c r="B8" i="4"/>
  <c r="B9" i="4"/>
  <c r="D29" i="4"/>
  <c r="B4" i="4"/>
  <c r="F2" i="4"/>
  <c r="G2" i="4" s="1"/>
  <c r="F3" i="4"/>
  <c r="G3" i="4" s="1"/>
  <c r="F4" i="4"/>
  <c r="G4" i="4" s="1"/>
  <c r="F5" i="4"/>
  <c r="G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33" i="4"/>
  <c r="G33" i="4" s="1"/>
  <c r="F34" i="4"/>
  <c r="G34" i="4" s="1"/>
  <c r="F35" i="4"/>
  <c r="G35" i="4" s="1"/>
  <c r="F36" i="4"/>
  <c r="G36" i="4" s="1"/>
  <c r="F37" i="4"/>
  <c r="G37" i="4" s="1"/>
  <c r="F38" i="4"/>
  <c r="G38" i="4" s="1"/>
  <c r="F39" i="4"/>
  <c r="G39" i="4" s="1"/>
  <c r="F40" i="4"/>
  <c r="G40" i="4" s="1"/>
  <c r="F41" i="4"/>
  <c r="G41" i="4" s="1"/>
  <c r="F42" i="4"/>
  <c r="G42" i="4" s="1"/>
  <c r="F43" i="4"/>
  <c r="G43" i="4" s="1"/>
  <c r="F44" i="4"/>
  <c r="G44" i="4" s="1"/>
  <c r="F45" i="4"/>
  <c r="G45" i="4" s="1"/>
  <c r="F46" i="4"/>
  <c r="G46" i="4" s="1"/>
  <c r="F47" i="4"/>
  <c r="G47" i="4" s="1"/>
  <c r="F48" i="4"/>
  <c r="G48" i="4" s="1"/>
  <c r="F49" i="4"/>
  <c r="G49" i="4" s="1"/>
  <c r="F50" i="4"/>
  <c r="G50" i="4" s="1"/>
  <c r="F51" i="4"/>
  <c r="G51" i="4" s="1"/>
  <c r="F52" i="4"/>
  <c r="G52" i="4" s="1"/>
  <c r="F53" i="4"/>
  <c r="G53" i="4" s="1"/>
  <c r="F54" i="4"/>
  <c r="G54" i="4" s="1"/>
  <c r="F55" i="4"/>
  <c r="G55" i="4" s="1"/>
  <c r="F56" i="4"/>
  <c r="G56" i="4" s="1"/>
  <c r="F57" i="4"/>
  <c r="G57" i="4" s="1"/>
  <c r="F58" i="4"/>
  <c r="G58" i="4" s="1"/>
  <c r="F59" i="4"/>
  <c r="G59" i="4" s="1"/>
  <c r="F60" i="4"/>
  <c r="G60" i="4" s="1"/>
  <c r="F61" i="4"/>
  <c r="G61" i="4" s="1"/>
  <c r="F62" i="4"/>
  <c r="G62" i="4" s="1"/>
  <c r="F63" i="4"/>
  <c r="G63" i="4" s="1"/>
  <c r="F64" i="4"/>
  <c r="G64" i="4" s="1"/>
  <c r="F65" i="4"/>
  <c r="G65" i="4" s="1"/>
  <c r="F66" i="4"/>
  <c r="G66" i="4" s="1"/>
  <c r="F67" i="4"/>
  <c r="G67" i="4" s="1"/>
  <c r="F68" i="4"/>
  <c r="G68" i="4" s="1"/>
  <c r="F69" i="4"/>
  <c r="G69" i="4" s="1"/>
  <c r="F70" i="4"/>
  <c r="G70" i="4" s="1"/>
  <c r="F71" i="4"/>
  <c r="G71" i="4" s="1"/>
  <c r="F72" i="4"/>
  <c r="G72" i="4" s="1"/>
  <c r="F73" i="4"/>
  <c r="G73" i="4" s="1"/>
  <c r="F74" i="4"/>
  <c r="G74" i="4" s="1"/>
  <c r="F75" i="4"/>
  <c r="G75" i="4" s="1"/>
  <c r="F76" i="4"/>
  <c r="G76" i="4" s="1"/>
  <c r="F77" i="4"/>
  <c r="G77" i="4" s="1"/>
  <c r="F78" i="4"/>
  <c r="G78" i="4" s="1"/>
  <c r="F79" i="4"/>
  <c r="G79" i="4" s="1"/>
  <c r="F80" i="4"/>
  <c r="G80" i="4" s="1"/>
  <c r="F81" i="4"/>
  <c r="G81" i="4" s="1"/>
  <c r="F82" i="4"/>
  <c r="G82" i="4" s="1"/>
  <c r="F83" i="4"/>
  <c r="G83" i="4" s="1"/>
  <c r="F84" i="4"/>
  <c r="G84" i="4" s="1"/>
  <c r="F85" i="4"/>
  <c r="G85" i="4" s="1"/>
  <c r="F86" i="4"/>
  <c r="G86" i="4" s="1"/>
  <c r="F87" i="4"/>
  <c r="G87" i="4" s="1"/>
  <c r="F88" i="4"/>
  <c r="G88" i="4" s="1"/>
  <c r="F89" i="4"/>
  <c r="G89" i="4" s="1"/>
  <c r="F90" i="4"/>
  <c r="G90" i="4" s="1"/>
  <c r="F91" i="4"/>
  <c r="G91" i="4" s="1"/>
  <c r="F92" i="4"/>
  <c r="G92" i="4" s="1"/>
  <c r="F93" i="4"/>
  <c r="G93" i="4" s="1"/>
  <c r="F94" i="4"/>
  <c r="G94" i="4" s="1"/>
  <c r="F95" i="4"/>
  <c r="G95" i="4" s="1"/>
  <c r="F96" i="4"/>
  <c r="G96" i="4" s="1"/>
  <c r="F97" i="4"/>
  <c r="G97" i="4" s="1"/>
  <c r="F98" i="4"/>
  <c r="G98" i="4" s="1"/>
  <c r="F99" i="4"/>
  <c r="G99" i="4" s="1"/>
  <c r="F100" i="4"/>
  <c r="G100" i="4" s="1"/>
  <c r="F101" i="4"/>
  <c r="G101" i="4" s="1"/>
  <c r="F102" i="4"/>
  <c r="G102" i="4" s="1"/>
  <c r="F103" i="4"/>
  <c r="G103" i="4" s="1"/>
  <c r="F104" i="4"/>
  <c r="G104" i="4" s="1"/>
  <c r="F105" i="4"/>
  <c r="G105" i="4" s="1"/>
  <c r="F106" i="4"/>
  <c r="G106" i="4" s="1"/>
  <c r="F107" i="4"/>
  <c r="G107" i="4" s="1"/>
  <c r="F108" i="4"/>
  <c r="G108" i="4" s="1"/>
  <c r="F109" i="4"/>
  <c r="G109" i="4" s="1"/>
  <c r="F110" i="4"/>
  <c r="G110" i="4" s="1"/>
  <c r="F111" i="4"/>
  <c r="G111" i="4" s="1"/>
  <c r="F112" i="4"/>
  <c r="G112" i="4" s="1"/>
  <c r="F113" i="4"/>
  <c r="G113" i="4" s="1"/>
  <c r="F114" i="4"/>
  <c r="G114" i="4" s="1"/>
  <c r="F115" i="4"/>
  <c r="G115" i="4" s="1"/>
  <c r="F116" i="4"/>
  <c r="G116" i="4" s="1"/>
  <c r="F117" i="4"/>
  <c r="G117" i="4" s="1"/>
  <c r="F118" i="4"/>
  <c r="G118" i="4" s="1"/>
  <c r="F119" i="4"/>
  <c r="G119" i="4" s="1"/>
  <c r="F120" i="4"/>
  <c r="G120" i="4" s="1"/>
  <c r="F121" i="4"/>
  <c r="G121" i="4" s="1"/>
  <c r="F122" i="4"/>
  <c r="G122" i="4" s="1"/>
  <c r="F123" i="4"/>
  <c r="G123" i="4" s="1"/>
  <c r="F124" i="4"/>
  <c r="G124" i="4" s="1"/>
  <c r="F125" i="4"/>
  <c r="G125" i="4" s="1"/>
  <c r="F126" i="4"/>
  <c r="G126" i="4" s="1"/>
  <c r="F127" i="4"/>
  <c r="G127" i="4" s="1"/>
  <c r="F128" i="4"/>
  <c r="G128" i="4" s="1"/>
  <c r="F129" i="4"/>
  <c r="G129" i="4" s="1"/>
  <c r="F130" i="4"/>
  <c r="G130" i="4" s="1"/>
  <c r="F131" i="4"/>
  <c r="G131" i="4" s="1"/>
  <c r="F132" i="4"/>
  <c r="G132" i="4" s="1"/>
  <c r="F133" i="4"/>
  <c r="G133" i="4" s="1"/>
  <c r="F134" i="4"/>
  <c r="G134" i="4" s="1"/>
  <c r="F135" i="4"/>
  <c r="G135" i="4" s="1"/>
  <c r="F136" i="4"/>
  <c r="G136" i="4" s="1"/>
  <c r="F137" i="4"/>
  <c r="G137" i="4" s="1"/>
  <c r="F138" i="4"/>
  <c r="G138" i="4" s="1"/>
  <c r="F139" i="4"/>
  <c r="G139" i="4" s="1"/>
  <c r="F140" i="4"/>
  <c r="G140" i="4" s="1"/>
  <c r="F141" i="4"/>
  <c r="G141" i="4" s="1"/>
  <c r="F142" i="4"/>
  <c r="G142" i="4" s="1"/>
  <c r="F143" i="4"/>
  <c r="G143" i="4" s="1"/>
  <c r="F144" i="4"/>
  <c r="G144" i="4" s="1"/>
  <c r="F145" i="4"/>
  <c r="G145" i="4" s="1"/>
  <c r="F146" i="4"/>
  <c r="G146" i="4" s="1"/>
  <c r="F147" i="4"/>
  <c r="G147" i="4" s="1"/>
  <c r="F148" i="4"/>
  <c r="G148" i="4" s="1"/>
  <c r="F149" i="4"/>
  <c r="G149" i="4" s="1"/>
  <c r="F150" i="4"/>
  <c r="G150" i="4" s="1"/>
  <c r="F151" i="4"/>
  <c r="G151" i="4" s="1"/>
  <c r="F152" i="4"/>
  <c r="G152" i="4" s="1"/>
  <c r="F153" i="4"/>
  <c r="G153" i="4" s="1"/>
  <c r="F154" i="4"/>
  <c r="G154" i="4" s="1"/>
  <c r="F155" i="4"/>
  <c r="G155" i="4" s="1"/>
  <c r="F156" i="4"/>
  <c r="G156" i="4" s="1"/>
  <c r="F157" i="4"/>
  <c r="G157" i="4" s="1"/>
  <c r="F158" i="4"/>
  <c r="G158" i="4" s="1"/>
  <c r="F159" i="4"/>
  <c r="G159" i="4" s="1"/>
  <c r="F160" i="4"/>
  <c r="G160" i="4" s="1"/>
  <c r="F161" i="4"/>
  <c r="G161" i="4" s="1"/>
  <c r="F162" i="4"/>
  <c r="G162" i="4" s="1"/>
  <c r="F163" i="4"/>
  <c r="G163" i="4" s="1"/>
  <c r="F164" i="4"/>
  <c r="G164" i="4" s="1"/>
  <c r="F165" i="4"/>
  <c r="G165" i="4" s="1"/>
  <c r="F166" i="4"/>
  <c r="G166" i="4" s="1"/>
  <c r="F167" i="4"/>
  <c r="G167" i="4" s="1"/>
  <c r="F168" i="4"/>
  <c r="G168" i="4" s="1"/>
  <c r="F169" i="4"/>
  <c r="G169" i="4" s="1"/>
  <c r="F170" i="4"/>
  <c r="G170" i="4" s="1"/>
  <c r="F171" i="4"/>
  <c r="G171" i="4" s="1"/>
  <c r="F172" i="4"/>
  <c r="G172" i="4" s="1"/>
  <c r="F173" i="4"/>
  <c r="G173" i="4" s="1"/>
  <c r="F174" i="4"/>
  <c r="G174" i="4" s="1"/>
  <c r="F175" i="4"/>
  <c r="G175" i="4" s="1"/>
  <c r="F176" i="4"/>
  <c r="G176" i="4" s="1"/>
  <c r="F177" i="4"/>
  <c r="G177" i="4" s="1"/>
  <c r="F178" i="4"/>
  <c r="G178" i="4" s="1"/>
  <c r="F179" i="4"/>
  <c r="G179" i="4" s="1"/>
  <c r="F180" i="4"/>
  <c r="G180" i="4" s="1"/>
  <c r="F181" i="4"/>
  <c r="G181" i="4" s="1"/>
  <c r="F182" i="4"/>
  <c r="G182" i="4" s="1"/>
  <c r="F183" i="4"/>
  <c r="G183" i="4" s="1"/>
  <c r="F184" i="4"/>
  <c r="G184" i="4" s="1"/>
  <c r="F185" i="4"/>
  <c r="G185" i="4" s="1"/>
  <c r="F186" i="4"/>
  <c r="G186" i="4" s="1"/>
  <c r="F187" i="4"/>
  <c r="G187" i="4" s="1"/>
  <c r="F188" i="4"/>
  <c r="G188" i="4" s="1"/>
  <c r="F189" i="4"/>
  <c r="G189" i="4" s="1"/>
  <c r="F190" i="4"/>
  <c r="G190" i="4" s="1"/>
  <c r="F191" i="4"/>
  <c r="G191" i="4" s="1"/>
  <c r="F192" i="4"/>
  <c r="G192" i="4" s="1"/>
  <c r="F193" i="4"/>
  <c r="G193" i="4" s="1"/>
  <c r="F194" i="4"/>
  <c r="G194" i="4" s="1"/>
  <c r="F195" i="4"/>
  <c r="G195" i="4" s="1"/>
  <c r="F196" i="4"/>
  <c r="G196" i="4" s="1"/>
  <c r="F197" i="4"/>
  <c r="G197" i="4" s="1"/>
  <c r="F198" i="4"/>
  <c r="G198" i="4" s="1"/>
  <c r="F199" i="4"/>
  <c r="G199" i="4" s="1"/>
  <c r="F200" i="4"/>
  <c r="G200" i="4" s="1"/>
  <c r="F201" i="4"/>
  <c r="G201" i="4" s="1"/>
  <c r="F202" i="4"/>
  <c r="G202" i="4" s="1"/>
  <c r="B11" i="4" l="1" a="1"/>
  <c r="B11" i="4" s="1"/>
  <c r="D45" i="4"/>
  <c r="H18" i="4" l="1"/>
  <c r="H195" i="4"/>
  <c r="H166" i="4"/>
  <c r="H125" i="4"/>
  <c r="H35" i="4"/>
  <c r="H101" i="4"/>
  <c r="H149" i="4"/>
  <c r="H55" i="4"/>
  <c r="H192" i="4"/>
  <c r="H181" i="4"/>
  <c r="H152" i="4"/>
  <c r="H43" i="4"/>
  <c r="H102" i="4"/>
  <c r="H162" i="4"/>
  <c r="H82" i="4"/>
  <c r="H52" i="4"/>
  <c r="H113" i="4"/>
  <c r="H98" i="4"/>
  <c r="H91" i="4"/>
  <c r="H38" i="4"/>
  <c r="H103" i="4"/>
  <c r="H178" i="4"/>
  <c r="H56" i="4"/>
  <c r="H51" i="4"/>
  <c r="H32" i="4"/>
  <c r="H28" i="4"/>
  <c r="H196" i="4"/>
  <c r="H137" i="4"/>
  <c r="H104" i="4"/>
  <c r="H193" i="4"/>
  <c r="H95" i="4"/>
  <c r="H53" i="4"/>
  <c r="H202" i="4"/>
  <c r="H176" i="4"/>
  <c r="H151" i="4"/>
  <c r="H138" i="4"/>
  <c r="H136" i="4"/>
  <c r="H100" i="4"/>
  <c r="H109" i="4"/>
  <c r="H54" i="4"/>
  <c r="H50" i="4"/>
  <c r="H201" i="4"/>
  <c r="H180" i="4"/>
  <c r="H164" i="4"/>
  <c r="H147" i="4"/>
  <c r="H139" i="4"/>
  <c r="H73" i="4"/>
  <c r="H63" i="4"/>
  <c r="H58" i="4"/>
  <c r="H57" i="4"/>
  <c r="H25" i="4"/>
  <c r="H10" i="4"/>
  <c r="H14" i="4"/>
  <c r="H198" i="4"/>
  <c r="H182" i="4"/>
  <c r="H170" i="4"/>
  <c r="H155" i="4"/>
  <c r="H140" i="4"/>
  <c r="H114" i="4"/>
  <c r="H87" i="4"/>
  <c r="H4" i="4"/>
  <c r="H189" i="4"/>
  <c r="H172" i="4"/>
  <c r="H157" i="4"/>
  <c r="H142" i="4"/>
  <c r="H116" i="4"/>
  <c r="H99" i="4"/>
  <c r="H90" i="4"/>
  <c r="H79" i="4"/>
  <c r="H72" i="4"/>
  <c r="H48" i="4"/>
  <c r="H40" i="4"/>
  <c r="H34" i="4"/>
  <c r="H29" i="4"/>
  <c r="H23" i="4"/>
  <c r="H5" i="4"/>
  <c r="H6" i="4"/>
  <c r="H187" i="4"/>
  <c r="H174" i="4"/>
  <c r="H163" i="4"/>
  <c r="H154" i="4"/>
  <c r="H141" i="4"/>
  <c r="H119" i="4"/>
  <c r="H108" i="4"/>
  <c r="H93" i="4"/>
  <c r="H81" i="4"/>
  <c r="H74" i="4"/>
  <c r="H70" i="4"/>
  <c r="H65" i="4"/>
  <c r="H60" i="4"/>
  <c r="H46" i="4"/>
  <c r="H75" i="4"/>
  <c r="H175" i="4"/>
  <c r="H159" i="4"/>
  <c r="H122" i="4"/>
  <c r="H15" i="4"/>
  <c r="H190" i="4"/>
  <c r="H173" i="4"/>
  <c r="H160" i="4"/>
  <c r="H145" i="4"/>
  <c r="H117" i="4"/>
  <c r="H94" i="4"/>
  <c r="H8" i="4"/>
  <c r="H9" i="4"/>
  <c r="H200" i="4"/>
  <c r="H184" i="4"/>
  <c r="H169" i="4"/>
  <c r="H153" i="4"/>
  <c r="H121" i="4"/>
  <c r="H83" i="4"/>
  <c r="H13" i="4"/>
  <c r="H179" i="4"/>
  <c r="H124" i="4"/>
  <c r="H86" i="4"/>
  <c r="H71" i="4"/>
  <c r="H39" i="4"/>
  <c r="H19" i="4"/>
  <c r="H188" i="4"/>
  <c r="H118" i="4"/>
  <c r="H69" i="4"/>
  <c r="H12" i="4"/>
  <c r="H194" i="4"/>
  <c r="H177" i="4"/>
  <c r="H161" i="4"/>
  <c r="H148" i="4"/>
  <c r="H115" i="4"/>
  <c r="H97" i="4"/>
  <c r="H88" i="4"/>
  <c r="H77" i="4"/>
  <c r="H66" i="4"/>
  <c r="H44" i="4"/>
  <c r="H16" i="4"/>
  <c r="H183" i="4"/>
  <c r="H165" i="4"/>
  <c r="H143" i="4"/>
  <c r="H110" i="4"/>
  <c r="H85" i="4"/>
  <c r="H42" i="4"/>
  <c r="H197" i="4"/>
  <c r="H156" i="4"/>
  <c r="H107" i="4"/>
  <c r="H59" i="4"/>
  <c r="H30" i="4"/>
  <c r="H11" i="4"/>
  <c r="H158" i="4"/>
  <c r="H89" i="4"/>
  <c r="H24" i="4"/>
  <c r="H135" i="4"/>
  <c r="H134" i="4"/>
  <c r="H133" i="4"/>
  <c r="H132" i="4"/>
  <c r="H131" i="4"/>
  <c r="H130" i="4"/>
  <c r="H129" i="4"/>
  <c r="H128" i="4"/>
  <c r="H127" i="4"/>
  <c r="H126" i="4"/>
  <c r="H185" i="4"/>
  <c r="H168" i="4"/>
  <c r="H144" i="4"/>
  <c r="H112" i="4"/>
  <c r="H106" i="4"/>
  <c r="H105" i="4"/>
  <c r="H123" i="4"/>
  <c r="H62" i="4"/>
  <c r="H199" i="4"/>
  <c r="H84" i="4"/>
  <c r="H76" i="4"/>
  <c r="H68" i="4"/>
  <c r="H61" i="4"/>
  <c r="H47" i="4"/>
  <c r="H41" i="4"/>
  <c r="H36" i="4"/>
  <c r="H31" i="4"/>
  <c r="H27" i="4"/>
  <c r="H26" i="4"/>
  <c r="H20" i="4"/>
  <c r="H2" i="4"/>
  <c r="H191" i="4"/>
  <c r="H171" i="4"/>
  <c r="H150" i="4"/>
  <c r="H120" i="4"/>
  <c r="H96" i="4"/>
  <c r="H67" i="4"/>
  <c r="H37" i="4"/>
  <c r="H22" i="4"/>
  <c r="H186" i="4"/>
  <c r="H146" i="4"/>
  <c r="H92" i="4"/>
  <c r="H64" i="4"/>
  <c r="H33" i="4"/>
  <c r="H17" i="4"/>
  <c r="H80" i="4"/>
  <c r="H49" i="4"/>
  <c r="H7" i="4"/>
  <c r="H167" i="4"/>
  <c r="H111" i="4"/>
  <c r="H78" i="4"/>
  <c r="H45" i="4"/>
  <c r="H21" i="4"/>
  <c r="H3" i="4"/>
  <c r="J137" i="4" l="1"/>
  <c r="I137" i="4"/>
  <c r="J193" i="4"/>
  <c r="I193" i="4"/>
  <c r="I18" i="4"/>
  <c r="J18" i="4"/>
  <c r="I195" i="4"/>
  <c r="J195" i="4"/>
  <c r="I125" i="4"/>
  <c r="J125" i="4"/>
  <c r="I35" i="4"/>
  <c r="J35" i="4"/>
  <c r="I101" i="4"/>
  <c r="J101" i="4"/>
  <c r="I102" i="4"/>
  <c r="J102" i="4"/>
  <c r="I162" i="4"/>
  <c r="J162" i="4"/>
  <c r="I98" i="4"/>
  <c r="J98" i="4"/>
  <c r="I32" i="4"/>
  <c r="J32" i="4"/>
  <c r="I28" i="4"/>
  <c r="J28" i="4"/>
  <c r="I196" i="4"/>
  <c r="J196" i="4"/>
  <c r="I104" i="4"/>
  <c r="J104" i="4"/>
  <c r="I95" i="4"/>
  <c r="J95" i="4"/>
  <c r="I138" i="4"/>
  <c r="J138" i="4"/>
  <c r="I50" i="4"/>
  <c r="J50" i="4"/>
  <c r="J166" i="4"/>
  <c r="I166" i="4"/>
  <c r="I149" i="4"/>
  <c r="J149" i="4"/>
  <c r="I55" i="4"/>
  <c r="J55" i="4"/>
  <c r="I192" i="4"/>
  <c r="J192" i="4"/>
  <c r="J181" i="4"/>
  <c r="I181" i="4"/>
  <c r="I152" i="4"/>
  <c r="J152" i="4"/>
  <c r="I43" i="4"/>
  <c r="J43" i="4"/>
  <c r="I82" i="4"/>
  <c r="J82" i="4"/>
  <c r="J52" i="4"/>
  <c r="I52" i="4"/>
  <c r="I113" i="4"/>
  <c r="J113" i="4"/>
  <c r="J91" i="4"/>
  <c r="I91" i="4"/>
  <c r="I38" i="4"/>
  <c r="J38" i="4"/>
  <c r="I103" i="4"/>
  <c r="J103" i="4"/>
  <c r="I178" i="4"/>
  <c r="J178" i="4"/>
  <c r="J56" i="4"/>
  <c r="I56" i="4"/>
  <c r="I51" i="4"/>
  <c r="J51" i="4"/>
  <c r="J53" i="4"/>
  <c r="I53" i="4"/>
  <c r="J202" i="4"/>
  <c r="I202" i="4"/>
  <c r="I176" i="4"/>
  <c r="J176" i="4"/>
  <c r="J151" i="4"/>
  <c r="I151" i="4"/>
  <c r="I136" i="4"/>
  <c r="J136" i="4"/>
  <c r="I100" i="4"/>
  <c r="J100" i="4"/>
  <c r="I109" i="4"/>
  <c r="J109" i="4"/>
  <c r="I54" i="4"/>
  <c r="J54" i="4"/>
  <c r="I201" i="4"/>
  <c r="J201" i="4"/>
  <c r="I139" i="4"/>
  <c r="J139" i="4"/>
  <c r="I63" i="4"/>
  <c r="J63" i="4"/>
  <c r="I170" i="4"/>
  <c r="J170" i="4"/>
  <c r="I114" i="4"/>
  <c r="J114" i="4"/>
  <c r="I172" i="4"/>
  <c r="J172" i="4"/>
  <c r="I72" i="4"/>
  <c r="J72" i="4"/>
  <c r="I29" i="4"/>
  <c r="J29" i="4"/>
  <c r="I141" i="4"/>
  <c r="J141" i="4"/>
  <c r="J180" i="4"/>
  <c r="I180" i="4"/>
  <c r="I164" i="4"/>
  <c r="J164" i="4"/>
  <c r="J147" i="4"/>
  <c r="I147" i="4"/>
  <c r="I73" i="4"/>
  <c r="J73" i="4"/>
  <c r="J58" i="4"/>
  <c r="I58" i="4"/>
  <c r="J57" i="4"/>
  <c r="I57" i="4"/>
  <c r="J25" i="4"/>
  <c r="I25" i="4"/>
  <c r="J10" i="4"/>
  <c r="I10" i="4"/>
  <c r="J14" i="4"/>
  <c r="I14" i="4"/>
  <c r="I198" i="4"/>
  <c r="J198" i="4"/>
  <c r="J182" i="4"/>
  <c r="I182" i="4"/>
  <c r="J155" i="4"/>
  <c r="I155" i="4"/>
  <c r="J140" i="4"/>
  <c r="I140" i="4"/>
  <c r="I87" i="4"/>
  <c r="J87" i="4"/>
  <c r="J4" i="4"/>
  <c r="I4" i="4"/>
  <c r="I189" i="4"/>
  <c r="J189" i="4"/>
  <c r="J157" i="4"/>
  <c r="I157" i="4"/>
  <c r="I142" i="4"/>
  <c r="J142" i="4"/>
  <c r="J116" i="4"/>
  <c r="I116" i="4"/>
  <c r="I99" i="4"/>
  <c r="J99" i="4"/>
  <c r="I90" i="4"/>
  <c r="J90" i="4"/>
  <c r="I79" i="4"/>
  <c r="J79" i="4"/>
  <c r="J48" i="4"/>
  <c r="I48" i="4"/>
  <c r="J40" i="4"/>
  <c r="I40" i="4"/>
  <c r="J34" i="4"/>
  <c r="I34" i="4"/>
  <c r="J23" i="4"/>
  <c r="I23" i="4"/>
  <c r="J5" i="4"/>
  <c r="I5" i="4"/>
  <c r="J6" i="4"/>
  <c r="I6" i="4"/>
  <c r="I187" i="4"/>
  <c r="J187" i="4"/>
  <c r="J174" i="4"/>
  <c r="I174" i="4"/>
  <c r="J163" i="4"/>
  <c r="I163" i="4"/>
  <c r="I154" i="4"/>
  <c r="J154" i="4"/>
  <c r="I119" i="4"/>
  <c r="J119" i="4"/>
  <c r="J108" i="4"/>
  <c r="I108" i="4"/>
  <c r="J93" i="4"/>
  <c r="I93" i="4"/>
  <c r="I81" i="4"/>
  <c r="J81" i="4"/>
  <c r="I74" i="4"/>
  <c r="J74" i="4"/>
  <c r="I70" i="4"/>
  <c r="J70" i="4"/>
  <c r="I65" i="4"/>
  <c r="J65" i="4"/>
  <c r="J60" i="4"/>
  <c r="I60" i="4"/>
  <c r="I46" i="4"/>
  <c r="J46" i="4"/>
  <c r="I75" i="4"/>
  <c r="J75" i="4"/>
  <c r="I47" i="4"/>
  <c r="J47" i="4"/>
  <c r="I36" i="4"/>
  <c r="J36" i="4"/>
  <c r="I33" i="4"/>
  <c r="J33" i="4"/>
  <c r="I165" i="4"/>
  <c r="J165" i="4"/>
  <c r="J143" i="4"/>
  <c r="I143" i="4"/>
  <c r="I110" i="4"/>
  <c r="J110" i="4"/>
  <c r="J42" i="4"/>
  <c r="I42" i="4"/>
  <c r="J197" i="4"/>
  <c r="I197" i="4"/>
  <c r="I107" i="4"/>
  <c r="J107" i="4"/>
  <c r="I30" i="4"/>
  <c r="J30" i="4"/>
  <c r="J11" i="4"/>
  <c r="I11" i="4"/>
  <c r="I158" i="4"/>
  <c r="J158" i="4"/>
  <c r="J89" i="4"/>
  <c r="I89" i="4"/>
  <c r="I24" i="4"/>
  <c r="J24" i="4"/>
  <c r="I135" i="4"/>
  <c r="J135" i="4"/>
  <c r="J134" i="4"/>
  <c r="I134" i="4"/>
  <c r="I133" i="4"/>
  <c r="J133" i="4"/>
  <c r="I132" i="4"/>
  <c r="J132" i="4"/>
  <c r="I130" i="4"/>
  <c r="J130" i="4"/>
  <c r="J129" i="4"/>
  <c r="I129" i="4"/>
  <c r="I128" i="4"/>
  <c r="J128" i="4"/>
  <c r="J127" i="4"/>
  <c r="I127" i="4"/>
  <c r="I126" i="4"/>
  <c r="J126" i="4"/>
  <c r="I185" i="4"/>
  <c r="J185" i="4"/>
  <c r="J168" i="4"/>
  <c r="I168" i="4"/>
  <c r="J144" i="4"/>
  <c r="I144" i="4"/>
  <c r="I112" i="4"/>
  <c r="J112" i="4"/>
  <c r="I106" i="4"/>
  <c r="J106" i="4"/>
  <c r="J105" i="4"/>
  <c r="I105" i="4"/>
  <c r="I123" i="4"/>
  <c r="J123" i="4"/>
  <c r="J199" i="4"/>
  <c r="I199" i="4"/>
  <c r="J84" i="4"/>
  <c r="I84" i="4"/>
  <c r="J76" i="4"/>
  <c r="I76" i="4"/>
  <c r="I68" i="4"/>
  <c r="J68" i="4"/>
  <c r="I61" i="4"/>
  <c r="J61" i="4"/>
  <c r="I41" i="4"/>
  <c r="J41" i="4"/>
  <c r="J27" i="4"/>
  <c r="I27" i="4"/>
  <c r="I2" i="4"/>
  <c r="J2" i="4"/>
  <c r="J191" i="4"/>
  <c r="I191" i="4"/>
  <c r="J171" i="4"/>
  <c r="I171" i="4"/>
  <c r="I150" i="4"/>
  <c r="J150" i="4"/>
  <c r="I96" i="4"/>
  <c r="J96" i="4"/>
  <c r="I37" i="4"/>
  <c r="J37" i="4"/>
  <c r="J22" i="4"/>
  <c r="I22" i="4"/>
  <c r="J186" i="4"/>
  <c r="I186" i="4"/>
  <c r="I80" i="4"/>
  <c r="J80" i="4"/>
  <c r="J7" i="4"/>
  <c r="I7" i="4"/>
  <c r="I167" i="4"/>
  <c r="J167" i="4"/>
  <c r="I111" i="4"/>
  <c r="J111" i="4"/>
  <c r="I78" i="4"/>
  <c r="J78" i="4"/>
  <c r="J45" i="4"/>
  <c r="I45" i="4"/>
  <c r="I3" i="4"/>
  <c r="J3" i="4"/>
  <c r="I175" i="4"/>
  <c r="J175" i="4"/>
  <c r="I159" i="4"/>
  <c r="J159" i="4"/>
  <c r="I122" i="4"/>
  <c r="J122" i="4"/>
  <c r="I15" i="4"/>
  <c r="J15" i="4"/>
  <c r="I190" i="4"/>
  <c r="J190" i="4"/>
  <c r="I173" i="4"/>
  <c r="J173" i="4"/>
  <c r="J160" i="4"/>
  <c r="I160" i="4"/>
  <c r="J145" i="4"/>
  <c r="I145" i="4"/>
  <c r="J117" i="4"/>
  <c r="I117" i="4"/>
  <c r="J94" i="4"/>
  <c r="I94" i="4"/>
  <c r="I8" i="4"/>
  <c r="J8" i="4"/>
  <c r="J9" i="4"/>
  <c r="I9" i="4"/>
  <c r="J200" i="4"/>
  <c r="I200" i="4"/>
  <c r="J184" i="4"/>
  <c r="I184" i="4"/>
  <c r="I169" i="4"/>
  <c r="J169" i="4"/>
  <c r="I153" i="4"/>
  <c r="J153" i="4"/>
  <c r="I121" i="4"/>
  <c r="J121" i="4"/>
  <c r="J83" i="4"/>
  <c r="I83" i="4"/>
  <c r="J13" i="4"/>
  <c r="I13" i="4"/>
  <c r="I179" i="4"/>
  <c r="J179" i="4"/>
  <c r="J124" i="4"/>
  <c r="I124" i="4"/>
  <c r="I86" i="4"/>
  <c r="J86" i="4"/>
  <c r="J71" i="4"/>
  <c r="I71" i="4"/>
  <c r="I39" i="4"/>
  <c r="J39" i="4"/>
  <c r="I19" i="4"/>
  <c r="J19" i="4"/>
  <c r="I188" i="4"/>
  <c r="J188" i="4"/>
  <c r="J118" i="4"/>
  <c r="I118" i="4"/>
  <c r="I69" i="4"/>
  <c r="J69" i="4"/>
  <c r="I12" i="4"/>
  <c r="J12" i="4"/>
  <c r="I194" i="4"/>
  <c r="J194" i="4"/>
  <c r="I177" i="4"/>
  <c r="J177" i="4"/>
  <c r="J161" i="4"/>
  <c r="I161" i="4"/>
  <c r="J148" i="4"/>
  <c r="I148" i="4"/>
  <c r="I115" i="4"/>
  <c r="J115" i="4"/>
  <c r="I97" i="4"/>
  <c r="J97" i="4"/>
  <c r="J88" i="4"/>
  <c r="I88" i="4"/>
  <c r="J77" i="4"/>
  <c r="I77" i="4"/>
  <c r="J66" i="4"/>
  <c r="I66" i="4"/>
  <c r="I44" i="4"/>
  <c r="J44" i="4"/>
  <c r="I16" i="4"/>
  <c r="J16" i="4"/>
  <c r="J183" i="4"/>
  <c r="I183" i="4"/>
  <c r="J85" i="4"/>
  <c r="I85" i="4"/>
  <c r="I156" i="4"/>
  <c r="J156" i="4"/>
  <c r="J59" i="4"/>
  <c r="I59" i="4"/>
  <c r="I131" i="4"/>
  <c r="J131" i="4"/>
  <c r="J62" i="4"/>
  <c r="I62" i="4"/>
  <c r="J31" i="4"/>
  <c r="I31" i="4"/>
  <c r="I26" i="4"/>
  <c r="J26" i="4"/>
  <c r="I20" i="4"/>
  <c r="J20" i="4"/>
  <c r="I120" i="4"/>
  <c r="J120" i="4"/>
  <c r="J67" i="4"/>
  <c r="I67" i="4"/>
  <c r="I146" i="4"/>
  <c r="J146" i="4"/>
  <c r="I92" i="4"/>
  <c r="J92" i="4"/>
  <c r="I64" i="4"/>
  <c r="J64" i="4"/>
  <c r="I17" i="4"/>
  <c r="J17" i="4"/>
  <c r="I49" i="4"/>
  <c r="J49" i="4"/>
  <c r="I21" i="4"/>
  <c r="J2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<sst xmlns="http://schemas.openxmlformats.org/spreadsheetml/2006/main" count="25" uniqueCount="20">
  <si>
    <r>
      <t>Cutoff Frequency - f</t>
    </r>
    <r>
      <rPr>
        <vertAlign val="subscript"/>
        <sz val="11"/>
        <color theme="1"/>
        <rFont val="Calibri"/>
        <family val="2"/>
        <scheme val="minor"/>
      </rPr>
      <t>c</t>
    </r>
  </si>
  <si>
    <t>Hz</t>
  </si>
  <si>
    <t>F</t>
  </si>
  <si>
    <t>Ω</t>
  </si>
  <si>
    <t>C</t>
  </si>
  <si>
    <t>Decade</t>
  </si>
  <si>
    <t>f</t>
  </si>
  <si>
    <t>s</t>
  </si>
  <si>
    <t>H(s)</t>
  </si>
  <si>
    <t>Mag (dB)</t>
  </si>
  <si>
    <r>
      <t>Phase (</t>
    </r>
    <r>
      <rPr>
        <sz val="11"/>
        <color theme="1"/>
        <rFont val="Calibri"/>
        <family val="2"/>
      </rPr>
      <t>Φ)</t>
    </r>
  </si>
  <si>
    <t>R1</t>
  </si>
  <si>
    <t>R2</t>
  </si>
  <si>
    <t>Filtered Divider</t>
  </si>
  <si>
    <r>
      <rPr>
        <b/>
        <sz val="11"/>
        <color theme="1"/>
        <rFont val="Calibri"/>
        <family val="2"/>
      </rPr>
      <t>┌ OUT</t>
    </r>
    <r>
      <rPr>
        <b/>
        <sz val="11"/>
        <color theme="1"/>
        <rFont val="Calibri"/>
        <family val="2"/>
        <scheme val="minor"/>
      </rPr>
      <t xml:space="preserve">PUTS </t>
    </r>
    <r>
      <rPr>
        <b/>
        <sz val="11"/>
        <color theme="1"/>
        <rFont val="Calibri"/>
        <family val="2"/>
      </rPr>
      <t>┐</t>
    </r>
  </si>
  <si>
    <r>
      <rPr>
        <b/>
        <sz val="11"/>
        <color theme="1"/>
        <rFont val="Calibri"/>
        <family val="2"/>
      </rPr>
      <t xml:space="preserve">┌ </t>
    </r>
    <r>
      <rPr>
        <b/>
        <sz val="11"/>
        <color theme="1"/>
        <rFont val="Calibri"/>
        <family val="2"/>
        <scheme val="minor"/>
      </rPr>
      <t xml:space="preserve">INPUTS </t>
    </r>
    <r>
      <rPr>
        <b/>
        <sz val="11"/>
        <color theme="1"/>
        <rFont val="Calibri"/>
        <family val="2"/>
      </rPr>
      <t>┐</t>
    </r>
  </si>
  <si>
    <t>Attenuation Scale (α)</t>
  </si>
  <si>
    <t>σ</t>
  </si>
  <si>
    <t>Thevenin
Resistance</t>
  </si>
  <si>
    <t>Schematic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</si>
</sst>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E+00"/>
  </numFmts>
  <fonts count="8" x14ac:knownFonts="1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i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2" borderId="1">
      <alignment horizontal="center"/>
      <protection locked="0"/>
    </xf>
    <xf numFmtId="0" fontId="2" fillId="4" borderId="1">
      <alignment horizontal="center"/>
    </xf>
    <xf numFmtId="0" fontId="2" fillId="5" borderId="1">
      <alignment horizontal="center"/>
    </xf>
    <xf numFmtId="0" fontId="2" fillId="6" borderId="1">
      <alignment horizontal="center"/>
    </xf>
  </cellStyleXfs>
  <cellXfs count="19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164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1" fontId="0" fillId="0" borderId="0" xfId="0" applyNumberFormat="1"/>
    <xf numFmtId="0" fontId="1" fillId="2" borderId="1" xfId="1">
      <alignment horizontal="center"/>
      <protection locked="0"/>
    </xf>
    <xf numFmtId="48" fontId="1" fillId="2" borderId="1" xfId="1" applyNumberFormat="1">
      <alignment horizontal="center"/>
      <protection locked="0"/>
    </xf>
    <xf numFmtId="0" fontId="2" fillId="4" borderId="1" xfId="2" applyAlignment="1">
      <alignment horizontal="center" vertical="center"/>
    </xf>
    <xf numFmtId="11" fontId="0" fillId="0" borderId="0" xfId="0" applyNumberFormat="1" applyAlignment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right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right" vertical="center" wrapText="1"/>
    </xf>
  </cellXfs>
  <cellStyles count="5">
    <cellStyle name="INPUTS" xfId="1" xr:uid="{80EA9240-E00B-4B33-80A5-E59508BA339F}"/>
    <cellStyle name="Normal" xfId="0" builtinId="0" customBuiltin="1"/>
    <cellStyle name="OUTPUTS" xfId="2" xr:uid="{D22FC3D0-DEF1-4B09-B6A1-7D98D1E30D70}"/>
    <cellStyle name="REFERENCE" xfId="3" xr:uid="{2B85B7F2-FCB1-4B81-A12B-1793B68AA825}"/>
    <cellStyle name="SPECS" xfId="4" xr:uid="{9A8109DA-9191-47D6-8517-104B257578AA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'Filtered Divider'!$F$2:$F$202</c:f>
              <c:numCache>
                <c:formatCode>General</c:formatCode>
                <c:ptCount val="201"/>
                <c:pt idx="0">
                  <c:v>1</c:v>
                </c:pt>
                <c:pt idx="1">
                  <c:v>1.0471285480508989</c:v>
                </c:pt>
                <c:pt idx="2">
                  <c:v>1.0964781961431851</c:v>
                </c:pt>
                <c:pt idx="3">
                  <c:v>1.1481536214968826</c:v>
                </c:pt>
                <c:pt idx="4">
                  <c:v>1.2022644346174125</c:v>
                </c:pt>
                <c:pt idx="5">
                  <c:v>1.2589254117941664</c:v>
                </c:pt>
                <c:pt idx="6">
                  <c:v>1.3182567385564075</c:v>
                </c:pt>
                <c:pt idx="7">
                  <c:v>1.3803842646028848</c:v>
                </c:pt>
                <c:pt idx="8">
                  <c:v>1.4454397707459272</c:v>
                </c:pt>
                <c:pt idx="9">
                  <c:v>1.5135612484362075</c:v>
                </c:pt>
                <c:pt idx="10">
                  <c:v>1.5848931924611125</c:v>
                </c:pt>
                <c:pt idx="11">
                  <c:v>1.6595869074375591</c:v>
                </c:pt>
                <c:pt idx="12">
                  <c:v>1.7378008287493756</c:v>
                </c:pt>
                <c:pt idx="13">
                  <c:v>1.819700858609983</c:v>
                </c:pt>
                <c:pt idx="14">
                  <c:v>1.9054607179632463</c:v>
                </c:pt>
                <c:pt idx="15">
                  <c:v>1.9952623149688793</c:v>
                </c:pt>
                <c:pt idx="16">
                  <c:v>2.0892961308540388</c:v>
                </c:pt>
                <c:pt idx="17">
                  <c:v>2.1877616239495525</c:v>
                </c:pt>
                <c:pt idx="18">
                  <c:v>2.2908676527677709</c:v>
                </c:pt>
                <c:pt idx="19">
                  <c:v>2.3988329190194895</c:v>
                </c:pt>
                <c:pt idx="20">
                  <c:v>2.5118864315095779</c:v>
                </c:pt>
                <c:pt idx="21">
                  <c:v>2.6302679918953804</c:v>
                </c:pt>
                <c:pt idx="22">
                  <c:v>2.7542287033381645</c:v>
                </c:pt>
                <c:pt idx="23">
                  <c:v>2.8840315031266046</c:v>
                </c:pt>
                <c:pt idx="24">
                  <c:v>3.0199517204020148</c:v>
                </c:pt>
                <c:pt idx="25">
                  <c:v>3.1622776601683786</c:v>
                </c:pt>
                <c:pt idx="26">
                  <c:v>3.3113112148259107</c:v>
                </c:pt>
                <c:pt idx="27">
                  <c:v>3.4673685045253158</c:v>
                </c:pt>
                <c:pt idx="28">
                  <c:v>3.6307805477010131</c:v>
                </c:pt>
                <c:pt idx="29">
                  <c:v>3.801893963205611</c:v>
                </c:pt>
                <c:pt idx="30">
                  <c:v>3.9810717055349727</c:v>
                </c:pt>
                <c:pt idx="31">
                  <c:v>4.1686938347033538</c:v>
                </c:pt>
                <c:pt idx="32">
                  <c:v>4.3651583224016601</c:v>
                </c:pt>
                <c:pt idx="33">
                  <c:v>4.5708818961487498</c:v>
                </c:pt>
                <c:pt idx="34">
                  <c:v>4.786300923226384</c:v>
                </c:pt>
                <c:pt idx="35">
                  <c:v>5.0118723362727229</c:v>
                </c:pt>
                <c:pt idx="36">
                  <c:v>5.2480746024977245</c:v>
                </c:pt>
                <c:pt idx="37">
                  <c:v>5.4954087385762431</c:v>
                </c:pt>
                <c:pt idx="38">
                  <c:v>5.7543993733715686</c:v>
                </c:pt>
                <c:pt idx="39">
                  <c:v>6.0255958607435742</c:v>
                </c:pt>
                <c:pt idx="40">
                  <c:v>6.3095734448019316</c:v>
                </c:pt>
                <c:pt idx="41">
                  <c:v>6.6069344800759584</c:v>
                </c:pt>
                <c:pt idx="42">
                  <c:v>6.9183097091893613</c:v>
                </c:pt>
                <c:pt idx="43">
                  <c:v>7.2443596007498963</c:v>
                </c:pt>
                <c:pt idx="44">
                  <c:v>7.5857757502918357</c:v>
                </c:pt>
                <c:pt idx="45">
                  <c:v>7.9432823472428096</c:v>
                </c:pt>
                <c:pt idx="46">
                  <c:v>8.317637711026709</c:v>
                </c:pt>
                <c:pt idx="47">
                  <c:v>8.7096358995608014</c:v>
                </c:pt>
                <c:pt idx="48">
                  <c:v>9.1201083935590948</c:v>
                </c:pt>
                <c:pt idx="49">
                  <c:v>9.5499258602143566</c:v>
                </c:pt>
                <c:pt idx="50">
                  <c:v>10</c:v>
                </c:pt>
                <c:pt idx="51">
                  <c:v>10.471285480508996</c:v>
                </c:pt>
                <c:pt idx="52">
                  <c:v>10.96478196143185</c:v>
                </c:pt>
                <c:pt idx="53">
                  <c:v>11.481536214968829</c:v>
                </c:pt>
                <c:pt idx="54">
                  <c:v>12.022644346174129</c:v>
                </c:pt>
                <c:pt idx="55">
                  <c:v>12.589254117941673</c:v>
                </c:pt>
                <c:pt idx="56">
                  <c:v>13.18256738556407</c:v>
                </c:pt>
                <c:pt idx="57">
                  <c:v>13.803842646028849</c:v>
                </c:pt>
                <c:pt idx="58">
                  <c:v>14.454397707459268</c:v>
                </c:pt>
                <c:pt idx="59">
                  <c:v>15.135612484362076</c:v>
                </c:pt>
                <c:pt idx="60">
                  <c:v>15.848931924611131</c:v>
                </c:pt>
                <c:pt idx="61">
                  <c:v>16.595869074375599</c:v>
                </c:pt>
                <c:pt idx="62">
                  <c:v>17.378008287493749</c:v>
                </c:pt>
                <c:pt idx="63">
                  <c:v>18.197008586099834</c:v>
                </c:pt>
                <c:pt idx="64">
                  <c:v>19.05460717963247</c:v>
                </c:pt>
                <c:pt idx="65">
                  <c:v>19.952623149688794</c:v>
                </c:pt>
                <c:pt idx="66">
                  <c:v>20.892961308540396</c:v>
                </c:pt>
                <c:pt idx="67">
                  <c:v>21.877616239495527</c:v>
                </c:pt>
                <c:pt idx="68">
                  <c:v>22.908676527677731</c:v>
                </c:pt>
                <c:pt idx="69">
                  <c:v>23.988329190194907</c:v>
                </c:pt>
                <c:pt idx="70">
                  <c:v>25.118864315095806</c:v>
                </c:pt>
                <c:pt idx="71">
                  <c:v>26.302679918953814</c:v>
                </c:pt>
                <c:pt idx="72">
                  <c:v>27.542287033381662</c:v>
                </c:pt>
                <c:pt idx="73">
                  <c:v>28.840315031266055</c:v>
                </c:pt>
                <c:pt idx="74">
                  <c:v>30.199517204020154</c:v>
                </c:pt>
                <c:pt idx="75">
                  <c:v>31.622776601683793</c:v>
                </c:pt>
                <c:pt idx="76">
                  <c:v>33.113112148259106</c:v>
                </c:pt>
                <c:pt idx="77">
                  <c:v>34.673685045253166</c:v>
                </c:pt>
                <c:pt idx="78">
                  <c:v>36.307805477010135</c:v>
                </c:pt>
                <c:pt idx="79">
                  <c:v>38.018939632056117</c:v>
                </c:pt>
                <c:pt idx="80">
                  <c:v>39.810717055349734</c:v>
                </c:pt>
                <c:pt idx="81">
                  <c:v>41.686938347033546</c:v>
                </c:pt>
                <c:pt idx="82">
                  <c:v>43.651583224016605</c:v>
                </c:pt>
                <c:pt idx="83">
                  <c:v>45.708818961487516</c:v>
                </c:pt>
                <c:pt idx="84">
                  <c:v>47.863009232263835</c:v>
                </c:pt>
                <c:pt idx="85">
                  <c:v>50.118723362727224</c:v>
                </c:pt>
                <c:pt idx="86">
                  <c:v>52.48074602497725</c:v>
                </c:pt>
                <c:pt idx="87">
                  <c:v>54.954087385762449</c:v>
                </c:pt>
                <c:pt idx="88">
                  <c:v>57.543993733715695</c:v>
                </c:pt>
                <c:pt idx="89">
                  <c:v>60.25595860743578</c:v>
                </c:pt>
                <c:pt idx="90">
                  <c:v>63.095734448019329</c:v>
                </c:pt>
                <c:pt idx="91">
                  <c:v>66.069344800759609</c:v>
                </c:pt>
                <c:pt idx="92">
                  <c:v>69.183097091893657</c:v>
                </c:pt>
                <c:pt idx="93">
                  <c:v>72.443596007499025</c:v>
                </c:pt>
                <c:pt idx="94">
                  <c:v>75.857757502918403</c:v>
                </c:pt>
                <c:pt idx="95">
                  <c:v>79.432823472428169</c:v>
                </c:pt>
                <c:pt idx="96">
                  <c:v>83.176377110267083</c:v>
                </c:pt>
                <c:pt idx="97">
                  <c:v>87.096358995608057</c:v>
                </c:pt>
                <c:pt idx="98">
                  <c:v>91.201083935590958</c:v>
                </c:pt>
                <c:pt idx="99">
                  <c:v>95.499258602143584</c:v>
                </c:pt>
                <c:pt idx="100">
                  <c:v>100</c:v>
                </c:pt>
                <c:pt idx="101">
                  <c:v>104.71285480508996</c:v>
                </c:pt>
                <c:pt idx="102">
                  <c:v>109.64781961431851</c:v>
                </c:pt>
                <c:pt idx="103">
                  <c:v>114.81536214968828</c:v>
                </c:pt>
                <c:pt idx="104">
                  <c:v>120.22644346174131</c:v>
                </c:pt>
                <c:pt idx="105">
                  <c:v>125.89254117941675</c:v>
                </c:pt>
                <c:pt idx="106">
                  <c:v>131.82567385564076</c:v>
                </c:pt>
                <c:pt idx="107">
                  <c:v>138.03842646028852</c:v>
                </c:pt>
                <c:pt idx="108">
                  <c:v>144.54397707459282</c:v>
                </c:pt>
                <c:pt idx="109">
                  <c:v>151.35612484362088</c:v>
                </c:pt>
                <c:pt idx="110">
                  <c:v>158.48931924611142</c:v>
                </c:pt>
                <c:pt idx="111">
                  <c:v>165.95869074375614</c:v>
                </c:pt>
                <c:pt idx="112">
                  <c:v>173.78008287493765</c:v>
                </c:pt>
                <c:pt idx="113">
                  <c:v>181.97008586099847</c:v>
                </c:pt>
                <c:pt idx="114">
                  <c:v>190.54607179632484</c:v>
                </c:pt>
                <c:pt idx="115">
                  <c:v>199.5262314968881</c:v>
                </c:pt>
                <c:pt idx="116">
                  <c:v>208.92961308540387</c:v>
                </c:pt>
                <c:pt idx="117">
                  <c:v>218.77616239495521</c:v>
                </c:pt>
                <c:pt idx="118">
                  <c:v>229.08676527677727</c:v>
                </c:pt>
                <c:pt idx="119">
                  <c:v>239.88329190194898</c:v>
                </c:pt>
                <c:pt idx="120">
                  <c:v>251.18864315095797</c:v>
                </c:pt>
                <c:pt idx="121">
                  <c:v>263.02679918953817</c:v>
                </c:pt>
                <c:pt idx="122">
                  <c:v>275.4228703338166</c:v>
                </c:pt>
                <c:pt idx="123">
                  <c:v>288.40315031266061</c:v>
                </c:pt>
                <c:pt idx="124">
                  <c:v>301.99517204020168</c:v>
                </c:pt>
                <c:pt idx="125">
                  <c:v>316.22776601683796</c:v>
                </c:pt>
                <c:pt idx="126">
                  <c:v>331.13112148259114</c:v>
                </c:pt>
                <c:pt idx="127">
                  <c:v>346.73685045253171</c:v>
                </c:pt>
                <c:pt idx="128">
                  <c:v>363.0780547701014</c:v>
                </c:pt>
                <c:pt idx="129">
                  <c:v>380.18939632056129</c:v>
                </c:pt>
                <c:pt idx="130">
                  <c:v>398.10717055349738</c:v>
                </c:pt>
                <c:pt idx="131">
                  <c:v>416.86938347033555</c:v>
                </c:pt>
                <c:pt idx="132">
                  <c:v>436.51583224016611</c:v>
                </c:pt>
                <c:pt idx="133">
                  <c:v>457.08818961487526</c:v>
                </c:pt>
                <c:pt idx="134">
                  <c:v>478.63009232263869</c:v>
                </c:pt>
                <c:pt idx="135">
                  <c:v>501.18723362727263</c:v>
                </c:pt>
                <c:pt idx="136">
                  <c:v>524.80746024977293</c:v>
                </c:pt>
                <c:pt idx="137">
                  <c:v>549.54087385762489</c:v>
                </c:pt>
                <c:pt idx="138">
                  <c:v>575.4399373371574</c:v>
                </c:pt>
                <c:pt idx="139">
                  <c:v>602.55958607435821</c:v>
                </c:pt>
                <c:pt idx="140">
                  <c:v>630.9573444801938</c:v>
                </c:pt>
                <c:pt idx="141">
                  <c:v>660.69344800759586</c:v>
                </c:pt>
                <c:pt idx="142">
                  <c:v>691.83097091893626</c:v>
                </c:pt>
                <c:pt idx="143">
                  <c:v>724.43596007499002</c:v>
                </c:pt>
                <c:pt idx="144">
                  <c:v>758.57757502918378</c:v>
                </c:pt>
                <c:pt idx="145">
                  <c:v>794.3282347242814</c:v>
                </c:pt>
                <c:pt idx="146">
                  <c:v>831.76377110267106</c:v>
                </c:pt>
                <c:pt idx="147">
                  <c:v>870.96358995608045</c:v>
                </c:pt>
                <c:pt idx="148">
                  <c:v>912.01083935590987</c:v>
                </c:pt>
                <c:pt idx="149">
                  <c:v>954.99258602143584</c:v>
                </c:pt>
                <c:pt idx="150">
                  <c:v>1000</c:v>
                </c:pt>
                <c:pt idx="151">
                  <c:v>1047.1285480509</c:v>
                </c:pt>
                <c:pt idx="152">
                  <c:v>1096.4781961431854</c:v>
                </c:pt>
                <c:pt idx="153">
                  <c:v>1148.1536214968835</c:v>
                </c:pt>
                <c:pt idx="154">
                  <c:v>1202.2644346174134</c:v>
                </c:pt>
                <c:pt idx="155">
                  <c:v>1258.925411794168</c:v>
                </c:pt>
                <c:pt idx="156">
                  <c:v>1318.2567385564075</c:v>
                </c:pt>
                <c:pt idx="157">
                  <c:v>1380.3842646028857</c:v>
                </c:pt>
                <c:pt idx="158">
                  <c:v>1445.4397707459282</c:v>
                </c:pt>
                <c:pt idx="159">
                  <c:v>1513.5612484362091</c:v>
                </c:pt>
                <c:pt idx="160">
                  <c:v>1584.8931924611143</c:v>
                </c:pt>
                <c:pt idx="161">
                  <c:v>1659.5869074375621</c:v>
                </c:pt>
                <c:pt idx="162">
                  <c:v>1737.8008287493763</c:v>
                </c:pt>
                <c:pt idx="163">
                  <c:v>1819.7008586099848</c:v>
                </c:pt>
                <c:pt idx="164">
                  <c:v>1905.4607179632485</c:v>
                </c:pt>
                <c:pt idx="165">
                  <c:v>1995.2623149688816</c:v>
                </c:pt>
                <c:pt idx="166">
                  <c:v>2089.2961308540416</c:v>
                </c:pt>
                <c:pt idx="167">
                  <c:v>2187.7616239495528</c:v>
                </c:pt>
                <c:pt idx="168">
                  <c:v>2290.8676527677726</c:v>
                </c:pt>
                <c:pt idx="169">
                  <c:v>2398.8329190194909</c:v>
                </c:pt>
                <c:pt idx="170">
                  <c:v>2511.8864315095798</c:v>
                </c:pt>
                <c:pt idx="171">
                  <c:v>2630.2679918953822</c:v>
                </c:pt>
                <c:pt idx="172">
                  <c:v>2754.2287033381667</c:v>
                </c:pt>
                <c:pt idx="173">
                  <c:v>2884.0315031266064</c:v>
                </c:pt>
                <c:pt idx="174">
                  <c:v>3019.9517204020162</c:v>
                </c:pt>
                <c:pt idx="175">
                  <c:v>3162.2776601683804</c:v>
                </c:pt>
                <c:pt idx="176">
                  <c:v>3311.3112148259129</c:v>
                </c:pt>
                <c:pt idx="177">
                  <c:v>3467.3685045253178</c:v>
                </c:pt>
                <c:pt idx="178">
                  <c:v>3630.7805477010156</c:v>
                </c:pt>
                <c:pt idx="179">
                  <c:v>3801.893963205614</c:v>
                </c:pt>
                <c:pt idx="180">
                  <c:v>3981.0717055349755</c:v>
                </c:pt>
                <c:pt idx="181">
                  <c:v>4168.6938347033556</c:v>
                </c:pt>
                <c:pt idx="182">
                  <c:v>4365.1583224016631</c:v>
                </c:pt>
                <c:pt idx="183">
                  <c:v>4570.8818961487532</c:v>
                </c:pt>
                <c:pt idx="184">
                  <c:v>4786.3009232263876</c:v>
                </c:pt>
                <c:pt idx="185">
                  <c:v>5011.872336272726</c:v>
                </c:pt>
                <c:pt idx="186">
                  <c:v>5248.0746024977307</c:v>
                </c:pt>
                <c:pt idx="187">
                  <c:v>5495.4087385762523</c:v>
                </c:pt>
                <c:pt idx="188">
                  <c:v>5754.3993733715743</c:v>
                </c:pt>
                <c:pt idx="189">
                  <c:v>6025.5958607435823</c:v>
                </c:pt>
                <c:pt idx="190">
                  <c:v>6309.5734448019366</c:v>
                </c:pt>
                <c:pt idx="191">
                  <c:v>6606.9344800759682</c:v>
                </c:pt>
                <c:pt idx="192">
                  <c:v>6918.309709189366</c:v>
                </c:pt>
                <c:pt idx="193">
                  <c:v>7244.3596007499009</c:v>
                </c:pt>
                <c:pt idx="194">
                  <c:v>7585.7757502918357</c:v>
                </c:pt>
                <c:pt idx="195">
                  <c:v>7943.2823472428199</c:v>
                </c:pt>
                <c:pt idx="196">
                  <c:v>8317.6377110267131</c:v>
                </c:pt>
                <c:pt idx="197">
                  <c:v>8709.635899560808</c:v>
                </c:pt>
                <c:pt idx="198">
                  <c:v>9120.1083935590977</c:v>
                </c:pt>
                <c:pt idx="199">
                  <c:v>9549.9258602143655</c:v>
                </c:pt>
                <c:pt idx="200">
                  <c:v>10000</c:v>
                </c:pt>
              </c:numCache>
            </c:numRef>
          </c:xVal>
          <c:yVal>
            <c:numRef>
              <c:f>'Filtered Divider'!$I$2:$I$202</c:f>
              <c:numCache>
                <c:formatCode>General</c:formatCode>
                <c:ptCount val="201"/>
                <c:pt idx="0">
                  <c:v>-20.082494337508876</c:v>
                </c:pt>
                <c:pt idx="1">
                  <c:v>-20.082536240530416</c:v>
                </c:pt>
                <c:pt idx="2">
                  <c:v>-20.082582185815191</c:v>
                </c:pt>
                <c:pt idx="3">
                  <c:v>-20.082632563259487</c:v>
                </c:pt>
                <c:pt idx="4">
                  <c:v>-20.082687800357096</c:v>
                </c:pt>
                <c:pt idx="5">
                  <c:v>-20.082748365822752</c:v>
                </c:pt>
                <c:pt idx="6">
                  <c:v>-20.082814773564518</c:v>
                </c:pt>
                <c:pt idx="7">
                  <c:v>-20.082887587038314</c:v>
                </c:pt>
                <c:pt idx="8">
                  <c:v>-20.082967424021611</c:v>
                </c:pt>
                <c:pt idx="9">
                  <c:v>-20.083054961846191</c:v>
                </c:pt>
                <c:pt idx="10">
                  <c:v>-20.083150943134228</c:v>
                </c:pt>
                <c:pt idx="11">
                  <c:v>-20.083256182085773</c:v>
                </c:pt>
                <c:pt idx="12">
                  <c:v>-20.08337157137051</c:v>
                </c:pt>
                <c:pt idx="13">
                  <c:v>-20.08349808968163</c:v>
                </c:pt>
                <c:pt idx="14">
                  <c:v>-20.083636810015047</c:v>
                </c:pt>
                <c:pt idx="15">
                  <c:v>-20.083788908743387</c:v>
                </c:pt>
                <c:pt idx="16">
                  <c:v>-20.083955675560414</c:v>
                </c:pt>
                <c:pt idx="17">
                  <c:v>-20.084138524379135</c:v>
                </c:pt>
                <c:pt idx="18">
                  <c:v>-20.084339005274142</c:v>
                </c:pt>
                <c:pt idx="19">
                  <c:v>-20.084558817567704</c:v>
                </c:pt>
                <c:pt idx="20">
                  <c:v>-20.084799824168194</c:v>
                </c:pt>
                <c:pt idx="21">
                  <c:v>-20.08506406727955</c:v>
                </c:pt>
                <c:pt idx="22">
                  <c:v>-20.085353785611613</c:v>
                </c:pt>
                <c:pt idx="23">
                  <c:v>-20.085671433233259</c:v>
                </c:pt>
                <c:pt idx="24">
                  <c:v>-20.086019700223083</c:v>
                </c:pt>
                <c:pt idx="25">
                  <c:v>-20.086401535286921</c:v>
                </c:pt>
                <c:pt idx="26">
                  <c:v>-20.08682017052675</c:v>
                </c:pt>
                <c:pt idx="27">
                  <c:v>-20.08727914856231</c:v>
                </c:pt>
                <c:pt idx="28">
                  <c:v>-20.087782352225165</c:v>
                </c:pt>
                <c:pt idx="29">
                  <c:v>-20.08833403706425</c:v>
                </c:pt>
                <c:pt idx="30">
                  <c:v>-20.088938866923719</c:v>
                </c:pt>
                <c:pt idx="31">
                  <c:v>-20.089601952876382</c:v>
                </c:pt>
                <c:pt idx="32">
                  <c:v>-20.090328895821344</c:v>
                </c:pt>
                <c:pt idx="33">
                  <c:v>-20.091125833080667</c:v>
                </c:pt>
                <c:pt idx="34">
                  <c:v>-20.091999489358834</c:v>
                </c:pt>
                <c:pt idx="35">
                  <c:v>-20.092957232459266</c:v>
                </c:pt>
                <c:pt idx="36">
                  <c:v>-20.094007134185048</c:v>
                </c:pt>
                <c:pt idx="37">
                  <c:v>-20.095158036885707</c:v>
                </c:pt>
                <c:pt idx="38">
                  <c:v>-20.096419626149054</c:v>
                </c:pt>
                <c:pt idx="39">
                  <c:v>-20.097802510176045</c:v>
                </c:pt>
                <c:pt idx="40">
                  <c:v>-20.099318306417821</c:v>
                </c:pt>
                <c:pt idx="41">
                  <c:v>-20.100979736096743</c:v>
                </c:pt>
                <c:pt idx="42">
                  <c:v>-20.102800727278204</c:v>
                </c:pt>
                <c:pt idx="43">
                  <c:v>-20.104796527205369</c:v>
                </c:pt>
                <c:pt idx="44">
                  <c:v>-20.106983824656169</c:v>
                </c:pt>
                <c:pt idx="45">
                  <c:v>-20.109380883128583</c:v>
                </c:pt>
                <c:pt idx="46">
                  <c:v>-20.112007685707084</c:v>
                </c:pt>
                <c:pt idx="47">
                  <c:v>-20.114886092508002</c:v>
                </c:pt>
                <c:pt idx="48">
                  <c:v>-20.118040011644492</c:v>
                </c:pt>
                <c:pt idx="49">
                  <c:v>-20.121495584689949</c:v>
                </c:pt>
                <c:pt idx="50">
                  <c:v>-20.12528138765137</c:v>
                </c:pt>
                <c:pt idx="51">
                  <c:v>-20.129428648488592</c:v>
                </c:pt>
                <c:pt idx="52">
                  <c:v>-20.13397148222845</c:v>
                </c:pt>
                <c:pt idx="53">
                  <c:v>-20.138947144722373</c:v>
                </c:pt>
                <c:pt idx="54">
                  <c:v>-20.144396306077113</c:v>
                </c:pt>
                <c:pt idx="55">
                  <c:v>-20.150363344746314</c:v>
                </c:pt>
                <c:pt idx="56">
                  <c:v>-20.156896663201593</c:v>
                </c:pt>
                <c:pt idx="57">
                  <c:v>-20.164049025997155</c:v>
                </c:pt>
                <c:pt idx="58">
                  <c:v>-20.171877920896716</c:v>
                </c:pt>
                <c:pt idx="59">
                  <c:v>-20.180445943535446</c:v>
                </c:pt>
                <c:pt idx="60">
                  <c:v>-20.189821205835003</c:v>
                </c:pt>
                <c:pt idx="61">
                  <c:v>-20.200077768064631</c:v>
                </c:pt>
                <c:pt idx="62">
                  <c:v>-20.211296094035195</c:v>
                </c:pt>
                <c:pt idx="63">
                  <c:v>-20.223563528412853</c:v>
                </c:pt>
                <c:pt idx="64">
                  <c:v>-20.236974794531829</c:v>
                </c:pt>
                <c:pt idx="65">
                  <c:v>-20.251632510357361</c:v>
                </c:pt>
                <c:pt idx="66">
                  <c:v>-20.267647719386929</c:v>
                </c:pt>
                <c:pt idx="67">
                  <c:v>-20.285140432267145</c:v>
                </c:pt>
                <c:pt idx="68">
                  <c:v>-20.304240173733731</c:v>
                </c:pt>
                <c:pt idx="69">
                  <c:v>-20.32508652814391</c:v>
                </c:pt>
                <c:pt idx="70">
                  <c:v>-20.347829675360238</c:v>
                </c:pt>
                <c:pt idx="71">
                  <c:v>-20.372630907063925</c:v>
                </c:pt>
                <c:pt idx="72">
                  <c:v>-20.399663111733712</c:v>
                </c:pt>
                <c:pt idx="73">
                  <c:v>-20.429111214544999</c:v>
                </c:pt>
                <c:pt idx="74">
                  <c:v>-20.461172556357372</c:v>
                </c:pt>
                <c:pt idx="75">
                  <c:v>-20.496057193818913</c:v>
                </c:pt>
                <c:pt idx="76">
                  <c:v>-20.533988100494319</c:v>
                </c:pt>
                <c:pt idx="77">
                  <c:v>-20.575201246915146</c:v>
                </c:pt>
                <c:pt idx="78">
                  <c:v>-20.619945535674539</c:v>
                </c:pt>
                <c:pt idx="79">
                  <c:v>-20.668482566290471</c:v>
                </c:pt>
                <c:pt idx="80">
                  <c:v>-20.721086203711859</c:v>
                </c:pt>
                <c:pt idx="81">
                  <c:v>-20.77804192423509</c:v>
                </c:pt>
                <c:pt idx="82">
                  <c:v>-20.839645913441437</c:v>
                </c:pt>
                <c:pt idx="83">
                  <c:v>-20.906203892775963</c:v>
                </c:pt>
                <c:pt idx="84">
                  <c:v>-20.978029654768946</c:v>
                </c:pt>
                <c:pt idx="85">
                  <c:v>-21.055443291832251</c:v>
                </c:pt>
                <c:pt idx="86">
                  <c:v>-21.138769110170479</c:v>
                </c:pt>
                <c:pt idx="87">
                  <c:v>-21.22833322868161</c:v>
                </c:pt>
                <c:pt idx="88">
                  <c:v>-21.324460872728469</c:v>
                </c:pt>
                <c:pt idx="89">
                  <c:v>-21.427473384157224</c:v>
                </c:pt>
                <c:pt idx="90">
                  <c:v>-21.537684981586924</c:v>
                </c:pt>
                <c:pt idx="91">
                  <c:v>-21.655399318301708</c:v>
                </c:pt>
                <c:pt idx="92">
                  <c:v>-21.780905898393179</c:v>
                </c:pt>
                <c:pt idx="93">
                  <c:v>-21.914476424342475</c:v>
                </c:pt>
                <c:pt idx="94">
                  <c:v>-22.056361160123082</c:v>
                </c:pt>
                <c:pt idx="95">
                  <c:v>-22.206785402243028</c:v>
                </c:pt>
                <c:pt idx="96">
                  <c:v>-22.365946156072059</c:v>
                </c:pt>
                <c:pt idx="97">
                  <c:v>-22.534009115598934</c:v>
                </c:pt>
                <c:pt idx="98">
                  <c:v>-22.711106040941324</c:v>
                </c:pt>
                <c:pt idx="99">
                  <c:v>-22.897332619296122</c:v>
                </c:pt>
                <c:pt idx="100">
                  <c:v>-23.092746881731507</c:v>
                </c:pt>
                <c:pt idx="101">
                  <c:v>-23.29736823082003</c:v>
                </c:pt>
                <c:pt idx="102">
                  <c:v>-23.511177113474261</c:v>
                </c:pt>
                <c:pt idx="103">
                  <c:v>-23.734115350645041</c:v>
                </c:pt>
                <c:pt idx="104">
                  <c:v>-23.966087112132385</c:v>
                </c:pt>
                <c:pt idx="105">
                  <c:v>-24.206960502062216</c:v>
                </c:pt>
                <c:pt idx="106">
                  <c:v>-24.456569699956315</c:v>
                </c:pt>
                <c:pt idx="107">
                  <c:v>-24.714717584933503</c:v>
                </c:pt>
                <c:pt idx="108">
                  <c:v>-24.981178757312286</c:v>
                </c:pt>
                <c:pt idx="109">
                  <c:v>-25.255702863267903</c:v>
                </c:pt>
                <c:pt idx="110">
                  <c:v>-25.538018124393595</c:v>
                </c:pt>
                <c:pt idx="111">
                  <c:v>-25.827834974831344</c:v>
                </c:pt>
                <c:pt idx="112">
                  <c:v>-26.12484971358052</c:v>
                </c:pt>
                <c:pt idx="113">
                  <c:v>-26.42874808794009</c:v>
                </c:pt>
                <c:pt idx="114">
                  <c:v>-26.739208734942103</c:v>
                </c:pt>
                <c:pt idx="115">
                  <c:v>-27.055906420178133</c:v>
                </c:pt>
                <c:pt idx="116">
                  <c:v>-27.378515026740104</c:v>
                </c:pt>
                <c:pt idx="117">
                  <c:v>-27.706710260301541</c:v>
                </c:pt>
                <c:pt idx="118">
                  <c:v>-28.040172049010287</c:v>
                </c:pt>
                <c:pt idx="119">
                  <c:v>-28.378586628352767</c:v>
                </c:pt>
                <c:pt idx="120">
                  <c:v>-28.721648311150783</c:v>
                </c:pt>
                <c:pt idx="121">
                  <c:v>-29.069060951180006</c:v>
                </c:pt>
                <c:pt idx="122">
                  <c:v>-29.42053911550023</c:v>
                </c:pt>
                <c:pt idx="123">
                  <c:v>-29.775808985511432</c:v>
                </c:pt>
                <c:pt idx="124">
                  <c:v>-30.134609010126173</c:v>
                </c:pt>
                <c:pt idx="125">
                  <c:v>-30.496690336453053</c:v>
                </c:pt>
                <c:pt idx="126">
                  <c:v>-30.861817044224868</c:v>
                </c:pt>
                <c:pt idx="127">
                  <c:v>-31.229766210094908</c:v>
                </c:pt>
                <c:pt idx="128">
                  <c:v>-31.600327827073414</c:v>
                </c:pt>
                <c:pt idx="129">
                  <c:v>-31.973304602974896</c:v>
                </c:pt>
                <c:pt idx="130">
                  <c:v>-32.348511659971727</c:v>
                </c:pt>
                <c:pt idx="131">
                  <c:v>-32.725776155337073</c:v>
                </c:pt>
                <c:pt idx="132">
                  <c:v>-33.104936841342635</c:v>
                </c:pt>
                <c:pt idx="133">
                  <c:v>-33.485843580133171</c:v>
                </c:pt>
                <c:pt idx="134">
                  <c:v>-33.868356827316092</c:v>
                </c:pt>
                <c:pt idx="135">
                  <c:v>-34.252347096022326</c:v>
                </c:pt>
                <c:pt idx="136">
                  <c:v>-34.637694411353507</c:v>
                </c:pt>
                <c:pt idx="137">
                  <c:v>-35.024287763450801</c:v>
                </c:pt>
                <c:pt idx="138">
                  <c:v>-35.412024565909526</c:v>
                </c:pt>
                <c:pt idx="139">
                  <c:v>-35.800810124928574</c:v>
                </c:pt>
                <c:pt idx="140">
                  <c:v>-36.190557123411978</c:v>
                </c:pt>
                <c:pt idx="141">
                  <c:v>-36.581185123231606</c:v>
                </c:pt>
                <c:pt idx="142">
                  <c:v>-36.972620087996034</c:v>
                </c:pt>
                <c:pt idx="143">
                  <c:v>-37.364793927944746</c:v>
                </c:pt>
                <c:pt idx="144">
                  <c:v>-37.757644067977751</c:v>
                </c:pt>
                <c:pt idx="145">
                  <c:v>-38.151113039332394</c:v>
                </c:pt>
                <c:pt idx="146">
                  <c:v>-38.545148095013182</c:v>
                </c:pt>
                <c:pt idx="147">
                  <c:v>-38.939700848754988</c:v>
                </c:pt>
                <c:pt idx="148">
                  <c:v>-39.334726937046625</c:v>
                </c:pt>
                <c:pt idx="149">
                  <c:v>-39.730185703545011</c:v>
                </c:pt>
                <c:pt idx="150">
                  <c:v>-40.126039905065156</c:v>
                </c:pt>
                <c:pt idx="151">
                  <c:v>-40.522255438227447</c:v>
                </c:pt>
                <c:pt idx="152">
                  <c:v>-40.918801085774462</c:v>
                </c:pt>
                <c:pt idx="153">
                  <c:v>-41.315648281526663</c:v>
                </c:pt>
                <c:pt idx="154">
                  <c:v>-41.712770892929385</c:v>
                </c:pt>
                <c:pt idx="155">
                  <c:v>-42.110145020141303</c:v>
                </c:pt>
                <c:pt idx="156">
                  <c:v>-42.507748810629153</c:v>
                </c:pt>
                <c:pt idx="157">
                  <c:v>-42.905562288256895</c:v>
                </c:pt>
                <c:pt idx="158">
                  <c:v>-43.303567195890835</c:v>
                </c:pt>
                <c:pt idx="159">
                  <c:v>-43.701746850580037</c:v>
                </c:pt>
                <c:pt idx="160">
                  <c:v>-44.100086010414607</c:v>
                </c:pt>
                <c:pt idx="161">
                  <c:v>-44.498570752208934</c:v>
                </c:pt>
                <c:pt idx="162">
                  <c:v>-44.89718835920425</c:v>
                </c:pt>
                <c:pt idx="163">
                  <c:v>-45.29592721803126</c:v>
                </c:pt>
                <c:pt idx="164">
                  <c:v>-45.694776724220915</c:v>
                </c:pt>
                <c:pt idx="165">
                  <c:v>-46.093727195596557</c:v>
                </c:pt>
                <c:pt idx="166">
                  <c:v>-46.492769792925984</c:v>
                </c:pt>
                <c:pt idx="167">
                  <c:v>-46.891896447254446</c:v>
                </c:pt>
                <c:pt idx="168">
                  <c:v>-47.291099793380681</c:v>
                </c:pt>
                <c:pt idx="169">
                  <c:v>-47.69037310897712</c:v>
                </c:pt>
                <c:pt idx="170">
                  <c:v>-48.089710258892509</c:v>
                </c:pt>
                <c:pt idx="171">
                  <c:v>-48.489105644210007</c:v>
                </c:pt>
                <c:pt idx="172">
                  <c:v>-48.888554155666952</c:v>
                </c:pt>
                <c:pt idx="173">
                  <c:v>-49.288051131071654</c:v>
                </c:pt>
                <c:pt idx="174">
                  <c:v>-49.687592316383828</c:v>
                </c:pt>
                <c:pt idx="175">
                  <c:v>-50.087173830149005</c:v>
                </c:pt>
                <c:pt idx="176">
                  <c:v>-50.486792131004428</c:v>
                </c:pt>
                <c:pt idx="177">
                  <c:v>-50.886443987995278</c:v>
                </c:pt>
                <c:pt idx="178">
                  <c:v>-51.286126453462686</c:v>
                </c:pt>
                <c:pt idx="179">
                  <c:v>-51.685836838283414</c:v>
                </c:pt>
                <c:pt idx="180">
                  <c:v>-52.085572689260601</c:v>
                </c:pt>
                <c:pt idx="181">
                  <c:v>-52.485331768479853</c:v>
                </c:pt>
                <c:pt idx="182">
                  <c:v>-52.885112034463106</c:v>
                </c:pt>
                <c:pt idx="183">
                  <c:v>-53.284911624964302</c:v>
                </c:pt>
                <c:pt idx="184">
                  <c:v>-53.684728841265461</c:v>
                </c:pt>
                <c:pt idx="185">
                  <c:v>-54.084562133843249</c:v>
                </c:pt>
                <c:pt idx="186">
                  <c:v>-54.484410089287607</c:v>
                </c:pt>
                <c:pt idx="187">
                  <c:v>-54.884271418363575</c:v>
                </c:pt>
                <c:pt idx="188">
                  <c:v>-55.284144945117092</c:v>
                </c:pt>
                <c:pt idx="189">
                  <c:v>-55.684029596934096</c:v>
                </c:pt>
                <c:pt idx="190">
                  <c:v>-56.083924395469666</c:v>
                </c:pt>
                <c:pt idx="191">
                  <c:v>-56.483828448371895</c:v>
                </c:pt>
                <c:pt idx="192">
                  <c:v>-56.883740941730537</c:v>
                </c:pt>
                <c:pt idx="193">
                  <c:v>-57.283661133187714</c:v>
                </c:pt>
                <c:pt idx="194">
                  <c:v>-57.683588345652893</c:v>
                </c:pt>
                <c:pt idx="195">
                  <c:v>-58.083521961568565</c:v>
                </c:pt>
                <c:pt idx="196">
                  <c:v>-58.483461417679273</c:v>
                </c:pt>
                <c:pt idx="197">
                  <c:v>-58.883406200260147</c:v>
                </c:pt>
                <c:pt idx="198">
                  <c:v>-59.283355840763207</c:v>
                </c:pt>
                <c:pt idx="199">
                  <c:v>-59.683309911847033</c:v>
                </c:pt>
                <c:pt idx="200">
                  <c:v>-60.083268023754137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64-4477-9C63-20D484EEF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46984"/>
        <c:axId val="527647312"/>
      </c:scatterChart>
      <c:valAx>
        <c:axId val="52764698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7312"/>
        <c:crossesAt val="-500"/>
        <c:crossBetween val="midCat"/>
      </c:valAx>
      <c:valAx>
        <c:axId val="5276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Magnitude (dB)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'Filtered Divider'!$F$2:$F$202</c:f>
              <c:numCache>
                <c:formatCode>General</c:formatCode>
                <c:ptCount val="201"/>
                <c:pt idx="0">
                  <c:v>1</c:v>
                </c:pt>
                <c:pt idx="1">
                  <c:v>1.0471285480508989</c:v>
                </c:pt>
                <c:pt idx="2">
                  <c:v>1.0964781961431851</c:v>
                </c:pt>
                <c:pt idx="3">
                  <c:v>1.1481536214968826</c:v>
                </c:pt>
                <c:pt idx="4">
                  <c:v>1.2022644346174125</c:v>
                </c:pt>
                <c:pt idx="5">
                  <c:v>1.2589254117941664</c:v>
                </c:pt>
                <c:pt idx="6">
                  <c:v>1.3182567385564075</c:v>
                </c:pt>
                <c:pt idx="7">
                  <c:v>1.3803842646028848</c:v>
                </c:pt>
                <c:pt idx="8">
                  <c:v>1.4454397707459272</c:v>
                </c:pt>
                <c:pt idx="9">
                  <c:v>1.5135612484362075</c:v>
                </c:pt>
                <c:pt idx="10">
                  <c:v>1.5848931924611125</c:v>
                </c:pt>
                <c:pt idx="11">
                  <c:v>1.6595869074375591</c:v>
                </c:pt>
                <c:pt idx="12">
                  <c:v>1.7378008287493756</c:v>
                </c:pt>
                <c:pt idx="13">
                  <c:v>1.819700858609983</c:v>
                </c:pt>
                <c:pt idx="14">
                  <c:v>1.9054607179632463</c:v>
                </c:pt>
                <c:pt idx="15">
                  <c:v>1.9952623149688793</c:v>
                </c:pt>
                <c:pt idx="16">
                  <c:v>2.0892961308540388</c:v>
                </c:pt>
                <c:pt idx="17">
                  <c:v>2.1877616239495525</c:v>
                </c:pt>
                <c:pt idx="18">
                  <c:v>2.2908676527677709</c:v>
                </c:pt>
                <c:pt idx="19">
                  <c:v>2.3988329190194895</c:v>
                </c:pt>
                <c:pt idx="20">
                  <c:v>2.5118864315095779</c:v>
                </c:pt>
                <c:pt idx="21">
                  <c:v>2.6302679918953804</c:v>
                </c:pt>
                <c:pt idx="22">
                  <c:v>2.7542287033381645</c:v>
                </c:pt>
                <c:pt idx="23">
                  <c:v>2.8840315031266046</c:v>
                </c:pt>
                <c:pt idx="24">
                  <c:v>3.0199517204020148</c:v>
                </c:pt>
                <c:pt idx="25">
                  <c:v>3.1622776601683786</c:v>
                </c:pt>
                <c:pt idx="26">
                  <c:v>3.3113112148259107</c:v>
                </c:pt>
                <c:pt idx="27">
                  <c:v>3.4673685045253158</c:v>
                </c:pt>
                <c:pt idx="28">
                  <c:v>3.6307805477010131</c:v>
                </c:pt>
                <c:pt idx="29">
                  <c:v>3.801893963205611</c:v>
                </c:pt>
                <c:pt idx="30">
                  <c:v>3.9810717055349727</c:v>
                </c:pt>
                <c:pt idx="31">
                  <c:v>4.1686938347033538</c:v>
                </c:pt>
                <c:pt idx="32">
                  <c:v>4.3651583224016601</c:v>
                </c:pt>
                <c:pt idx="33">
                  <c:v>4.5708818961487498</c:v>
                </c:pt>
                <c:pt idx="34">
                  <c:v>4.786300923226384</c:v>
                </c:pt>
                <c:pt idx="35">
                  <c:v>5.0118723362727229</c:v>
                </c:pt>
                <c:pt idx="36">
                  <c:v>5.2480746024977245</c:v>
                </c:pt>
                <c:pt idx="37">
                  <c:v>5.4954087385762431</c:v>
                </c:pt>
                <c:pt idx="38">
                  <c:v>5.7543993733715686</c:v>
                </c:pt>
                <c:pt idx="39">
                  <c:v>6.0255958607435742</c:v>
                </c:pt>
                <c:pt idx="40">
                  <c:v>6.3095734448019316</c:v>
                </c:pt>
                <c:pt idx="41">
                  <c:v>6.6069344800759584</c:v>
                </c:pt>
                <c:pt idx="42">
                  <c:v>6.9183097091893613</c:v>
                </c:pt>
                <c:pt idx="43">
                  <c:v>7.2443596007498963</c:v>
                </c:pt>
                <c:pt idx="44">
                  <c:v>7.5857757502918357</c:v>
                </c:pt>
                <c:pt idx="45">
                  <c:v>7.9432823472428096</c:v>
                </c:pt>
                <c:pt idx="46">
                  <c:v>8.317637711026709</c:v>
                </c:pt>
                <c:pt idx="47">
                  <c:v>8.7096358995608014</c:v>
                </c:pt>
                <c:pt idx="48">
                  <c:v>9.1201083935590948</c:v>
                </c:pt>
                <c:pt idx="49">
                  <c:v>9.5499258602143566</c:v>
                </c:pt>
                <c:pt idx="50">
                  <c:v>10</c:v>
                </c:pt>
                <c:pt idx="51">
                  <c:v>10.471285480508996</c:v>
                </c:pt>
                <c:pt idx="52">
                  <c:v>10.96478196143185</c:v>
                </c:pt>
                <c:pt idx="53">
                  <c:v>11.481536214968829</c:v>
                </c:pt>
                <c:pt idx="54">
                  <c:v>12.022644346174129</c:v>
                </c:pt>
                <c:pt idx="55">
                  <c:v>12.589254117941673</c:v>
                </c:pt>
                <c:pt idx="56">
                  <c:v>13.18256738556407</c:v>
                </c:pt>
                <c:pt idx="57">
                  <c:v>13.803842646028849</c:v>
                </c:pt>
                <c:pt idx="58">
                  <c:v>14.454397707459268</c:v>
                </c:pt>
                <c:pt idx="59">
                  <c:v>15.135612484362076</c:v>
                </c:pt>
                <c:pt idx="60">
                  <c:v>15.848931924611131</c:v>
                </c:pt>
                <c:pt idx="61">
                  <c:v>16.595869074375599</c:v>
                </c:pt>
                <c:pt idx="62">
                  <c:v>17.378008287493749</c:v>
                </c:pt>
                <c:pt idx="63">
                  <c:v>18.197008586099834</c:v>
                </c:pt>
                <c:pt idx="64">
                  <c:v>19.05460717963247</c:v>
                </c:pt>
                <c:pt idx="65">
                  <c:v>19.952623149688794</c:v>
                </c:pt>
                <c:pt idx="66">
                  <c:v>20.892961308540396</c:v>
                </c:pt>
                <c:pt idx="67">
                  <c:v>21.877616239495527</c:v>
                </c:pt>
                <c:pt idx="68">
                  <c:v>22.908676527677731</c:v>
                </c:pt>
                <c:pt idx="69">
                  <c:v>23.988329190194907</c:v>
                </c:pt>
                <c:pt idx="70">
                  <c:v>25.118864315095806</c:v>
                </c:pt>
                <c:pt idx="71">
                  <c:v>26.302679918953814</c:v>
                </c:pt>
                <c:pt idx="72">
                  <c:v>27.542287033381662</c:v>
                </c:pt>
                <c:pt idx="73">
                  <c:v>28.840315031266055</c:v>
                </c:pt>
                <c:pt idx="74">
                  <c:v>30.199517204020154</c:v>
                </c:pt>
                <c:pt idx="75">
                  <c:v>31.622776601683793</c:v>
                </c:pt>
                <c:pt idx="76">
                  <c:v>33.113112148259106</c:v>
                </c:pt>
                <c:pt idx="77">
                  <c:v>34.673685045253166</c:v>
                </c:pt>
                <c:pt idx="78">
                  <c:v>36.307805477010135</c:v>
                </c:pt>
                <c:pt idx="79">
                  <c:v>38.018939632056117</c:v>
                </c:pt>
                <c:pt idx="80">
                  <c:v>39.810717055349734</c:v>
                </c:pt>
                <c:pt idx="81">
                  <c:v>41.686938347033546</c:v>
                </c:pt>
                <c:pt idx="82">
                  <c:v>43.651583224016605</c:v>
                </c:pt>
                <c:pt idx="83">
                  <c:v>45.708818961487516</c:v>
                </c:pt>
                <c:pt idx="84">
                  <c:v>47.863009232263835</c:v>
                </c:pt>
                <c:pt idx="85">
                  <c:v>50.118723362727224</c:v>
                </c:pt>
                <c:pt idx="86">
                  <c:v>52.48074602497725</c:v>
                </c:pt>
                <c:pt idx="87">
                  <c:v>54.954087385762449</c:v>
                </c:pt>
                <c:pt idx="88">
                  <c:v>57.543993733715695</c:v>
                </c:pt>
                <c:pt idx="89">
                  <c:v>60.25595860743578</c:v>
                </c:pt>
                <c:pt idx="90">
                  <c:v>63.095734448019329</c:v>
                </c:pt>
                <c:pt idx="91">
                  <c:v>66.069344800759609</c:v>
                </c:pt>
                <c:pt idx="92">
                  <c:v>69.183097091893657</c:v>
                </c:pt>
                <c:pt idx="93">
                  <c:v>72.443596007499025</c:v>
                </c:pt>
                <c:pt idx="94">
                  <c:v>75.857757502918403</c:v>
                </c:pt>
                <c:pt idx="95">
                  <c:v>79.432823472428169</c:v>
                </c:pt>
                <c:pt idx="96">
                  <c:v>83.176377110267083</c:v>
                </c:pt>
                <c:pt idx="97">
                  <c:v>87.096358995608057</c:v>
                </c:pt>
                <c:pt idx="98">
                  <c:v>91.201083935590958</c:v>
                </c:pt>
                <c:pt idx="99">
                  <c:v>95.499258602143584</c:v>
                </c:pt>
                <c:pt idx="100">
                  <c:v>100</c:v>
                </c:pt>
                <c:pt idx="101">
                  <c:v>104.71285480508996</c:v>
                </c:pt>
                <c:pt idx="102">
                  <c:v>109.64781961431851</c:v>
                </c:pt>
                <c:pt idx="103">
                  <c:v>114.81536214968828</c:v>
                </c:pt>
                <c:pt idx="104">
                  <c:v>120.22644346174131</c:v>
                </c:pt>
                <c:pt idx="105">
                  <c:v>125.89254117941675</c:v>
                </c:pt>
                <c:pt idx="106">
                  <c:v>131.82567385564076</c:v>
                </c:pt>
                <c:pt idx="107">
                  <c:v>138.03842646028852</c:v>
                </c:pt>
                <c:pt idx="108">
                  <c:v>144.54397707459282</c:v>
                </c:pt>
                <c:pt idx="109">
                  <c:v>151.35612484362088</c:v>
                </c:pt>
                <c:pt idx="110">
                  <c:v>158.48931924611142</c:v>
                </c:pt>
                <c:pt idx="111">
                  <c:v>165.95869074375614</c:v>
                </c:pt>
                <c:pt idx="112">
                  <c:v>173.78008287493765</c:v>
                </c:pt>
                <c:pt idx="113">
                  <c:v>181.97008586099847</c:v>
                </c:pt>
                <c:pt idx="114">
                  <c:v>190.54607179632484</c:v>
                </c:pt>
                <c:pt idx="115">
                  <c:v>199.5262314968881</c:v>
                </c:pt>
                <c:pt idx="116">
                  <c:v>208.92961308540387</c:v>
                </c:pt>
                <c:pt idx="117">
                  <c:v>218.77616239495521</c:v>
                </c:pt>
                <c:pt idx="118">
                  <c:v>229.08676527677727</c:v>
                </c:pt>
                <c:pt idx="119">
                  <c:v>239.88329190194898</c:v>
                </c:pt>
                <c:pt idx="120">
                  <c:v>251.18864315095797</c:v>
                </c:pt>
                <c:pt idx="121">
                  <c:v>263.02679918953817</c:v>
                </c:pt>
                <c:pt idx="122">
                  <c:v>275.4228703338166</c:v>
                </c:pt>
                <c:pt idx="123">
                  <c:v>288.40315031266061</c:v>
                </c:pt>
                <c:pt idx="124">
                  <c:v>301.99517204020168</c:v>
                </c:pt>
                <c:pt idx="125">
                  <c:v>316.22776601683796</c:v>
                </c:pt>
                <c:pt idx="126">
                  <c:v>331.13112148259114</c:v>
                </c:pt>
                <c:pt idx="127">
                  <c:v>346.73685045253171</c:v>
                </c:pt>
                <c:pt idx="128">
                  <c:v>363.0780547701014</c:v>
                </c:pt>
                <c:pt idx="129">
                  <c:v>380.18939632056129</c:v>
                </c:pt>
                <c:pt idx="130">
                  <c:v>398.10717055349738</c:v>
                </c:pt>
                <c:pt idx="131">
                  <c:v>416.86938347033555</c:v>
                </c:pt>
                <c:pt idx="132">
                  <c:v>436.51583224016611</c:v>
                </c:pt>
                <c:pt idx="133">
                  <c:v>457.08818961487526</c:v>
                </c:pt>
                <c:pt idx="134">
                  <c:v>478.63009232263869</c:v>
                </c:pt>
                <c:pt idx="135">
                  <c:v>501.18723362727263</c:v>
                </c:pt>
                <c:pt idx="136">
                  <c:v>524.80746024977293</c:v>
                </c:pt>
                <c:pt idx="137">
                  <c:v>549.54087385762489</c:v>
                </c:pt>
                <c:pt idx="138">
                  <c:v>575.4399373371574</c:v>
                </c:pt>
                <c:pt idx="139">
                  <c:v>602.55958607435821</c:v>
                </c:pt>
                <c:pt idx="140">
                  <c:v>630.9573444801938</c:v>
                </c:pt>
                <c:pt idx="141">
                  <c:v>660.69344800759586</c:v>
                </c:pt>
                <c:pt idx="142">
                  <c:v>691.83097091893626</c:v>
                </c:pt>
                <c:pt idx="143">
                  <c:v>724.43596007499002</c:v>
                </c:pt>
                <c:pt idx="144">
                  <c:v>758.57757502918378</c:v>
                </c:pt>
                <c:pt idx="145">
                  <c:v>794.3282347242814</c:v>
                </c:pt>
                <c:pt idx="146">
                  <c:v>831.76377110267106</c:v>
                </c:pt>
                <c:pt idx="147">
                  <c:v>870.96358995608045</c:v>
                </c:pt>
                <c:pt idx="148">
                  <c:v>912.01083935590987</c:v>
                </c:pt>
                <c:pt idx="149">
                  <c:v>954.99258602143584</c:v>
                </c:pt>
                <c:pt idx="150">
                  <c:v>1000</c:v>
                </c:pt>
                <c:pt idx="151">
                  <c:v>1047.1285480509</c:v>
                </c:pt>
                <c:pt idx="152">
                  <c:v>1096.4781961431854</c:v>
                </c:pt>
                <c:pt idx="153">
                  <c:v>1148.1536214968835</c:v>
                </c:pt>
                <c:pt idx="154">
                  <c:v>1202.2644346174134</c:v>
                </c:pt>
                <c:pt idx="155">
                  <c:v>1258.925411794168</c:v>
                </c:pt>
                <c:pt idx="156">
                  <c:v>1318.2567385564075</c:v>
                </c:pt>
                <c:pt idx="157">
                  <c:v>1380.3842646028857</c:v>
                </c:pt>
                <c:pt idx="158">
                  <c:v>1445.4397707459282</c:v>
                </c:pt>
                <c:pt idx="159">
                  <c:v>1513.5612484362091</c:v>
                </c:pt>
                <c:pt idx="160">
                  <c:v>1584.8931924611143</c:v>
                </c:pt>
                <c:pt idx="161">
                  <c:v>1659.5869074375621</c:v>
                </c:pt>
                <c:pt idx="162">
                  <c:v>1737.8008287493763</c:v>
                </c:pt>
                <c:pt idx="163">
                  <c:v>1819.7008586099848</c:v>
                </c:pt>
                <c:pt idx="164">
                  <c:v>1905.4607179632485</c:v>
                </c:pt>
                <c:pt idx="165">
                  <c:v>1995.2623149688816</c:v>
                </c:pt>
                <c:pt idx="166">
                  <c:v>2089.2961308540416</c:v>
                </c:pt>
                <c:pt idx="167">
                  <c:v>2187.7616239495528</c:v>
                </c:pt>
                <c:pt idx="168">
                  <c:v>2290.8676527677726</c:v>
                </c:pt>
                <c:pt idx="169">
                  <c:v>2398.8329190194909</c:v>
                </c:pt>
                <c:pt idx="170">
                  <c:v>2511.8864315095798</c:v>
                </c:pt>
                <c:pt idx="171">
                  <c:v>2630.2679918953822</c:v>
                </c:pt>
                <c:pt idx="172">
                  <c:v>2754.2287033381667</c:v>
                </c:pt>
                <c:pt idx="173">
                  <c:v>2884.0315031266064</c:v>
                </c:pt>
                <c:pt idx="174">
                  <c:v>3019.9517204020162</c:v>
                </c:pt>
                <c:pt idx="175">
                  <c:v>3162.2776601683804</c:v>
                </c:pt>
                <c:pt idx="176">
                  <c:v>3311.3112148259129</c:v>
                </c:pt>
                <c:pt idx="177">
                  <c:v>3467.3685045253178</c:v>
                </c:pt>
                <c:pt idx="178">
                  <c:v>3630.7805477010156</c:v>
                </c:pt>
                <c:pt idx="179">
                  <c:v>3801.893963205614</c:v>
                </c:pt>
                <c:pt idx="180">
                  <c:v>3981.0717055349755</c:v>
                </c:pt>
                <c:pt idx="181">
                  <c:v>4168.6938347033556</c:v>
                </c:pt>
                <c:pt idx="182">
                  <c:v>4365.1583224016631</c:v>
                </c:pt>
                <c:pt idx="183">
                  <c:v>4570.8818961487532</c:v>
                </c:pt>
                <c:pt idx="184">
                  <c:v>4786.3009232263876</c:v>
                </c:pt>
                <c:pt idx="185">
                  <c:v>5011.872336272726</c:v>
                </c:pt>
                <c:pt idx="186">
                  <c:v>5248.0746024977307</c:v>
                </c:pt>
                <c:pt idx="187">
                  <c:v>5495.4087385762523</c:v>
                </c:pt>
                <c:pt idx="188">
                  <c:v>5754.3993733715743</c:v>
                </c:pt>
                <c:pt idx="189">
                  <c:v>6025.5958607435823</c:v>
                </c:pt>
                <c:pt idx="190">
                  <c:v>6309.5734448019366</c:v>
                </c:pt>
                <c:pt idx="191">
                  <c:v>6606.9344800759682</c:v>
                </c:pt>
                <c:pt idx="192">
                  <c:v>6918.309709189366</c:v>
                </c:pt>
                <c:pt idx="193">
                  <c:v>7244.3596007499009</c:v>
                </c:pt>
                <c:pt idx="194">
                  <c:v>7585.7757502918357</c:v>
                </c:pt>
                <c:pt idx="195">
                  <c:v>7943.2823472428199</c:v>
                </c:pt>
                <c:pt idx="196">
                  <c:v>8317.6377110267131</c:v>
                </c:pt>
                <c:pt idx="197">
                  <c:v>8709.635899560808</c:v>
                </c:pt>
                <c:pt idx="198">
                  <c:v>9120.1083935590977</c:v>
                </c:pt>
                <c:pt idx="199">
                  <c:v>9549.9258602143655</c:v>
                </c:pt>
                <c:pt idx="200">
                  <c:v>10000</c:v>
                </c:pt>
              </c:numCache>
            </c:numRef>
          </c:xVal>
          <c:yVal>
            <c:numRef>
              <c:f>'Filtered Divider'!$J$2:$J$202</c:f>
              <c:numCache>
                <c:formatCode>General</c:formatCode>
                <c:ptCount val="201"/>
                <c:pt idx="0">
                  <c:v>-0.57298974065805708</c:v>
                </c:pt>
                <c:pt idx="1">
                  <c:v>-0.59999198547357468</c:v>
                </c:pt>
                <c:pt idx="2">
                  <c:v>-0.62826652101476865</c:v>
                </c:pt>
                <c:pt idx="3">
                  <c:v>-0.65787326615102382</c:v>
                </c:pt>
                <c:pt idx="4">
                  <c:v>-0.68887495736925097</c:v>
                </c:pt>
                <c:pt idx="5">
                  <c:v>-0.7213372806353765</c:v>
                </c:pt>
                <c:pt idx="6">
                  <c:v>-0.75532900933283453</c:v>
                </c:pt>
                <c:pt idx="7">
                  <c:v>-0.79092214854402809</c:v>
                </c:pt>
                <c:pt idx="8">
                  <c:v>-0.82819208595049287</c:v>
                </c:pt>
                <c:pt idx="9">
                  <c:v>-0.86721774963676479</c:v>
                </c:pt>
                <c:pt idx="10">
                  <c:v>-0.90808177309267357</c:v>
                </c:pt>
                <c:pt idx="11">
                  <c:v>-0.95087066771799178</c:v>
                </c:pt>
                <c:pt idx="12">
                  <c:v>-0.99567500314246182</c:v>
                </c:pt>
                <c:pt idx="13">
                  <c:v>-1.0425895956832039</c:v>
                </c:pt>
                <c:pt idx="14">
                  <c:v>-1.0917137052695935</c:v>
                </c:pt>
                <c:pt idx="15">
                  <c:v>-1.1431512411734523</c:v>
                </c:pt>
                <c:pt idx="16">
                  <c:v>-1.197010976889499</c:v>
                </c:pt>
                <c:pt idx="17">
                  <c:v>-1.2534067745166317</c:v>
                </c:pt>
                <c:pt idx="18">
                  <c:v>-1.3124578189955305</c:v>
                </c:pt>
                <c:pt idx="19">
                  <c:v>-1.3742888625610872</c:v>
                </c:pt>
                <c:pt idx="20">
                  <c:v>-1.4390304797695421</c:v>
                </c:pt>
                <c:pt idx="21">
                  <c:v>-1.5068193334594295</c:v>
                </c:pt>
                <c:pt idx="22">
                  <c:v>-1.5777984520016404</c:v>
                </c:pt>
                <c:pt idx="23">
                  <c:v>-1.6521175181876722</c:v>
                </c:pt>
                <c:pt idx="24">
                  <c:v>-1.7299331700941261</c:v>
                </c:pt>
                <c:pt idx="25">
                  <c:v>-1.8114093142475141</c:v>
                </c:pt>
                <c:pt idx="26">
                  <c:v>-1.8967174513928187</c:v>
                </c:pt>
                <c:pt idx="27">
                  <c:v>-1.9860370151436462</c:v>
                </c:pt>
                <c:pt idx="28">
                  <c:v>-2.0795557237590305</c:v>
                </c:pt>
                <c:pt idx="29">
                  <c:v>-2.1774699452503214</c:v>
                </c:pt>
                <c:pt idx="30">
                  <c:v>-2.2799850759715805</c:v>
                </c:pt>
                <c:pt idx="31">
                  <c:v>-2.3873159327846749</c:v>
                </c:pt>
                <c:pt idx="32">
                  <c:v>-2.4996871588166627</c:v>
                </c:pt>
                <c:pt idx="33">
                  <c:v>-2.6173336427376177</c:v>
                </c:pt>
                <c:pt idx="34">
                  <c:v>-2.7405009513814966</c:v>
                </c:pt>
                <c:pt idx="35">
                  <c:v>-2.8694457754076201</c:v>
                </c:pt>
                <c:pt idx="36">
                  <c:v>-3.004436387552873</c:v>
                </c:pt>
                <c:pt idx="37">
                  <c:v>-3.1457531128522898</c:v>
                </c:pt>
                <c:pt idx="38">
                  <c:v>-3.2936888100037347</c:v>
                </c:pt>
                <c:pt idx="39">
                  <c:v>-3.4485493628179982</c:v>
                </c:pt>
                <c:pt idx="40">
                  <c:v>-3.6106541804230914</c:v>
                </c:pt>
                <c:pt idx="41">
                  <c:v>-3.7803367045766083</c:v>
                </c:pt>
                <c:pt idx="42">
                  <c:v>-3.95794492207675</c:v>
                </c:pt>
                <c:pt idx="43">
                  <c:v>-4.1438418798446879</c:v>
                </c:pt>
                <c:pt idx="44">
                  <c:v>-4.3384061997716277</c:v>
                </c:pt>
                <c:pt idx="45">
                  <c:v>-4.5420325898751699</c:v>
                </c:pt>
                <c:pt idx="46">
                  <c:v>-4.7551323476842899</c:v>
                </c:pt>
                <c:pt idx="47">
                  <c:v>-4.9781338510594431</c:v>
                </c:pt>
                <c:pt idx="48">
                  <c:v>-5.2114830308467823</c:v>
                </c:pt>
                <c:pt idx="49">
                  <c:v>-5.4556438188512058</c:v>
                </c:pt>
                <c:pt idx="50">
                  <c:v>-5.7110985635817269</c:v>
                </c:pt>
                <c:pt idx="51">
                  <c:v>-5.9783484050646196</c:v>
                </c:pt>
                <c:pt idx="52">
                  <c:v>-6.2579135987217045</c:v>
                </c:pt>
                <c:pt idx="53">
                  <c:v>-6.5503337768645711</c:v>
                </c:pt>
                <c:pt idx="54">
                  <c:v>-6.856168134748053</c:v>
                </c:pt>
                <c:pt idx="55">
                  <c:v>-7.1759955263518966</c:v>
                </c:pt>
                <c:pt idx="56">
                  <c:v>-7.5104144531075105</c:v>
                </c:pt>
                <c:pt idx="57">
                  <c:v>-7.8600429266578589</c:v>
                </c:pt>
                <c:pt idx="58">
                  <c:v>-8.2255181844289922</c:v>
                </c:pt>
                <c:pt idx="59">
                  <c:v>-8.6074962343114247</c:v>
                </c:pt>
                <c:pt idx="60">
                  <c:v>-9.0066512021084062</c:v>
                </c:pt>
                <c:pt idx="61">
                  <c:v>-9.4236744526336196</c:v>
                </c:pt>
                <c:pt idx="62">
                  <c:v>-9.8592734524645156</c:v>
                </c:pt>
                <c:pt idx="63">
                  <c:v>-10.314170339433698</c:v>
                </c:pt>
                <c:pt idx="64">
                  <c:v>-10.789100161039149</c:v>
                </c:pt>
                <c:pt idx="65">
                  <c:v>-11.284808741161651</c:v>
                </c:pt>
                <c:pt idx="66">
                  <c:v>-11.80205013192367</c:v>
                </c:pt>
                <c:pt idx="67">
                  <c:v>-12.341583605347596</c:v>
                </c:pt>
                <c:pt idx="68">
                  <c:v>-12.904170137864403</c:v>
                </c:pt>
                <c:pt idx="69">
                  <c:v>-13.490568339907274</c:v>
                </c:pt>
                <c:pt idx="70">
                  <c:v>-14.101529783068473</c:v>
                </c:pt>
                <c:pt idx="71">
                  <c:v>-14.737793678905412</c:v>
                </c:pt>
                <c:pt idx="72">
                  <c:v>-15.400080866811914</c:v>
                </c:pt>
                <c:pt idx="73">
                  <c:v>-16.089087073808493</c:v>
                </c:pt>
                <c:pt idx="74">
                  <c:v>-16.80547541707686</c:v>
                </c:pt>
                <c:pt idx="75">
                  <c:v>-17.549868131004168</c:v>
                </c:pt>
                <c:pt idx="76">
                  <c:v>-18.322837514839929</c:v>
                </c:pt>
                <c:pt idx="77">
                  <c:v>-19.124896115205871</c:v>
                </c:pt>
                <c:pt idx="78">
                  <c:v>-19.956486179956705</c:v>
                </c:pt>
                <c:pt idx="79">
                  <c:v>-20.817968446463908</c:v>
                </c:pt>
                <c:pt idx="80">
                  <c:v>-21.709610358313459</c:v>
                </c:pt>
                <c:pt idx="81">
                  <c:v>-22.631573839430398</c:v>
                </c:pt>
                <c:pt idx="82">
                  <c:v>-23.583902793243347</c:v>
                </c:pt>
                <c:pt idx="83">
                  <c:v>-24.566510535728867</c:v>
                </c:pt>
                <c:pt idx="84">
                  <c:v>-25.579167413674778</c:v>
                </c:pt>
                <c:pt idx="85">
                  <c:v>-26.621488901413883</c:v>
                </c:pt>
                <c:pt idx="86">
                  <c:v>-27.692924508256315</c:v>
                </c:pt>
                <c:pt idx="87">
                  <c:v>-28.792747862120013</c:v>
                </c:pt>
                <c:pt idx="88">
                  <c:v>-29.920048359268371</c:v>
                </c:pt>
                <c:pt idx="89">
                  <c:v>-31.073724782309764</c:v>
                </c:pt>
                <c:pt idx="90">
                  <c:v>-32.252481285418348</c:v>
                </c:pt>
                <c:pt idx="91">
                  <c:v>-33.454826124191079</c:v>
                </c:pt>
                <c:pt idx="92">
                  <c:v>-34.679073465445583</c:v>
                </c:pt>
                <c:pt idx="93">
                  <c:v>-35.923348548438035</c:v>
                </c:pt>
                <c:pt idx="94">
                  <c:v>-37.18559638369004</c:v>
                </c:pt>
                <c:pt idx="95">
                  <c:v>-38.463594070762355</c:v>
                </c:pt>
                <c:pt idx="96">
                  <c:v>-39.754966695606285</c:v>
                </c:pt>
                <c:pt idx="97">
                  <c:v>-41.057206637006857</c:v>
                </c:pt>
                <c:pt idx="98">
                  <c:v>-42.36769597704118</c:v>
                </c:pt>
                <c:pt idx="99">
                  <c:v>-43.683731580403148</c:v>
                </c:pt>
                <c:pt idx="100">
                  <c:v>-45.002552290265434</c:v>
                </c:pt>
                <c:pt idx="101">
                  <c:v>-46.321367592113475</c:v>
                </c:pt>
                <c:pt idx="102">
                  <c:v>-47.637387028582189</c:v>
                </c:pt>
                <c:pt idx="103">
                  <c:v>-48.947849612825607</c:v>
                </c:pt>
                <c:pt idx="104">
                  <c:v>-50.250052488018511</c:v>
                </c:pt>
                <c:pt idx="105">
                  <c:v>-51.54137811622504</c:v>
                </c:pt>
                <c:pt idx="106">
                  <c:v>-52.819319348391723</c:v>
                </c:pt>
                <c:pt idx="107">
                  <c:v>-54.081501823553296</c:v>
                </c:pt>
                <c:pt idx="108">
                  <c:v>-55.325703262587119</c:v>
                </c:pt>
                <c:pt idx="109">
                  <c:v>-56.549869351956382</c:v>
                </c:pt>
                <c:pt idx="110">
                  <c:v>-57.752126047475535</c:v>
                </c:pt>
                <c:pt idx="111">
                  <c:v>-58.930788259218232</c:v>
                </c:pt>
                <c:pt idx="112">
                  <c:v>-60.084364999348722</c:v>
                </c:pt>
                <c:pt idx="113">
                  <c:v>-61.211561179430866</c:v>
                </c:pt>
                <c:pt idx="114">
                  <c:v>-62.311276328985329</c:v>
                </c:pt>
                <c:pt idx="115">
                  <c:v>-63.382600570803639</c:v>
                </c:pt>
                <c:pt idx="116">
                  <c:v>-64.424808230555271</c:v>
                </c:pt>
                <c:pt idx="117">
                  <c:v>-65.437349479694802</c:v>
                </c:pt>
                <c:pt idx="118">
                  <c:v>-66.419840413801111</c:v>
                </c:pt>
                <c:pt idx="119">
                  <c:v>-67.372051956189409</c:v>
                </c:pt>
                <c:pt idx="120">
                  <c:v>-68.293897952175286</c:v>
                </c:pt>
                <c:pt idx="121">
                  <c:v>-69.185422786083237</c:v>
                </c:pt>
                <c:pt idx="122">
                  <c:v>-70.046788814090888</c:v>
                </c:pt>
                <c:pt idx="123">
                  <c:v>-70.878263864081134</c:v>
                </c:pt>
                <c:pt idx="124">
                  <c:v>-71.680209011181887</c:v>
                </c:pt>
                <c:pt idx="125">
                  <c:v>-72.453066796451338</c:v>
                </c:pt>
                <c:pt idx="126">
                  <c:v>-73.197350017576966</c:v>
                </c:pt>
                <c:pt idx="127">
                  <c:v>-73.913631185452005</c:v>
                </c:pt>
                <c:pt idx="128">
                  <c:v>-74.602532709591813</c:v>
                </c:pt>
                <c:pt idx="129">
                  <c:v>-75.264717848791975</c:v>
                </c:pt>
                <c:pt idx="130">
                  <c:v>-75.900882441190362</c:v>
                </c:pt>
                <c:pt idx="131">
                  <c:v>-76.51174740977568</c:v>
                </c:pt>
                <c:pt idx="132">
                  <c:v>-77.09805202505656</c:v>
                </c:pt>
                <c:pt idx="133">
                  <c:v>-77.660547895682171</c:v>
                </c:pt>
                <c:pt idx="134">
                  <c:v>-78.199993649841829</c:v>
                </c:pt>
                <c:pt idx="135">
                  <c:v>-78.717150264842573</c:v>
                </c:pt>
                <c:pt idx="136">
                  <c:v>-79.212776998942445</c:v>
                </c:pt>
                <c:pt idx="137">
                  <c:v>-79.68762787791286</c:v>
                </c:pt>
                <c:pt idx="138">
                  <c:v>-80.142448688567299</c:v>
                </c:pt>
                <c:pt idx="139">
                  <c:v>-80.577974432311308</c:v>
                </c:pt>
                <c:pt idx="140">
                  <c:v>-80.994927193380136</c:v>
                </c:pt>
                <c:pt idx="141">
                  <c:v>-81.394014378605789</c:v>
                </c:pt>
                <c:pt idx="142">
                  <c:v>-81.775927288115085</c:v>
                </c:pt>
                <c:pt idx="143">
                  <c:v>-82.141339979147105</c:v>
                </c:pt>
                <c:pt idx="144">
                  <c:v>-82.490908388087021</c:v>
                </c:pt>
                <c:pt idx="145">
                  <c:v>-82.825269678731445</c:v>
                </c:pt>
                <c:pt idx="146">
                  <c:v>-83.145041787680213</c:v>
                </c:pt>
                <c:pt idx="147">
                  <c:v>-83.450823140521521</c:v>
                </c:pt>
                <c:pt idx="148">
                  <c:v>-83.743192515118324</c:v>
                </c:pt>
                <c:pt idx="149">
                  <c:v>-84.022709030784483</c:v>
                </c:pt>
                <c:pt idx="150">
                  <c:v>-84.289912244446754</c:v>
                </c:pt>
                <c:pt idx="151">
                  <c:v>-84.545322337017382</c:v>
                </c:pt>
                <c:pt idx="152">
                  <c:v>-84.78944037515393</c:v>
                </c:pt>
                <c:pt idx="153">
                  <c:v>-85.022748635355669</c:v>
                </c:pt>
                <c:pt idx="154">
                  <c:v>-85.245710978953483</c:v>
                </c:pt>
                <c:pt idx="155">
                  <c:v>-85.458773267995923</c:v>
                </c:pt>
                <c:pt idx="156">
                  <c:v>-85.662363813331595</c:v>
                </c:pt>
                <c:pt idx="157">
                  <c:v>-85.856893847345589</c:v>
                </c:pt>
                <c:pt idx="158">
                  <c:v>-86.042758014838441</c:v>
                </c:pt>
                <c:pt idx="159">
                  <c:v>-86.220334876449954</c:v>
                </c:pt>
                <c:pt idx="160">
                  <c:v>-86.389987419837226</c:v>
                </c:pt>
                <c:pt idx="161">
                  <c:v>-86.552063574528972</c:v>
                </c:pt>
                <c:pt idx="162">
                  <c:v>-86.706896727002714</c:v>
                </c:pt>
                <c:pt idx="163">
                  <c:v>-86.854806233080581</c:v>
                </c:pt>
                <c:pt idx="164">
                  <c:v>-86.996097925217754</c:v>
                </c:pt>
                <c:pt idx="165">
                  <c:v>-87.131064612675843</c:v>
                </c:pt>
                <c:pt idx="166">
                  <c:v>-87.259986572936256</c:v>
                </c:pt>
                <c:pt idx="167">
                  <c:v>-87.383132033023784</c:v>
                </c:pt>
                <c:pt idx="168">
                  <c:v>-87.500757639682178</c:v>
                </c:pt>
                <c:pt idx="169">
                  <c:v>-87.613108917578899</c:v>
                </c:pt>
                <c:pt idx="170">
                  <c:v>-87.720420714916685</c:v>
                </c:pt>
                <c:pt idx="171">
                  <c:v>-87.822917636003453</c:v>
                </c:pt>
                <c:pt idx="172">
                  <c:v>-87.920814460478013</c:v>
                </c:pt>
                <c:pt idx="173">
                  <c:v>-88.014316549014893</c:v>
                </c:pt>
                <c:pt idx="174">
                  <c:v>-88.10362023543702</c:v>
                </c:pt>
                <c:pt idx="175">
                  <c:v>-88.188913205253371</c:v>
                </c:pt>
                <c:pt idx="176">
                  <c:v>-88.270374860714369</c:v>
                </c:pt>
                <c:pt idx="177">
                  <c:v>-88.34817667253715</c:v>
                </c:pt>
                <c:pt idx="178">
                  <c:v>-88.422482518505504</c:v>
                </c:pt>
                <c:pt idx="179">
                  <c:v>-88.493449009189177</c:v>
                </c:pt>
                <c:pt idx="180">
                  <c:v>-88.561225801060331</c:v>
                </c:pt>
                <c:pt idx="181">
                  <c:v>-88.625955897311258</c:v>
                </c:pt>
                <c:pt idx="182">
                  <c:v>-88.687775936696738</c:v>
                </c:pt>
                <c:pt idx="183">
                  <c:v>-88.746816470739915</c:v>
                </c:pt>
                <c:pt idx="184">
                  <c:v>-88.803202229650097</c:v>
                </c:pt>
                <c:pt idx="185">
                  <c:v>-88.857052377308449</c:v>
                </c:pt>
                <c:pt idx="186">
                  <c:v>-88.908480755680088</c:v>
                </c:pt>
                <c:pt idx="187">
                  <c:v>-88.957596119012862</c:v>
                </c:pt>
                <c:pt idx="188">
                  <c:v>-89.004502358181284</c:v>
                </c:pt>
                <c:pt idx="189">
                  <c:v>-89.049298715530782</c:v>
                </c:pt>
                <c:pt idx="190">
                  <c:v>-89.092079990573225</c:v>
                </c:pt>
                <c:pt idx="191">
                  <c:v>-89.132936736878449</c:v>
                </c:pt>
                <c:pt idx="192">
                  <c:v>-89.171955450499411</c:v>
                </c:pt>
                <c:pt idx="193">
                  <c:v>-89.209218750261471</c:v>
                </c:pt>
                <c:pt idx="194">
                  <c:v>-89.244805550237402</c:v>
                </c:pt>
                <c:pt idx="195">
                  <c:v>-89.278791224721175</c:v>
                </c:pt>
                <c:pt idx="196">
                  <c:v>-89.311247766004669</c:v>
                </c:pt>
                <c:pt idx="197">
                  <c:v>-89.342243935251588</c:v>
                </c:pt>
                <c:pt idx="198">
                  <c:v>-89.371845406753906</c:v>
                </c:pt>
                <c:pt idx="199">
                  <c:v>-89.400114905846308</c:v>
                </c:pt>
                <c:pt idx="200">
                  <c:v>-89.427112340744699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3F0-49AD-953E-02FEAEB24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7646984"/>
        <c:axId val="527647312"/>
      </c:scatterChart>
      <c:valAx>
        <c:axId val="527646984"/>
        <c:scaling>
          <c:logBase val="10"/>
          <c:orientation val="minMax"/>
          <c:min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Frequency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&lt;1000]0\ &quot;Hz&quot;;[&gt;=1000000]0,,\ &quot;MHz&quot;;0,\ &quot;kHz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7312"/>
        <c:crossesAt val="-500"/>
        <c:crossBetween val="midCat"/>
      </c:valAx>
      <c:valAx>
        <c:axId val="5276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Phase (</a:t>
                </a:r>
                <a:r>
                  <a:rPr lang="el-GR">
                    <a:latin typeface="Calibri" panose="020F0502020204030204" pitchFamily="34" charset="0"/>
                    <a:cs typeface="Calibri" panose="020F0502020204030204" pitchFamily="34" charset="0"/>
                  </a:rPr>
                  <a:t>Φ</a:t>
                </a:r>
                <a:r>
                  <a:rPr lang="en-US">
                    <a:latin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46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654050</xdr:colOff>
      <xdr:row>20</xdr:row>
      <xdr:rowOff>29635</xdr:rowOff>
    </xdr:from>
    <xdr:to>
      <xdr:col>0</xdr:col>
      <xdr:colOff>2330450</xdr:colOff>
      <xdr:row>21</xdr:row>
      <xdr:rowOff>165564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654050" y="4944535"/>
              <a:ext cx="1676400" cy="34547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𝑜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𝑒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𝑖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2</m:t>
                            </m:r>
                          </m:sub>
                        </m:sSub>
                      </m:num>
                      <m:den>
                        <m:r>
                          <a:rPr lang="en-US" sz="11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22" name="TextBox 8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654050" y="4944535"/>
              <a:ext cx="1676400" cy="34547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𝑒_𝑜/𝑒_𝑖 =𝑅_2/(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US" sz="11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𝑅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_1 𝑅_2+𝑅_1+𝑅_2 )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3</xdr:col>
      <xdr:colOff>93662</xdr:colOff>
      <xdr:row>0</xdr:row>
      <xdr:rowOff>77787</xdr:rowOff>
    </xdr:from>
    <xdr:to>
      <xdr:col>3</xdr:col>
      <xdr:colOff>5369750</xdr:colOff>
      <xdr:row>13</xdr:row>
      <xdr:rowOff>96837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7620D63-A6E1-F137-13EC-DB03E87076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93662</xdr:colOff>
      <xdr:row>13</xdr:row>
      <xdr:rowOff>96837</xdr:rowOff>
    </xdr:from>
    <xdr:to>
      <xdr:col>3</xdr:col>
      <xdr:colOff>5372100</xdr:colOff>
      <xdr:row>26</xdr:row>
      <xdr:rowOff>115887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E36D9821-8DBD-2926-E9D4-8D46C18EEC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536766</xdr:colOff>
      <xdr:row>11</xdr:row>
      <xdr:rowOff>96637</xdr:rowOff>
    </xdr:from>
    <xdr:to>
      <xdr:col>0</xdr:col>
      <xdr:colOff>2120900</xdr:colOff>
      <xdr:row>19</xdr:row>
      <xdr:rowOff>50799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5D3F21AB-87F2-E338-1B07-7C719E2DF942}"/>
            </a:ext>
          </a:extLst>
        </xdr:cNvPr>
        <xdr:cNvGrpSpPr/>
      </xdr:nvGrpSpPr>
      <xdr:grpSpPr>
        <a:xfrm>
          <a:off x="536766" y="3125587"/>
          <a:ext cx="1584134" cy="1630562"/>
          <a:chOff x="568516" y="1734937"/>
          <a:chExt cx="1584134" cy="1630562"/>
        </a:xfrm>
      </xdr:grpSpPr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6" name="TextBox 12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 txBox="1"/>
            </xdr:nvSpPr>
            <xdr:spPr>
              <a:xfrm>
                <a:off x="773690" y="1949880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200" b="0" i="1">
                          <a:latin typeface="Cambria Math" panose="02040503050406030204" pitchFamily="18" charset="0"/>
                          <a:cs typeface="Arial" pitchFamily="34" charset="0"/>
                        </a:rPr>
                        <m:t>𝑅</m:t>
                      </m:r>
                      <m:r>
                        <a:rPr lang="en-US" sz="1200" b="0" i="1" baseline="-25000">
                          <a:latin typeface="Cambria Math" panose="02040503050406030204" pitchFamily="18" charset="0"/>
                          <a:cs typeface="Arial" pitchFamily="34" charset="0"/>
                        </a:rPr>
                        <m:t>1</m:t>
                      </m:r>
                    </m:oMath>
                  </m:oMathPara>
                </a14:m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6" name="TextBox 12">
                <a:extLst>
                  <a:ext uri="{FF2B5EF4-FFF2-40B4-BE49-F238E27FC236}">
                    <a16:creationId xmlns:a16="http://schemas.microsoft.com/office/drawing/2014/main" id="{00000000-0008-0000-0000-000010000000}"/>
                  </a:ext>
                </a:extLst>
              </xdr:cNvPr>
              <xdr:cNvSpPr txBox="1"/>
            </xdr:nvSpPr>
            <xdr:spPr>
              <a:xfrm>
                <a:off x="773690" y="1949880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𝑅</a:t>
                </a:r>
                <a:r>
                  <a:rPr lang="en-US" sz="1200" b="0" i="0" baseline="-25000">
                    <a:latin typeface="Cambria Math" panose="02040503050406030204" pitchFamily="18" charset="0"/>
                    <a:cs typeface="Arial" pitchFamily="34" charset="0"/>
                  </a:rPr>
                  <a:t>1</a:t>
                </a:r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8" name="TextBox 14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1562100" y="2616200"/>
                <a:ext cx="234950" cy="209550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200" b="0" i="1">
                          <a:latin typeface="Cambria Math" panose="02040503050406030204" pitchFamily="18" charset="0"/>
                          <a:cs typeface="Arial" pitchFamily="34" charset="0"/>
                        </a:rPr>
                        <m:t>𝐶</m:t>
                      </m:r>
                    </m:oMath>
                  </m:oMathPara>
                </a14:m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8" name="TextBox 14">
                <a:extLst>
                  <a:ext uri="{FF2B5EF4-FFF2-40B4-BE49-F238E27FC236}">
                    <a16:creationId xmlns:a16="http://schemas.microsoft.com/office/drawing/2014/main" id="{00000000-0008-0000-0000-000012000000}"/>
                  </a:ext>
                </a:extLst>
              </xdr:cNvPr>
              <xdr:cNvSpPr txBox="1"/>
            </xdr:nvSpPr>
            <xdr:spPr>
              <a:xfrm>
                <a:off x="1562100" y="2616200"/>
                <a:ext cx="234950" cy="209550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𝐶</a:t>
                </a:r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9" name="TextBox 17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638987" y="1734937"/>
                <a:ext cx="191058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𝐼𝑁</m:t>
                          </m:r>
                        </m:sub>
                      </m:sSub>
                    </m:oMath>
                  </m:oMathPara>
                </a14:m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9" name="TextBox 17">
                <a:extLst>
                  <a:ext uri="{FF2B5EF4-FFF2-40B4-BE49-F238E27FC236}">
                    <a16:creationId xmlns:a16="http://schemas.microsoft.com/office/drawing/2014/main" id="{00000000-0008-0000-0000-000013000000}"/>
                  </a:ext>
                </a:extLst>
              </xdr:cNvPr>
              <xdr:cNvSpPr txBox="1"/>
            </xdr:nvSpPr>
            <xdr:spPr>
              <a:xfrm>
                <a:off x="638987" y="1734937"/>
                <a:ext cx="191058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𝑉_𝐼𝑁</a:t>
                </a:r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0" name="TextBox 20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SpPr txBox="1"/>
            </xdr:nvSpPr>
            <xdr:spPr>
              <a:xfrm>
                <a:off x="1731153" y="2392572"/>
                <a:ext cx="197882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sSub>
                        <m:sSubPr>
                          <m:ctrlP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</m:ctrlPr>
                        </m:sSubPr>
                        <m:e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𝑉</m:t>
                          </m:r>
                        </m:e>
                        <m:sub>
                          <m:r>
                            <a:rPr lang="en-US" sz="1200" b="0" i="1">
                              <a:latin typeface="Cambria Math" panose="02040503050406030204" pitchFamily="18" charset="0"/>
                              <a:cs typeface="Arial" pitchFamily="34" charset="0"/>
                            </a:rPr>
                            <m:t>𝑂𝑈𝑇</m:t>
                          </m:r>
                        </m:sub>
                      </m:sSub>
                    </m:oMath>
                  </m:oMathPara>
                </a14:m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20" name="TextBox 20">
                <a:extLst>
                  <a:ext uri="{FF2B5EF4-FFF2-40B4-BE49-F238E27FC236}">
                    <a16:creationId xmlns:a16="http://schemas.microsoft.com/office/drawing/2014/main" id="{00000000-0008-0000-0000-000014000000}"/>
                  </a:ext>
                </a:extLst>
              </xdr:cNvPr>
              <xdr:cNvSpPr txBox="1"/>
            </xdr:nvSpPr>
            <xdr:spPr>
              <a:xfrm>
                <a:off x="1731153" y="2392572"/>
                <a:ext cx="197882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𝑉_𝑂𝑈𝑇</a:t>
                </a:r>
                <a:endParaRPr lang="en-US" sz="12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xdr:pic>
        <xdr:nvPicPr>
          <xdr:cNvPr id="10" name="Graphic 9">
            <a:extLst>
              <a:ext uri="{FF2B5EF4-FFF2-40B4-BE49-F238E27FC236}">
                <a16:creationId xmlns:a16="http://schemas.microsoft.com/office/drawing/2014/main" id="{968FB43A-A0EB-9CC3-2DE8-ECC78CFF4F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93750" y="1749838"/>
            <a:ext cx="977900" cy="1615661"/>
          </a:xfrm>
          <a:prstGeom prst="rect">
            <a:avLst/>
          </a:prstGeom>
        </xdr:spPr>
      </xdr:pic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1" name="TextBox 12">
                <a:extLst>
                  <a:ext uri="{FF2B5EF4-FFF2-40B4-BE49-F238E27FC236}">
                    <a16:creationId xmlns:a16="http://schemas.microsoft.com/office/drawing/2014/main" id="{1A338EA1-8500-5CBE-1FA2-5F698B5346EF}"/>
                  </a:ext>
                </a:extLst>
              </xdr:cNvPr>
              <xdr:cNvSpPr txBox="1"/>
            </xdr:nvSpPr>
            <xdr:spPr>
              <a:xfrm>
                <a:off x="771877" y="2583785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en-US" sz="1200" b="0" i="1">
                          <a:latin typeface="Cambria Math" panose="02040503050406030204" pitchFamily="18" charset="0"/>
                          <a:cs typeface="Arial" pitchFamily="34" charset="0"/>
                        </a:rPr>
                        <m:t>𝑅</m:t>
                      </m:r>
                      <m:r>
                        <a:rPr lang="en-US" sz="1200" b="0" i="1" baseline="-25000">
                          <a:latin typeface="Cambria Math" panose="02040503050406030204" pitchFamily="18" charset="0"/>
                          <a:cs typeface="Arial" pitchFamily="34" charset="0"/>
                        </a:rPr>
                        <m:t>2</m:t>
                      </m:r>
                    </m:oMath>
                  </m:oMathPara>
                </a14:m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Choice>
        <mc:Fallback xmlns="">
          <xdr:sp macro="" textlink="">
            <xdr:nvSpPr>
              <xdr:cNvPr id="11" name="TextBox 12">
                <a:extLst>
                  <a:ext uri="{FF2B5EF4-FFF2-40B4-BE49-F238E27FC236}">
                    <a16:creationId xmlns:a16="http://schemas.microsoft.com/office/drawing/2014/main" id="{1A338EA1-8500-5CBE-1FA2-5F698B5346EF}"/>
                  </a:ext>
                </a:extLst>
              </xdr:cNvPr>
              <xdr:cNvSpPr txBox="1"/>
            </xdr:nvSpPr>
            <xdr:spPr>
              <a:xfrm>
                <a:off x="771877" y="2583785"/>
                <a:ext cx="209793" cy="180434"/>
              </a:xfrm>
              <a:prstGeom prst="rect">
                <a:avLst/>
              </a:prstGeom>
              <a:noFill/>
            </xdr:spPr>
            <xdr:txBody>
              <a:bodyPr wrap="square" lIns="0" tIns="0" rIns="0" bIns="0" rtlCol="0">
                <a:noAutofit/>
              </a:bodyPr>
              <a:lstStyle>
                <a:defPPr>
                  <a:defRPr lang="en-US"/>
                </a:defPPr>
                <a:lvl1pPr marL="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609585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1219170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82875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243833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3047924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3657509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4267093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4876678" algn="l" defTabSz="1219170" rtl="0" eaLnBrk="1" latinLnBrk="0" hangingPunct="1">
                  <a:defRPr sz="24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/>
                <a:r>
                  <a:rPr lang="en-US" sz="1200" b="0" i="0">
                    <a:latin typeface="Cambria Math" panose="02040503050406030204" pitchFamily="18" charset="0"/>
                    <a:cs typeface="Arial" pitchFamily="34" charset="0"/>
                  </a:rPr>
                  <a:t>𝑅</a:t>
                </a:r>
                <a:r>
                  <a:rPr lang="en-US" sz="1200" b="0" i="0" baseline="-25000">
                    <a:latin typeface="Cambria Math" panose="02040503050406030204" pitchFamily="18" charset="0"/>
                    <a:cs typeface="Arial" pitchFamily="34" charset="0"/>
                  </a:rPr>
                  <a:t>2</a:t>
                </a:r>
                <a:endParaRPr lang="en-US" sz="1200" baseline="-25000">
                  <a:latin typeface="Arial" pitchFamily="34" charset="0"/>
                  <a:cs typeface="Arial" pitchFamily="34" charset="0"/>
                </a:endParaRPr>
              </a:p>
            </xdr:txBody>
          </xdr:sp>
        </mc:Fallback>
      </mc:AlternateContent>
      <xdr:sp macro="" textlink="_R1lbl">
        <xdr:nvSpPr>
          <xdr:cNvPr id="21" name="TextBox 12">
            <a:extLst>
              <a:ext uri="{FF2B5EF4-FFF2-40B4-BE49-F238E27FC236}">
                <a16:creationId xmlns:a16="http://schemas.microsoft.com/office/drawing/2014/main" id="{917D7C36-59E0-497F-5F80-1277360DA3FE}"/>
              </a:ext>
            </a:extLst>
          </xdr:cNvPr>
          <xdr:cNvSpPr txBox="1"/>
        </xdr:nvSpPr>
        <xdr:spPr>
          <a:xfrm>
            <a:off x="576840" y="2032430"/>
            <a:ext cx="515360" cy="317070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en-US"/>
            </a:defPPr>
            <a:lvl1pPr marL="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85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7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5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33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92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50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7093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678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5FEB81DA-DA1B-41DF-B4D0-E16CA8B784C1}" type="TxLink">
              <a:rPr lang="en-US" sz="1600" b="0" i="0" u="none" strike="noStrike" baseline="-250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412kΩ</a:t>
            </a:fld>
            <a:endParaRPr lang="en-US" sz="1600" baseline="-25000">
              <a:latin typeface="Arial" pitchFamily="34" charset="0"/>
              <a:cs typeface="Arial" pitchFamily="34" charset="0"/>
            </a:endParaRPr>
          </a:p>
        </xdr:txBody>
      </xdr:sp>
      <xdr:sp macro="" textlink="_R2lbl">
        <xdr:nvSpPr>
          <xdr:cNvPr id="23" name="TextBox 12">
            <a:extLst>
              <a:ext uri="{FF2B5EF4-FFF2-40B4-BE49-F238E27FC236}">
                <a16:creationId xmlns:a16="http://schemas.microsoft.com/office/drawing/2014/main" id="{AD36C991-3F0C-0622-03BC-940AC76D57CF}"/>
              </a:ext>
            </a:extLst>
          </xdr:cNvPr>
          <xdr:cNvSpPr txBox="1"/>
        </xdr:nvSpPr>
        <xdr:spPr>
          <a:xfrm>
            <a:off x="568516" y="2661080"/>
            <a:ext cx="468509" cy="317070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en-US"/>
            </a:defPPr>
            <a:lvl1pPr marL="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85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7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5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33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92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50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7093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678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A5C0B6AD-BE39-4932-B8E3-7C4C1B4EAA7F}" type="TxLink">
              <a:rPr lang="en-US" sz="1600" b="0" i="0" u="none" strike="noStrike" baseline="-250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45.3kΩ</a:t>
            </a:fld>
            <a:endParaRPr lang="en-US" sz="1600" baseline="-25000">
              <a:latin typeface="Arial" pitchFamily="34" charset="0"/>
              <a:cs typeface="Arial" pitchFamily="34" charset="0"/>
            </a:endParaRPr>
          </a:p>
        </xdr:txBody>
      </xdr:sp>
      <xdr:sp macro="" textlink="_Clbl">
        <xdr:nvSpPr>
          <xdr:cNvPr id="24" name="TextBox 12">
            <a:extLst>
              <a:ext uri="{FF2B5EF4-FFF2-40B4-BE49-F238E27FC236}">
                <a16:creationId xmlns:a16="http://schemas.microsoft.com/office/drawing/2014/main" id="{797A486F-148A-AD92-163F-4527E477F136}"/>
              </a:ext>
            </a:extLst>
          </xdr:cNvPr>
          <xdr:cNvSpPr txBox="1"/>
        </xdr:nvSpPr>
        <xdr:spPr>
          <a:xfrm>
            <a:off x="1637290" y="2667000"/>
            <a:ext cx="515360" cy="330200"/>
          </a:xfrm>
          <a:prstGeom prst="rect">
            <a:avLst/>
          </a:prstGeom>
          <a:noFill/>
        </xdr:spPr>
        <xdr:txBody>
          <a:bodyPr wrap="square" lIns="0" tIns="0" rIns="0" bIns="0" rtlCol="0">
            <a:noAutofit/>
          </a:bodyPr>
          <a:lstStyle>
            <a:defPPr>
              <a:defRPr lang="en-US"/>
            </a:defPPr>
            <a:lvl1pPr marL="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85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70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5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33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924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509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7093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678" algn="l" defTabSz="12191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fld id="{EFD0965D-C321-4F71-9109-E5582ACB68CE}" type="TxLink">
              <a:rPr lang="en-US" sz="1600" b="0" i="0" u="none" strike="noStrike" baseline="-25000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0.039µF</a:t>
            </a:fld>
            <a:endParaRPr lang="en-US" sz="1600" baseline="-25000"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1377950</xdr:colOff>
      <xdr:row>8</xdr:row>
      <xdr:rowOff>57150</xdr:rowOff>
    </xdr:from>
    <xdr:to>
      <xdr:col>0</xdr:col>
      <xdr:colOff>2609849</xdr:colOff>
      <xdr:row>8</xdr:row>
      <xdr:rowOff>402822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8">
              <a:extLst>
                <a:ext uri="{FF2B5EF4-FFF2-40B4-BE49-F238E27FC236}">
                  <a16:creationId xmlns:a16="http://schemas.microsoft.com/office/drawing/2014/main" id="{6504404F-BD51-8020-8818-B42649BE099F}"/>
                </a:ext>
              </a:extLst>
            </xdr:cNvPr>
            <xdr:cNvSpPr txBox="1"/>
          </xdr:nvSpPr>
          <xdr:spPr>
            <a:xfrm>
              <a:off x="1377950" y="1943100"/>
              <a:ext cx="1231899" cy="34567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−1</m:t>
                    </m:r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8" name="TextBox 8">
              <a:extLst>
                <a:ext uri="{FF2B5EF4-FFF2-40B4-BE49-F238E27FC236}">
                  <a16:creationId xmlns:a16="http://schemas.microsoft.com/office/drawing/2014/main" id="{6504404F-BD51-8020-8818-B42649BE099F}"/>
                </a:ext>
              </a:extLst>
            </xdr:cNvPr>
            <xdr:cNvSpPr txBox="1"/>
          </xdr:nvSpPr>
          <xdr:spPr>
            <a:xfrm>
              <a:off x="1377950" y="1943100"/>
              <a:ext cx="1231899" cy="345672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n-US" sz="1100" i="0">
                  <a:latin typeface="Cambria Math" panose="02040503050406030204" pitchFamily="18" charset="0"/>
                </a:rPr>
                <a:t>𝑅_1/𝑅_2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=1/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114300</xdr:colOff>
      <xdr:row>9</xdr:row>
      <xdr:rowOff>50800</xdr:rowOff>
    </xdr:from>
    <xdr:to>
      <xdr:col>0</xdr:col>
      <xdr:colOff>2578099</xdr:colOff>
      <xdr:row>9</xdr:row>
      <xdr:rowOff>417760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30">
              <a:extLst>
                <a:ext uri="{FF2B5EF4-FFF2-40B4-BE49-F238E27FC236}">
                  <a16:creationId xmlns:a16="http://schemas.microsoft.com/office/drawing/2014/main" id="{ED502847-9118-46B2-B1E2-6E16056CEA24}"/>
                </a:ext>
              </a:extLst>
            </xdr:cNvPr>
            <xdr:cNvSpPr txBox="1"/>
          </xdr:nvSpPr>
          <xdr:spPr>
            <a:xfrm>
              <a:off x="114300" y="2406650"/>
              <a:ext cx="2463799" cy="36696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</m:sub>
                    </m:sSub>
                    <m:r>
                      <a:rPr lang="en-US" sz="110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cs typeface="Arial" pitchFamily="34" charset="0"/>
                          </a:rPr>
                        </m:ctrlPr>
                      </m:fPr>
                      <m:num>
                        <m:d>
                          <m:d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𝜎</m:t>
                            </m:r>
                            <m: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+1</m:t>
                            </m:r>
                          </m:e>
                        </m:d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𝑅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𝑇𝐻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+</m:t>
                        </m:r>
                        <m:rad>
                          <m:radPr>
                            <m:degHide m:val="on"/>
                            <m:ctrlP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(</m:t>
                            </m:r>
                            <m:sSup>
                              <m:sSupPr>
                                <m:ctrlPr>
                                  <a:rPr lang="en-US" sz="11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</m:ctrlPr>
                              </m:sSupPr>
                              <m:e>
                                <m:d>
                                  <m:d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𝜎</m:t>
                                    </m:r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+1</m:t>
                                    </m:r>
                                  </m:e>
                                </m:d>
                                <m:sSub>
                                  <m:sSubPr>
                                    <m:ctrlPr>
                                      <a:rPr lang="en-US" sz="110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  <m:t>𝑅</m:t>
                                    </m:r>
                                  </m:e>
                                  <m:sub>
                                    <m:r>
                                      <a:rPr lang="en-US" sz="1100" i="1">
                                        <a:latin typeface="Cambria Math" panose="02040503050406030204" pitchFamily="18" charset="0"/>
                                        <a:cs typeface="Arial" pitchFamily="34" charset="0"/>
                                      </a:rPr>
                                      <m:t>𝑇𝐻</m:t>
                                    </m:r>
                                  </m:sub>
                                </m:s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)</m:t>
                                </m:r>
                              </m:e>
                              <m:sup>
                                <m:r>
                                  <a:rPr lang="en-US" sz="1100" i="1">
                                    <a:latin typeface="Cambria Math" panose="02040503050406030204" pitchFamily="18" charset="0"/>
                                    <a:cs typeface="Arial" pitchFamily="34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num>
                      <m:den>
                        <m:r>
                          <a:rPr lang="en-US" sz="110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2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9" name="TextBox 30">
              <a:extLst>
                <a:ext uri="{FF2B5EF4-FFF2-40B4-BE49-F238E27FC236}">
                  <a16:creationId xmlns:a16="http://schemas.microsoft.com/office/drawing/2014/main" id="{ED502847-9118-46B2-B1E2-6E16056CEA24}"/>
                </a:ext>
              </a:extLst>
            </xdr:cNvPr>
            <xdr:cNvSpPr txBox="1"/>
          </xdr:nvSpPr>
          <xdr:spPr>
            <a:xfrm>
              <a:off x="114300" y="2406650"/>
              <a:ext cx="2463799" cy="36696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𝑅_2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=(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𝜎+1) 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𝑅_𝑇𝐻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+√((〖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  <a:cs typeface="Arial" pitchFamily="34" charset="0"/>
                </a:rPr>
                <a:t>(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𝜎+1) 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𝑅_𝑇𝐻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)〗^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2 ))/2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1631951</xdr:colOff>
      <xdr:row>10</xdr:row>
      <xdr:rowOff>25400</xdr:rowOff>
    </xdr:from>
    <xdr:to>
      <xdr:col>0</xdr:col>
      <xdr:colOff>2559051</xdr:colOff>
      <xdr:row>10</xdr:row>
      <xdr:rowOff>196850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8">
              <a:extLst>
                <a:ext uri="{FF2B5EF4-FFF2-40B4-BE49-F238E27FC236}">
                  <a16:creationId xmlns:a16="http://schemas.microsoft.com/office/drawing/2014/main" id="{0E6671F6-9942-8285-0FBA-34D82C38EAFB}"/>
                </a:ext>
              </a:extLst>
            </xdr:cNvPr>
            <xdr:cNvSpPr txBox="1"/>
          </xdr:nvSpPr>
          <xdr:spPr>
            <a:xfrm>
              <a:off x="1631951" y="2419350"/>
              <a:ext cx="927100" cy="1714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4" name="TextBox 8">
              <a:extLst>
                <a:ext uri="{FF2B5EF4-FFF2-40B4-BE49-F238E27FC236}">
                  <a16:creationId xmlns:a16="http://schemas.microsoft.com/office/drawing/2014/main" id="{0E6671F6-9942-8285-0FBA-34D82C38EAFB}"/>
                </a:ext>
              </a:extLst>
            </xdr:cNvPr>
            <xdr:cNvSpPr txBox="1"/>
          </xdr:nvSpPr>
          <xdr:spPr>
            <a:xfrm>
              <a:off x="1631951" y="2419350"/>
              <a:ext cx="927100" cy="171450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𝑅_1</a:t>
              </a:r>
              <a:r>
                <a:rPr lang="en-US" sz="1100" b="0" i="0">
                  <a:latin typeface="Cambria Math" panose="02040503050406030204" pitchFamily="18" charset="0"/>
                </a:rPr>
                <a:t>=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𝑅_2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  <xdr:twoCellAnchor>
    <xdr:from>
      <xdr:col>0</xdr:col>
      <xdr:colOff>1085851</xdr:colOff>
      <xdr:row>7</xdr:row>
      <xdr:rowOff>31750</xdr:rowOff>
    </xdr:from>
    <xdr:to>
      <xdr:col>0</xdr:col>
      <xdr:colOff>2108201</xdr:colOff>
      <xdr:row>7</xdr:row>
      <xdr:rowOff>379409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8">
              <a:extLst>
                <a:ext uri="{FF2B5EF4-FFF2-40B4-BE49-F238E27FC236}">
                  <a16:creationId xmlns:a16="http://schemas.microsoft.com/office/drawing/2014/main" id="{B3DAFD7E-BAC7-E581-0F2A-38769970D2D1}"/>
                </a:ext>
              </a:extLst>
            </xdr:cNvPr>
            <xdr:cNvSpPr txBox="1"/>
          </xdr:nvSpPr>
          <xdr:spPr>
            <a:xfrm>
              <a:off x="1085851" y="1498600"/>
              <a:ext cx="1022350" cy="34765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</m:e>
                      <m:sub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𝑇𝐻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cs typeface="Arial" pitchFamily="34" charset="0"/>
                      </a:rPr>
                      <m:t>=</m:t>
                    </m:r>
                    <m:f>
                      <m:fPr>
                        <m:ctrlP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11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𝜋</m:t>
                        </m:r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i="1">
                                <a:latin typeface="Cambria Math" panose="02040503050406030204" pitchFamily="18" charset="0"/>
                                <a:cs typeface="Arial" pitchFamily="34" charset="0"/>
                              </a:rPr>
                              <m:t>𝑐</m:t>
                            </m:r>
                          </m:sub>
                        </m:sSub>
                        <m:r>
                          <a:rPr lang="en-US" sz="1100" b="0" i="1">
                            <a:latin typeface="Cambria Math" panose="02040503050406030204" pitchFamily="18" charset="0"/>
                            <a:cs typeface="Arial" pitchFamily="34" charset="0"/>
                          </a:rPr>
                          <m:t>𝐶</m:t>
                        </m:r>
                      </m:den>
                    </m:f>
                  </m:oMath>
                </m:oMathPara>
              </a14:m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Choice>
      <mc:Fallback xmlns="">
        <xdr:sp macro="" textlink="">
          <xdr:nvSpPr>
            <xdr:cNvPr id="15" name="TextBox 8">
              <a:extLst>
                <a:ext uri="{FF2B5EF4-FFF2-40B4-BE49-F238E27FC236}">
                  <a16:creationId xmlns:a16="http://schemas.microsoft.com/office/drawing/2014/main" id="{B3DAFD7E-BAC7-E581-0F2A-38769970D2D1}"/>
                </a:ext>
              </a:extLst>
            </xdr:cNvPr>
            <xdr:cNvSpPr txBox="1"/>
          </xdr:nvSpPr>
          <xdr:spPr>
            <a:xfrm>
              <a:off x="1085851" y="1498600"/>
              <a:ext cx="1022350" cy="347659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609585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1219170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82875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243833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3047924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3657509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4267093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4876678" indent="0" algn="l" defTabSz="1219170" rtl="0" eaLnBrk="1" latinLnBrk="0" hangingPunct="1">
                <a:defRPr sz="24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𝑅_𝑇𝐻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=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</a:rPr>
                <a:t>1/(2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r>
                <a:rPr lang="en-US" sz="1100" i="0">
                  <a:latin typeface="Cambria Math" panose="02040503050406030204" pitchFamily="18" charset="0"/>
                  <a:cs typeface="Arial" pitchFamily="34" charset="0"/>
                </a:rPr>
                <a:t>𝑓_𝑐</a:t>
              </a:r>
              <a:r>
                <a:rPr lang="en-US" sz="1100" b="0" i="0">
                  <a:latin typeface="Cambria Math" panose="02040503050406030204" pitchFamily="18" charset="0"/>
                  <a:cs typeface="Arial" pitchFamily="34" charset="0"/>
                </a:rPr>
                <a:t> 𝐶</a:t>
              </a:r>
              <a:r>
                <a:rPr lang="en-US" sz="11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cs typeface="Arial" pitchFamily="34" charset="0"/>
                </a:rPr>
                <a:t>)</a:t>
              </a:r>
              <a:endParaRPr lang="en-US" sz="1100">
                <a:latin typeface="Arial" pitchFamily="34" charset="0"/>
                <a:cs typeface="Arial" pitchFamily="34" charset="0"/>
              </a:endParaRP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CE7AC24-7EDF-48E0-88E6-4EF04C039F74}" name="Table3" displayName="Table3" ref="E1:J202" totalsRowShown="0" headerRowDxfId="5">
  <autoFilter ref="E1:J202" xr:uid="{0CE7AC24-7EDF-48E0-88E6-4EF04C039F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ED90CD0-AF13-4750-88E0-98E27F481826}" name="Decade"/>
    <tableColumn id="2" xr3:uid="{AA7344BB-BF07-4F19-84EF-76EFA05C1149}" name="f" dataDxfId="4">
      <calculatedColumnFormula>_fc*10^Table3[[#This Row],[Decade]]</calculatedColumnFormula>
    </tableColumn>
    <tableColumn id="3" xr3:uid="{CBCDD446-1043-4473-B497-381FEE0BC0F0}" name="s" dataDxfId="3">
      <calculatedColumnFormula>COMPLEX(0,2*PI()*Table3[[#This Row],[f]],"j")</calculatedColumnFormula>
    </tableColumn>
    <tableColumn id="4" xr3:uid="{4E5DF99B-06E0-4195-9D67-9BD19AC66980}" name="H(s)" dataDxfId="2">
      <calculatedColumnFormula>IMDIV(_R2,
 IMSUM(_R1,_R2,
 IMPRODUCT(Table3[[#This Row],[s]],_R1,_R2,_C)))</calculatedColumnFormula>
    </tableColumn>
    <tableColumn id="5" xr3:uid="{D0953C39-577C-4976-99A2-13787AF2E5AA}" name="Mag (dB)" dataDxfId="1">
      <calculatedColumnFormula>20*LOG(IMABS(Table3[[#This Row],[H(s)]]))</calculatedColumnFormula>
    </tableColumn>
    <tableColumn id="6" xr3:uid="{0B052C7C-E956-40CE-8497-612295C11F79}" name="Phase (Φ)" dataDxfId="0">
      <calculatedColumnFormula>DEGREES(IMARGUMENT(Table3[[#This Row],[H(s)]]))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B76E0-45D5-44B7-9F39-332462049498}">
  <sheetPr codeName="Sheet4"/>
  <dimension ref="A1:N202"/>
  <sheetViews>
    <sheetView showGridLines="0" tabSelected="1" zoomScaleNormal="100" workbookViewId="0">
      <selection activeCell="B15" sqref="B15"/>
    </sheetView>
  </sheetViews>
  <sheetFormatPr defaultRowHeight="16.5" customHeight="1" x14ac:dyDescent="0.35"/>
  <cols>
    <col min="1" max="1" width="39.36328125" customWidth="1"/>
    <col min="2" max="2" width="15" customWidth="1"/>
    <col min="3" max="3" width="5.7265625" customWidth="1"/>
    <col min="4" max="4" width="77.453125" customWidth="1"/>
    <col min="5" max="5" width="9.7265625" customWidth="1"/>
    <col min="6" max="6" width="11.81640625" customWidth="1"/>
    <col min="7" max="7" width="19.36328125" customWidth="1"/>
    <col min="8" max="8" width="40.453125" customWidth="1"/>
    <col min="9" max="10" width="12.453125" customWidth="1"/>
  </cols>
  <sheetData>
    <row r="1" spans="1:14" ht="16.5" customHeight="1" x14ac:dyDescent="0.35">
      <c r="A1" s="1" t="s">
        <v>13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9</v>
      </c>
      <c r="J1" s="7" t="s">
        <v>10</v>
      </c>
      <c r="M1" t="s">
        <v>19</v>
      </c>
    </row>
    <row r="2" spans="1:14" ht="16.5" customHeight="1" x14ac:dyDescent="0.35">
      <c r="B2" s="2" t="s">
        <v>15</v>
      </c>
      <c r="E2">
        <v>-2</v>
      </c>
      <c r="F2">
        <f>_fc*10^Table3[[#This Row],[Decade]]</f>
        <v>1</v>
      </c>
      <c r="G2" t="str">
        <f>COMPLEX(0,2*PI()*Table3[[#This Row],[f]],"j")</f>
        <v>6.28318530717959j</v>
      </c>
      <c r="H2" t="str">
        <f>IMDIV(_R2,
 IMSUM(_R1,_R2,
 IMPRODUCT(Table3[[#This Row],[s]],_R1,_R2,_C)))</f>
        <v>0.0990497914845246-0.000990586163956361j</v>
      </c>
      <c r="I2">
        <f>20*LOG(IMABS(Table3[[#This Row],[H(s)]]))</f>
        <v>-20.082494337508876</v>
      </c>
      <c r="J2">
        <f>DEGREES(IMARGUMENT(Table3[[#This Row],[H(s)]]))</f>
        <v>-0.57298974065805708</v>
      </c>
      <c r="M2" t="s">
        <v>12</v>
      </c>
      <c r="N2" t="str" cm="1">
        <f t="array" ref="N2">EngPrefix(_R2)&amp;"Ω"</f>
        <v>45.3kΩ</v>
      </c>
    </row>
    <row r="3" spans="1:14" ht="16.5" customHeight="1" x14ac:dyDescent="0.45">
      <c r="A3" s="3" t="s">
        <v>0</v>
      </c>
      <c r="B3" s="9">
        <v>100</v>
      </c>
      <c r="C3" t="s">
        <v>1</v>
      </c>
      <c r="E3">
        <v>-1.98</v>
      </c>
      <c r="F3">
        <f>_fc*10^Table3[[#This Row],[Decade]]</f>
        <v>1.0471285480508989</v>
      </c>
      <c r="G3" t="str">
        <f>COMPLEX(0,2*PI()*Table3[[#This Row],[f]],"j")</f>
        <v>6.5793027078417j</v>
      </c>
      <c r="H3" t="str">
        <f>IMDIV(_R2,
 IMSUM(_R1,_R2,
 IMPRODUCT(Table3[[#This Row],[s]],_R1,_R2,_C)))</f>
        <v>0.0990488358045205-0.00103726104349318j</v>
      </c>
      <c r="I3">
        <f>20*LOG(IMABS(Table3[[#This Row],[H(s)]]))</f>
        <v>-20.082536240530416</v>
      </c>
      <c r="J3">
        <f>DEGREES(IMARGUMENT(Table3[[#This Row],[H(s)]]))</f>
        <v>-0.59999198547357468</v>
      </c>
      <c r="M3" t="s">
        <v>11</v>
      </c>
      <c r="N3" t="str" cm="1">
        <f t="array" ref="N3">EngPrefix(_R1)&amp;"Ω"</f>
        <v>412kΩ</v>
      </c>
    </row>
    <row r="4" spans="1:14" ht="16.5" customHeight="1" x14ac:dyDescent="0.35">
      <c r="A4" s="4" t="s">
        <v>4</v>
      </c>
      <c r="B4" s="10">
        <f>0.039*10^-6</f>
        <v>3.8999999999999998E-8</v>
      </c>
      <c r="C4" t="s">
        <v>2</v>
      </c>
      <c r="E4">
        <v>-1.96</v>
      </c>
      <c r="F4">
        <f>_fc*10^Table3[[#This Row],[Decade]]</f>
        <v>1.0964781961431851</v>
      </c>
      <c r="G4" t="str">
        <f>COMPLEX(0,2*PI()*Table3[[#This Row],[f]],"j")</f>
        <v>6.88937569164964j</v>
      </c>
      <c r="H4" t="str">
        <f>IMDIV(_R2,
 IMSUM(_R1,_R2,
 IMPRODUCT(Table3[[#This Row],[s]],_R1,_R2,_C)))</f>
        <v>0.0990477879434297-0.00108613415983072j</v>
      </c>
      <c r="I4">
        <f>20*LOG(IMABS(Table3[[#This Row],[H(s)]]))</f>
        <v>-20.082582185815191</v>
      </c>
      <c r="J4">
        <f>DEGREES(IMARGUMENT(Table3[[#This Row],[H(s)]]))</f>
        <v>-0.62826652101476865</v>
      </c>
      <c r="M4" t="s">
        <v>4</v>
      </c>
      <c r="N4" t="str" cm="1">
        <f t="array" ref="N4">CapPrefix(_C)</f>
        <v>0.039µF</v>
      </c>
    </row>
    <row r="5" spans="1:14" ht="16.5" customHeight="1" x14ac:dyDescent="0.35">
      <c r="A5" s="3" t="s">
        <v>16</v>
      </c>
      <c r="B5" s="9">
        <v>0.1</v>
      </c>
      <c r="E5">
        <v>-1.94</v>
      </c>
      <c r="F5">
        <f>_fc*10^Table3[[#This Row],[Decade]]</f>
        <v>1.1481536214968826</v>
      </c>
      <c r="G5" t="str">
        <f>COMPLEX(0,2*PI()*Table3[[#This Row],[f]],"j")</f>
        <v>7.21406196497424j</v>
      </c>
      <c r="H5" t="str">
        <f>IMDIV(_R2,
 IMSUM(_R1,_R2,
 IMPRODUCT(Table3[[#This Row],[s]],_R1,_R2,_C)))</f>
        <v>0.0990466390120737-0.00113730889309975j</v>
      </c>
      <c r="I5">
        <f>20*LOG(IMABS(Table3[[#This Row],[H(s)]]))</f>
        <v>-20.082632563259487</v>
      </c>
      <c r="J5">
        <f>DEGREES(IMARGUMENT(Table3[[#This Row],[H(s)]]))</f>
        <v>-0.65787326615102382</v>
      </c>
    </row>
    <row r="6" spans="1:14" ht="16.5" customHeight="1" x14ac:dyDescent="0.35">
      <c r="E6">
        <v>-1.92</v>
      </c>
      <c r="F6">
        <f>_fc*10^Table3[[#This Row],[Decade]]</f>
        <v>1.2022644346174125</v>
      </c>
      <c r="G6" t="str">
        <f>COMPLEX(0,2*PI()*Table3[[#This Row],[f]],"j")</f>
        <v>7.5540502309327j</v>
      </c>
      <c r="H6" t="str">
        <f>IMDIV(_R2,
 IMSUM(_R1,_R2,
 IMPRODUCT(Table3[[#This Row],[s]],_R1,_R2,_C)))</f>
        <v>0.0990453792645286-0.00119089346307082j</v>
      </c>
      <c r="I6">
        <f>20*LOG(IMABS(Table3[[#This Row],[H(s)]]))</f>
        <v>-20.082687800357096</v>
      </c>
      <c r="J6">
        <f>DEGREES(IMARGUMENT(Table3[[#This Row],[H(s)]]))</f>
        <v>-0.68887495736925097</v>
      </c>
    </row>
    <row r="7" spans="1:14" ht="16.5" customHeight="1" x14ac:dyDescent="0.35">
      <c r="A7" s="3"/>
      <c r="B7" s="2" t="s">
        <v>14</v>
      </c>
      <c r="E7">
        <v>-1.9</v>
      </c>
      <c r="F7">
        <f>_fc*10^Table3[[#This Row],[Decade]]</f>
        <v>1.2589254117941664</v>
      </c>
      <c r="G7" t="str">
        <f>COMPLEX(0,2*PI()*Table3[[#This Row],[f]],"j")</f>
        <v>7.91006165022012j</v>
      </c>
      <c r="H7" t="str">
        <f>IMDIV(_R2,
 IMSUM(_R1,_R2,
 IMPRODUCT(Table3[[#This Row],[s]],_R1,_R2,_C)))</f>
        <v>0.0990439980156437-0.00124700115242616j</v>
      </c>
      <c r="I7">
        <f>20*LOG(IMABS(Table3[[#This Row],[H(s)]]))</f>
        <v>-20.082748365822752</v>
      </c>
      <c r="J7">
        <f>DEGREES(IMARGUMENT(Table3[[#This Row],[H(s)]]))</f>
        <v>-0.7213372806353765</v>
      </c>
    </row>
    <row r="8" spans="1:14" ht="33" customHeight="1" x14ac:dyDescent="0.35">
      <c r="A8" s="18" t="s">
        <v>18</v>
      </c>
      <c r="B8" s="11">
        <f>1/(2*PI()*_fc*_C)</f>
        <v>40808.95976715265</v>
      </c>
      <c r="C8" s="15" t="s">
        <v>3</v>
      </c>
      <c r="E8">
        <v>-1.88</v>
      </c>
      <c r="F8">
        <f>_fc*10^Table3[[#This Row],[Decade]]</f>
        <v>1.3182567385564075</v>
      </c>
      <c r="G8" t="str">
        <f>COMPLEX(0,2*PI()*Table3[[#This Row],[f]],"j")</f>
        <v>8.2828513707881j</v>
      </c>
      <c r="H8" t="str">
        <f>IMDIV(_R2,
 IMSUM(_R1,_R2,
 IMPRODUCT(Table3[[#This Row],[s]],_R1,_R2,_C)))</f>
        <v>0.0990424835506364-0.00130575053984204j</v>
      </c>
      <c r="I8">
        <f>20*LOG(IMABS(Table3[[#This Row],[H(s)]]))</f>
        <v>-20.082814773564518</v>
      </c>
      <c r="J8">
        <f>DEGREES(IMARGUMENT(Table3[[#This Row],[H(s)]]))</f>
        <v>-0.75532900933283453</v>
      </c>
    </row>
    <row r="9" spans="1:14" ht="37" customHeight="1" x14ac:dyDescent="0.35">
      <c r="A9" s="13" t="s">
        <v>17</v>
      </c>
      <c r="B9" s="11">
        <f>1/α-1</f>
        <v>9</v>
      </c>
      <c r="E9">
        <v>-1.8599999999999999</v>
      </c>
      <c r="F9">
        <f>_fc*10^Table3[[#This Row],[Decade]]</f>
        <v>1.3803842646028848</v>
      </c>
      <c r="G9" t="str">
        <f>COMPLEX(0,2*PI()*Table3[[#This Row],[f]],"j")</f>
        <v>8.67321012961474j</v>
      </c>
      <c r="H9" t="str">
        <f>IMDIV(_R2,
 IMSUM(_R1,_R2,
 IMPRODUCT(Table3[[#This Row],[s]],_R1,_R2,_C)))</f>
        <v>0.0990408230260092-0.00136726574323859j</v>
      </c>
      <c r="I9">
        <f>20*LOG(IMABS(Table3[[#This Row],[H(s)]]))</f>
        <v>-20.082887587038314</v>
      </c>
      <c r="J9">
        <f>DEGREES(IMARGUMENT(Table3[[#This Row],[H(s)]]))</f>
        <v>-0.79092214854402809</v>
      </c>
    </row>
    <row r="10" spans="1:14" ht="36.5" customHeight="1" x14ac:dyDescent="0.35">
      <c r="A10" s="13" t="s">
        <v>12</v>
      </c>
      <c r="B10" s="16" cm="1">
        <f t="array" ref="B10">eseries((((σ+1)*Rth)+SQRT(((σ+1)*Rth)^2))/(2*σ))</f>
        <v>45300</v>
      </c>
      <c r="C10" s="12" t="s">
        <v>3</v>
      </c>
      <c r="E10">
        <v>-1.84</v>
      </c>
      <c r="F10">
        <f>_fc*10^Table3[[#This Row],[Decade]]</f>
        <v>1.4454397707459272</v>
      </c>
      <c r="G10" t="str">
        <f>COMPLEX(0,2*PI()*Table3[[#This Row],[f]],"j")</f>
        <v>9.08196592996384j</v>
      </c>
      <c r="H10" t="str">
        <f>IMDIV(_R2,
 IMSUM(_R1,_R2,
 IMPRODUCT(Table3[[#This Row],[s]],_R1,_R2,_C)))</f>
        <v>0.0990390023609571-0.00143167667355571j</v>
      </c>
      <c r="I10">
        <f>20*LOG(IMABS(Table3[[#This Row],[H(s)]]))</f>
        <v>-20.082967424021611</v>
      </c>
      <c r="J10">
        <f>DEGREES(IMARGUMENT(Table3[[#This Row],[H(s)]]))</f>
        <v>-0.82819208595049287</v>
      </c>
    </row>
    <row r="11" spans="1:14" ht="16.5" customHeight="1" x14ac:dyDescent="0.35">
      <c r="A11" s="14" t="s">
        <v>11</v>
      </c>
      <c r="B11" s="17" cm="1">
        <f t="array" ref="B11">eseries(_R2*9)</f>
        <v>412000</v>
      </c>
      <c r="C11" s="6" t="s">
        <v>3</v>
      </c>
      <c r="E11">
        <v>-1.82</v>
      </c>
      <c r="F11">
        <f>_fc*10^Table3[[#This Row],[Decade]]</f>
        <v>1.5135612484362075</v>
      </c>
      <c r="G11" t="str">
        <f>COMPLEX(0,2*PI()*Table3[[#This Row],[f]],"j")</f>
        <v>9.50998579769077j</v>
      </c>
      <c r="H11" t="str">
        <f>IMDIV(_R2,
 IMSUM(_R1,_R2,
 IMPRODUCT(Table3[[#This Row],[s]],_R1,_R2,_C)))</f>
        <v>0.0990370061183607-0.0014991192994124j</v>
      </c>
      <c r="I11">
        <f>20*LOG(IMABS(Table3[[#This Row],[H(s)]]))</f>
        <v>-20.083054961846191</v>
      </c>
      <c r="J11">
        <f>DEGREES(IMARGUMENT(Table3[[#This Row],[H(s)]]))</f>
        <v>-0.86721774963676479</v>
      </c>
    </row>
    <row r="12" spans="1:14" ht="16.5" customHeight="1" x14ac:dyDescent="0.35">
      <c r="A12" s="3"/>
      <c r="C12" s="5"/>
      <c r="E12">
        <v>-1.8</v>
      </c>
      <c r="F12">
        <f>_fc*10^Table3[[#This Row],[Decade]]</f>
        <v>1.5848931924611125</v>
      </c>
      <c r="G12" t="str">
        <f>COMPLEX(0,2*PI()*Table3[[#This Row],[f]],"j")</f>
        <v>9.95817762032061j</v>
      </c>
      <c r="H12" t="str">
        <f>IMDIV(_R2,
 IMSUM(_R1,_R2,
 IMPRODUCT(Table3[[#This Row],[s]],_R1,_R2,_C)))</f>
        <v>0.0990348173743708-0.00156973592300362j</v>
      </c>
      <c r="I12">
        <f>20*LOG(IMABS(Table3[[#This Row],[H(s)]]))</f>
        <v>-20.083150943134228</v>
      </c>
      <c r="J12">
        <f>DEGREES(IMARGUMENT(Table3[[#This Row],[H(s)]]))</f>
        <v>-0.90808177309267357</v>
      </c>
    </row>
    <row r="13" spans="1:14" ht="16.5" customHeight="1" x14ac:dyDescent="0.35">
      <c r="A13" s="3"/>
      <c r="C13" s="6"/>
      <c r="E13">
        <v>-1.78</v>
      </c>
      <c r="F13">
        <f>_fc*10^Table3[[#This Row],[Decade]]</f>
        <v>1.6595869074375591</v>
      </c>
      <c r="G13" t="str">
        <f>COMPLEX(0,2*PI()*Table3[[#This Row],[f]],"j")</f>
        <v>10.4274920727993j</v>
      </c>
      <c r="H13" t="str">
        <f>IMDIV(_R2,
 IMSUM(_R1,_R2,
 IMPRODUCT(Table3[[#This Row],[s]],_R1,_R2,_C)))</f>
        <v>0.0990324175755006-0.00164367546758188j</v>
      </c>
      <c r="I13">
        <f>20*LOG(IMABS(Table3[[#This Row],[H(s)]]))</f>
        <v>-20.083256182085773</v>
      </c>
      <c r="J13">
        <f>DEGREES(IMARGUMENT(Table3[[#This Row],[H(s)]]))</f>
        <v>-0.95087066771799178</v>
      </c>
    </row>
    <row r="14" spans="1:14" ht="16.5" customHeight="1" x14ac:dyDescent="0.35">
      <c r="A14" s="3"/>
      <c r="C14" s="6"/>
      <c r="E14">
        <v>-1.76</v>
      </c>
      <c r="F14">
        <f>_fc*10^Table3[[#This Row],[Decade]]</f>
        <v>1.7378008287493756</v>
      </c>
      <c r="G14" t="str">
        <f>COMPLEX(0,2*PI()*Table3[[#This Row],[f]],"j")</f>
        <v>10.9189246340026j</v>
      </c>
      <c r="H14" t="str">
        <f>IMDIV(_R2,
 IMSUM(_R1,_R2,
 IMPRODUCT(Table3[[#This Row],[s]],_R1,_R2,_C)))</f>
        <v>0.0990297863820364-0.00172109377686018j</v>
      </c>
      <c r="I14">
        <f>20*LOG(IMABS(Table3[[#This Row],[H(s)]]))</f>
        <v>-20.08337157137051</v>
      </c>
      <c r="J14">
        <f>DEGREES(IMARGUMENT(Table3[[#This Row],[H(s)]]))</f>
        <v>-0.99567500314246182</v>
      </c>
    </row>
    <row r="15" spans="1:14" ht="16.5" customHeight="1" x14ac:dyDescent="0.35">
      <c r="A15" s="3"/>
      <c r="C15" s="6"/>
      <c r="E15">
        <v>-1.74</v>
      </c>
      <c r="F15">
        <f>_fc*10^Table3[[#This Row],[Decade]]</f>
        <v>1.819700858609983</v>
      </c>
      <c r="G15" t="str">
        <f>COMPLEX(0,2*PI()*Table3[[#This Row],[f]],"j")</f>
        <v>11.4335176982803j</v>
      </c>
      <c r="H15" t="str">
        <f>IMDIV(_R2,
 IMSUM(_R1,_R2,
 IMPRODUCT(Table3[[#This Row],[s]],_R1,_R2,_C)))</f>
        <v>0.0990269014964693-0.0018021539266584j</v>
      </c>
      <c r="I15">
        <f>20*LOG(IMABS(Table3[[#This Row],[H(s)]]))</f>
        <v>-20.08349808968163</v>
      </c>
      <c r="J15">
        <f>DEGREES(IMARGUMENT(Table3[[#This Row],[H(s)]]))</f>
        <v>-1.0425895956832039</v>
      </c>
    </row>
    <row r="16" spans="1:14" ht="16.5" customHeight="1" x14ac:dyDescent="0.35">
      <c r="A16" s="3"/>
      <c r="C16" s="6"/>
      <c r="E16">
        <v>-1.72</v>
      </c>
      <c r="F16">
        <f>_fc*10^Table3[[#This Row],[Decade]]</f>
        <v>1.9054607179632463</v>
      </c>
      <c r="G16" t="str">
        <f>COMPLEX(0,2*PI()*Table3[[#This Row],[f]],"j")</f>
        <v>11.9723627865145j</v>
      </c>
      <c r="H16" t="str">
        <f>IMDIV(_R2,
 IMSUM(_R1,_R2,
 IMPRODUCT(Table3[[#This Row],[s]],_R1,_R2,_C)))</f>
        <v>0.0990237384755292-0.00188702654909472j</v>
      </c>
      <c r="I16">
        <f>20*LOG(IMABS(Table3[[#This Row],[H(s)]]))</f>
        <v>-20.083636810015047</v>
      </c>
      <c r="J16">
        <f>DEGREES(IMARGUMENT(Table3[[#This Row],[H(s)]]))</f>
        <v>-1.0917137052695935</v>
      </c>
    </row>
    <row r="17" spans="1:10" ht="16.5" customHeight="1" x14ac:dyDescent="0.35">
      <c r="A17" s="3"/>
      <c r="C17" s="6"/>
      <c r="E17">
        <v>-1.7</v>
      </c>
      <c r="F17">
        <f>_fc*10^Table3[[#This Row],[Decade]]</f>
        <v>1.9952623149688793</v>
      </c>
      <c r="G17" t="str">
        <f>COMPLEX(0,2*PI()*Table3[[#This Row],[f]],"j")</f>
        <v>12.5366028613816j</v>
      </c>
      <c r="H17" t="str">
        <f>IMDIV(_R2,
 IMSUM(_R1,_R2,
 IMPRODUCT(Table3[[#This Row],[s]],_R1,_R2,_C)))</f>
        <v>0.0990202705242685-0.0019758901695975j</v>
      </c>
      <c r="I17">
        <f>20*LOG(IMABS(Table3[[#This Row],[H(s)]]))</f>
        <v>-20.083788908743387</v>
      </c>
      <c r="J17">
        <f>DEGREES(IMARGUMENT(Table3[[#This Row],[H(s)]]))</f>
        <v>-1.1431512411734523</v>
      </c>
    </row>
    <row r="18" spans="1:10" ht="16.5" customHeight="1" x14ac:dyDescent="0.35">
      <c r="A18" s="3"/>
      <c r="C18" s="6"/>
      <c r="E18">
        <v>-1.68</v>
      </c>
      <c r="F18">
        <f>_fc*10^Table3[[#This Row],[Decade]]</f>
        <v>2.0892961308540388</v>
      </c>
      <c r="G18" t="str">
        <f>COMPLEX(0,2*PI()*Table3[[#This Row],[f]],"j")</f>
        <v>13.1274347517293j</v>
      </c>
      <c r="H18" t="str">
        <f>IMDIV(_R2,
 IMSUM(_R1,_R2,
 IMPRODUCT(Table3[[#This Row],[s]],_R1,_R2,_C)))</f>
        <v>0.0990164682705034-0.00206893155698009j</v>
      </c>
      <c r="I18">
        <f>20*LOG(IMABS(Table3[[#This Row],[H(s)]]))</f>
        <v>-20.083955675560414</v>
      </c>
      <c r="J18">
        <f>DEGREES(IMARGUMENT(Table3[[#This Row],[H(s)]]))</f>
        <v>-1.197010976889499</v>
      </c>
    </row>
    <row r="19" spans="1:10" ht="16.5" customHeight="1" x14ac:dyDescent="0.35">
      <c r="E19">
        <v>-1.66</v>
      </c>
      <c r="F19">
        <f>_fc*10^Table3[[#This Row],[Decade]]</f>
        <v>2.1877616239495525</v>
      </c>
      <c r="G19" t="str">
        <f>COMPLEX(0,2*PI()*Table3[[#This Row],[f]],"j")</f>
        <v>13.7461116912112j</v>
      </c>
      <c r="H19" t="str">
        <f>IMDIV(_R2,
 IMSUM(_R1,_R2,
 IMPRODUCT(Table3[[#This Row],[s]],_R1,_R2,_C)))</f>
        <v>0.09901229951776-0.00216634608677879j</v>
      </c>
      <c r="I19">
        <f>20*LOG(IMABS(Table3[[#This Row],[H(s)]]))</f>
        <v>-20.084138524379135</v>
      </c>
      <c r="J19">
        <f>DEGREES(IMARGUMENT(Table3[[#This Row],[H(s)]]))</f>
        <v>-1.2534067745166317</v>
      </c>
    </row>
    <row r="20" spans="1:10" ht="16.5" customHeight="1" x14ac:dyDescent="0.35">
      <c r="A20" s="6"/>
      <c r="E20">
        <v>-1.6400000000000001</v>
      </c>
      <c r="F20">
        <f>_fc*10^Table3[[#This Row],[Decade]]</f>
        <v>2.2908676527677709</v>
      </c>
      <c r="G20" t="str">
        <f>COMPLEX(0,2*PI()*Table3[[#This Row],[f]],"j")</f>
        <v>14.3939459765634j</v>
      </c>
      <c r="H20" t="str">
        <f>IMDIV(_R2,
 IMSUM(_R1,_R2,
 IMPRODUCT(Table3[[#This Row],[s]],_R1,_R2,_C)))</f>
        <v>0.0990077289747082-0.00226833811800331j</v>
      </c>
      <c r="I20">
        <f>20*LOG(IMABS(Table3[[#This Row],[H(s)]]))</f>
        <v>-20.084339005274142</v>
      </c>
      <c r="J20">
        <f>DEGREES(IMARGUMENT(Table3[[#This Row],[H(s)]]))</f>
        <v>-1.3124578189955305</v>
      </c>
    </row>
    <row r="21" spans="1:10" ht="16.5" customHeight="1" x14ac:dyDescent="0.35">
      <c r="A21" s="6"/>
      <c r="E21">
        <v>-1.62</v>
      </c>
      <c r="F21">
        <f>_fc*10^Table3[[#This Row],[Decade]]</f>
        <v>2.3988329190194895</v>
      </c>
      <c r="G21" t="str">
        <f>COMPLEX(0,2*PI()*Table3[[#This Row],[f]],"j")</f>
        <v>15.072311751162j</v>
      </c>
      <c r="H21" t="str">
        <f>IMDIV(_R2,
 IMSUM(_R1,_R2,
 IMPRODUCT(Table3[[#This Row],[s]],_R1,_R2,_C)))</f>
        <v>0.0990027179588774-0.00237512138338616j</v>
      </c>
      <c r="I21">
        <f>20*LOG(IMABS(Table3[[#This Row],[H(s)]]))</f>
        <v>-20.084558817567704</v>
      </c>
      <c r="J21">
        <f>DEGREES(IMARGUMENT(Table3[[#This Row],[H(s)]]))</f>
        <v>-1.3742888625610872</v>
      </c>
    </row>
    <row r="22" spans="1:10" ht="16.5" customHeight="1" x14ac:dyDescent="0.35">
      <c r="E22">
        <v>-1.6</v>
      </c>
      <c r="F22">
        <f>_fc*10^Table3[[#This Row],[Decade]]</f>
        <v>2.5118864315095779</v>
      </c>
      <c r="G22" t="str">
        <f>COMPLEX(0,2*PI()*Table3[[#This Row],[f]],"j")</f>
        <v>15.7826479197647j</v>
      </c>
      <c r="H22" t="str">
        <f>IMDIV(_R2,
 IMSUM(_R1,_R2,
 IMPRODUCT(Table3[[#This Row],[s]],_R1,_R2,_C)))</f>
        <v>0.0989972240722518-0.00248691939314185j</v>
      </c>
      <c r="I22">
        <f>20*LOG(IMABS(Table3[[#This Row],[H(s)]]))</f>
        <v>-20.084799824168194</v>
      </c>
      <c r="J22">
        <f>DEGREES(IMARGUMENT(Table3[[#This Row],[H(s)]]))</f>
        <v>-1.4390304797695421</v>
      </c>
    </row>
    <row r="23" spans="1:10" ht="16.5" customHeight="1" x14ac:dyDescent="0.35">
      <c r="A23" s="3"/>
      <c r="E23">
        <v>-1.58</v>
      </c>
      <c r="F23">
        <f>_fc*10^Table3[[#This Row],[Decade]]</f>
        <v>2.6302679918953804</v>
      </c>
      <c r="G23" t="str">
        <f>COMPLEX(0,2*PI()*Table3[[#This Row],[f]],"j")</f>
        <v>16.5264612006218j</v>
      </c>
      <c r="H23" t="str">
        <f>IMDIV(_R2,
 IMSUM(_R1,_R2,
 IMPRODUCT(Table3[[#This Row],[s]],_R1,_R2,_C)))</f>
        <v>0.0989912008461257-0.00260396585215622j</v>
      </c>
      <c r="I23">
        <f>20*LOG(IMABS(Table3[[#This Row],[H(s)]]))</f>
        <v>-20.08506406727955</v>
      </c>
      <c r="J23">
        <f>DEGREES(IMARGUMENT(Table3[[#This Row],[H(s)]]))</f>
        <v>-1.5068193334594295</v>
      </c>
    </row>
    <row r="24" spans="1:10" ht="16.5" customHeight="1" x14ac:dyDescent="0.35">
      <c r="A24" s="3"/>
      <c r="E24">
        <v>-1.56</v>
      </c>
      <c r="F24">
        <f>_fc*10^Table3[[#This Row],[Decade]]</f>
        <v>2.7542287033381645</v>
      </c>
      <c r="G24" t="str">
        <f>COMPLEX(0,2*PI()*Table3[[#This Row],[f]],"j")</f>
        <v>17.3053293214266j</v>
      </c>
      <c r="H24" t="str">
        <f>IMDIV(_R2,
 IMSUM(_R1,_R2,
 IMPRODUCT(Table3[[#This Row],[s]],_R1,_R2,_C)))</f>
        <v>0.0989845973523661-0.00272650509041759j</v>
      </c>
      <c r="I24">
        <f>20*LOG(IMABS(Table3[[#This Row],[H(s)]]))</f>
        <v>-20.085353785611613</v>
      </c>
      <c r="J24">
        <f>DEGREES(IMARGUMENT(Table3[[#This Row],[H(s)]]))</f>
        <v>-1.5777984520016404</v>
      </c>
    </row>
    <row r="25" spans="1:10" ht="16.5" customHeight="1" x14ac:dyDescent="0.35">
      <c r="A25" s="3"/>
      <c r="E25">
        <v>-1.54</v>
      </c>
      <c r="F25">
        <f>_fc*10^Table3[[#This Row],[Decade]]</f>
        <v>2.8840315031266046</v>
      </c>
      <c r="G25" t="str">
        <f>COMPLEX(0,2*PI()*Table3[[#This Row],[f]],"j")</f>
        <v>18.1209043658881j</v>
      </c>
      <c r="H25" t="str">
        <f>IMDIV(_R2,
 IMSUM(_R1,_R2,
 IMPRODUCT(Table3[[#This Row],[s]],_R1,_R2,_C)))</f>
        <v>0.0989773577779741-0.00285479250637378j</v>
      </c>
      <c r="I25">
        <f>20*LOG(IMABS(Table3[[#This Row],[H(s)]]))</f>
        <v>-20.085671433233259</v>
      </c>
      <c r="J25">
        <f>DEGREES(IMARGUMENT(Table3[[#This Row],[H(s)]]))</f>
        <v>-1.6521175181876722</v>
      </c>
    </row>
    <row r="26" spans="1:10" ht="16.5" customHeight="1" x14ac:dyDescent="0.35">
      <c r="A26" s="3"/>
      <c r="E26">
        <v>-1.52</v>
      </c>
      <c r="F26">
        <f>_fc*10^Table3[[#This Row],[Decade]]</f>
        <v>3.0199517204020148</v>
      </c>
      <c r="G26" t="str">
        <f>COMPLEX(0,2*PI()*Table3[[#This Row],[f]],"j")</f>
        <v>18.9749162780217j</v>
      </c>
      <c r="H26" t="str">
        <f>IMDIV(_R2,
 IMSUM(_R1,_R2,
 IMPRODUCT(Table3[[#This Row],[s]],_R1,_R2,_C)))</f>
        <v>0.0989694209595695-0.00298909502274663j</v>
      </c>
      <c r="I26">
        <f>20*LOG(IMABS(Table3[[#This Row],[H(s)]]))</f>
        <v>-20.086019700223083</v>
      </c>
      <c r="J26">
        <f>DEGREES(IMARGUMENT(Table3[[#This Row],[H(s)]]))</f>
        <v>-1.7299331700941261</v>
      </c>
    </row>
    <row r="27" spans="1:10" ht="16.5" customHeight="1" x14ac:dyDescent="0.35">
      <c r="A27" s="3"/>
      <c r="E27">
        <v>-1.5</v>
      </c>
      <c r="F27">
        <f>_fc*10^Table3[[#This Row],[Decade]]</f>
        <v>3.1622776601683786</v>
      </c>
      <c r="G27" t="str">
        <f>COMPLEX(0,2*PI()*Table3[[#This Row],[f]],"j")</f>
        <v>19.8691765315922j</v>
      </c>
      <c r="H27" t="str">
        <f>IMDIV(_R2,
 IMSUM(_R1,_R2,
 IMPRODUCT(Table3[[#This Row],[s]],_R1,_R2,_C)))</f>
        <v>0.0989607198741238-0.00312969155415869j</v>
      </c>
      <c r="I27">
        <f>20*LOG(IMABS(Table3[[#This Row],[H(s)]]))</f>
        <v>-20.086401535286921</v>
      </c>
      <c r="J27">
        <f>DEGREES(IMARGUMENT(Table3[[#This Row],[H(s)]]))</f>
        <v>-1.8114093142475141</v>
      </c>
    </row>
    <row r="28" spans="1:10" ht="16.5" customHeight="1" x14ac:dyDescent="0.35">
      <c r="A28" s="3"/>
      <c r="E28">
        <v>-1.48</v>
      </c>
      <c r="F28">
        <f>_fc*10^Table3[[#This Row],[Decade]]</f>
        <v>3.3113112148259107</v>
      </c>
      <c r="G28" t="str">
        <f>COMPLEX(0,2*PI()*Table3[[#This Row],[f]],"j")</f>
        <v>20.8055819724931j</v>
      </c>
      <c r="H28" t="str">
        <f>IMDIV(_R2,
 IMSUM(_R1,_R2,
 IMPRODUCT(Table3[[#This Row],[s]],_R1,_R2,_C)))</f>
        <v>0.0989511810819552-0.00327687348571684j</v>
      </c>
      <c r="I28">
        <f>20*LOG(IMABS(Table3[[#This Row],[H(s)]]))</f>
        <v>-20.08682017052675</v>
      </c>
      <c r="J28">
        <f>DEGREES(IMARGUMENT(Table3[[#This Row],[H(s)]]))</f>
        <v>-1.8967174513928187</v>
      </c>
    </row>
    <row r="29" spans="1:10" ht="16.5" customHeight="1" x14ac:dyDescent="0.35">
      <c r="D29">
        <f>10^(-20/20)</f>
        <v>0.1</v>
      </c>
      <c r="E29">
        <v>-1.46</v>
      </c>
      <c r="F29">
        <f>_fc*10^Table3[[#This Row],[Decade]]</f>
        <v>3.4673685045253158</v>
      </c>
      <c r="G29" t="str">
        <f>COMPLEX(0,2*PI()*Table3[[#This Row],[f]],"j")</f>
        <v>21.7861188422107j</v>
      </c>
      <c r="H29" t="str">
        <f>IMDIV(_R2,
 IMSUM(_R1,_R2,
 IMPRODUCT(Table3[[#This Row],[s]],_R1,_R2,_C)))</f>
        <v>0.09894072411766-0.00343094516145421j</v>
      </c>
      <c r="I29">
        <f>20*LOG(IMABS(Table3[[#This Row],[H(s)]]))</f>
        <v>-20.08727914856231</v>
      </c>
      <c r="J29">
        <f>DEGREES(IMARGUMENT(Table3[[#This Row],[H(s)]]))</f>
        <v>-1.9860370151436462</v>
      </c>
    </row>
    <row r="30" spans="1:10" ht="16.5" customHeight="1" x14ac:dyDescent="0.35">
      <c r="E30">
        <v>-1.44</v>
      </c>
      <c r="F30">
        <f>_fc*10^Table3[[#This Row],[Decade]]</f>
        <v>3.6307805477010131</v>
      </c>
      <c r="G30" t="str">
        <f>COMPLEX(0,2*PI()*Table3[[#This Row],[f]],"j")</f>
        <v>22.8128669909085j</v>
      </c>
      <c r="H30" t="str">
        <f>IMDIV(_R2,
 IMSUM(_R1,_R2,
 IMPRODUCT(Table3[[#This Row],[s]],_R1,_R2,_C)))</f>
        <v>0.0989292608242924-0.00359222438124784j</v>
      </c>
      <c r="I30">
        <f>20*LOG(IMABS(Table3[[#This Row],[H(s)]]))</f>
        <v>-20.087782352225165</v>
      </c>
      <c r="J30">
        <f>DEGREES(IMARGUMENT(Table3[[#This Row],[H(s)]]))</f>
        <v>-2.0795557237590305</v>
      </c>
    </row>
    <row r="31" spans="1:10" ht="16.5" customHeight="1" x14ac:dyDescent="0.35">
      <c r="B31" s="7"/>
      <c r="E31">
        <v>-1.42</v>
      </c>
      <c r="F31">
        <f>_fc*10^Table3[[#This Row],[Decade]]</f>
        <v>3.801893963205611</v>
      </c>
      <c r="G31" t="str">
        <f>COMPLEX(0,2*PI()*Table3[[#This Row],[f]],"j")</f>
        <v>23.8880042890683j</v>
      </c>
      <c r="H31" t="str">
        <f>IMDIV(_R2,
 IMSUM(_R1,_R2,
 IMPRODUCT(Table3[[#This Row],[s]],_R1,_R2,_C)))</f>
        <v>0.0989166946257223-0.00376104290449844j</v>
      </c>
      <c r="I31">
        <f>20*LOG(IMABS(Table3[[#This Row],[H(s)]]))</f>
        <v>-20.08833403706425</v>
      </c>
      <c r="J31">
        <f>DEGREES(IMARGUMENT(Table3[[#This Row],[H(s)]]))</f>
        <v>-2.1774699452503214</v>
      </c>
    </row>
    <row r="32" spans="1:10" ht="16.5" customHeight="1" x14ac:dyDescent="0.35">
      <c r="B32" s="7"/>
      <c r="E32">
        <v>-1.4</v>
      </c>
      <c r="F32">
        <f>_fc*10^Table3[[#This Row],[Decade]]</f>
        <v>3.9810717055349727</v>
      </c>
      <c r="G32" t="str">
        <f>COMPLEX(0,2*PI()*Table3[[#This Row],[f]],"j")</f>
        <v>25.0138112470457j</v>
      </c>
      <c r="H32" t="str">
        <f>IMDIV(_R2,
 IMSUM(_R1,_R2,
 IMPRODUCT(Table3[[#This Row],[s]],_R1,_R2,_C)))</f>
        <v>0.0989029197316879-0.00393774695847667j</v>
      </c>
      <c r="I32">
        <f>20*LOG(IMABS(Table3[[#This Row],[H(s)]]))</f>
        <v>-20.088938866923719</v>
      </c>
      <c r="J32">
        <f>DEGREES(IMARGUMENT(Table3[[#This Row],[H(s)]]))</f>
        <v>-2.2799850759715805</v>
      </c>
    </row>
    <row r="33" spans="1:10" ht="16.5" customHeight="1" x14ac:dyDescent="0.35">
      <c r="B33" s="7"/>
      <c r="E33">
        <v>-1.38</v>
      </c>
      <c r="F33">
        <f>_fc*10^Table3[[#This Row],[Decade]]</f>
        <v>4.1686938347033538</v>
      </c>
      <c r="G33" t="str">
        <f>COMPLEX(0,2*PI()*Table3[[#This Row],[f]],"j")</f>
        <v>26.1926758523382j</v>
      </c>
      <c r="H33" t="str">
        <f>IMDIV(_R2,
 IMSUM(_R1,_R2,
 IMPRODUCT(Table3[[#This Row],[s]],_R1,_R2,_C)))</f>
        <v>0.0988878202696325-0.00412269774879643j</v>
      </c>
      <c r="I33">
        <f>20*LOG(IMABS(Table3[[#This Row],[H(s)]]))</f>
        <v>-20.089601952876382</v>
      </c>
      <c r="J33">
        <f>DEGREES(IMARGUMENT(Table3[[#This Row],[H(s)]]))</f>
        <v>-2.3873159327846749</v>
      </c>
    </row>
    <row r="34" spans="1:10" ht="16.5" customHeight="1" x14ac:dyDescent="0.35">
      <c r="B34" s="7"/>
      <c r="E34">
        <v>-1.3599999999999999</v>
      </c>
      <c r="F34">
        <f>_fc*10^Table3[[#This Row],[Decade]]</f>
        <v>4.3651583224016601</v>
      </c>
      <c r="G34" t="str">
        <f>COMPLEX(0,2*PI()*Table3[[#This Row],[f]],"j")</f>
        <v>27.4270986348268j</v>
      </c>
      <c r="H34" t="str">
        <f>IMDIV(_R2,
 IMSUM(_R1,_R2,
 IMPRODUCT(Table3[[#This Row],[s]],_R1,_R2,_C)))</f>
        <v>0.0988712693369536-0.00431627196896528j</v>
      </c>
      <c r="I34">
        <f>20*LOG(IMABS(Table3[[#This Row],[H(s)]]))</f>
        <v>-20.090328895821344</v>
      </c>
      <c r="J34">
        <f>DEGREES(IMARGUMENT(Table3[[#This Row],[H(s)]]))</f>
        <v>-2.4996871588166627</v>
      </c>
    </row>
    <row r="35" spans="1:10" ht="16.5" customHeight="1" x14ac:dyDescent="0.35">
      <c r="B35" s="7"/>
      <c r="E35">
        <v>-1.3399999999999999</v>
      </c>
      <c r="F35">
        <f>_fc*10^Table3[[#This Row],[Decade]]</f>
        <v>4.5708818961487498</v>
      </c>
      <c r="G35" t="str">
        <f>COMPLEX(0,2*PI()*Table3[[#This Row],[f]],"j")</f>
        <v>28.719697970735j</v>
      </c>
      <c r="H35" t="str">
        <f>IMDIV(_R2,
 IMSUM(_R1,_R2,
 IMPRODUCT(Table3[[#This Row],[s]],_R1,_R2,_C)))</f>
        <v>0.098853127966822-0.00451886230537236j</v>
      </c>
      <c r="I35">
        <f>20*LOG(IMABS(Table3[[#This Row],[H(s)]]))</f>
        <v>-20.091125833080667</v>
      </c>
      <c r="J35">
        <f>DEGREES(IMARGUMENT(Table3[[#This Row],[H(s)]]))</f>
        <v>-2.6173336427376177</v>
      </c>
    </row>
    <row r="36" spans="1:10" ht="16.5" customHeight="1" x14ac:dyDescent="0.35">
      <c r="E36">
        <v>-1.3199999999999998</v>
      </c>
      <c r="F36">
        <f>_fc*10^Table3[[#This Row],[Decade]]</f>
        <v>4.786300923226384</v>
      </c>
      <c r="G36" t="str">
        <f>COMPLEX(0,2*PI()*Table3[[#This Row],[f]],"j")</f>
        <v>30.0732156365561j</v>
      </c>
      <c r="H36" t="str">
        <f>IMDIV(_R2,
 IMSUM(_R1,_R2,
 IMPRODUCT(Table3[[#This Row],[s]],_R1,_R2,_C)))</f>
        <v>0.098833244000229-0.00473087793339692j</v>
      </c>
      <c r="I36">
        <f>20*LOG(IMABS(Table3[[#This Row],[H(s)]]))</f>
        <v>-20.091999489358834</v>
      </c>
      <c r="J36">
        <f>DEGREES(IMARGUMENT(Table3[[#This Row],[H(s)]]))</f>
        <v>-2.7405009513814966</v>
      </c>
    </row>
    <row r="37" spans="1:10" ht="16.5" customHeight="1" x14ac:dyDescent="0.35">
      <c r="E37">
        <v>-1.2999999999999998</v>
      </c>
      <c r="F37">
        <f>_fc*10^Table3[[#This Row],[Decade]]</f>
        <v>5.0118723362727229</v>
      </c>
      <c r="G37" t="str">
        <f>COMPLEX(0,2*PI()*Table3[[#This Row],[f]],"j")</f>
        <v>31.4905226247286j</v>
      </c>
      <c r="H37" t="str">
        <f>IMDIV(_R2,
 IMSUM(_R1,_R2,
 IMPRODUCT(Table3[[#This Row],[s]],_R1,_R2,_C)))</f>
        <v>0.0988114508564111-0.00495274499954345j</v>
      </c>
      <c r="I37">
        <f>20*LOG(IMABS(Table3[[#This Row],[H(s)]]))</f>
        <v>-20.092957232459266</v>
      </c>
      <c r="J37">
        <f>DEGREES(IMARGUMENT(Table3[[#This Row],[H(s)]]))</f>
        <v>-2.8694457754076201</v>
      </c>
    </row>
    <row r="38" spans="1:10" ht="16.5" customHeight="1" x14ac:dyDescent="0.35">
      <c r="E38">
        <v>-1.28</v>
      </c>
      <c r="F38">
        <f>_fc*10^Table3[[#This Row],[Decade]]</f>
        <v>5.2480746024977245</v>
      </c>
      <c r="G38" t="str">
        <f>COMPLEX(0,2*PI()*Table3[[#This Row],[f]],"j")</f>
        <v>32.974625233396j</v>
      </c>
      <c r="H38" t="str">
        <f>IMDIV(_R2,
 IMSUM(_R1,_R2,
 IMPRODUCT(Table3[[#This Row],[s]],_R1,_R2,_C)))</f>
        <v>0.0987875661932795-0.00518490708361845j</v>
      </c>
      <c r="I38">
        <f>20*LOG(IMABS(Table3[[#This Row],[H(s)]]))</f>
        <v>-20.094007134185048</v>
      </c>
      <c r="J38">
        <f>DEGREES(IMARGUMENT(Table3[[#This Row],[H(s)]]))</f>
        <v>-3.004436387552873</v>
      </c>
    </row>
    <row r="39" spans="1:10" ht="16.5" customHeight="1" x14ac:dyDescent="0.35">
      <c r="E39">
        <v>-1.26</v>
      </c>
      <c r="F39">
        <f>_fc*10^Table3[[#This Row],[Decade]]</f>
        <v>5.4954087385762431</v>
      </c>
      <c r="G39" t="str">
        <f>COMPLEX(0,2*PI()*Table3[[#This Row],[f]],"j")</f>
        <v>34.5286714431686j</v>
      </c>
      <c r="H39" t="str">
        <f>IMDIV(_R2,
 IMSUM(_R1,_R2,
 IMPRODUCT(Table3[[#This Row],[s]],_R1,_R2,_C)))</f>
        <v>0.0987613904489568-0.00542782563394634j</v>
      </c>
      <c r="I39">
        <f>20*LOG(IMABS(Table3[[#This Row],[H(s)]]))</f>
        <v>-20.095158036885707</v>
      </c>
      <c r="J39">
        <f>DEGREES(IMARGUMENT(Table3[[#This Row],[H(s)]]))</f>
        <v>-3.1457531128522898</v>
      </c>
    </row>
    <row r="40" spans="1:10" ht="16.5" customHeight="1" x14ac:dyDescent="0.35">
      <c r="E40">
        <v>-1.24</v>
      </c>
      <c r="F40">
        <f>_fc*10^Table3[[#This Row],[Decade]]</f>
        <v>5.7543993733715686</v>
      </c>
      <c r="G40" t="str">
        <f>COMPLEX(0,2*PI()*Table3[[#This Row],[f]],"j")</f>
        <v>36.1559575944117j</v>
      </c>
      <c r="H40" t="str">
        <f>IMDIV(_R2,
 IMSUM(_R1,_R2,
 IMPRODUCT(Table3[[#This Row],[s]],_R1,_R2,_C)))</f>
        <v>0.0987327052549992-0.00568198036745957j</v>
      </c>
      <c r="I40">
        <f>20*LOG(IMABS(Table3[[#This Row],[H(s)]]))</f>
        <v>-20.096419626149054</v>
      </c>
      <c r="J40">
        <f>DEGREES(IMARGUMENT(Table3[[#This Row],[H(s)]]))</f>
        <v>-3.2936888100037347</v>
      </c>
    </row>
    <row r="41" spans="1:10" ht="16.5" customHeight="1" x14ac:dyDescent="0.35">
      <c r="E41">
        <v>-1.22</v>
      </c>
      <c r="F41">
        <f>_fc*10^Table3[[#This Row],[Decade]]</f>
        <v>6.0255958607435742</v>
      </c>
      <c r="G41" t="str">
        <f>COMPLEX(0,2*PI()*Table3[[#This Row],[f]],"j")</f>
        <v>37.8599353792262j</v>
      </c>
      <c r="H41" t="str">
        <f>IMDIV(_R2,
 IMSUM(_R1,_R2,
 IMPRODUCT(Table3[[#This Row],[s]],_R1,_R2,_C)))</f>
        <v>0.0987012717113782-0.00594786962517588j</v>
      </c>
      <c r="I41">
        <f>20*LOG(IMABS(Table3[[#This Row],[H(s)]]))</f>
        <v>-20.097802510176045</v>
      </c>
      <c r="J41">
        <f>DEGREES(IMARGUMENT(Table3[[#This Row],[H(s)]]))</f>
        <v>-3.4485493628179982</v>
      </c>
    </row>
    <row r="42" spans="1:10" ht="16.5" customHeight="1" x14ac:dyDescent="0.35">
      <c r="E42">
        <v>-1.2</v>
      </c>
      <c r="F42">
        <f>_fc*10^Table3[[#This Row],[Decade]]</f>
        <v>6.3095734448019316</v>
      </c>
      <c r="G42" t="str">
        <f>COMPLEX(0,2*PI()*Table3[[#This Row],[f]],"j")</f>
        <v>39.64421916295j</v>
      </c>
      <c r="H42" t="str">
        <f>IMDIV(_R2,
 IMSUM(_R1,_R2,
 IMPRODUCT(Table3[[#This Row],[s]],_R1,_R2,_C)))</f>
        <v>0.0986668285128119-0.00622601067207171j</v>
      </c>
      <c r="I42">
        <f>20*LOG(IMABS(Table3[[#This Row],[H(s)]]))</f>
        <v>-20.099318306417821</v>
      </c>
      <c r="J42">
        <f>DEGREES(IMARGUMENT(Table3[[#This Row],[H(s)]]))</f>
        <v>-3.6106541804230914</v>
      </c>
    </row>
    <row r="43" spans="1:10" ht="16.5" customHeight="1" x14ac:dyDescent="0.35">
      <c r="E43">
        <v>-1.18</v>
      </c>
      <c r="F43">
        <f>_fc*10^Table3[[#This Row],[Decade]]</f>
        <v>6.6069344800759584</v>
      </c>
      <c r="G43" t="str">
        <f>COMPLEX(0,2*PI()*Table3[[#This Row],[f]],"j")</f>
        <v>41.5125936507115j</v>
      </c>
      <c r="H43" t="str">
        <f>IMDIV(_R2,
 IMSUM(_R1,_R2,
 IMPRODUCT(Table3[[#This Row],[s]],_R1,_R2,_C)))</f>
        <v>0.0986290899156078-0.00651693992865682j</v>
      </c>
      <c r="I43">
        <f>20*LOG(IMABS(Table3[[#This Row],[H(s)]]))</f>
        <v>-20.100979736096743</v>
      </c>
      <c r="J43">
        <f>DEGREES(IMARGUMENT(Table3[[#This Row],[H(s)]]))</f>
        <v>-3.7803367045766083</v>
      </c>
    </row>
    <row r="44" spans="1:10" ht="16.5" customHeight="1" x14ac:dyDescent="0.35">
      <c r="E44">
        <v>-1.1600000000000001</v>
      </c>
      <c r="F44">
        <f>_fc*10^Table3[[#This Row],[Decade]]</f>
        <v>6.9183097091893613</v>
      </c>
      <c r="G44" t="str">
        <f>COMPLEX(0,2*PI()*Table3[[#This Row],[f]],"j")</f>
        <v>43.4690219152965j</v>
      </c>
      <c r="H44" t="str">
        <f>IMDIV(_R2,
 IMSUM(_R1,_R2,
 IMPRODUCT(Table3[[#This Row],[s]],_R1,_R2,_C)))</f>
        <v>0.0985877435338035-0.00682121311962693j</v>
      </c>
      <c r="I44">
        <f>20*LOG(IMABS(Table3[[#This Row],[H(s)]]))</f>
        <v>-20.102800727278204</v>
      </c>
      <c r="J44">
        <f>DEGREES(IMARGUMENT(Table3[[#This Row],[H(s)]]))</f>
        <v>-3.95794492207675</v>
      </c>
    </row>
    <row r="45" spans="1:10" ht="16.5" customHeight="1" x14ac:dyDescent="0.35">
      <c r="D45">
        <f>SQRT((A47+1)*A46^2)</f>
        <v>0</v>
      </c>
      <c r="E45">
        <v>-1.1400000000000001</v>
      </c>
      <c r="F45">
        <f>_fc*10^Table3[[#This Row],[Decade]]</f>
        <v>7.2443596007498963</v>
      </c>
      <c r="G45" t="str">
        <f>COMPLEX(0,2*PI()*Table3[[#This Row],[f]],"j")</f>
        <v>45.5176538033571j</v>
      </c>
      <c r="H45" t="str">
        <f>IMDIV(_R2,
 IMSUM(_R1,_R2,
 IMPRODUCT(Table3[[#This Row],[s]],_R1,_R2,_C)))</f>
        <v>0.0985424479531225-0.0071394053227965j</v>
      </c>
      <c r="I45">
        <f>20*LOG(IMABS(Table3[[#This Row],[H(s)]]))</f>
        <v>-20.104796527205369</v>
      </c>
      <c r="J45">
        <f>DEGREES(IMARGUMENT(Table3[[#This Row],[H(s)]]))</f>
        <v>-4.1438418798446879</v>
      </c>
    </row>
    <row r="46" spans="1:10" ht="16.5" customHeight="1" x14ac:dyDescent="0.35">
      <c r="A46" s="8"/>
      <c r="E46">
        <v>-1.1200000000000001</v>
      </c>
      <c r="F46">
        <f>_fc*10^Table3[[#This Row],[Decade]]</f>
        <v>7.5857757502918357</v>
      </c>
      <c r="G46" t="str">
        <f>COMPLEX(0,2*PI()*Table3[[#This Row],[f]],"j")</f>
        <v>47.6628347377929j</v>
      </c>
      <c r="H46" t="str">
        <f>IMDIV(_R2,
 IMSUM(_R1,_R2,
 IMPRODUCT(Table3[[#This Row],[s]],_R1,_R2,_C)))</f>
        <v>0.0984928301511053-0.00747211089906663j</v>
      </c>
      <c r="I46">
        <f>20*LOG(IMABS(Table3[[#This Row],[H(s)]]))</f>
        <v>-20.106983824656169</v>
      </c>
      <c r="J46">
        <f>DEGREES(IMARGUMENT(Table3[[#This Row],[H(s)]]))</f>
        <v>-4.3384061997716277</v>
      </c>
    </row>
    <row r="47" spans="1:10" ht="16.5" customHeight="1" x14ac:dyDescent="0.35">
      <c r="E47">
        <v>-1.1000000000000001</v>
      </c>
      <c r="F47">
        <f>_fc*10^Table3[[#This Row],[Decade]]</f>
        <v>7.9432823472428096</v>
      </c>
      <c r="G47" t="str">
        <f>COMPLEX(0,2*PI()*Table3[[#This Row],[f]],"j")</f>
        <v>49.909114934975j</v>
      </c>
      <c r="H47" t="str">
        <f>IMDIV(_R2,
 IMSUM(_R1,_R2,
 IMPRODUCT(Table3[[#This Row],[s]],_R1,_R2,_C)))</f>
        <v>0.0984384827117907-0.00781994328143814j</v>
      </c>
      <c r="I47">
        <f>20*LOG(IMABS(Table3[[#This Row],[H(s)]]))</f>
        <v>-20.109380883128583</v>
      </c>
      <c r="J47">
        <f>DEGREES(IMARGUMENT(Table3[[#This Row],[H(s)]]))</f>
        <v>-4.5420325898751699</v>
      </c>
    </row>
    <row r="48" spans="1:10" ht="16.5" customHeight="1" x14ac:dyDescent="0.35">
      <c r="E48">
        <v>-1.08</v>
      </c>
      <c r="F48">
        <f>_fc*10^Table3[[#This Row],[Decade]]</f>
        <v>8.317637711026709</v>
      </c>
      <c r="G48" t="str">
        <f>COMPLEX(0,2*PI()*Table3[[#This Row],[f]],"j")</f>
        <v>52.2612590563659j</v>
      </c>
      <c r="H48" t="str">
        <f>IMDIV(_R2,
 IMSUM(_R1,_R2,
 IMPRODUCT(Table3[[#This Row],[s]],_R1,_R2,_C)))</f>
        <v>0.0983789608235381-0.00818353459801273j</v>
      </c>
      <c r="I48">
        <f>20*LOG(IMABS(Table3[[#This Row],[H(s)]]))</f>
        <v>-20.112007685707084</v>
      </c>
      <c r="J48">
        <f>DEGREES(IMARGUMENT(Table3[[#This Row],[H(s)]]))</f>
        <v>-4.7551323476842899</v>
      </c>
    </row>
    <row r="49" spans="5:10" ht="16.5" customHeight="1" x14ac:dyDescent="0.35">
      <c r="E49">
        <v>-1.06</v>
      </c>
      <c r="F49">
        <f>_fc*10^Table3[[#This Row],[Decade]]</f>
        <v>8.7096358995608014</v>
      </c>
      <c r="G49" t="str">
        <f>COMPLEX(0,2*PI()*Table3[[#This Row],[f]],"j")</f>
        <v>54.7242563150043j</v>
      </c>
      <c r="H49" t="str">
        <f>IMDIV(_R2,
 IMSUM(_R1,_R2,
 IMPRODUCT(Table3[[#This Row],[s]],_R1,_R2,_C)))</f>
        <v>0.0983137790490732-0.00856353510050781j</v>
      </c>
      <c r="I49">
        <f>20*LOG(IMABS(Table3[[#This Row],[H(s)]]))</f>
        <v>-20.114886092508002</v>
      </c>
      <c r="J49">
        <f>DEGREES(IMARGUMENT(Table3[[#This Row],[H(s)]]))</f>
        <v>-4.9781338510594431</v>
      </c>
    </row>
    <row r="50" spans="5:10" ht="16.5" customHeight="1" x14ac:dyDescent="0.35">
      <c r="E50">
        <v>-1.04</v>
      </c>
      <c r="F50">
        <f>_fc*10^Table3[[#This Row],[Decade]]</f>
        <v>9.1201083935590948</v>
      </c>
      <c r="G50" t="str">
        <f>COMPLEX(0,2*PI()*Table3[[#This Row],[f]],"j")</f>
        <v>57.3033310582957j</v>
      </c>
      <c r="H50" t="str">
        <f>IMDIV(_R2,
 IMSUM(_R1,_R2,
 IMPRODUCT(Table3[[#This Row],[s]],_R1,_R2,_C)))</f>
        <v>0.0982424078576504-0.00896061236602257j</v>
      </c>
      <c r="I50">
        <f>20*LOG(IMABS(Table3[[#This Row],[H(s)]]))</f>
        <v>-20.118040011644492</v>
      </c>
      <c r="J50">
        <f>DEGREES(IMARGUMENT(Table3[[#This Row],[H(s)]]))</f>
        <v>-5.2114830308467823</v>
      </c>
    </row>
    <row r="51" spans="5:10" ht="16.5" customHeight="1" x14ac:dyDescent="0.35">
      <c r="E51">
        <v>-1.02</v>
      </c>
      <c r="F51">
        <f>_fc*10^Table3[[#This Row],[Decade]]</f>
        <v>9.5499258602143566</v>
      </c>
      <c r="G51" t="str">
        <f>COMPLEX(0,2*PI()*Table3[[#This Row],[f]],"j")</f>
        <v>60.0039538495532j</v>
      </c>
      <c r="H51" t="str">
        <f>IMDIV(_R2,
 IMSUM(_R1,_R2,
 IMPRODUCT(Table3[[#This Row],[s]],_R1,_R2,_C)))</f>
        <v>0.0981642699104606-0.00937545023561234j</v>
      </c>
      <c r="I51">
        <f>20*LOG(IMABS(Table3[[#This Row],[H(s)]]))</f>
        <v>-20.121495584689949</v>
      </c>
      <c r="J51">
        <f>DEGREES(IMARGUMENT(Table3[[#This Row],[H(s)]]))</f>
        <v>-5.4556438188512058</v>
      </c>
    </row>
    <row r="52" spans="5:10" ht="16.5" customHeight="1" x14ac:dyDescent="0.35">
      <c r="E52">
        <v>-1</v>
      </c>
      <c r="F52">
        <f>_fc*10^Table3[[#This Row],[Decade]]</f>
        <v>10</v>
      </c>
      <c r="G52" t="str">
        <f>COMPLEX(0,2*PI()*Table3[[#This Row],[f]],"j")</f>
        <v>62.8318530717959j</v>
      </c>
      <c r="H52" t="str">
        <f>IMDIV(_R2,
 IMSUM(_R1,_R2,
 IMPRODUCT(Table3[[#This Row],[s]],_R1,_R2,_C)))</f>
        <v>0.098078736092142-0.00980874744863876j</v>
      </c>
      <c r="I52">
        <f>20*LOG(IMABS(Table3[[#This Row],[H(s)]]))</f>
        <v>-20.12528138765137</v>
      </c>
      <c r="J52">
        <f>DEGREES(IMARGUMENT(Table3[[#This Row],[H(s)]]))</f>
        <v>-5.7110985635817269</v>
      </c>
    </row>
    <row r="53" spans="5:10" ht="16.5" customHeight="1" x14ac:dyDescent="0.35">
      <c r="E53">
        <v>-0.98</v>
      </c>
      <c r="F53">
        <f>_fc*10^Table3[[#This Row],[Decade]]</f>
        <v>10.471285480508996</v>
      </c>
      <c r="G53" t="str">
        <f>COMPLEX(0,2*PI()*Table3[[#This Row],[f]],"j")</f>
        <v>65.7930270784171j</v>
      </c>
      <c r="H53" t="str">
        <f>IMDIV(_R2,
 IMSUM(_R1,_R2,
 IMPRODUCT(Table3[[#This Row],[s]],_R1,_R2,_C)))</f>
        <v>0.0979851212835985-0.0102612159268603j</v>
      </c>
      <c r="I53">
        <f>20*LOG(IMABS(Table3[[#This Row],[H(s)]]))</f>
        <v>-20.129428648488592</v>
      </c>
      <c r="J53">
        <f>DEGREES(IMARGUMENT(Table3[[#This Row],[H(s)]]))</f>
        <v>-5.9783484050646196</v>
      </c>
    </row>
    <row r="54" spans="5:10" ht="16.5" customHeight="1" x14ac:dyDescent="0.35">
      <c r="E54">
        <v>-0.96</v>
      </c>
      <c r="F54">
        <f>_fc*10^Table3[[#This Row],[Decade]]</f>
        <v>10.96478196143185</v>
      </c>
      <c r="G54" t="str">
        <f>COMPLEX(0,2*PI()*Table3[[#This Row],[f]],"j")</f>
        <v>68.8937569164964j</v>
      </c>
      <c r="H54" t="str">
        <f>IMDIV(_R2,
 IMSUM(_R1,_R2,
 IMPRODUCT(Table3[[#This Row],[s]],_R1,_R2,_C)))</f>
        <v>0.0978826798744169-0.0107335786568095j</v>
      </c>
      <c r="I54">
        <f>20*LOG(IMABS(Table3[[#This Row],[H(s)]]))</f>
        <v>-20.13397148222845</v>
      </c>
      <c r="J54">
        <f>DEGREES(IMARGUMENT(Table3[[#This Row],[H(s)]]))</f>
        <v>-6.2579135987217045</v>
      </c>
    </row>
    <row r="55" spans="5:10" ht="16.5" customHeight="1" x14ac:dyDescent="0.35">
      <c r="E55">
        <v>-0.94</v>
      </c>
      <c r="F55">
        <f>_fc*10^Table3[[#This Row],[Decade]]</f>
        <v>11.481536214968829</v>
      </c>
      <c r="G55" t="str">
        <f>COMPLEX(0,2*PI()*Table3[[#This Row],[f]],"j")</f>
        <v>72.1406196497425j</v>
      </c>
      <c r="H55" t="str">
        <f>IMDIV(_R2,
 IMSUM(_R1,_R2,
 IMPRODUCT(Table3[[#This Row],[s]],_R1,_R2,_C)))</f>
        <v>0.0977706010171408-0.0112265671131907j</v>
      </c>
      <c r="I55">
        <f>20*LOG(IMABS(Table3[[#This Row],[H(s)]]))</f>
        <v>-20.138947144722373</v>
      </c>
      <c r="J55">
        <f>DEGREES(IMARGUMENT(Table3[[#This Row],[H(s)]]))</f>
        <v>-6.5503337768645711</v>
      </c>
    </row>
    <row r="56" spans="5:10" ht="16.5" customHeight="1" x14ac:dyDescent="0.35">
      <c r="E56">
        <v>-0.91999999999999993</v>
      </c>
      <c r="F56">
        <f>_fc*10^Table3[[#This Row],[Decade]]</f>
        <v>12.022644346174129</v>
      </c>
      <c r="G56" t="str">
        <f>COMPLEX(0,2*PI()*Table3[[#This Row],[f]],"j")</f>
        <v>75.540502309327j</v>
      </c>
      <c r="H56" t="str">
        <f>IMDIV(_R2,
 IMSUM(_R1,_R2,
 IMPRODUCT(Table3[[#This Row],[s]],_R1,_R2,_C)))</f>
        <v>0.0976480036306769-0.0117409181598576j</v>
      </c>
      <c r="I56">
        <f>20*LOG(IMABS(Table3[[#This Row],[H(s)]]))</f>
        <v>-20.144396306077113</v>
      </c>
      <c r="J56">
        <f>DEGREES(IMARGUMENT(Table3[[#This Row],[H(s)]]))</f>
        <v>-6.856168134748053</v>
      </c>
    </row>
    <row r="57" spans="5:10" ht="16.5" customHeight="1" x14ac:dyDescent="0.35">
      <c r="E57">
        <v>-0.89999999999999991</v>
      </c>
      <c r="F57">
        <f>_fc*10^Table3[[#This Row],[Decade]]</f>
        <v>12.589254117941673</v>
      </c>
      <c r="G57" t="str">
        <f>COMPLEX(0,2*PI()*Table3[[#This Row],[f]],"j")</f>
        <v>79.1006165022012j</v>
      </c>
      <c r="H57" t="str">
        <f>IMDIV(_R2,
 IMSUM(_R1,_R2,
 IMPRODUCT(Table3[[#This Row],[s]],_R1,_R2,_C)))</f>
        <v>0.0975139311663678-0.0122773703584603j</v>
      </c>
      <c r="I57">
        <f>20*LOG(IMABS(Table3[[#This Row],[H(s)]]))</f>
        <v>-20.150363344746314</v>
      </c>
      <c r="J57">
        <f>DEGREES(IMARGUMENT(Table3[[#This Row],[H(s)]]))</f>
        <v>-7.1759955263518966</v>
      </c>
    </row>
    <row r="58" spans="5:10" ht="16.5" customHeight="1" x14ac:dyDescent="0.35">
      <c r="E58">
        <v>-0.87999999999999989</v>
      </c>
      <c r="F58">
        <f>_fc*10^Table3[[#This Row],[Decade]]</f>
        <v>13.18256738556407</v>
      </c>
      <c r="G58" t="str">
        <f>COMPLEX(0,2*PI()*Table3[[#This Row],[f]],"j")</f>
        <v>82.828513707881j</v>
      </c>
      <c r="H58" t="str">
        <f>IMDIV(_R2,
 IMSUM(_R1,_R2,
 IMPRODUCT(Table3[[#This Row],[s]],_R1,_R2,_C)))</f>
        <v>0.0973673461579612-0.0128366596081715j</v>
      </c>
      <c r="I58">
        <f>20*LOG(IMABS(Table3[[#This Row],[H(s)]]))</f>
        <v>-20.156896663201593</v>
      </c>
      <c r="J58">
        <f>DEGREES(IMARGUMENT(Table3[[#This Row],[H(s)]]))</f>
        <v>-7.5104144531075105</v>
      </c>
    </row>
    <row r="59" spans="5:10" ht="16.5" customHeight="1" x14ac:dyDescent="0.35">
      <c r="E59">
        <v>-0.85999999999999988</v>
      </c>
      <c r="F59">
        <f>_fc*10^Table3[[#This Row],[Decade]]</f>
        <v>13.803842646028849</v>
      </c>
      <c r="G59" t="str">
        <f>COMPLEX(0,2*PI()*Table3[[#This Row],[f]],"j")</f>
        <v>86.7321012961474j</v>
      </c>
      <c r="H59" t="str">
        <f>IMDIV(_R2,
 IMSUM(_R1,_R2,
 IMPRODUCT(Table3[[#This Row],[s]],_R1,_R2,_C)))</f>
        <v>0.0972071245860831-0.0134195140331552j</v>
      </c>
      <c r="I59">
        <f>20*LOG(IMABS(Table3[[#This Row],[H(s)]]))</f>
        <v>-20.164049025997155</v>
      </c>
      <c r="J59">
        <f>DEGREES(IMARGUMENT(Table3[[#This Row],[H(s)]]))</f>
        <v>-7.8600429266578589</v>
      </c>
    </row>
    <row r="60" spans="5:10" ht="16.5" customHeight="1" x14ac:dyDescent="0.35">
      <c r="E60">
        <v>-0.84000000000000008</v>
      </c>
      <c r="F60">
        <f>_fc*10^Table3[[#This Row],[Decade]]</f>
        <v>14.454397707459268</v>
      </c>
      <c r="G60" t="str">
        <f>COMPLEX(0,2*PI()*Table3[[#This Row],[f]],"j")</f>
        <v>90.8196592996384j</v>
      </c>
      <c r="H60" t="str">
        <f>IMDIV(_R2,
 IMSUM(_R1,_R2,
 IMPRODUCT(Table3[[#This Row],[s]],_R1,_R2,_C)))</f>
        <v>0.0970320500991219-0.0140266480278042j</v>
      </c>
      <c r="I60">
        <f>20*LOG(IMABS(Table3[[#This Row],[H(s)]]))</f>
        <v>-20.171877920896716</v>
      </c>
      <c r="J60">
        <f>DEGREES(IMARGUMENT(Table3[[#This Row],[H(s)]]))</f>
        <v>-8.2255181844289922</v>
      </c>
    </row>
    <row r="61" spans="5:10" ht="16.5" customHeight="1" x14ac:dyDescent="0.35">
      <c r="E61">
        <v>-0.82000000000000006</v>
      </c>
      <c r="F61">
        <f>_fc*10^Table3[[#This Row],[Decade]]</f>
        <v>15.135612484362076</v>
      </c>
      <c r="G61" t="str">
        <f>COMPLEX(0,2*PI()*Table3[[#This Row],[f]],"j")</f>
        <v>95.0998579769077j</v>
      </c>
      <c r="H61" t="str">
        <f>IMDIV(_R2,
 IMSUM(_R1,_R2,
 IMPRODUCT(Table3[[#This Row],[s]],_R1,_R2,_C)))</f>
        <v>0.0968408081459174-0.0146587553634988j</v>
      </c>
      <c r="I61">
        <f>20*LOG(IMABS(Table3[[#This Row],[H(s)]]))</f>
        <v>-20.180445943535446</v>
      </c>
      <c r="J61">
        <f>DEGREES(IMARGUMENT(Table3[[#This Row],[H(s)]]))</f>
        <v>-8.6074962343114247</v>
      </c>
    </row>
    <row r="62" spans="5:10" ht="16.5" customHeight="1" x14ac:dyDescent="0.35">
      <c r="E62">
        <v>-0.8</v>
      </c>
      <c r="F62">
        <f>_fc*10^Table3[[#This Row],[Decade]]</f>
        <v>15.848931924611131</v>
      </c>
      <c r="G62" t="str">
        <f>COMPLEX(0,2*PI()*Table3[[#This Row],[f]],"j")</f>
        <v>99.5817762032061j</v>
      </c>
      <c r="H62" t="str">
        <f>IMDIV(_R2,
 IMSUM(_R1,_R2,
 IMPRODUCT(Table3[[#This Row],[s]],_R1,_R2,_C)))</f>
        <v>0.0966319800915978-0.0153165012550432j</v>
      </c>
      <c r="I62">
        <f>20*LOG(IMABS(Table3[[#This Row],[H(s)]]))</f>
        <v>-20.189821205835003</v>
      </c>
      <c r="J62">
        <f>DEGREES(IMARGUMENT(Table3[[#This Row],[H(s)]]))</f>
        <v>-9.0066512021084062</v>
      </c>
    </row>
    <row r="63" spans="5:10" ht="16.5" customHeight="1" x14ac:dyDescent="0.35">
      <c r="E63">
        <v>-0.78</v>
      </c>
      <c r="F63">
        <f>_fc*10^Table3[[#This Row],[Decade]]</f>
        <v>16.595869074375599</v>
      </c>
      <c r="G63" t="str">
        <f>COMPLEX(0,2*PI()*Table3[[#This Row],[f]],"j")</f>
        <v>104.274920727993j</v>
      </c>
      <c r="H63" t="str">
        <f>IMDIV(_R2,
 IMSUM(_R1,_R2,
 IMPRODUCT(Table3[[#This Row],[s]],_R1,_R2,_C)))</f>
        <v>0.0964040374065873-0.0160005132804365j</v>
      </c>
      <c r="I63">
        <f>20*LOG(IMABS(Table3[[#This Row],[H(s)]]))</f>
        <v>-20.200077768064631</v>
      </c>
      <c r="J63">
        <f>DEGREES(IMARGUMENT(Table3[[#This Row],[H(s)]]))</f>
        <v>-9.4236744526336196</v>
      </c>
    </row>
    <row r="64" spans="5:10" ht="16.5" customHeight="1" x14ac:dyDescent="0.35">
      <c r="E64">
        <v>-0.76</v>
      </c>
      <c r="F64">
        <f>_fc*10^Table3[[#This Row],[Decade]]</f>
        <v>17.378008287493749</v>
      </c>
      <c r="G64" t="str">
        <f>COMPLEX(0,2*PI()*Table3[[#This Row],[f]],"j")</f>
        <v>109.189246340026j</v>
      </c>
      <c r="H64" t="str">
        <f>IMDIV(_R2,
 IMSUM(_R1,_R2,
 IMPRODUCT(Table3[[#This Row],[s]],_R1,_R2,_C)))</f>
        <v>0.0961553360404779-0.0167113710447411j</v>
      </c>
      <c r="I64">
        <f>20*LOG(IMABS(Table3[[#This Row],[H(s)]]))</f>
        <v>-20.211296094035195</v>
      </c>
      <c r="J64">
        <f>DEGREES(IMARGUMENT(Table3[[#This Row],[H(s)]]))</f>
        <v>-9.8592734524645156</v>
      </c>
    </row>
    <row r="65" spans="5:10" ht="16.5" customHeight="1" x14ac:dyDescent="0.35">
      <c r="E65">
        <v>-0.74</v>
      </c>
      <c r="F65">
        <f>_fc*10^Table3[[#This Row],[Decade]]</f>
        <v>18.197008586099834</v>
      </c>
      <c r="G65" t="str">
        <f>COMPLEX(0,2*PI()*Table3[[#This Row],[f]],"j")</f>
        <v>114.335176982803j</v>
      </c>
      <c r="H65" t="str">
        <f>IMDIV(_R2,
 IMSUM(_R1,_R2,
 IMPRODUCT(Table3[[#This Row],[s]],_R1,_R2,_C)))</f>
        <v>0.0958841111173324-0.0174495944781643j</v>
      </c>
      <c r="I65">
        <f>20*LOG(IMABS(Table3[[#This Row],[H(s)]]))</f>
        <v>-20.223563528412853</v>
      </c>
      <c r="J65">
        <f>DEGREES(IMARGUMENT(Table3[[#This Row],[H(s)]]))</f>
        <v>-10.314170339433698</v>
      </c>
    </row>
    <row r="66" spans="5:10" ht="16.5" customHeight="1" x14ac:dyDescent="0.35">
      <c r="E66">
        <v>-0.72</v>
      </c>
      <c r="F66">
        <f>_fc*10^Table3[[#This Row],[Decade]]</f>
        <v>19.05460717963247</v>
      </c>
      <c r="G66" t="str">
        <f>COMPLEX(0,2*PI()*Table3[[#This Row],[f]],"j")</f>
        <v>119.723627865145j</v>
      </c>
      <c r="H66" t="str">
        <f>IMDIV(_R2,
 IMSUM(_R1,_R2,
 IMPRODUCT(Table3[[#This Row],[s]],_R1,_R2,_C)))</f>
        <v>0.0955884721172285-0.0182156306608425j</v>
      </c>
      <c r="I66">
        <f>20*LOG(IMABS(Table3[[#This Row],[H(s)]]))</f>
        <v>-20.236974794531829</v>
      </c>
      <c r="J66">
        <f>DEGREES(IMARGUMENT(Table3[[#This Row],[H(s)]]))</f>
        <v>-10.789100161039149</v>
      </c>
    </row>
    <row r="67" spans="5:10" ht="16.5" customHeight="1" x14ac:dyDescent="0.35">
      <c r="E67">
        <v>-0.7</v>
      </c>
      <c r="F67">
        <f>_fc*10^Table3[[#This Row],[Decade]]</f>
        <v>19.952623149688794</v>
      </c>
      <c r="G67" t="str">
        <f>COMPLEX(0,2*PI()*Table3[[#This Row],[f]],"j")</f>
        <v>125.366028613816j</v>
      </c>
      <c r="H67" t="str">
        <f>IMDIV(_R2,
 IMSUM(_R1,_R2,
 IMPRODUCT(Table3[[#This Row],[s]],_R1,_R2,_C)))</f>
        <v>0.0952663987405235-0.0190098390731241j</v>
      </c>
      <c r="I67">
        <f>20*LOG(IMABS(Table3[[#This Row],[H(s)]]))</f>
        <v>-20.251632510357361</v>
      </c>
      <c r="J67">
        <f>DEGREES(IMARGUMENT(Table3[[#This Row],[H(s)]]))</f>
        <v>-11.284808741161651</v>
      </c>
    </row>
    <row r="68" spans="5:10" ht="16.5" customHeight="1" x14ac:dyDescent="0.35">
      <c r="E68">
        <v>-0.67999999999999994</v>
      </c>
      <c r="F68">
        <f>_fc*10^Table3[[#This Row],[Decade]]</f>
        <v>20.892961308540396</v>
      </c>
      <c r="G68" t="str">
        <f>COMPLEX(0,2*PI()*Table3[[#This Row],[f]],"j")</f>
        <v>131.274347517293j</v>
      </c>
      <c r="H68" t="str">
        <f>IMDIV(_R2,
 IMSUM(_R1,_R2,
 IMPRODUCT(Table3[[#This Row],[s]],_R1,_R2,_C)))</f>
        <v>0.0949157376863415-0.0198324751814861j</v>
      </c>
      <c r="I68">
        <f>20*LOG(IMABS(Table3[[#This Row],[H(s)]]))</f>
        <v>-20.267647719386929</v>
      </c>
      <c r="J68">
        <f>DEGREES(IMARGUMENT(Table3[[#This Row],[H(s)]]))</f>
        <v>-11.80205013192367</v>
      </c>
    </row>
    <row r="69" spans="5:10" ht="16.5" customHeight="1" x14ac:dyDescent="0.35">
      <c r="E69">
        <v>-0.65999999999999992</v>
      </c>
      <c r="F69">
        <f>_fc*10^Table3[[#This Row],[Decade]]</f>
        <v>21.877616239495527</v>
      </c>
      <c r="G69" t="str">
        <f>COMPLEX(0,2*PI()*Table3[[#This Row],[f]],"j")</f>
        <v>137.461116912112j</v>
      </c>
      <c r="H69" t="str">
        <f>IMDIV(_R2,
 IMSUM(_R1,_R2,
 IMPRODUCT(Table3[[#This Row],[s]],_R1,_R2,_C)))</f>
        <v>0.0945342006148861-0.0206836722878136j</v>
      </c>
      <c r="I69">
        <f>20*LOG(IMABS(Table3[[#This Row],[H(s)]]))</f>
        <v>-20.285140432267145</v>
      </c>
      <c r="J69">
        <f>DEGREES(IMARGUMENT(Table3[[#This Row],[H(s)]]))</f>
        <v>-12.341583605347596</v>
      </c>
    </row>
    <row r="70" spans="5:10" ht="16.5" customHeight="1" x14ac:dyDescent="0.35">
      <c r="E70">
        <v>-0.6399999999999999</v>
      </c>
      <c r="F70">
        <f>_fc*10^Table3[[#This Row],[Decade]]</f>
        <v>22.908676527677731</v>
      </c>
      <c r="G70" t="str">
        <f>COMPLEX(0,2*PI()*Table3[[#This Row],[f]],"j")</f>
        <v>143.939459765635j</v>
      </c>
      <c r="H70" t="str">
        <f>IMDIV(_R2,
 IMSUM(_R1,_R2,
 IMPRODUCT(Table3[[#This Row],[s]],_R1,_R2,_C)))</f>
        <v>0.0941193636038405-0.0215634215950295j</v>
      </c>
      <c r="I70">
        <f>20*LOG(IMABS(Table3[[#This Row],[H(s)]]))</f>
        <v>-20.304240173733731</v>
      </c>
      <c r="J70">
        <f>DEGREES(IMARGUMENT(Table3[[#This Row],[H(s)]]))</f>
        <v>-12.904170137864403</v>
      </c>
    </row>
    <row r="71" spans="5:10" ht="16.5" customHeight="1" x14ac:dyDescent="0.35">
      <c r="E71">
        <v>-0.61999999999999988</v>
      </c>
      <c r="F71">
        <f>_fc*10^Table3[[#This Row],[Decade]]</f>
        <v>23.988329190194907</v>
      </c>
      <c r="G71" t="str">
        <f>COMPLEX(0,2*PI()*Table3[[#This Row],[f]],"j")</f>
        <v>150.72311751162j</v>
      </c>
      <c r="H71" t="str">
        <f>IMDIV(_R2,
 IMSUM(_R1,_R2,
 IMPRODUCT(Table3[[#This Row],[s]],_R1,_R2,_C)))</f>
        <v>0.0936686684514749-0.0224715504765047j</v>
      </c>
      <c r="I71">
        <f>20*LOG(IMABS(Table3[[#This Row],[H(s)]]))</f>
        <v>-20.32508652814391</v>
      </c>
      <c r="J71">
        <f>DEGREES(IMARGUMENT(Table3[[#This Row],[H(s)]]))</f>
        <v>-13.490568339907274</v>
      </c>
    </row>
    <row r="72" spans="5:10" ht="16.5" customHeight="1" x14ac:dyDescent="0.35">
      <c r="E72">
        <v>-0.59999999999999987</v>
      </c>
      <c r="F72">
        <f>_fc*10^Table3[[#This Row],[Decade]]</f>
        <v>25.118864315095806</v>
      </c>
      <c r="G72" t="str">
        <f>COMPLEX(0,2*PI()*Table3[[#This Row],[f]],"j")</f>
        <v>157.826479197648j</v>
      </c>
      <c r="H72" t="str">
        <f>IMDIV(_R2,
 IMSUM(_R1,_R2,
 IMPRODUCT(Table3[[#This Row],[s]],_R1,_R2,_C)))</f>
        <v>0.0931794262218642-0.0234076989819292j</v>
      </c>
      <c r="I72">
        <f>20*LOG(IMABS(Table3[[#This Row],[H(s)]]))</f>
        <v>-20.347829675360238</v>
      </c>
      <c r="J72">
        <f>DEGREES(IMARGUMENT(Table3[[#This Row],[H(s)]]))</f>
        <v>-14.101529783068473</v>
      </c>
    </row>
    <row r="73" spans="5:10" ht="16.5" customHeight="1" x14ac:dyDescent="0.35">
      <c r="E73">
        <v>-0.58000000000000007</v>
      </c>
      <c r="F73">
        <f>_fc*10^Table3[[#This Row],[Decade]]</f>
        <v>26.302679918953814</v>
      </c>
      <c r="G73" t="str">
        <f>COMPLEX(0,2*PI()*Table3[[#This Row],[f]],"j")</f>
        <v>165.264612006218j</v>
      </c>
      <c r="H73" t="str">
        <f>IMDIV(_R2,
 IMSUM(_R1,_R2,
 IMPRODUCT(Table3[[#This Row],[s]],_R1,_R2,_C)))</f>
        <v>0.0926488234690493-0.0243712946700047j</v>
      </c>
      <c r="I73">
        <f>20*LOG(IMABS(Table3[[#This Row],[H(s)]]))</f>
        <v>-20.372630907063925</v>
      </c>
      <c r="J73">
        <f>DEGREES(IMARGUMENT(Table3[[#This Row],[H(s)]]))</f>
        <v>-14.737793678905412</v>
      </c>
    </row>
    <row r="74" spans="5:10" ht="16.5" customHeight="1" x14ac:dyDescent="0.35">
      <c r="E74">
        <v>-0.56000000000000005</v>
      </c>
      <c r="F74">
        <f>_fc*10^Table3[[#This Row],[Decade]]</f>
        <v>27.542287033381662</v>
      </c>
      <c r="G74" t="str">
        <f>COMPLEX(0,2*PI()*Table3[[#This Row],[f]],"j")</f>
        <v>173.053293214266j</v>
      </c>
      <c r="H74" t="str">
        <f>IMDIV(_R2,
 IMSUM(_R1,_R2,
 IMPRODUCT(Table3[[#This Row],[s]],_R1,_R2,_C)))</f>
        <v>0.0920739316146885-0.0253615259299945j</v>
      </c>
      <c r="I74">
        <f>20*LOG(IMABS(Table3[[#This Row],[H(s)]]))</f>
        <v>-20.399663111733712</v>
      </c>
      <c r="J74">
        <f>DEGREES(IMARGUMENT(Table3[[#This Row],[H(s)]]))</f>
        <v>-15.400080866811914</v>
      </c>
    </row>
    <row r="75" spans="5:10" ht="16.5" customHeight="1" x14ac:dyDescent="0.35">
      <c r="E75">
        <v>-0.54</v>
      </c>
      <c r="F75">
        <f>_fc*10^Table3[[#This Row],[Decade]]</f>
        <v>28.840315031266055</v>
      </c>
      <c r="G75" t="str">
        <f>COMPLEX(0,2*PI()*Table3[[#This Row],[f]],"j")</f>
        <v>181.209043658881j</v>
      </c>
      <c r="H75" t="str">
        <f>IMDIV(_R2,
 IMSUM(_R1,_R2,
 IMPRODUCT(Table3[[#This Row],[s]],_R1,_R2,_C)))</f>
        <v>0.0914517199846746-0.0263773140411453j</v>
      </c>
      <c r="I75">
        <f>20*LOG(IMABS(Table3[[#This Row],[H(s)]]))</f>
        <v>-20.429111214544999</v>
      </c>
      <c r="J75">
        <f>DEGREES(IMARGUMENT(Table3[[#This Row],[H(s)]]))</f>
        <v>-16.089087073808493</v>
      </c>
    </row>
    <row r="76" spans="5:10" ht="16.5" customHeight="1" x14ac:dyDescent="0.35">
      <c r="E76">
        <v>-0.52</v>
      </c>
      <c r="F76">
        <f>_fc*10^Table3[[#This Row],[Decade]]</f>
        <v>30.199517204020154</v>
      </c>
      <c r="G76" t="str">
        <f>COMPLEX(0,2*PI()*Table3[[#This Row],[f]],"j")</f>
        <v>189.749162780217j</v>
      </c>
      <c r="H76" t="str">
        <f>IMDIV(_R2,
 IMSUM(_R1,_R2,
 IMPRODUCT(Table3[[#This Row],[s]],_R1,_R2,_C)))</f>
        <v>0.0907790730305537-0.0274172843221979j</v>
      </c>
      <c r="I76">
        <f>20*LOG(IMABS(Table3[[#This Row],[H(s)]]))</f>
        <v>-20.461172556357372</v>
      </c>
      <c r="J76">
        <f>DEGREES(IMARGUMENT(Table3[[#This Row],[H(s)]]))</f>
        <v>-16.80547541707686</v>
      </c>
    </row>
    <row r="77" spans="5:10" ht="16.5" customHeight="1" x14ac:dyDescent="0.35">
      <c r="E77">
        <v>-0.5</v>
      </c>
      <c r="F77">
        <f>_fc*10^Table3[[#This Row],[Decade]]</f>
        <v>31.622776601683793</v>
      </c>
      <c r="G77" t="str">
        <f>COMPLEX(0,2*PI()*Table3[[#This Row],[f]],"j")</f>
        <v>198.691765315922j</v>
      </c>
      <c r="H77" t="str">
        <f>IMDIV(_R2,
 IMSUM(_R1,_R2,
 IMPRODUCT(Table3[[#This Row],[s]],_R1,_R2,_C)))</f>
        <v>0.0900528122667914-0.0284797368428714j</v>
      </c>
      <c r="I77">
        <f>20*LOG(IMABS(Table3[[#This Row],[H(s)]]))</f>
        <v>-20.496057193818913</v>
      </c>
      <c r="J77">
        <f>DEGREES(IMARGUMENT(Table3[[#This Row],[H(s)]]))</f>
        <v>-17.549868131004168</v>
      </c>
    </row>
    <row r="78" spans="5:10" ht="16.5" customHeight="1" x14ac:dyDescent="0.35">
      <c r="E78">
        <v>-0.48</v>
      </c>
      <c r="F78">
        <f>_fc*10^Table3[[#This Row],[Decade]]</f>
        <v>33.113112148259106</v>
      </c>
      <c r="G78" t="str">
        <f>COMPLEX(0,2*PI()*Table3[[#This Row],[f]],"j")</f>
        <v>208.055819724931j</v>
      </c>
      <c r="H78" t="str">
        <f>IMDIV(_R2,
 IMSUM(_R1,_R2,
 IMPRODUCT(Table3[[#This Row],[s]],_R1,_R2,_C)))</f>
        <v>0.0892697234396789-0.0295626173046361j</v>
      </c>
      <c r="I78">
        <f>20*LOG(IMABS(Table3[[#This Row],[H(s)]]))</f>
        <v>-20.533988100494319</v>
      </c>
      <c r="J78">
        <f>DEGREES(IMARGUMENT(Table3[[#This Row],[H(s)]]))</f>
        <v>-18.322837514839929</v>
      </c>
    </row>
    <row r="79" spans="5:10" ht="16.5" customHeight="1" x14ac:dyDescent="0.35">
      <c r="E79">
        <v>-0.45999999999999996</v>
      </c>
      <c r="F79">
        <f>_fc*10^Table3[[#This Row],[Decade]]</f>
        <v>34.673685045253166</v>
      </c>
      <c r="G79" t="str">
        <f>COMPLEX(0,2*PI()*Table3[[#This Row],[f]],"j")</f>
        <v>217.861188422107j</v>
      </c>
      <c r="H79" t="str">
        <f>IMDIV(_R2,
 IMSUM(_R1,_R2,
 IMPRODUCT(Table3[[#This Row],[s]],_R1,_R2,_C)))</f>
        <v>0.088426589401991-0.0306634888473095j</v>
      </c>
      <c r="I79">
        <f>20*LOG(IMABS(Table3[[#This Row],[H(s)]]))</f>
        <v>-20.575201246915146</v>
      </c>
      <c r="J79">
        <f>DEGREES(IMARGUMENT(Table3[[#This Row],[H(s)]]))</f>
        <v>-19.124896115205871</v>
      </c>
    </row>
    <row r="80" spans="5:10" ht="16.5" customHeight="1" x14ac:dyDescent="0.35">
      <c r="E80">
        <v>-0.43999999999999995</v>
      </c>
      <c r="F80">
        <f>_fc*10^Table3[[#This Row],[Decade]]</f>
        <v>36.307805477010135</v>
      </c>
      <c r="G80" t="str">
        <f>COMPLEX(0,2*PI()*Table3[[#This Row],[f]],"j")</f>
        <v>228.128669909085j</v>
      </c>
      <c r="H80" t="str">
        <f>IMDIV(_R2,
 IMSUM(_R1,_R2,
 IMPRODUCT(Table3[[#This Row],[s]],_R1,_R2,_C)))</f>
        <v>0.0875202290930155-0.0317795056973808j</v>
      </c>
      <c r="I80">
        <f>20*LOG(IMABS(Table3[[#This Row],[H(s)]]))</f>
        <v>-20.619945535674539</v>
      </c>
      <c r="J80">
        <f>DEGREES(IMARGUMENT(Table3[[#This Row],[H(s)]]))</f>
        <v>-19.956486179956705</v>
      </c>
    </row>
    <row r="81" spans="5:10" ht="16.5" customHeight="1" x14ac:dyDescent="0.35">
      <c r="E81">
        <v>-0.41999999999999993</v>
      </c>
      <c r="F81">
        <f>_fc*10^Table3[[#This Row],[Decade]]</f>
        <v>38.018939632056117</v>
      </c>
      <c r="G81" t="str">
        <f>COMPLEX(0,2*PI()*Table3[[#This Row],[f]],"j")</f>
        <v>238.880042890683j</v>
      </c>
      <c r="H81" t="str">
        <f>IMDIV(_R2,
 IMSUM(_R1,_R2,
 IMPRODUCT(Table3[[#This Row],[s]],_R1,_R2,_C)))</f>
        <v>0.0865475429098194-0.0329073897378396j</v>
      </c>
      <c r="I81">
        <f>20*LOG(IMABS(Table3[[#This Row],[H(s)]]))</f>
        <v>-20.668482566290471</v>
      </c>
      <c r="J81">
        <f>DEGREES(IMARGUMENT(Table3[[#This Row],[H(s)]]))</f>
        <v>-20.817968446463908</v>
      </c>
    </row>
    <row r="82" spans="5:10" ht="16.5" customHeight="1" x14ac:dyDescent="0.35">
      <c r="E82">
        <v>-0.39999999999999991</v>
      </c>
      <c r="F82">
        <f>_fc*10^Table3[[#This Row],[Decade]]</f>
        <v>39.810717055349734</v>
      </c>
      <c r="G82" t="str">
        <f>COMPLEX(0,2*PI()*Table3[[#This Row],[f]],"j")</f>
        <v>250.138112470457j</v>
      </c>
      <c r="H82" t="str">
        <f>IMDIV(_R2,
 IMSUM(_R1,_R2,
 IMPRODUCT(Table3[[#This Row],[s]],_R1,_R2,_C)))</f>
        <v>0.0855055645965939-0.0340434112396777j</v>
      </c>
      <c r="I82">
        <f>20*LOG(IMABS(Table3[[#This Row],[H(s)]]))</f>
        <v>-20.721086203711859</v>
      </c>
      <c r="J82">
        <f>DEGREES(IMARGUMENT(Table3[[#This Row],[H(s)]]))</f>
        <v>-21.709610358313459</v>
      </c>
    </row>
    <row r="83" spans="5:10" ht="16.5" customHeight="1" x14ac:dyDescent="0.35">
      <c r="E83">
        <v>-0.37999999999999989</v>
      </c>
      <c r="F83">
        <f>_fc*10^Table3[[#This Row],[Decade]]</f>
        <v>41.686938347033546</v>
      </c>
      <c r="G83" t="str">
        <f>COMPLEX(0,2*PI()*Table3[[#This Row],[f]],"j")</f>
        <v>261.926758523382j</v>
      </c>
      <c r="H83" t="str">
        <f>IMDIV(_R2,
 IMSUM(_R1,_R2,
 IMPRODUCT(Table3[[#This Row],[s]],_R1,_R2,_C)))</f>
        <v>0.0843915195697582-0.0351833751415588j</v>
      </c>
      <c r="I83">
        <f>20*LOG(IMABS(Table3[[#This Row],[H(s)]]))</f>
        <v>-20.77804192423509</v>
      </c>
      <c r="J83">
        <f>DEGREES(IMARGUMENT(Table3[[#This Row],[H(s)]]))</f>
        <v>-22.631573839430398</v>
      </c>
    </row>
    <row r="84" spans="5:10" ht="16.5" customHeight="1" x14ac:dyDescent="0.35">
      <c r="E84">
        <v>-0.35999999999999988</v>
      </c>
      <c r="F84">
        <f>_fc*10^Table3[[#This Row],[Decade]]</f>
        <v>43.651583224016605</v>
      </c>
      <c r="G84" t="str">
        <f>COMPLEX(0,2*PI()*Table3[[#This Row],[f]],"j")</f>
        <v>274.270986348268j</v>
      </c>
      <c r="H84" t="str">
        <f>IMDIV(_R2,
 IMSUM(_R1,_R2,
 IMPRODUCT(Table3[[#This Row],[s]],_R1,_R2,_C)))</f>
        <v>0.0832028893343673-0.0363226143832488j</v>
      </c>
      <c r="I84">
        <f>20*LOG(IMABS(Table3[[#This Row],[H(s)]]))</f>
        <v>-20.839645913441437</v>
      </c>
      <c r="J84">
        <f>DEGREES(IMARGUMENT(Table3[[#This Row],[H(s)]]))</f>
        <v>-23.583902793243347</v>
      </c>
    </row>
    <row r="85" spans="5:10" ht="16.5" customHeight="1" x14ac:dyDescent="0.35">
      <c r="E85">
        <v>-0.33999999999999986</v>
      </c>
      <c r="F85">
        <f>_fc*10^Table3[[#This Row],[Decade]]</f>
        <v>45.708818961487516</v>
      </c>
      <c r="G85" t="str">
        <f>COMPLEX(0,2*PI()*Table3[[#This Row],[f]],"j")</f>
        <v>287.19697970735j</v>
      </c>
      <c r="H85" t="str">
        <f>IMDIV(_R2,
 IMSUM(_R1,_R2,
 IMPRODUCT(Table3[[#This Row],[s]],_R1,_R2,_C)))</f>
        <v>0.0819374813324468-0.0374559918745937j</v>
      </c>
      <c r="I85">
        <f>20*LOG(IMABS(Table3[[#This Row],[H(s)]]))</f>
        <v>-20.906203892775963</v>
      </c>
      <c r="J85">
        <f>DEGREES(IMARGUMENT(Table3[[#This Row],[H(s)]]))</f>
        <v>-24.566510535728867</v>
      </c>
    </row>
    <row r="86" spans="5:10" ht="16.5" customHeight="1" x14ac:dyDescent="0.35">
      <c r="E86">
        <v>-0.32000000000000006</v>
      </c>
      <c r="F86">
        <f>_fc*10^Table3[[#This Row],[Decade]]</f>
        <v>47.863009232263835</v>
      </c>
      <c r="G86" t="str">
        <f>COMPLEX(0,2*PI()*Table3[[#This Row],[f]],"j")</f>
        <v>300.732156365561j</v>
      </c>
      <c r="H86" t="str">
        <f>IMDIV(_R2,
 IMSUM(_R1,_R2,
 IMPRODUCT(Table3[[#This Row],[s]],_R1,_R2,_C)))</f>
        <v>0.0805935032005341-0.0385779126976422j</v>
      </c>
      <c r="I86">
        <f>20*LOG(IMABS(Table3[[#This Row],[H(s)]]))</f>
        <v>-20.978029654768946</v>
      </c>
      <c r="J86">
        <f>DEGREES(IMARGUMENT(Table3[[#This Row],[H(s)]]))</f>
        <v>-25.579167413674778</v>
      </c>
    </row>
    <row r="87" spans="5:10" ht="16.5" customHeight="1" x14ac:dyDescent="0.35">
      <c r="E87">
        <v>-0.30000000000000004</v>
      </c>
      <c r="F87">
        <f>_fc*10^Table3[[#This Row],[Decade]]</f>
        <v>50.118723362727224</v>
      </c>
      <c r="G87" t="str">
        <f>COMPLEX(0,2*PI()*Table3[[#This Row],[f]],"j")</f>
        <v>314.905226247286j</v>
      </c>
      <c r="H87" t="str">
        <f>IMDIV(_R2,
 IMSUM(_R1,_R2,
 IMPRODUCT(Table3[[#This Row],[s]],_R1,_R2,_C)))</f>
        <v>0.0791696400115329-0.0396823480764966j</v>
      </c>
      <c r="I87">
        <f>20*LOG(IMABS(Table3[[#This Row],[H(s)]]))</f>
        <v>-21.055443291832251</v>
      </c>
      <c r="J87">
        <f>DEGREES(IMARGUMENT(Table3[[#This Row],[H(s)]]))</f>
        <v>-26.621488901413883</v>
      </c>
    </row>
    <row r="88" spans="5:10" ht="16.5" customHeight="1" x14ac:dyDescent="0.35">
      <c r="E88">
        <v>-0.28000000000000003</v>
      </c>
      <c r="F88">
        <f>_fc*10^Table3[[#This Row],[Decade]]</f>
        <v>52.48074602497725</v>
      </c>
      <c r="G88" t="str">
        <f>COMPLEX(0,2*PI()*Table3[[#This Row],[f]],"j")</f>
        <v>329.746252333961j</v>
      </c>
      <c r="H88" t="str">
        <f>IMDIV(_R2,
 IMSUM(_R1,_R2,
 IMPRODUCT(Table3[[#This Row],[s]],_R1,_R2,_C)))</f>
        <v>0.0776651326507786-0.0407628724897753j</v>
      </c>
      <c r="I88">
        <f>20*LOG(IMABS(Table3[[#This Row],[H(s)]]))</f>
        <v>-21.138769110170479</v>
      </c>
      <c r="J88">
        <f>DEGREES(IMARGUMENT(Table3[[#This Row],[H(s)]]))</f>
        <v>-27.692924508256315</v>
      </c>
    </row>
    <row r="89" spans="5:10" ht="16.5" customHeight="1" x14ac:dyDescent="0.35">
      <c r="E89">
        <v>-0.26</v>
      </c>
      <c r="F89">
        <f>_fc*10^Table3[[#This Row],[Decade]]</f>
        <v>54.954087385762449</v>
      </c>
      <c r="G89" t="str">
        <f>COMPLEX(0,2*PI()*Table3[[#This Row],[f]],"j")</f>
        <v>345.286714431686j</v>
      </c>
      <c r="H89" t="str">
        <f>IMDIV(_R2,
 IMSUM(_R1,_R2,
 IMPRODUCT(Table3[[#This Row],[s]],_R1,_R2,_C)))</f>
        <v>0.0760798550504512-0.0418127150288742j</v>
      </c>
      <c r="I89">
        <f>20*LOG(IMABS(Table3[[#This Row],[H(s)]]))</f>
        <v>-21.22833322868161</v>
      </c>
      <c r="J89">
        <f>DEGREES(IMARGUMENT(Table3[[#This Row],[H(s)]]))</f>
        <v>-28.792747862120013</v>
      </c>
    </row>
    <row r="90" spans="5:10" ht="16.5" customHeight="1" x14ac:dyDescent="0.35">
      <c r="E90">
        <v>-0.24</v>
      </c>
      <c r="F90">
        <f>_fc*10^Table3[[#This Row],[Decade]]</f>
        <v>57.543993733715695</v>
      </c>
      <c r="G90" t="str">
        <f>COMPLEX(0,2*PI()*Table3[[#This Row],[f]],"j")</f>
        <v>361.559575944117j</v>
      </c>
      <c r="H90" t="str">
        <f>IMDIV(_R2,
 IMSUM(_R1,_R2,
 IMPRODUCT(Table3[[#This Row],[s]],_R1,_R2,_C)))</f>
        <v>0.0744143876093449-0.0428248257110746j</v>
      </c>
      <c r="I90">
        <f>20*LOG(IMABS(Table3[[#This Row],[H(s)]]))</f>
        <v>-21.324460872728469</v>
      </c>
      <c r="J90">
        <f>DEGREES(IMARGUMENT(Table3[[#This Row],[H(s)]]))</f>
        <v>-29.920048359268371</v>
      </c>
    </row>
    <row r="91" spans="5:10" ht="16.5" customHeight="1" x14ac:dyDescent="0.35">
      <c r="E91">
        <v>-0.21999999999999997</v>
      </c>
      <c r="F91">
        <f>_fc*10^Table3[[#This Row],[Decade]]</f>
        <v>60.25595860743578</v>
      </c>
      <c r="G91" t="str">
        <f>COMPLEX(0,2*PI()*Table3[[#This Row],[f]],"j")</f>
        <v>378.599353792262j</v>
      </c>
      <c r="H91" t="str">
        <f>IMDIV(_R2,
 IMSUM(_R1,_R2,
 IMPRODUCT(Table3[[#This Row],[s]],_R1,_R2,_C)))</f>
        <v>0.0726700837914581-0.0437919569371032j</v>
      </c>
      <c r="I91">
        <f>20*LOG(IMABS(Table3[[#This Row],[H(s)]]))</f>
        <v>-21.427473384157224</v>
      </c>
      <c r="J91">
        <f>DEGREES(IMARGUMENT(Table3[[#This Row],[H(s)]]))</f>
        <v>-31.073724782309764</v>
      </c>
    </row>
    <row r="92" spans="5:10" ht="16.5" customHeight="1" x14ac:dyDescent="0.35">
      <c r="E92">
        <v>-0.19999999999999996</v>
      </c>
      <c r="F92">
        <f>_fc*10^Table3[[#This Row],[Decade]]</f>
        <v>63.095734448019329</v>
      </c>
      <c r="G92" t="str">
        <f>COMPLEX(0,2*PI()*Table3[[#This Row],[f]],"j")</f>
        <v>396.4421916295j</v>
      </c>
      <c r="H92" t="str">
        <f>IMDIV(_R2,
 IMSUM(_R1,_R2,
 IMPRODUCT(Table3[[#This Row],[s]],_R1,_R2,_C)))</f>
        <v>0.070849126665779-0.0447067596452462j</v>
      </c>
      <c r="I92">
        <f>20*LOG(IMABS(Table3[[#This Row],[H(s)]]))</f>
        <v>-21.537684981586924</v>
      </c>
      <c r="J92">
        <f>DEGREES(IMARGUMENT(Table3[[#This Row],[H(s)]]))</f>
        <v>-32.252481285418348</v>
      </c>
    </row>
    <row r="93" spans="5:10" ht="16.5" customHeight="1" x14ac:dyDescent="0.35">
      <c r="E93">
        <v>-0.17999999999999994</v>
      </c>
      <c r="F93">
        <f>_fc*10^Table3[[#This Row],[Decade]]</f>
        <v>66.069344800759609</v>
      </c>
      <c r="G93" t="str">
        <f>COMPLEX(0,2*PI()*Table3[[#This Row],[f]],"j")</f>
        <v>415.125936507115j</v>
      </c>
      <c r="H93" t="str">
        <f>IMDIV(_R2,
 IMSUM(_R1,_R2,
 IMPRODUCT(Table3[[#This Row],[s]],_R1,_R2,_C)))</f>
        <v>0.0689545720607619-0.045561892978099j</v>
      </c>
      <c r="I93">
        <f>20*LOG(IMABS(Table3[[#This Row],[H(s)]]))</f>
        <v>-21.655399318301708</v>
      </c>
      <c r="J93">
        <f>DEGREES(IMARGUMENT(Table3[[#This Row],[H(s)]]))</f>
        <v>-33.454826124191079</v>
      </c>
    </row>
    <row r="94" spans="5:10" ht="16.5" customHeight="1" x14ac:dyDescent="0.35">
      <c r="E94">
        <v>-0.15999999999999992</v>
      </c>
      <c r="F94">
        <f>_fc*10^Table3[[#This Row],[Decade]]</f>
        <v>69.183097091893657</v>
      </c>
      <c r="G94" t="str">
        <f>COMPLEX(0,2*PI()*Table3[[#This Row],[f]],"j")</f>
        <v>434.690219152965j</v>
      </c>
      <c r="H94" t="str">
        <f>IMDIV(_R2,
 IMSUM(_R1,_R2,
 IMPRODUCT(Table3[[#This Row],[s]],_R1,_R2,_C)))</f>
        <v>0.0669903750969755-0.0463501454766067j</v>
      </c>
      <c r="I94">
        <f>20*LOG(IMABS(Table3[[#This Row],[H(s)]]))</f>
        <v>-21.780905898393179</v>
      </c>
      <c r="J94">
        <f>DEGREES(IMARGUMENT(Table3[[#This Row],[H(s)]]))</f>
        <v>-34.679073465445583</v>
      </c>
    </row>
    <row r="95" spans="5:10" ht="16.5" customHeight="1" x14ac:dyDescent="0.35">
      <c r="E95">
        <v>-0.1399999999999999</v>
      </c>
      <c r="F95">
        <f>_fc*10^Table3[[#This Row],[Decade]]</f>
        <v>72.443596007499025</v>
      </c>
      <c r="G95" t="str">
        <f>COMPLEX(0,2*PI()*Table3[[#This Row],[f]],"j")</f>
        <v>455.176538033572j</v>
      </c>
      <c r="H95" t="str">
        <f>IMDIV(_R2,
 IMSUM(_R1,_R2,
 IMPRODUCT(Table3[[#This Row],[s]],_R1,_R2,_C)))</f>
        <v>0.0649613971589645-0.0470645649957506j</v>
      </c>
      <c r="I95">
        <f>20*LOG(IMABS(Table3[[#This Row],[H(s)]]))</f>
        <v>-21.914476424342475</v>
      </c>
      <c r="J95">
        <f>DEGREES(IMARGUMENT(Table3[[#This Row],[H(s)]]))</f>
        <v>-35.923348548438035</v>
      </c>
    </row>
    <row r="96" spans="5:10" ht="16.5" customHeight="1" x14ac:dyDescent="0.35">
      <c r="E96">
        <v>-0.11999999999999988</v>
      </c>
      <c r="F96">
        <f>_fc*10^Table3[[#This Row],[Decade]]</f>
        <v>75.857757502918403</v>
      </c>
      <c r="G96" t="str">
        <f>COMPLEX(0,2*PI()*Table3[[#This Row],[f]],"j")</f>
        <v>476.628347377929j</v>
      </c>
      <c r="H96" t="str">
        <f>IMDIV(_R2,
 IMSUM(_R1,_R2,
 IMPRODUCT(Table3[[#This Row],[s]],_R1,_R2,_C)))</f>
        <v>0.0628733908882567-0.0476985937551666j</v>
      </c>
      <c r="I96">
        <f>20*LOG(IMABS(Table3[[#This Row],[H(s)]]))</f>
        <v>-22.056361160123082</v>
      </c>
      <c r="J96">
        <f>DEGREES(IMARGUMENT(Table3[[#This Row],[H(s)]]))</f>
        <v>-37.18559638369004</v>
      </c>
    </row>
    <row r="97" spans="5:10" ht="16.5" customHeight="1" x14ac:dyDescent="0.35">
      <c r="E97">
        <v>-9.9999999999999867E-2</v>
      </c>
      <c r="F97">
        <f>_fc*10^Table3[[#This Row],[Decade]]</f>
        <v>79.432823472428169</v>
      </c>
      <c r="G97" t="str">
        <f>COMPLEX(0,2*PI()*Table3[[#This Row],[f]],"j")</f>
        <v>499.09114934975j</v>
      </c>
      <c r="H97" t="str">
        <f>IMDIV(_R2,
 IMSUM(_R1,_R2,
 IMPRODUCT(Table3[[#This Row],[s]],_R1,_R2,_C)))</f>
        <v>0.0607329615217951-0.0482462042618742j</v>
      </c>
      <c r="I97">
        <f>20*LOG(IMABS(Table3[[#This Row],[H(s)]]))</f>
        <v>-22.206785402243028</v>
      </c>
      <c r="J97">
        <f>DEGREES(IMARGUMENT(Table3[[#This Row],[H(s)]]))</f>
        <v>-38.463594070762355</v>
      </c>
    </row>
    <row r="98" spans="5:10" ht="16.5" customHeight="1" x14ac:dyDescent="0.35">
      <c r="E98">
        <v>-8.0000000000000071E-2</v>
      </c>
      <c r="F98">
        <f>_fc*10^Table3[[#This Row],[Decade]]</f>
        <v>83.176377110267083</v>
      </c>
      <c r="G98" t="str">
        <f>COMPLEX(0,2*PI()*Table3[[#This Row],[f]],"j")</f>
        <v>522.612590563659j</v>
      </c>
      <c r="H98" t="str">
        <f>IMDIV(_R2,
 IMSUM(_R1,_R2,
 IMPRODUCT(Table3[[#This Row],[s]],_R1,_R2,_C)))</f>
        <v>0.0585475038410317-0.0487020313387708j</v>
      </c>
      <c r="I98">
        <f>20*LOG(IMABS(Table3[[#This Row],[H(s)]]))</f>
        <v>-22.365946156072059</v>
      </c>
      <c r="J98">
        <f>DEGREES(IMARGUMENT(Table3[[#This Row],[H(s)]]))</f>
        <v>-39.754966695606285</v>
      </c>
    </row>
    <row r="99" spans="5:10" ht="16.5" customHeight="1" x14ac:dyDescent="0.35">
      <c r="E99">
        <v>-6.0000000000000053E-2</v>
      </c>
      <c r="F99">
        <f>_fc*10^Table3[[#This Row],[Decade]]</f>
        <v>87.096358995608057</v>
      </c>
      <c r="G99" t="str">
        <f>COMPLEX(0,2*PI()*Table3[[#This Row],[f]],"j")</f>
        <v>547.242563150043j</v>
      </c>
      <c r="H99" t="str">
        <f>IMDIV(_R2,
 IMSUM(_R1,_R2,
 IMPRODUCT(Table3[[#This Row],[s]],_R1,_R2,_C)))</f>
        <v>0.0563251150913471-0.0490614952237908j</v>
      </c>
      <c r="I99">
        <f>20*LOG(IMABS(Table3[[#This Row],[H(s)]]))</f>
        <v>-22.534009115598934</v>
      </c>
      <c r="J99">
        <f>DEGREES(IMARGUMENT(Table3[[#This Row],[H(s)]]))</f>
        <v>-41.057206637006857</v>
      </c>
    </row>
    <row r="100" spans="5:10" ht="16.5" customHeight="1" x14ac:dyDescent="0.35">
      <c r="E100">
        <v>-4.0000000000000036E-2</v>
      </c>
      <c r="F100">
        <f>_fc*10^Table3[[#This Row],[Decade]]</f>
        <v>91.201083935590958</v>
      </c>
      <c r="G100" t="str">
        <f>COMPLEX(0,2*PI()*Table3[[#This Row],[f]],"j")</f>
        <v>573.033310582957j</v>
      </c>
      <c r="H100" t="str">
        <f>IMDIV(_R2,
 IMSUM(_R1,_R2,
 IMPRODUCT(Table3[[#This Row],[s]],_R1,_R2,_C)))</f>
        <v>0.0540744854134027-0.0493209107195056j</v>
      </c>
      <c r="I100">
        <f>20*LOG(IMABS(Table3[[#This Row],[H(s)]]))</f>
        <v>-22.711106040941324</v>
      </c>
      <c r="J100">
        <f>DEGREES(IMARGUMENT(Table3[[#This Row],[H(s)]]))</f>
        <v>-42.36769597704118</v>
      </c>
    </row>
    <row r="101" spans="5:10" ht="16.5" customHeight="1" x14ac:dyDescent="0.35">
      <c r="E101">
        <v>-2.0000000000000018E-2</v>
      </c>
      <c r="F101">
        <f>_fc*10^Table3[[#This Row],[Decade]]</f>
        <v>95.499258602143584</v>
      </c>
      <c r="G101" t="str">
        <f>COMPLEX(0,2*PI()*Table3[[#This Row],[f]],"j")</f>
        <v>600.039538495532j</v>
      </c>
      <c r="H101" t="str">
        <f>IMDIV(_R2,
 IMSUM(_R1,_R2,
 IMPRODUCT(Table3[[#This Row],[s]],_R1,_R2,_C)))</f>
        <v>0.0518047685151426-0.0494775776995189j</v>
      </c>
      <c r="I101">
        <f>20*LOG(IMABS(Table3[[#This Row],[H(s)]]))</f>
        <v>-22.897332619296122</v>
      </c>
      <c r="J101">
        <f>DEGREES(IMARGUMENT(Table3[[#This Row],[H(s)]]))</f>
        <v>-43.683731580403148</v>
      </c>
    </row>
    <row r="102" spans="5:10" ht="16.5" customHeight="1" x14ac:dyDescent="0.35">
      <c r="E102">
        <v>0</v>
      </c>
      <c r="F102">
        <f>_fc*10^Table3[[#This Row],[Decade]]</f>
        <v>100</v>
      </c>
      <c r="G102" t="str">
        <f>COMPLEX(0,2*PI()*Table3[[#This Row],[f]],"j")</f>
        <v>628.318530717959j</v>
      </c>
      <c r="H102" t="str">
        <f>IMDIV(_R2,
 IMSUM(_R1,_R2,
 IMPRODUCT(Table3[[#This Row],[s]],_R1,_R2,_C)))</f>
        <v>0.0495254364140721-0.0495298489177994j</v>
      </c>
      <c r="I102">
        <f>20*LOG(IMABS(Table3[[#This Row],[H(s)]]))</f>
        <v>-23.092746881731507</v>
      </c>
      <c r="J102">
        <f>DEGREES(IMARGUMENT(Table3[[#This Row],[H(s)]]))</f>
        <v>-45.002552290265434</v>
      </c>
    </row>
    <row r="103" spans="5:10" ht="16.5" customHeight="1" x14ac:dyDescent="0.35">
      <c r="E103">
        <v>2.0000000000000018E-2</v>
      </c>
      <c r="F103">
        <f>_fc*10^Table3[[#This Row],[Decade]]</f>
        <v>104.71285480508996</v>
      </c>
      <c r="G103" t="str">
        <f>COMPLEX(0,2*PI()*Table3[[#This Row],[f]],"j")</f>
        <v>657.930270784171j</v>
      </c>
      <c r="H103" t="str">
        <f>IMDIV(_R2,
 IMSUM(_R1,_R2,
 IMPRODUCT(Table3[[#This Row],[s]],_R1,_R2,_C)))</f>
        <v>0.0472461230031209-0.0494771719921498j</v>
      </c>
      <c r="I103">
        <f>20*LOG(IMABS(Table3[[#This Row],[H(s)]]))</f>
        <v>-23.29736823082003</v>
      </c>
      <c r="J103">
        <f>DEGREES(IMARGUMENT(Table3[[#This Row],[H(s)]]))</f>
        <v>-46.321367592113475</v>
      </c>
    </row>
    <row r="104" spans="5:10" ht="16.5" customHeight="1" x14ac:dyDescent="0.35">
      <c r="E104">
        <v>4.0000000000000036E-2</v>
      </c>
      <c r="F104">
        <f>_fc*10^Table3[[#This Row],[Decade]]</f>
        <v>109.64781961431851</v>
      </c>
      <c r="G104" t="str">
        <f>COMPLEX(0,2*PI()*Table3[[#This Row],[f]],"j")</f>
        <v>688.937569164964j</v>
      </c>
      <c r="H104" t="str">
        <f>IMDIV(_R2,
 IMSUM(_R1,_R2,
 IMPRODUCT(Table3[[#This Row],[s]],_R1,_R2,_C)))</f>
        <v>0.0449764618595716-0.0493201035866696j</v>
      </c>
      <c r="I104">
        <f>20*LOG(IMABS(Table3[[#This Row],[H(s)]]))</f>
        <v>-23.511177113474261</v>
      </c>
      <c r="J104">
        <f>DEGREES(IMARGUMENT(Table3[[#This Row],[H(s)]]))</f>
        <v>-47.637387028582189</v>
      </c>
    </row>
    <row r="105" spans="5:10" ht="16.5" customHeight="1" x14ac:dyDescent="0.35">
      <c r="E105">
        <v>6.0000000000000053E-2</v>
      </c>
      <c r="F105">
        <f>_fc*10^Table3[[#This Row],[Decade]]</f>
        <v>114.81536214968828</v>
      </c>
      <c r="G105" t="str">
        <f>COMPLEX(0,2*PI()*Table3[[#This Row],[f]],"j")</f>
        <v>721.406196497425j</v>
      </c>
      <c r="H105" t="str">
        <f>IMDIV(_R2,
 IMSUM(_R1,_R2,
 IMPRODUCT(Table3[[#This Row],[s]],_R1,_R2,_C)))</f>
        <v>0.0427259240652615-0.0490602951195578j</v>
      </c>
      <c r="I105">
        <f>20*LOG(IMABS(Table3[[#This Row],[H(s)]]))</f>
        <v>-23.734115350645041</v>
      </c>
      <c r="J105">
        <f>DEGREES(IMARGUMENT(Table3[[#This Row],[H(s)]]))</f>
        <v>-48.947849612825607</v>
      </c>
    </row>
    <row r="106" spans="5:10" ht="16.5" customHeight="1" x14ac:dyDescent="0.35">
      <c r="E106">
        <v>8.0000000000000071E-2</v>
      </c>
      <c r="F106">
        <f>_fc*10^Table3[[#This Row],[Decade]]</f>
        <v>120.22644346174131</v>
      </c>
      <c r="G106" t="str">
        <f>COMPLEX(0,2*PI()*Table3[[#This Row],[f]],"j")</f>
        <v>755.40502309327j</v>
      </c>
      <c r="H106" t="str">
        <f>IMDIV(_R2,
 IMSUM(_R1,_R2,
 IMPRODUCT(Table3[[#This Row],[s]],_R1,_R2,_C)))</f>
        <v>0.0405036618055793-0.0487004506751081j</v>
      </c>
      <c r="I106">
        <f>20*LOG(IMABS(Table3[[#This Row],[H(s)]]))</f>
        <v>-23.966087112132385</v>
      </c>
      <c r="J106">
        <f>DEGREES(IMARGUMENT(Table3[[#This Row],[H(s)]]))</f>
        <v>-50.250052488018511</v>
      </c>
    </row>
    <row r="107" spans="5:10" ht="16.5" customHeight="1" x14ac:dyDescent="0.35">
      <c r="E107">
        <v>0.10000000000000009</v>
      </c>
      <c r="F107">
        <f>_fc*10^Table3[[#This Row],[Decade]]</f>
        <v>125.89254117941675</v>
      </c>
      <c r="G107" t="str">
        <f>COMPLEX(0,2*PI()*Table3[[#This Row],[f]],"j")</f>
        <v>791.006165022012j</v>
      </c>
      <c r="H107" t="str">
        <f>IMDIV(_R2,
 IMSUM(_R1,_R2,
 IMPRODUCT(Table3[[#This Row],[s]],_R1,_R2,_C)))</f>
        <v>0.0383183631647405-0.0482442590998482j</v>
      </c>
      <c r="I107">
        <f>20*LOG(IMABS(Table3[[#This Row],[H(s)]]))</f>
        <v>-24.206960502062216</v>
      </c>
      <c r="J107">
        <f>DEGREES(IMARGUMENT(Table3[[#This Row],[H(s)]]))</f>
        <v>-51.54137811622504</v>
      </c>
    </row>
    <row r="108" spans="5:10" ht="16.5" customHeight="1" x14ac:dyDescent="0.35">
      <c r="E108">
        <v>0.12000000000000011</v>
      </c>
      <c r="F108">
        <f>_fc*10^Table3[[#This Row],[Decade]]</f>
        <v>131.82567385564076</v>
      </c>
      <c r="G108" t="str">
        <f>COMPLEX(0,2*PI()*Table3[[#This Row],[f]],"j")</f>
        <v>828.28513707881j</v>
      </c>
      <c r="H108" t="str">
        <f>IMDIV(_R2,
 IMSUM(_R1,_R2,
 IMPRODUCT(Table3[[#This Row],[s]],_R1,_R2,_C)))</f>
        <v>0.0361781228675266-0.0476963034156882j</v>
      </c>
      <c r="I108">
        <f>20*LOG(IMABS(Table3[[#This Row],[H(s)]]))</f>
        <v>-24.456569699956315</v>
      </c>
      <c r="J108">
        <f>DEGREES(IMARGUMENT(Table3[[#This Row],[H(s)]]))</f>
        <v>-52.819319348391723</v>
      </c>
    </row>
    <row r="109" spans="5:10" ht="16.5" customHeight="1" x14ac:dyDescent="0.35">
      <c r="E109">
        <v>0.14000000000000012</v>
      </c>
      <c r="F109">
        <f>_fc*10^Table3[[#This Row],[Decade]]</f>
        <v>138.03842646028852</v>
      </c>
      <c r="G109" t="str">
        <f>COMPLEX(0,2*PI()*Table3[[#This Row],[f]],"j")</f>
        <v>867.321012961475j</v>
      </c>
      <c r="H109" t="str">
        <f>IMDIV(_R2,
 IMSUM(_R1,_R2,
 IMPRODUCT(Table3[[#This Row],[s]],_R1,_R2,_C)))</f>
        <v>0.0340903327931399-0.0470619516069884j</v>
      </c>
      <c r="I109">
        <f>20*LOG(IMABS(Table3[[#This Row],[H(s)]]))</f>
        <v>-24.714717584933503</v>
      </c>
      <c r="J109">
        <f>DEGREES(IMARGUMENT(Table3[[#This Row],[H(s)]]))</f>
        <v>-54.081501823553296</v>
      </c>
    </row>
    <row r="110" spans="5:10" ht="16.5" customHeight="1" x14ac:dyDescent="0.35">
      <c r="E110">
        <v>0.16000000000000014</v>
      </c>
      <c r="F110">
        <f>_fc*10^Table3[[#This Row],[Decade]]</f>
        <v>144.54397707459282</v>
      </c>
      <c r="G110" t="str">
        <f>COMPLEX(0,2*PI()*Table3[[#This Row],[f]],"j")</f>
        <v>908.196592996385j</v>
      </c>
      <c r="H110" t="str">
        <f>IMDIV(_R2,
 IMSUM(_R1,_R2,
 IMPRODUCT(Table3[[#This Row],[s]],_R1,_R2,_C)))</f>
        <v>0.0320615949854028-0.0463472334770683j</v>
      </c>
      <c r="I110">
        <f>20*LOG(IMABS(Table3[[#This Row],[H(s)]]))</f>
        <v>-24.981178757312286</v>
      </c>
      <c r="J110">
        <f>DEGREES(IMARGUMENT(Table3[[#This Row],[H(s)]]))</f>
        <v>-55.325703262587119</v>
      </c>
    </row>
    <row r="111" spans="5:10" ht="16.5" customHeight="1" x14ac:dyDescent="0.35">
      <c r="E111">
        <v>0.18000000000000016</v>
      </c>
      <c r="F111">
        <f>_fc*10^Table3[[#This Row],[Decade]]</f>
        <v>151.35612484362088</v>
      </c>
      <c r="G111" t="str">
        <f>COMPLEX(0,2*PI()*Table3[[#This Row],[f]],"j")</f>
        <v>950.998579769078j</v>
      </c>
      <c r="H111" t="str">
        <f>IMDIV(_R2,
 IMSUM(_R1,_R2,
 IMPRODUCT(Table3[[#This Row],[s]],_R1,_R2,_C)))</f>
        <v>0.0300976586962694-0.0455587085950288j</v>
      </c>
      <c r="I111">
        <f>20*LOG(IMABS(Table3[[#This Row],[H(s)]]))</f>
        <v>-25.255702863267903</v>
      </c>
      <c r="J111">
        <f>DEGREES(IMARGUMENT(Table3[[#This Row],[H(s)]]))</f>
        <v>-56.549869351956382</v>
      </c>
    </row>
    <row r="112" spans="5:10" ht="16.5" customHeight="1" x14ac:dyDescent="0.35">
      <c r="E112">
        <v>0.20000000000000018</v>
      </c>
      <c r="F112">
        <f>_fc*10^Table3[[#This Row],[Decade]]</f>
        <v>158.48931924611142</v>
      </c>
      <c r="G112" t="str">
        <f>COMPLEX(0,2*PI()*Table3[[#This Row],[f]],"j")</f>
        <v>995.817762032062j</v>
      </c>
      <c r="H112" t="str">
        <f>IMDIV(_R2,
 IMSUM(_R1,_R2,
 IMPRODUCT(Table3[[#This Row],[s]],_R1,_R2,_C)))</f>
        <v>0.0282033818178611-0.0447033303674684j</v>
      </c>
      <c r="I112">
        <f>20*LOG(IMABS(Table3[[#This Row],[H(s)]]))</f>
        <v>-25.538018124393595</v>
      </c>
      <c r="J112">
        <f>DEGREES(IMARGUMENT(Table3[[#This Row],[H(s)]]))</f>
        <v>-57.752126047475535</v>
      </c>
    </row>
    <row r="113" spans="5:10" ht="16.5" customHeight="1" x14ac:dyDescent="0.35">
      <c r="E113">
        <v>0.2200000000000002</v>
      </c>
      <c r="F113">
        <f>_fc*10^Table3[[#This Row],[Decade]]</f>
        <v>165.95869074375614</v>
      </c>
      <c r="G113" t="str">
        <f>COMPLEX(0,2*PI()*Table3[[#This Row],[f]],"j")</f>
        <v>1042.74920727993j</v>
      </c>
      <c r="H113" t="str">
        <f>IMDIV(_R2,
 IMSUM(_R1,_R2,
 IMPRODUCT(Table3[[#This Row],[s]],_R1,_R2,_C)))</f>
        <v>0.0263827159642921-0.043788310999908j</v>
      </c>
      <c r="I113">
        <f>20*LOG(IMABS(Table3[[#This Row],[H(s)]]))</f>
        <v>-25.827834974831344</v>
      </c>
      <c r="J113">
        <f>DEGREES(IMARGUMENT(Table3[[#This Row],[H(s)]]))</f>
        <v>-58.930788259218232</v>
      </c>
    </row>
    <row r="114" spans="5:10" ht="16.5" customHeight="1" x14ac:dyDescent="0.35">
      <c r="E114">
        <v>0.24000000000000021</v>
      </c>
      <c r="F114">
        <f>_fc*10^Table3[[#This Row],[Decade]]</f>
        <v>173.78008287493765</v>
      </c>
      <c r="G114" t="str">
        <f>COMPLEX(0,2*PI()*Table3[[#This Row],[f]],"j")</f>
        <v>1091.89246340026j</v>
      </c>
      <c r="H114" t="str">
        <f>IMDIV(_R2,
 IMSUM(_R1,_R2,
 IMPRODUCT(Table3[[#This Row],[s]],_R1,_R2,_C)))</f>
        <v>0.0246387135242827-0.0428209916084155j</v>
      </c>
      <c r="I114">
        <f>20*LOG(IMABS(Table3[[#This Row],[H(s)]]))</f>
        <v>-26.12484971358052</v>
      </c>
      <c r="J114">
        <f>DEGREES(IMARGUMENT(Table3[[#This Row],[H(s)]]))</f>
        <v>-60.084364999348722</v>
      </c>
    </row>
    <row r="115" spans="5:10" ht="16.5" customHeight="1" x14ac:dyDescent="0.35">
      <c r="E115">
        <v>0.26000000000000023</v>
      </c>
      <c r="F115">
        <f>_fc*10^Table3[[#This Row],[Decade]]</f>
        <v>181.97008586099847</v>
      </c>
      <c r="G115" t="str">
        <f>COMPLEX(0,2*PI()*Table3[[#This Row],[f]],"j")</f>
        <v>1143.35176982803j</v>
      </c>
      <c r="H115" t="str">
        <f>IMDIV(_R2,
 IMSUM(_R1,_R2,
 IMPRODUCT(Table3[[#This Row],[s]],_R1,_R2,_C)))</f>
        <v>0.0229735542640482-0.041808721065286j</v>
      </c>
      <c r="I115">
        <f>20*LOG(IMABS(Table3[[#This Row],[H(s)]]))</f>
        <v>-26.42874808794009</v>
      </c>
      <c r="J115">
        <f>DEGREES(IMARGUMENT(Table3[[#This Row],[H(s)]]))</f>
        <v>-61.211561179430866</v>
      </c>
    </row>
    <row r="116" spans="5:10" ht="16.5" customHeight="1" x14ac:dyDescent="0.35">
      <c r="E116">
        <v>0.28000000000000025</v>
      </c>
      <c r="F116">
        <f>_fc*10^Table3[[#This Row],[Decade]]</f>
        <v>190.54607179632484</v>
      </c>
      <c r="G116" t="str">
        <f>COMPLEX(0,2*PI()*Table3[[#This Row],[f]],"j")</f>
        <v>1197.23627865145j</v>
      </c>
      <c r="H116" t="str">
        <f>IMDIV(_R2,
 IMSUM(_R1,_R2,
 IMPRODUCT(Table3[[#This Row],[s]],_R1,_R2,_C)))</f>
        <v>0.0213885885399243-0.0407587463812772j</v>
      </c>
      <c r="I116">
        <f>20*LOG(IMABS(Table3[[#This Row],[H(s)]]))</f>
        <v>-26.739208734942103</v>
      </c>
      <c r="J116">
        <f>DEGREES(IMARGUMENT(Table3[[#This Row],[H(s)]]))</f>
        <v>-62.311276328985329</v>
      </c>
    </row>
    <row r="117" spans="5:10" ht="16.5" customHeight="1" x14ac:dyDescent="0.35">
      <c r="E117">
        <v>0.30000000000000027</v>
      </c>
      <c r="F117">
        <f>_fc*10^Table3[[#This Row],[Decade]]</f>
        <v>199.5262314968881</v>
      </c>
      <c r="G117" t="str">
        <f>COMPLEX(0,2*PI()*Table3[[#This Row],[f]],"j")</f>
        <v>1253.66028613816j</v>
      </c>
      <c r="H117" t="str">
        <f>IMDIV(_R2,
 IMSUM(_R1,_R2,
 IMPRODUCT(Table3[[#This Row],[s]],_R1,_R2,_C)))</f>
        <v>0.0198843938834787-0.03967811660658j</v>
      </c>
      <c r="I117">
        <f>20*LOG(IMABS(Table3[[#This Row],[H(s)]]))</f>
        <v>-27.055906420178133</v>
      </c>
      <c r="J117">
        <f>DEGREES(IMARGUMENT(Table3[[#This Row],[H(s)]]))</f>
        <v>-63.382600570803639</v>
      </c>
    </row>
    <row r="118" spans="5:10" ht="16.5" customHeight="1" x14ac:dyDescent="0.35">
      <c r="E118">
        <v>0.31999999999999984</v>
      </c>
      <c r="F118">
        <f>_fc*10^Table3[[#This Row],[Decade]]</f>
        <v>208.92961308540387</v>
      </c>
      <c r="G118" t="str">
        <f>COMPLEX(0,2*PI()*Table3[[#This Row],[f]],"j")</f>
        <v>1312.74347517293j</v>
      </c>
      <c r="H118" t="str">
        <f>IMDIV(_R2,
 IMSUM(_R1,_R2,
 IMPRODUCT(Table3[[#This Row],[s]],_R1,_R2,_C)))</f>
        <v>0.0184608416326253-0.038573601431438j</v>
      </c>
      <c r="I118">
        <f>20*LOG(IMABS(Table3[[#This Row],[H(s)]]))</f>
        <v>-27.378515026740104</v>
      </c>
      <c r="J118">
        <f>DEGREES(IMARGUMENT(Table3[[#This Row],[H(s)]]))</f>
        <v>-64.424808230555271</v>
      </c>
    </row>
    <row r="119" spans="5:10" ht="16.5" customHeight="1" x14ac:dyDescent="0.35">
      <c r="E119">
        <v>0.33999999999999986</v>
      </c>
      <c r="F119">
        <f>_fc*10^Table3[[#This Row],[Decade]]</f>
        <v>218.77616239495521</v>
      </c>
      <c r="G119" t="str">
        <f>COMPLEX(0,2*PI()*Table3[[#This Row],[f]],"j")</f>
        <v>1374.61116912112j</v>
      </c>
      <c r="H119" t="str">
        <f>IMDIV(_R2,
 IMSUM(_R1,_R2,
 IMPRODUCT(Table3[[#This Row],[s]],_R1,_R2,_C)))</f>
        <v>0.0171171703717592-0.037451624931643j</v>
      </c>
      <c r="I119">
        <f>20*LOG(IMABS(Table3[[#This Row],[H(s)]]))</f>
        <v>-27.706710260301541</v>
      </c>
      <c r="J119">
        <f>DEGREES(IMARGUMENT(Table3[[#This Row],[H(s)]]))</f>
        <v>-65.437349479694802</v>
      </c>
    </row>
    <row r="120" spans="5:10" ht="16.5" customHeight="1" x14ac:dyDescent="0.35">
      <c r="E120">
        <v>0.35999999999999988</v>
      </c>
      <c r="F120">
        <f>_fc*10^Table3[[#This Row],[Decade]]</f>
        <v>229.08676527677727</v>
      </c>
      <c r="G120" t="str">
        <f>COMPLEX(0,2*PI()*Table3[[#This Row],[f]],"j")</f>
        <v>1439.39459765635j</v>
      </c>
      <c r="H120" t="str">
        <f>IMDIV(_R2,
 IMSUM(_R1,_R2,
 IMPRODUCT(Table3[[#This Row],[s]],_R1,_R2,_C)))</f>
        <v>0.0158520631754983-0.0363182142670547j</v>
      </c>
      <c r="I120">
        <f>20*LOG(IMABS(Table3[[#This Row],[H(s)]]))</f>
        <v>-28.040172049010287</v>
      </c>
      <c r="J120">
        <f>DEGREES(IMARGUMENT(Table3[[#This Row],[H(s)]]))</f>
        <v>-66.419840413801111</v>
      </c>
    </row>
    <row r="121" spans="5:10" ht="16.5" customHeight="1" x14ac:dyDescent="0.35">
      <c r="E121">
        <v>0.37999999999999989</v>
      </c>
      <c r="F121">
        <f>_fc*10^Table3[[#This Row],[Decade]]</f>
        <v>239.88329190194898</v>
      </c>
      <c r="G121" t="str">
        <f>COMPLEX(0,2*PI()*Table3[[#This Row],[f]],"j")</f>
        <v>1507.2311751162j</v>
      </c>
      <c r="H121" t="str">
        <f>IMDIV(_R2,
 IMSUM(_R1,_R2,
 IMPRODUCT(Table3[[#This Row],[s]],_R1,_R2,_C)))</f>
        <v>0.0146637259844755-0.0351789626223287j</v>
      </c>
      <c r="I121">
        <f>20*LOG(IMABS(Table3[[#This Row],[H(s)]]))</f>
        <v>-28.378586628352767</v>
      </c>
      <c r="J121">
        <f>DEGREES(IMARGUMENT(Table3[[#This Row],[H(s)]]))</f>
        <v>-67.372051956189409</v>
      </c>
    </row>
    <row r="122" spans="5:10" ht="16.5" customHeight="1" x14ac:dyDescent="0.35">
      <c r="E122">
        <v>0.39999999999999991</v>
      </c>
      <c r="F122">
        <f>_fc*10^Table3[[#This Row],[Decade]]</f>
        <v>251.18864315095797</v>
      </c>
      <c r="G122" t="str">
        <f>COMPLEX(0,2*PI()*Table3[[#This Row],[f]],"j")</f>
        <v>1578.26479197648j</v>
      </c>
      <c r="H122" t="str">
        <f>IMDIV(_R2,
 IMSUM(_R1,_R2,
 IMPRODUCT(Table3[[#This Row],[s]],_R1,_R2,_C)))</f>
        <v>0.0135499648389353-0.0340390052853855j</v>
      </c>
      <c r="I122">
        <f>20*LOG(IMABS(Table3[[#This Row],[H(s)]]))</f>
        <v>-28.721648311150783</v>
      </c>
      <c r="J122">
        <f>DEGREES(IMARGUMENT(Table3[[#This Row],[H(s)]]))</f>
        <v>-68.293897952175286</v>
      </c>
    </row>
    <row r="123" spans="5:10" ht="16.5" customHeight="1" x14ac:dyDescent="0.35">
      <c r="E123">
        <v>0.41999999999999993</v>
      </c>
      <c r="F123">
        <f>_fc*10^Table3[[#This Row],[Decade]]</f>
        <v>263.02679918953817</v>
      </c>
      <c r="G123" t="str">
        <f>COMPLEX(0,2*PI()*Table3[[#This Row],[f]],"j")</f>
        <v>1652.64612006218j</v>
      </c>
      <c r="H123" t="str">
        <f>IMDIV(_R2,
 IMSUM(_R1,_R2,
 IMPRODUCT(Table3[[#This Row],[s]],_R1,_R2,_C)))</f>
        <v>0.012508260121691-0.032903007487908j</v>
      </c>
      <c r="I123">
        <f>20*LOG(IMABS(Table3[[#This Row],[H(s)]]))</f>
        <v>-29.069060951180006</v>
      </c>
      <c r="J123">
        <f>DEGREES(IMARGUMENT(Table3[[#This Row],[H(s)]]))</f>
        <v>-69.185422786083237</v>
      </c>
    </row>
    <row r="124" spans="5:10" ht="16.5" customHeight="1" x14ac:dyDescent="0.35">
      <c r="E124">
        <v>0.43999999999999995</v>
      </c>
      <c r="F124">
        <f>_fc*10^Table3[[#This Row],[Decade]]</f>
        <v>275.4228703338166</v>
      </c>
      <c r="G124" t="str">
        <f>COMPLEX(0,2*PI()*Table3[[#This Row],[f]],"j")</f>
        <v>1730.53293214266j</v>
      </c>
      <c r="H124" t="str">
        <f>IMDIV(_R2,
 IMSUM(_R1,_R2,
 IMPRODUCT(Table3[[#This Row],[s]],_R1,_R2,_C)))</f>
        <v>0.0115358363871643-0.0317751624728673j</v>
      </c>
      <c r="I124">
        <f>20*LOG(IMABS(Table3[[#This Row],[H(s)]]))</f>
        <v>-29.42053911550023</v>
      </c>
      <c r="J124">
        <f>DEGREES(IMARGUMENT(Table3[[#This Row],[H(s)]]))</f>
        <v>-70.046788814090888</v>
      </c>
    </row>
    <row r="125" spans="5:10" ht="16.5" customHeight="1" x14ac:dyDescent="0.35">
      <c r="E125">
        <v>0.45999999999999996</v>
      </c>
      <c r="F125">
        <f>_fc*10^Table3[[#This Row],[Decade]]</f>
        <v>288.40315031266061</v>
      </c>
      <c r="G125" t="str">
        <f>COMPLEX(0,2*PI()*Table3[[#This Row],[f]],"j")</f>
        <v>1812.09043658881j</v>
      </c>
      <c r="H125" t="str">
        <f>IMDIV(_R2,
 IMSUM(_R1,_R2,
 IMPRODUCT(Table3[[#This Row],[s]],_R1,_R2,_C)))</f>
        <v>0.010629726755276-0.0306591981914027j</v>
      </c>
      <c r="I125">
        <f>20*LOG(IMABS(Table3[[#This Row],[H(s)]]))</f>
        <v>-29.775808985511432</v>
      </c>
      <c r="J125">
        <f>DEGREES(IMARGUMENT(Table3[[#This Row],[H(s)]]))</f>
        <v>-70.878263864081134</v>
      </c>
    </row>
    <row r="126" spans="5:10" ht="16.5" customHeight="1" x14ac:dyDescent="0.35">
      <c r="E126">
        <v>0.48</v>
      </c>
      <c r="F126">
        <f>_fc*10^Table3[[#This Row],[Decade]]</f>
        <v>301.99517204020168</v>
      </c>
      <c r="G126" t="str">
        <f>COMPLEX(0,2*PI()*Table3[[#This Row],[f]],"j")</f>
        <v>1897.49162780217j</v>
      </c>
      <c r="H126" t="str">
        <f>IMDIV(_R2,
 IMSUM(_R1,_R2,
 IMPRODUCT(Table3[[#This Row],[s]],_R1,_R2,_C)))</f>
        <v>0.009786831212127-0.0295583910474537j</v>
      </c>
      <c r="I126">
        <f>20*LOG(IMABS(Table3[[#This Row],[H(s)]]))</f>
        <v>-30.134609010126173</v>
      </c>
      <c r="J126">
        <f>DEGREES(IMARGUMENT(Table3[[#This Row],[H(s)]]))</f>
        <v>-71.680209011181887</v>
      </c>
    </row>
    <row r="127" spans="5:10" ht="16.5" customHeight="1" x14ac:dyDescent="0.35">
      <c r="E127">
        <v>0.5</v>
      </c>
      <c r="F127">
        <f>_fc*10^Table3[[#This Row],[Decade]]</f>
        <v>316.22776601683796</v>
      </c>
      <c r="G127" t="str">
        <f>COMPLEX(0,2*PI()*Table3[[#This Row],[f]],"j")</f>
        <v>1986.91765315922j</v>
      </c>
      <c r="H127" t="str">
        <f>IMDIV(_R2,
 IMSUM(_R1,_R2,
 IMPRODUCT(Table3[[#This Row],[s]],_R1,_R2,_C)))</f>
        <v>0.00900396847412883-0.0284755851849462j</v>
      </c>
      <c r="I127">
        <f>20*LOG(IMABS(Table3[[#This Row],[H(s)]]))</f>
        <v>-30.496690336453053</v>
      </c>
      <c r="J127">
        <f>DEGREES(IMARGUMENT(Table3[[#This Row],[H(s)]]))</f>
        <v>-72.453066796451338</v>
      </c>
    </row>
    <row r="128" spans="5:10" ht="16.5" customHeight="1" x14ac:dyDescent="0.35">
      <c r="E128">
        <v>0.52</v>
      </c>
      <c r="F128">
        <f>_fc*10^Table3[[#This Row],[Decade]]</f>
        <v>331.13112148259114</v>
      </c>
      <c r="G128" t="str">
        <f>COMPLEX(0,2*PI()*Table3[[#This Row],[f]],"j")</f>
        <v>2080.55819724932j</v>
      </c>
      <c r="H128" t="str">
        <f>IMDIV(_R2,
 IMSUM(_R1,_R2,
 IMPRODUCT(Table3[[#This Row],[s]],_R1,_R2,_C)))</f>
        <v>0.00827792133417923-0.0274132159315563j</v>
      </c>
      <c r="I128">
        <f>20*LOG(IMABS(Table3[[#This Row],[H(s)]]))</f>
        <v>-30.861817044224868</v>
      </c>
      <c r="J128">
        <f>DEGREES(IMARGUMENT(Table3[[#This Row],[H(s)]]))</f>
        <v>-73.197350017576966</v>
      </c>
    </row>
    <row r="129" spans="5:10" ht="16.5" customHeight="1" x14ac:dyDescent="0.35">
      <c r="E129">
        <v>0.54</v>
      </c>
      <c r="F129">
        <f>_fc*10^Table3[[#This Row],[Decade]]</f>
        <v>346.73685045253171</v>
      </c>
      <c r="G129" t="str">
        <f>COMPLEX(0,2*PI()*Table3[[#This Row],[f]],"j")</f>
        <v>2178.61188422107j</v>
      </c>
      <c r="H129" t="str">
        <f>IMDIV(_R2,
 IMSUM(_R1,_R2,
 IMPRODUCT(Table3[[#This Row],[s]],_R1,_R2,_C)))</f>
        <v>0.0076054756174307-0.0263733361594878j</v>
      </c>
      <c r="I129">
        <f>20*LOG(IMABS(Table3[[#This Row],[H(s)]]))</f>
        <v>-31.229766210094908</v>
      </c>
      <c r="J129">
        <f>DEGREES(IMARGUMENT(Table3[[#This Row],[H(s)]]))</f>
        <v>-73.913631185452005</v>
      </c>
    </row>
    <row r="130" spans="5:10" ht="16.5" customHeight="1" x14ac:dyDescent="0.35">
      <c r="E130">
        <v>0.56000000000000005</v>
      </c>
      <c r="F130">
        <f>_fc*10^Table3[[#This Row],[Decade]]</f>
        <v>363.0780547701014</v>
      </c>
      <c r="G130" t="str">
        <f>COMPLEX(0,2*PI()*Table3[[#This Row],[f]],"j")</f>
        <v>2281.28669909085j</v>
      </c>
      <c r="H130" t="str">
        <f>IMDIV(_R2,
 IMSUM(_R1,_R2,
 IMPRODUCT(Table3[[#This Row],[s]],_R1,_R2,_C)))</f>
        <v>0.0069834530330411-0.0253576444841175j</v>
      </c>
      <c r="I130">
        <f>20*LOG(IMABS(Table3[[#This Row],[H(s)]]))</f>
        <v>-31.600327827073414</v>
      </c>
      <c r="J130">
        <f>DEGREES(IMARGUMENT(Table3[[#This Row],[H(s)]]))</f>
        <v>-74.602532709591813</v>
      </c>
    </row>
    <row r="131" spans="5:10" ht="16.5" customHeight="1" x14ac:dyDescent="0.35">
      <c r="E131">
        <v>0.58000000000000007</v>
      </c>
      <c r="F131">
        <f>_fc*10^Table3[[#This Row],[Decade]]</f>
        <v>380.18939632056129</v>
      </c>
      <c r="G131" t="str">
        <f>COMPLEX(0,2*PI()*Table3[[#This Row],[f]],"j")</f>
        <v>2388.80042890683j</v>
      </c>
      <c r="H131" t="str">
        <f>IMDIV(_R2,
 IMSUM(_R1,_R2,
 IMPRODUCT(Table3[[#This Row],[s]],_R1,_R2,_C)))</f>
        <v>0.00640873832188764-0.024367514385236j</v>
      </c>
      <c r="I131">
        <f>20*LOG(IMABS(Table3[[#This Row],[H(s)]]))</f>
        <v>-31.973304602974896</v>
      </c>
      <c r="J131">
        <f>DEGREES(IMARGUMENT(Table3[[#This Row],[H(s)]]))</f>
        <v>-75.264717848791975</v>
      </c>
    </row>
    <row r="132" spans="5:10" ht="16.5" customHeight="1" x14ac:dyDescent="0.35">
      <c r="E132">
        <v>0.60000000000000009</v>
      </c>
      <c r="F132">
        <f>_fc*10^Table3[[#This Row],[Decade]]</f>
        <v>398.10717055349738</v>
      </c>
      <c r="G132" t="str">
        <f>COMPLEX(0,2*PI()*Table3[[#This Row],[f]],"j")</f>
        <v>2501.38112470457j</v>
      </c>
      <c r="H132" t="str">
        <f>IMDIV(_R2,
 IMSUM(_R1,_R2,
 IMPRODUCT(Table3[[#This Row],[s]],_R1,_R2,_C)))</f>
        <v>0.00587830117457483-0.023404023494946j</v>
      </c>
      <c r="I132">
        <f>20*LOG(IMABS(Table3[[#This Row],[H(s)]]))</f>
        <v>-32.348511659971727</v>
      </c>
      <c r="J132">
        <f>DEGREES(IMARGUMENT(Table3[[#This Row],[H(s)]]))</f>
        <v>-75.900882441190362</v>
      </c>
    </row>
    <row r="133" spans="5:10" ht="16.5" customHeight="1" x14ac:dyDescent="0.35">
      <c r="E133">
        <v>0.62000000000000011</v>
      </c>
      <c r="F133">
        <f>_fc*10^Table3[[#This Row],[Decade]]</f>
        <v>416.86938347033555</v>
      </c>
      <c r="G133" t="str">
        <f>COMPLEX(0,2*PI()*Table3[[#This Row],[f]],"j")</f>
        <v>2619.26758523382j</v>
      </c>
      <c r="H133" t="str">
        <f>IMDIV(_R2,
 IMSUM(_R1,_R2,
 IMPRODUCT(Table3[[#This Row],[s]],_R1,_R2,_C)))</f>
        <v>0.00538921343563559-0.0224679824454592j</v>
      </c>
      <c r="I133">
        <f>20*LOG(IMABS(Table3[[#This Row],[H(s)]]))</f>
        <v>-32.725776155337073</v>
      </c>
      <c r="J133">
        <f>DEGREES(IMARGUMENT(Table3[[#This Row],[H(s)]]))</f>
        <v>-76.51174740977568</v>
      </c>
    </row>
    <row r="134" spans="5:10" ht="16.5" customHeight="1" x14ac:dyDescent="0.35">
      <c r="E134">
        <v>0.64000000000000012</v>
      </c>
      <c r="F134">
        <f>_fc*10^Table3[[#This Row],[Decade]]</f>
        <v>436.51583224016611</v>
      </c>
      <c r="G134" t="str">
        <f>COMPLEX(0,2*PI()*Table3[[#This Row],[f]],"j")</f>
        <v>2742.70986348268j</v>
      </c>
      <c r="H134" t="str">
        <f>IMDIV(_R2,
 IMSUM(_R1,_R2,
 IMPRODUCT(Table3[[#This Row],[s]],_R1,_R2,_C)))</f>
        <v>0.0049386621249867-0.0215599628053965j</v>
      </c>
      <c r="I134">
        <f>20*LOG(IMABS(Table3[[#This Row],[H(s)]]))</f>
        <v>-33.104936841342635</v>
      </c>
      <c r="J134">
        <f>DEGREES(IMARGUMENT(Table3[[#This Row],[H(s)]]))</f>
        <v>-77.09805202505656</v>
      </c>
    </row>
    <row r="135" spans="5:10" ht="16.5" customHeight="1" x14ac:dyDescent="0.35">
      <c r="E135">
        <v>0.66000000000000014</v>
      </c>
      <c r="F135">
        <f>_fc*10^Table3[[#This Row],[Decade]]</f>
        <v>457.08818961487526</v>
      </c>
      <c r="G135" t="str">
        <f>COMPLEX(0,2*PI()*Table3[[#This Row],[f]],"j")</f>
        <v>2871.9697970735j</v>
      </c>
      <c r="H135" t="str">
        <f>IMDIV(_R2,
 IMSUM(_R1,_R2,
 IMPRODUCT(Table3[[#This Row],[s]],_R1,_R2,_C)))</f>
        <v>0.00452395880242134-0.0206803237528109j</v>
      </c>
      <c r="I135">
        <f>20*LOG(IMABS(Table3[[#This Row],[H(s)]]))</f>
        <v>-33.485843580133171</v>
      </c>
      <c r="J135">
        <f>DEGREES(IMARGUMENT(Table3[[#This Row],[H(s)]]))</f>
        <v>-77.660547895682171</v>
      </c>
    </row>
    <row r="136" spans="5:10" ht="16.5" customHeight="1" x14ac:dyDescent="0.35">
      <c r="E136">
        <v>0.68000000000000016</v>
      </c>
      <c r="F136">
        <f>_fc*10^Table3[[#This Row],[Decade]]</f>
        <v>478.63009232263869</v>
      </c>
      <c r="G136" t="str">
        <f>COMPLEX(0,2*PI()*Table3[[#This Row],[f]],"j")</f>
        <v>3007.32156365561j</v>
      </c>
      <c r="H136" t="str">
        <f>IMDIV(_R2,
 IMSUM(_R1,_R2,
 IMPRODUCT(Table3[[#This Row],[s]],_R1,_R2,_C)))</f>
        <v>0.0041425457805137-0.0198292372362819j</v>
      </c>
      <c r="I136">
        <f>20*LOG(IMABS(Table3[[#This Row],[H(s)]]))</f>
        <v>-33.868356827316092</v>
      </c>
      <c r="J136">
        <f>DEGREES(IMARGUMENT(Table3[[#This Row],[H(s)]]))</f>
        <v>-78.199993649841829</v>
      </c>
    </row>
    <row r="137" spans="5:10" ht="16.5" customHeight="1" x14ac:dyDescent="0.35">
      <c r="E137">
        <v>0.70000000000000018</v>
      </c>
      <c r="F137">
        <f>_fc*10^Table3[[#This Row],[Decade]]</f>
        <v>501.18723362727263</v>
      </c>
      <c r="G137" t="str">
        <f>COMPLEX(0,2*PI()*Table3[[#This Row],[f]],"j")</f>
        <v>3149.05226247286j</v>
      </c>
      <c r="H137" t="str">
        <f>IMDIV(_R2,
 IMSUM(_R1,_R2,
 IMPRODUCT(Table3[[#This Row],[s]],_R1,_R2,_C)))</f>
        <v>0.00379199966034487-0.0190067114623537j</v>
      </c>
      <c r="I137">
        <f>20*LOG(IMABS(Table3[[#This Row],[H(s)]]))</f>
        <v>-34.252347096022326</v>
      </c>
      <c r="J137">
        <f>DEGREES(IMARGUMENT(Table3[[#This Row],[H(s)]]))</f>
        <v>-78.717150264842573</v>
      </c>
    </row>
    <row r="138" spans="5:10" ht="16.5" customHeight="1" x14ac:dyDescent="0.35">
      <c r="E138">
        <v>0.7200000000000002</v>
      </c>
      <c r="F138">
        <f>_fc*10^Table3[[#This Row],[Decade]]</f>
        <v>524.80746024977293</v>
      </c>
      <c r="G138" t="str">
        <f>COMPLEX(0,2*PI()*Table3[[#This Row],[f]],"j")</f>
        <v>3297.46252333961j</v>
      </c>
      <c r="H138" t="str">
        <f>IMDIV(_R2,
 IMSUM(_R1,_R2,
 IMPRODUCT(Table3[[#This Row],[s]],_R1,_R2,_C)))</f>
        <v>0.00347003262673057-0.0182126126192048j</v>
      </c>
      <c r="I138">
        <f>20*LOG(IMABS(Table3[[#This Row],[H(s)]]))</f>
        <v>-34.637694411353507</v>
      </c>
      <c r="J138">
        <f>DEGREES(IMARGUMENT(Table3[[#This Row],[H(s)]]))</f>
        <v>-79.212776998942445</v>
      </c>
    </row>
    <row r="139" spans="5:10" ht="16.5" customHeight="1" x14ac:dyDescent="0.35">
      <c r="E139">
        <v>0.74000000000000021</v>
      </c>
      <c r="F139">
        <f>_fc*10^Table3[[#This Row],[Decade]]</f>
        <v>549.54087385762489</v>
      </c>
      <c r="G139" t="str">
        <f>COMPLEX(0,2*PI()*Table3[[#This Row],[f]],"j")</f>
        <v>3452.86714431686j</v>
      </c>
      <c r="H139" t="str">
        <f>IMDIV(_R2,
 IMSUM(_R1,_R2,
 IMPRODUCT(Table3[[#This Row],[s]],_R1,_R2,_C)))</f>
        <v>0.00317449189818869-0.0174466848040671j</v>
      </c>
      <c r="I139">
        <f>20*LOG(IMABS(Table3[[#This Row],[H(s)]]))</f>
        <v>-35.024287763450801</v>
      </c>
      <c r="J139">
        <f>DEGREES(IMARGUMENT(Table3[[#This Row],[H(s)]]))</f>
        <v>-79.68762787791286</v>
      </c>
    </row>
    <row r="140" spans="5:10" ht="16.5" customHeight="1" x14ac:dyDescent="0.35">
      <c r="E140">
        <v>0.76000000000000023</v>
      </c>
      <c r="F140">
        <f>_fc*10^Table3[[#This Row],[Decade]]</f>
        <v>575.4399373371574</v>
      </c>
      <c r="G140" t="str">
        <f>COMPLEX(0,2*PI()*Table3[[#This Row],[f]],"j")</f>
        <v>3615.59575944117j</v>
      </c>
      <c r="H140" t="str">
        <f>IMDIV(_R2,
 IMSUM(_R1,_R2,
 IMPRODUCT(Table3[[#This Row],[s]],_R1,_R2,_C)))</f>
        <v>0.00290335768410044-0.0167085681671183j</v>
      </c>
      <c r="I140">
        <f>20*LOG(IMABS(Table3[[#This Row],[H(s)]]))</f>
        <v>-35.412024565909526</v>
      </c>
      <c r="J140">
        <f>DEGREES(IMARGUMENT(Table3[[#This Row],[H(s)]]))</f>
        <v>-80.142448688567299</v>
      </c>
    </row>
    <row r="141" spans="5:10" ht="16.5" customHeight="1" x14ac:dyDescent="0.35">
      <c r="E141">
        <v>0.78000000000000025</v>
      </c>
      <c r="F141">
        <f>_fc*10^Table3[[#This Row],[Decade]]</f>
        <v>602.55958607435821</v>
      </c>
      <c r="G141" t="str">
        <f>COMPLEX(0,2*PI()*Table3[[#This Row],[f]],"j")</f>
        <v>3785.99353792262j</v>
      </c>
      <c r="H141" t="str">
        <f>IMDIV(_R2,
 IMSUM(_R1,_R2,
 IMPRODUCT(Table3[[#This Row],[s]],_R1,_R2,_C)))</f>
        <v>0.00265473995916583-0.015997815318972j</v>
      </c>
      <c r="I141">
        <f>20*LOG(IMABS(Table3[[#This Row],[H(s)]]))</f>
        <v>-35.800810124928574</v>
      </c>
      <c r="J141">
        <f>DEGREES(IMARGUMENT(Table3[[#This Row],[H(s)]]))</f>
        <v>-80.577974432311308</v>
      </c>
    </row>
    <row r="142" spans="5:10" ht="16.5" customHeight="1" x14ac:dyDescent="0.35">
      <c r="E142">
        <v>0.80000000000000027</v>
      </c>
      <c r="F142">
        <f>_fc*10^Table3[[#This Row],[Decade]]</f>
        <v>630.9573444801938</v>
      </c>
      <c r="G142" t="str">
        <f>COMPLEX(0,2*PI()*Table3[[#This Row],[f]],"j")</f>
        <v>3964.421916295j</v>
      </c>
      <c r="H142" t="str">
        <f>IMDIV(_R2,
 IMSUM(_R1,_R2,
 IMPRODUCT(Table3[[#This Row],[s]],_R1,_R2,_C)))</f>
        <v>0.00242687432460459-0.01531390607412j</v>
      </c>
      <c r="I142">
        <f>20*LOG(IMABS(Table3[[#This Row],[H(s)]]))</f>
        <v>-36.190557123411978</v>
      </c>
      <c r="J142">
        <f>DEGREES(IMARGUMENT(Table3[[#This Row],[H(s)]]))</f>
        <v>-80.994927193380136</v>
      </c>
    </row>
    <row r="143" spans="5:10" ht="16.5" customHeight="1" x14ac:dyDescent="0.35">
      <c r="E143">
        <v>0.81999999999999984</v>
      </c>
      <c r="F143">
        <f>_fc*10^Table3[[#This Row],[Decade]]</f>
        <v>660.69344800759586</v>
      </c>
      <c r="G143" t="str">
        <f>COMPLEX(0,2*PI()*Table3[[#This Row],[f]],"j")</f>
        <v>4151.25936507115j</v>
      </c>
      <c r="H143" t="str">
        <f>IMDIV(_R2,
 IMSUM(_R1,_R2,
 IMPRODUCT(Table3[[#This Row],[s]],_R1,_R2,_C)))</f>
        <v>0.00221811718746182-0.0146562606202476j</v>
      </c>
      <c r="I143">
        <f>20*LOG(IMABS(Table3[[#This Row],[H(s)]]))</f>
        <v>-36.581185123231606</v>
      </c>
      <c r="J143">
        <f>DEGREES(IMARGUMENT(Table3[[#This Row],[H(s)]]))</f>
        <v>-81.394014378605789</v>
      </c>
    </row>
    <row r="144" spans="5:10" ht="16.5" customHeight="1" x14ac:dyDescent="0.35">
      <c r="E144">
        <v>0.83999999999999986</v>
      </c>
      <c r="F144">
        <f>_fc*10^Table3[[#This Row],[Decade]]</f>
        <v>691.83097091893626</v>
      </c>
      <c r="G144" t="str">
        <f>COMPLEX(0,2*PI()*Table3[[#This Row],[f]],"j")</f>
        <v>4346.90219152965j</v>
      </c>
      <c r="H144" t="str">
        <f>IMDIV(_R2,
 IMSUM(_R1,_R2,
 IMPRODUCT(Table3[[#This Row],[s]],_R1,_R2,_C)))</f>
        <v>0.00202694045436882-0.0140242512146578j</v>
      </c>
      <c r="I144">
        <f>20*LOG(IMABS(Table3[[#This Row],[H(s)]]))</f>
        <v>-36.972620087996034</v>
      </c>
      <c r="J144">
        <f>DEGREES(IMARGUMENT(Table3[[#This Row],[H(s)]]))</f>
        <v>-81.775927288115085</v>
      </c>
    </row>
    <row r="145" spans="5:10" ht="16.5" customHeight="1" x14ac:dyDescent="0.35">
      <c r="E145">
        <v>0.85999999999999988</v>
      </c>
      <c r="F145">
        <f>_fc*10^Table3[[#This Row],[Decade]]</f>
        <v>724.43596007499002</v>
      </c>
      <c r="G145" t="str">
        <f>COMPLEX(0,2*PI()*Table3[[#This Row],[f]],"j")</f>
        <v>4551.76538033571j</v>
      </c>
      <c r="H145" t="str">
        <f>IMDIV(_R2,
 IMSUM(_R1,_R2,
 IMPRODUCT(Table3[[#This Row],[s]],_R1,_R2,_C)))</f>
        <v>0.00185192590445344-0.0134172125153307j</v>
      </c>
      <c r="I145">
        <f>20*LOG(IMABS(Table3[[#This Row],[H(s)]]))</f>
        <v>-37.364793927944746</v>
      </c>
      <c r="J145">
        <f>DEGREES(IMARGUMENT(Table3[[#This Row],[H(s)]]))</f>
        <v>-82.141339979147105</v>
      </c>
    </row>
    <row r="146" spans="5:10" ht="16.5" customHeight="1" x14ac:dyDescent="0.35">
      <c r="E146">
        <v>0.87999999999999989</v>
      </c>
      <c r="F146">
        <f>_fc*10^Table3[[#This Row],[Decade]]</f>
        <v>758.57757502918378</v>
      </c>
      <c r="G146" t="str">
        <f>COMPLEX(0,2*PI()*Table3[[#This Row],[f]],"j")</f>
        <v>4766.28347377929j</v>
      </c>
      <c r="H146" t="str">
        <f>IMDIV(_R2,
 IMSUM(_R1,_R2,
 IMPRODUCT(Table3[[#This Row],[s]],_R1,_R2,_C)))</f>
        <v>0.00169175937786468-0.012834450656507j</v>
      </c>
      <c r="I146">
        <f>20*LOG(IMABS(Table3[[#This Row],[H(s)]]))</f>
        <v>-37.757644067977751</v>
      </c>
      <c r="J146">
        <f>DEGREES(IMARGUMENT(Table3[[#This Row],[H(s)]]))</f>
        <v>-82.490908388087021</v>
      </c>
    </row>
    <row r="147" spans="5:10" ht="16.5" customHeight="1" x14ac:dyDescent="0.35">
      <c r="E147">
        <v>0.89999999999999991</v>
      </c>
      <c r="F147">
        <f>_fc*10^Table3[[#This Row],[Decade]]</f>
        <v>794.3282347242814</v>
      </c>
      <c r="G147" t="str">
        <f>COMPLEX(0,2*PI()*Table3[[#This Row],[f]],"j")</f>
        <v>4990.9114934975j</v>
      </c>
      <c r="H147" t="str">
        <f>IMDIV(_R2,
 IMSUM(_R1,_R2,
 IMPRODUCT(Table3[[#This Row],[s]],_R1,_R2,_C)))</f>
        <v>0.00154522489151425-0.0122752511780238j</v>
      </c>
      <c r="I147">
        <f>20*LOG(IMABS(Table3[[#This Row],[H(s)]]))</f>
        <v>-38.151113039332394</v>
      </c>
      <c r="J147">
        <f>DEGREES(IMARGUMENT(Table3[[#This Row],[H(s)]]))</f>
        <v>-82.825269678731445</v>
      </c>
    </row>
    <row r="148" spans="5:10" ht="16.5" customHeight="1" x14ac:dyDescent="0.35">
      <c r="E148">
        <v>0.91999999999999993</v>
      </c>
      <c r="F148">
        <f>_fc*10^Table3[[#This Row],[Decade]]</f>
        <v>831.76377110267106</v>
      </c>
      <c r="G148" t="str">
        <f>COMPLEX(0,2*PI()*Table3[[#This Row],[f]],"j")</f>
        <v>5226.12590563659j</v>
      </c>
      <c r="H148" t="str">
        <f>IMDIV(_R2,
 IMSUM(_R1,_R2,
 IMPRODUCT(Table3[[#This Row],[s]],_R1,_R2,_C)))</f>
        <v>0.0014111987719803-0.0117388859147318j</v>
      </c>
      <c r="I148">
        <f>20*LOG(IMABS(Table3[[#This Row],[H(s)]]))</f>
        <v>-38.545148095013182</v>
      </c>
      <c r="J148">
        <f>DEGREES(IMARGUMENT(Table3[[#This Row],[H(s)]]))</f>
        <v>-83.145041787680213</v>
      </c>
    </row>
    <row r="149" spans="5:10" ht="16.5" customHeight="1" x14ac:dyDescent="0.35">
      <c r="E149">
        <v>0.94</v>
      </c>
      <c r="F149">
        <f>_fc*10^Table3[[#This Row],[Decade]]</f>
        <v>870.96358995608045</v>
      </c>
      <c r="G149" t="str">
        <f>COMPLEX(0,2*PI()*Table3[[#This Row],[f]],"j")</f>
        <v>5472.42563150043j</v>
      </c>
      <c r="H149" t="str">
        <f>IMDIV(_R2,
 IMSUM(_R1,_R2,
 IMPRODUCT(Table3[[#This Row],[s]],_R1,_R2,_C)))</f>
        <v>0.0012886438768498-0.0112246189478175j</v>
      </c>
      <c r="I149">
        <f>20*LOG(IMABS(Table3[[#This Row],[H(s)]]))</f>
        <v>-38.939700848754988</v>
      </c>
      <c r="J149">
        <f>DEGREES(IMARGUMENT(Table3[[#This Row],[H(s)]]))</f>
        <v>-83.450823140521521</v>
      </c>
    </row>
    <row r="150" spans="5:10" ht="16.5" customHeight="1" x14ac:dyDescent="0.35">
      <c r="E150">
        <v>0.96</v>
      </c>
      <c r="F150">
        <f>_fc*10^Table3[[#This Row],[Decade]]</f>
        <v>912.01083935590987</v>
      </c>
      <c r="G150" t="str">
        <f>COMPLEX(0,2*PI()*Table3[[#This Row],[f]],"j")</f>
        <v>5730.33310582957j</v>
      </c>
      <c r="H150" t="str">
        <f>IMDIV(_R2,
 IMSUM(_R1,_R2,
 IMPRODUCT(Table3[[#This Row],[s]],_R1,_R2,_C)))</f>
        <v>0.00117660395983684-0.0107317117142545j</v>
      </c>
      <c r="I150">
        <f>20*LOG(IMABS(Table3[[#This Row],[H(s)]]))</f>
        <v>-39.334726937046625</v>
      </c>
      <c r="J150">
        <f>DEGREES(IMARGUMENT(Table3[[#This Row],[H(s)]]))</f>
        <v>-83.743192515118324</v>
      </c>
    </row>
    <row r="151" spans="5:10" ht="16.5" customHeight="1" x14ac:dyDescent="0.35">
      <c r="E151">
        <v>0.98</v>
      </c>
      <c r="F151">
        <f>_fc*10^Table3[[#This Row],[Decade]]</f>
        <v>954.99258602143584</v>
      </c>
      <c r="G151" t="str">
        <f>COMPLEX(0,2*PI()*Table3[[#This Row],[f]],"j")</f>
        <v>6000.39538495532j</v>
      </c>
      <c r="H151" t="str">
        <f>IMDIV(_R2,
 IMSUM(_R1,_R2,
 IMPRODUCT(Table3[[#This Row],[s]],_R1,_R2,_C)))</f>
        <v>0.0010741982215357-0.0102594273643327j</v>
      </c>
      <c r="I151">
        <f>20*LOG(IMABS(Table3[[#This Row],[H(s)]]))</f>
        <v>-39.730185703545011</v>
      </c>
      <c r="J151">
        <f>DEGREES(IMARGUMENT(Table3[[#This Row],[H(s)]]))</f>
        <v>-84.022709030784483</v>
      </c>
    </row>
    <row r="152" spans="5:10" ht="16.5" customHeight="1" x14ac:dyDescent="0.35">
      <c r="E152">
        <v>1</v>
      </c>
      <c r="F152">
        <f>_fc*10^Table3[[#This Row],[Decade]]</f>
        <v>1000</v>
      </c>
      <c r="G152" t="str">
        <f>COMPLEX(0,2*PI()*Table3[[#This Row],[f]],"j")</f>
        <v>6283.18530717959j</v>
      </c>
      <c r="H152" t="str">
        <f>IMDIV(_R2,
 IMSUM(_R1,_R2,
 IMPRODUCT(Table3[[#This Row],[s]],_R1,_R2,_C)))</f>
        <v>0.000980616076375928-0.00980703445057666j</v>
      </c>
      <c r="I152">
        <f>20*LOG(IMABS(Table3[[#This Row],[H(s)]]))</f>
        <v>-40.126039905065156</v>
      </c>
      <c r="J152">
        <f>DEGREES(IMARGUMENT(Table3[[#This Row],[H(s)]]))</f>
        <v>-84.289912244446754</v>
      </c>
    </row>
    <row r="153" spans="5:10" ht="16.5" customHeight="1" x14ac:dyDescent="0.35">
      <c r="E153">
        <v>1.02</v>
      </c>
      <c r="F153">
        <f>_fc*10^Table3[[#This Row],[Decade]]</f>
        <v>1047.1285480509</v>
      </c>
      <c r="G153" t="str">
        <f>COMPLEX(0,2*PI()*Table3[[#This Row],[f]],"j")</f>
        <v>6579.30270784171j</v>
      </c>
      <c r="H153" t="str">
        <f>IMDIV(_R2,
 IMSUM(_R1,_R2,
 IMPRODUCT(Table3[[#This Row],[s]],_R1,_R2,_C)))</f>
        <v>0.000895112156978497-0.00937381002461594j</v>
      </c>
      <c r="I153">
        <f>20*LOG(IMABS(Table3[[#This Row],[H(s)]]))</f>
        <v>-40.522255438227447</v>
      </c>
      <c r="J153">
        <f>DEGREES(IMARGUMENT(Table3[[#This Row],[H(s)]]))</f>
        <v>-84.545322337017382</v>
      </c>
    </row>
    <row r="154" spans="5:10" ht="16.5" customHeight="1" x14ac:dyDescent="0.35">
      <c r="E154">
        <v>1.04</v>
      </c>
      <c r="F154">
        <f>_fc*10^Table3[[#This Row],[Decade]]</f>
        <v>1096.4781961431854</v>
      </c>
      <c r="G154" t="str">
        <f>COMPLEX(0,2*PI()*Table3[[#This Row],[f]],"j")</f>
        <v>6889.37569164964j</v>
      </c>
      <c r="H154" t="str">
        <f>IMDIV(_R2,
 IMSUM(_R1,_R2,
 IMPRODUCT(Table3[[#This Row],[s]],_R1,_R2,_C)))</f>
        <v>0.000817001569417663-0.00895904221189323j</v>
      </c>
      <c r="I154">
        <f>20*LOG(IMABS(Table3[[#This Row],[H(s)]]))</f>
        <v>-40.918801085774462</v>
      </c>
      <c r="J154">
        <f>DEGREES(IMARGUMENT(Table3[[#This Row],[H(s)]]))</f>
        <v>-84.78944037515393</v>
      </c>
    </row>
    <row r="155" spans="5:10" ht="16.5" customHeight="1" x14ac:dyDescent="0.35">
      <c r="E155">
        <v>1.06</v>
      </c>
      <c r="F155">
        <f>_fc*10^Table3[[#This Row],[Decade]]</f>
        <v>1148.1536214968835</v>
      </c>
      <c r="G155" t="str">
        <f>COMPLEX(0,2*PI()*Table3[[#This Row],[f]],"j")</f>
        <v>7214.06196497425j</v>
      </c>
      <c r="H155" t="str">
        <f>IMDIV(_R2,
 IMSUM(_R1,_R2,
 IMPRODUCT(Table3[[#This Row],[s]],_R1,_R2,_C)))</f>
        <v>0.000745655406643991-0.00856203232762644j</v>
      </c>
      <c r="I155">
        <f>20*LOG(IMABS(Table3[[#This Row],[H(s)]]))</f>
        <v>-41.315648281526663</v>
      </c>
      <c r="J155">
        <f>DEGREES(IMARGUMENT(Table3[[#This Row],[H(s)]]))</f>
        <v>-85.022748635355669</v>
      </c>
    </row>
    <row r="156" spans="5:10" ht="16.5" customHeight="1" x14ac:dyDescent="0.35">
      <c r="E156">
        <v>1.08</v>
      </c>
      <c r="F156">
        <f>_fc*10^Table3[[#This Row],[Decade]]</f>
        <v>1202.2644346174134</v>
      </c>
      <c r="G156" t="str">
        <f>COMPLEX(0,2*PI()*Table3[[#This Row],[f]],"j")</f>
        <v>7554.0502309327j</v>
      </c>
      <c r="H156" t="str">
        <f>IMDIV(_R2,
 IMSUM(_R1,_R2,
 IMPRODUCT(Table3[[#This Row],[s]],_R1,_R2,_C)))</f>
        <v>0.000680496522309731-0.00818209659126738j</v>
      </c>
      <c r="I156">
        <f>20*LOG(IMABS(Table3[[#This Row],[H(s)]]))</f>
        <v>-41.712770892929385</v>
      </c>
      <c r="J156">
        <f>DEGREES(IMARGUMENT(Table3[[#This Row],[H(s)]]))</f>
        <v>-85.245710978953483</v>
      </c>
    </row>
    <row r="157" spans="5:10" ht="16.5" customHeight="1" x14ac:dyDescent="0.35">
      <c r="E157">
        <v>1.1000000000000001</v>
      </c>
      <c r="F157">
        <f>_fc*10^Table3[[#This Row],[Decade]]</f>
        <v>1258.925411794168</v>
      </c>
      <c r="G157" t="str">
        <f>COMPLEX(0,2*PI()*Table3[[#This Row],[f]],"j")</f>
        <v>7910.06165022013j</v>
      </c>
      <c r="H157" t="str">
        <f>IMDIV(_R2,
 IMSUM(_R1,_R2,
 IMPRODUCT(Table3[[#This Row],[s]],_R1,_R2,_C)))</f>
        <v>0.000620995563272863-0.0078185674908891j</v>
      </c>
      <c r="I157">
        <f>20*LOG(IMABS(Table3[[#This Row],[H(s)]]))</f>
        <v>-42.110145020141303</v>
      </c>
      <c r="J157">
        <f>DEGREES(IMARGUMENT(Table3[[#This Row],[H(s)]]))</f>
        <v>-85.458773267995923</v>
      </c>
    </row>
    <row r="158" spans="5:10" ht="16.5" customHeight="1" x14ac:dyDescent="0.35">
      <c r="E158">
        <v>1.1200000000000001</v>
      </c>
      <c r="F158">
        <f>_fc*10^Table3[[#This Row],[Decade]]</f>
        <v>1318.2567385564075</v>
      </c>
      <c r="G158" t="str">
        <f>COMPLEX(0,2*PI()*Table3[[#This Row],[f]],"j")</f>
        <v>8282.8513707881j</v>
      </c>
      <c r="H158" t="str">
        <f>IMDIV(_R2,
 IMSUM(_R1,_R2,
 IMPRODUCT(Table3[[#This Row],[s]],_R1,_R2,_C)))</f>
        <v>0.000566667255974293-0.0074707948435173j</v>
      </c>
      <c r="I158">
        <f>20*LOG(IMABS(Table3[[#This Row],[H(s)]]))</f>
        <v>-42.507748810629153</v>
      </c>
      <c r="J158">
        <f>DEGREES(IMARGUMENT(Table3[[#This Row],[H(s)]]))</f>
        <v>-85.662363813331595</v>
      </c>
    </row>
    <row r="159" spans="5:10" ht="16.5" customHeight="1" x14ac:dyDescent="0.35">
      <c r="E159">
        <v>1.1400000000000001</v>
      </c>
      <c r="F159">
        <f>_fc*10^Table3[[#This Row],[Decade]]</f>
        <v>1380.3842646028857</v>
      </c>
      <c r="G159" t="str">
        <f>COMPLEX(0,2*PI()*Table3[[#This Row],[f]],"j")</f>
        <v>8673.21012961475j</v>
      </c>
      <c r="H159" t="str">
        <f>IMDIV(_R2,
 IMSUM(_R1,_R2,
 IMPRODUCT(Table3[[#This Row],[s]],_R1,_R2,_C)))</f>
        <v>0.000517066939539457-0.00713814659241942j</v>
      </c>
      <c r="I159">
        <f>20*LOG(IMABS(Table3[[#This Row],[H(s)]]))</f>
        <v>-42.905562288256895</v>
      </c>
      <c r="J159">
        <f>DEGREES(IMARGUMENT(Table3[[#This Row],[H(s)]]))</f>
        <v>-85.856893847345589</v>
      </c>
    </row>
    <row r="160" spans="5:10" ht="16.5" customHeight="1" x14ac:dyDescent="0.35">
      <c r="E160">
        <v>1.1600000000000001</v>
      </c>
      <c r="F160">
        <f>_fc*10^Table3[[#This Row],[Decade]]</f>
        <v>1445.4397707459282</v>
      </c>
      <c r="G160" t="str">
        <f>COMPLEX(0,2*PI()*Table3[[#This Row],[f]],"j")</f>
        <v>9081.96592996385j</v>
      </c>
      <c r="H160" t="str">
        <f>IMDIV(_R2,
 IMSUM(_R1,_R2,
 IMPRODUCT(Table3[[#This Row],[s]],_R1,_R2,_C)))</f>
        <v>0.000471787336724525-0.00682000937777771j</v>
      </c>
      <c r="I160">
        <f>20*LOG(IMABS(Table3[[#This Row],[H(s)]]))</f>
        <v>-43.303567195890835</v>
      </c>
      <c r="J160">
        <f>DEGREES(IMARGUMENT(Table3[[#This Row],[H(s)]]))</f>
        <v>-86.042758014838441</v>
      </c>
    </row>
    <row r="161" spans="5:10" ht="16.5" customHeight="1" x14ac:dyDescent="0.35">
      <c r="E161">
        <v>1.1800000000000002</v>
      </c>
      <c r="F161">
        <f>_fc*10^Table3[[#This Row],[Decade]]</f>
        <v>1513.5612484362091</v>
      </c>
      <c r="G161" t="str">
        <f>COMPLEX(0,2*PI()*Table3[[#This Row],[f]],"j")</f>
        <v>9509.98579769078j</v>
      </c>
      <c r="H161" t="str">
        <f>IMDIV(_R2,
 IMSUM(_R1,_R2,
 IMPRODUCT(Table3[[#This Row],[s]],_R1,_R2,_C)))</f>
        <v>0.000430455552600115-0.00651578891299327j</v>
      </c>
      <c r="I161">
        <f>20*LOG(IMABS(Table3[[#This Row],[H(s)]]))</f>
        <v>-43.701746850580037</v>
      </c>
      <c r="J161">
        <f>DEGREES(IMARGUMENT(Table3[[#This Row],[H(s)]]))</f>
        <v>-86.220334876449954</v>
      </c>
    </row>
    <row r="162" spans="5:10" ht="16.5" customHeight="1" x14ac:dyDescent="0.35">
      <c r="E162">
        <v>1.2000000000000002</v>
      </c>
      <c r="F162">
        <f>_fc*10^Table3[[#This Row],[Decade]]</f>
        <v>1584.8931924611143</v>
      </c>
      <c r="G162" t="str">
        <f>COMPLEX(0,2*PI()*Table3[[#This Row],[f]],"j")</f>
        <v>9958.17762032062j</v>
      </c>
      <c r="H162" t="str">
        <f>IMDIV(_R2,
 IMSUM(_R1,_R2,
 IMPRODUCT(Table3[[#This Row],[s]],_R1,_R2,_C)))</f>
        <v>0.000392730290049115-0.00622491019508124j</v>
      </c>
      <c r="I162">
        <f>20*LOG(IMABS(Table3[[#This Row],[H(s)]]))</f>
        <v>-44.100086010414607</v>
      </c>
      <c r="J162">
        <f>DEGREES(IMARGUMENT(Table3[[#This Row],[H(s)]]))</f>
        <v>-86.389987419837226</v>
      </c>
    </row>
    <row r="163" spans="5:10" ht="16.5" customHeight="1" x14ac:dyDescent="0.35">
      <c r="E163">
        <v>1.2200000000000002</v>
      </c>
      <c r="F163">
        <f>_fc*10^Table3[[#This Row],[Decade]]</f>
        <v>1659.5869074375621</v>
      </c>
      <c r="G163" t="str">
        <f>COMPLEX(0,2*PI()*Table3[[#This Row],[f]],"j")</f>
        <v>10427.4920727993j</v>
      </c>
      <c r="H163" t="str">
        <f>IMDIV(_R2,
 IMSUM(_R1,_R2,
 IMPRODUCT(Table3[[#This Row],[s]],_R1,_R2,_C)))</f>
        <v>0.000358299270670585-0.00594681757420223j</v>
      </c>
      <c r="I163">
        <f>20*LOG(IMABS(Table3[[#This Row],[H(s)]]))</f>
        <v>-44.498570752208934</v>
      </c>
      <c r="J163">
        <f>DEGREES(IMARGUMENT(Table3[[#This Row],[H(s)]]))</f>
        <v>-86.552063574528972</v>
      </c>
    </row>
    <row r="164" spans="5:10" ht="16.5" customHeight="1" x14ac:dyDescent="0.35">
      <c r="E164">
        <v>1.2400000000000002</v>
      </c>
      <c r="F164">
        <f>_fc*10^Table3[[#This Row],[Decade]]</f>
        <v>1737.8008287493763</v>
      </c>
      <c r="G164" t="str">
        <f>COMPLEX(0,2*PI()*Table3[[#This Row],[f]],"j")</f>
        <v>10918.9246340026j</v>
      </c>
      <c r="H164" t="str">
        <f>IMDIV(_R2,
 IMSUM(_R1,_R2,
 IMPRODUCT(Table3[[#This Row],[s]],_R1,_R2,_C)))</f>
        <v>0.000326876849462399-0.00568097470430824j</v>
      </c>
      <c r="I164">
        <f>20*LOG(IMABS(Table3[[#This Row],[H(s)]]))</f>
        <v>-44.89718835920425</v>
      </c>
      <c r="J164">
        <f>DEGREES(IMARGUMENT(Table3[[#This Row],[H(s)]]))</f>
        <v>-86.706896727002714</v>
      </c>
    </row>
    <row r="165" spans="5:10" ht="16.5" customHeight="1" x14ac:dyDescent="0.35">
      <c r="E165">
        <v>1.2600000000000002</v>
      </c>
      <c r="F165">
        <f>_fc*10^Table3[[#This Row],[Decade]]</f>
        <v>1819.7008586099848</v>
      </c>
      <c r="G165" t="str">
        <f>COMPLEX(0,2*PI()*Table3[[#This Row],[f]],"j")</f>
        <v>11433.5176982803j</v>
      </c>
      <c r="H165" t="str">
        <f>IMDIV(_R2,
 IMSUM(_R1,_R2,
 IMPRODUCT(Table3[[#This Row],[s]],_R1,_R2,_C)))</f>
        <v>0.000298201811645189-0.00542686439413826j</v>
      </c>
      <c r="I165">
        <f>20*LOG(IMABS(Table3[[#This Row],[H(s)]]))</f>
        <v>-45.29592721803126</v>
      </c>
      <c r="J165">
        <f>DEGREES(IMARGUMENT(Table3[[#This Row],[H(s)]]))</f>
        <v>-86.854806233080581</v>
      </c>
    </row>
    <row r="166" spans="5:10" ht="16.5" customHeight="1" x14ac:dyDescent="0.35">
      <c r="E166">
        <v>1.2800000000000002</v>
      </c>
      <c r="F166">
        <f>_fc*10^Table3[[#This Row],[Decade]]</f>
        <v>1905.4607179632485</v>
      </c>
      <c r="G166" t="str">
        <f>COMPLEX(0,2*PI()*Table3[[#This Row],[f]],"j")</f>
        <v>11972.3627865145j</v>
      </c>
      <c r="H166" t="str">
        <f>IMDIV(_R2,
 IMSUM(_R1,_R2,
 IMPRODUCT(Table3[[#This Row],[s]],_R1,_R2,_C)))</f>
        <v>0.000272035340142597-0.00518398837535253j</v>
      </c>
      <c r="I166">
        <f>20*LOG(IMABS(Table3[[#This Row],[H(s)]]))</f>
        <v>-45.694776724220915</v>
      </c>
      <c r="J166">
        <f>DEGREES(IMARGUMENT(Table3[[#This Row],[H(s)]]))</f>
        <v>-86.996097925217754</v>
      </c>
    </row>
    <row r="167" spans="5:10" ht="16.5" customHeight="1" x14ac:dyDescent="0.35">
      <c r="E167">
        <v>1.3000000000000003</v>
      </c>
      <c r="F167">
        <f>_fc*10^Table3[[#This Row],[Decade]]</f>
        <v>1995.2623149688816</v>
      </c>
      <c r="G167" t="str">
        <f>COMPLEX(0,2*PI()*Table3[[#This Row],[f]],"j")</f>
        <v>12536.6028613816j</v>
      </c>
      <c r="H167" t="str">
        <f>IMDIV(_R2,
 IMSUM(_R1,_R2,
 IMPRODUCT(Table3[[#This Row],[s]],_R1,_R2,_C)))</f>
        <v>0.000248159142509313-0.0049518670024207j</v>
      </c>
      <c r="I167">
        <f>20*LOG(IMABS(Table3[[#This Row],[H(s)]]))</f>
        <v>-46.093727195596557</v>
      </c>
      <c r="J167">
        <f>DEGREES(IMARGUMENT(Table3[[#This Row],[H(s)]]))</f>
        <v>-87.131064612675843</v>
      </c>
    </row>
    <row r="168" spans="5:10" ht="16.5" customHeight="1" x14ac:dyDescent="0.35">
      <c r="E168">
        <v>1.3200000000000003</v>
      </c>
      <c r="F168">
        <f>_fc*10^Table3[[#This Row],[Decade]]</f>
        <v>2089.2961308540416</v>
      </c>
      <c r="G168" t="str">
        <f>COMPLEX(0,2*PI()*Table3[[#This Row],[f]],"j")</f>
        <v>13127.4347517293j</v>
      </c>
      <c r="H168" t="str">
        <f>IMDIV(_R2,
 IMSUM(_R1,_R2,
 IMPRODUCT(Table3[[#This Row],[s]],_R1,_R2,_C)))</f>
        <v>0.000226373726466774-0.00473003889695191j</v>
      </c>
      <c r="I168">
        <f>20*LOG(IMABS(Table3[[#This Row],[H(s)]]))</f>
        <v>-46.492769792925984</v>
      </c>
      <c r="J168">
        <f>DEGREES(IMARGUMENT(Table3[[#This Row],[H(s)]]))</f>
        <v>-87.259986572936256</v>
      </c>
    </row>
    <row r="169" spans="5:10" ht="16.5" customHeight="1" x14ac:dyDescent="0.35">
      <c r="E169">
        <v>1.3399999999999999</v>
      </c>
      <c r="F169">
        <f>_fc*10^Table3[[#This Row],[Decade]]</f>
        <v>2187.7616239495528</v>
      </c>
      <c r="G169" t="str">
        <f>COMPLEX(0,2*PI()*Table3[[#This Row],[f]],"j")</f>
        <v>13746.1116912112j</v>
      </c>
      <c r="H169" t="str">
        <f>IMDIV(_R2,
 IMSUM(_R1,_R2,
 IMPRODUCT(Table3[[#This Row],[s]],_R1,_R2,_C)))</f>
        <v>0.000206496813641068-0.00451806054745124j</v>
      </c>
      <c r="I169">
        <f>20*LOG(IMABS(Table3[[#This Row],[H(s)]]))</f>
        <v>-46.891896447254446</v>
      </c>
      <c r="J169">
        <f>DEGREES(IMARGUMENT(Table3[[#This Row],[H(s)]]))</f>
        <v>-87.383132033023784</v>
      </c>
    </row>
    <row r="170" spans="5:10" ht="16.5" customHeight="1" x14ac:dyDescent="0.35">
      <c r="E170">
        <v>1.3599999999999999</v>
      </c>
      <c r="F170">
        <f>_fc*10^Table3[[#This Row],[Decade]]</f>
        <v>2290.8676527677726</v>
      </c>
      <c r="G170" t="str">
        <f>COMPLEX(0,2*PI()*Table3[[#This Row],[f]],"j")</f>
        <v>14393.9459765635j</v>
      </c>
      <c r="H170" t="str">
        <f>IMDIV(_R2,
 IMSUM(_R1,_R2,
 IMPRODUCT(Table3[[#This Row],[s]],_R1,_R2,_C)))</f>
        <v>0.000188361881577131-0.00431550587398462j</v>
      </c>
      <c r="I170">
        <f>20*LOG(IMABS(Table3[[#This Row],[H(s)]]))</f>
        <v>-47.291099793380681</v>
      </c>
      <c r="J170">
        <f>DEGREES(IMARGUMENT(Table3[[#This Row],[H(s)]]))</f>
        <v>-87.500757639682178</v>
      </c>
    </row>
    <row r="171" spans="5:10" ht="16.5" customHeight="1" x14ac:dyDescent="0.35">
      <c r="E171">
        <v>1.38</v>
      </c>
      <c r="F171">
        <f>_fc*10^Table3[[#This Row],[Decade]]</f>
        <v>2398.8329190194909</v>
      </c>
      <c r="G171" t="str">
        <f>COMPLEX(0,2*PI()*Table3[[#This Row],[f]],"j")</f>
        <v>15072.311751162j</v>
      </c>
      <c r="H171" t="str">
        <f>IMDIV(_R2,
 IMSUM(_R1,_R2,
 IMPRODUCT(Table3[[#This Row],[s]],_R1,_R2,_C)))</f>
        <v>0.000171816824610847-0.004121965765912j</v>
      </c>
      <c r="I171">
        <f>20*LOG(IMABS(Table3[[#This Row],[H(s)]]))</f>
        <v>-47.69037310897712</v>
      </c>
      <c r="J171">
        <f>DEGREES(IMARGUMENT(Table3[[#This Row],[H(s)]]))</f>
        <v>-87.613108917578899</v>
      </c>
    </row>
    <row r="172" spans="5:10" ht="16.5" customHeight="1" x14ac:dyDescent="0.35">
      <c r="E172">
        <v>1.4</v>
      </c>
      <c r="F172">
        <f>_fc*10^Table3[[#This Row],[Decade]]</f>
        <v>2511.8864315095798</v>
      </c>
      <c r="G172" t="str">
        <f>COMPLEX(0,2*PI()*Table3[[#This Row],[f]],"j")</f>
        <v>15782.6479197648j</v>
      </c>
      <c r="H172" t="str">
        <f>IMDIV(_R2,
 IMSUM(_R1,_R2,
 IMPRODUCT(Table3[[#This Row],[s]],_R1,_R2,_C)))</f>
        <v>0.000156722724702775-0.0039370475996873j</v>
      </c>
      <c r="I172">
        <f>20*LOG(IMABS(Table3[[#This Row],[H(s)]]))</f>
        <v>-48.089710258892509</v>
      </c>
      <c r="J172">
        <f>DEGREES(IMARGUMENT(Table3[[#This Row],[H(s)]]))</f>
        <v>-87.720420714916685</v>
      </c>
    </row>
    <row r="173" spans="5:10" ht="16.5" customHeight="1" x14ac:dyDescent="0.35">
      <c r="E173">
        <v>1.42</v>
      </c>
      <c r="F173">
        <f>_fc*10^Table3[[#This Row],[Decade]]</f>
        <v>2630.2679918953822</v>
      </c>
      <c r="G173" t="str">
        <f>COMPLEX(0,2*PI()*Table3[[#This Row],[f]],"j")</f>
        <v>16526.4612006218j</v>
      </c>
      <c r="H173" t="str">
        <f>IMDIV(_R2,
 IMSUM(_R1,_R2,
 IMPRODUCT(Table3[[#This Row],[s]],_R1,_R2,_C)))</f>
        <v>0.000142952723862985-0.00376037474270624j</v>
      </c>
      <c r="I173">
        <f>20*LOG(IMABS(Table3[[#This Row],[H(s)]]))</f>
        <v>-48.489105644210007</v>
      </c>
      <c r="J173">
        <f>DEGREES(IMARGUMENT(Table3[[#This Row],[H(s)]]))</f>
        <v>-87.822917636003453</v>
      </c>
    </row>
    <row r="174" spans="5:10" ht="16.5" customHeight="1" x14ac:dyDescent="0.35">
      <c r="E174">
        <v>1.44</v>
      </c>
      <c r="F174">
        <f>_fc*10^Table3[[#This Row],[Decade]]</f>
        <v>2754.2287033381667</v>
      </c>
      <c r="G174" t="str">
        <f>COMPLEX(0,2*PI()*Table3[[#This Row],[f]],"j")</f>
        <v>17305.3293214267j</v>
      </c>
      <c r="H174" t="str">
        <f>IMDIV(_R2,
 IMSUM(_R1,_R2,
 IMPRODUCT(Table3[[#This Row],[s]],_R1,_R2,_C)))</f>
        <v>0.000130390990318005-0.00359158604829277j</v>
      </c>
      <c r="I174">
        <f>20*LOG(IMABS(Table3[[#This Row],[H(s)]]))</f>
        <v>-48.888554155666952</v>
      </c>
      <c r="J174">
        <f>DEGREES(IMARGUMENT(Table3[[#This Row],[H(s)]]))</f>
        <v>-87.920814460478013</v>
      </c>
    </row>
    <row r="175" spans="5:10" ht="16.5" customHeight="1" x14ac:dyDescent="0.35">
      <c r="E175">
        <v>1.46</v>
      </c>
      <c r="F175">
        <f>_fc*10^Table3[[#This Row],[Decade]]</f>
        <v>2884.0315031266064</v>
      </c>
      <c r="G175" t="str">
        <f>COMPLEX(0,2*PI()*Table3[[#This Row],[f]],"j")</f>
        <v>18120.9043658881j</v>
      </c>
      <c r="H175" t="str">
        <f>IMDIV(_R2,
 IMSUM(_R1,_R2,
 IMPRODUCT(Table3[[#This Row],[s]],_R1,_R2,_C)))</f>
        <v>0.000118931771081493-0.00343033534613876j</v>
      </c>
      <c r="I175">
        <f>20*LOG(IMABS(Table3[[#This Row],[H(s)]]))</f>
        <v>-49.288051131071654</v>
      </c>
      <c r="J175">
        <f>DEGREES(IMARGUMENT(Table3[[#This Row],[H(s)]]))</f>
        <v>-88.014316549014893</v>
      </c>
    </row>
    <row r="176" spans="5:10" ht="16.5" customHeight="1" x14ac:dyDescent="0.35">
      <c r="E176">
        <v>1.48</v>
      </c>
      <c r="F176">
        <f>_fc*10^Table3[[#This Row],[Decade]]</f>
        <v>3019.9517204020162</v>
      </c>
      <c r="G176" t="str">
        <f>COMPLEX(0,2*PI()*Table3[[#This Row],[f]],"j")</f>
        <v>18974.9162780217j</v>
      </c>
      <c r="H176" t="str">
        <f>IMDIV(_R2,
 IMSUM(_R1,_R2,
 IMPRODUCT(Table3[[#This Row],[s]],_R1,_R2,_C)))</f>
        <v>0.000108478524085413-0.00327629093183309j</v>
      </c>
      <c r="I176">
        <f>20*LOG(IMABS(Table3[[#This Row],[H(s)]]))</f>
        <v>-49.687592316383828</v>
      </c>
      <c r="J176">
        <f>DEGREES(IMARGUMENT(Table3[[#This Row],[H(s)]]))</f>
        <v>-88.10362023543702</v>
      </c>
    </row>
    <row r="177" spans="5:10" ht="16.5" customHeight="1" x14ac:dyDescent="0.35">
      <c r="E177">
        <v>1.5</v>
      </c>
      <c r="F177">
        <f>_fc*10^Table3[[#This Row],[Decade]]</f>
        <v>3162.2776601683804</v>
      </c>
      <c r="G177" t="str">
        <f>COMPLEX(0,2*PI()*Table3[[#This Row],[f]],"j")</f>
        <v>19869.1765315922j</v>
      </c>
      <c r="H177" t="str">
        <f>IMDIV(_R2,
 IMSUM(_R1,_R2,
 IMPRODUCT(Table3[[#This Row],[s]],_R1,_R2,_C)))</f>
        <v>0.0000989431235049096-0.00312913505852908j</v>
      </c>
      <c r="I177">
        <f>20*LOG(IMABS(Table3[[#This Row],[H(s)]]))</f>
        <v>-50.087173830149005</v>
      </c>
      <c r="J177">
        <f>DEGREES(IMARGUMENT(Table3[[#This Row],[H(s)]]))</f>
        <v>-88.188913205253371</v>
      </c>
    </row>
    <row r="178" spans="5:10" ht="16.5" customHeight="1" x14ac:dyDescent="0.35">
      <c r="E178">
        <v>1.52</v>
      </c>
      <c r="F178">
        <f>_fc*10^Table3[[#This Row],[Decade]]</f>
        <v>3311.3112148259129</v>
      </c>
      <c r="G178" t="str">
        <f>COMPLEX(0,2*PI()*Table3[[#This Row],[f]],"j")</f>
        <v>20805.5819724932j</v>
      </c>
      <c r="H178" t="str">
        <f>IMDIV(_R2,
 IMSUM(_R1,_R2,
 IMPRODUCT(Table3[[#This Row],[s]],_R1,_R2,_C)))</f>
        <v>0.0000902451323650643-0.00298856343328694j</v>
      </c>
      <c r="I178">
        <f>20*LOG(IMABS(Table3[[#This Row],[H(s)]]))</f>
        <v>-50.486792131004428</v>
      </c>
      <c r="J178">
        <f>DEGREES(IMARGUMENT(Table3[[#This Row],[H(s)]]))</f>
        <v>-88.270374860714369</v>
      </c>
    </row>
    <row r="179" spans="5:10" ht="16.5" customHeight="1" x14ac:dyDescent="0.35">
      <c r="E179">
        <v>1.54</v>
      </c>
      <c r="F179">
        <f>_fc*10^Table3[[#This Row],[Decade]]</f>
        <v>3467.3685045253178</v>
      </c>
      <c r="G179" t="str">
        <f>COMPLEX(0,2*PI()*Table3[[#This Row],[f]],"j")</f>
        <v>21786.1188422107j</v>
      </c>
      <c r="H179" t="str">
        <f>IMDIV(_R2,
 IMSUM(_R1,_R2,
 IMPRODUCT(Table3[[#This Row],[s]],_R1,_R2,_C)))</f>
        <v>0.000082311136950228-0.00285428472018604j</v>
      </c>
      <c r="I179">
        <f>20*LOG(IMABS(Table3[[#This Row],[H(s)]]))</f>
        <v>-50.886443987995278</v>
      </c>
      <c r="J179">
        <f>DEGREES(IMARGUMENT(Table3[[#This Row],[H(s)]]))</f>
        <v>-88.34817667253715</v>
      </c>
    </row>
    <row r="180" spans="5:10" ht="16.5" customHeight="1" x14ac:dyDescent="0.35">
      <c r="E180">
        <v>1.56</v>
      </c>
      <c r="F180">
        <f>_fc*10^Table3[[#This Row],[Decade]]</f>
        <v>3630.7805477010156</v>
      </c>
      <c r="G180" t="str">
        <f>COMPLEX(0,2*PI()*Table3[[#This Row],[f]],"j")</f>
        <v>22812.8669909085j</v>
      </c>
      <c r="H180" t="str">
        <f>IMDIV(_R2,
 IMSUM(_R1,_R2,
 IMPRODUCT(Table3[[#This Row],[s]],_R1,_R2,_C)))</f>
        <v>0.000075074137945363-0.0027260200519185j</v>
      </c>
      <c r="I180">
        <f>20*LOG(IMABS(Table3[[#This Row],[H(s)]]))</f>
        <v>-51.286126453462686</v>
      </c>
      <c r="J180">
        <f>DEGREES(IMARGUMENT(Table3[[#This Row],[H(s)]]))</f>
        <v>-88.422482518505504</v>
      </c>
    </row>
    <row r="181" spans="5:10" ht="16.5" customHeight="1" x14ac:dyDescent="0.35">
      <c r="E181">
        <v>1.58</v>
      </c>
      <c r="F181">
        <f>_fc*10^Table3[[#This Row],[Decade]]</f>
        <v>3801.893963205614</v>
      </c>
      <c r="G181" t="str">
        <f>COMPLEX(0,2*PI()*Table3[[#This Row],[f]],"j")</f>
        <v>23888.0042890683j</v>
      </c>
      <c r="H181" t="str">
        <f>IMDIV(_R2,
 IMSUM(_R1,_R2,
 IMPRODUCT(Table3[[#This Row],[s]],_R1,_R2,_C)))</f>
        <v>0.0000684729936238882-0.00260350255124603j</v>
      </c>
      <c r="I181">
        <f>20*LOG(IMABS(Table3[[#This Row],[H(s)]]))</f>
        <v>-51.685836838283414</v>
      </c>
      <c r="J181">
        <f>DEGREES(IMARGUMENT(Table3[[#This Row],[H(s)]]))</f>
        <v>-88.493449009189177</v>
      </c>
    </row>
    <row r="182" spans="5:10" ht="16.5" customHeight="1" x14ac:dyDescent="0.35">
      <c r="E182">
        <v>1.6</v>
      </c>
      <c r="F182">
        <f>_fc*10^Table3[[#This Row],[Decade]]</f>
        <v>3981.0717055349755</v>
      </c>
      <c r="G182" t="str">
        <f>COMPLEX(0,2*PI()*Table3[[#This Row],[f]],"j")</f>
        <v>25013.8112470457j</v>
      </c>
      <c r="H182" t="str">
        <f>IMDIV(_R2,
 IMSUM(_R1,_R2,
 IMPRODUCT(Table3[[#This Row],[s]],_R1,_R2,_C)))</f>
        <v>0.0000624519107577234-0.00248647686341751j</v>
      </c>
      <c r="I182">
        <f>20*LOG(IMABS(Table3[[#This Row],[H(s)]]))</f>
        <v>-52.085572689260601</v>
      </c>
      <c r="J182">
        <f>DEGREES(IMARGUMENT(Table3[[#This Row],[H(s)]]))</f>
        <v>-88.561225801060331</v>
      </c>
    </row>
    <row r="183" spans="5:10" ht="16.5" customHeight="1" x14ac:dyDescent="0.35">
      <c r="E183">
        <v>1.62</v>
      </c>
      <c r="F183">
        <f>_fc*10^Table3[[#This Row],[Decade]]</f>
        <v>4168.6938347033556</v>
      </c>
      <c r="G183" t="str">
        <f>COMPLEX(0,2*PI()*Table3[[#This Row],[f]],"j")</f>
        <v>26192.6758523383j</v>
      </c>
      <c r="H183" t="str">
        <f>IMDIV(_R2,
 IMSUM(_R1,_R2,
 IMPRODUCT(Table3[[#This Row],[s]],_R1,_R2,_C)))</f>
        <v>0.0000569599792631876-0.00237469870040151j</v>
      </c>
      <c r="I183">
        <f>20*LOG(IMABS(Table3[[#This Row],[H(s)]]))</f>
        <v>-52.485331768479853</v>
      </c>
      <c r="J183">
        <f>DEGREES(IMARGUMENT(Table3[[#This Row],[H(s)]]))</f>
        <v>-88.625955897311258</v>
      </c>
    </row>
    <row r="184" spans="5:10" ht="16.5" customHeight="1" x14ac:dyDescent="0.35">
      <c r="E184">
        <v>1.6400000000000001</v>
      </c>
      <c r="F184">
        <f>_fc*10^Table3[[#This Row],[Decade]]</f>
        <v>4365.1583224016631</v>
      </c>
      <c r="G184" t="str">
        <f>COMPLEX(0,2*PI()*Table3[[#This Row],[f]],"j")</f>
        <v>27427.0986348268j</v>
      </c>
      <c r="H184" t="str">
        <f>IMDIV(_R2,
 IMSUM(_R1,_R2,
 IMPRODUCT(Table3[[#This Row],[s]],_R1,_R2,_C)))</f>
        <v>0.0000519507469116414-0.00226793439757852j</v>
      </c>
      <c r="I184">
        <f>20*LOG(IMABS(Table3[[#This Row],[H(s)]]))</f>
        <v>-52.885112034463106</v>
      </c>
      <c r="J184">
        <f>DEGREES(IMARGUMENT(Table3[[#This Row],[H(s)]]))</f>
        <v>-88.687775936696738</v>
      </c>
    </row>
    <row r="185" spans="5:10" ht="16.5" customHeight="1" x14ac:dyDescent="0.35">
      <c r="E185">
        <v>1.6600000000000001</v>
      </c>
      <c r="F185">
        <f>_fc*10^Table3[[#This Row],[Decade]]</f>
        <v>4570.8818961487532</v>
      </c>
      <c r="G185" t="str">
        <f>COMPLEX(0,2*PI()*Table3[[#This Row],[f]],"j")</f>
        <v>28719.697970735j</v>
      </c>
      <c r="H185" t="str">
        <f>IMDIV(_R2,
 IMSUM(_R1,_R2,
 IMPRODUCT(Table3[[#This Row],[s]],_R1,_R2,_C)))</f>
        <v>0.000047381830727207-0.00216596048336045j</v>
      </c>
      <c r="I185">
        <f>20*LOG(IMABS(Table3[[#This Row],[H(s)]]))</f>
        <v>-53.284911624964302</v>
      </c>
      <c r="J185">
        <f>DEGREES(IMARGUMENT(Table3[[#This Row],[H(s)]]))</f>
        <v>-88.746816470739915</v>
      </c>
    </row>
    <row r="186" spans="5:10" ht="16.5" customHeight="1" x14ac:dyDescent="0.35">
      <c r="E186">
        <v>1.6800000000000002</v>
      </c>
      <c r="F186">
        <f>_fc*10^Table3[[#This Row],[Decade]]</f>
        <v>4786.3009232263876</v>
      </c>
      <c r="G186" t="str">
        <f>COMPLEX(0,2*PI()*Table3[[#This Row],[f]],"j")</f>
        <v>30073.2156365561j</v>
      </c>
      <c r="H186" t="str">
        <f>IMDIV(_R2,
 IMSUM(_R1,_R2,
 IMPRODUCT(Table3[[#This Row],[s]],_R1,_R2,_C)))</f>
        <v>0.0000432145619664302-0.00206856326205305j</v>
      </c>
      <c r="I186">
        <f>20*LOG(IMABS(Table3[[#This Row],[H(s)]]))</f>
        <v>-53.684728841265461</v>
      </c>
      <c r="J186">
        <f>DEGREES(IMARGUMENT(Table3[[#This Row],[H(s)]]))</f>
        <v>-88.803202229650097</v>
      </c>
    </row>
    <row r="187" spans="5:10" ht="16.5" customHeight="1" x14ac:dyDescent="0.35">
      <c r="E187">
        <v>1.7000000000000002</v>
      </c>
      <c r="F187">
        <f>_fc*10^Table3[[#This Row],[Decade]]</f>
        <v>5011.872336272726</v>
      </c>
      <c r="G187" t="str">
        <f>COMPLEX(0,2*PI()*Table3[[#This Row],[f]],"j")</f>
        <v>31490.5226247286j</v>
      </c>
      <c r="H187" t="str">
        <f>IMDIV(_R2,
 IMSUM(_R1,_R2,
 IMPRODUCT(Table3[[#This Row],[s]],_R1,_R2,_C)))</f>
        <v>0.0000394136618274048-0.00197553841014885j</v>
      </c>
      <c r="I187">
        <f>20*LOG(IMABS(Table3[[#This Row],[H(s)]]))</f>
        <v>-54.084562133843249</v>
      </c>
      <c r="J187">
        <f>DEGREES(IMARGUMENT(Table3[[#This Row],[H(s)]]))</f>
        <v>-88.857052377308449</v>
      </c>
    </row>
    <row r="188" spans="5:10" ht="16.5" customHeight="1" x14ac:dyDescent="0.35">
      <c r="E188">
        <v>1.7200000000000002</v>
      </c>
      <c r="F188">
        <f>_fc*10^Table3[[#This Row],[Decade]]</f>
        <v>5248.0746024977307</v>
      </c>
      <c r="G188" t="str">
        <f>COMPLEX(0,2*PI()*Table3[[#This Row],[f]],"j")</f>
        <v>32974.6252333961j</v>
      </c>
      <c r="H188" t="str">
        <f>IMDIV(_R2,
 IMSUM(_R1,_R2,
 IMPRODUCT(Table3[[#This Row],[s]],_R1,_R2,_C)))</f>
        <v>0.0000359469452697481-0.00188669058613007j</v>
      </c>
      <c r="I188">
        <f>20*LOG(IMABS(Table3[[#This Row],[H(s)]]))</f>
        <v>-54.484410089287607</v>
      </c>
      <c r="J188">
        <f>DEGREES(IMARGUMENT(Table3[[#This Row],[H(s)]]))</f>
        <v>-88.908480755680088</v>
      </c>
    </row>
    <row r="189" spans="5:10" ht="16.5" customHeight="1" x14ac:dyDescent="0.35">
      <c r="E189">
        <v>1.7400000000000002</v>
      </c>
      <c r="F189">
        <f>_fc*10^Table3[[#This Row],[Decade]]</f>
        <v>5495.4087385762523</v>
      </c>
      <c r="G189" t="str">
        <f>COMPLEX(0,2*PI()*Table3[[#This Row],[f]],"j")</f>
        <v>34528.6714431686j</v>
      </c>
      <c r="H189" t="str">
        <f>IMDIV(_R2,
 IMSUM(_R1,_R2,
 IMPRODUCT(Table3[[#This Row],[s]],_R1,_R2,_C)))</f>
        <v>0.000032785050542949-0.0018018330537703j</v>
      </c>
      <c r="I189">
        <f>20*LOG(IMABS(Table3[[#This Row],[H(s)]]))</f>
        <v>-54.884271418363575</v>
      </c>
      <c r="J189">
        <f>DEGREES(IMARGUMENT(Table3[[#This Row],[H(s)]]))</f>
        <v>-88.957596119012862</v>
      </c>
    </row>
    <row r="190" spans="5:10" ht="16.5" customHeight="1" x14ac:dyDescent="0.35">
      <c r="E190">
        <v>1.7600000000000002</v>
      </c>
      <c r="F190">
        <f>_fc*10^Table3[[#This Row],[Decade]]</f>
        <v>5754.3993733715743</v>
      </c>
      <c r="G190" t="str">
        <f>COMPLEX(0,2*PI()*Table3[[#This Row],[f]],"j")</f>
        <v>36155.9575944117j</v>
      </c>
      <c r="H190" t="str">
        <f>IMDIV(_R2,
 IMSUM(_R1,_R2,
 IMPRODUCT(Table3[[#This Row],[s]],_R1,_R2,_C)))</f>
        <v>0.000029901192220123-0.00172078731884814j</v>
      </c>
      <c r="I190">
        <f>20*LOG(IMABS(Table3[[#This Row],[H(s)]]))</f>
        <v>-55.284144945117092</v>
      </c>
      <c r="J190">
        <f>DEGREES(IMARGUMENT(Table3[[#This Row],[H(s)]]))</f>
        <v>-89.004502358181284</v>
      </c>
    </row>
    <row r="191" spans="5:10" ht="16.5" customHeight="1" x14ac:dyDescent="0.35">
      <c r="E191">
        <v>1.7800000000000002</v>
      </c>
      <c r="F191">
        <f>_fc*10^Table3[[#This Row],[Decade]]</f>
        <v>6025.5958607435823</v>
      </c>
      <c r="G191" t="str">
        <f>COMPLEX(0,2*PI()*Table3[[#This Row],[f]],"j")</f>
        <v>37859.9353792262j</v>
      </c>
      <c r="H191" t="str">
        <f>IMDIV(_R2,
 IMSUM(_R1,_R2,
 IMPRODUCT(Table3[[#This Row],[s]],_R1,_R2,_C)))</f>
        <v>0.0000272709357181418-0.00164338277912341j</v>
      </c>
      <c r="I191">
        <f>20*LOG(IMABS(Table3[[#This Row],[H(s)]]))</f>
        <v>-55.684029596934096</v>
      </c>
      <c r="J191">
        <f>DEGREES(IMARGUMENT(Table3[[#This Row],[H(s)]]))</f>
        <v>-89.049298715530782</v>
      </c>
    </row>
    <row r="192" spans="5:10" ht="16.5" customHeight="1" x14ac:dyDescent="0.35">
      <c r="E192">
        <v>1.8000000000000003</v>
      </c>
      <c r="F192">
        <f>_fc*10^Table3[[#This Row],[Decade]]</f>
        <v>6309.5734448019366</v>
      </c>
      <c r="G192" t="str">
        <f>COMPLEX(0,2*PI()*Table3[[#This Row],[f]],"j")</f>
        <v>39644.21916295j</v>
      </c>
      <c r="H192" t="str">
        <f>IMDIV(_R2,
 IMSUM(_R1,_R2,
 IMPRODUCT(Table3[[#This Row],[s]],_R1,_R2,_C)))</f>
        <v>0.0000248719914545166-0.00156945638737531j</v>
      </c>
      <c r="I192">
        <f>20*LOG(IMABS(Table3[[#This Row],[H(s)]]))</f>
        <v>-56.083924395469666</v>
      </c>
      <c r="J192">
        <f>DEGREES(IMARGUMENT(Table3[[#This Row],[H(s)]]))</f>
        <v>-89.092079990573225</v>
      </c>
    </row>
    <row r="193" spans="5:10" ht="16.5" customHeight="1" x14ac:dyDescent="0.35">
      <c r="E193">
        <v>1.8200000000000003</v>
      </c>
      <c r="F193">
        <f>_fc*10^Table3[[#This Row],[Decade]]</f>
        <v>6606.9344800759682</v>
      </c>
      <c r="G193" t="str">
        <f>COMPLEX(0,2*PI()*Table3[[#This Row],[f]],"j")</f>
        <v>41512.5936507115j</v>
      </c>
      <c r="H193" t="str">
        <f>IMDIV(_R2,
 IMSUM(_R1,_R2,
 IMPRODUCT(Table3[[#This Row],[s]],_R1,_R2,_C)))</f>
        <v>0.0000226840269472946-0.00149885232726007j</v>
      </c>
      <c r="I193">
        <f>20*LOG(IMABS(Table3[[#This Row],[H(s)]]))</f>
        <v>-56.483828448371895</v>
      </c>
      <c r="J193">
        <f>DEGREES(IMARGUMENT(Table3[[#This Row],[H(s)]]))</f>
        <v>-89.132936736878449</v>
      </c>
    </row>
    <row r="194" spans="5:10" ht="16.5" customHeight="1" x14ac:dyDescent="0.35">
      <c r="E194">
        <v>1.8399999999999999</v>
      </c>
      <c r="F194">
        <f>_fc*10^Table3[[#This Row],[Decade]]</f>
        <v>6918.309709189366</v>
      </c>
      <c r="G194" t="str">
        <f>COMPLEX(0,2*PI()*Table3[[#This Row],[f]],"j")</f>
        <v>43469.0219152965j</v>
      </c>
      <c r="H194" t="str">
        <f>IMDIV(_R2,
 IMSUM(_R1,_R2,
 IMPRODUCT(Table3[[#This Row],[s]],_R1,_R2,_C)))</f>
        <v>0.0000206884953075449-0.00143142170171263j</v>
      </c>
      <c r="I194">
        <f>20*LOG(IMABS(Table3[[#This Row],[H(s)]]))</f>
        <v>-56.883740941730537</v>
      </c>
      <c r="J194">
        <f>DEGREES(IMARGUMENT(Table3[[#This Row],[H(s)]]))</f>
        <v>-89.171955450499411</v>
      </c>
    </row>
    <row r="195" spans="5:10" ht="16.5" customHeight="1" x14ac:dyDescent="0.35">
      <c r="E195">
        <v>1.8599999999999999</v>
      </c>
      <c r="F195">
        <f>_fc*10^Table3[[#This Row],[Decade]]</f>
        <v>7244.3596007499009</v>
      </c>
      <c r="G195" t="str">
        <f>COMPLEX(0,2*PI()*Table3[[#This Row],[f]],"j")</f>
        <v>45517.6538033571j</v>
      </c>
      <c r="H195" t="str">
        <f>IMDIV(_R2,
 IMSUM(_R1,_R2,
 IMPRODUCT(Table3[[#This Row],[s]],_R1,_R2,_C)))</f>
        <v>0.000018868478705671-0.00136702223359037j</v>
      </c>
      <c r="I195">
        <f>20*LOG(IMABS(Table3[[#This Row],[H(s)]]))</f>
        <v>-57.283661133187714</v>
      </c>
      <c r="J195">
        <f>DEGREES(IMARGUMENT(Table3[[#This Row],[H(s)]]))</f>
        <v>-89.209218750261471</v>
      </c>
    </row>
    <row r="196" spans="5:10" ht="16.5" customHeight="1" x14ac:dyDescent="0.35">
      <c r="E196">
        <v>1.88</v>
      </c>
      <c r="F196">
        <f>_fc*10^Table3[[#This Row],[Decade]]</f>
        <v>7585.7757502918357</v>
      </c>
      <c r="G196" t="str">
        <f>COMPLEX(0,2*PI()*Table3[[#This Row],[f]],"j")</f>
        <v>47662.8347377929j</v>
      </c>
      <c r="H196" t="str">
        <f>IMDIV(_R2,
 IMSUM(_R1,_R2,
 IMPRODUCT(Table3[[#This Row],[s]],_R1,_R2,_C)))</f>
        <v>0.0000172085455136609-0.00130551797823699j</v>
      </c>
      <c r="I196">
        <f>20*LOG(IMABS(Table3[[#This Row],[H(s)]]))</f>
        <v>-57.683588345652893</v>
      </c>
      <c r="J196">
        <f>DEGREES(IMARGUMENT(Table3[[#This Row],[H(s)]]))</f>
        <v>-89.244805550237402</v>
      </c>
    </row>
    <row r="197" spans="5:10" ht="16.5" customHeight="1" x14ac:dyDescent="0.35">
      <c r="E197">
        <v>1.9</v>
      </c>
      <c r="F197">
        <f>_fc*10^Table3[[#This Row],[Decade]]</f>
        <v>7943.2823472428199</v>
      </c>
      <c r="G197" t="str">
        <f>COMPLEX(0,2*PI()*Table3[[#This Row],[f]],"j")</f>
        <v>49909.1149349751j</v>
      </c>
      <c r="H197" t="str">
        <f>IMDIV(_R2,
 IMSUM(_R1,_R2,
 IMPRODUCT(Table3[[#This Row],[s]],_R1,_R2,_C)))</f>
        <v>0.0000156946199362926-0.00124677904762988j</v>
      </c>
      <c r="I197">
        <f>20*LOG(IMABS(Table3[[#This Row],[H(s)]]))</f>
        <v>-58.083521961568565</v>
      </c>
      <c r="J197">
        <f>DEGREES(IMARGUMENT(Table3[[#This Row],[H(s)]]))</f>
        <v>-89.278791224721175</v>
      </c>
    </row>
    <row r="198" spans="5:10" ht="16.5" customHeight="1" x14ac:dyDescent="0.35">
      <c r="E198">
        <v>1.92</v>
      </c>
      <c r="F198">
        <f>_fc*10^Table3[[#This Row],[Decade]]</f>
        <v>8317.6377110267131</v>
      </c>
      <c r="G198" t="str">
        <f>COMPLEX(0,2*PI()*Table3[[#This Row],[f]],"j")</f>
        <v>52261.2590563659j</v>
      </c>
      <c r="H198" t="str">
        <f>IMDIV(_R2,
 IMSUM(_R1,_R2,
 IMPRODUCT(Table3[[#This Row],[s]],_R1,_R2,_C)))</f>
        <v>0.0000143138630460039-0.00119068134576354j</v>
      </c>
      <c r="I198">
        <f>20*LOG(IMABS(Table3[[#This Row],[H(s)]]))</f>
        <v>-58.483461417679273</v>
      </c>
      <c r="J198">
        <f>DEGREES(IMARGUMENT(Table3[[#This Row],[H(s)]]))</f>
        <v>-89.311247766004669</v>
      </c>
    </row>
    <row r="199" spans="5:10" ht="16.5" customHeight="1" x14ac:dyDescent="0.35">
      <c r="E199">
        <v>1.94</v>
      </c>
      <c r="F199">
        <f>_fc*10^Table3[[#This Row],[Decade]]</f>
        <v>8709.635899560808</v>
      </c>
      <c r="G199" t="str">
        <f>COMPLEX(0,2*PI()*Table3[[#This Row],[f]],"j")</f>
        <v>54724.2563150043j</v>
      </c>
      <c r="H199" t="str">
        <f>IMDIV(_R2,
 IMSUM(_R1,_R2,
 IMPRODUCT(Table3[[#This Row],[s]],_R1,_R2,_C)))</f>
        <v>0.0000130545642293494-0.00113710631491508j</v>
      </c>
      <c r="I199">
        <f>20*LOG(IMABS(Table3[[#This Row],[H(s)]]))</f>
        <v>-58.883406200260147</v>
      </c>
      <c r="J199">
        <f>DEGREES(IMARGUMENT(Table3[[#This Row],[H(s)]]))</f>
        <v>-89.342243935251588</v>
      </c>
    </row>
    <row r="200" spans="5:10" ht="16.5" customHeight="1" x14ac:dyDescent="0.35">
      <c r="E200">
        <v>1.96</v>
      </c>
      <c r="F200">
        <f>_fc*10^Table3[[#This Row],[Decade]]</f>
        <v>9120.1083935590977</v>
      </c>
      <c r="G200" t="str">
        <f>COMPLEX(0,2*PI()*Table3[[#This Row],[f]],"j")</f>
        <v>57303.3310582957j</v>
      </c>
      <c r="H200" t="str">
        <f>IMDIV(_R2,
 IMSUM(_R1,_R2,
 IMPRODUCT(Table3[[#This Row],[s]],_R1,_R2,_C)))</f>
        <v>0.000011906042138359-0.00108594069243446j</v>
      </c>
      <c r="I200">
        <f>20*LOG(IMABS(Table3[[#This Row],[H(s)]]))</f>
        <v>-59.283355840763207</v>
      </c>
      <c r="J200">
        <f>DEGREES(IMARGUMENT(Table3[[#This Row],[H(s)]]))</f>
        <v>-89.371845406753906</v>
      </c>
    </row>
    <row r="201" spans="5:10" ht="16.5" customHeight="1" x14ac:dyDescent="0.35">
      <c r="E201">
        <v>1.98</v>
      </c>
      <c r="F201">
        <f>_fc*10^Table3[[#This Row],[Decade]]</f>
        <v>9549.9258602143655</v>
      </c>
      <c r="G201" t="str">
        <f>COMPLEX(0,2*PI()*Table3[[#This Row],[f]],"j")</f>
        <v>60003.9538495533j</v>
      </c>
      <c r="H201" t="str">
        <f>IMDIV(_R2,
 IMSUM(_R1,_R2,
 IMPRODUCT(Table3[[#This Row],[s]],_R1,_R2,_C)))</f>
        <v>0.0000108585543183037-0.00103707627770073j</v>
      </c>
      <c r="I201">
        <f>20*LOG(IMABS(Table3[[#This Row],[H(s)]]))</f>
        <v>-59.683309911847033</v>
      </c>
      <c r="J201">
        <f>DEGREES(IMARGUMENT(Table3[[#This Row],[H(s)]]))</f>
        <v>-89.400114905846308</v>
      </c>
    </row>
    <row r="202" spans="5:10" ht="16.5" customHeight="1" x14ac:dyDescent="0.35">
      <c r="E202">
        <v>2</v>
      </c>
      <c r="F202">
        <f>_fc*10^Table3[[#This Row],[Decade]]</f>
        <v>10000</v>
      </c>
      <c r="G202" t="str">
        <f>COMPLEX(0,2*PI()*Table3[[#This Row],[f]],"j")</f>
        <v>62831.8530717959j</v>
      </c>
      <c r="H202" t="str">
        <f>IMDIV(_R2,
 IMSUM(_R1,_R2,
 IMPRODUCT(Table3[[#This Row],[s]],_R1,_R2,_C)))</f>
        <v>0.0000099032147549632-0.000990409708887446j</v>
      </c>
      <c r="I202">
        <f>20*LOG(IMABS(Table3[[#This Row],[H(s)]]))</f>
        <v>-60.083268023754137</v>
      </c>
      <c r="J202">
        <f>DEGREES(IMARGUMENT(Table3[[#This Row],[H(s)]]))</f>
        <v>-89.427112340744699</v>
      </c>
    </row>
  </sheetData>
  <phoneticPr fontId="7" type="noConversion"/>
  <pageMargins left="0.7" right="0.7" top="0.75" bottom="0.75" header="0.3" footer="0.3"/>
  <pageSetup orientation="portrait" horizontalDpi="0" verticalDpi="0" r:id="rId1"/>
  <ignoredErrors>
    <ignoredError sqref="B4" unlockedFormula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Filtered Divider</vt:lpstr>
      <vt:lpstr>_C</vt:lpstr>
      <vt:lpstr>_Clbl</vt:lpstr>
      <vt:lpstr>_fc</vt:lpstr>
      <vt:lpstr>_R1</vt:lpstr>
      <vt:lpstr>_R1lbl</vt:lpstr>
      <vt:lpstr>_R2</vt:lpstr>
      <vt:lpstr>_R2lbl</vt:lpstr>
      <vt:lpstr>Rth</vt:lpstr>
      <vt:lpstr>α</vt:lpstr>
      <vt:lpstr>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Oldhack EE</cp:lastModifiedBy>
  <dcterms:created xsi:type="dcterms:W3CDTF">2022-04-22T15:44:40Z</dcterms:created>
  <dcterms:modified xsi:type="dcterms:W3CDTF">2025-07-08T18:38:58Z</dcterms:modified>
</cp:coreProperties>
</file>