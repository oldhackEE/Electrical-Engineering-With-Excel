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c1699b8cd4d2a22/Documents/Terry's Presentations/Comparators/Astable With Duty Factor/Spreadsheet WIP 2/"/>
    </mc:Choice>
  </mc:AlternateContent>
  <xr:revisionPtr revIDLastSave="0" documentId="8_{B66A204B-1233-47E1-9E16-EECE49CD19A2}" xr6:coauthVersionLast="47" xr6:coauthVersionMax="47" xr10:uidLastSave="{00000000-0000-0000-0000-000000000000}"/>
  <bookViews>
    <workbookView xWindow="-110" yWindow="-110" windowWidth="38620" windowHeight="21820" xr2:uid="{87E8CD6D-4E4B-4B84-ACF9-49A9FEA4E65F}"/>
  </bookViews>
  <sheets>
    <sheet name="Astable With Duty Solver" sheetId="1" r:id="rId1"/>
  </sheets>
  <functionGroups builtInGroupCount="19"/>
  <definedNames>
    <definedName name="_C1">'Astable With Duty Solver'!$C$3</definedName>
    <definedName name="_R1">'Astable With Duty Solver'!$C$12</definedName>
    <definedName name="_R2">'Astable With Duty Solver'!$F$12</definedName>
    <definedName name="_VF1">'Astable With Duty Solver'!$C$14</definedName>
    <definedName name="_VF2">'Astable With Duty Solver'!$F$14</definedName>
    <definedName name="a">'Astable With Duty Solver'!$J$2</definedName>
    <definedName name="b">'Astable With Duty Solver'!$J$3</definedName>
    <definedName name="DF">'Astable With Duty Solver'!$C$5</definedName>
    <definedName name="f0">'Astable With Duty Solver'!$C$4</definedName>
    <definedName name="IR1_">'Astable With Duty Solver'!$C$13</definedName>
    <definedName name="IR2_">'Astable With Duty Solver'!$F$13</definedName>
    <definedName name="solver_adj" localSheetId="0" hidden="1">'Astable With Duty Solver'!$F$12:$F$13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'Astable With Duty Solver'!$F$15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'Astable With Duty Solver'!$F$16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VAVG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0.0008</definedName>
    <definedName name="solver_ver" localSheetId="0" hidden="1">3</definedName>
    <definedName name="tH">'Astable With Duty Solver'!$C$8</definedName>
    <definedName name="tHCALC">'Astable With Duty Solver'!$C$16</definedName>
    <definedName name="tL">'Astable With Duty Solver'!$C$9</definedName>
    <definedName name="tLCALC">'Astable With Duty Solver'!$F$16</definedName>
    <definedName name="tP">'Astable With Duty Solver'!#REF!</definedName>
    <definedName name="VAVG">'Astable With Duty Solver'!$C$7</definedName>
    <definedName name="VAVGH">'Astable With Duty Solver'!$C$15</definedName>
    <definedName name="VAVGL">'Astable With Duty Solver'!$F$15</definedName>
    <definedName name="VCC">'Astable With Duty Solver'!$C$2</definedName>
    <definedName name="VH">'Astable With Duty Solver'!#REF!</definedName>
    <definedName name="VL">'Astable With Duty Solver'!#REF!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9" i="1"/>
  <c r="C8" i="1"/>
  <c r="F14" i="1"/>
  <c r="F15" i="1" s="1"/>
  <c r="C14" i="1"/>
  <c r="F16" i="1" s="1"/>
  <c r="C2" i="1"/>
  <c r="C20" i="1" a="1"/>
  <c r="C22" i="1" a="1"/>
  <c r="C21" i="1" a="1"/>
  <c r="C16" i="1" l="1"/>
  <c r="C15" i="1"/>
  <c r="C20" i="1"/>
  <c r="C22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Note</author>
  </authors>
  <commentList>
    <comment ref="J2" authorId="0" shapeId="0" xr:uid="{40F7E4C6-A038-44AC-9325-5BC75479891A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coefficient for the diode equation.</t>
        </r>
      </text>
    </comment>
    <comment ref="J3" authorId="0" shapeId="0" xr:uid="{1351B7D0-5CBC-4D1D-9C5D-30B335B51D5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exponent for the diode equation.</t>
        </r>
      </text>
    </comment>
    <comment ref="C7" authorId="0" shapeId="0" xr:uid="{D5A91E27-EA9B-4043-9944-E239435635D8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average voltage of the capacitor when charging through 1/3Vcc and 2/3Vcc.</t>
        </r>
      </text>
    </comment>
    <comment ref="C8" authorId="0" shapeId="0" xr:uid="{5C0288CE-33E2-4D51-8FE9-4A60D71D6417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time the output is high.</t>
        </r>
      </text>
    </comment>
    <comment ref="C9" authorId="0" shapeId="0" xr:uid="{40A2AC3B-37B9-416F-99CC-AE9C4015A10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time the output is low.</t>
        </r>
      </text>
    </comment>
    <comment ref="C12" authorId="0" shapeId="0" xr:uid="{2ACEC39F-2A7D-4DCF-8578-DDF93BC4BBB7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calculated value for R1. The solver adjusts this.</t>
        </r>
      </text>
    </comment>
    <comment ref="F12" authorId="0" shapeId="0" xr:uid="{62CFDF5F-D2D2-463C-9D9B-929A7F06DC6C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calculated value for R2. The solver adjusts this.</t>
        </r>
      </text>
    </comment>
    <comment ref="C13" authorId="0" shapeId="0" xr:uid="{373082FD-49B6-4FF1-8075-C1AF37DA73BB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current in R1. The solver adjusts this.</t>
        </r>
      </text>
    </comment>
    <comment ref="F13" authorId="0" shapeId="0" xr:uid="{2F07E9E2-8004-4F28-AC25-E5641C3957D8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current in R2. The solver adjusts this.</t>
        </r>
      </text>
    </comment>
    <comment ref="C14" authorId="0" shapeId="0" xr:uid="{8808EBBC-1722-4B0A-AF18-40CFDCD1701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diode's forward voltage calculation based on current.</t>
        </r>
      </text>
    </comment>
    <comment ref="F14" authorId="0" shapeId="0" xr:uid="{CA9C7578-C1F6-4A90-8582-763EA8A146A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diode's forward voltage calculation based on current.</t>
        </r>
      </text>
    </comment>
    <comment ref="C15" authorId="0" shapeId="0" xr:uid="{F9B8CA9C-6115-4A50-9C5B-E6D4BE0E68A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average voltage of the capacitor. The solver uses this as a constraint and is set to the Average Charge Voltage Target (Vavg)</t>
        </r>
      </text>
    </comment>
    <comment ref="F15" authorId="0" shapeId="0" xr:uid="{8E466720-133F-4065-84C1-554D8338E8B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average voltage of the capacitor. The solver uses this as a constraint and is set to the Average Charge Voltage Target (Vavg)</t>
        </r>
      </text>
    </comment>
    <comment ref="C16" authorId="0" shapeId="0" xr:uid="{98B4B4BB-5B71-4549-BC62-4E63F3009FA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calculated time high. The objective cell for the solver.</t>
        </r>
      </text>
    </comment>
    <comment ref="F16" authorId="0" shapeId="0" xr:uid="{9B58B779-FD5B-43BB-8389-42157099E3FD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calculated time low. The objective cell for the solver.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<sst xmlns="http://schemas.openxmlformats.org/spreadsheetml/2006/main" count="50" uniqueCount="40">
  <si>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Supply Voltage</t>
  </si>
  <si>
    <r>
      <t>(V</t>
    </r>
    <r>
      <rPr>
        <vertAlign val="subscript"/>
        <sz val="11"/>
        <color theme="1"/>
        <rFont val="Calibri"/>
        <family val="2"/>
      </rPr>
      <t>CC</t>
    </r>
    <r>
      <rPr>
        <sz val="11"/>
        <color theme="1"/>
        <rFont val="Calibri"/>
        <family val="2"/>
      </rPr>
      <t>)</t>
    </r>
  </si>
  <si>
    <t>V</t>
  </si>
  <si>
    <t>a</t>
  </si>
  <si>
    <t>b</t>
  </si>
  <si>
    <t>Timing Capacitor</t>
  </si>
  <si>
    <t>(C1)</t>
  </si>
  <si>
    <t>F</t>
  </si>
  <si>
    <t>Frequency</t>
  </si>
  <si>
    <r>
      <t>(f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)</t>
    </r>
  </si>
  <si>
    <t>Hz</t>
  </si>
  <si>
    <t>Duty Factor</t>
  </si>
  <si>
    <t>(DF)</t>
  </si>
  <si>
    <t>Average Charge Voltage Target</t>
  </si>
  <si>
    <r>
      <t>(V</t>
    </r>
    <r>
      <rPr>
        <vertAlign val="subscript"/>
        <sz val="11"/>
        <color theme="1"/>
        <rFont val="Calibri"/>
        <family val="2"/>
      </rPr>
      <t>AVG</t>
    </r>
    <r>
      <rPr>
        <sz val="11"/>
        <color theme="1"/>
        <rFont val="Calibri"/>
        <family val="2"/>
      </rPr>
      <t>)</t>
    </r>
  </si>
  <si>
    <t>s</t>
  </si>
  <si>
    <t>Time High</t>
  </si>
  <si>
    <r>
      <t>(t</t>
    </r>
    <r>
      <rPr>
        <vertAlign val="subscript"/>
        <sz val="11"/>
        <color theme="1"/>
        <rFont val="Calibri"/>
        <family val="2"/>
      </rPr>
      <t>H</t>
    </r>
    <r>
      <rPr>
        <sz val="11"/>
        <color theme="1"/>
        <rFont val="Calibri"/>
        <family val="2"/>
      </rPr>
      <t>)</t>
    </r>
  </si>
  <si>
    <t>Time Low</t>
  </si>
  <si>
    <r>
      <t>(t</t>
    </r>
    <r>
      <rPr>
        <vertAlign val="subscript"/>
        <sz val="11"/>
        <color theme="1"/>
        <rFont val="Calibri"/>
        <family val="2"/>
      </rPr>
      <t>L</t>
    </r>
    <r>
      <rPr>
        <sz val="11"/>
        <color theme="1"/>
        <rFont val="Calibri"/>
        <family val="2"/>
      </rPr>
      <t>)</t>
    </r>
  </si>
  <si>
    <t>Time High Calculation</t>
  </si>
  <si>
    <t>Time Low Calculation</t>
  </si>
  <si>
    <t>(R1)</t>
  </si>
  <si>
    <t>Ω</t>
  </si>
  <si>
    <t>(R2)</t>
  </si>
  <si>
    <r>
      <t>(I</t>
    </r>
    <r>
      <rPr>
        <vertAlign val="subscript"/>
        <sz val="11"/>
        <color theme="1"/>
        <rFont val="Calibri"/>
        <family val="2"/>
      </rPr>
      <t>R1</t>
    </r>
    <r>
      <rPr>
        <sz val="11"/>
        <color theme="1"/>
        <rFont val="Calibri"/>
        <family val="2"/>
      </rPr>
      <t>)</t>
    </r>
  </si>
  <si>
    <t>A</t>
  </si>
  <si>
    <r>
      <t>(I</t>
    </r>
    <r>
      <rPr>
        <vertAlign val="subscript"/>
        <sz val="11"/>
        <color theme="1"/>
        <rFont val="Calibri"/>
        <family val="2"/>
      </rPr>
      <t>R2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</si>
  <si>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</rPr>
      <t>F1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</si>
  <si>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</rPr>
      <t>F2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</si>
  <si>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</rPr>
      <t>AVGH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</si>
  <si>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Calibri"/>
        <family val="2"/>
      </rPr>
      <t>AVGL</t>
    </r>
    <r>
      <rPr>
        <sz val="11"/>
        <color theme="1"/>
        <rFont val="Calibri"/>
        <family val="2"/>
      </rPr>
      <t>)</t>
    </r>
  </si>
  <si>
    <r>
      <t>t</t>
    </r>
    <r>
      <rPr>
        <vertAlign val="subscript"/>
        <sz val="11"/>
        <color theme="1"/>
        <rFont val="Calibri"/>
        <family val="2"/>
      </rPr>
      <t>HCALC</t>
    </r>
  </si>
  <si>
    <r>
      <t>t</t>
    </r>
    <r>
      <rPr>
        <vertAlign val="subscript"/>
        <sz val="11"/>
        <color theme="1"/>
        <rFont val="Calibri"/>
        <family val="2"/>
      </rPr>
      <t>LCALC</t>
    </r>
  </si>
  <si>
    <t>R1</t>
  </si>
  <si>
    <t>R2</t>
  </si>
  <si>
    <t>Standard Component Values</t>
  </si>
  <si>
    <t>C1</t>
  </si>
  <si>
    <t>Forward Voltage vs. Current for 1N4148 @ 25°C</t>
  </si>
  <si>
    <t>Astable Multivibrator with Duty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</si>
</sst>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E+00"/>
    <numFmt numFmtId="165" formatCode="##0.00E+0"/>
    <numFmt numFmtId="166" formatCode="0.0000"/>
  </numFmts>
  <fonts count="9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i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</font>
    <font>
      <sz val="11"/>
      <color theme="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1">
      <alignment horizontal="center" vertical="center"/>
      <protection locked="0"/>
    </xf>
    <xf numFmtId="0" fontId="2" fillId="23" borderId="1">
      <alignment horizontal="center" vertical="center"/>
    </xf>
    <xf numFmtId="0" fontId="2" fillId="21" borderId="1">
      <alignment horizontal="center" vertical="center"/>
    </xf>
    <xf numFmtId="0" fontId="2" fillId="22" borderId="1">
      <alignment horizontal="center" vertical="center"/>
    </xf>
    <xf numFmtId="0" fontId="8" fillId="24" borderId="1" applyProtection="0">
      <alignment horizontal="center" vertical="center"/>
    </xf>
  </cellStyleXfs>
  <cellXfs count="2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1" fontId="0" fillId="0" borderId="0" xfId="0" applyNumberFormat="1" applyAlignment="1">
      <alignment vertical="center"/>
    </xf>
    <xf numFmtId="1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2" fillId="23" borderId="1" xfId="20">
      <alignment horizontal="center" vertical="center"/>
    </xf>
    <xf numFmtId="0" fontId="2" fillId="20" borderId="1" xfId="19">
      <alignment horizontal="center" vertical="center"/>
      <protection locked="0"/>
    </xf>
    <xf numFmtId="0" fontId="3" fillId="0" borderId="0" xfId="0" applyFont="1" applyAlignment="1">
      <alignment horizontal="left" vertical="center"/>
    </xf>
    <xf numFmtId="165" fontId="2" fillId="20" borderId="1" xfId="19" applyNumberFormat="1">
      <alignment horizontal="center" vertical="center"/>
      <protection locked="0"/>
    </xf>
    <xf numFmtId="48" fontId="2" fillId="20" borderId="1" xfId="19" applyNumberFormat="1">
      <alignment horizontal="center" vertical="center"/>
      <protection locked="0"/>
    </xf>
    <xf numFmtId="0" fontId="3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/>
    <xf numFmtId="0" fontId="0" fillId="0" borderId="5" xfId="0" applyBorder="1" applyAlignment="1">
      <alignment horizontal="right" vertical="center"/>
    </xf>
    <xf numFmtId="0" fontId="2" fillId="22" borderId="1" xfId="22">
      <alignment horizontal="center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11" fontId="0" fillId="0" borderId="8" xfId="0" applyNumberFormat="1" applyBorder="1" applyAlignment="1">
      <alignment vertical="center"/>
    </xf>
    <xf numFmtId="0" fontId="0" fillId="0" borderId="9" xfId="0" applyBorder="1" applyAlignment="1">
      <alignment vertical="center"/>
    </xf>
    <xf numFmtId="166" fontId="2" fillId="23" borderId="1" xfId="20" applyNumberFormat="1">
      <alignment horizontal="center" vertical="center"/>
    </xf>
    <xf numFmtId="48" fontId="2" fillId="23" borderId="1" xfId="20" applyNumberFormat="1">
      <alignment horizontal="center" vertical="center"/>
    </xf>
    <xf numFmtId="0" fontId="7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5" fontId="8" fillId="24" borderId="1" xfId="23" applyNumberFormat="1" applyProtection="1">
      <alignment horizontal="center" vertical="center"/>
      <protection locked="0"/>
    </xf>
    <xf numFmtId="166" fontId="8" fillId="24" borderId="1" xfId="23" applyNumberFormat="1" applyProtection="1">
      <alignment horizontal="center" vertical="center"/>
      <protection locked="0"/>
    </xf>
  </cellXfs>
  <cellStyles count="24">
    <cellStyle name="20% - Accent1" xfId="1" builtinId="30" customBuiltin="1"/>
    <cellStyle name="20% - Accent2" xfId="4" builtinId="34" customBuiltin="1"/>
    <cellStyle name="20% - Accent3" xfId="7" builtinId="38" customBuiltin="1"/>
    <cellStyle name="20% - Accent4" xfId="10" builtinId="42" customBuiltin="1"/>
    <cellStyle name="20% - Accent5" xfId="13" builtinId="46" customBuiltin="1"/>
    <cellStyle name="20% - Accent6" xfId="16" builtinId="50" customBuiltin="1"/>
    <cellStyle name="40% - Accent1" xfId="2" builtinId="31" customBuiltin="1"/>
    <cellStyle name="40% - Accent2" xfId="5" builtinId="35" customBuiltin="1"/>
    <cellStyle name="40% - Accent3" xfId="8" builtinId="39" customBuiltin="1"/>
    <cellStyle name="40% - Accent4" xfId="11" builtinId="43" customBuiltin="1"/>
    <cellStyle name="40% - Accent5" xfId="14" builtinId="47" customBuiltin="1"/>
    <cellStyle name="40% - Accent6" xfId="17" builtinId="51" customBuiltin="1"/>
    <cellStyle name="60% - Accent1" xfId="3" builtinId="32" customBuiltin="1"/>
    <cellStyle name="60% - Accent2" xfId="6" builtinId="36" customBuiltin="1"/>
    <cellStyle name="60% - Accent3" xfId="9" builtinId="40" customBuiltin="1"/>
    <cellStyle name="60% - Accent4" xfId="12" builtinId="44" customBuiltin="1"/>
    <cellStyle name="60% - Accent5" xfId="15" builtinId="48" customBuiltin="1"/>
    <cellStyle name="60% - Accent6" xfId="18" builtinId="52" customBuiltin="1"/>
    <cellStyle name="INPUTS" xfId="19" xr:uid="{1D126123-4EF6-485C-BA3D-EC035B77A51A}"/>
    <cellStyle name="Normal" xfId="0" builtinId="0"/>
    <cellStyle name="OUTPUTS" xfId="20" xr:uid="{E2553E51-7A63-43BF-91FF-DDF4CE4CEC02}"/>
    <cellStyle name="REFERENCE" xfId="21" xr:uid="{5DD3886C-D805-4CE5-89EA-A8D33DB6D892}"/>
    <cellStyle name="SPECS" xfId="22" xr:uid="{6BB99768-91ED-45D6-B90E-BEB5013AF5F0}"/>
    <cellStyle name="UNPROTECTED OUTPUTS" xfId="23" xr:uid="{662CCF17-9DCF-47EC-BC85-E7F1A50E61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311150</xdr:colOff>
      <xdr:row>2</xdr:row>
      <xdr:rowOff>203200</xdr:rowOff>
    </xdr:from>
    <xdr:ext cx="1227259" cy="1978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AD797C4-38B9-46D7-BB27-37E0ED30AA9F}"/>
                </a:ext>
              </a:extLst>
            </xdr:cNvPr>
            <xdr:cNvSpPr txBox="1"/>
          </xdr:nvSpPr>
          <xdr:spPr>
            <a:xfrm>
              <a:off x="9055100" y="596900"/>
              <a:ext cx="1227259" cy="1978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=1.10126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0.0863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AD797C4-38B9-46D7-BB27-37E0ED30AA9F}"/>
                </a:ext>
              </a:extLst>
            </xdr:cNvPr>
            <xdr:cNvSpPr txBox="1"/>
          </xdr:nvSpPr>
          <xdr:spPr>
            <a:xfrm>
              <a:off x="9055100" y="596900"/>
              <a:ext cx="1227259" cy="1978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𝑉_𝑓=1.10126𝐼_𝑓^0.0863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193675</xdr:colOff>
      <xdr:row>6</xdr:row>
      <xdr:rowOff>38100</xdr:rowOff>
    </xdr:from>
    <xdr:ext cx="166237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484FA5C-5763-4BAD-AC25-DCBC1F560F5E}"/>
                </a:ext>
              </a:extLst>
            </xdr:cNvPr>
            <xdr:cNvSpPr txBox="1"/>
          </xdr:nvSpPr>
          <xdr:spPr>
            <a:xfrm>
              <a:off x="3705882" y="1308100"/>
              <a:ext cx="1662378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𝐴𝑉𝐺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  <m:func>
                          <m:func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e>
                            </m:d>
                          </m:e>
                        </m:func>
                      </m:den>
                    </m:f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𝐶𝐶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𝐶𝐶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484FA5C-5763-4BAD-AC25-DCBC1F560F5E}"/>
                </a:ext>
              </a:extLst>
            </xdr:cNvPr>
            <xdr:cNvSpPr txBox="1"/>
          </xdr:nvSpPr>
          <xdr:spPr>
            <a:xfrm>
              <a:off x="3705882" y="1308100"/>
              <a:ext cx="1662378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𝑉_𝐴𝑉𝐺=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1/(3 ln⁡(2) ) </a:t>
              </a:r>
              <a:r>
                <a:rPr lang="en-US" sz="1100" b="0" i="0">
                  <a:latin typeface="Cambria Math" panose="02040503050406030204" pitchFamily="18" charset="0"/>
                </a:rPr>
                <a:t>(𝑉_𝐶𝐶/3)+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𝑉_𝐶𝐶/3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342900</xdr:colOff>
      <xdr:row>1</xdr:row>
      <xdr:rowOff>171450</xdr:rowOff>
    </xdr:from>
    <xdr:ext cx="557267" cy="2011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1BEE363-52AE-416D-AD5B-00885480393B}"/>
                </a:ext>
              </a:extLst>
            </xdr:cNvPr>
            <xdr:cNvSpPr txBox="1"/>
          </xdr:nvSpPr>
          <xdr:spPr>
            <a:xfrm>
              <a:off x="9086850" y="355600"/>
              <a:ext cx="557267" cy="201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1BEE363-52AE-416D-AD5B-00885480393B}"/>
                </a:ext>
              </a:extLst>
            </xdr:cNvPr>
            <xdr:cNvSpPr txBox="1"/>
          </xdr:nvSpPr>
          <xdr:spPr>
            <a:xfrm>
              <a:off x="9086850" y="355600"/>
              <a:ext cx="557267" cy="201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𝑉_𝑓=𝑎𝐼_𝑓^𝑏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184150</xdr:colOff>
      <xdr:row>14</xdr:row>
      <xdr:rowOff>19050</xdr:rowOff>
    </xdr:from>
    <xdr:ext cx="1817036" cy="1772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49A67BF-9A10-4517-BD18-16254C6DB101}"/>
                </a:ext>
              </a:extLst>
            </xdr:cNvPr>
            <xdr:cNvSpPr txBox="1"/>
          </xdr:nvSpPr>
          <xdr:spPr>
            <a:xfrm>
              <a:off x="5784850" y="3746500"/>
              <a:ext cx="1817036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𝐴𝑉𝐺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𝐼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+1.10126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0.0863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49A67BF-9A10-4517-BD18-16254C6DB101}"/>
                </a:ext>
              </a:extLst>
            </xdr:cNvPr>
            <xdr:cNvSpPr txBox="1"/>
          </xdr:nvSpPr>
          <xdr:spPr>
            <a:xfrm>
              <a:off x="5784850" y="3746500"/>
              <a:ext cx="1817036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𝑉_𝐴𝑉𝐺=𝐼𝑅_𝑛+1.10126𝐼^0.0863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2</xdr:col>
      <xdr:colOff>419100</xdr:colOff>
      <xdr:row>16</xdr:row>
      <xdr:rowOff>6350</xdr:rowOff>
    </xdr:from>
    <xdr:to>
      <xdr:col>7</xdr:col>
      <xdr:colOff>95249</xdr:colOff>
      <xdr:row>22</xdr:row>
      <xdr:rowOff>177990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282D302-CDF8-B4C6-8D70-7F00BBCCCDDA}"/>
            </a:ext>
          </a:extLst>
        </xdr:cNvPr>
        <xdr:cNvGrpSpPr/>
      </xdr:nvGrpSpPr>
      <xdr:grpSpPr>
        <a:xfrm>
          <a:off x="3173686" y="3921453"/>
          <a:ext cx="3131425" cy="1275227"/>
          <a:chOff x="3448050" y="4203700"/>
          <a:chExt cx="3130549" cy="1276540"/>
        </a:xfrm>
      </xdr:grpSpPr>
      <xdr:sp macro="" textlink="">
        <xdr:nvSpPr>
          <xdr:cNvPr id="12" name="Rectangle 5">
            <a:extLst>
              <a:ext uri="{FF2B5EF4-FFF2-40B4-BE49-F238E27FC236}">
                <a16:creationId xmlns:a16="http://schemas.microsoft.com/office/drawing/2014/main" id="{38935F0E-A56F-48AB-8D61-F2CD04A3C2AD}"/>
              </a:ext>
            </a:extLst>
          </xdr:cNvPr>
          <xdr:cNvSpPr/>
        </xdr:nvSpPr>
        <xdr:spPr>
          <a:xfrm flipH="1" flipV="1">
            <a:off x="3448050" y="4203700"/>
            <a:ext cx="932841" cy="633046"/>
          </a:xfrm>
          <a:custGeom>
            <a:avLst/>
            <a:gdLst>
              <a:gd name="connsiteX0" fmla="*/ 0 w 3597310"/>
              <a:gd name="connsiteY0" fmla="*/ 0 h 2233246"/>
              <a:gd name="connsiteX1" fmla="*/ 3597310 w 3597310"/>
              <a:gd name="connsiteY1" fmla="*/ 0 h 2233246"/>
              <a:gd name="connsiteX2" fmla="*/ 3597310 w 3597310"/>
              <a:gd name="connsiteY2" fmla="*/ 2233246 h 2233246"/>
              <a:gd name="connsiteX3" fmla="*/ 0 w 3597310"/>
              <a:gd name="connsiteY3" fmla="*/ 2233246 h 2233246"/>
              <a:gd name="connsiteX4" fmla="*/ 0 w 3597310"/>
              <a:gd name="connsiteY4" fmla="*/ 0 h 2233246"/>
              <a:gd name="connsiteX0" fmla="*/ 3597310 w 3688750"/>
              <a:gd name="connsiteY0" fmla="*/ 0 h 2233246"/>
              <a:gd name="connsiteX1" fmla="*/ 3597310 w 3688750"/>
              <a:gd name="connsiteY1" fmla="*/ 2233246 h 2233246"/>
              <a:gd name="connsiteX2" fmla="*/ 0 w 3688750"/>
              <a:gd name="connsiteY2" fmla="*/ 2233246 h 2233246"/>
              <a:gd name="connsiteX3" fmla="*/ 0 w 3688750"/>
              <a:gd name="connsiteY3" fmla="*/ 0 h 2233246"/>
              <a:gd name="connsiteX4" fmla="*/ 3688750 w 3688750"/>
              <a:gd name="connsiteY4" fmla="*/ 91440 h 2233246"/>
              <a:gd name="connsiteX0" fmla="*/ 3597310 w 3597310"/>
              <a:gd name="connsiteY0" fmla="*/ 0 h 2233246"/>
              <a:gd name="connsiteX1" fmla="*/ 3597310 w 3597310"/>
              <a:gd name="connsiteY1" fmla="*/ 2233246 h 2233246"/>
              <a:gd name="connsiteX2" fmla="*/ 0 w 3597310"/>
              <a:gd name="connsiteY2" fmla="*/ 2233246 h 2233246"/>
              <a:gd name="connsiteX3" fmla="*/ 0 w 3597310"/>
              <a:gd name="connsiteY3" fmla="*/ 0 h 2233246"/>
              <a:gd name="connsiteX0" fmla="*/ 3597310 w 3597310"/>
              <a:gd name="connsiteY0" fmla="*/ 0 h 2233246"/>
              <a:gd name="connsiteX1" fmla="*/ 3597310 w 3597310"/>
              <a:gd name="connsiteY1" fmla="*/ 2233246 h 2233246"/>
              <a:gd name="connsiteX2" fmla="*/ 0 w 3597310"/>
              <a:gd name="connsiteY2" fmla="*/ 2233246 h 2233246"/>
              <a:gd name="connsiteX3" fmla="*/ 0 w 3597310"/>
              <a:gd name="connsiteY3" fmla="*/ 0 h 2233246"/>
              <a:gd name="connsiteX0" fmla="*/ 3597310 w 3597310"/>
              <a:gd name="connsiteY0" fmla="*/ 2233246 h 2233246"/>
              <a:gd name="connsiteX1" fmla="*/ 0 w 3597310"/>
              <a:gd name="connsiteY1" fmla="*/ 2233246 h 2233246"/>
              <a:gd name="connsiteX2" fmla="*/ 0 w 3597310"/>
              <a:gd name="connsiteY2" fmla="*/ 0 h 2233246"/>
              <a:gd name="connsiteX0" fmla="*/ 1597688 w 1597688"/>
              <a:gd name="connsiteY0" fmla="*/ 2866292 h 2866292"/>
              <a:gd name="connsiteX1" fmla="*/ 0 w 1597688"/>
              <a:gd name="connsiteY1" fmla="*/ 2233246 h 2866292"/>
              <a:gd name="connsiteX2" fmla="*/ 0 w 1597688"/>
              <a:gd name="connsiteY2" fmla="*/ 0 h 2866292"/>
              <a:gd name="connsiteX0" fmla="*/ 1959429 w 1959429"/>
              <a:gd name="connsiteY0" fmla="*/ 633046 h 633046"/>
              <a:gd name="connsiteX1" fmla="*/ 361741 w 1959429"/>
              <a:gd name="connsiteY1" fmla="*/ 0 h 633046"/>
              <a:gd name="connsiteX2" fmla="*/ 0 w 1959429"/>
              <a:gd name="connsiteY2" fmla="*/ 7536 h 633046"/>
              <a:gd name="connsiteX0" fmla="*/ 1954666 w 1954666"/>
              <a:gd name="connsiteY0" fmla="*/ 633046 h 633046"/>
              <a:gd name="connsiteX1" fmla="*/ 356978 w 1954666"/>
              <a:gd name="connsiteY1" fmla="*/ 0 h 633046"/>
              <a:gd name="connsiteX2" fmla="*/ 0 w 1954666"/>
              <a:gd name="connsiteY2" fmla="*/ 392 h 633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954666" h="633046">
                <a:moveTo>
                  <a:pt x="1954666" y="633046"/>
                </a:moveTo>
                <a:lnTo>
                  <a:pt x="356978" y="0"/>
                </a:lnTo>
                <a:lnTo>
                  <a:pt x="0" y="392"/>
                </a:lnTo>
              </a:path>
            </a:pathLst>
          </a:custGeom>
          <a:ln w="12700">
            <a:headEnd type="triangle" w="med" len="med"/>
            <a:tailEnd type="none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BD2D894E-978F-4C02-38F0-BE5C0B8561B6}"/>
              </a:ext>
            </a:extLst>
          </xdr:cNvPr>
          <xdr:cNvSpPr txBox="1"/>
        </xdr:nvSpPr>
        <xdr:spPr>
          <a:xfrm>
            <a:off x="4343400" y="4699000"/>
            <a:ext cx="2235199" cy="7812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/>
              <a:t>In</a:t>
            </a:r>
            <a:r>
              <a:rPr lang="en-US" sz="1100" baseline="0"/>
              <a:t> solver, set objective to value of t</a:t>
            </a:r>
            <a:r>
              <a:rPr lang="en-US" sz="1100" baseline="-25000"/>
              <a:t>H</a:t>
            </a:r>
            <a:r>
              <a:rPr lang="en-US" sz="1100" baseline="0"/>
              <a:t> </a:t>
            </a:r>
          </a:p>
          <a:p>
            <a:r>
              <a:rPr lang="en-US" sz="1100" baseline="0"/>
              <a:t>by changing cells for R1 and I</a:t>
            </a:r>
            <a:r>
              <a:rPr lang="en-US" sz="1100" baseline="-25000"/>
              <a:t>R1</a:t>
            </a:r>
          </a:p>
          <a:p>
            <a:r>
              <a:rPr lang="en-US" sz="1100" baseline="0"/>
              <a:t>Set constraints to V</a:t>
            </a:r>
            <a:r>
              <a:rPr lang="en-US" sz="1100" baseline="-25000"/>
              <a:t>AVGH</a:t>
            </a:r>
            <a:r>
              <a:rPr lang="en-US" sz="1100" baseline="0"/>
              <a:t> = V</a:t>
            </a:r>
            <a:r>
              <a:rPr lang="en-US" sz="1100" baseline="-25000"/>
              <a:t>AVG</a:t>
            </a:r>
          </a:p>
          <a:p>
            <a:r>
              <a:rPr lang="en-US" sz="1100" baseline="0"/>
              <a:t>Use GRG nonlinear solving method</a:t>
            </a:r>
          </a:p>
        </xdr:txBody>
      </xdr:sp>
    </xdr:grpSp>
    <xdr:clientData/>
  </xdr:twoCellAnchor>
  <xdr:twoCellAnchor>
    <xdr:from>
      <xdr:col>5</xdr:col>
      <xdr:colOff>660400</xdr:colOff>
      <xdr:row>16</xdr:row>
      <xdr:rowOff>6350</xdr:rowOff>
    </xdr:from>
    <xdr:to>
      <xdr:col>10</xdr:col>
      <xdr:colOff>138153</xdr:colOff>
      <xdr:row>22</xdr:row>
      <xdr:rowOff>177990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DC29872-4A76-C9D0-6197-66675CC8D965}"/>
            </a:ext>
          </a:extLst>
        </xdr:cNvPr>
        <xdr:cNvGrpSpPr/>
      </xdr:nvGrpSpPr>
      <xdr:grpSpPr>
        <a:xfrm>
          <a:off x="5503917" y="3921453"/>
          <a:ext cx="3108202" cy="1275227"/>
          <a:chOff x="3448050" y="4203700"/>
          <a:chExt cx="2980179" cy="1276540"/>
        </a:xfrm>
      </xdr:grpSpPr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id="{018D9801-A788-374D-186B-EAE97CA8967B}"/>
              </a:ext>
            </a:extLst>
          </xdr:cNvPr>
          <xdr:cNvSpPr/>
        </xdr:nvSpPr>
        <xdr:spPr>
          <a:xfrm flipH="1" flipV="1">
            <a:off x="3448050" y="4203700"/>
            <a:ext cx="932841" cy="633046"/>
          </a:xfrm>
          <a:custGeom>
            <a:avLst/>
            <a:gdLst>
              <a:gd name="connsiteX0" fmla="*/ 0 w 3597310"/>
              <a:gd name="connsiteY0" fmla="*/ 0 h 2233246"/>
              <a:gd name="connsiteX1" fmla="*/ 3597310 w 3597310"/>
              <a:gd name="connsiteY1" fmla="*/ 0 h 2233246"/>
              <a:gd name="connsiteX2" fmla="*/ 3597310 w 3597310"/>
              <a:gd name="connsiteY2" fmla="*/ 2233246 h 2233246"/>
              <a:gd name="connsiteX3" fmla="*/ 0 w 3597310"/>
              <a:gd name="connsiteY3" fmla="*/ 2233246 h 2233246"/>
              <a:gd name="connsiteX4" fmla="*/ 0 w 3597310"/>
              <a:gd name="connsiteY4" fmla="*/ 0 h 2233246"/>
              <a:gd name="connsiteX0" fmla="*/ 3597310 w 3688750"/>
              <a:gd name="connsiteY0" fmla="*/ 0 h 2233246"/>
              <a:gd name="connsiteX1" fmla="*/ 3597310 w 3688750"/>
              <a:gd name="connsiteY1" fmla="*/ 2233246 h 2233246"/>
              <a:gd name="connsiteX2" fmla="*/ 0 w 3688750"/>
              <a:gd name="connsiteY2" fmla="*/ 2233246 h 2233246"/>
              <a:gd name="connsiteX3" fmla="*/ 0 w 3688750"/>
              <a:gd name="connsiteY3" fmla="*/ 0 h 2233246"/>
              <a:gd name="connsiteX4" fmla="*/ 3688750 w 3688750"/>
              <a:gd name="connsiteY4" fmla="*/ 91440 h 2233246"/>
              <a:gd name="connsiteX0" fmla="*/ 3597310 w 3597310"/>
              <a:gd name="connsiteY0" fmla="*/ 0 h 2233246"/>
              <a:gd name="connsiteX1" fmla="*/ 3597310 w 3597310"/>
              <a:gd name="connsiteY1" fmla="*/ 2233246 h 2233246"/>
              <a:gd name="connsiteX2" fmla="*/ 0 w 3597310"/>
              <a:gd name="connsiteY2" fmla="*/ 2233246 h 2233246"/>
              <a:gd name="connsiteX3" fmla="*/ 0 w 3597310"/>
              <a:gd name="connsiteY3" fmla="*/ 0 h 2233246"/>
              <a:gd name="connsiteX0" fmla="*/ 3597310 w 3597310"/>
              <a:gd name="connsiteY0" fmla="*/ 0 h 2233246"/>
              <a:gd name="connsiteX1" fmla="*/ 3597310 w 3597310"/>
              <a:gd name="connsiteY1" fmla="*/ 2233246 h 2233246"/>
              <a:gd name="connsiteX2" fmla="*/ 0 w 3597310"/>
              <a:gd name="connsiteY2" fmla="*/ 2233246 h 2233246"/>
              <a:gd name="connsiteX3" fmla="*/ 0 w 3597310"/>
              <a:gd name="connsiteY3" fmla="*/ 0 h 2233246"/>
              <a:gd name="connsiteX0" fmla="*/ 3597310 w 3597310"/>
              <a:gd name="connsiteY0" fmla="*/ 2233246 h 2233246"/>
              <a:gd name="connsiteX1" fmla="*/ 0 w 3597310"/>
              <a:gd name="connsiteY1" fmla="*/ 2233246 h 2233246"/>
              <a:gd name="connsiteX2" fmla="*/ 0 w 3597310"/>
              <a:gd name="connsiteY2" fmla="*/ 0 h 2233246"/>
              <a:gd name="connsiteX0" fmla="*/ 1597688 w 1597688"/>
              <a:gd name="connsiteY0" fmla="*/ 2866292 h 2866292"/>
              <a:gd name="connsiteX1" fmla="*/ 0 w 1597688"/>
              <a:gd name="connsiteY1" fmla="*/ 2233246 h 2866292"/>
              <a:gd name="connsiteX2" fmla="*/ 0 w 1597688"/>
              <a:gd name="connsiteY2" fmla="*/ 0 h 2866292"/>
              <a:gd name="connsiteX0" fmla="*/ 1959429 w 1959429"/>
              <a:gd name="connsiteY0" fmla="*/ 633046 h 633046"/>
              <a:gd name="connsiteX1" fmla="*/ 361741 w 1959429"/>
              <a:gd name="connsiteY1" fmla="*/ 0 h 633046"/>
              <a:gd name="connsiteX2" fmla="*/ 0 w 1959429"/>
              <a:gd name="connsiteY2" fmla="*/ 7536 h 633046"/>
              <a:gd name="connsiteX0" fmla="*/ 1954666 w 1954666"/>
              <a:gd name="connsiteY0" fmla="*/ 633046 h 633046"/>
              <a:gd name="connsiteX1" fmla="*/ 356978 w 1954666"/>
              <a:gd name="connsiteY1" fmla="*/ 0 h 633046"/>
              <a:gd name="connsiteX2" fmla="*/ 0 w 1954666"/>
              <a:gd name="connsiteY2" fmla="*/ 392 h 6330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954666" h="633046">
                <a:moveTo>
                  <a:pt x="1954666" y="633046"/>
                </a:moveTo>
                <a:lnTo>
                  <a:pt x="356978" y="0"/>
                </a:lnTo>
                <a:lnTo>
                  <a:pt x="0" y="392"/>
                </a:lnTo>
              </a:path>
            </a:pathLst>
          </a:custGeom>
          <a:ln w="12700">
            <a:headEnd type="triangle" w="med" len="med"/>
            <a:tailEnd type="none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C6B7BF42-29A4-CE57-C3C8-1D20CC7B5B69}"/>
              </a:ext>
            </a:extLst>
          </xdr:cNvPr>
          <xdr:cNvSpPr txBox="1"/>
        </xdr:nvSpPr>
        <xdr:spPr>
          <a:xfrm>
            <a:off x="4343400" y="4699000"/>
            <a:ext cx="2084829" cy="78124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In</a:t>
            </a:r>
            <a:r>
              <a:rPr lang="en-US" sz="1100" baseline="0"/>
              <a:t> solver, set objective to value of t</a:t>
            </a:r>
            <a:r>
              <a:rPr lang="en-US" sz="1100" baseline="-25000"/>
              <a:t>L</a:t>
            </a:r>
            <a:r>
              <a:rPr lang="en-US" sz="1100" baseline="0"/>
              <a:t> </a:t>
            </a:r>
          </a:p>
          <a:p>
            <a:r>
              <a:rPr lang="en-US" sz="1100" baseline="0"/>
              <a:t>by changing cells for R2 and I</a:t>
            </a:r>
            <a:r>
              <a:rPr lang="en-US" sz="1100" baseline="-25000"/>
              <a:t>R2</a:t>
            </a:r>
          </a:p>
          <a:p>
            <a:r>
              <a:rPr lang="en-US" sz="1100" baseline="0"/>
              <a:t>Set constraints to V</a:t>
            </a:r>
            <a:r>
              <a:rPr lang="en-US" sz="1100" baseline="-25000"/>
              <a:t>AVGL</a:t>
            </a:r>
            <a:r>
              <a:rPr lang="en-US" sz="1100" baseline="0"/>
              <a:t> = V</a:t>
            </a:r>
            <a:r>
              <a:rPr lang="en-US" sz="1100" baseline="-25000"/>
              <a:t>AVG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Use GRG nonlinear solving method</a:t>
            </a:r>
            <a:endParaRPr lang="en-US">
              <a:effectLst/>
            </a:endParaRPr>
          </a:p>
        </xdr:txBody>
      </xdr:sp>
    </xdr:grpSp>
    <xdr:clientData/>
  </xdr:twoCellAnchor>
  <xdr:twoCellAnchor editAs="oneCell">
    <xdr:from>
      <xdr:col>11</xdr:col>
      <xdr:colOff>587375</xdr:colOff>
      <xdr:row>0</xdr:row>
      <xdr:rowOff>0</xdr:rowOff>
    </xdr:from>
    <xdr:to>
      <xdr:col>13</xdr:col>
      <xdr:colOff>506054</xdr:colOff>
      <xdr:row>3</xdr:row>
      <xdr:rowOff>187779</xdr:rowOff>
    </xdr:to>
    <xdr:pic>
      <xdr:nvPicPr>
        <xdr:cNvPr id="35" name="Picture 34" descr="A close-up of a resistor&#10;&#10;Description automatically generated">
          <a:extLst>
            <a:ext uri="{FF2B5EF4-FFF2-40B4-BE49-F238E27FC236}">
              <a16:creationId xmlns:a16="http://schemas.microsoft.com/office/drawing/2014/main" id="{35613202-FFF5-CBFD-A8A5-411C344633C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443" t="15388" r="13355" b="33898"/>
        <a:stretch/>
      </xdr:blipFill>
      <xdr:spPr bwMode="auto">
        <a:xfrm flipH="1">
          <a:off x="9667875" y="0"/>
          <a:ext cx="1132436" cy="8141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193675</xdr:colOff>
      <xdr:row>7</xdr:row>
      <xdr:rowOff>0</xdr:rowOff>
    </xdr:from>
    <xdr:ext cx="539057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59312AF-8FAA-9FCC-279A-2A053C85A518}"/>
                </a:ext>
              </a:extLst>
            </xdr:cNvPr>
            <xdr:cNvSpPr txBox="1"/>
          </xdr:nvSpPr>
          <xdr:spPr>
            <a:xfrm>
              <a:off x="3978275" y="1993900"/>
              <a:ext cx="539057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𝐷𝐹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59312AF-8FAA-9FCC-279A-2A053C85A518}"/>
                </a:ext>
              </a:extLst>
            </xdr:cNvPr>
            <xdr:cNvSpPr txBox="1"/>
          </xdr:nvSpPr>
          <xdr:spPr>
            <a:xfrm>
              <a:off x="3978275" y="1993900"/>
              <a:ext cx="539057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𝑡_𝐻=𝐷𝐹/𝑓_0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193675</xdr:colOff>
      <xdr:row>8</xdr:row>
      <xdr:rowOff>19050</xdr:rowOff>
    </xdr:from>
    <xdr:ext cx="764184" cy="3476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D47AAF2-84C6-60A4-FC7E-ACB467702EC5}"/>
                </a:ext>
              </a:extLst>
            </xdr:cNvPr>
            <xdr:cNvSpPr txBox="1"/>
          </xdr:nvSpPr>
          <xdr:spPr>
            <a:xfrm>
              <a:off x="3978275" y="2381250"/>
              <a:ext cx="764184" cy="347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𝐷𝐹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5D47AAF2-84C6-60A4-FC7E-ACB467702EC5}"/>
                </a:ext>
              </a:extLst>
            </xdr:cNvPr>
            <xdr:cNvSpPr txBox="1"/>
          </xdr:nvSpPr>
          <xdr:spPr>
            <a:xfrm>
              <a:off x="3978275" y="2381250"/>
              <a:ext cx="764184" cy="347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𝑡_𝐿=(1−𝐷𝐹)/𝑓_0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298450</xdr:colOff>
      <xdr:row>13</xdr:row>
      <xdr:rowOff>12700</xdr:rowOff>
    </xdr:from>
    <xdr:ext cx="557267" cy="2011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6513CEA-8DC1-4BB3-9B4C-C1FF4D8D5C0E}"/>
                </a:ext>
              </a:extLst>
            </xdr:cNvPr>
            <xdr:cNvSpPr txBox="1"/>
          </xdr:nvSpPr>
          <xdr:spPr>
            <a:xfrm>
              <a:off x="4083050" y="3670300"/>
              <a:ext cx="557267" cy="201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sSubSup>
                      <m:sSub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6513CEA-8DC1-4BB3-9B4C-C1FF4D8D5C0E}"/>
                </a:ext>
              </a:extLst>
            </xdr:cNvPr>
            <xdr:cNvSpPr txBox="1"/>
          </xdr:nvSpPr>
          <xdr:spPr>
            <a:xfrm>
              <a:off x="4083050" y="3670300"/>
              <a:ext cx="557267" cy="201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𝑉_𝑓=𝑎𝐼_𝑓^𝑏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10</xdr:col>
      <xdr:colOff>103619</xdr:colOff>
      <xdr:row>5</xdr:row>
      <xdr:rowOff>48887</xdr:rowOff>
    </xdr:from>
    <xdr:to>
      <xdr:col>15</xdr:col>
      <xdr:colOff>120651</xdr:colOff>
      <xdr:row>23</xdr:row>
      <xdr:rowOff>171450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408B5F4-BF99-18DD-045E-271D1B3C3797}"/>
            </a:ext>
          </a:extLst>
        </xdr:cNvPr>
        <xdr:cNvGrpSpPr/>
      </xdr:nvGrpSpPr>
      <xdr:grpSpPr>
        <a:xfrm>
          <a:off x="8577585" y="1104301"/>
          <a:ext cx="3187652" cy="4269770"/>
          <a:chOff x="8574518" y="1122023"/>
          <a:chExt cx="3188857" cy="4602502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9CB288DF-9E01-E508-81D0-FE2AA4431A7E}"/>
              </a:ext>
            </a:extLst>
          </xdr:cNvPr>
          <xdr:cNvGrpSpPr/>
        </xdr:nvGrpSpPr>
        <xdr:grpSpPr>
          <a:xfrm>
            <a:off x="8574518" y="1207762"/>
            <a:ext cx="3188857" cy="4516763"/>
            <a:chOff x="8814792" y="984250"/>
            <a:chExt cx="3946585" cy="5588172"/>
          </a:xfrm>
        </xdr:grpSpPr>
        <xdr:sp macro="" textlink="$C$21">
          <xdr:nvSpPr>
            <xdr:cNvPr id="32" name="TextBox 31">
              <a:extLst>
                <a:ext uri="{FF2B5EF4-FFF2-40B4-BE49-F238E27FC236}">
                  <a16:creationId xmlns:a16="http://schemas.microsoft.com/office/drawing/2014/main" id="{A99A1F96-2822-F8F2-C593-125490A7E28F}"/>
                </a:ext>
              </a:extLst>
            </xdr:cNvPr>
            <xdr:cNvSpPr txBox="1"/>
          </xdr:nvSpPr>
          <xdr:spPr>
            <a:xfrm>
              <a:off x="10465176" y="4853949"/>
              <a:ext cx="634851" cy="379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fld id="{93D2019C-59AD-4DA0-8164-70A76C4E80D5}" type="TxLink">
                <a:rPr lang="en-US" sz="1200" b="0" i="0" u="none" strike="noStrike">
                  <a:solidFill>
                    <a:srgbClr val="0070C0"/>
                  </a:solidFill>
                  <a:latin typeface="Calibri"/>
                  <a:ea typeface="Calibri"/>
                  <a:cs typeface="Calibri"/>
                </a:rPr>
                <a:pPr algn="ctr"/>
                <a:t>22.6kΩ</a:t>
              </a:fld>
              <a:endParaRPr lang="en-US" sz="1200">
                <a:solidFill>
                  <a:srgbClr val="0070C0"/>
                </a:solidFill>
              </a:endParaRPr>
            </a:p>
          </xdr:txBody>
        </xdr:sp>
        <xdr:sp macro="" textlink="$C$22">
          <xdr:nvSpPr>
            <xdr:cNvPr id="33" name="TextBox 32">
              <a:extLst>
                <a:ext uri="{FF2B5EF4-FFF2-40B4-BE49-F238E27FC236}">
                  <a16:creationId xmlns:a16="http://schemas.microsoft.com/office/drawing/2014/main" id="{CEBBDE00-AD53-D8BF-0834-0030B2A88FBD}"/>
                </a:ext>
              </a:extLst>
            </xdr:cNvPr>
            <xdr:cNvSpPr txBox="1"/>
          </xdr:nvSpPr>
          <xdr:spPr>
            <a:xfrm>
              <a:off x="10384023" y="5533397"/>
              <a:ext cx="779494" cy="379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fld id="{8D5401BB-A827-4830-A9A5-0B61657DB031}" type="TxLink">
                <a:rPr lang="en-US" sz="1200" b="0" i="0" u="none" strike="noStrike">
                  <a:solidFill>
                    <a:srgbClr val="0070C0"/>
                  </a:solidFill>
                  <a:latin typeface="Calibri"/>
                  <a:ea typeface="Calibri"/>
                  <a:cs typeface="Calibri"/>
                </a:rPr>
                <a:pPr algn="ctr"/>
                <a:t>90.9kΩ</a:t>
              </a:fld>
              <a:endParaRPr lang="en-US" sz="1200">
                <a:solidFill>
                  <a:srgbClr val="0070C0"/>
                </a:solidFill>
              </a:endParaRPr>
            </a:p>
          </xdr:txBody>
        </xdr:sp>
        <xdr:sp macro="" textlink="$C$20">
          <xdr:nvSpPr>
            <xdr:cNvPr id="34" name="TextBox 33">
              <a:extLst>
                <a:ext uri="{FF2B5EF4-FFF2-40B4-BE49-F238E27FC236}">
                  <a16:creationId xmlns:a16="http://schemas.microsoft.com/office/drawing/2014/main" id="{92455007-3837-E231-104D-23609C304CE0}"/>
                </a:ext>
              </a:extLst>
            </xdr:cNvPr>
            <xdr:cNvSpPr txBox="1"/>
          </xdr:nvSpPr>
          <xdr:spPr>
            <a:xfrm>
              <a:off x="10217150" y="5810253"/>
              <a:ext cx="1123186" cy="379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algn="l"/>
              <a:fld id="{B62FBB3C-35E1-42B8-8074-557AC1715147}" type="TxLink">
                <a:rPr lang="en-US" sz="1200" b="0" i="0" u="none" strike="noStrike">
                  <a:solidFill>
                    <a:srgbClr val="0070C0"/>
                  </a:solidFill>
                  <a:latin typeface="Calibri"/>
                  <a:ea typeface="Calibri"/>
                  <a:cs typeface="Calibri"/>
                </a:rPr>
                <a:pPr algn="l"/>
                <a:t>0.01µF</a:t>
              </a:fld>
              <a:endParaRPr lang="en-US" sz="1200">
                <a:solidFill>
                  <a:srgbClr val="0070C0"/>
                </a:solidFill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C9D4AE32-77AF-0735-BD55-0EA8C0495CB8}"/>
                </a:ext>
              </a:extLst>
            </xdr:cNvPr>
            <xdr:cNvGrpSpPr/>
          </xdr:nvGrpSpPr>
          <xdr:grpSpPr>
            <a:xfrm>
              <a:off x="9393973" y="984250"/>
              <a:ext cx="3367404" cy="5588172"/>
              <a:chOff x="9393973" y="984250"/>
              <a:chExt cx="3367404" cy="5588172"/>
            </a:xfrm>
          </xdr:grpSpPr>
          <xdr:grpSp>
            <xdr:nvGrpSpPr>
              <xdr:cNvPr id="18" name="Group 17">
                <a:extLst>
                  <a:ext uri="{FF2B5EF4-FFF2-40B4-BE49-F238E27FC236}">
                    <a16:creationId xmlns:a16="http://schemas.microsoft.com/office/drawing/2014/main" id="{63FD7212-3B4A-D648-ECE2-FCE8240958DD}"/>
                  </a:ext>
                </a:extLst>
              </xdr:cNvPr>
              <xdr:cNvGrpSpPr/>
            </xdr:nvGrpSpPr>
            <xdr:grpSpPr>
              <a:xfrm>
                <a:off x="9393973" y="984250"/>
                <a:ext cx="3367404" cy="5588172"/>
                <a:chOff x="4867274" y="1057275"/>
                <a:chExt cx="3367404" cy="5588172"/>
              </a:xfrm>
            </xdr:grpSpPr>
            <xdr:grpSp>
              <xdr:nvGrpSpPr>
                <xdr:cNvPr id="19" name="Group 18">
                  <a:extLst>
                    <a:ext uri="{FF2B5EF4-FFF2-40B4-BE49-F238E27FC236}">
                      <a16:creationId xmlns:a16="http://schemas.microsoft.com/office/drawing/2014/main" id="{2ED348E5-3B67-E173-2363-8666001ED03A}"/>
                    </a:ext>
                  </a:extLst>
                </xdr:cNvPr>
                <xdr:cNvGrpSpPr/>
              </xdr:nvGrpSpPr>
              <xdr:grpSpPr>
                <a:xfrm>
                  <a:off x="5080003" y="3101201"/>
                  <a:ext cx="3154675" cy="2806443"/>
                  <a:chOff x="2419353" y="3088501"/>
                  <a:chExt cx="3154675" cy="2806443"/>
                </a:xfrm>
              </xdr:grpSpPr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1" name="TextBox 26">
                        <a:extLst>
                          <a:ext uri="{FF2B5EF4-FFF2-40B4-BE49-F238E27FC236}">
                            <a16:creationId xmlns:a16="http://schemas.microsoft.com/office/drawing/2014/main" id="{1F6CA493-6909-854B-B8E8-AFBD640FDA45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08449" y="4572167"/>
                        <a:ext cx="309637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𝑅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1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1" name="TextBox 26">
                        <a:extLst>
                          <a:ext uri="{FF2B5EF4-FFF2-40B4-BE49-F238E27FC236}">
                            <a16:creationId xmlns:a16="http://schemas.microsoft.com/office/drawing/2014/main" id="{1F6CA493-6909-854B-B8E8-AFBD640FDA45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08449" y="4572167"/>
                        <a:ext cx="309637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𝑅_1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2" name="TextBox 27">
                        <a:extLst>
                          <a:ext uri="{FF2B5EF4-FFF2-40B4-BE49-F238E27FC236}">
                            <a16:creationId xmlns:a16="http://schemas.microsoft.com/office/drawing/2014/main" id="{5D6EFE8E-7E1E-4267-444D-AEE3F0115794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17329" y="5240551"/>
                        <a:ext cx="314958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𝑅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2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2" name="TextBox 27">
                        <a:extLst>
                          <a:ext uri="{FF2B5EF4-FFF2-40B4-BE49-F238E27FC236}">
                            <a16:creationId xmlns:a16="http://schemas.microsoft.com/office/drawing/2014/main" id="{5D6EFE8E-7E1E-4267-444D-AEE3F0115794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17329" y="5240551"/>
                        <a:ext cx="314958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𝑅_2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4" name="TextBox 32">
                        <a:extLst>
                          <a:ext uri="{FF2B5EF4-FFF2-40B4-BE49-F238E27FC236}">
                            <a16:creationId xmlns:a16="http://schemas.microsoft.com/office/drawing/2014/main" id="{77598DDA-6D16-D39C-079B-03C841B70FB7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64269" y="5683981"/>
                        <a:ext cx="295787" cy="210963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𝐶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1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4" name="TextBox 32">
                        <a:extLst>
                          <a:ext uri="{FF2B5EF4-FFF2-40B4-BE49-F238E27FC236}">
                            <a16:creationId xmlns:a16="http://schemas.microsoft.com/office/drawing/2014/main" id="{77598DDA-6D16-D39C-079B-03C841B70FB7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64269" y="5683981"/>
                        <a:ext cx="295787" cy="210963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no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𝐶_1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6" name="TextBox 37">
                        <a:extLst>
                          <a:ext uri="{FF2B5EF4-FFF2-40B4-BE49-F238E27FC236}">
                            <a16:creationId xmlns:a16="http://schemas.microsoft.com/office/drawing/2014/main" id="{FD4B9607-9294-02AC-0B04-D8E1F455F6CE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38625" y="3448493"/>
                        <a:ext cx="535403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𝑉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𝑂𝑈𝑇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6" name="TextBox 37">
                        <a:extLst>
                          <a:ext uri="{FF2B5EF4-FFF2-40B4-BE49-F238E27FC236}">
                            <a16:creationId xmlns:a16="http://schemas.microsoft.com/office/drawing/2014/main" id="{FD4B9607-9294-02AC-0B04-D8E1F455F6CE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38625" y="3448493"/>
                        <a:ext cx="535403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𝑉_𝑂𝑈𝑇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27" name="TextBox 43">
                        <a:extLst>
                          <a:ext uri="{FF2B5EF4-FFF2-40B4-BE49-F238E27FC236}">
                            <a16:creationId xmlns:a16="http://schemas.microsoft.com/office/drawing/2014/main" id="{4CB4E2E8-DC1A-E1E6-E838-0DD359C269A1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419353" y="3088501"/>
                        <a:ext cx="304762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𝑉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𝑇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27" name="TextBox 43">
                        <a:extLst>
                          <a:ext uri="{FF2B5EF4-FFF2-40B4-BE49-F238E27FC236}">
                            <a16:creationId xmlns:a16="http://schemas.microsoft.com/office/drawing/2014/main" id="{4CB4E2E8-DC1A-E1E6-E838-0DD359C269A1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419353" y="3088501"/>
                        <a:ext cx="304762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𝑉_𝑇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30" name="TextBox 6">
                        <a:extLst>
                          <a:ext uri="{FF2B5EF4-FFF2-40B4-BE49-F238E27FC236}">
                            <a16:creationId xmlns:a16="http://schemas.microsoft.com/office/drawing/2014/main" id="{2B75DEBD-1E1C-CC40-B91D-4CD93266BB98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26797" y="4535436"/>
                        <a:ext cx="312906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1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30" name="TextBox 6">
                        <a:extLst>
                          <a:ext uri="{FF2B5EF4-FFF2-40B4-BE49-F238E27FC236}">
                            <a16:creationId xmlns:a16="http://schemas.microsoft.com/office/drawing/2014/main" id="{2B75DEBD-1E1C-CC40-B91D-4CD93266BB98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26797" y="4535436"/>
                        <a:ext cx="312906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𝐷_1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  <mc:AlternateContent xmlns:mc="http://schemas.openxmlformats.org/markup-compatibility/2006" xmlns:a14="http://schemas.microsoft.com/office/drawing/2010/main">
                <mc:Choice Requires="a14">
                  <xdr:sp macro="" textlink="">
                    <xdr:nvSpPr>
                      <xdr:cNvPr id="31" name="TextBox 7">
                        <a:extLst>
                          <a:ext uri="{FF2B5EF4-FFF2-40B4-BE49-F238E27FC236}">
                            <a16:creationId xmlns:a16="http://schemas.microsoft.com/office/drawing/2014/main" id="{49E90D1C-11B6-85AF-23A4-A12BB649E869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3147" y="5215150"/>
                        <a:ext cx="318228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14:m>
                          <m:oMathPara xmlns:m="http://schemas.openxmlformats.org/officeDocument/2006/math">
                            <m:oMathParaPr>
                              <m:jc m:val="centerGroup"/>
                            </m:oMathParaPr>
                            <m:oMath xmlns:m="http://schemas.openxmlformats.org/officeDocument/2006/math"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𝐷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  <a:cs typeface="Arial" pitchFamily="34" charset="0"/>
                                    </a:rPr>
                                    <m:t>2</m:t>
                                  </m:r>
                                </m:sub>
                              </m:sSub>
                            </m:oMath>
                          </m:oMathPara>
                        </a14:m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Choice>
                <mc:Fallback xmlns="">
                  <xdr:sp macro="" textlink="">
                    <xdr:nvSpPr>
                      <xdr:cNvPr id="31" name="TextBox 7">
                        <a:extLst>
                          <a:ext uri="{FF2B5EF4-FFF2-40B4-BE49-F238E27FC236}">
                            <a16:creationId xmlns:a16="http://schemas.microsoft.com/office/drawing/2014/main" id="{49E90D1C-11B6-85AF-23A4-A12BB649E869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3147" y="5215150"/>
                        <a:ext cx="318228" cy="208612"/>
                      </a:xfrm>
                      <a:prstGeom prst="rect">
                        <a:avLst/>
                      </a:prstGeom>
                      <a:noFill/>
                    </xdr:spPr>
                    <xdr:txBody>
                      <a:bodyPr wrap="square" lIns="0" tIns="0" rIns="0" bIns="0" rtlCol="0">
                        <a:spAutoFit/>
                      </a:bodyPr>
                      <a:lstStyle>
                        <a:defPPr>
                          <a:defRPr lang="en-US"/>
                        </a:defPPr>
                        <a:lvl1pPr marL="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1pPr>
                        <a:lvl2pPr marL="609585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2pPr>
                        <a:lvl3pPr marL="1219170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3pPr>
                        <a:lvl4pPr marL="182875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4pPr>
                        <a:lvl5pPr marL="243833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5pPr>
                        <a:lvl6pPr marL="3047924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6pPr>
                        <a:lvl7pPr marL="3657509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7pPr>
                        <a:lvl8pPr marL="4267093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8pPr>
                        <a:lvl9pPr marL="4876678" algn="l" defTabSz="1219170" rtl="0" eaLnBrk="1" latinLnBrk="0" hangingPunct="1">
                          <a:defRPr sz="2400" kern="120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defRPr>
                        </a:lvl9pPr>
                      </a:lstStyle>
                      <a:p>
                        <a:pPr/>
                        <a:r>
                          <a:rPr lang="en-US" sz="1100" b="0" i="0">
                            <a:latin typeface="Cambria Math" panose="02040503050406030204" pitchFamily="18" charset="0"/>
                            <a:cs typeface="Arial" pitchFamily="34" charset="0"/>
                          </a:rPr>
                          <a:t>𝐷_2</a:t>
                        </a:r>
                        <a:endParaRPr lang="en-US" sz="11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mc:Fallback>
              </mc:AlternateContent>
            </xdr:grpSp>
            <xdr:pic>
              <xdr:nvPicPr>
                <xdr:cNvPr id="20" name="Graphic 3">
                  <a:extLst>
                    <a:ext uri="{FF2B5EF4-FFF2-40B4-BE49-F238E27FC236}">
                      <a16:creationId xmlns:a16="http://schemas.microsoft.com/office/drawing/2014/main" id="{4E6DE4E8-6A71-A69E-151D-836A58F4C749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867274" y="1057275"/>
                  <a:ext cx="2895077" cy="5588172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36" name="TextBox 4">
                <a:extLst>
                  <a:ext uri="{FF2B5EF4-FFF2-40B4-BE49-F238E27FC236}">
                    <a16:creationId xmlns:a16="http://schemas.microsoft.com/office/drawing/2014/main" id="{69C88AF5-4D93-582D-F022-627D90EB08BE}"/>
                  </a:ext>
                </a:extLst>
              </xdr:cNvPr>
              <xdr:cNvSpPr txBox="1"/>
            </xdr:nvSpPr>
            <xdr:spPr>
              <a:xfrm>
                <a:off x="10567556" y="3330539"/>
                <a:ext cx="914100" cy="351041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 sz="12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TLV3494</a:t>
                </a:r>
              </a:p>
            </xdr:txBody>
          </xdr:sp>
        </xdr:grpSp>
        <xdr:sp macro="" textlink="$C$21">
          <xdr:nvSpPr>
            <xdr:cNvPr id="11" name="TextBox 10">
              <a:extLst>
                <a:ext uri="{FF2B5EF4-FFF2-40B4-BE49-F238E27FC236}">
                  <a16:creationId xmlns:a16="http://schemas.microsoft.com/office/drawing/2014/main" id="{4D64AF74-93D0-5887-790A-444FA0D35D69}"/>
                </a:ext>
              </a:extLst>
            </xdr:cNvPr>
            <xdr:cNvSpPr txBox="1"/>
          </xdr:nvSpPr>
          <xdr:spPr>
            <a:xfrm>
              <a:off x="8814792" y="4101433"/>
              <a:ext cx="731385" cy="379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r"/>
              <a:r>
                <a:rPr lang="en-US" sz="1200" b="0" i="0" u="none" strike="noStrike">
                  <a:solidFill>
                    <a:schemeClr val="tx1"/>
                  </a:solidFill>
                  <a:latin typeface="Calibri"/>
                  <a:ea typeface="Calibri"/>
                  <a:cs typeface="Calibri"/>
                </a:rPr>
                <a:t>100kΩ</a:t>
              </a:r>
              <a:endParaRPr lang="en-US" sz="1200">
                <a:solidFill>
                  <a:schemeClr val="tx1"/>
                </a:solidFill>
              </a:endParaRPr>
            </a:p>
          </xdr:txBody>
        </xdr:sp>
        <xdr:sp macro="" textlink="$C$21">
          <xdr:nvSpPr>
            <xdr:cNvPr id="40" name="TextBox 39">
              <a:extLst>
                <a:ext uri="{FF2B5EF4-FFF2-40B4-BE49-F238E27FC236}">
                  <a16:creationId xmlns:a16="http://schemas.microsoft.com/office/drawing/2014/main" id="{B0EDC2B5-B1EB-6EFC-1128-82C25DF67B06}"/>
                </a:ext>
              </a:extLst>
            </xdr:cNvPr>
            <xdr:cNvSpPr txBox="1"/>
          </xdr:nvSpPr>
          <xdr:spPr>
            <a:xfrm>
              <a:off x="9875186" y="2315065"/>
              <a:ext cx="731384" cy="379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n-US" sz="1200" b="0" i="0" u="none" strike="noStrike">
                  <a:solidFill>
                    <a:schemeClr val="tx1"/>
                  </a:solidFill>
                  <a:latin typeface="Calibri"/>
                  <a:ea typeface="Calibri"/>
                  <a:cs typeface="Calibri"/>
                </a:rPr>
                <a:t>100kΩ</a:t>
              </a:r>
              <a:endParaRPr lang="en-US" sz="1200">
                <a:solidFill>
                  <a:schemeClr val="tx1"/>
                </a:solidFill>
              </a:endParaRPr>
            </a:p>
          </xdr:txBody>
        </xdr:sp>
        <xdr:sp macro="" textlink="$C$21">
          <xdr:nvSpPr>
            <xdr:cNvPr id="41" name="TextBox 40">
              <a:extLst>
                <a:ext uri="{FF2B5EF4-FFF2-40B4-BE49-F238E27FC236}">
                  <a16:creationId xmlns:a16="http://schemas.microsoft.com/office/drawing/2014/main" id="{CCB210FB-F291-B48B-011D-35C27786DB89}"/>
                </a:ext>
              </a:extLst>
            </xdr:cNvPr>
            <xdr:cNvSpPr txBox="1"/>
          </xdr:nvSpPr>
          <xdr:spPr>
            <a:xfrm>
              <a:off x="9538093" y="1730290"/>
              <a:ext cx="731385" cy="3794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l"/>
              <a:r>
                <a:rPr lang="en-US" sz="1200" b="0" i="0" u="none" strike="noStrike">
                  <a:solidFill>
                    <a:schemeClr val="tx1"/>
                  </a:solidFill>
                  <a:latin typeface="Calibri"/>
                  <a:ea typeface="Calibri"/>
                  <a:cs typeface="Calibri"/>
                </a:rPr>
                <a:t>100kΩ</a:t>
              </a:r>
              <a:endParaRPr lang="en-US" sz="1200">
                <a:solidFill>
                  <a:schemeClr val="tx1"/>
                </a:solidFill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3601662B-886A-4A5A-BB4E-DF46457306A8}"/>
                  </a:ext>
                </a:extLst>
              </xdr:cNvPr>
              <xdr:cNvSpPr txBox="1"/>
            </xdr:nvSpPr>
            <xdr:spPr>
              <a:xfrm>
                <a:off x="9775479" y="1122023"/>
                <a:ext cx="243139" cy="17059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𝑉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𝐶𝐶</m:t>
                          </m:r>
                        </m:sub>
                      </m:sSub>
                    </m:oMath>
                  </m:oMathPara>
                </a14:m>
                <a:endParaRPr lang="en-US" sz="1100"/>
              </a:p>
            </xdr:txBody>
          </xdr:sp>
        </mc:Choice>
        <mc:Fallback xmlns=""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3601662B-886A-4A5A-BB4E-DF46457306A8}"/>
                  </a:ext>
                </a:extLst>
              </xdr:cNvPr>
              <xdr:cNvSpPr txBox="1"/>
            </xdr:nvSpPr>
            <xdr:spPr>
              <a:xfrm>
                <a:off x="9775479" y="1122023"/>
                <a:ext cx="243139" cy="17059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noAutofit/>
              </a:bodyPr>
              <a:lstStyle/>
              <a:p>
                <a:pPr/>
                <a:r>
                  <a:rPr lang="en-US" sz="1100" b="0" i="0">
                    <a:latin typeface="Cambria Math" panose="02040503050406030204" pitchFamily="18" charset="0"/>
                  </a:rPr>
                  <a:t>𝑉_𝐶𝐶</a:t>
                </a:r>
                <a:endParaRPr lang="en-US" sz="1100"/>
              </a:p>
            </xdr:txBody>
          </xdr:sp>
        </mc:Fallback>
      </mc:AlternateContent>
    </xdr:grpSp>
    <xdr:clientData/>
  </xdr:twoCellAnchor>
  <xdr:twoCellAnchor>
    <xdr:from>
      <xdr:col>3</xdr:col>
      <xdr:colOff>95250</xdr:colOff>
      <xdr:row>16</xdr:row>
      <xdr:rowOff>76200</xdr:rowOff>
    </xdr:from>
    <xdr:to>
      <xdr:col>5</xdr:col>
      <xdr:colOff>402162</xdr:colOff>
      <xdr:row>18</xdr:row>
      <xdr:rowOff>94611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6">
              <a:extLst>
                <a:ext uri="{FF2B5EF4-FFF2-40B4-BE49-F238E27FC236}">
                  <a16:creationId xmlns:a16="http://schemas.microsoft.com/office/drawing/2014/main" id="{A20353BD-199C-42A1-A504-38AEEAA8A26E}"/>
                </a:ext>
              </a:extLst>
            </xdr:cNvPr>
            <xdr:cNvSpPr txBox="1"/>
          </xdr:nvSpPr>
          <xdr:spPr>
            <a:xfrm>
              <a:off x="3600450" y="4362450"/>
              <a:ext cx="164041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𝑅𝐶</m:t>
                    </m:r>
                    <m:func>
                      <m:func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10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𝐶𝐶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  <m:t>𝐶𝐶</m:t>
                                    </m:r>
                                  </m:sub>
                                </m:sSub>
                                <m:r>
                                  <a:rPr lang="en-US" sz="1100" i="1">
                                    <a:latin typeface="Cambria Math" panose="02040503050406030204" pitchFamily="18" charset="0"/>
                                  </a:rPr>
                                  <m:t>−3</m:t>
                                </m:r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6">
              <a:extLst>
                <a:ext uri="{FF2B5EF4-FFF2-40B4-BE49-F238E27FC236}">
                  <a16:creationId xmlns:a16="http://schemas.microsoft.com/office/drawing/2014/main" id="{A20353BD-199C-42A1-A504-38AEEAA8A26E}"/>
                </a:ext>
              </a:extLst>
            </xdr:cNvPr>
            <xdr:cNvSpPr txBox="1"/>
          </xdr:nvSpPr>
          <xdr:spPr>
            <a:xfrm>
              <a:off x="3600450" y="4362450"/>
              <a:ext cx="164041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𝑅𝐶</a:t>
              </a:r>
              <a:r>
                <a:rPr lang="en-US" sz="1100" i="0">
                  <a:latin typeface="Cambria Math" panose="02040503050406030204" pitchFamily="18" charset="0"/>
                </a:rPr>
                <a:t> ln⁡(</a:t>
              </a:r>
              <a:r>
                <a:rPr lang="en-US" sz="1100" b="0" i="0">
                  <a:latin typeface="Cambria Math" panose="02040503050406030204" pitchFamily="18" charset="0"/>
                </a:rPr>
                <a:t>𝑉_𝐶𝐶/(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𝑉_𝐶𝐶</a:t>
              </a:r>
              <a:r>
                <a:rPr lang="en-US" sz="1100" i="0">
                  <a:latin typeface="Cambria Math" panose="02040503050406030204" pitchFamily="18" charset="0"/>
                </a:rPr>
                <a:t>−3𝑉_𝐹 )+1)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14</xdr:col>
      <xdr:colOff>66688</xdr:colOff>
      <xdr:row>0</xdr:row>
      <xdr:rowOff>0</xdr:rowOff>
    </xdr:from>
    <xdr:to>
      <xdr:col>18</xdr:col>
      <xdr:colOff>49595</xdr:colOff>
      <xdr:row>6</xdr:row>
      <xdr:rowOff>352425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C9664B3A-D638-94E4-4FFE-EDB7E60C92A8}"/>
            </a:ext>
          </a:extLst>
        </xdr:cNvPr>
        <xdr:cNvGrpSpPr/>
      </xdr:nvGrpSpPr>
      <xdr:grpSpPr>
        <a:xfrm>
          <a:off x="10975550" y="0"/>
          <a:ext cx="2636769" cy="1622425"/>
          <a:chOff x="10975988" y="0"/>
          <a:chExt cx="2637207" cy="2028825"/>
        </a:xfrm>
      </xdr:grpSpPr>
      <xdr:pic>
        <xdr:nvPicPr>
          <xdr:cNvPr id="39" name="Picture 38" descr="A diagram of a graph&#10;&#10;Description automatically generated">
            <a:extLst>
              <a:ext uri="{FF2B5EF4-FFF2-40B4-BE49-F238E27FC236}">
                <a16:creationId xmlns:a16="http://schemas.microsoft.com/office/drawing/2014/main" id="{7DFC69DC-002D-459B-9DAB-B6E1A50DFA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975988" y="0"/>
            <a:ext cx="2637207" cy="2028825"/>
          </a:xfrm>
          <a:prstGeom prst="rect">
            <a:avLst/>
          </a:prstGeom>
        </xdr:spPr>
      </xdr:pic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544BE4DE-DABB-6564-51F5-4B14A5AA87EB}"/>
              </a:ext>
            </a:extLst>
          </xdr:cNvPr>
          <xdr:cNvSpPr txBox="1"/>
        </xdr:nvSpPr>
        <xdr:spPr>
          <a:xfrm>
            <a:off x="11455400" y="190500"/>
            <a:ext cx="589713" cy="2541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latin typeface="Arial Narrow" panose="020B0606020202030204" pitchFamily="34" charset="0"/>
              </a:rPr>
              <a:t>1N4148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861AE-802A-4BC1-BA62-1AA55B05829D}">
  <sheetPr codeName="Sheet8"/>
  <dimension ref="A1:X27"/>
  <sheetViews>
    <sheetView showGridLines="0" tabSelected="1" zoomScale="145" zoomScaleNormal="145" workbookViewId="0">
      <selection activeCell="F16" sqref="F16"/>
    </sheetView>
  </sheetViews>
  <sheetFormatPr defaultRowHeight="14.5" x14ac:dyDescent="0.35"/>
  <cols>
    <col min="1" max="1" width="33" bestFit="1" customWidth="1"/>
    <col min="2" max="2" width="6.453125" bestFit="1" customWidth="1"/>
    <col min="3" max="3" width="10.81640625" bestFit="1" customWidth="1"/>
    <col min="5" max="5" width="10.36328125" bestFit="1" customWidth="1"/>
    <col min="6" max="6" width="10.81640625" customWidth="1"/>
    <col min="9" max="10" width="11.81640625" bestFit="1" customWidth="1"/>
    <col min="15" max="15" width="10.54296875" bestFit="1" customWidth="1"/>
    <col min="16" max="16" width="10" bestFit="1" customWidth="1"/>
    <col min="23" max="24" width="11.81640625" bestFit="1" customWidth="1"/>
  </cols>
  <sheetData>
    <row r="1" spans="1:24" ht="15.5" x14ac:dyDescent="0.35">
      <c r="A1" s="25" t="s">
        <v>39</v>
      </c>
      <c r="B1" s="1"/>
      <c r="C1" s="1"/>
      <c r="D1" s="1"/>
      <c r="E1" s="1"/>
      <c r="F1" s="1"/>
      <c r="G1" s="1"/>
      <c r="H1" s="1"/>
      <c r="I1" s="13" t="s">
        <v>38</v>
      </c>
      <c r="J1" s="14"/>
      <c r="K1" s="14"/>
      <c r="L1" s="14"/>
      <c r="M1" s="14"/>
      <c r="N1" s="15"/>
    </row>
    <row r="2" spans="1:24" ht="17" customHeight="1" x14ac:dyDescent="0.35">
      <c r="A2" s="2" t="s">
        <v>0</v>
      </c>
      <c r="B2" s="3" t="s">
        <v>1</v>
      </c>
      <c r="C2" s="9">
        <f>5</f>
        <v>5</v>
      </c>
      <c r="D2" s="1" t="s">
        <v>2</v>
      </c>
      <c r="E2" s="1"/>
      <c r="F2" s="1"/>
      <c r="G2" s="1"/>
      <c r="H2" s="1"/>
      <c r="I2" s="16" t="s">
        <v>3</v>
      </c>
      <c r="J2" s="17">
        <v>1.1012608660221994</v>
      </c>
      <c r="K2" s="1"/>
      <c r="L2" s="1"/>
      <c r="M2" s="1"/>
      <c r="N2" s="18"/>
    </row>
    <row r="3" spans="1:24" ht="17" customHeight="1" x14ac:dyDescent="0.35">
      <c r="A3" s="2" t="s">
        <v>5</v>
      </c>
      <c r="B3" s="3" t="s">
        <v>6</v>
      </c>
      <c r="C3" s="12">
        <v>1E-8</v>
      </c>
      <c r="D3" s="1" t="s">
        <v>7</v>
      </c>
      <c r="E3" s="1"/>
      <c r="F3" s="1"/>
      <c r="G3" s="1"/>
      <c r="H3" s="1"/>
      <c r="I3" s="16" t="s">
        <v>4</v>
      </c>
      <c r="J3" s="17">
        <v>8.6299701574589452E-2</v>
      </c>
      <c r="K3" s="4"/>
      <c r="L3" s="1"/>
      <c r="M3" s="1"/>
      <c r="N3" s="18"/>
    </row>
    <row r="4" spans="1:24" ht="17" customHeight="1" thickBot="1" x14ac:dyDescent="0.4">
      <c r="A4" s="2" t="s">
        <v>8</v>
      </c>
      <c r="B4" s="3" t="s">
        <v>9</v>
      </c>
      <c r="C4" s="11">
        <v>1000</v>
      </c>
      <c r="D4" s="1" t="s">
        <v>10</v>
      </c>
      <c r="E4" s="1"/>
      <c r="F4" s="1"/>
      <c r="G4" s="1"/>
      <c r="H4" s="1"/>
      <c r="I4" s="19"/>
      <c r="J4" s="20"/>
      <c r="K4" s="20"/>
      <c r="L4" s="21"/>
      <c r="M4" s="20"/>
      <c r="N4" s="22"/>
    </row>
    <row r="5" spans="1:24" ht="17" customHeight="1" x14ac:dyDescent="0.35">
      <c r="A5" s="2" t="s">
        <v>11</v>
      </c>
      <c r="B5" s="3" t="s">
        <v>12</v>
      </c>
      <c r="C5" s="9">
        <v>0.2</v>
      </c>
      <c r="D5" s="1"/>
      <c r="E5" s="1"/>
      <c r="F5" s="1"/>
      <c r="G5" s="1"/>
      <c r="H5" s="1"/>
      <c r="I5" s="1"/>
      <c r="J5" s="1"/>
      <c r="K5" s="4"/>
      <c r="L5" s="4"/>
      <c r="M5" s="1"/>
      <c r="N5" s="1"/>
    </row>
    <row r="6" spans="1:24" ht="17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</row>
    <row r="7" spans="1:24" ht="35" customHeight="1" x14ac:dyDescent="0.35">
      <c r="A7" s="2" t="s">
        <v>13</v>
      </c>
      <c r="B7" s="3" t="s">
        <v>14</v>
      </c>
      <c r="C7" s="23">
        <f>(1/(3*LN(2)))*(VCC/3)+VCC/3</f>
        <v>2.4681639116049796</v>
      </c>
      <c r="D7" s="1" t="s">
        <v>2</v>
      </c>
      <c r="E7" s="1"/>
      <c r="F7" s="1"/>
      <c r="G7" s="1"/>
      <c r="H7" s="1"/>
      <c r="I7" s="1"/>
      <c r="J7" s="1"/>
      <c r="K7" s="1"/>
      <c r="L7" s="1"/>
      <c r="M7" s="1"/>
      <c r="N7" s="1"/>
      <c r="O7" s="5"/>
    </row>
    <row r="8" spans="1:24" ht="32.5" customHeight="1" x14ac:dyDescent="0.35">
      <c r="A8" s="2" t="s">
        <v>16</v>
      </c>
      <c r="B8" s="3" t="s">
        <v>17</v>
      </c>
      <c r="C8" s="24">
        <f>DF/f0</f>
        <v>2.0000000000000001E-4</v>
      </c>
      <c r="D8" s="1" t="s">
        <v>15</v>
      </c>
      <c r="E8" s="1"/>
      <c r="F8" s="1"/>
      <c r="G8" s="1"/>
      <c r="H8" s="1"/>
      <c r="I8" s="1"/>
      <c r="J8" s="1"/>
      <c r="K8" s="1"/>
      <c r="L8" s="1"/>
      <c r="M8" s="1"/>
      <c r="N8" s="1"/>
    </row>
    <row r="9" spans="1:24" ht="32.5" customHeight="1" x14ac:dyDescent="0.35">
      <c r="A9" s="2" t="s">
        <v>18</v>
      </c>
      <c r="B9" s="3" t="s">
        <v>19</v>
      </c>
      <c r="C9" s="24">
        <f>(1-DF)/f0</f>
        <v>8.0000000000000004E-4</v>
      </c>
      <c r="D9" s="1" t="s">
        <v>15</v>
      </c>
      <c r="E9" s="1"/>
      <c r="F9" s="1"/>
      <c r="G9" s="1"/>
      <c r="H9" s="1"/>
      <c r="I9" s="1"/>
      <c r="J9" s="2"/>
      <c r="K9" s="4"/>
      <c r="L9" s="1"/>
      <c r="M9" s="1"/>
      <c r="N9" s="1"/>
    </row>
    <row r="10" spans="1:24" x14ac:dyDescent="0.35">
      <c r="A10" s="1"/>
      <c r="B10" s="1"/>
      <c r="C10" s="1"/>
      <c r="D10" s="1"/>
      <c r="E10" s="1"/>
      <c r="F10" s="1"/>
      <c r="G10" s="1"/>
      <c r="H10" s="1"/>
      <c r="I10" s="1"/>
      <c r="J10" s="4"/>
      <c r="K10" s="1"/>
      <c r="L10" s="1"/>
      <c r="M10" s="1"/>
      <c r="N10" s="2"/>
    </row>
    <row r="11" spans="1:24" x14ac:dyDescent="0.35">
      <c r="B11" s="1"/>
      <c r="C11" s="26" t="s">
        <v>20</v>
      </c>
      <c r="D11" s="1"/>
      <c r="E11" s="1"/>
      <c r="F11" s="26" t="s">
        <v>21</v>
      </c>
      <c r="G11" s="1"/>
      <c r="H11" s="1"/>
      <c r="I11" s="1"/>
      <c r="J11" s="1"/>
      <c r="K11" s="1"/>
      <c r="L11" s="1"/>
      <c r="M11" s="1"/>
      <c r="N11" s="1"/>
    </row>
    <row r="12" spans="1:24" ht="16" customHeight="1" x14ac:dyDescent="0.35">
      <c r="B12" s="3" t="s">
        <v>22</v>
      </c>
      <c r="C12" s="27">
        <v>22550</v>
      </c>
      <c r="D12" s="1" t="s">
        <v>23</v>
      </c>
      <c r="E12" s="2" t="s">
        <v>24</v>
      </c>
      <c r="F12" s="27">
        <v>90475</v>
      </c>
      <c r="G12" s="1" t="s">
        <v>23</v>
      </c>
      <c r="H12" s="1"/>
      <c r="I12" s="1"/>
      <c r="J12" s="1"/>
      <c r="K12" s="1"/>
      <c r="L12" s="1"/>
      <c r="M12" s="1"/>
      <c r="N12" s="1"/>
      <c r="V12" s="6"/>
      <c r="W12" s="7"/>
      <c r="X12" s="7"/>
    </row>
    <row r="13" spans="1:24" ht="16" customHeight="1" x14ac:dyDescent="0.35">
      <c r="B13" s="3" t="s">
        <v>25</v>
      </c>
      <c r="C13" s="27">
        <v>8.7645582547623142E-5</v>
      </c>
      <c r="D13" s="1" t="s">
        <v>26</v>
      </c>
      <c r="E13" s="2" t="s">
        <v>27</v>
      </c>
      <c r="F13" s="27">
        <v>2.244759825693729E-5</v>
      </c>
      <c r="G13" s="1" t="s">
        <v>26</v>
      </c>
      <c r="H13" s="1"/>
      <c r="I13" s="1"/>
      <c r="J13" s="1"/>
      <c r="K13" s="1"/>
      <c r="L13" s="1"/>
      <c r="M13" s="1"/>
      <c r="N13" s="1"/>
      <c r="V13" s="6"/>
      <c r="W13" s="7"/>
      <c r="X13" s="7"/>
    </row>
    <row r="14" spans="1:24" ht="16" customHeight="1" x14ac:dyDescent="0.35">
      <c r="B14" s="3" t="s">
        <v>28</v>
      </c>
      <c r="C14" s="28">
        <f>a*IR1_^b</f>
        <v>0.49175526581492535</v>
      </c>
      <c r="D14" s="4" t="s">
        <v>2</v>
      </c>
      <c r="E14" s="2" t="s">
        <v>29</v>
      </c>
      <c r="F14" s="28">
        <f>a*IR2_^b</f>
        <v>0.43721751814812371</v>
      </c>
      <c r="G14" s="4" t="s">
        <v>2</v>
      </c>
      <c r="H14" s="1"/>
      <c r="I14" s="1"/>
      <c r="J14" s="1"/>
      <c r="K14" s="1"/>
      <c r="L14" s="1"/>
      <c r="M14" s="1"/>
      <c r="N14" s="2"/>
    </row>
    <row r="15" spans="1:24" ht="16" customHeight="1" x14ac:dyDescent="0.35">
      <c r="B15" s="3" t="s">
        <v>30</v>
      </c>
      <c r="C15" s="28">
        <f>IR1_*_R1+_VF1</f>
        <v>2.468163152263827</v>
      </c>
      <c r="D15" s="1" t="s">
        <v>2</v>
      </c>
      <c r="E15" s="2" t="s">
        <v>31</v>
      </c>
      <c r="F15" s="28">
        <f>IR2_*_R2+_VF2</f>
        <v>2.4681639704445253</v>
      </c>
      <c r="G15" s="1" t="s">
        <v>2</v>
      </c>
      <c r="H15" s="1"/>
      <c r="I15" s="1"/>
      <c r="J15" s="1"/>
      <c r="K15" s="1"/>
      <c r="L15" s="1"/>
      <c r="M15" s="1"/>
      <c r="N15" s="2"/>
    </row>
    <row r="16" spans="1:24" ht="16" customHeight="1" x14ac:dyDescent="0.35">
      <c r="B16" s="3" t="s">
        <v>32</v>
      </c>
      <c r="C16" s="27">
        <f>_R1*_C1*LN(VCC/(VCC-3*_VF1)+1)</f>
        <v>1.9915411660363587E-4</v>
      </c>
      <c r="D16" s="1" t="s">
        <v>15</v>
      </c>
      <c r="E16" s="2" t="s">
        <v>33</v>
      </c>
      <c r="F16" s="27">
        <f>_R2*_C1*LN(VCC/(VCC-3*_VF1)+1)</f>
        <v>7.9904517515361228E-4</v>
      </c>
      <c r="G16" s="1" t="s">
        <v>15</v>
      </c>
      <c r="H16" s="1"/>
      <c r="I16" s="1"/>
      <c r="J16" s="1"/>
      <c r="K16" s="1"/>
      <c r="L16" s="1"/>
      <c r="M16" s="1"/>
      <c r="N16" s="1"/>
    </row>
    <row r="17" spans="1:17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7" x14ac:dyDescent="0.3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7" x14ac:dyDescent="0.35">
      <c r="A19" s="10" t="s">
        <v>36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2"/>
    </row>
    <row r="20" spans="1:17" x14ac:dyDescent="0.35">
      <c r="B20" s="6" t="s">
        <v>37</v>
      </c>
      <c r="C20" s="8" t="str" cm="1">
        <f t="array" ref="C20">CapPrefix(Eseries(_C1,4))</f>
        <v>0.01µF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7" x14ac:dyDescent="0.35">
      <c r="B21" s="2" t="s">
        <v>34</v>
      </c>
      <c r="C21" s="8" t="str" cm="1">
        <f t="array" ref="C21">EngPrefix(Eseries(_R1))&amp;"Ω"</f>
        <v>22.6kΩ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Q21" s="5"/>
    </row>
    <row r="22" spans="1:17" x14ac:dyDescent="0.35">
      <c r="B22" s="2" t="s">
        <v>35</v>
      </c>
      <c r="C22" s="8" t="str" cm="1">
        <f t="array" ref="C22">EngPrefix(Eseries(_R2))&amp;"Ω"</f>
        <v>90.9kΩ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5"/>
    </row>
    <row r="23" spans="1:17" x14ac:dyDescent="0.35">
      <c r="A23" s="1"/>
      <c r="B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7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7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7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7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</sheetData>
  <dataValidations xWindow="771" yWindow="472" count="4">
    <dataValidation type="decimal" allowBlank="1" showInputMessage="1" showErrorMessage="1" errorTitle="Out of Range" error="Must be between 0 and 1." promptTitle="Duty Factor" prompt="Must be between 0 and 1." sqref="C5" xr:uid="{FFBB381B-D06F-4345-B72C-990B6AA6588E}">
      <formula1>0</formula1>
      <formula2>1</formula2>
    </dataValidation>
    <dataValidation type="decimal" operator="greaterThan" allowBlank="1" showInputMessage="1" showErrorMessage="1" errorTitle="Out of Range" error="Must be greater than zero." promptTitle="Oscillator Frequency (Hertz)" prompt="Must be greater than 0." sqref="C4" xr:uid="{B573DA5D-4018-41EA-867F-BBB8BDB24670}">
      <formula1>0</formula1>
    </dataValidation>
    <dataValidation type="decimal" operator="greaterThan" allowBlank="1" showInputMessage="1" showErrorMessage="1" errorTitle="Out of Range" error="Must be greater than zero." promptTitle="Supply Voltage" prompt="Must be greater than zero." sqref="C2" xr:uid="{21BDF302-8559-4673-905F-D6C9E576E3B5}">
      <formula1>0</formula1>
    </dataValidation>
    <dataValidation type="decimal" operator="greaterThan" allowBlank="1" showInputMessage="1" showErrorMessage="1" errorTitle="Out of Range" error="Must be greater than zero." promptTitle="Timing Capacitor (Farads)" prompt="Must be greater than 0." sqref="C3" xr:uid="{B6B803DE-DB8A-429B-84E5-67322AC0B85D}">
      <formula1>0</formula1>
    </dataValidation>
  </dataValidations>
  <pageMargins left="0.7" right="0.7" top="0.75" bottom="0.75" header="0.3" footer="0.3"/>
  <ignoredErrors>
    <ignoredError sqref="C14:C16 F14:F16 C2" unlockedFormula="1"/>
  </ignoredErrors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Astable With Duty Solver</vt:lpstr>
      <vt:lpstr>_C1</vt:lpstr>
      <vt:lpstr>_R1</vt:lpstr>
      <vt:lpstr>_R2</vt:lpstr>
      <vt:lpstr>_VF1</vt:lpstr>
      <vt:lpstr>_VF2</vt:lpstr>
      <vt:lpstr>a</vt:lpstr>
      <vt:lpstr>b</vt:lpstr>
      <vt:lpstr>DF</vt:lpstr>
      <vt:lpstr>f0</vt:lpstr>
      <vt:lpstr>IR1_</vt:lpstr>
      <vt:lpstr>IR2_</vt:lpstr>
      <vt:lpstr>tH</vt:lpstr>
      <vt:lpstr>tHCALC</vt:lpstr>
      <vt:lpstr>tL</vt:lpstr>
      <vt:lpstr>tLCALC</vt:lpstr>
      <vt:lpstr>VAVG</vt:lpstr>
      <vt:lpstr>VAVGH</vt:lpstr>
      <vt:lpstr>VAVGL</vt:lpstr>
      <vt:lpstr>VCC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Oldhack EE</dc:creator>
  <cp:lastModifiedBy>Oldhack EE</cp:lastModifiedBy>
  <dcterms:created xsi:type="dcterms:W3CDTF">2024-05-20T18:47:01Z</dcterms:created>
  <dcterms:modified xsi:type="dcterms:W3CDTF">2024-05-25T14:12:49Z</dcterms:modified>
</cp:coreProperties>
</file>