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202300"/>
  <mc:AlternateContent xmlns:mc="http://schemas.openxmlformats.org/markup-compatibility/2006">
    <mc:Choice Requires="x15">
      <x15ac:absPath xmlns:x15ac="http://schemas.microsoft.com/office/spreadsheetml/2010/11/ac" url="https://d.docs.live.net/8c1699b8cd4d2a22/Documents/Terry's Presentations/Excel for Electrical Engineering/New Tips ^0 Tricks - Waveguide/"/>
    </mc:Choice>
  </mc:AlternateContent>
  <xr:revisionPtr revIDLastSave="0" documentId="8_{E6CE55EB-63F9-47B3-9983-F8509AE4EB6C}" xr6:coauthVersionLast="47" xr6:coauthVersionMax="47" xr10:uidLastSave="{00000000-0000-0000-0000-000000000000}"/>
  <bookViews>
    <workbookView xWindow="3670" yWindow="2780" windowWidth="23730" windowHeight="14820" xr2:uid="{02CD3FDE-5971-44C2-A80B-09FB86474B7B}"/>
  </bookViews>
  <sheets>
    <sheet name="Waveguide Loss" sheetId="1" r:id="rId1"/>
    <sheet name="Waveguide Datasheet" sheetId="2" r:id="rId2"/>
    <sheet name="Plot Data" sheetId="3" r:id="rId3"/>
    <sheet name="Constants" sheetId="4" r:id="rId4"/>
  </sheets>
  <definedNames>
    <definedName name="_c">Constants!$B$2</definedName>
    <definedName name="_fc">'Waveguide Loss'!$G$6</definedName>
    <definedName name="a">'Waveguide Loss'!$G$4</definedName>
    <definedName name="a_range">'Waveguide Datasheet'!$H$4:$H$36</definedName>
    <definedName name="attenchartfmin">'Waveguide Loss'!$G$10</definedName>
    <definedName name="AttenChartTitle">'Plot Data'!$E$1</definedName>
    <definedName name="b">'Waveguide Loss'!$G$5</definedName>
    <definedName name="b_range">'Waveguide Datasheet'!$I$4:$I$36</definedName>
    <definedName name="Emax">Constants!$B$7</definedName>
    <definedName name="fmax">'Waveguide Loss'!$C$5</definedName>
    <definedName name="fmax_pc">'Waveguide Loss'!$C$11</definedName>
    <definedName name="fmin">'Waveguide Loss'!$C$4</definedName>
    <definedName name="fmin_pc">'Waveguide Loss'!$C$12</definedName>
    <definedName name="fWGL">'Plot Data'!$F$5</definedName>
    <definedName name="MaxPower">'Waveguide Loss'!$C$34</definedName>
    <definedName name="Percent_max">'Waveguide Loss'!$C$36</definedName>
    <definedName name="Pinmax_dBm">'Waveguide Loss'!$C$9</definedName>
    <definedName name="Pinmax_w">'Waveguide Loss'!$C$35</definedName>
    <definedName name="_xlnm.Print_Area" localSheetId="0">'Waveguide Loss'!$A$1:$W$44</definedName>
    <definedName name="Tmax">'Waveguide Loss'!$C$8</definedName>
    <definedName name="WGMaterial">'Waveguide Loss'!$C$7</definedName>
    <definedName name="WGSelect">'Waveguide Loss'!$C$6</definedName>
    <definedName name="αal">Constants!$B$6</definedName>
    <definedName name="αcu">Constants!$B$5</definedName>
    <definedName name="αfmax">'Waveguide Loss'!$G$8</definedName>
    <definedName name="αfmin">'Waveguide Loss'!$G$9</definedName>
    <definedName name="λ0">'Waveguide Loss'!$C$26</definedName>
    <definedName name="λC">'Waveguide Loss'!$G$7</definedName>
    <definedName name="λg">'Waveguide Loss'!$C$27</definedName>
    <definedName name="ρal">Constants!$B$4</definedName>
    <definedName name="ρalmaxT">Constants!$B$10</definedName>
    <definedName name="ρcu">Constants!$B$3</definedName>
    <definedName name="ρcumaxT">Constants!$B$9</definedName>
    <definedName name="ρselmaxT">Constants!$B$11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1" l="1" a="1"/>
  <c r="G5" i="1" s="1"/>
  <c r="G4" i="1" a="1"/>
  <c r="G4" i="1" s="1"/>
  <c r="R4" i="2" a="1"/>
  <c r="R4" i="2" s="1"/>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G6" i="3"/>
  <c r="C35" i="1"/>
  <c r="C26" i="1"/>
  <c r="D11" i="4"/>
  <c r="G5" i="3"/>
  <c r="E1" i="3"/>
  <c r="B10" i="4"/>
  <c r="B11" i="4" s="1"/>
  <c r="B9" i="4"/>
  <c r="G6" i="1" l="1"/>
  <c r="G9" i="1" s="1"/>
  <c r="G7" i="1" l="1"/>
  <c r="C27" i="1" s="1"/>
  <c r="C34" i="1" s="1"/>
  <c r="C36" i="1" s="1"/>
  <c r="G8" i="1"/>
  <c r="F5" i="3"/>
  <c r="F6" i="3" s="1"/>
  <c r="A4" i="3"/>
  <c r="C11" i="1"/>
  <c r="C12" i="1"/>
  <c r="G10" i="1" l="1"/>
  <c r="A5" i="3"/>
  <c r="B4" i="3"/>
  <c r="A6" i="3" l="1"/>
  <c r="B5" i="3"/>
  <c r="A7" i="3" l="1"/>
  <c r="B6" i="3"/>
  <c r="A8" i="3" l="1"/>
  <c r="B7" i="3"/>
  <c r="A9" i="3" l="1"/>
  <c r="B8" i="3"/>
  <c r="A10" i="3" l="1"/>
  <c r="B9" i="3"/>
  <c r="A11" i="3" l="1"/>
  <c r="B10" i="3"/>
  <c r="A12" i="3" l="1"/>
  <c r="B11" i="3"/>
  <c r="A13" i="3" l="1"/>
  <c r="B12" i="3"/>
  <c r="A14" i="3" l="1"/>
  <c r="B13" i="3"/>
  <c r="B14" i="3" l="1"/>
  <c r="A15" i="3"/>
  <c r="B15" i="3" l="1"/>
  <c r="A16" i="3"/>
  <c r="B16" i="3" l="1"/>
  <c r="A17" i="3"/>
  <c r="B17" i="3" l="1"/>
  <c r="A18" i="3"/>
  <c r="A19" i="3" l="1"/>
  <c r="B18" i="3"/>
  <c r="A20" i="3" l="1"/>
  <c r="B19" i="3"/>
  <c r="A21" i="3" l="1"/>
  <c r="B20" i="3"/>
  <c r="B21" i="3" l="1"/>
  <c r="A22" i="3"/>
  <c r="A23" i="3" l="1"/>
  <c r="B22" i="3"/>
  <c r="A24" i="3" l="1"/>
  <c r="B23" i="3"/>
  <c r="A25" i="3" l="1"/>
  <c r="B24" i="3"/>
  <c r="A26" i="3" l="1"/>
  <c r="B25" i="3"/>
  <c r="B26" i="3" l="1"/>
  <c r="A27" i="3"/>
  <c r="B27" i="3" l="1"/>
  <c r="A28" i="3"/>
  <c r="B28" i="3" l="1"/>
  <c r="A29" i="3"/>
  <c r="B29" i="3" l="1"/>
  <c r="A30" i="3"/>
  <c r="B30" i="3" l="1"/>
  <c r="A31" i="3"/>
  <c r="A32" i="3" l="1"/>
  <c r="B31" i="3"/>
  <c r="A33" i="3" l="1"/>
  <c r="B32" i="3"/>
  <c r="B33" i="3" l="1"/>
  <c r="A34" i="3"/>
  <c r="B34" i="3" l="1"/>
  <c r="A35" i="3"/>
  <c r="B35" i="3" l="1"/>
  <c r="A36" i="3"/>
  <c r="A37" i="3" l="1"/>
  <c r="B36" i="3"/>
  <c r="A38" i="3" l="1"/>
  <c r="B37" i="3"/>
  <c r="A39" i="3" l="1"/>
  <c r="B38" i="3"/>
  <c r="A40" i="3" l="1"/>
  <c r="B39" i="3"/>
  <c r="B40" i="3" l="1"/>
  <c r="A41" i="3"/>
  <c r="A42" i="3" l="1"/>
  <c r="B41" i="3"/>
  <c r="A43" i="3" l="1"/>
  <c r="B42" i="3"/>
  <c r="A44" i="3" l="1"/>
  <c r="B43" i="3"/>
  <c r="A45" i="3" l="1"/>
  <c r="B44" i="3"/>
  <c r="A46" i="3" l="1"/>
  <c r="B45" i="3"/>
  <c r="A47" i="3" l="1"/>
  <c r="B46" i="3"/>
  <c r="A48" i="3" l="1"/>
  <c r="B47" i="3"/>
  <c r="A49" i="3" l="1"/>
  <c r="B48" i="3"/>
  <c r="B49" i="3" l="1"/>
  <c r="A50" i="3"/>
  <c r="B50" i="3" l="1"/>
  <c r="A51" i="3"/>
  <c r="B51" i="3" l="1"/>
  <c r="A52" i="3"/>
  <c r="B52" i="3" l="1"/>
  <c r="A53" i="3"/>
  <c r="A54" i="3" l="1"/>
  <c r="B53" i="3"/>
  <c r="A55" i="3" l="1"/>
  <c r="B54" i="3"/>
  <c r="A56" i="3" l="1"/>
  <c r="B55" i="3"/>
  <c r="A57" i="3" l="1"/>
  <c r="B56" i="3"/>
  <c r="A58" i="3" l="1"/>
  <c r="B57" i="3"/>
  <c r="B58" i="3" l="1"/>
  <c r="A59" i="3"/>
  <c r="B59" i="3" l="1"/>
  <c r="A60" i="3"/>
  <c r="A61" i="3" l="1"/>
  <c r="B60" i="3"/>
  <c r="B61" i="3" l="1"/>
  <c r="A62" i="3"/>
  <c r="B62" i="3" l="1"/>
  <c r="A63" i="3"/>
  <c r="A64" i="3" l="1"/>
  <c r="B63" i="3"/>
  <c r="A65" i="3" l="1"/>
  <c r="B64" i="3"/>
  <c r="B65" i="3" l="1"/>
  <c r="A66" i="3"/>
  <c r="B66" i="3" l="1"/>
  <c r="A67" i="3"/>
  <c r="A68" i="3" l="1"/>
  <c r="B67" i="3"/>
  <c r="A69" i="3" l="1"/>
  <c r="B68" i="3"/>
  <c r="B69" i="3" l="1"/>
  <c r="A70" i="3"/>
  <c r="A71" i="3" l="1"/>
  <c r="B70" i="3"/>
  <c r="A72" i="3" l="1"/>
  <c r="B71" i="3"/>
  <c r="B72" i="3" l="1"/>
  <c r="A73" i="3"/>
  <c r="A74" i="3" l="1"/>
  <c r="B73" i="3"/>
  <c r="A75" i="3" l="1"/>
  <c r="B74" i="3"/>
  <c r="A76" i="3" l="1"/>
  <c r="B75" i="3"/>
  <c r="A77" i="3" l="1"/>
  <c r="B76" i="3"/>
  <c r="A78" i="3" l="1"/>
  <c r="B77" i="3"/>
  <c r="A79" i="3" l="1"/>
  <c r="B79" i="3" s="1"/>
  <c r="B78"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G10" authorId="0" shapeId="0" xr:uid="{BCA0DF7C-8EED-441D-A8ED-94D79B4E21FF}">
      <text>
        <r>
          <rPr>
            <b/>
            <sz val="9"/>
            <color indexed="81"/>
            <rFont val="Tahoma"/>
            <family val="2"/>
          </rPr>
          <t>Note:</t>
        </r>
        <r>
          <rPr>
            <sz val="9"/>
            <color indexed="81"/>
            <rFont val="Tahoma"/>
            <family val="2"/>
          </rPr>
          <t xml:space="preserve">
Next lowest integer GHz frequency below the first frequency point of the attenuation graph. Used to set the attenuator chart frequency axis minimum bound.</t>
        </r>
      </text>
    </comment>
    <comment ref="C11" authorId="0" shapeId="0" xr:uid="{E43E3DFF-733A-4A41-AFB7-62619750DE76}">
      <text>
        <r>
          <rPr>
            <b/>
            <sz val="9"/>
            <color indexed="81"/>
            <rFont val="Tahoma"/>
            <family val="2"/>
          </rPr>
          <t>Note:</t>
        </r>
        <r>
          <rPr>
            <sz val="9"/>
            <color indexed="81"/>
            <rFont val="Tahoma"/>
            <family val="2"/>
          </rPr>
          <t xml:space="preserve">
Should be less than 189%</t>
        </r>
      </text>
    </comment>
    <comment ref="C12" authorId="0" shapeId="0" xr:uid="{5267290D-E15C-4D46-BC30-256F32B430CB}">
      <text>
        <r>
          <rPr>
            <b/>
            <sz val="9"/>
            <color indexed="81"/>
            <rFont val="Tahoma"/>
            <family val="2"/>
          </rPr>
          <t>Note:</t>
        </r>
        <r>
          <rPr>
            <sz val="9"/>
            <color indexed="81"/>
            <rFont val="Tahoma"/>
            <family val="2"/>
          </rPr>
          <t xml:space="preserve">
Should be greater than 125%</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<sst xmlns="http://schemas.openxmlformats.org/spreadsheetml/2006/main" count="137" uniqueCount="119">
  <si>
    <t>PLOT DATA ONLY</t>
  </si>
  <si>
    <t>Waveguide Datasheet</t>
  </si>
  <si>
    <t>WR62</t>
  </si>
  <si>
    <t>in</t>
  </si>
  <si>
    <t>Hz</t>
  </si>
  <si>
    <t>°C</t>
  </si>
  <si>
    <t>dB/ft</t>
  </si>
  <si>
    <t>WR5</t>
  </si>
  <si>
    <t>WR7</t>
  </si>
  <si>
    <t>WR8</t>
  </si>
  <si>
    <t>WR10</t>
  </si>
  <si>
    <t>WR12</t>
  </si>
  <si>
    <t>WR15</t>
  </si>
  <si>
    <t>WR19</t>
  </si>
  <si>
    <t>WR22</t>
  </si>
  <si>
    <t>WR28</t>
  </si>
  <si>
    <t>WR34</t>
  </si>
  <si>
    <t>WR42</t>
  </si>
  <si>
    <t>WR51</t>
  </si>
  <si>
    <t>WR75</t>
  </si>
  <si>
    <t>WR90</t>
  </si>
  <si>
    <t>WR102</t>
  </si>
  <si>
    <t>WR112</t>
  </si>
  <si>
    <t>WR137</t>
  </si>
  <si>
    <t>WR159</t>
  </si>
  <si>
    <t>nΩ·m</t>
  </si>
  <si>
    <t>WR187</t>
  </si>
  <si>
    <t>WR229</t>
  </si>
  <si>
    <t>11A</t>
  </si>
  <si>
    <t>Resistivity of aluminum @ max temp</t>
  </si>
  <si>
    <t>WR284</t>
  </si>
  <si>
    <t>WR340</t>
  </si>
  <si>
    <t>9A</t>
  </si>
  <si>
    <t>WR430</t>
  </si>
  <si>
    <t>WR510</t>
  </si>
  <si>
    <t>WR650</t>
  </si>
  <si>
    <t>WR770</t>
  </si>
  <si>
    <t>WR975</t>
  </si>
  <si>
    <t>WR1150</t>
  </si>
  <si>
    <t>WR1500</t>
  </si>
  <si>
    <t>WR1800</t>
  </si>
  <si>
    <t>WR2100</t>
  </si>
  <si>
    <t>WR2300</t>
  </si>
  <si>
    <r>
      <t>K</t>
    </r>
    <r>
      <rPr>
        <vertAlign val="superscript"/>
        <sz val="10"/>
        <rFont val="Arial"/>
        <family val="2"/>
      </rPr>
      <t>-1</t>
    </r>
  </si>
  <si>
    <t>m/s</t>
  </si>
  <si>
    <t>Constants</t>
  </si>
  <si>
    <t>Frequency (Hz)</t>
  </si>
  <si>
    <t>Inside Tol: (±)</t>
  </si>
  <si>
    <t>Wall Thickness (in)</t>
  </si>
  <si>
    <t>USA WR-(size)</t>
  </si>
  <si>
    <t>Europe WG-(size)</t>
  </si>
  <si>
    <t>USA WR-(size) Designator</t>
  </si>
  <si>
    <r>
      <t>START</t>
    </r>
    <r>
      <rPr>
        <b/>
        <sz val="11"/>
        <color theme="1"/>
        <rFont val="Calibri"/>
        <family val="2"/>
      </rPr>
      <t xml:space="preserve"> Frequency (Ghz)</t>
    </r>
  </si>
  <si>
    <r>
      <t>STOP</t>
    </r>
    <r>
      <rPr>
        <b/>
        <sz val="11"/>
        <color theme="1"/>
        <rFont val="Calibri"/>
        <family val="2"/>
      </rPr>
      <t xml:space="preserve"> Frequency (Ghz)</t>
    </r>
  </si>
  <si>
    <r>
      <t>TE10 CUTOFF</t>
    </r>
    <r>
      <rPr>
        <b/>
        <sz val="11"/>
        <color theme="1"/>
        <rFont val="Calibri"/>
        <family val="2"/>
      </rPr>
      <t xml:space="preserve"> Frequency, (GHz.)</t>
    </r>
  </si>
  <si>
    <r>
      <t>TE20 CUTOFF</t>
    </r>
    <r>
      <rPr>
        <b/>
        <sz val="11"/>
        <color theme="1"/>
        <rFont val="Calibri"/>
        <family val="2"/>
      </rPr>
      <t xml:space="preserve"> Frequency, (GHz.)</t>
    </r>
  </si>
  <si>
    <t>Inside Broadwall “a”</t>
  </si>
  <si>
    <t>Inside Narrow Wall “b”</t>
  </si>
  <si>
    <t>Aluminum</t>
  </si>
  <si>
    <t>Resistivity of copper @ max temp</t>
  </si>
  <si>
    <t>Resistivity of selected material @ max temp</t>
  </si>
  <si>
    <r>
      <t>Waveguide Loss Calculator - TE</t>
    </r>
    <r>
      <rPr>
        <b/>
        <i/>
        <vertAlign val="subscript"/>
        <sz val="11"/>
        <rFont val="Calibri"/>
        <family val="2"/>
      </rPr>
      <t>10</t>
    </r>
    <r>
      <rPr>
        <b/>
        <i/>
        <sz val="11"/>
        <rFont val="Calibri"/>
        <family val="2"/>
      </rPr>
      <t xml:space="preserve"> Mode</t>
    </r>
  </si>
  <si>
    <t>Operating Frequency Range</t>
  </si>
  <si>
    <t>Useable Waveguide Bandwidth</t>
  </si>
  <si>
    <r>
      <t>Temperature coefficient for copper (α</t>
    </r>
    <r>
      <rPr>
        <vertAlign val="subscript"/>
        <sz val="11"/>
        <color theme="1"/>
        <rFont val="Calibri"/>
        <family val="2"/>
      </rPr>
      <t>CU</t>
    </r>
    <r>
      <rPr>
        <sz val="11"/>
        <color theme="1"/>
        <rFont val="Calibri"/>
        <family val="2"/>
      </rPr>
      <t>)</t>
    </r>
  </si>
  <si>
    <r>
      <t>Temperature coefficient for aluminum (α</t>
    </r>
    <r>
      <rPr>
        <vertAlign val="subscript"/>
        <sz val="11"/>
        <color theme="1"/>
        <rFont val="Calibri"/>
        <family val="2"/>
      </rPr>
      <t>AL</t>
    </r>
    <r>
      <rPr>
        <sz val="11"/>
        <color theme="1"/>
        <rFont val="Calibri"/>
        <family val="2"/>
      </rPr>
      <t>)</t>
    </r>
  </si>
  <si>
    <r>
      <t>Resistivity of copper @ 20°C (</t>
    </r>
    <r>
      <rPr>
        <sz val="11"/>
        <color theme="1"/>
        <rFont val="Aptos Narrow"/>
        <family val="2"/>
      </rPr>
      <t>ρ</t>
    </r>
    <r>
      <rPr>
        <vertAlign val="subscript"/>
        <sz val="11"/>
        <color theme="1"/>
        <rFont val="Aptos Narrow"/>
        <family val="2"/>
      </rPr>
      <t>CU</t>
    </r>
    <r>
      <rPr>
        <sz val="11"/>
        <color theme="1"/>
        <rFont val="Calibri"/>
        <family val="2"/>
      </rPr>
      <t>)</t>
    </r>
  </si>
  <si>
    <r>
      <t>Resistivity of aluminum 6061-T6 @ 20°C (ρ</t>
    </r>
    <r>
      <rPr>
        <vertAlign val="subscript"/>
        <sz val="11"/>
        <color theme="1"/>
        <rFont val="Calibri"/>
        <family val="2"/>
      </rPr>
      <t>AL</t>
    </r>
    <r>
      <rPr>
        <sz val="11"/>
        <color theme="1"/>
        <rFont val="Calibri"/>
        <family val="2"/>
      </rPr>
      <t>)</t>
    </r>
  </si>
  <si>
    <t>Chart Frequency Axis Minimum</t>
  </si>
  <si>
    <r>
      <t>← f</t>
    </r>
    <r>
      <rPr>
        <vertAlign val="subscript"/>
        <sz val="11"/>
        <color theme="1"/>
        <rFont val="Calibri"/>
        <family val="2"/>
      </rPr>
      <t>max</t>
    </r>
    <r>
      <rPr>
        <sz val="11"/>
        <color theme="1"/>
        <rFont val="Calibri"/>
        <family val="2"/>
      </rPr>
      <t xml:space="preserve"> - f</t>
    </r>
    <r>
      <rPr>
        <vertAlign val="subscript"/>
        <sz val="11"/>
        <color theme="1"/>
        <rFont val="Calibri"/>
        <family val="2"/>
      </rPr>
      <t>min</t>
    </r>
  </si>
  <si>
    <t>m</t>
  </si>
  <si>
    <t>W</t>
  </si>
  <si>
    <r>
      <t>Maximum Voltage Breakdown in Air @ Sea Level (E</t>
    </r>
    <r>
      <rPr>
        <vertAlign val="subscript"/>
        <sz val="11"/>
        <color theme="1"/>
        <rFont val="Calibri"/>
        <family val="2"/>
      </rPr>
      <t>MAX</t>
    </r>
    <r>
      <rPr>
        <sz val="11"/>
        <color theme="1"/>
        <rFont val="Calibri"/>
        <family val="2"/>
      </rPr>
      <t>)</t>
    </r>
  </si>
  <si>
    <t>V/cm</t>
  </si>
  <si>
    <t>dBm</t>
  </si>
  <si>
    <t>Percent of Max Power</t>
  </si>
  <si>
    <t>Maximum Power Handling</t>
  </si>
  <si>
    <t>Maximum Input Power</t>
  </si>
  <si>
    <t>Chart Title →</t>
  </si>
  <si>
    <r>
      <t>(f</t>
    </r>
    <r>
      <rPr>
        <vertAlign val="subscript"/>
        <sz val="11"/>
        <color theme="1"/>
        <rFont val="Calibri"/>
        <family val="2"/>
      </rPr>
      <t>min</t>
    </r>
    <r>
      <rPr>
        <sz val="11"/>
        <color theme="1"/>
        <rFont val="Calibri"/>
        <family val="2"/>
      </rPr>
      <t>)</t>
    </r>
  </si>
  <si>
    <r>
      <t>(f</t>
    </r>
    <r>
      <rPr>
        <vertAlign val="subscript"/>
        <sz val="11"/>
        <color theme="1"/>
        <rFont val="Calibri"/>
        <family val="2"/>
      </rPr>
      <t>max</t>
    </r>
    <r>
      <rPr>
        <sz val="11"/>
        <color theme="1"/>
        <rFont val="Calibri"/>
        <family val="2"/>
      </rPr>
      <t>)</t>
    </r>
  </si>
  <si>
    <r>
      <t>(T</t>
    </r>
    <r>
      <rPr>
        <vertAlign val="subscript"/>
        <sz val="11"/>
        <color theme="1"/>
        <rFont val="Calibri"/>
        <family val="2"/>
      </rPr>
      <t>MAX</t>
    </r>
    <r>
      <rPr>
        <sz val="11"/>
        <color theme="1"/>
        <rFont val="Calibri"/>
        <family val="2"/>
      </rPr>
      <t>)</t>
    </r>
  </si>
  <si>
    <r>
      <t>(P</t>
    </r>
    <r>
      <rPr>
        <vertAlign val="subscript"/>
        <sz val="11"/>
        <color theme="1"/>
        <rFont val="Calibri"/>
        <family val="2"/>
      </rPr>
      <t>IN</t>
    </r>
    <r>
      <rPr>
        <sz val="11"/>
        <color theme="1"/>
        <rFont val="Calibri"/>
        <family val="2"/>
      </rPr>
      <t>)</t>
    </r>
  </si>
  <si>
    <t>Select Waveguide Size</t>
  </si>
  <si>
    <t xml:space="preserve"> →</t>
  </si>
  <si>
    <t>Select Waveguide Material</t>
  </si>
  <si>
    <r>
      <t>(λ</t>
    </r>
    <r>
      <rPr>
        <vertAlign val="subscript"/>
        <sz val="11"/>
        <color theme="1"/>
        <rFont val="Calibri"/>
        <family val="2"/>
      </rPr>
      <t>g</t>
    </r>
    <r>
      <rPr>
        <sz val="11"/>
        <color theme="1"/>
        <rFont val="Calibri"/>
        <family val="2"/>
      </rPr>
      <t>)</t>
    </r>
  </si>
  <si>
    <r>
      <t>(λ</t>
    </r>
    <r>
      <rPr>
        <vertAlign val="subscript"/>
        <sz val="11"/>
        <color theme="1"/>
        <rFont val="Aptos Narrow"/>
        <family val="2"/>
      </rPr>
      <t>0</t>
    </r>
    <r>
      <rPr>
        <sz val="11"/>
        <color theme="1"/>
        <rFont val="Aptos Narrow"/>
        <family val="2"/>
      </rPr>
      <t>)</t>
    </r>
  </si>
  <si>
    <r>
      <t>(P</t>
    </r>
    <r>
      <rPr>
        <vertAlign val="subscript"/>
        <sz val="11"/>
        <color theme="1"/>
        <rFont val="Calibri"/>
        <family val="2"/>
      </rPr>
      <t>INW</t>
    </r>
    <r>
      <rPr>
        <sz val="11"/>
        <color theme="1"/>
        <rFont val="Calibri"/>
        <family val="2"/>
      </rPr>
      <t>)</t>
    </r>
  </si>
  <si>
    <r>
      <t>(P</t>
    </r>
    <r>
      <rPr>
        <vertAlign val="subscript"/>
        <sz val="11"/>
        <color theme="1"/>
        <rFont val="Calibri"/>
        <family val="2"/>
      </rPr>
      <t>BR</t>
    </r>
    <r>
      <rPr>
        <sz val="11"/>
        <color theme="1"/>
        <rFont val="Calibri"/>
        <family val="2"/>
      </rPr>
      <t>)</t>
    </r>
  </si>
  <si>
    <t xml:space="preserve">Min Operating Frequency Wavelength </t>
  </si>
  <si>
    <t>Waveguide Wavelength</t>
  </si>
  <si>
    <t>Broadwall Size</t>
  </si>
  <si>
    <t>(a)</t>
  </si>
  <si>
    <t>Narrow Wall Size</t>
  </si>
  <si>
    <t>(b)</t>
  </si>
  <si>
    <t>Cutoff Frequency</t>
  </si>
  <si>
    <r>
      <t>(f</t>
    </r>
    <r>
      <rPr>
        <vertAlign val="subscript"/>
        <sz val="11"/>
        <color theme="1"/>
        <rFont val="Calibri"/>
        <family val="2"/>
      </rPr>
      <t>C</t>
    </r>
    <r>
      <rPr>
        <sz val="11"/>
        <color theme="1"/>
        <rFont val="Calibri"/>
        <family val="2"/>
      </rPr>
      <t>)</t>
    </r>
  </si>
  <si>
    <t>Cutoff Wavelength</t>
  </si>
  <si>
    <r>
      <t>(λ</t>
    </r>
    <r>
      <rPr>
        <vertAlign val="subscript"/>
        <sz val="11"/>
        <color theme="1"/>
        <rFont val="Calibri"/>
        <family val="2"/>
      </rPr>
      <t>C</t>
    </r>
    <r>
      <rPr>
        <sz val="11"/>
        <color theme="1"/>
        <rFont val="Calibri"/>
        <family val="2"/>
      </rPr>
      <t>)</t>
    </r>
  </si>
  <si>
    <r>
      <rPr>
        <sz val="11"/>
        <color theme="1"/>
        <rFont val="Aptos Narrow"/>
        <family val="2"/>
      </rPr>
      <t>(α</t>
    </r>
    <r>
      <rPr>
        <vertAlign val="subscript"/>
        <sz val="11"/>
        <color theme="1"/>
        <rFont val="Aptos Narrow"/>
        <family val="2"/>
      </rPr>
      <t>fmax</t>
    </r>
    <r>
      <rPr>
        <sz val="11"/>
        <color theme="1"/>
        <rFont val="Aptos Narrow"/>
        <family val="2"/>
      </rPr>
      <t>)</t>
    </r>
  </si>
  <si>
    <r>
      <t>(α</t>
    </r>
    <r>
      <rPr>
        <vertAlign val="subscript"/>
        <sz val="11"/>
        <color theme="1"/>
        <rFont val="Aptos Narrow"/>
        <family val="2"/>
      </rPr>
      <t>fmin</t>
    </r>
    <r>
      <rPr>
        <sz val="11"/>
        <color theme="1"/>
        <rFont val="Aptos Narrow"/>
        <family val="2"/>
      </rPr>
      <t>)</t>
    </r>
  </si>
  <si>
    <t>Speed of Light (c)</t>
  </si>
  <si>
    <t>Minimum Operating Frequency</t>
  </si>
  <si>
    <t>Maximum Operating Frequency</t>
  </si>
  <si>
    <t>Maximum Operating Temperature</t>
  </si>
  <si>
    <t>Maximum Frequency % of cutoff</t>
  </si>
  <si>
    <t>Minimum Frequency % of cutoff</t>
  </si>
  <si>
    <t>Attenuation at Maximum Frequency</t>
  </si>
  <si>
    <t>Attenuation at Minimum Frequency</t>
  </si>
  <si>
    <t xml:space="preserve">                     </t>
  </si>
  <si>
    <r>
      <t>← f</t>
    </r>
    <r>
      <rPr>
        <vertAlign val="subscript"/>
        <sz val="11"/>
        <color theme="1"/>
        <rFont val="Calibri"/>
        <family val="2"/>
      </rPr>
      <t>min</t>
    </r>
  </si>
  <si>
    <t>Stop =1.89*_fc-fWGL</t>
  </si>
  <si>
    <t>Start = 1.25 * _fc</t>
  </si>
  <si>
    <t>Operating Frequency Within Useable Waveguide Bandwidth</t>
  </si>
  <si>
    <r>
      <t>┌</t>
    </r>
    <r>
      <rPr>
        <b/>
        <sz val="11"/>
        <rFont val="Aptos Narrow"/>
        <family val="2"/>
      </rPr>
      <t>─────────</t>
    </r>
    <r>
      <rPr>
        <b/>
        <sz val="11"/>
        <rFont val="Calibri"/>
        <family val="2"/>
      </rPr>
      <t xml:space="preserve"> SELECTED WAVEGUIDE CHARACTERISTICS ─────────┐</t>
    </r>
  </si>
  <si>
    <t>┌─── INPUTS───┐</t>
  </si>
  <si>
    <t>Usable</t>
  </si>
  <si>
    <t>Selectable Wavguide Sizes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</si>
</sst>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0"/>
    <numFmt numFmtId="166" formatCode="##0.000E+0"/>
    <numFmt numFmtId="167" formatCode="##0.00E+0"/>
    <numFmt numFmtId="168" formatCode="##0E+0"/>
    <numFmt numFmtId="169" formatCode="0.000000%"/>
  </numFmts>
  <fonts count="19" x14ac:knownFonts="1">
    <font>
      <sz val="11"/>
      <color theme="1"/>
      <name val="Calibri"/>
      <family val="2"/>
    </font>
    <font>
      <sz val="10"/>
      <name val="Arial"/>
      <family val="2"/>
    </font>
    <font>
      <vertAlign val="superscript"/>
      <sz val="10"/>
      <name val="Arial"/>
      <family val="2"/>
    </font>
    <font>
      <sz val="11"/>
      <color theme="1"/>
      <name val="Calibri"/>
      <family val="2"/>
    </font>
    <font>
      <sz val="10"/>
      <name val="Calibri"/>
      <family val="2"/>
    </font>
    <font>
      <b/>
      <sz val="10"/>
      <name val="Calibri"/>
      <family val="2"/>
    </font>
    <font>
      <b/>
      <i/>
      <sz val="10"/>
      <name val="Calibri"/>
      <family val="2"/>
    </font>
    <font>
      <b/>
      <i/>
      <sz val="11"/>
      <color theme="1"/>
      <name val="Calibri"/>
      <family val="2"/>
    </font>
    <font>
      <sz val="9"/>
      <color indexed="81"/>
      <name val="Tahoma"/>
      <family val="2"/>
    </font>
    <font>
      <b/>
      <sz val="9"/>
      <color indexed="81"/>
      <name val="Tahoma"/>
      <family val="2"/>
    </font>
    <font>
      <b/>
      <sz val="11"/>
      <color theme="1"/>
      <name val="Calibri"/>
      <family val="2"/>
    </font>
    <font>
      <sz val="11"/>
      <name val="Calibri"/>
      <family val="2"/>
    </font>
    <font>
      <sz val="11"/>
      <color theme="1"/>
      <name val="Aptos Narrow"/>
      <family val="2"/>
    </font>
    <font>
      <vertAlign val="subscript"/>
      <sz val="11"/>
      <color theme="1"/>
      <name val="Calibri"/>
      <family val="2"/>
    </font>
    <font>
      <b/>
      <i/>
      <sz val="11"/>
      <name val="Calibri"/>
      <family val="2"/>
    </font>
    <font>
      <b/>
      <i/>
      <vertAlign val="subscript"/>
      <sz val="11"/>
      <name val="Calibri"/>
      <family val="2"/>
    </font>
    <font>
      <b/>
      <sz val="11"/>
      <name val="Calibri"/>
      <family val="2"/>
    </font>
    <font>
      <vertAlign val="subscript"/>
      <sz val="11"/>
      <color theme="1"/>
      <name val="Aptos Narrow"/>
      <family val="2"/>
    </font>
    <font>
      <b/>
      <sz val="11"/>
      <name val="Aptos Narrow"/>
      <family val="2"/>
    </font>
  </fonts>
  <fills count="7">
    <fill>
      <patternFill patternType="none"/>
    </fill>
    <fill>
      <patternFill patternType="gray125"/>
    </fill>
    <fill>
      <patternFill patternType="solid">
        <fgColor rgb="FFFFFF00"/>
        <bgColor indexed="64"/>
      </patternFill>
    </fill>
    <fill>
      <patternFill patternType="solid">
        <fgColor rgb="FF66FFFF"/>
        <bgColor indexed="64"/>
      </patternFill>
    </fill>
    <fill>
      <patternFill patternType="solid">
        <fgColor theme="3" tint="0.749961851863155"/>
        <bgColor indexed="64"/>
      </patternFill>
    </fill>
    <fill>
      <patternFill patternType="solid">
        <fgColor theme="5" tint="0.39994506668294322"/>
        <bgColor indexed="64"/>
      </patternFill>
    </fill>
    <fill>
      <patternFill patternType="solid">
        <fgColor theme="9" tint="0.599963377788628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s>
  <cellStyleXfs count="6">
    <xf numFmtId="0" fontId="0" fillId="0" borderId="0"/>
    <xf numFmtId="9" fontId="1" fillId="0" borderId="0" applyFont="0" applyFill="0" applyBorder="0" applyAlignment="0" applyProtection="0"/>
    <xf numFmtId="0" fontId="3" fillId="2" borderId="1">
      <alignment horizontal="center" vertical="center"/>
      <protection locked="0"/>
    </xf>
    <xf numFmtId="0" fontId="3" fillId="4" borderId="1">
      <alignment horizontal="center" vertical="center"/>
    </xf>
    <xf numFmtId="0" fontId="3" fillId="5" borderId="1">
      <alignment horizontal="center" vertical="center"/>
    </xf>
    <xf numFmtId="0" fontId="3" fillId="6" borderId="1">
      <alignment horizontal="center" vertical="center"/>
    </xf>
  </cellStyleXfs>
  <cellXfs count="50">
    <xf numFmtId="0" fontId="0" fillId="0" borderId="0" xfId="0"/>
    <xf numFmtId="0" fontId="0" fillId="0" borderId="0" xfId="0" applyAlignment="1">
      <alignment horizontal="right"/>
    </xf>
    <xf numFmtId="11" fontId="0" fillId="0" borderId="0" xfId="0" applyNumberFormat="1"/>
    <xf numFmtId="0" fontId="1" fillId="0" borderId="0" xfId="0" applyFont="1"/>
    <xf numFmtId="9" fontId="0" fillId="3" borderId="1" xfId="1" applyFont="1" applyFill="1" applyBorder="1" applyAlignment="1">
      <alignment horizontal="center"/>
    </xf>
    <xf numFmtId="0" fontId="0" fillId="0" borderId="0" xfId="0" applyAlignment="1">
      <alignment horizontal="left"/>
    </xf>
    <xf numFmtId="0" fontId="5" fillId="0" borderId="0" xfId="0" applyFont="1"/>
    <xf numFmtId="0" fontId="6" fillId="0" borderId="0" xfId="0" applyFont="1"/>
    <xf numFmtId="0" fontId="3" fillId="5" borderId="1" xfId="4">
      <alignment horizontal="center" vertical="center"/>
    </xf>
    <xf numFmtId="0" fontId="7" fillId="0" borderId="0" xfId="0" applyFont="1"/>
    <xf numFmtId="0" fontId="4" fillId="0" borderId="1" xfId="0" applyFont="1" applyBorder="1" applyAlignment="1">
      <alignment horizontal="center" vertical="top" wrapText="1"/>
    </xf>
    <xf numFmtId="0" fontId="4" fillId="0" borderId="2" xfId="0" applyFont="1" applyBorder="1" applyAlignment="1">
      <alignment horizontal="center" vertical="top" wrapText="1"/>
    </xf>
    <xf numFmtId="0" fontId="5" fillId="0" borderId="0" xfId="0" applyFont="1" applyAlignment="1">
      <alignment horizontal="right"/>
    </xf>
    <xf numFmtId="166" fontId="0" fillId="2" borderId="1" xfId="0" applyNumberFormat="1" applyFill="1" applyBorder="1" applyAlignment="1" applyProtection="1">
      <alignment horizontal="center"/>
      <protection locked="0"/>
    </xf>
    <xf numFmtId="0" fontId="0" fillId="3" borderId="1" xfId="0" applyFill="1" applyBorder="1" applyAlignment="1">
      <alignment horizontal="center"/>
    </xf>
    <xf numFmtId="0" fontId="0" fillId="2" borderId="1" xfId="0" applyFill="1" applyBorder="1" applyAlignment="1" applyProtection="1">
      <alignment horizontal="center"/>
      <protection locked="0"/>
    </xf>
    <xf numFmtId="0" fontId="5" fillId="0" borderId="3" xfId="0" applyFont="1" applyBorder="1" applyAlignment="1">
      <alignment horizontal="center" wrapText="1"/>
    </xf>
    <xf numFmtId="0" fontId="5" fillId="0" borderId="0" xfId="0" applyFont="1" applyAlignment="1">
      <alignment horizontal="center" vertical="top" wrapText="1"/>
    </xf>
    <xf numFmtId="0" fontId="5" fillId="0" borderId="0" xfId="0" applyFont="1" applyAlignment="1">
      <alignment horizontal="center" wrapText="1"/>
    </xf>
    <xf numFmtId="0" fontId="4" fillId="0" borderId="0" xfId="0" applyFont="1" applyAlignment="1">
      <alignment horizontal="center" wrapText="1"/>
    </xf>
    <xf numFmtId="0" fontId="5" fillId="0" borderId="6" xfId="0" applyFont="1" applyBorder="1" applyAlignment="1">
      <alignment horizontal="center" vertical="top" wrapText="1"/>
    </xf>
    <xf numFmtId="0" fontId="4" fillId="0" borderId="7" xfId="0" applyFont="1" applyBorder="1" applyAlignment="1">
      <alignment horizontal="center" vertical="top" wrapText="1"/>
    </xf>
    <xf numFmtId="0" fontId="6" fillId="0" borderId="3" xfId="0" applyFont="1" applyBorder="1" applyAlignment="1">
      <alignment horizontal="center" wrapText="1"/>
    </xf>
    <xf numFmtId="0" fontId="5" fillId="0" borderId="4" xfId="0" applyFont="1" applyBorder="1" applyAlignment="1">
      <alignment horizontal="center" vertical="top" wrapText="1"/>
    </xf>
    <xf numFmtId="0" fontId="4" fillId="0" borderId="5" xfId="0" applyFont="1" applyBorder="1" applyAlignment="1">
      <alignment horizontal="center" vertical="top" wrapText="1"/>
    </xf>
    <xf numFmtId="0" fontId="5" fillId="0" borderId="1" xfId="0" applyFont="1" applyBorder="1" applyAlignment="1">
      <alignment horizontal="center"/>
    </xf>
    <xf numFmtId="0" fontId="5" fillId="0" borderId="2" xfId="0" applyFont="1" applyBorder="1" applyAlignment="1">
      <alignment horizontal="center"/>
    </xf>
    <xf numFmtId="0" fontId="5" fillId="0" borderId="8" xfId="0" applyFont="1" applyBorder="1" applyAlignment="1">
      <alignment horizontal="center" wrapText="1"/>
    </xf>
    <xf numFmtId="0" fontId="5" fillId="0" borderId="9" xfId="0" applyFont="1" applyBorder="1" applyAlignment="1">
      <alignment horizontal="center" wrapText="1"/>
    </xf>
    <xf numFmtId="167" fontId="3" fillId="5" borderId="1" xfId="4" applyNumberFormat="1">
      <alignment horizontal="center" vertical="center"/>
    </xf>
    <xf numFmtId="2" fontId="3" fillId="4" borderId="1" xfId="3" applyNumberFormat="1">
      <alignment horizontal="center" vertical="center"/>
    </xf>
    <xf numFmtId="166" fontId="0" fillId="3" borderId="1" xfId="0" applyNumberFormat="1" applyFill="1" applyBorder="1" applyAlignment="1">
      <alignment horizontal="center"/>
    </xf>
    <xf numFmtId="165" fontId="11" fillId="3" borderId="1" xfId="0" applyNumberFormat="1" applyFont="1" applyFill="1" applyBorder="1" applyAlignment="1">
      <alignment horizontal="center"/>
    </xf>
    <xf numFmtId="0" fontId="14" fillId="0" borderId="0" xfId="0" applyFont="1"/>
    <xf numFmtId="0" fontId="16" fillId="0" borderId="0" xfId="0" applyFont="1" applyAlignment="1">
      <alignment horizontal="center"/>
    </xf>
    <xf numFmtId="0" fontId="0" fillId="2" borderId="1" xfId="0" applyFill="1" applyBorder="1" applyAlignment="1" applyProtection="1">
      <alignment horizontal="center" vertical="center"/>
      <protection locked="0"/>
    </xf>
    <xf numFmtId="166" fontId="0" fillId="0" borderId="0" xfId="0" applyNumberFormat="1"/>
    <xf numFmtId="168" fontId="0" fillId="3" borderId="1" xfId="0" applyNumberFormat="1" applyFill="1" applyBorder="1" applyAlignment="1">
      <alignment horizontal="center"/>
    </xf>
    <xf numFmtId="0" fontId="12" fillId="0" borderId="0" xfId="0" applyFont="1" applyAlignment="1">
      <alignment horizontal="right"/>
    </xf>
    <xf numFmtId="0" fontId="3" fillId="5" borderId="10" xfId="4" applyBorder="1">
      <alignment horizontal="center" vertical="center"/>
    </xf>
    <xf numFmtId="164" fontId="11" fillId="3" borderId="1" xfId="0" applyNumberFormat="1" applyFont="1" applyFill="1" applyBorder="1" applyAlignment="1">
      <alignment horizontal="center"/>
    </xf>
    <xf numFmtId="169" fontId="11" fillId="3" borderId="1" xfId="1" applyNumberFormat="1" applyFont="1" applyFill="1" applyBorder="1" applyAlignment="1">
      <alignment horizontal="center"/>
    </xf>
    <xf numFmtId="0" fontId="3" fillId="2" borderId="1" xfId="2">
      <alignment horizontal="center" vertical="center"/>
      <protection locked="0"/>
    </xf>
    <xf numFmtId="0" fontId="0" fillId="0" borderId="0" xfId="0" applyAlignment="1">
      <alignment horizontal="center"/>
    </xf>
    <xf numFmtId="0" fontId="12" fillId="0" borderId="0" xfId="0" applyFont="1" applyAlignment="1">
      <alignment horizontal="center"/>
    </xf>
    <xf numFmtId="0" fontId="16" fillId="0" borderId="0" xfId="0" applyFont="1" applyAlignment="1">
      <alignment horizontal="center" vertical="center"/>
    </xf>
    <xf numFmtId="0" fontId="0" fillId="0" borderId="1" xfId="0" applyBorder="1" applyAlignment="1">
      <alignment horizontal="right"/>
    </xf>
    <xf numFmtId="0" fontId="0" fillId="0" borderId="1" xfId="0" applyBorder="1"/>
    <xf numFmtId="166" fontId="0" fillId="0" borderId="1" xfId="0" applyNumberFormat="1" applyBorder="1" applyAlignment="1">
      <alignment horizontal="center"/>
    </xf>
    <xf numFmtId="0" fontId="10" fillId="0" borderId="0" xfId="0" applyFont="1"/>
  </cellXfs>
  <cellStyles count="6">
    <cellStyle name="INPUTS" xfId="2" xr:uid="{D8239007-0077-4A7D-BFF9-A5B05B8A27C1}"/>
    <cellStyle name="Normal" xfId="0" builtinId="0" customBuiltin="1"/>
    <cellStyle name="OUTPUTS" xfId="3" xr:uid="{D159144A-F5B1-490F-A55F-939EAE2AC181}"/>
    <cellStyle name="Percent" xfId="1" builtinId="5"/>
    <cellStyle name="REFERENCE" xfId="4" xr:uid="{D0105114-6961-4B4B-B800-1D17FA5EB504}"/>
    <cellStyle name="SPECS" xfId="5" xr:uid="{31BB2FF3-AF79-45CD-8612-7BDD61FA0807}"/>
  </cellStyles>
  <dxfs count="23">
    <dxf>
      <numFmt numFmtId="15" formatCode="0.00E+00"/>
    </dxf>
    <dxf>
      <numFmt numFmtId="15" formatCode="0.00E+00"/>
    </dxf>
    <dxf>
      <font>
        <b val="0"/>
        <i val="0"/>
        <strike val="0"/>
        <condense val="0"/>
        <extend val="0"/>
        <outline val="0"/>
        <shadow val="0"/>
        <u val="none"/>
        <vertAlign val="baseline"/>
        <sz val="10"/>
        <color auto="1"/>
        <name val="Calibri"/>
        <family val="2"/>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Calibri"/>
        <family val="2"/>
        <scheme val="none"/>
      </font>
      <alignment horizontal="center" vertical="top"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Calibri"/>
        <family val="2"/>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Calibri"/>
        <family val="2"/>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Calibri"/>
        <family val="2"/>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Calibri"/>
        <family val="2"/>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Calibri"/>
        <family val="2"/>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Calibri"/>
        <family val="2"/>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Calibri"/>
        <family val="2"/>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Calibri"/>
        <family val="2"/>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auto="1"/>
        <name val="Calibri"/>
        <family val="2"/>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auto="1"/>
        <name val="Calibri"/>
        <family val="2"/>
        <scheme val="none"/>
      </font>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Calibri"/>
        <family val="2"/>
        <scheme val="none"/>
      </font>
      <alignment horizontal="center" vertical="top" textRotation="0" wrapText="1" indent="0" justifyLastLine="0" shrinkToFit="0" readingOrder="0"/>
    </dxf>
    <dxf>
      <border outline="0">
        <bottom style="thin">
          <color indexed="64"/>
        </bottom>
      </border>
    </dxf>
    <dxf>
      <font>
        <b/>
      </font>
    </dxf>
    <dxf>
      <font>
        <b/>
        <i val="0"/>
      </font>
    </dxf>
    <dxf>
      <font>
        <color rgb="FF9C0006"/>
      </font>
      <fill>
        <patternFill>
          <bgColor rgb="FFFFC7CE"/>
        </patternFill>
      </fill>
    </dxf>
    <dxf>
      <font>
        <b/>
        <i val="0"/>
        <condense val="0"/>
        <extend val="0"/>
        <color indexed="10"/>
      </font>
    </dxf>
    <dxf>
      <font>
        <color rgb="FF9C0006"/>
      </font>
      <fill>
        <patternFill>
          <bgColor rgb="FFFFC7CE"/>
        </patternFill>
      </fill>
    </dxf>
  </dxfs>
  <tableStyles count="0" defaultTableStyle="TableStyleMedium2" defaultPivotStyle="PivotStyleLight16"/>
  <colors>
    <mruColors>
      <color rgb="FF5959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'Plot Data'!$E$1</c:f>
          <c:strCache>
            <c:ptCount val="1"/>
            <c:pt idx="0">
              <c:v>WR90 Aluminum Waveguide Attenuation</c:v>
            </c:pt>
          </c:strCache>
        </c:strRef>
      </c:tx>
      <c:overlay val="0"/>
      <c:spPr>
        <a:no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87270341207349"/>
          <c:y val="0.17171296296296296"/>
          <c:w val="0.78179396325459316"/>
          <c:h val="0.59435950714494035"/>
        </c:manualLayout>
      </c:layout>
      <c:scatterChart>
        <c:scatterStyle val="smoothMarker"/>
        <c:varyColors val="0"/>
        <c:ser>
          <c:idx val="0"/>
          <c:order val="0"/>
          <c:tx>
            <c:v>Attenuation</c:v>
          </c:tx>
          <c:spPr>
            <a:ln w="19050" cap="rnd">
              <a:solidFill>
                <a:schemeClr val="accent1"/>
              </a:solidFill>
              <a:round/>
            </a:ln>
            <a:effectLst/>
          </c:spPr>
          <c:marker>
            <c:symbol val="none"/>
          </c:marker>
          <c:xVal>
            <c:numRef>
              <c:f>'Plot Data'!$A$4:$A$79</c:f>
              <c:numCache>
                <c:formatCode>0.00E+00</c:formatCode>
                <c:ptCount val="76"/>
                <c:pt idx="0">
                  <c:v>6563697516.5791779</c:v>
                </c:pt>
                <c:pt idx="1">
                  <c:v>6629334491.7449694</c:v>
                </c:pt>
                <c:pt idx="2">
                  <c:v>6695627836.6624193</c:v>
                </c:pt>
                <c:pt idx="3">
                  <c:v>6762584115.0290432</c:v>
                </c:pt>
                <c:pt idx="4">
                  <c:v>6830209956.1793337</c:v>
                </c:pt>
                <c:pt idx="5">
                  <c:v>6898512055.741127</c:v>
                </c:pt>
                <c:pt idx="6">
                  <c:v>6967497176.2985382</c:v>
                </c:pt>
                <c:pt idx="7">
                  <c:v>7037172148.0615234</c:v>
                </c:pt>
                <c:pt idx="8">
                  <c:v>7107543869.5421391</c:v>
                </c:pt>
                <c:pt idx="9">
                  <c:v>7178619308.2375603</c:v>
                </c:pt>
                <c:pt idx="10">
                  <c:v>7250405501.3199358</c:v>
                </c:pt>
                <c:pt idx="11">
                  <c:v>7322909556.3331356</c:v>
                </c:pt>
                <c:pt idx="12">
                  <c:v>7396138651.8964672</c:v>
                </c:pt>
                <c:pt idx="13">
                  <c:v>7470100038.415432</c:v>
                </c:pt>
                <c:pt idx="14">
                  <c:v>7544801038.7995863</c:v>
                </c:pt>
                <c:pt idx="15">
                  <c:v>7620249049.187582</c:v>
                </c:pt>
                <c:pt idx="16">
                  <c:v>7696451539.6794577</c:v>
                </c:pt>
                <c:pt idx="17">
                  <c:v>7773416055.076252</c:v>
                </c:pt>
                <c:pt idx="18">
                  <c:v>7851150215.6270142</c:v>
                </c:pt>
                <c:pt idx="19">
                  <c:v>7929661717.7832842</c:v>
                </c:pt>
                <c:pt idx="20">
                  <c:v>8008958334.9611168</c:v>
                </c:pt>
                <c:pt idx="21">
                  <c:v>8089047918.3107281</c:v>
                </c:pt>
                <c:pt idx="22">
                  <c:v>8169938397.4938354</c:v>
                </c:pt>
                <c:pt idx="23">
                  <c:v>8251637781.4687738</c:v>
                </c:pt>
                <c:pt idx="24">
                  <c:v>8334154159.2834616</c:v>
                </c:pt>
                <c:pt idx="25">
                  <c:v>8417495700.876296</c:v>
                </c:pt>
                <c:pt idx="26">
                  <c:v>8501670657.8850594</c:v>
                </c:pt>
                <c:pt idx="27">
                  <c:v>8586687364.4639101</c:v>
                </c:pt>
                <c:pt idx="28">
                  <c:v>8672554238.1085491</c:v>
                </c:pt>
                <c:pt idx="29">
                  <c:v>8759279780.4896355</c:v>
                </c:pt>
                <c:pt idx="30">
                  <c:v>8846872578.2945328</c:v>
                </c:pt>
                <c:pt idx="31">
                  <c:v>8935341304.0774784</c:v>
                </c:pt>
                <c:pt idx="32">
                  <c:v>9024694717.1182537</c:v>
                </c:pt>
                <c:pt idx="33">
                  <c:v>9114941664.2894363</c:v>
                </c:pt>
                <c:pt idx="34">
                  <c:v>9206091080.9323311</c:v>
                </c:pt>
                <c:pt idx="35">
                  <c:v>9298151991.7416553</c:v>
                </c:pt>
                <c:pt idx="36">
                  <c:v>9391133511.6590729</c:v>
                </c:pt>
                <c:pt idx="37">
                  <c:v>9485044846.7756634</c:v>
                </c:pt>
                <c:pt idx="38">
                  <c:v>9579895295.2434196</c:v>
                </c:pt>
                <c:pt idx="39">
                  <c:v>9675694248.1958542</c:v>
                </c:pt>
                <c:pt idx="40">
                  <c:v>9772451190.6778126</c:v>
                </c:pt>
                <c:pt idx="41">
                  <c:v>9870175702.5845909</c:v>
                </c:pt>
                <c:pt idx="42">
                  <c:v>9968877459.6104374</c:v>
                </c:pt>
                <c:pt idx="43">
                  <c:v>10068566234.206541</c:v>
                </c:pt>
                <c:pt idx="44">
                  <c:v>10169251896.548607</c:v>
                </c:pt>
                <c:pt idx="45">
                  <c:v>10270944415.514093</c:v>
                </c:pt>
                <c:pt idx="46">
                  <c:v>10373653859.669235</c:v>
                </c:pt>
                <c:pt idx="47">
                  <c:v>10477390398.265928</c:v>
                </c:pt>
                <c:pt idx="48">
                  <c:v>10582164302.248589</c:v>
                </c:pt>
                <c:pt idx="49">
                  <c:v>10687985945.271074</c:v>
                </c:pt>
                <c:pt idx="50">
                  <c:v>10794865804.723785</c:v>
                </c:pt>
                <c:pt idx="51">
                  <c:v>10902814462.771023</c:v>
                </c:pt>
                <c:pt idx="52">
                  <c:v>11011842607.398733</c:v>
                </c:pt>
                <c:pt idx="53">
                  <c:v>11121961033.472721</c:v>
                </c:pt>
                <c:pt idx="54">
                  <c:v>11233180643.807449</c:v>
                </c:pt>
                <c:pt idx="55">
                  <c:v>11345512450.245523</c:v>
                </c:pt>
                <c:pt idx="56">
                  <c:v>11458967574.747978</c:v>
                </c:pt>
                <c:pt idx="57">
                  <c:v>11573557250.495459</c:v>
                </c:pt>
                <c:pt idx="58">
                  <c:v>11689292823.000414</c:v>
                </c:pt>
                <c:pt idx="59">
                  <c:v>11806185751.230417</c:v>
                </c:pt>
                <c:pt idx="60">
                  <c:v>11924247608.742722</c:v>
                </c:pt>
                <c:pt idx="61">
                  <c:v>12043490084.830149</c:v>
                </c:pt>
                <c:pt idx="62">
                  <c:v>12163924985.67845</c:v>
                </c:pt>
                <c:pt idx="63">
                  <c:v>12285564235.535234</c:v>
                </c:pt>
                <c:pt idx="64">
                  <c:v>12408419877.890587</c:v>
                </c:pt>
                <c:pt idx="65">
                  <c:v>12532504076.669493</c:v>
                </c:pt>
                <c:pt idx="66">
                  <c:v>12657829117.436188</c:v>
                </c:pt>
                <c:pt idx="67">
                  <c:v>12784407408.61055</c:v>
                </c:pt>
                <c:pt idx="68">
                  <c:v>12912251482.696655</c:v>
                </c:pt>
                <c:pt idx="69">
                  <c:v>13041373997.523623</c:v>
                </c:pt>
                <c:pt idx="70">
                  <c:v>13171787737.498859</c:v>
                </c:pt>
                <c:pt idx="71">
                  <c:v>13303505614.873848</c:v>
                </c:pt>
                <c:pt idx="72">
                  <c:v>13436540671.022587</c:v>
                </c:pt>
                <c:pt idx="73">
                  <c:v>13570906077.732813</c:v>
                </c:pt>
                <c:pt idx="74">
                  <c:v>13706615138.510141</c:v>
                </c:pt>
                <c:pt idx="75">
                  <c:v>13843681289.895243</c:v>
                </c:pt>
              </c:numCache>
            </c:numRef>
          </c:xVal>
          <c:yVal>
            <c:numRef>
              <c:f>'Plot Data'!$B$4:$B$79</c:f>
              <c:numCache>
                <c:formatCode>0.00E+00</c:formatCode>
                <c:ptCount val="76"/>
                <c:pt idx="0">
                  <c:v>0.99199811433592233</c:v>
                </c:pt>
                <c:pt idx="1">
                  <c:v>0.29989844884933581</c:v>
                </c:pt>
                <c:pt idx="2">
                  <c:v>0.21722726831375272</c:v>
                </c:pt>
                <c:pt idx="3">
                  <c:v>0.17893896047649235</c:v>
                </c:pt>
                <c:pt idx="4">
                  <c:v>0.15573412346277302</c:v>
                </c:pt>
                <c:pt idx="5">
                  <c:v>0.13976968284223779</c:v>
                </c:pt>
                <c:pt idx="6">
                  <c:v>0.12793497871002243</c:v>
                </c:pt>
                <c:pt idx="7">
                  <c:v>0.11871771819848614</c:v>
                </c:pt>
                <c:pt idx="8">
                  <c:v>0.11128260200240149</c:v>
                </c:pt>
                <c:pt idx="9">
                  <c:v>0.10512567416158629</c:v>
                </c:pt>
                <c:pt idx="10">
                  <c:v>9.9922466956530176E-2</c:v>
                </c:pt>
                <c:pt idx="11">
                  <c:v>9.5453371077484375E-2</c:v>
                </c:pt>
                <c:pt idx="12">
                  <c:v>9.156373428001352E-2</c:v>
                </c:pt>
                <c:pt idx="13">
                  <c:v>8.8141075157518012E-2</c:v>
                </c:pt>
                <c:pt idx="14">
                  <c:v>8.5101361946737286E-2</c:v>
                </c:pt>
                <c:pt idx="15">
                  <c:v>8.2380381081057205E-2</c:v>
                </c:pt>
                <c:pt idx="16">
                  <c:v>7.9928104854862375E-2</c:v>
                </c:pt>
                <c:pt idx="17">
                  <c:v>7.7704899653607648E-2</c:v>
                </c:pt>
                <c:pt idx="18">
                  <c:v>7.5678903693169625E-2</c:v>
                </c:pt>
                <c:pt idx="19">
                  <c:v>7.3824170551985702E-2</c:v>
                </c:pt>
                <c:pt idx="20">
                  <c:v>7.2119327490652238E-2</c:v>
                </c:pt>
                <c:pt idx="21">
                  <c:v>7.0546587935247776E-2</c:v>
                </c:pt>
                <c:pt idx="22">
                  <c:v>6.909101268517244E-2</c:v>
                </c:pt>
                <c:pt idx="23">
                  <c:v>6.7739949043034958E-2</c:v>
                </c:pt>
                <c:pt idx="24">
                  <c:v>6.6482599345805041E-2</c:v>
                </c:pt>
                <c:pt idx="25">
                  <c:v>6.5309685030592105E-2</c:v>
                </c:pt>
                <c:pt idx="26">
                  <c:v>6.4213182200479793E-2</c:v>
                </c:pt>
                <c:pt idx="27">
                  <c:v>6.3186111373264991E-2</c:v>
                </c:pt>
                <c:pt idx="28">
                  <c:v>6.2222368761909931E-2</c:v>
                </c:pt>
                <c:pt idx="29">
                  <c:v>6.131658972597534E-2</c:v>
                </c:pt>
                <c:pt idx="30">
                  <c:v>6.046403738628859E-2</c:v>
                </c:pt>
                <c:pt idx="31">
                  <c:v>5.9660511099460245E-2</c:v>
                </c:pt>
                <c:pt idx="32">
                  <c:v>5.8902270738164106E-2</c:v>
                </c:pt>
                <c:pt idx="33">
                  <c:v>5.8185973649002173E-2</c:v>
                </c:pt>
                <c:pt idx="34">
                  <c:v>5.7508621853090053E-2</c:v>
                </c:pt>
                <c:pt idx="35">
                  <c:v>5.6867517578649066E-2</c:v>
                </c:pt>
                <c:pt idx="36">
                  <c:v>5.6260225614726454E-2</c:v>
                </c:pt>
                <c:pt idx="37">
                  <c:v>5.5684541282740765E-2</c:v>
                </c:pt>
                <c:pt idx="38">
                  <c:v>5.5138463061036043E-2</c:v>
                </c:pt>
                <c:pt idx="39">
                  <c:v>5.4620169083919048E-2</c:v>
                </c:pt>
                <c:pt idx="40">
                  <c:v>5.4127996883201988E-2</c:v>
                </c:pt>
                <c:pt idx="41">
                  <c:v>5.3660425856318063E-2</c:v>
                </c:pt>
                <c:pt idx="42">
                  <c:v>5.3216062037550471E-2</c:v>
                </c:pt>
                <c:pt idx="43">
                  <c:v>5.2793624823038794E-2</c:v>
                </c:pt>
                <c:pt idx="44">
                  <c:v>5.2391935359982086E-2</c:v>
                </c:pt>
                <c:pt idx="45">
                  <c:v>5.2009906358884743E-2</c:v>
                </c:pt>
                <c:pt idx="46">
                  <c:v>5.1646533127139592E-2</c:v>
                </c:pt>
                <c:pt idx="47">
                  <c:v>5.1300885654533612E-2</c:v>
                </c:pt>
                <c:pt idx="48">
                  <c:v>5.0972101607815144E-2</c:v>
                </c:pt>
                <c:pt idx="49">
                  <c:v>5.0659380113394353E-2</c:v>
                </c:pt>
                <c:pt idx="50">
                  <c:v>5.0361976225441946E-2</c:v>
                </c:pt>
                <c:pt idx="51">
                  <c:v>5.0079195991802446E-2</c:v>
                </c:pt>
                <c:pt idx="52">
                  <c:v>4.981039204280583E-2</c:v>
                </c:pt>
                <c:pt idx="53">
                  <c:v>4.9554959638692164E-2</c:v>
                </c:pt>
                <c:pt idx="54">
                  <c:v>4.9312333120315091E-2</c:v>
                </c:pt>
                <c:pt idx="55">
                  <c:v>4.9081982715356277E-2</c:v>
                </c:pt>
                <c:pt idx="56">
                  <c:v>4.8863411658694976E-2</c:v>
                </c:pt>
                <c:pt idx="57">
                  <c:v>4.8656153591033292E-2</c:v>
                </c:pt>
                <c:pt idx="58">
                  <c:v>4.8459770204529365E-2</c:v>
                </c:pt>
                <c:pt idx="59">
                  <c:v>4.8273849108173332E-2</c:v>
                </c:pt>
                <c:pt idx="60">
                  <c:v>4.8098001889055553E-2</c:v>
                </c:pt>
                <c:pt idx="61">
                  <c:v>4.7931862348616482E-2</c:v>
                </c:pt>
                <c:pt idx="62">
                  <c:v>4.7775084895501446E-2</c:v>
                </c:pt>
                <c:pt idx="63">
                  <c:v>4.7627343078836433E-2</c:v>
                </c:pt>
                <c:pt idx="64">
                  <c:v>4.7488328247641043E-2</c:v>
                </c:pt>
                <c:pt idx="65">
                  <c:v>4.7357748323746139E-2</c:v>
                </c:pt>
                <c:pt idx="66">
                  <c:v>4.7235326677021801E-2</c:v>
                </c:pt>
                <c:pt idx="67">
                  <c:v>4.7120801092976755E-2</c:v>
                </c:pt>
                <c:pt idx="68">
                  <c:v>4.7013922823888346E-2</c:v>
                </c:pt>
                <c:pt idx="69">
                  <c:v>4.691445571558505E-2</c:v>
                </c:pt>
                <c:pt idx="70">
                  <c:v>4.6822175402848283E-2</c:v>
                </c:pt>
                <c:pt idx="71">
                  <c:v>4.6736868567145463E-2</c:v>
                </c:pt>
                <c:pt idx="72">
                  <c:v>4.6658332251061023E-2</c:v>
                </c:pt>
                <c:pt idx="73">
                  <c:v>4.6586373224372986E-2</c:v>
                </c:pt>
                <c:pt idx="74">
                  <c:v>4.6520807397234104E-2</c:v>
                </c:pt>
                <c:pt idx="75">
                  <c:v>4.6461459276372706E-2</c:v>
                </c:pt>
              </c:numCache>
            </c:numRef>
          </c:yVal>
          <c:smooth val="1"/>
          <c:extLst>
            <c:ext xmlns:c16="http://schemas.microsoft.com/office/drawing/2014/chart" uri="{C3380CC4-5D6E-409C-BE32-E72D297353CC}">
              <c16:uniqueId val="{00000000-ECBE-4601-8C47-B3BD33C66848}"/>
            </c:ext>
          </c:extLst>
        </c:ser>
        <c:dLbls>
          <c:showLegendKey val="0"/>
          <c:showVal val="0"/>
          <c:showCatName val="0"/>
          <c:showSerName val="0"/>
          <c:showPercent val="0"/>
          <c:showBubbleSize val="0"/>
        </c:dLbls>
        <c:axId val="680134768"/>
        <c:axId val="680143888"/>
      </c:scatterChart>
      <c:scatterChart>
        <c:scatterStyle val="lineMarker"/>
        <c:varyColors val="0"/>
        <c:ser>
          <c:idx val="1"/>
          <c:order val="1"/>
          <c:tx>
            <c:v>Atten @ Fmin</c:v>
          </c:tx>
          <c:spPr>
            <a:ln w="25400" cap="rnd">
              <a:noFill/>
              <a:round/>
            </a:ln>
            <a:effectLst/>
          </c:spPr>
          <c:marker>
            <c:symbol val="circle"/>
            <c:size val="6"/>
            <c:spPr>
              <a:solidFill>
                <a:schemeClr val="accent2"/>
              </a:solidFill>
              <a:ln w="9525">
                <a:noFill/>
              </a:ln>
              <a:effectLst/>
            </c:spPr>
          </c:marker>
          <c:xVal>
            <c:numRef>
              <c:f>'Waveguide Loss'!$C$4</c:f>
              <c:numCache>
                <c:formatCode>##0.000E+0</c:formatCode>
                <c:ptCount val="1"/>
                <c:pt idx="0">
                  <c:v>9900000000</c:v>
                </c:pt>
              </c:numCache>
            </c:numRef>
          </c:xVal>
          <c:yVal>
            <c:numRef>
              <c:f>'Waveguide Loss'!$G$9</c:f>
              <c:numCache>
                <c:formatCode>0.00000</c:formatCode>
                <c:ptCount val="1"/>
                <c:pt idx="0">
                  <c:v>5.3523296816223247E-2</c:v>
                </c:pt>
              </c:numCache>
            </c:numRef>
          </c:yVal>
          <c:smooth val="0"/>
          <c:extLst>
            <c:ext xmlns:c16="http://schemas.microsoft.com/office/drawing/2014/chart" uri="{C3380CC4-5D6E-409C-BE32-E72D297353CC}">
              <c16:uniqueId val="{00000001-ECBE-4601-8C47-B3BD33C66848}"/>
            </c:ext>
          </c:extLst>
        </c:ser>
        <c:ser>
          <c:idx val="2"/>
          <c:order val="2"/>
          <c:tx>
            <c:v>Atten @ Fmax</c:v>
          </c:tx>
          <c:spPr>
            <a:ln w="25400" cap="rnd">
              <a:noFill/>
              <a:round/>
            </a:ln>
            <a:effectLst/>
          </c:spPr>
          <c:marker>
            <c:symbol val="circle"/>
            <c:size val="6"/>
            <c:spPr>
              <a:solidFill>
                <a:schemeClr val="accent6">
                  <a:lumMod val="60000"/>
                  <a:lumOff val="40000"/>
                </a:schemeClr>
              </a:solidFill>
              <a:ln w="9525">
                <a:noFill/>
              </a:ln>
              <a:effectLst/>
            </c:spPr>
          </c:marker>
          <c:xVal>
            <c:numRef>
              <c:f>'Waveguide Loss'!$C$5</c:f>
              <c:numCache>
                <c:formatCode>##0.000E+0</c:formatCode>
                <c:ptCount val="1"/>
                <c:pt idx="0">
                  <c:v>11000000000</c:v>
                </c:pt>
              </c:numCache>
            </c:numRef>
          </c:xVal>
          <c:yVal>
            <c:numRef>
              <c:f>'Waveguide Loss'!$G$8</c:f>
              <c:numCache>
                <c:formatCode>0.00000</c:formatCode>
                <c:ptCount val="1"/>
                <c:pt idx="0">
                  <c:v>4.9838805065519541E-2</c:v>
                </c:pt>
              </c:numCache>
            </c:numRef>
          </c:yVal>
          <c:smooth val="0"/>
          <c:extLst>
            <c:ext xmlns:c16="http://schemas.microsoft.com/office/drawing/2014/chart" uri="{C3380CC4-5D6E-409C-BE32-E72D297353CC}">
              <c16:uniqueId val="{00000002-ECBE-4601-8C47-B3BD33C66848}"/>
            </c:ext>
          </c:extLst>
        </c:ser>
        <c:dLbls>
          <c:showLegendKey val="0"/>
          <c:showVal val="0"/>
          <c:showCatName val="0"/>
          <c:showSerName val="0"/>
          <c:showPercent val="0"/>
          <c:showBubbleSize val="0"/>
        </c:dLbls>
        <c:axId val="680134768"/>
        <c:axId val="680143888"/>
      </c:scatterChart>
      <c:valAx>
        <c:axId val="680134768"/>
        <c:scaling>
          <c:orientation val="minMax"/>
          <c:min val="60000000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Frequency</a:t>
                </a:r>
              </a:p>
            </c:rich>
          </c:tx>
          <c:layout>
            <c:manualLayout>
              <c:xMode val="edge"/>
              <c:yMode val="edge"/>
              <c:x val="0.42824868766404206"/>
              <c:y val="0.8694211140274132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0143888"/>
        <c:crosses val="autoZero"/>
        <c:crossBetween val="midCat"/>
        <c:majorUnit val="1000000000"/>
        <c:dispUnits>
          <c:builtInUnit val="billions"/>
          <c:dispUnitsLbl>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GHz</a:t>
                  </a:r>
                </a:p>
              </c:rich>
            </c:tx>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valAx>
        <c:axId val="680143888"/>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Attenuation (dB/ft)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0134768"/>
        <c:crosses val="autoZero"/>
        <c:crossBetween val="midCat"/>
      </c:valAx>
      <c:spPr>
        <a:noFill/>
        <a:ln>
          <a:noFill/>
        </a:ln>
        <a:effectLst/>
      </c:spPr>
    </c:plotArea>
    <c:legend>
      <c:legendPos val="r"/>
      <c:layout>
        <c:manualLayout>
          <c:xMode val="edge"/>
          <c:yMode val="edge"/>
          <c:x val="0.66992255408107415"/>
          <c:y val="0.18053997577225925"/>
          <c:w val="0.22987305158283786"/>
          <c:h val="0.20663409930901494"/>
        </c:manualLayout>
      </c:layout>
      <c:overlay val="0"/>
      <c:spPr>
        <a:solidFill>
          <a:schemeClr val="bg1">
            <a:lumMod val="95000"/>
          </a:schemeClr>
        </a:solid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'Plot Data'!$F$3</c:f>
          <c:strCache>
            <c:ptCount val="1"/>
            <c:pt idx="0">
              <c:v>Operating Frequency Within Useable Waveguide Bandwidth</c:v>
            </c:pt>
          </c:strCache>
        </c:strRef>
      </c:tx>
      <c:layout>
        <c:manualLayout>
          <c:xMode val="edge"/>
          <c:yMode val="edge"/>
          <c:x val="0.13847850958429528"/>
          <c:y val="6.4815101237345338E-2"/>
        </c:manualLayout>
      </c:layout>
      <c:overlay val="0"/>
      <c:spPr>
        <a:no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9928684700209914E-2"/>
          <c:y val="0.48758577052868401"/>
          <c:w val="0.84029855643044615"/>
          <c:h val="9.8742969628796404E-2"/>
        </c:manualLayout>
      </c:layout>
      <c:barChart>
        <c:barDir val="bar"/>
        <c:grouping val="stacked"/>
        <c:varyColors val="0"/>
        <c:ser>
          <c:idx val="0"/>
          <c:order val="0"/>
          <c:spPr>
            <a:noFill/>
            <a:ln>
              <a:noFill/>
            </a:ln>
            <a:effectLst/>
          </c:spPr>
          <c:invertIfNegative val="0"/>
          <c:val>
            <c:numRef>
              <c:f>'Plot Data'!$F$5:$G$5</c:f>
              <c:numCache>
                <c:formatCode>##0.000E+0</c:formatCode>
                <c:ptCount val="2"/>
                <c:pt idx="0">
                  <c:v>8196425470.2537193</c:v>
                </c:pt>
                <c:pt idx="1">
                  <c:v>9900000000</c:v>
                </c:pt>
              </c:numCache>
            </c:numRef>
          </c:val>
          <c:extLst>
            <c:ext xmlns:c16="http://schemas.microsoft.com/office/drawing/2014/chart" uri="{C3380CC4-5D6E-409C-BE32-E72D297353CC}">
              <c16:uniqueId val="{00000000-0FBC-4105-82EB-1CD57725FB67}"/>
            </c:ext>
          </c:extLst>
        </c:ser>
        <c:ser>
          <c:idx val="1"/>
          <c:order val="1"/>
          <c:spPr>
            <a:solidFill>
              <a:schemeClr val="accent2"/>
            </a:solidFill>
            <a:ln>
              <a:noFill/>
            </a:ln>
            <a:effectLst/>
          </c:spPr>
          <c:invertIfNegative val="0"/>
          <c:dPt>
            <c:idx val="0"/>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2-0FBC-4105-82EB-1CD57725FB67}"/>
              </c:ext>
            </c:extLst>
          </c:dPt>
          <c:dPt>
            <c:idx val="1"/>
            <c:invertIfNegative val="0"/>
            <c:bubble3D val="0"/>
            <c:spPr>
              <a:solidFill>
                <a:schemeClr val="accent4">
                  <a:lumMod val="60000"/>
                  <a:lumOff val="40000"/>
                </a:schemeClr>
              </a:solidFill>
              <a:ln>
                <a:noFill/>
              </a:ln>
              <a:effectLst/>
            </c:spPr>
            <c:extLst>
              <c:ext xmlns:c16="http://schemas.microsoft.com/office/drawing/2014/chart" uri="{C3380CC4-5D6E-409C-BE32-E72D297353CC}">
                <c16:uniqueId val="{00000004-0FBC-4105-82EB-1CD57725FB67}"/>
              </c:ext>
            </c:extLst>
          </c:dPt>
          <c:val>
            <c:numRef>
              <c:f>'Plot Data'!$F$6:$G$6</c:f>
              <c:numCache>
                <c:formatCode>##0.000E+0</c:formatCode>
                <c:ptCount val="2"/>
                <c:pt idx="0">
                  <c:v>4196569840.7699032</c:v>
                </c:pt>
                <c:pt idx="1">
                  <c:v>1100000000</c:v>
                </c:pt>
              </c:numCache>
            </c:numRef>
          </c:val>
          <c:extLst>
            <c:ext xmlns:c16="http://schemas.microsoft.com/office/drawing/2014/chart" uri="{C3380CC4-5D6E-409C-BE32-E72D297353CC}">
              <c16:uniqueId val="{00000005-0FBC-4105-82EB-1CD57725FB67}"/>
            </c:ext>
          </c:extLst>
        </c:ser>
        <c:dLbls>
          <c:showLegendKey val="0"/>
          <c:showVal val="0"/>
          <c:showCatName val="0"/>
          <c:showSerName val="0"/>
          <c:showPercent val="0"/>
          <c:showBubbleSize val="0"/>
        </c:dLbls>
        <c:gapWidth val="0"/>
        <c:overlap val="100"/>
        <c:axId val="799199839"/>
        <c:axId val="799178719"/>
      </c:barChart>
      <c:catAx>
        <c:axId val="799199839"/>
        <c:scaling>
          <c:orientation val="minMax"/>
        </c:scaling>
        <c:delete val="1"/>
        <c:axPos val="l"/>
        <c:majorTickMark val="none"/>
        <c:minorTickMark val="none"/>
        <c:tickLblPos val="nextTo"/>
        <c:crossAx val="799178719"/>
        <c:crosses val="autoZero"/>
        <c:auto val="1"/>
        <c:lblAlgn val="ctr"/>
        <c:lblOffset val="100"/>
        <c:noMultiLvlLbl val="0"/>
      </c:catAx>
      <c:valAx>
        <c:axId val="799178719"/>
        <c:scaling>
          <c:orientation val="minMax"/>
          <c:min val="6000000000"/>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Frequency</a:t>
                </a:r>
              </a:p>
            </c:rich>
          </c:tx>
          <c:layout>
            <c:manualLayout>
              <c:xMode val="edge"/>
              <c:yMode val="edge"/>
              <c:x val="0.42670198821189254"/>
              <c:y val="0.810598987626546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out"/>
        <c:minorTickMark val="in"/>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9199839"/>
        <c:crosses val="autoZero"/>
        <c:crossBetween val="between"/>
        <c:majorUnit val="1000000000"/>
        <c:dispUnits>
          <c:builtInUnit val="billions"/>
          <c:dispUnitsLbl>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GHz</a:t>
                  </a:r>
                </a:p>
              </c:rich>
            </c:tx>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63500</xdr:colOff>
      <xdr:row>12</xdr:row>
      <xdr:rowOff>120648</xdr:rowOff>
    </xdr:from>
    <xdr:to>
      <xdr:col>4</xdr:col>
      <xdr:colOff>139699</xdr:colOff>
      <xdr:row>19</xdr:row>
      <xdr:rowOff>112986</xdr:rowOff>
    </xdr:to>
    <xdr:grpSp>
      <xdr:nvGrpSpPr>
        <xdr:cNvPr id="12" name="Group 11">
          <a:extLst>
            <a:ext uri="{FF2B5EF4-FFF2-40B4-BE49-F238E27FC236}">
              <a16:creationId xmlns:a16="http://schemas.microsoft.com/office/drawing/2014/main" id="{0E6BAF3A-A98C-8BA5-EC1F-21D7B84EE3B6}"/>
            </a:ext>
          </a:extLst>
        </xdr:cNvPr>
        <xdr:cNvGrpSpPr/>
      </xdr:nvGrpSpPr>
      <xdr:grpSpPr>
        <a:xfrm>
          <a:off x="63500" y="2330448"/>
          <a:ext cx="4070349" cy="1281388"/>
          <a:chOff x="-101599" y="2101850"/>
          <a:chExt cx="3670299" cy="1191498"/>
        </a:xfrm>
      </xdr:grpSpPr>
      <mc:AlternateContent xmlns:mc="http://schemas.openxmlformats.org/markup-compatibility/2006" xmlns:a14="http://schemas.microsoft.com/office/drawing/2010/main">
        <mc:Choice Requires="a14">
          <xdr:sp macro="" textlink="">
            <xdr:nvSpPr>
              <xdr:cNvPr id="9" name="TextBox 11">
                <a:extLst>
                  <a:ext uri="{FF2B5EF4-FFF2-40B4-BE49-F238E27FC236}">
                    <a16:creationId xmlns:a16="http://schemas.microsoft.com/office/drawing/2014/main" id="{FEF0E92F-7407-70B3-2DE2-EC3CFEE3D48C}"/>
                  </a:ext>
                </a:extLst>
              </xdr:cNvPr>
              <xdr:cNvSpPr txBox="1"/>
            </xdr:nvSpPr>
            <xdr:spPr>
              <a:xfrm>
                <a:off x="-101599" y="2381250"/>
                <a:ext cx="3670299" cy="912098"/>
              </a:xfrm>
              <a:prstGeom prst="rect">
                <a:avLst/>
              </a:prstGeom>
              <a:noFill/>
            </xdr:spPr>
            <xdr:txBody>
              <a:bodyPr wrap="square" lIns="0" tIns="0" rIns="0" bIns="0" rtlCol="0">
                <a:spAutoFit/>
              </a:bodyPr>
              <a:lstStyle>
                <a:defPPr>
                  <a:defRPr lang="en-US"/>
                </a:defPPr>
                <a:lvl1pPr marL="0" algn="l" defTabSz="1219170" rtl="0" eaLnBrk="1" latinLnBrk="0" hangingPunct="1">
                  <a:defRPr sz="2400" kern="1200">
                    <a:solidFill>
                      <a:schemeClr val="tx1"/>
                    </a:solidFill>
                    <a:latin typeface="+mn-lt"/>
                    <a:ea typeface="+mn-ea"/>
                    <a:cs typeface="+mn-cs"/>
                  </a:defRPr>
                </a:lvl1pPr>
                <a:lvl2pPr marL="609585" algn="l" defTabSz="1219170" rtl="0" eaLnBrk="1" latinLnBrk="0" hangingPunct="1">
                  <a:defRPr sz="2400" kern="1200">
                    <a:solidFill>
                      <a:schemeClr val="tx1"/>
                    </a:solidFill>
                    <a:latin typeface="+mn-lt"/>
                    <a:ea typeface="+mn-ea"/>
                    <a:cs typeface="+mn-cs"/>
                  </a:defRPr>
                </a:lvl2pPr>
                <a:lvl3pPr marL="1219170" algn="l" defTabSz="1219170" rtl="0" eaLnBrk="1" latinLnBrk="0" hangingPunct="1">
                  <a:defRPr sz="2400" kern="1200">
                    <a:solidFill>
                      <a:schemeClr val="tx1"/>
                    </a:solidFill>
                    <a:latin typeface="+mn-lt"/>
                    <a:ea typeface="+mn-ea"/>
                    <a:cs typeface="+mn-cs"/>
                  </a:defRPr>
                </a:lvl3pPr>
                <a:lvl4pPr marL="1828754" algn="l" defTabSz="1219170" rtl="0" eaLnBrk="1" latinLnBrk="0" hangingPunct="1">
                  <a:defRPr sz="2400" kern="1200">
                    <a:solidFill>
                      <a:schemeClr val="tx1"/>
                    </a:solidFill>
                    <a:latin typeface="+mn-lt"/>
                    <a:ea typeface="+mn-ea"/>
                    <a:cs typeface="+mn-cs"/>
                  </a:defRPr>
                </a:lvl4pPr>
                <a:lvl5pPr marL="2438339" algn="l" defTabSz="1219170" rtl="0" eaLnBrk="1" latinLnBrk="0" hangingPunct="1">
                  <a:defRPr sz="2400" kern="1200">
                    <a:solidFill>
                      <a:schemeClr val="tx1"/>
                    </a:solidFill>
                    <a:latin typeface="+mn-lt"/>
                    <a:ea typeface="+mn-ea"/>
                    <a:cs typeface="+mn-cs"/>
                  </a:defRPr>
                </a:lvl5pPr>
                <a:lvl6pPr marL="3047924" algn="l" defTabSz="1219170" rtl="0" eaLnBrk="1" latinLnBrk="0" hangingPunct="1">
                  <a:defRPr sz="2400" kern="1200">
                    <a:solidFill>
                      <a:schemeClr val="tx1"/>
                    </a:solidFill>
                    <a:latin typeface="+mn-lt"/>
                    <a:ea typeface="+mn-ea"/>
                    <a:cs typeface="+mn-cs"/>
                  </a:defRPr>
                </a:lvl6pPr>
                <a:lvl7pPr marL="3657509" algn="l" defTabSz="1219170" rtl="0" eaLnBrk="1" latinLnBrk="0" hangingPunct="1">
                  <a:defRPr sz="2400" kern="1200">
                    <a:solidFill>
                      <a:schemeClr val="tx1"/>
                    </a:solidFill>
                    <a:latin typeface="+mn-lt"/>
                    <a:ea typeface="+mn-ea"/>
                    <a:cs typeface="+mn-cs"/>
                  </a:defRPr>
                </a:lvl7pPr>
                <a:lvl8pPr marL="4267093" algn="l" defTabSz="1219170" rtl="0" eaLnBrk="1" latinLnBrk="0" hangingPunct="1">
                  <a:defRPr sz="2400" kern="1200">
                    <a:solidFill>
                      <a:schemeClr val="tx1"/>
                    </a:solidFill>
                    <a:latin typeface="+mn-lt"/>
                    <a:ea typeface="+mn-ea"/>
                    <a:cs typeface="+mn-cs"/>
                  </a:defRPr>
                </a:lvl8pPr>
                <a:lvl9pPr marL="4876678" algn="l" defTabSz="1219170" rtl="0" eaLnBrk="1" latinLnBrk="0" hangingPunct="1">
                  <a:defRPr sz="2400" kern="1200">
                    <a:solidFill>
                      <a:schemeClr val="tx1"/>
                    </a:solidFill>
                    <a:latin typeface="+mn-lt"/>
                    <a:ea typeface="+mn-ea"/>
                    <a:cs typeface="+mn-cs"/>
                  </a:defRPr>
                </a:lvl9pPr>
              </a:lstStyle>
              <a:p>
                <a:pPr/>
                <a14:m>
                  <m:oMathPara xmlns:m="http://schemas.openxmlformats.org/officeDocument/2006/math">
                    <m:oMathParaPr>
                      <m:jc m:val="center"/>
                    </m:oMathParaPr>
                    <m:oMath xmlns:m="http://schemas.openxmlformats.org/officeDocument/2006/math">
                      <m:r>
                        <a:rPr lang="en-US" sz="1200" b="0" i="1">
                          <a:latin typeface="Cambria Math" panose="02040503050406030204" pitchFamily="18" charset="0"/>
                          <a:ea typeface="Cambria Math" panose="02040503050406030204" pitchFamily="18" charset="0"/>
                          <a:cs typeface="Arial" pitchFamily="34" charset="0"/>
                        </a:rPr>
                        <m:t>𝐴𝑡𝑡𝑛</m:t>
                      </m:r>
                      <m:r>
                        <a:rPr lang="en-US" sz="1200" b="0" i="1">
                          <a:latin typeface="Cambria Math" panose="02040503050406030204" pitchFamily="18" charset="0"/>
                          <a:cs typeface="Arial" pitchFamily="34" charset="0"/>
                        </a:rPr>
                        <m:t>=</m:t>
                      </m:r>
                      <m:f>
                        <m:fPr>
                          <m:ctrlPr>
                            <a:rPr lang="en-US" sz="1200" b="0" i="1">
                              <a:latin typeface="Cambria Math" panose="02040503050406030204" pitchFamily="18" charset="0"/>
                              <a:cs typeface="Arial" pitchFamily="34" charset="0"/>
                            </a:rPr>
                          </m:ctrlPr>
                        </m:fPr>
                        <m:num>
                          <m:r>
                            <a:rPr lang="en-US" sz="1200" b="0" i="1">
                              <a:latin typeface="Cambria Math" panose="02040503050406030204" pitchFamily="18" charset="0"/>
                              <a:cs typeface="Arial" pitchFamily="34" charset="0"/>
                            </a:rPr>
                            <m:t>0.01107</m:t>
                          </m:r>
                        </m:num>
                        <m:den>
                          <m:sSup>
                            <m:sSupPr>
                              <m:ctrlPr>
                                <a:rPr lang="en-US" sz="1200" b="0" i="1">
                                  <a:latin typeface="Cambria Math" panose="02040503050406030204" pitchFamily="18" charset="0"/>
                                  <a:cs typeface="Arial" pitchFamily="34" charset="0"/>
                                </a:rPr>
                              </m:ctrlPr>
                            </m:sSupPr>
                            <m:e>
                              <m:r>
                                <a:rPr lang="en-US" sz="1200" b="0" i="1">
                                  <a:latin typeface="Cambria Math" panose="02040503050406030204" pitchFamily="18" charset="0"/>
                                  <a:cs typeface="Arial" pitchFamily="34" charset="0"/>
                                </a:rPr>
                                <m:t>𝑎</m:t>
                              </m:r>
                            </m:e>
                            <m:sup>
                              <m:f>
                                <m:fPr>
                                  <m:type m:val="skw"/>
                                  <m:ctrlPr>
                                    <a:rPr lang="en-US" sz="1200" b="0" i="1">
                                      <a:latin typeface="Cambria Math" panose="02040503050406030204" pitchFamily="18" charset="0"/>
                                      <a:cs typeface="Arial" pitchFamily="34" charset="0"/>
                                    </a:rPr>
                                  </m:ctrlPr>
                                </m:fPr>
                                <m:num>
                                  <m:r>
                                    <a:rPr lang="en-US" sz="1200" b="0" i="1">
                                      <a:latin typeface="Cambria Math" panose="02040503050406030204" pitchFamily="18" charset="0"/>
                                      <a:cs typeface="Arial" pitchFamily="34" charset="0"/>
                                    </a:rPr>
                                    <m:t>3</m:t>
                                  </m:r>
                                </m:num>
                                <m:den>
                                  <m:r>
                                    <a:rPr lang="en-US" sz="1200" b="0" i="1">
                                      <a:latin typeface="Cambria Math" panose="02040503050406030204" pitchFamily="18" charset="0"/>
                                      <a:cs typeface="Arial" pitchFamily="34" charset="0"/>
                                    </a:rPr>
                                    <m:t>2</m:t>
                                  </m:r>
                                </m:den>
                              </m:f>
                            </m:sup>
                          </m:sSup>
                        </m:den>
                      </m:f>
                      <m:d>
                        <m:dPr>
                          <m:begChr m:val="["/>
                          <m:endChr m:val="]"/>
                          <m:ctrlPr>
                            <a:rPr lang="en-US" sz="1200" b="0" i="1">
                              <a:latin typeface="Cambria Math" panose="02040503050406030204" pitchFamily="18" charset="0"/>
                              <a:cs typeface="Arial" pitchFamily="34" charset="0"/>
                            </a:rPr>
                          </m:ctrlPr>
                        </m:dPr>
                        <m:e>
                          <m:f>
                            <m:fPr>
                              <m:ctrlPr>
                                <a:rPr lang="en-US" sz="1200" b="0" i="1">
                                  <a:latin typeface="Cambria Math" panose="02040503050406030204" pitchFamily="18" charset="0"/>
                                  <a:cs typeface="Arial" pitchFamily="34" charset="0"/>
                                </a:rPr>
                              </m:ctrlPr>
                            </m:fPr>
                            <m:num>
                              <m:f>
                                <m:fPr>
                                  <m:ctrlPr>
                                    <a:rPr lang="en-US" sz="1200" b="0" i="1">
                                      <a:latin typeface="Cambria Math" panose="02040503050406030204" pitchFamily="18" charset="0"/>
                                      <a:cs typeface="Arial" pitchFamily="34" charset="0"/>
                                    </a:rPr>
                                  </m:ctrlPr>
                                </m:fPr>
                                <m:num>
                                  <m:r>
                                    <a:rPr lang="en-US" sz="1200" b="0" i="1">
                                      <a:latin typeface="Cambria Math" panose="02040503050406030204" pitchFamily="18" charset="0"/>
                                      <a:cs typeface="Arial" pitchFamily="34" charset="0"/>
                                    </a:rPr>
                                    <m:t>1</m:t>
                                  </m:r>
                                </m:num>
                                <m:den>
                                  <m:r>
                                    <a:rPr lang="en-US" sz="1200" b="0" i="1">
                                      <a:latin typeface="Cambria Math" panose="02040503050406030204" pitchFamily="18" charset="0"/>
                                      <a:cs typeface="Arial" pitchFamily="34" charset="0"/>
                                    </a:rPr>
                                    <m:t>2</m:t>
                                  </m:r>
                                </m:den>
                              </m:f>
                              <m:f>
                                <m:fPr>
                                  <m:ctrlPr>
                                    <a:rPr lang="en-US" sz="1200" b="0" i="1">
                                      <a:latin typeface="Cambria Math" panose="02040503050406030204" pitchFamily="18" charset="0"/>
                                      <a:cs typeface="Arial" pitchFamily="34" charset="0"/>
                                    </a:rPr>
                                  </m:ctrlPr>
                                </m:fPr>
                                <m:num>
                                  <m:r>
                                    <a:rPr lang="en-US" sz="1200" b="0" i="1">
                                      <a:latin typeface="Cambria Math" panose="02040503050406030204" pitchFamily="18" charset="0"/>
                                      <a:cs typeface="Arial" pitchFamily="34" charset="0"/>
                                    </a:rPr>
                                    <m:t>𝑎</m:t>
                                  </m:r>
                                </m:num>
                                <m:den>
                                  <m:r>
                                    <a:rPr lang="en-US" sz="1200" b="0" i="1">
                                      <a:latin typeface="Cambria Math" panose="02040503050406030204" pitchFamily="18" charset="0"/>
                                      <a:cs typeface="Arial" pitchFamily="34" charset="0"/>
                                    </a:rPr>
                                    <m:t>𝑏</m:t>
                                  </m:r>
                                </m:den>
                              </m:f>
                              <m:sSup>
                                <m:sSupPr>
                                  <m:ctrlPr>
                                    <a:rPr lang="en-US" sz="1200" b="0" i="1">
                                      <a:latin typeface="Cambria Math" panose="02040503050406030204" pitchFamily="18" charset="0"/>
                                      <a:cs typeface="Arial" pitchFamily="34" charset="0"/>
                                    </a:rPr>
                                  </m:ctrlPr>
                                </m:sSupPr>
                                <m:e>
                                  <m:d>
                                    <m:dPr>
                                      <m:ctrlPr>
                                        <a:rPr lang="en-US" sz="1200" b="0" i="1">
                                          <a:latin typeface="Cambria Math" panose="02040503050406030204" pitchFamily="18" charset="0"/>
                                          <a:cs typeface="Arial" pitchFamily="34" charset="0"/>
                                        </a:rPr>
                                      </m:ctrlPr>
                                    </m:dPr>
                                    <m:e>
                                      <m:f>
                                        <m:fPr>
                                          <m:ctrlPr>
                                            <a:rPr lang="en-US" sz="1200" b="0" i="1">
                                              <a:latin typeface="Cambria Math" panose="02040503050406030204" pitchFamily="18" charset="0"/>
                                              <a:cs typeface="Arial" pitchFamily="34" charset="0"/>
                                            </a:rPr>
                                          </m:ctrlPr>
                                        </m:fPr>
                                        <m:num>
                                          <m:r>
                                            <a:rPr lang="en-US" sz="1200" b="0" i="1">
                                              <a:latin typeface="Cambria Math" panose="02040503050406030204" pitchFamily="18" charset="0"/>
                                              <a:cs typeface="Arial" pitchFamily="34" charset="0"/>
                                            </a:rPr>
                                            <m:t>𝑓</m:t>
                                          </m:r>
                                        </m:num>
                                        <m:den>
                                          <m:sSub>
                                            <m:sSubPr>
                                              <m:ctrlPr>
                                                <a:rPr lang="en-US" sz="1200" b="0" i="1">
                                                  <a:latin typeface="Cambria Math" panose="02040503050406030204" pitchFamily="18" charset="0"/>
                                                  <a:cs typeface="Arial" pitchFamily="34" charset="0"/>
                                                </a:rPr>
                                              </m:ctrlPr>
                                            </m:sSubPr>
                                            <m:e>
                                              <m:r>
                                                <a:rPr lang="en-US" sz="1200" b="0" i="1">
                                                  <a:latin typeface="Cambria Math" panose="02040503050406030204" pitchFamily="18" charset="0"/>
                                                  <a:cs typeface="Arial" pitchFamily="34" charset="0"/>
                                                </a:rPr>
                                                <m:t>𝑓</m:t>
                                              </m:r>
                                            </m:e>
                                            <m:sub>
                                              <m:r>
                                                <a:rPr lang="en-US" sz="1200" b="0" i="1">
                                                  <a:latin typeface="Cambria Math" panose="02040503050406030204" pitchFamily="18" charset="0"/>
                                                  <a:cs typeface="Arial" pitchFamily="34" charset="0"/>
                                                </a:rPr>
                                                <m:t>𝐶</m:t>
                                              </m:r>
                                            </m:sub>
                                          </m:sSub>
                                        </m:den>
                                      </m:f>
                                    </m:e>
                                  </m:d>
                                </m:e>
                                <m:sup>
                                  <m:f>
                                    <m:fPr>
                                      <m:type m:val="skw"/>
                                      <m:ctrlPr>
                                        <a:rPr lang="en-US" sz="1200" b="0" i="1">
                                          <a:latin typeface="Cambria Math" panose="02040503050406030204" pitchFamily="18" charset="0"/>
                                          <a:cs typeface="Arial" pitchFamily="34" charset="0"/>
                                        </a:rPr>
                                      </m:ctrlPr>
                                    </m:fPr>
                                    <m:num>
                                      <m:r>
                                        <a:rPr lang="en-US" sz="1200" b="0" i="1">
                                          <a:latin typeface="Cambria Math" panose="02040503050406030204" pitchFamily="18" charset="0"/>
                                          <a:cs typeface="Arial" pitchFamily="34" charset="0"/>
                                        </a:rPr>
                                        <m:t>3</m:t>
                                      </m:r>
                                    </m:num>
                                    <m:den>
                                      <m:r>
                                        <a:rPr lang="en-US" sz="1200" b="0" i="1">
                                          <a:latin typeface="Cambria Math" panose="02040503050406030204" pitchFamily="18" charset="0"/>
                                          <a:cs typeface="Arial" pitchFamily="34" charset="0"/>
                                        </a:rPr>
                                        <m:t>2</m:t>
                                      </m:r>
                                    </m:den>
                                  </m:f>
                                </m:sup>
                              </m:sSup>
                              <m:r>
                                <a:rPr lang="en-US" sz="1200" b="0" i="1">
                                  <a:latin typeface="Cambria Math" panose="02040503050406030204" pitchFamily="18" charset="0"/>
                                  <a:cs typeface="Arial" pitchFamily="34" charset="0"/>
                                </a:rPr>
                                <m:t>+</m:t>
                              </m:r>
                              <m:sSup>
                                <m:sSupPr>
                                  <m:ctrlPr>
                                    <a:rPr lang="en-US" sz="1200" b="0" i="1">
                                      <a:latin typeface="Cambria Math" panose="02040503050406030204" pitchFamily="18" charset="0"/>
                                      <a:cs typeface="Arial" pitchFamily="34" charset="0"/>
                                    </a:rPr>
                                  </m:ctrlPr>
                                </m:sSupPr>
                                <m:e>
                                  <m:d>
                                    <m:dPr>
                                      <m:ctrlPr>
                                        <a:rPr lang="en-US" sz="1200" b="0" i="1">
                                          <a:latin typeface="Cambria Math" panose="02040503050406030204" pitchFamily="18" charset="0"/>
                                          <a:cs typeface="Arial" pitchFamily="34" charset="0"/>
                                        </a:rPr>
                                      </m:ctrlPr>
                                    </m:dPr>
                                    <m:e>
                                      <m:f>
                                        <m:fPr>
                                          <m:ctrlPr>
                                            <a:rPr lang="en-US" sz="1200" i="1">
                                              <a:latin typeface="Cambria Math" panose="02040503050406030204" pitchFamily="18" charset="0"/>
                                              <a:cs typeface="Arial" pitchFamily="34" charset="0"/>
                                            </a:rPr>
                                          </m:ctrlPr>
                                        </m:fPr>
                                        <m:num>
                                          <m:r>
                                            <a:rPr lang="en-US" sz="1200" i="1">
                                              <a:latin typeface="Cambria Math" panose="02040503050406030204" pitchFamily="18" charset="0"/>
                                              <a:cs typeface="Arial" pitchFamily="34" charset="0"/>
                                            </a:rPr>
                                            <m:t>𝑓</m:t>
                                          </m:r>
                                        </m:num>
                                        <m:den>
                                          <m:sSub>
                                            <m:sSubPr>
                                              <m:ctrlPr>
                                                <a:rPr lang="en-US" sz="1200" i="1">
                                                  <a:latin typeface="Cambria Math" panose="02040503050406030204" pitchFamily="18" charset="0"/>
                                                  <a:cs typeface="Arial" pitchFamily="34" charset="0"/>
                                                </a:rPr>
                                              </m:ctrlPr>
                                            </m:sSubPr>
                                            <m:e>
                                              <m:r>
                                                <a:rPr lang="en-US" sz="1200" i="1">
                                                  <a:latin typeface="Cambria Math" panose="02040503050406030204" pitchFamily="18" charset="0"/>
                                                  <a:cs typeface="Arial" pitchFamily="34" charset="0"/>
                                                </a:rPr>
                                                <m:t>𝑓</m:t>
                                              </m:r>
                                            </m:e>
                                            <m:sub>
                                              <m:r>
                                                <a:rPr lang="en-US" sz="1200" i="1">
                                                  <a:latin typeface="Cambria Math" panose="02040503050406030204" pitchFamily="18" charset="0"/>
                                                  <a:cs typeface="Arial" pitchFamily="34" charset="0"/>
                                                </a:rPr>
                                                <m:t>𝐶</m:t>
                                              </m:r>
                                            </m:sub>
                                          </m:sSub>
                                        </m:den>
                                      </m:f>
                                    </m:e>
                                  </m:d>
                                </m:e>
                                <m:sup>
                                  <m:r>
                                    <a:rPr lang="en-US" sz="1200" b="0" i="1">
                                      <a:latin typeface="Cambria Math" panose="02040503050406030204" pitchFamily="18" charset="0"/>
                                      <a:cs typeface="Arial" pitchFamily="34" charset="0"/>
                                    </a:rPr>
                                    <m:t>−</m:t>
                                  </m:r>
                                  <m:f>
                                    <m:fPr>
                                      <m:type m:val="skw"/>
                                      <m:ctrlPr>
                                        <a:rPr lang="en-US" sz="1200" b="0" i="1">
                                          <a:latin typeface="Cambria Math" panose="02040503050406030204" pitchFamily="18" charset="0"/>
                                          <a:cs typeface="Arial" pitchFamily="34" charset="0"/>
                                        </a:rPr>
                                      </m:ctrlPr>
                                    </m:fPr>
                                    <m:num>
                                      <m:r>
                                        <a:rPr lang="en-US" sz="1200" b="0" i="1">
                                          <a:latin typeface="Cambria Math" panose="02040503050406030204" pitchFamily="18" charset="0"/>
                                          <a:cs typeface="Arial" pitchFamily="34" charset="0"/>
                                        </a:rPr>
                                        <m:t>1</m:t>
                                      </m:r>
                                    </m:num>
                                    <m:den>
                                      <m:r>
                                        <a:rPr lang="en-US" sz="1200" b="0" i="1">
                                          <a:latin typeface="Cambria Math" panose="02040503050406030204" pitchFamily="18" charset="0"/>
                                          <a:cs typeface="Arial" pitchFamily="34" charset="0"/>
                                        </a:rPr>
                                        <m:t>2</m:t>
                                      </m:r>
                                    </m:den>
                                  </m:f>
                                </m:sup>
                              </m:sSup>
                            </m:num>
                            <m:den>
                              <m:rad>
                                <m:radPr>
                                  <m:degHide m:val="on"/>
                                  <m:ctrlPr>
                                    <a:rPr lang="en-US" sz="1200" b="0" i="1">
                                      <a:latin typeface="Cambria Math" panose="02040503050406030204" pitchFamily="18" charset="0"/>
                                      <a:cs typeface="Arial" pitchFamily="34" charset="0"/>
                                    </a:rPr>
                                  </m:ctrlPr>
                                </m:radPr>
                                <m:deg/>
                                <m:e>
                                  <m:sSup>
                                    <m:sSupPr>
                                      <m:ctrlPr>
                                        <a:rPr lang="en-US" sz="1200" b="0" i="1">
                                          <a:latin typeface="Cambria Math" panose="02040503050406030204" pitchFamily="18" charset="0"/>
                                          <a:cs typeface="Arial" pitchFamily="34" charset="0"/>
                                        </a:rPr>
                                      </m:ctrlPr>
                                    </m:sSupPr>
                                    <m:e>
                                      <m:d>
                                        <m:dPr>
                                          <m:ctrlPr>
                                            <a:rPr lang="en-US" sz="1200" i="1">
                                              <a:latin typeface="Cambria Math" panose="02040503050406030204" pitchFamily="18" charset="0"/>
                                              <a:cs typeface="Arial" pitchFamily="34" charset="0"/>
                                            </a:rPr>
                                          </m:ctrlPr>
                                        </m:dPr>
                                        <m:e>
                                          <m:f>
                                            <m:fPr>
                                              <m:ctrlPr>
                                                <a:rPr lang="en-US" sz="1200" i="1">
                                                  <a:latin typeface="Cambria Math" panose="02040503050406030204" pitchFamily="18" charset="0"/>
                                                  <a:cs typeface="Arial" pitchFamily="34" charset="0"/>
                                                </a:rPr>
                                              </m:ctrlPr>
                                            </m:fPr>
                                            <m:num>
                                              <m:r>
                                                <a:rPr lang="en-US" sz="1200" i="1">
                                                  <a:latin typeface="Cambria Math" panose="02040503050406030204" pitchFamily="18" charset="0"/>
                                                  <a:cs typeface="Arial" pitchFamily="34" charset="0"/>
                                                </a:rPr>
                                                <m:t>𝑓</m:t>
                                              </m:r>
                                            </m:num>
                                            <m:den>
                                              <m:sSub>
                                                <m:sSubPr>
                                                  <m:ctrlPr>
                                                    <a:rPr lang="en-US" sz="1200" i="1">
                                                      <a:latin typeface="Cambria Math" panose="02040503050406030204" pitchFamily="18" charset="0"/>
                                                      <a:cs typeface="Arial" pitchFamily="34" charset="0"/>
                                                    </a:rPr>
                                                  </m:ctrlPr>
                                                </m:sSubPr>
                                                <m:e>
                                                  <m:r>
                                                    <a:rPr lang="en-US" sz="1200" i="1">
                                                      <a:latin typeface="Cambria Math" panose="02040503050406030204" pitchFamily="18" charset="0"/>
                                                      <a:cs typeface="Arial" pitchFamily="34" charset="0"/>
                                                    </a:rPr>
                                                    <m:t>𝑓</m:t>
                                                  </m:r>
                                                </m:e>
                                                <m:sub>
                                                  <m:r>
                                                    <a:rPr lang="en-US" sz="1200" i="1">
                                                      <a:latin typeface="Cambria Math" panose="02040503050406030204" pitchFamily="18" charset="0"/>
                                                      <a:cs typeface="Arial" pitchFamily="34" charset="0"/>
                                                    </a:rPr>
                                                    <m:t>𝐶</m:t>
                                                  </m:r>
                                                </m:sub>
                                              </m:sSub>
                                            </m:den>
                                          </m:f>
                                        </m:e>
                                      </m:d>
                                    </m:e>
                                    <m:sup>
                                      <m:r>
                                        <a:rPr lang="en-US" sz="1200" b="0" i="1">
                                          <a:latin typeface="Cambria Math" panose="02040503050406030204" pitchFamily="18" charset="0"/>
                                          <a:cs typeface="Arial" pitchFamily="34" charset="0"/>
                                        </a:rPr>
                                        <m:t>2</m:t>
                                      </m:r>
                                    </m:sup>
                                  </m:sSup>
                                  <m:r>
                                    <a:rPr lang="en-US" sz="1200" b="0" i="1">
                                      <a:latin typeface="Cambria Math" panose="02040503050406030204" pitchFamily="18" charset="0"/>
                                      <a:cs typeface="Arial" pitchFamily="34" charset="0"/>
                                    </a:rPr>
                                    <m:t>−1</m:t>
                                  </m:r>
                                </m:e>
                              </m:rad>
                            </m:den>
                          </m:f>
                        </m:e>
                      </m:d>
                      <m:rad>
                        <m:radPr>
                          <m:degHide m:val="on"/>
                          <m:ctrlPr>
                            <a:rPr lang="en-US" sz="1200" b="0" i="1">
                              <a:latin typeface="Cambria Math" panose="02040503050406030204" pitchFamily="18" charset="0"/>
                              <a:cs typeface="Arial" pitchFamily="34" charset="0"/>
                            </a:rPr>
                          </m:ctrlPr>
                        </m:radPr>
                        <m:deg/>
                        <m:e>
                          <m:f>
                            <m:fPr>
                              <m:ctrlPr>
                                <a:rPr lang="en-US" sz="1200" b="0" i="1">
                                  <a:latin typeface="Cambria Math" panose="02040503050406030204" pitchFamily="18" charset="0"/>
                                  <a:cs typeface="Arial" pitchFamily="34" charset="0"/>
                                </a:rPr>
                              </m:ctrlPr>
                            </m:fPr>
                            <m:num>
                              <m:r>
                                <a:rPr lang="en-US" sz="1200" b="0" i="1">
                                  <a:latin typeface="Cambria Math" panose="02040503050406030204" pitchFamily="18" charset="0"/>
                                  <a:ea typeface="Cambria Math" panose="02040503050406030204" pitchFamily="18" charset="0"/>
                                  <a:cs typeface="Arial" pitchFamily="34" charset="0"/>
                                </a:rPr>
                                <m:t>𝜌</m:t>
                              </m:r>
                            </m:num>
                            <m:den>
                              <m:sSub>
                                <m:sSubPr>
                                  <m:ctrlPr>
                                    <a:rPr lang="en-US" sz="1200" b="0" i="1">
                                      <a:latin typeface="Cambria Math" panose="02040503050406030204" pitchFamily="18" charset="0"/>
                                      <a:ea typeface="Cambria Math" panose="02040503050406030204" pitchFamily="18" charset="0"/>
                                      <a:cs typeface="Arial" pitchFamily="34" charset="0"/>
                                    </a:rPr>
                                  </m:ctrlPr>
                                </m:sSubPr>
                                <m:e>
                                  <m:r>
                                    <a:rPr lang="en-US" sz="1200" b="0" i="1">
                                      <a:latin typeface="Cambria Math" panose="02040503050406030204" pitchFamily="18" charset="0"/>
                                      <a:ea typeface="Cambria Math" panose="02040503050406030204" pitchFamily="18" charset="0"/>
                                      <a:cs typeface="Arial" pitchFamily="34" charset="0"/>
                                    </a:rPr>
                                    <m:t>𝜌</m:t>
                                  </m:r>
                                </m:e>
                                <m:sub>
                                  <m:r>
                                    <a:rPr lang="en-US" sz="1200" b="0" i="1">
                                      <a:latin typeface="Cambria Math" panose="02040503050406030204" pitchFamily="18" charset="0"/>
                                      <a:ea typeface="Cambria Math" panose="02040503050406030204" pitchFamily="18" charset="0"/>
                                      <a:cs typeface="Arial" pitchFamily="34" charset="0"/>
                                    </a:rPr>
                                    <m:t>𝐶</m:t>
                                  </m:r>
                                </m:sub>
                              </m:sSub>
                            </m:den>
                          </m:f>
                        </m:e>
                      </m:rad>
                      <m:r>
                        <a:rPr lang="en-US" sz="1200" b="0" i="1">
                          <a:latin typeface="Cambria Math" panose="02040503050406030204" pitchFamily="18" charset="0"/>
                          <a:cs typeface="Arial" pitchFamily="34" charset="0"/>
                        </a:rPr>
                        <m:t>    </m:t>
                      </m:r>
                      <m:d>
                        <m:dPr>
                          <m:begChr m:val="|"/>
                          <m:endChr m:val="|"/>
                          <m:ctrlPr>
                            <a:rPr lang="en-US" sz="1200" b="0" i="1">
                              <a:solidFill>
                                <a:schemeClr val="tx1">
                                  <a:lumMod val="50000"/>
                                  <a:lumOff val="50000"/>
                                </a:schemeClr>
                              </a:solidFill>
                              <a:latin typeface="Cambria Math" panose="02040503050406030204" pitchFamily="18" charset="0"/>
                              <a:cs typeface="Arial" pitchFamily="34" charset="0"/>
                            </a:rPr>
                          </m:ctrlPr>
                        </m:dPr>
                        <m:e>
                          <m:r>
                            <a:rPr lang="en-US" sz="1200" i="1">
                              <a:solidFill>
                                <a:schemeClr val="tx1">
                                  <a:lumMod val="50000"/>
                                  <a:lumOff val="50000"/>
                                </a:schemeClr>
                              </a:solidFill>
                              <a:latin typeface="Cambria Math" panose="02040503050406030204" pitchFamily="18" charset="0"/>
                              <a:cs typeface="Arial" pitchFamily="34" charset="0"/>
                            </a:rPr>
                            <m:t>𝑑𝐵</m:t>
                          </m:r>
                          <m:r>
                            <a:rPr lang="en-US" sz="1200" i="1">
                              <a:solidFill>
                                <a:schemeClr val="tx1">
                                  <a:lumMod val="50000"/>
                                  <a:lumOff val="50000"/>
                                </a:schemeClr>
                              </a:solidFill>
                              <a:latin typeface="Cambria Math" panose="02040503050406030204" pitchFamily="18" charset="0"/>
                              <a:cs typeface="Arial" pitchFamily="34" charset="0"/>
                            </a:rPr>
                            <m:t>/</m:t>
                          </m:r>
                          <m:r>
                            <a:rPr lang="en-US" sz="1200" i="1">
                              <a:solidFill>
                                <a:schemeClr val="tx1">
                                  <a:lumMod val="50000"/>
                                  <a:lumOff val="50000"/>
                                </a:schemeClr>
                              </a:solidFill>
                              <a:latin typeface="Cambria Math" panose="02040503050406030204" pitchFamily="18" charset="0"/>
                              <a:cs typeface="Arial" pitchFamily="34" charset="0"/>
                            </a:rPr>
                            <m:t>𝑓𝑡</m:t>
                          </m:r>
                        </m:e>
                      </m:d>
                    </m:oMath>
                  </m:oMathPara>
                </a14:m>
                <a:endParaRPr lang="en-US" sz="1200">
                  <a:latin typeface="Arial" pitchFamily="34" charset="0"/>
                  <a:cs typeface="Arial" pitchFamily="34" charset="0"/>
                </a:endParaRPr>
              </a:p>
            </xdr:txBody>
          </xdr:sp>
        </mc:Choice>
        <mc:Fallback xmlns="">
          <xdr:sp macro="" textlink="">
            <xdr:nvSpPr>
              <xdr:cNvPr id="9" name="TextBox 11">
                <a:extLst>
                  <a:ext uri="{FF2B5EF4-FFF2-40B4-BE49-F238E27FC236}">
                    <a16:creationId xmlns:a16="http://schemas.microsoft.com/office/drawing/2014/main" id="{FEF0E92F-7407-70B3-2DE2-EC3CFEE3D48C}"/>
                  </a:ext>
                </a:extLst>
              </xdr:cNvPr>
              <xdr:cNvSpPr txBox="1"/>
            </xdr:nvSpPr>
            <xdr:spPr>
              <a:xfrm>
                <a:off x="-101599" y="2381250"/>
                <a:ext cx="3670299" cy="912098"/>
              </a:xfrm>
              <a:prstGeom prst="rect">
                <a:avLst/>
              </a:prstGeom>
              <a:noFill/>
            </xdr:spPr>
            <xdr:txBody>
              <a:bodyPr wrap="square" lIns="0" tIns="0" rIns="0" bIns="0" rtlCol="0">
                <a:spAutoFit/>
              </a:bodyPr>
              <a:lstStyle>
                <a:defPPr>
                  <a:defRPr lang="en-US"/>
                </a:defPPr>
                <a:lvl1pPr marL="0" algn="l" defTabSz="1219170" rtl="0" eaLnBrk="1" latinLnBrk="0" hangingPunct="1">
                  <a:defRPr sz="2400" kern="1200">
                    <a:solidFill>
                      <a:schemeClr val="tx1"/>
                    </a:solidFill>
                    <a:latin typeface="+mn-lt"/>
                    <a:ea typeface="+mn-ea"/>
                    <a:cs typeface="+mn-cs"/>
                  </a:defRPr>
                </a:lvl1pPr>
                <a:lvl2pPr marL="609585" algn="l" defTabSz="1219170" rtl="0" eaLnBrk="1" latinLnBrk="0" hangingPunct="1">
                  <a:defRPr sz="2400" kern="1200">
                    <a:solidFill>
                      <a:schemeClr val="tx1"/>
                    </a:solidFill>
                    <a:latin typeface="+mn-lt"/>
                    <a:ea typeface="+mn-ea"/>
                    <a:cs typeface="+mn-cs"/>
                  </a:defRPr>
                </a:lvl2pPr>
                <a:lvl3pPr marL="1219170" algn="l" defTabSz="1219170" rtl="0" eaLnBrk="1" latinLnBrk="0" hangingPunct="1">
                  <a:defRPr sz="2400" kern="1200">
                    <a:solidFill>
                      <a:schemeClr val="tx1"/>
                    </a:solidFill>
                    <a:latin typeface="+mn-lt"/>
                    <a:ea typeface="+mn-ea"/>
                    <a:cs typeface="+mn-cs"/>
                  </a:defRPr>
                </a:lvl3pPr>
                <a:lvl4pPr marL="1828754" algn="l" defTabSz="1219170" rtl="0" eaLnBrk="1" latinLnBrk="0" hangingPunct="1">
                  <a:defRPr sz="2400" kern="1200">
                    <a:solidFill>
                      <a:schemeClr val="tx1"/>
                    </a:solidFill>
                    <a:latin typeface="+mn-lt"/>
                    <a:ea typeface="+mn-ea"/>
                    <a:cs typeface="+mn-cs"/>
                  </a:defRPr>
                </a:lvl4pPr>
                <a:lvl5pPr marL="2438339" algn="l" defTabSz="1219170" rtl="0" eaLnBrk="1" latinLnBrk="0" hangingPunct="1">
                  <a:defRPr sz="2400" kern="1200">
                    <a:solidFill>
                      <a:schemeClr val="tx1"/>
                    </a:solidFill>
                    <a:latin typeface="+mn-lt"/>
                    <a:ea typeface="+mn-ea"/>
                    <a:cs typeface="+mn-cs"/>
                  </a:defRPr>
                </a:lvl5pPr>
                <a:lvl6pPr marL="3047924" algn="l" defTabSz="1219170" rtl="0" eaLnBrk="1" latinLnBrk="0" hangingPunct="1">
                  <a:defRPr sz="2400" kern="1200">
                    <a:solidFill>
                      <a:schemeClr val="tx1"/>
                    </a:solidFill>
                    <a:latin typeface="+mn-lt"/>
                    <a:ea typeface="+mn-ea"/>
                    <a:cs typeface="+mn-cs"/>
                  </a:defRPr>
                </a:lvl6pPr>
                <a:lvl7pPr marL="3657509" algn="l" defTabSz="1219170" rtl="0" eaLnBrk="1" latinLnBrk="0" hangingPunct="1">
                  <a:defRPr sz="2400" kern="1200">
                    <a:solidFill>
                      <a:schemeClr val="tx1"/>
                    </a:solidFill>
                    <a:latin typeface="+mn-lt"/>
                    <a:ea typeface="+mn-ea"/>
                    <a:cs typeface="+mn-cs"/>
                  </a:defRPr>
                </a:lvl7pPr>
                <a:lvl8pPr marL="4267093" algn="l" defTabSz="1219170" rtl="0" eaLnBrk="1" latinLnBrk="0" hangingPunct="1">
                  <a:defRPr sz="2400" kern="1200">
                    <a:solidFill>
                      <a:schemeClr val="tx1"/>
                    </a:solidFill>
                    <a:latin typeface="+mn-lt"/>
                    <a:ea typeface="+mn-ea"/>
                    <a:cs typeface="+mn-cs"/>
                  </a:defRPr>
                </a:lvl8pPr>
                <a:lvl9pPr marL="4876678" algn="l" defTabSz="1219170" rtl="0" eaLnBrk="1" latinLnBrk="0" hangingPunct="1">
                  <a:defRPr sz="2400" kern="1200">
                    <a:solidFill>
                      <a:schemeClr val="tx1"/>
                    </a:solidFill>
                    <a:latin typeface="+mn-lt"/>
                    <a:ea typeface="+mn-ea"/>
                    <a:cs typeface="+mn-cs"/>
                  </a:defRPr>
                </a:lvl9pPr>
              </a:lstStyle>
              <a:p>
                <a:pPr/>
                <a:r>
                  <a:rPr lang="en-US" sz="1200" b="0" i="0">
                    <a:latin typeface="Cambria Math" panose="02040503050406030204" pitchFamily="18" charset="0"/>
                    <a:ea typeface="Cambria Math" panose="02040503050406030204" pitchFamily="18" charset="0"/>
                    <a:cs typeface="Arial" pitchFamily="34" charset="0"/>
                  </a:rPr>
                  <a:t>𝐴𝑡𝑡𝑛</a:t>
                </a:r>
                <a:r>
                  <a:rPr lang="en-US" sz="1200" b="0" i="0">
                    <a:latin typeface="Cambria Math" panose="02040503050406030204" pitchFamily="18" charset="0"/>
                    <a:cs typeface="Arial" pitchFamily="34" charset="0"/>
                  </a:rPr>
                  <a:t>=0.01107/𝑎^(3⁄2)  [(1/2  𝑎/𝑏 (𝑓/𝑓_𝐶 )^(3⁄2)+(</a:t>
                </a:r>
                <a:r>
                  <a:rPr lang="en-US" sz="1200" i="0">
                    <a:latin typeface="Cambria Math" panose="02040503050406030204" pitchFamily="18" charset="0"/>
                    <a:cs typeface="Arial" pitchFamily="34" charset="0"/>
                  </a:rPr>
                  <a:t>𝑓/𝑓_𝐶 )</a:t>
                </a:r>
                <a:r>
                  <a:rPr lang="en-US" sz="1200" b="0" i="0">
                    <a:latin typeface="Cambria Math" panose="02040503050406030204" pitchFamily="18" charset="0"/>
                    <a:cs typeface="Arial" pitchFamily="34" charset="0"/>
                  </a:rPr>
                  <a:t>^(−1⁄2))/√((</a:t>
                </a:r>
                <a:r>
                  <a:rPr lang="en-US" sz="1200" i="0">
                    <a:latin typeface="Cambria Math" panose="02040503050406030204" pitchFamily="18" charset="0"/>
                    <a:cs typeface="Arial" pitchFamily="34" charset="0"/>
                  </a:rPr>
                  <a:t>𝑓/𝑓_𝐶 )</a:t>
                </a:r>
                <a:r>
                  <a:rPr lang="en-US" sz="1200" b="0" i="0">
                    <a:latin typeface="Cambria Math" panose="02040503050406030204" pitchFamily="18" charset="0"/>
                    <a:cs typeface="Arial" pitchFamily="34" charset="0"/>
                  </a:rPr>
                  <a:t>^2−1)] √(</a:t>
                </a:r>
                <a:r>
                  <a:rPr lang="en-US" sz="1200" b="0" i="0">
                    <a:latin typeface="Cambria Math" panose="02040503050406030204" pitchFamily="18" charset="0"/>
                    <a:ea typeface="Cambria Math" panose="02040503050406030204" pitchFamily="18" charset="0"/>
                    <a:cs typeface="Arial" pitchFamily="34" charset="0"/>
                  </a:rPr>
                  <a:t>𝜌/𝜌_𝐶 ) </a:t>
                </a:r>
                <a:r>
                  <a:rPr lang="en-US" sz="1200" b="0" i="0">
                    <a:latin typeface="Cambria Math" panose="02040503050406030204" pitchFamily="18" charset="0"/>
                    <a:cs typeface="Arial" pitchFamily="34" charset="0"/>
                  </a:rPr>
                  <a:t>    </a:t>
                </a:r>
                <a:r>
                  <a:rPr lang="en-US" sz="1200" b="0" i="0">
                    <a:solidFill>
                      <a:schemeClr val="tx1">
                        <a:lumMod val="50000"/>
                        <a:lumOff val="50000"/>
                      </a:schemeClr>
                    </a:solidFill>
                    <a:latin typeface="Cambria Math" panose="02040503050406030204" pitchFamily="18" charset="0"/>
                    <a:cs typeface="Arial" pitchFamily="34" charset="0"/>
                  </a:rPr>
                  <a:t>|</a:t>
                </a:r>
                <a:r>
                  <a:rPr lang="en-US" sz="1200" i="0">
                    <a:solidFill>
                      <a:schemeClr val="tx1">
                        <a:lumMod val="50000"/>
                        <a:lumOff val="50000"/>
                      </a:schemeClr>
                    </a:solidFill>
                    <a:latin typeface="Cambria Math" panose="02040503050406030204" pitchFamily="18" charset="0"/>
                    <a:cs typeface="Arial" pitchFamily="34" charset="0"/>
                  </a:rPr>
                  <a:t>𝑑𝐵/𝑓𝑡|</a:t>
                </a:r>
                <a:endParaRPr lang="en-US" sz="1200">
                  <a:latin typeface="Arial" pitchFamily="34" charset="0"/>
                  <a:cs typeface="Arial" pitchFamily="34" charset="0"/>
                </a:endParaRPr>
              </a:p>
            </xdr:txBody>
          </xdr:sp>
        </mc:Fallback>
      </mc:AlternateContent>
      <xdr:sp macro="" textlink="">
        <xdr:nvSpPr>
          <xdr:cNvPr id="11" name="TextBox 10">
            <a:extLst>
              <a:ext uri="{FF2B5EF4-FFF2-40B4-BE49-F238E27FC236}">
                <a16:creationId xmlns:a16="http://schemas.microsoft.com/office/drawing/2014/main" id="{8C450D29-149F-0989-0DED-A149C7B1DE75}"/>
              </a:ext>
            </a:extLst>
          </xdr:cNvPr>
          <xdr:cNvSpPr txBox="1"/>
        </xdr:nvSpPr>
        <xdr:spPr>
          <a:xfrm>
            <a:off x="755143" y="2101850"/>
            <a:ext cx="1715523" cy="246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US" sz="1100" b="1"/>
              <a:t>Conductor Loss in Waveguide</a:t>
            </a:r>
          </a:p>
        </xdr:txBody>
      </xdr:sp>
    </xdr:grpSp>
    <xdr:clientData/>
  </xdr:twoCellAnchor>
  <xdr:twoCellAnchor>
    <xdr:from>
      <xdr:col>7</xdr:col>
      <xdr:colOff>184765</xdr:colOff>
      <xdr:row>3</xdr:row>
      <xdr:rowOff>54187</xdr:rowOff>
    </xdr:from>
    <xdr:to>
      <xdr:col>8</xdr:col>
      <xdr:colOff>607447</xdr:colOff>
      <xdr:row>6</xdr:row>
      <xdr:rowOff>64404</xdr:rowOff>
    </xdr:to>
    <xdr:grpSp>
      <xdr:nvGrpSpPr>
        <xdr:cNvPr id="15" name="Group 14">
          <a:extLst>
            <a:ext uri="{FF2B5EF4-FFF2-40B4-BE49-F238E27FC236}">
              <a16:creationId xmlns:a16="http://schemas.microsoft.com/office/drawing/2014/main" id="{790AF121-D084-258B-9A99-FC9FD4DF15F0}"/>
            </a:ext>
          </a:extLst>
        </xdr:cNvPr>
        <xdr:cNvGrpSpPr/>
      </xdr:nvGrpSpPr>
      <xdr:grpSpPr>
        <a:xfrm>
          <a:off x="7626965" y="606637"/>
          <a:ext cx="1191032" cy="562667"/>
          <a:chOff x="6877665" y="599932"/>
          <a:chExt cx="1191032" cy="543970"/>
        </a:xfrm>
      </xdr:grpSpPr>
      <xdr:grpSp>
        <xdr:nvGrpSpPr>
          <xdr:cNvPr id="8" name="Group 7">
            <a:extLst>
              <a:ext uri="{FF2B5EF4-FFF2-40B4-BE49-F238E27FC236}">
                <a16:creationId xmlns:a16="http://schemas.microsoft.com/office/drawing/2014/main" id="{175DAE40-E2A5-6EC4-DE4C-BCC7C18519EC}"/>
              </a:ext>
            </a:extLst>
          </xdr:cNvPr>
          <xdr:cNvGrpSpPr/>
        </xdr:nvGrpSpPr>
        <xdr:grpSpPr>
          <a:xfrm>
            <a:off x="6877665" y="599932"/>
            <a:ext cx="1191032" cy="543970"/>
            <a:chOff x="2140565" y="1667791"/>
            <a:chExt cx="1191032" cy="523857"/>
          </a:xfrm>
        </xdr:grpSpPr>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5128DEF7-C030-B4F1-52A1-F6F5A94FC926}"/>
                    </a:ext>
                  </a:extLst>
                </xdr:cNvPr>
                <xdr:cNvSpPr txBox="1"/>
              </xdr:nvSpPr>
              <xdr:spPr>
                <a:xfrm>
                  <a:off x="2486782" y="1901825"/>
                  <a:ext cx="498598" cy="2898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𝑓</m:t>
                            </m:r>
                          </m:e>
                          <m:sub>
                            <m:r>
                              <a:rPr lang="en-US" sz="1100" b="0" i="1">
                                <a:latin typeface="Cambria Math" panose="02040503050406030204" pitchFamily="18" charset="0"/>
                              </a:rPr>
                              <m:t>𝐶</m:t>
                            </m:r>
                          </m:sub>
                        </m:sSub>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𝑐</m:t>
                            </m:r>
                          </m:num>
                          <m:den>
                            <m:r>
                              <a:rPr lang="en-US" sz="1100" b="0" i="1">
                                <a:latin typeface="Cambria Math" panose="02040503050406030204" pitchFamily="18" charset="0"/>
                              </a:rPr>
                              <m:t>2</m:t>
                            </m:r>
                            <m:r>
                              <a:rPr lang="en-US" sz="1100" b="0" i="1">
                                <a:latin typeface="Cambria Math" panose="02040503050406030204" pitchFamily="18" charset="0"/>
                              </a:rPr>
                              <m:t>𝑎</m:t>
                            </m:r>
                          </m:den>
                        </m:f>
                      </m:oMath>
                    </m:oMathPara>
                  </a14:m>
                  <a:endParaRPr lang="en-US" sz="1100"/>
                </a:p>
              </xdr:txBody>
            </xdr:sp>
          </mc:Choice>
          <mc:Fallback xmlns="">
            <xdr:sp macro="" textlink="">
              <xdr:nvSpPr>
                <xdr:cNvPr id="3" name="TextBox 2">
                  <a:extLst>
                    <a:ext uri="{FF2B5EF4-FFF2-40B4-BE49-F238E27FC236}">
                      <a16:creationId xmlns:a16="http://schemas.microsoft.com/office/drawing/2014/main" id="{5128DEF7-C030-B4F1-52A1-F6F5A94FC926}"/>
                    </a:ext>
                  </a:extLst>
                </xdr:cNvPr>
                <xdr:cNvSpPr txBox="1"/>
              </xdr:nvSpPr>
              <xdr:spPr>
                <a:xfrm>
                  <a:off x="2486782" y="1901825"/>
                  <a:ext cx="498598" cy="2898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𝑓_𝐶=𝑐/2𝑎</a:t>
                  </a:r>
                  <a:endParaRPr lang="en-US" sz="1100"/>
                </a:p>
              </xdr:txBody>
            </xdr:sp>
          </mc:Fallback>
        </mc:AlternateContent>
        <xdr:sp macro="" textlink="">
          <xdr:nvSpPr>
            <xdr:cNvPr id="7" name="TextBox 6">
              <a:extLst>
                <a:ext uri="{FF2B5EF4-FFF2-40B4-BE49-F238E27FC236}">
                  <a16:creationId xmlns:a16="http://schemas.microsoft.com/office/drawing/2014/main" id="{8F74C0DA-A47E-A665-4628-5C2669A8D011}"/>
                </a:ext>
              </a:extLst>
            </xdr:cNvPr>
            <xdr:cNvSpPr txBox="1"/>
          </xdr:nvSpPr>
          <xdr:spPr>
            <a:xfrm>
              <a:off x="2140565" y="1667791"/>
              <a:ext cx="1191032" cy="2579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1100" b="1"/>
                <a:t>Cutoff Frequency</a:t>
              </a:r>
            </a:p>
          </xdr:txBody>
        </xdr:sp>
      </xdr:grpSp>
      <xdr:cxnSp macro="">
        <xdr:nvCxnSpPr>
          <xdr:cNvPr id="14" name="Straight Arrow Connector 13">
            <a:extLst>
              <a:ext uri="{FF2B5EF4-FFF2-40B4-BE49-F238E27FC236}">
                <a16:creationId xmlns:a16="http://schemas.microsoft.com/office/drawing/2014/main" id="{C12C2BF7-4623-B8E7-1C48-803A74EBD734}"/>
              </a:ext>
            </a:extLst>
          </xdr:cNvPr>
          <xdr:cNvCxnSpPr>
            <a:stCxn id="3" idx="1"/>
          </xdr:cNvCxnSpPr>
        </xdr:nvCxnSpPr>
        <xdr:spPr>
          <a:xfrm flipH="1" flipV="1">
            <a:off x="6896100" y="990600"/>
            <a:ext cx="327782" cy="2823"/>
          </a:xfrm>
          <a:prstGeom prst="straightConnector1">
            <a:avLst/>
          </a:prstGeom>
          <a:ln w="12700">
            <a:tailEnd type="triangle"/>
          </a:ln>
        </xdr:spPr>
        <xdr:style>
          <a:lnRef idx="2">
            <a:schemeClr val="accent1"/>
          </a:lnRef>
          <a:fillRef idx="0">
            <a:schemeClr val="accent1"/>
          </a:fillRef>
          <a:effectRef idx="1">
            <a:schemeClr val="accent1"/>
          </a:effectRef>
          <a:fontRef idx="minor">
            <a:schemeClr val="tx1"/>
          </a:fontRef>
        </xdr:style>
      </xdr:cxnSp>
    </xdr:grpSp>
    <xdr:clientData/>
  </xdr:twoCellAnchor>
  <xdr:twoCellAnchor>
    <xdr:from>
      <xdr:col>4</xdr:col>
      <xdr:colOff>181832</xdr:colOff>
      <xdr:row>11</xdr:row>
      <xdr:rowOff>38100</xdr:rowOff>
    </xdr:from>
    <xdr:to>
      <xdr:col>9</xdr:col>
      <xdr:colOff>826230</xdr:colOff>
      <xdr:row>29</xdr:row>
      <xdr:rowOff>25400</xdr:rowOff>
    </xdr:to>
    <xdr:graphicFrame macro="">
      <xdr:nvGraphicFramePr>
        <xdr:cNvPr id="16" name="AttenChart">
          <a:extLst>
            <a:ext uri="{FF2B5EF4-FFF2-40B4-BE49-F238E27FC236}">
              <a16:creationId xmlns:a16="http://schemas.microsoft.com/office/drawing/2014/main" id="{9181D583-9023-4A3B-BB72-E1727DE88E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534422</xdr:colOff>
      <xdr:row>21</xdr:row>
      <xdr:rowOff>76200</xdr:rowOff>
    </xdr:from>
    <xdr:to>
      <xdr:col>0</xdr:col>
      <xdr:colOff>2079397</xdr:colOff>
      <xdr:row>24</xdr:row>
      <xdr:rowOff>138543</xdr:rowOff>
    </xdr:to>
    <xdr:grpSp>
      <xdr:nvGrpSpPr>
        <xdr:cNvPr id="25" name="Group 24">
          <a:extLst>
            <a:ext uri="{FF2B5EF4-FFF2-40B4-BE49-F238E27FC236}">
              <a16:creationId xmlns:a16="http://schemas.microsoft.com/office/drawing/2014/main" id="{6B6B42C4-47ED-6A03-F8DD-3EA6F48D3034}"/>
            </a:ext>
          </a:extLst>
        </xdr:cNvPr>
        <xdr:cNvGrpSpPr/>
      </xdr:nvGrpSpPr>
      <xdr:grpSpPr>
        <a:xfrm>
          <a:off x="534422" y="3943350"/>
          <a:ext cx="1544975" cy="614793"/>
          <a:chOff x="10821422" y="2254250"/>
          <a:chExt cx="1544975" cy="614793"/>
        </a:xfrm>
      </xdr:grpSpPr>
      <mc:AlternateContent xmlns:mc="http://schemas.openxmlformats.org/markup-compatibility/2006" xmlns:a14="http://schemas.microsoft.com/office/drawing/2010/main">
        <mc:Choice Requires="a14">
          <xdr:sp macro="" textlink="">
            <xdr:nvSpPr>
              <xdr:cNvPr id="23" name="TextBox 6">
                <a:extLst>
                  <a:ext uri="{FF2B5EF4-FFF2-40B4-BE49-F238E27FC236}">
                    <a16:creationId xmlns:a16="http://schemas.microsoft.com/office/drawing/2014/main" id="{7538EFA4-45D9-C08A-22CA-7DC8AAA3B0C5}"/>
                  </a:ext>
                </a:extLst>
              </xdr:cNvPr>
              <xdr:cNvSpPr txBox="1"/>
            </xdr:nvSpPr>
            <xdr:spPr>
              <a:xfrm>
                <a:off x="10933509" y="2476500"/>
                <a:ext cx="1320800" cy="392543"/>
              </a:xfrm>
              <a:prstGeom prst="rect">
                <a:avLst/>
              </a:prstGeom>
              <a:noFill/>
            </xdr:spPr>
            <xdr:txBody>
              <a:bodyPr wrap="square" lIns="0" tIns="0" rIns="0" bIns="0" rtlCol="0">
                <a:spAutoFit/>
              </a:bodyPr>
              <a:lstStyle>
                <a:defPPr>
                  <a:defRPr lang="en-US"/>
                </a:defPPr>
                <a:lvl1pPr marL="0" algn="l" defTabSz="1219170" rtl="0" eaLnBrk="1" latinLnBrk="0" hangingPunct="1">
                  <a:defRPr sz="2400" kern="1200">
                    <a:solidFill>
                      <a:schemeClr val="tx1"/>
                    </a:solidFill>
                    <a:latin typeface="+mn-lt"/>
                    <a:ea typeface="+mn-ea"/>
                    <a:cs typeface="+mn-cs"/>
                  </a:defRPr>
                </a:lvl1pPr>
                <a:lvl2pPr marL="609585" algn="l" defTabSz="1219170" rtl="0" eaLnBrk="1" latinLnBrk="0" hangingPunct="1">
                  <a:defRPr sz="2400" kern="1200">
                    <a:solidFill>
                      <a:schemeClr val="tx1"/>
                    </a:solidFill>
                    <a:latin typeface="+mn-lt"/>
                    <a:ea typeface="+mn-ea"/>
                    <a:cs typeface="+mn-cs"/>
                  </a:defRPr>
                </a:lvl2pPr>
                <a:lvl3pPr marL="1219170" algn="l" defTabSz="1219170" rtl="0" eaLnBrk="1" latinLnBrk="0" hangingPunct="1">
                  <a:defRPr sz="2400" kern="1200">
                    <a:solidFill>
                      <a:schemeClr val="tx1"/>
                    </a:solidFill>
                    <a:latin typeface="+mn-lt"/>
                    <a:ea typeface="+mn-ea"/>
                    <a:cs typeface="+mn-cs"/>
                  </a:defRPr>
                </a:lvl3pPr>
                <a:lvl4pPr marL="1828754" algn="l" defTabSz="1219170" rtl="0" eaLnBrk="1" latinLnBrk="0" hangingPunct="1">
                  <a:defRPr sz="2400" kern="1200">
                    <a:solidFill>
                      <a:schemeClr val="tx1"/>
                    </a:solidFill>
                    <a:latin typeface="+mn-lt"/>
                    <a:ea typeface="+mn-ea"/>
                    <a:cs typeface="+mn-cs"/>
                  </a:defRPr>
                </a:lvl4pPr>
                <a:lvl5pPr marL="2438339" algn="l" defTabSz="1219170" rtl="0" eaLnBrk="1" latinLnBrk="0" hangingPunct="1">
                  <a:defRPr sz="2400" kern="1200">
                    <a:solidFill>
                      <a:schemeClr val="tx1"/>
                    </a:solidFill>
                    <a:latin typeface="+mn-lt"/>
                    <a:ea typeface="+mn-ea"/>
                    <a:cs typeface="+mn-cs"/>
                  </a:defRPr>
                </a:lvl5pPr>
                <a:lvl6pPr marL="3047924" algn="l" defTabSz="1219170" rtl="0" eaLnBrk="1" latinLnBrk="0" hangingPunct="1">
                  <a:defRPr sz="2400" kern="1200">
                    <a:solidFill>
                      <a:schemeClr val="tx1"/>
                    </a:solidFill>
                    <a:latin typeface="+mn-lt"/>
                    <a:ea typeface="+mn-ea"/>
                    <a:cs typeface="+mn-cs"/>
                  </a:defRPr>
                </a:lvl6pPr>
                <a:lvl7pPr marL="3657509" algn="l" defTabSz="1219170" rtl="0" eaLnBrk="1" latinLnBrk="0" hangingPunct="1">
                  <a:defRPr sz="2400" kern="1200">
                    <a:solidFill>
                      <a:schemeClr val="tx1"/>
                    </a:solidFill>
                    <a:latin typeface="+mn-lt"/>
                    <a:ea typeface="+mn-ea"/>
                    <a:cs typeface="+mn-cs"/>
                  </a:defRPr>
                </a:lvl7pPr>
                <a:lvl8pPr marL="4267093" algn="l" defTabSz="1219170" rtl="0" eaLnBrk="1" latinLnBrk="0" hangingPunct="1">
                  <a:defRPr sz="2400" kern="1200">
                    <a:solidFill>
                      <a:schemeClr val="tx1"/>
                    </a:solidFill>
                    <a:latin typeface="+mn-lt"/>
                    <a:ea typeface="+mn-ea"/>
                    <a:cs typeface="+mn-cs"/>
                  </a:defRPr>
                </a:lvl8pPr>
                <a:lvl9pPr marL="4876678" algn="l" defTabSz="1219170" rtl="0" eaLnBrk="1" latinLnBrk="0" hangingPunct="1">
                  <a:defRPr sz="24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cs typeface="Arial" pitchFamily="34" charset="0"/>
                            </a:rPr>
                          </m:ctrlPr>
                        </m:sSubPr>
                        <m:e>
                          <m:r>
                            <a:rPr lang="en-US" sz="1100" b="0" i="1">
                              <a:latin typeface="Cambria Math" panose="02040503050406030204" pitchFamily="18" charset="0"/>
                              <a:ea typeface="Cambria Math" panose="02040503050406030204" pitchFamily="18" charset="0"/>
                              <a:cs typeface="Arial" pitchFamily="34" charset="0"/>
                            </a:rPr>
                            <m:t>𝜆</m:t>
                          </m:r>
                        </m:e>
                        <m:sub>
                          <m:r>
                            <a:rPr lang="en-US" sz="1100" b="0" i="1">
                              <a:latin typeface="Cambria Math" panose="02040503050406030204" pitchFamily="18" charset="0"/>
                              <a:ea typeface="Cambria Math" panose="02040503050406030204" pitchFamily="18" charset="0"/>
                              <a:cs typeface="Arial" pitchFamily="34" charset="0"/>
                            </a:rPr>
                            <m:t>𝑔</m:t>
                          </m:r>
                        </m:sub>
                      </m:sSub>
                      <m:r>
                        <a:rPr lang="en-US" sz="1100" b="0" i="1">
                          <a:latin typeface="Cambria Math" panose="02040503050406030204" pitchFamily="18" charset="0"/>
                          <a:cs typeface="Arial" pitchFamily="34" charset="0"/>
                        </a:rPr>
                        <m:t>=</m:t>
                      </m:r>
                      <m:f>
                        <m:fPr>
                          <m:ctrlPr>
                            <a:rPr lang="en-US" sz="1100" b="0" i="1">
                              <a:latin typeface="Cambria Math" panose="02040503050406030204" pitchFamily="18" charset="0"/>
                              <a:cs typeface="Arial" pitchFamily="34" charset="0"/>
                            </a:rPr>
                          </m:ctrlPr>
                        </m:fPr>
                        <m:num>
                          <m:sSub>
                            <m:sSubPr>
                              <m:ctrlPr>
                                <a:rPr lang="en-US" sz="1100" b="0" i="1">
                                  <a:latin typeface="Cambria Math" panose="02040503050406030204" pitchFamily="18" charset="0"/>
                                  <a:ea typeface="Cambria Math" panose="02040503050406030204" pitchFamily="18" charset="0"/>
                                  <a:cs typeface="Arial" pitchFamily="34" charset="0"/>
                                </a:rPr>
                              </m:ctrlPr>
                            </m:sSubPr>
                            <m:e>
                              <m:r>
                                <a:rPr lang="en-US" sz="1100" b="0" i="1">
                                  <a:latin typeface="Cambria Math" panose="02040503050406030204" pitchFamily="18" charset="0"/>
                                  <a:ea typeface="Cambria Math" panose="02040503050406030204" pitchFamily="18" charset="0"/>
                                  <a:cs typeface="Arial" pitchFamily="34" charset="0"/>
                                </a:rPr>
                                <m:t>𝜆</m:t>
                              </m:r>
                            </m:e>
                            <m:sub>
                              <m:r>
                                <a:rPr lang="en-US" sz="1100" b="0" i="1">
                                  <a:latin typeface="Cambria Math" panose="02040503050406030204" pitchFamily="18" charset="0"/>
                                  <a:ea typeface="Cambria Math" panose="02040503050406030204" pitchFamily="18" charset="0"/>
                                  <a:cs typeface="Arial" pitchFamily="34" charset="0"/>
                                </a:rPr>
                                <m:t>0</m:t>
                              </m:r>
                            </m:sub>
                          </m:sSub>
                        </m:num>
                        <m:den>
                          <m:rad>
                            <m:radPr>
                              <m:degHide m:val="on"/>
                              <m:ctrlPr>
                                <a:rPr lang="en-US" sz="1100" i="1">
                                  <a:latin typeface="Cambria Math" panose="02040503050406030204" pitchFamily="18" charset="0"/>
                                  <a:cs typeface="Arial" pitchFamily="34" charset="0"/>
                                </a:rPr>
                              </m:ctrlPr>
                            </m:radPr>
                            <m:deg/>
                            <m:e>
                              <m:r>
                                <a:rPr lang="en-US" sz="1100" i="1">
                                  <a:latin typeface="Cambria Math" panose="02040503050406030204" pitchFamily="18" charset="0"/>
                                  <a:ea typeface="Cambria Math" panose="02040503050406030204" pitchFamily="18" charset="0"/>
                                  <a:cs typeface="Arial" pitchFamily="34" charset="0"/>
                                </a:rPr>
                                <m:t>1−</m:t>
                              </m:r>
                              <m:sSup>
                                <m:sSupPr>
                                  <m:ctrlPr>
                                    <a:rPr lang="en-US" sz="1100" i="1">
                                      <a:latin typeface="Cambria Math" panose="02040503050406030204" pitchFamily="18" charset="0"/>
                                      <a:ea typeface="Cambria Math" panose="02040503050406030204" pitchFamily="18" charset="0"/>
                                      <a:cs typeface="Arial" pitchFamily="34" charset="0"/>
                                    </a:rPr>
                                  </m:ctrlPr>
                                </m:sSupPr>
                                <m:e>
                                  <m:d>
                                    <m:dPr>
                                      <m:ctrlPr>
                                        <a:rPr lang="en-US" sz="1100" i="1">
                                          <a:latin typeface="Cambria Math" panose="02040503050406030204" pitchFamily="18" charset="0"/>
                                          <a:ea typeface="Cambria Math" panose="02040503050406030204" pitchFamily="18" charset="0"/>
                                          <a:cs typeface="Arial" pitchFamily="34" charset="0"/>
                                        </a:rPr>
                                      </m:ctrlPr>
                                    </m:dPr>
                                    <m:e>
                                      <m:f>
                                        <m:fPr>
                                          <m:type m:val="lin"/>
                                          <m:ctrlPr>
                                            <a:rPr lang="en-US" sz="1100" i="1">
                                              <a:latin typeface="Cambria Math" panose="02040503050406030204" pitchFamily="18" charset="0"/>
                                              <a:ea typeface="Cambria Math" panose="02040503050406030204" pitchFamily="18" charset="0"/>
                                              <a:cs typeface="Arial" pitchFamily="34" charset="0"/>
                                            </a:rPr>
                                          </m:ctrlPr>
                                        </m:fPr>
                                        <m:num>
                                          <m:sSub>
                                            <m:sSubPr>
                                              <m:ctrlPr>
                                                <a:rPr lang="en-US" sz="1100" i="1">
                                                  <a:latin typeface="Cambria Math" panose="02040503050406030204" pitchFamily="18" charset="0"/>
                                                  <a:ea typeface="Cambria Math" panose="02040503050406030204" pitchFamily="18" charset="0"/>
                                                  <a:cs typeface="Arial" pitchFamily="34" charset="0"/>
                                                </a:rPr>
                                              </m:ctrlPr>
                                            </m:sSubPr>
                                            <m:e>
                                              <m:r>
                                                <a:rPr lang="en-US" sz="1100" i="1">
                                                  <a:latin typeface="Cambria Math" panose="02040503050406030204" pitchFamily="18" charset="0"/>
                                                  <a:ea typeface="Cambria Math" panose="02040503050406030204" pitchFamily="18" charset="0"/>
                                                  <a:cs typeface="Arial" pitchFamily="34" charset="0"/>
                                                </a:rPr>
                                                <m:t>𝜆</m:t>
                                              </m:r>
                                            </m:e>
                                            <m:sub>
                                              <m:r>
                                                <a:rPr lang="en-US" sz="1100" i="1">
                                                  <a:latin typeface="Cambria Math" panose="02040503050406030204" pitchFamily="18" charset="0"/>
                                                  <a:ea typeface="Cambria Math" panose="02040503050406030204" pitchFamily="18" charset="0"/>
                                                  <a:cs typeface="Arial" pitchFamily="34" charset="0"/>
                                                </a:rPr>
                                                <m:t>0</m:t>
                                              </m:r>
                                            </m:sub>
                                          </m:sSub>
                                        </m:num>
                                        <m:den>
                                          <m:sSub>
                                            <m:sSubPr>
                                              <m:ctrlPr>
                                                <a:rPr lang="en-US" sz="1100" i="1">
                                                  <a:latin typeface="Cambria Math" panose="02040503050406030204" pitchFamily="18" charset="0"/>
                                                  <a:ea typeface="Cambria Math" panose="02040503050406030204" pitchFamily="18" charset="0"/>
                                                  <a:cs typeface="Arial" pitchFamily="34" charset="0"/>
                                                </a:rPr>
                                              </m:ctrlPr>
                                            </m:sSubPr>
                                            <m:e>
                                              <m:r>
                                                <a:rPr lang="en-US" sz="1100" i="1">
                                                  <a:latin typeface="Cambria Math" panose="02040503050406030204" pitchFamily="18" charset="0"/>
                                                  <a:ea typeface="Cambria Math" panose="02040503050406030204" pitchFamily="18" charset="0"/>
                                                  <a:cs typeface="Arial" pitchFamily="34" charset="0"/>
                                                </a:rPr>
                                                <m:t>𝜆</m:t>
                                              </m:r>
                                            </m:e>
                                            <m:sub>
                                              <m:r>
                                                <a:rPr lang="en-US" sz="1100" b="0" i="1">
                                                  <a:latin typeface="Cambria Math" panose="02040503050406030204" pitchFamily="18" charset="0"/>
                                                  <a:ea typeface="Cambria Math" panose="02040503050406030204" pitchFamily="18" charset="0"/>
                                                  <a:cs typeface="Arial" pitchFamily="34" charset="0"/>
                                                </a:rPr>
                                                <m:t>𝑐</m:t>
                                              </m:r>
                                            </m:sub>
                                          </m:sSub>
                                        </m:den>
                                      </m:f>
                                    </m:e>
                                  </m:d>
                                </m:e>
                                <m:sup>
                                  <m:r>
                                    <a:rPr lang="en-US" sz="1100" b="0" i="1">
                                      <a:latin typeface="Cambria Math" panose="02040503050406030204" pitchFamily="18" charset="0"/>
                                      <a:ea typeface="Cambria Math" panose="02040503050406030204" pitchFamily="18" charset="0"/>
                                      <a:cs typeface="Arial" pitchFamily="34" charset="0"/>
                                    </a:rPr>
                                    <m:t>2</m:t>
                                  </m:r>
                                </m:sup>
                              </m:sSup>
                            </m:e>
                          </m:rad>
                        </m:den>
                      </m:f>
                    </m:oMath>
                  </m:oMathPara>
                </a14:m>
                <a:endParaRPr lang="en-US" sz="1100">
                  <a:latin typeface="Arial" pitchFamily="34" charset="0"/>
                  <a:cs typeface="Arial" pitchFamily="34" charset="0"/>
                </a:endParaRPr>
              </a:p>
            </xdr:txBody>
          </xdr:sp>
        </mc:Choice>
        <mc:Fallback xmlns="">
          <xdr:sp macro="" textlink="">
            <xdr:nvSpPr>
              <xdr:cNvPr id="23" name="TextBox 6">
                <a:extLst>
                  <a:ext uri="{FF2B5EF4-FFF2-40B4-BE49-F238E27FC236}">
                    <a16:creationId xmlns:a16="http://schemas.microsoft.com/office/drawing/2014/main" id="{7538EFA4-45D9-C08A-22CA-7DC8AAA3B0C5}"/>
                  </a:ext>
                </a:extLst>
              </xdr:cNvPr>
              <xdr:cNvSpPr txBox="1"/>
            </xdr:nvSpPr>
            <xdr:spPr>
              <a:xfrm>
                <a:off x="10933509" y="2476500"/>
                <a:ext cx="1320800" cy="392543"/>
              </a:xfrm>
              <a:prstGeom prst="rect">
                <a:avLst/>
              </a:prstGeom>
              <a:noFill/>
            </xdr:spPr>
            <xdr:txBody>
              <a:bodyPr wrap="square" lIns="0" tIns="0" rIns="0" bIns="0" rtlCol="0">
                <a:spAutoFit/>
              </a:bodyPr>
              <a:lstStyle>
                <a:defPPr>
                  <a:defRPr lang="en-US"/>
                </a:defPPr>
                <a:lvl1pPr marL="0" algn="l" defTabSz="1219170" rtl="0" eaLnBrk="1" latinLnBrk="0" hangingPunct="1">
                  <a:defRPr sz="2400" kern="1200">
                    <a:solidFill>
                      <a:schemeClr val="tx1"/>
                    </a:solidFill>
                    <a:latin typeface="+mn-lt"/>
                    <a:ea typeface="+mn-ea"/>
                    <a:cs typeface="+mn-cs"/>
                  </a:defRPr>
                </a:lvl1pPr>
                <a:lvl2pPr marL="609585" algn="l" defTabSz="1219170" rtl="0" eaLnBrk="1" latinLnBrk="0" hangingPunct="1">
                  <a:defRPr sz="2400" kern="1200">
                    <a:solidFill>
                      <a:schemeClr val="tx1"/>
                    </a:solidFill>
                    <a:latin typeface="+mn-lt"/>
                    <a:ea typeface="+mn-ea"/>
                    <a:cs typeface="+mn-cs"/>
                  </a:defRPr>
                </a:lvl2pPr>
                <a:lvl3pPr marL="1219170" algn="l" defTabSz="1219170" rtl="0" eaLnBrk="1" latinLnBrk="0" hangingPunct="1">
                  <a:defRPr sz="2400" kern="1200">
                    <a:solidFill>
                      <a:schemeClr val="tx1"/>
                    </a:solidFill>
                    <a:latin typeface="+mn-lt"/>
                    <a:ea typeface="+mn-ea"/>
                    <a:cs typeface="+mn-cs"/>
                  </a:defRPr>
                </a:lvl3pPr>
                <a:lvl4pPr marL="1828754" algn="l" defTabSz="1219170" rtl="0" eaLnBrk="1" latinLnBrk="0" hangingPunct="1">
                  <a:defRPr sz="2400" kern="1200">
                    <a:solidFill>
                      <a:schemeClr val="tx1"/>
                    </a:solidFill>
                    <a:latin typeface="+mn-lt"/>
                    <a:ea typeface="+mn-ea"/>
                    <a:cs typeface="+mn-cs"/>
                  </a:defRPr>
                </a:lvl4pPr>
                <a:lvl5pPr marL="2438339" algn="l" defTabSz="1219170" rtl="0" eaLnBrk="1" latinLnBrk="0" hangingPunct="1">
                  <a:defRPr sz="2400" kern="1200">
                    <a:solidFill>
                      <a:schemeClr val="tx1"/>
                    </a:solidFill>
                    <a:latin typeface="+mn-lt"/>
                    <a:ea typeface="+mn-ea"/>
                    <a:cs typeface="+mn-cs"/>
                  </a:defRPr>
                </a:lvl5pPr>
                <a:lvl6pPr marL="3047924" algn="l" defTabSz="1219170" rtl="0" eaLnBrk="1" latinLnBrk="0" hangingPunct="1">
                  <a:defRPr sz="2400" kern="1200">
                    <a:solidFill>
                      <a:schemeClr val="tx1"/>
                    </a:solidFill>
                    <a:latin typeface="+mn-lt"/>
                    <a:ea typeface="+mn-ea"/>
                    <a:cs typeface="+mn-cs"/>
                  </a:defRPr>
                </a:lvl6pPr>
                <a:lvl7pPr marL="3657509" algn="l" defTabSz="1219170" rtl="0" eaLnBrk="1" latinLnBrk="0" hangingPunct="1">
                  <a:defRPr sz="2400" kern="1200">
                    <a:solidFill>
                      <a:schemeClr val="tx1"/>
                    </a:solidFill>
                    <a:latin typeface="+mn-lt"/>
                    <a:ea typeface="+mn-ea"/>
                    <a:cs typeface="+mn-cs"/>
                  </a:defRPr>
                </a:lvl7pPr>
                <a:lvl8pPr marL="4267093" algn="l" defTabSz="1219170" rtl="0" eaLnBrk="1" latinLnBrk="0" hangingPunct="1">
                  <a:defRPr sz="2400" kern="1200">
                    <a:solidFill>
                      <a:schemeClr val="tx1"/>
                    </a:solidFill>
                    <a:latin typeface="+mn-lt"/>
                    <a:ea typeface="+mn-ea"/>
                    <a:cs typeface="+mn-cs"/>
                  </a:defRPr>
                </a:lvl8pPr>
                <a:lvl9pPr marL="4876678" algn="l" defTabSz="1219170" rtl="0" eaLnBrk="1" latinLnBrk="0" hangingPunct="1">
                  <a:defRPr sz="2400" kern="1200">
                    <a:solidFill>
                      <a:schemeClr val="tx1"/>
                    </a:solidFill>
                    <a:latin typeface="+mn-lt"/>
                    <a:ea typeface="+mn-ea"/>
                    <a:cs typeface="+mn-cs"/>
                  </a:defRPr>
                </a:lvl9pPr>
              </a:lstStyle>
              <a:p>
                <a:pPr/>
                <a:r>
                  <a:rPr lang="en-US" sz="1100" b="0" i="0">
                    <a:latin typeface="Cambria Math" panose="02040503050406030204" pitchFamily="18" charset="0"/>
                    <a:ea typeface="Cambria Math" panose="02040503050406030204" pitchFamily="18" charset="0"/>
                    <a:cs typeface="Arial" pitchFamily="34" charset="0"/>
                  </a:rPr>
                  <a:t>𝜆_𝑔</a:t>
                </a:r>
                <a:r>
                  <a:rPr lang="en-US" sz="1100" b="0" i="0">
                    <a:latin typeface="Cambria Math" panose="02040503050406030204" pitchFamily="18" charset="0"/>
                    <a:cs typeface="Arial" pitchFamily="34" charset="0"/>
                  </a:rPr>
                  <a:t>=</a:t>
                </a:r>
                <a:r>
                  <a:rPr lang="en-US" sz="1100" b="0" i="0">
                    <a:latin typeface="Cambria Math" panose="02040503050406030204" pitchFamily="18" charset="0"/>
                    <a:ea typeface="Cambria Math" panose="02040503050406030204" pitchFamily="18" charset="0"/>
                    <a:cs typeface="Arial" pitchFamily="34" charset="0"/>
                  </a:rPr>
                  <a:t>𝜆_0/√(</a:t>
                </a:r>
                <a:r>
                  <a:rPr lang="en-US" sz="1100" i="0">
                    <a:latin typeface="Cambria Math" panose="02040503050406030204" pitchFamily="18" charset="0"/>
                    <a:ea typeface="Cambria Math" panose="02040503050406030204" pitchFamily="18" charset="0"/>
                    <a:cs typeface="Arial" pitchFamily="34" charset="0"/>
                  </a:rPr>
                  <a:t>1−(𝜆_0∕𝜆_</a:t>
                </a:r>
                <a:r>
                  <a:rPr lang="en-US" sz="1100" b="0" i="0">
                    <a:latin typeface="Cambria Math" panose="02040503050406030204" pitchFamily="18" charset="0"/>
                    <a:ea typeface="Cambria Math" panose="02040503050406030204" pitchFamily="18" charset="0"/>
                    <a:cs typeface="Arial" pitchFamily="34" charset="0"/>
                  </a:rPr>
                  <a:t>𝑐 )^2 )</a:t>
                </a:r>
                <a:endParaRPr lang="en-US" sz="1100">
                  <a:latin typeface="Arial" pitchFamily="34" charset="0"/>
                  <a:cs typeface="Arial" pitchFamily="34" charset="0"/>
                </a:endParaRPr>
              </a:p>
            </xdr:txBody>
          </xdr:sp>
        </mc:Fallback>
      </mc:AlternateContent>
      <xdr:sp macro="" textlink="">
        <xdr:nvSpPr>
          <xdr:cNvPr id="24" name="TextBox 23">
            <a:extLst>
              <a:ext uri="{FF2B5EF4-FFF2-40B4-BE49-F238E27FC236}">
                <a16:creationId xmlns:a16="http://schemas.microsoft.com/office/drawing/2014/main" id="{D371B4A2-C233-4BA4-9C34-106F7A9AAB96}"/>
              </a:ext>
            </a:extLst>
          </xdr:cNvPr>
          <xdr:cNvSpPr txBox="1"/>
        </xdr:nvSpPr>
        <xdr:spPr>
          <a:xfrm>
            <a:off x="10821422" y="2254250"/>
            <a:ext cx="15449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US" sz="1100" b="1"/>
              <a:t>Waveguide Wavelength</a:t>
            </a:r>
          </a:p>
        </xdr:txBody>
      </xdr:sp>
    </xdr:grpSp>
    <xdr:clientData/>
  </xdr:twoCellAnchor>
  <xdr:twoCellAnchor>
    <xdr:from>
      <xdr:col>0</xdr:col>
      <xdr:colOff>292100</xdr:colOff>
      <xdr:row>29</xdr:row>
      <xdr:rowOff>69850</xdr:rowOff>
    </xdr:from>
    <xdr:to>
      <xdr:col>1</xdr:col>
      <xdr:colOff>234950</xdr:colOff>
      <xdr:row>32</xdr:row>
      <xdr:rowOff>168244</xdr:rowOff>
    </xdr:to>
    <xdr:grpSp>
      <xdr:nvGrpSpPr>
        <xdr:cNvPr id="27" name="Group 26">
          <a:extLst>
            <a:ext uri="{FF2B5EF4-FFF2-40B4-BE49-F238E27FC236}">
              <a16:creationId xmlns:a16="http://schemas.microsoft.com/office/drawing/2014/main" id="{813FAC54-6EC1-2514-E5AE-5CCD2C76E4EE}"/>
            </a:ext>
          </a:extLst>
        </xdr:cNvPr>
        <xdr:cNvGrpSpPr/>
      </xdr:nvGrpSpPr>
      <xdr:grpSpPr>
        <a:xfrm>
          <a:off x="292100" y="5410200"/>
          <a:ext cx="2178050" cy="650844"/>
          <a:chOff x="787400" y="4800600"/>
          <a:chExt cx="2403868" cy="650844"/>
        </a:xfrm>
      </xdr:grpSpPr>
      <mc:AlternateContent xmlns:mc="http://schemas.openxmlformats.org/markup-compatibility/2006" xmlns:a14="http://schemas.microsoft.com/office/drawing/2010/main">
        <mc:Choice Requires="a14">
          <xdr:sp macro="" textlink="">
            <xdr:nvSpPr>
              <xdr:cNvPr id="13" name="TextBox 3">
                <a:extLst>
                  <a:ext uri="{FF2B5EF4-FFF2-40B4-BE49-F238E27FC236}">
                    <a16:creationId xmlns:a16="http://schemas.microsoft.com/office/drawing/2014/main" id="{F6D79735-DE49-2723-761E-76C0F9F3D90D}"/>
                  </a:ext>
                </a:extLst>
              </xdr:cNvPr>
              <xdr:cNvSpPr txBox="1"/>
            </xdr:nvSpPr>
            <xdr:spPr>
              <a:xfrm>
                <a:off x="787400" y="5067300"/>
                <a:ext cx="2403868" cy="384144"/>
              </a:xfrm>
              <a:prstGeom prst="rect">
                <a:avLst/>
              </a:prstGeom>
              <a:noFill/>
            </xdr:spPr>
            <xdr:txBody>
              <a:bodyPr wrap="square" lIns="0" tIns="0" rIns="0" bIns="0" rtlCol="0">
                <a:spAutoFit/>
              </a:bodyPr>
              <a:lstStyle>
                <a:defPPr>
                  <a:defRPr lang="en-US"/>
                </a:defPPr>
                <a:lvl1pPr marL="0" algn="l" defTabSz="1219170" rtl="0" eaLnBrk="1" latinLnBrk="0" hangingPunct="1">
                  <a:defRPr sz="2400" kern="1200">
                    <a:solidFill>
                      <a:schemeClr val="tx1"/>
                    </a:solidFill>
                    <a:latin typeface="+mn-lt"/>
                    <a:ea typeface="+mn-ea"/>
                    <a:cs typeface="+mn-cs"/>
                  </a:defRPr>
                </a:lvl1pPr>
                <a:lvl2pPr marL="609585" algn="l" defTabSz="1219170" rtl="0" eaLnBrk="1" latinLnBrk="0" hangingPunct="1">
                  <a:defRPr sz="2400" kern="1200">
                    <a:solidFill>
                      <a:schemeClr val="tx1"/>
                    </a:solidFill>
                    <a:latin typeface="+mn-lt"/>
                    <a:ea typeface="+mn-ea"/>
                    <a:cs typeface="+mn-cs"/>
                  </a:defRPr>
                </a:lvl2pPr>
                <a:lvl3pPr marL="1219170" algn="l" defTabSz="1219170" rtl="0" eaLnBrk="1" latinLnBrk="0" hangingPunct="1">
                  <a:defRPr sz="2400" kern="1200">
                    <a:solidFill>
                      <a:schemeClr val="tx1"/>
                    </a:solidFill>
                    <a:latin typeface="+mn-lt"/>
                    <a:ea typeface="+mn-ea"/>
                    <a:cs typeface="+mn-cs"/>
                  </a:defRPr>
                </a:lvl3pPr>
                <a:lvl4pPr marL="1828754" algn="l" defTabSz="1219170" rtl="0" eaLnBrk="1" latinLnBrk="0" hangingPunct="1">
                  <a:defRPr sz="2400" kern="1200">
                    <a:solidFill>
                      <a:schemeClr val="tx1"/>
                    </a:solidFill>
                    <a:latin typeface="+mn-lt"/>
                    <a:ea typeface="+mn-ea"/>
                    <a:cs typeface="+mn-cs"/>
                  </a:defRPr>
                </a:lvl4pPr>
                <a:lvl5pPr marL="2438339" algn="l" defTabSz="1219170" rtl="0" eaLnBrk="1" latinLnBrk="0" hangingPunct="1">
                  <a:defRPr sz="2400" kern="1200">
                    <a:solidFill>
                      <a:schemeClr val="tx1"/>
                    </a:solidFill>
                    <a:latin typeface="+mn-lt"/>
                    <a:ea typeface="+mn-ea"/>
                    <a:cs typeface="+mn-cs"/>
                  </a:defRPr>
                </a:lvl5pPr>
                <a:lvl6pPr marL="3047924" algn="l" defTabSz="1219170" rtl="0" eaLnBrk="1" latinLnBrk="0" hangingPunct="1">
                  <a:defRPr sz="2400" kern="1200">
                    <a:solidFill>
                      <a:schemeClr val="tx1"/>
                    </a:solidFill>
                    <a:latin typeface="+mn-lt"/>
                    <a:ea typeface="+mn-ea"/>
                    <a:cs typeface="+mn-cs"/>
                  </a:defRPr>
                </a:lvl6pPr>
                <a:lvl7pPr marL="3657509" algn="l" defTabSz="1219170" rtl="0" eaLnBrk="1" latinLnBrk="0" hangingPunct="1">
                  <a:defRPr sz="2400" kern="1200">
                    <a:solidFill>
                      <a:schemeClr val="tx1"/>
                    </a:solidFill>
                    <a:latin typeface="+mn-lt"/>
                    <a:ea typeface="+mn-ea"/>
                    <a:cs typeface="+mn-cs"/>
                  </a:defRPr>
                </a:lvl7pPr>
                <a:lvl8pPr marL="4267093" algn="l" defTabSz="1219170" rtl="0" eaLnBrk="1" latinLnBrk="0" hangingPunct="1">
                  <a:defRPr sz="2400" kern="1200">
                    <a:solidFill>
                      <a:schemeClr val="tx1"/>
                    </a:solidFill>
                    <a:latin typeface="+mn-lt"/>
                    <a:ea typeface="+mn-ea"/>
                    <a:cs typeface="+mn-cs"/>
                  </a:defRPr>
                </a:lvl8pPr>
                <a:lvl9pPr marL="4876678" algn="l" defTabSz="1219170" rtl="0" eaLnBrk="1" latinLnBrk="0" hangingPunct="1">
                  <a:defRPr sz="24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cs typeface="Arial" pitchFamily="34" charset="0"/>
                            </a:rPr>
                          </m:ctrlPr>
                        </m:sSubPr>
                        <m:e>
                          <m:r>
                            <a:rPr lang="en-US" sz="1100" b="0" i="1">
                              <a:latin typeface="Cambria Math" panose="02040503050406030204" pitchFamily="18" charset="0"/>
                              <a:cs typeface="Arial" pitchFamily="34" charset="0"/>
                            </a:rPr>
                            <m:t>𝑃</m:t>
                          </m:r>
                        </m:e>
                        <m:sub>
                          <m:r>
                            <a:rPr lang="en-US" sz="1100" b="0" i="1">
                              <a:latin typeface="Cambria Math" panose="02040503050406030204" pitchFamily="18" charset="0"/>
                              <a:cs typeface="Arial" pitchFamily="34" charset="0"/>
                            </a:rPr>
                            <m:t>𝐵𝑅</m:t>
                          </m:r>
                        </m:sub>
                      </m:sSub>
                      <m:r>
                        <a:rPr lang="en-US" sz="1100" b="0" i="1">
                          <a:latin typeface="Cambria Math" panose="02040503050406030204" pitchFamily="18" charset="0"/>
                          <a:cs typeface="Arial" pitchFamily="34" charset="0"/>
                        </a:rPr>
                        <m:t>=6.63 ×</m:t>
                      </m:r>
                      <m:sSup>
                        <m:sSupPr>
                          <m:ctrlPr>
                            <a:rPr lang="en-US" sz="1100" b="0" i="1">
                              <a:latin typeface="Cambria Math" panose="02040503050406030204" pitchFamily="18" charset="0"/>
                              <a:ea typeface="Cambria Math" panose="02040503050406030204" pitchFamily="18" charset="0"/>
                              <a:cs typeface="Arial" pitchFamily="34" charset="0"/>
                            </a:rPr>
                          </m:ctrlPr>
                        </m:sSupPr>
                        <m:e>
                          <m:r>
                            <a:rPr lang="en-US" sz="1100" b="0" i="1">
                              <a:latin typeface="Cambria Math" panose="02040503050406030204" pitchFamily="18" charset="0"/>
                              <a:ea typeface="Cambria Math" panose="02040503050406030204" pitchFamily="18" charset="0"/>
                              <a:cs typeface="Arial" pitchFamily="34" charset="0"/>
                            </a:rPr>
                            <m:t>10</m:t>
                          </m:r>
                        </m:e>
                        <m:sup>
                          <m:r>
                            <a:rPr lang="en-US" sz="1100" b="0" i="1">
                              <a:latin typeface="Cambria Math" panose="02040503050406030204" pitchFamily="18" charset="0"/>
                              <a:ea typeface="Cambria Math" panose="02040503050406030204" pitchFamily="18" charset="0"/>
                              <a:cs typeface="Arial" pitchFamily="34" charset="0"/>
                            </a:rPr>
                            <m:t>−4</m:t>
                          </m:r>
                        </m:sup>
                      </m:sSup>
                      <m:r>
                        <a:rPr lang="en-US" sz="1100" b="0" i="1">
                          <a:latin typeface="Cambria Math" panose="02040503050406030204" pitchFamily="18" charset="0"/>
                          <a:cs typeface="Arial" pitchFamily="34" charset="0"/>
                        </a:rPr>
                        <m:t>𝑎𝑏</m:t>
                      </m:r>
                      <m:d>
                        <m:dPr>
                          <m:ctrlPr>
                            <a:rPr lang="en-US" sz="1100" i="1">
                              <a:latin typeface="Cambria Math" panose="02040503050406030204" pitchFamily="18" charset="0"/>
                              <a:cs typeface="Arial" pitchFamily="34" charset="0"/>
                            </a:rPr>
                          </m:ctrlPr>
                        </m:dPr>
                        <m:e>
                          <m:f>
                            <m:fPr>
                              <m:ctrlPr>
                                <a:rPr lang="en-US" sz="1100" i="1">
                                  <a:latin typeface="Cambria Math" panose="02040503050406030204" pitchFamily="18" charset="0"/>
                                  <a:cs typeface="Arial" pitchFamily="34" charset="0"/>
                                </a:rPr>
                              </m:ctrlPr>
                            </m:fPr>
                            <m:num>
                              <m:sSub>
                                <m:sSubPr>
                                  <m:ctrlPr>
                                    <a:rPr lang="en-US" sz="1100" b="0" i="1">
                                      <a:latin typeface="Cambria Math" panose="02040503050406030204" pitchFamily="18" charset="0"/>
                                      <a:ea typeface="Cambria Math" panose="02040503050406030204" pitchFamily="18" charset="0"/>
                                      <a:cs typeface="Arial" pitchFamily="34" charset="0"/>
                                    </a:rPr>
                                  </m:ctrlPr>
                                </m:sSubPr>
                                <m:e>
                                  <m:r>
                                    <a:rPr lang="en-US" sz="1100" i="1">
                                      <a:latin typeface="Cambria Math" panose="02040503050406030204" pitchFamily="18" charset="0"/>
                                      <a:ea typeface="Cambria Math" panose="02040503050406030204" pitchFamily="18" charset="0"/>
                                      <a:cs typeface="Arial" pitchFamily="34" charset="0"/>
                                    </a:rPr>
                                    <m:t>𝜆</m:t>
                                  </m:r>
                                </m:e>
                                <m:sub>
                                  <m:r>
                                    <a:rPr lang="en-US" sz="1100" b="0" i="1">
                                      <a:latin typeface="Cambria Math" panose="02040503050406030204" pitchFamily="18" charset="0"/>
                                      <a:ea typeface="Cambria Math" panose="02040503050406030204" pitchFamily="18" charset="0"/>
                                      <a:cs typeface="Arial" pitchFamily="34" charset="0"/>
                                    </a:rPr>
                                    <m:t>0</m:t>
                                  </m:r>
                                </m:sub>
                              </m:sSub>
                            </m:num>
                            <m:den>
                              <m:sSub>
                                <m:sSubPr>
                                  <m:ctrlPr>
                                    <a:rPr lang="en-US" sz="1100" i="1">
                                      <a:latin typeface="Cambria Math" panose="02040503050406030204" pitchFamily="18" charset="0"/>
                                      <a:ea typeface="Cambria Math" panose="02040503050406030204" pitchFamily="18" charset="0"/>
                                      <a:cs typeface="Arial" pitchFamily="34" charset="0"/>
                                    </a:rPr>
                                  </m:ctrlPr>
                                </m:sSubPr>
                                <m:e>
                                  <m:r>
                                    <a:rPr lang="en-US" sz="1100" i="1">
                                      <a:latin typeface="Cambria Math" panose="02040503050406030204" pitchFamily="18" charset="0"/>
                                      <a:ea typeface="Cambria Math" panose="02040503050406030204" pitchFamily="18" charset="0"/>
                                      <a:cs typeface="Arial" pitchFamily="34" charset="0"/>
                                    </a:rPr>
                                    <m:t>𝜆</m:t>
                                  </m:r>
                                </m:e>
                                <m:sub>
                                  <m:r>
                                    <a:rPr lang="en-US" sz="1100" i="1">
                                      <a:latin typeface="Cambria Math" panose="02040503050406030204" pitchFamily="18" charset="0"/>
                                      <a:ea typeface="Cambria Math" panose="02040503050406030204" pitchFamily="18" charset="0"/>
                                      <a:cs typeface="Arial" pitchFamily="34" charset="0"/>
                                    </a:rPr>
                                    <m:t>𝑔</m:t>
                                  </m:r>
                                </m:sub>
                              </m:sSub>
                            </m:den>
                          </m:f>
                        </m:e>
                      </m:d>
                      <m:sSup>
                        <m:sSupPr>
                          <m:ctrlPr>
                            <a:rPr lang="en-US" sz="1100" i="1">
                              <a:latin typeface="Cambria Math" panose="02040503050406030204" pitchFamily="18" charset="0"/>
                              <a:ea typeface="Cambria Math" panose="02040503050406030204" pitchFamily="18" charset="0"/>
                              <a:cs typeface="Arial" pitchFamily="34" charset="0"/>
                            </a:rPr>
                          </m:ctrlPr>
                        </m:sSupPr>
                        <m:e>
                          <m:sSub>
                            <m:sSubPr>
                              <m:ctrlPr>
                                <a:rPr lang="en-US" sz="1100" i="1">
                                  <a:latin typeface="Cambria Math" panose="02040503050406030204" pitchFamily="18" charset="0"/>
                                  <a:ea typeface="Cambria Math" panose="02040503050406030204" pitchFamily="18" charset="0"/>
                                  <a:cs typeface="Arial" pitchFamily="34" charset="0"/>
                                </a:rPr>
                              </m:ctrlPr>
                            </m:sSubPr>
                            <m:e>
                              <m:r>
                                <a:rPr lang="en-US" sz="1100" i="1">
                                  <a:latin typeface="Cambria Math" panose="02040503050406030204" pitchFamily="18" charset="0"/>
                                  <a:ea typeface="Cambria Math" panose="02040503050406030204" pitchFamily="18" charset="0"/>
                                  <a:cs typeface="Arial" pitchFamily="34" charset="0"/>
                                </a:rPr>
                                <m:t>𝐸</m:t>
                              </m:r>
                            </m:e>
                            <m:sub>
                              <m:r>
                                <a:rPr lang="en-US" sz="1100" i="1">
                                  <a:latin typeface="Cambria Math" panose="02040503050406030204" pitchFamily="18" charset="0"/>
                                  <a:ea typeface="Cambria Math" panose="02040503050406030204" pitchFamily="18" charset="0"/>
                                  <a:cs typeface="Arial" pitchFamily="34" charset="0"/>
                                </a:rPr>
                                <m:t>𝑀𝐴𝑋</m:t>
                              </m:r>
                            </m:sub>
                          </m:sSub>
                        </m:e>
                        <m:sup>
                          <m:r>
                            <a:rPr lang="en-US" sz="1100" i="1">
                              <a:latin typeface="Cambria Math" panose="02040503050406030204" pitchFamily="18" charset="0"/>
                              <a:ea typeface="Cambria Math" panose="02040503050406030204" pitchFamily="18" charset="0"/>
                              <a:cs typeface="Arial" pitchFamily="34" charset="0"/>
                            </a:rPr>
                            <m:t>2</m:t>
                          </m:r>
                        </m:sup>
                      </m:sSup>
                    </m:oMath>
                  </m:oMathPara>
                </a14:m>
                <a:endParaRPr lang="en-US" sz="1100">
                  <a:latin typeface="Arial" pitchFamily="34" charset="0"/>
                  <a:cs typeface="Arial" pitchFamily="34" charset="0"/>
                </a:endParaRPr>
              </a:p>
            </xdr:txBody>
          </xdr:sp>
        </mc:Choice>
        <mc:Fallback xmlns="">
          <xdr:sp macro="" textlink="">
            <xdr:nvSpPr>
              <xdr:cNvPr id="13" name="TextBox 3">
                <a:extLst>
                  <a:ext uri="{FF2B5EF4-FFF2-40B4-BE49-F238E27FC236}">
                    <a16:creationId xmlns:a16="http://schemas.microsoft.com/office/drawing/2014/main" id="{F6D79735-DE49-2723-761E-76C0F9F3D90D}"/>
                  </a:ext>
                </a:extLst>
              </xdr:cNvPr>
              <xdr:cNvSpPr txBox="1"/>
            </xdr:nvSpPr>
            <xdr:spPr>
              <a:xfrm>
                <a:off x="787400" y="5067300"/>
                <a:ext cx="2403868" cy="384144"/>
              </a:xfrm>
              <a:prstGeom prst="rect">
                <a:avLst/>
              </a:prstGeom>
              <a:noFill/>
            </xdr:spPr>
            <xdr:txBody>
              <a:bodyPr wrap="square" lIns="0" tIns="0" rIns="0" bIns="0" rtlCol="0">
                <a:spAutoFit/>
              </a:bodyPr>
              <a:lstStyle>
                <a:defPPr>
                  <a:defRPr lang="en-US"/>
                </a:defPPr>
                <a:lvl1pPr marL="0" algn="l" defTabSz="1219170" rtl="0" eaLnBrk="1" latinLnBrk="0" hangingPunct="1">
                  <a:defRPr sz="2400" kern="1200">
                    <a:solidFill>
                      <a:schemeClr val="tx1"/>
                    </a:solidFill>
                    <a:latin typeface="+mn-lt"/>
                    <a:ea typeface="+mn-ea"/>
                    <a:cs typeface="+mn-cs"/>
                  </a:defRPr>
                </a:lvl1pPr>
                <a:lvl2pPr marL="609585" algn="l" defTabSz="1219170" rtl="0" eaLnBrk="1" latinLnBrk="0" hangingPunct="1">
                  <a:defRPr sz="2400" kern="1200">
                    <a:solidFill>
                      <a:schemeClr val="tx1"/>
                    </a:solidFill>
                    <a:latin typeface="+mn-lt"/>
                    <a:ea typeface="+mn-ea"/>
                    <a:cs typeface="+mn-cs"/>
                  </a:defRPr>
                </a:lvl2pPr>
                <a:lvl3pPr marL="1219170" algn="l" defTabSz="1219170" rtl="0" eaLnBrk="1" latinLnBrk="0" hangingPunct="1">
                  <a:defRPr sz="2400" kern="1200">
                    <a:solidFill>
                      <a:schemeClr val="tx1"/>
                    </a:solidFill>
                    <a:latin typeface="+mn-lt"/>
                    <a:ea typeface="+mn-ea"/>
                    <a:cs typeface="+mn-cs"/>
                  </a:defRPr>
                </a:lvl3pPr>
                <a:lvl4pPr marL="1828754" algn="l" defTabSz="1219170" rtl="0" eaLnBrk="1" latinLnBrk="0" hangingPunct="1">
                  <a:defRPr sz="2400" kern="1200">
                    <a:solidFill>
                      <a:schemeClr val="tx1"/>
                    </a:solidFill>
                    <a:latin typeface="+mn-lt"/>
                    <a:ea typeface="+mn-ea"/>
                    <a:cs typeface="+mn-cs"/>
                  </a:defRPr>
                </a:lvl4pPr>
                <a:lvl5pPr marL="2438339" algn="l" defTabSz="1219170" rtl="0" eaLnBrk="1" latinLnBrk="0" hangingPunct="1">
                  <a:defRPr sz="2400" kern="1200">
                    <a:solidFill>
                      <a:schemeClr val="tx1"/>
                    </a:solidFill>
                    <a:latin typeface="+mn-lt"/>
                    <a:ea typeface="+mn-ea"/>
                    <a:cs typeface="+mn-cs"/>
                  </a:defRPr>
                </a:lvl5pPr>
                <a:lvl6pPr marL="3047924" algn="l" defTabSz="1219170" rtl="0" eaLnBrk="1" latinLnBrk="0" hangingPunct="1">
                  <a:defRPr sz="2400" kern="1200">
                    <a:solidFill>
                      <a:schemeClr val="tx1"/>
                    </a:solidFill>
                    <a:latin typeface="+mn-lt"/>
                    <a:ea typeface="+mn-ea"/>
                    <a:cs typeface="+mn-cs"/>
                  </a:defRPr>
                </a:lvl6pPr>
                <a:lvl7pPr marL="3657509" algn="l" defTabSz="1219170" rtl="0" eaLnBrk="1" latinLnBrk="0" hangingPunct="1">
                  <a:defRPr sz="2400" kern="1200">
                    <a:solidFill>
                      <a:schemeClr val="tx1"/>
                    </a:solidFill>
                    <a:latin typeface="+mn-lt"/>
                    <a:ea typeface="+mn-ea"/>
                    <a:cs typeface="+mn-cs"/>
                  </a:defRPr>
                </a:lvl7pPr>
                <a:lvl8pPr marL="4267093" algn="l" defTabSz="1219170" rtl="0" eaLnBrk="1" latinLnBrk="0" hangingPunct="1">
                  <a:defRPr sz="2400" kern="1200">
                    <a:solidFill>
                      <a:schemeClr val="tx1"/>
                    </a:solidFill>
                    <a:latin typeface="+mn-lt"/>
                    <a:ea typeface="+mn-ea"/>
                    <a:cs typeface="+mn-cs"/>
                  </a:defRPr>
                </a:lvl8pPr>
                <a:lvl9pPr marL="4876678" algn="l" defTabSz="1219170" rtl="0" eaLnBrk="1" latinLnBrk="0" hangingPunct="1">
                  <a:defRPr sz="2400" kern="1200">
                    <a:solidFill>
                      <a:schemeClr val="tx1"/>
                    </a:solidFill>
                    <a:latin typeface="+mn-lt"/>
                    <a:ea typeface="+mn-ea"/>
                    <a:cs typeface="+mn-cs"/>
                  </a:defRPr>
                </a:lvl9pPr>
              </a:lstStyle>
              <a:p>
                <a:pPr/>
                <a:r>
                  <a:rPr lang="en-US" sz="1100" b="0" i="0">
                    <a:latin typeface="Cambria Math" panose="02040503050406030204" pitchFamily="18" charset="0"/>
                    <a:cs typeface="Arial" pitchFamily="34" charset="0"/>
                  </a:rPr>
                  <a:t>𝑃_𝐵𝑅=6.63 ×</a:t>
                </a:r>
                <a:r>
                  <a:rPr lang="en-US" sz="1100" b="0" i="0">
                    <a:latin typeface="Cambria Math" panose="02040503050406030204" pitchFamily="18" charset="0"/>
                    <a:ea typeface="Cambria Math" panose="02040503050406030204" pitchFamily="18" charset="0"/>
                    <a:cs typeface="Arial" pitchFamily="34" charset="0"/>
                  </a:rPr>
                  <a:t>10^(−4) </a:t>
                </a:r>
                <a:r>
                  <a:rPr lang="en-US" sz="1100" b="0" i="0">
                    <a:latin typeface="Cambria Math" panose="02040503050406030204" pitchFamily="18" charset="0"/>
                    <a:cs typeface="Arial" pitchFamily="34" charset="0"/>
                  </a:rPr>
                  <a:t>𝑎𝑏</a:t>
                </a:r>
                <a:r>
                  <a:rPr lang="en-US" sz="1100" i="0">
                    <a:latin typeface="Cambria Math" panose="02040503050406030204" pitchFamily="18" charset="0"/>
                    <a:cs typeface="Arial" pitchFamily="34" charset="0"/>
                  </a:rPr>
                  <a:t>(</a:t>
                </a:r>
                <a:r>
                  <a:rPr lang="en-US" sz="1100" i="0">
                    <a:latin typeface="Cambria Math" panose="02040503050406030204" pitchFamily="18" charset="0"/>
                    <a:ea typeface="Cambria Math" panose="02040503050406030204" pitchFamily="18" charset="0"/>
                    <a:cs typeface="Arial" pitchFamily="34" charset="0"/>
                  </a:rPr>
                  <a:t>𝜆</a:t>
                </a:r>
                <a:r>
                  <a:rPr lang="en-US" sz="1100" b="0" i="0">
                    <a:latin typeface="Cambria Math" panose="02040503050406030204" pitchFamily="18" charset="0"/>
                    <a:ea typeface="Cambria Math" panose="02040503050406030204" pitchFamily="18" charset="0"/>
                    <a:cs typeface="Arial" pitchFamily="34" charset="0"/>
                  </a:rPr>
                  <a:t>_0/</a:t>
                </a:r>
                <a:r>
                  <a:rPr lang="en-US" sz="1100" i="0">
                    <a:latin typeface="Cambria Math" panose="02040503050406030204" pitchFamily="18" charset="0"/>
                    <a:ea typeface="Cambria Math" panose="02040503050406030204" pitchFamily="18" charset="0"/>
                    <a:cs typeface="Arial" pitchFamily="34" charset="0"/>
                  </a:rPr>
                  <a:t>𝜆_𝑔 ) 〖𝐸_𝑀𝐴𝑋〗^2</a:t>
                </a:r>
                <a:endParaRPr lang="en-US" sz="1100">
                  <a:latin typeface="Arial" pitchFamily="34" charset="0"/>
                  <a:cs typeface="Arial" pitchFamily="34" charset="0"/>
                </a:endParaRPr>
              </a:p>
            </xdr:txBody>
          </xdr:sp>
        </mc:Fallback>
      </mc:AlternateContent>
      <xdr:sp macro="" textlink="">
        <xdr:nvSpPr>
          <xdr:cNvPr id="26" name="TextBox 25">
            <a:extLst>
              <a:ext uri="{FF2B5EF4-FFF2-40B4-BE49-F238E27FC236}">
                <a16:creationId xmlns:a16="http://schemas.microsoft.com/office/drawing/2014/main" id="{F73EF4C7-DB5C-4FBA-8FDF-F91FAE13988E}"/>
              </a:ext>
            </a:extLst>
          </xdr:cNvPr>
          <xdr:cNvSpPr txBox="1"/>
        </xdr:nvSpPr>
        <xdr:spPr>
          <a:xfrm>
            <a:off x="1212850" y="4800600"/>
            <a:ext cx="112395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100" b="1"/>
              <a:t>Power Handling</a:t>
            </a:r>
          </a:p>
        </xdr:txBody>
      </xdr:sp>
    </xdr:grpSp>
    <xdr:clientData/>
  </xdr:twoCellAnchor>
  <xdr:twoCellAnchor>
    <xdr:from>
      <xdr:col>4</xdr:col>
      <xdr:colOff>182975</xdr:colOff>
      <xdr:row>29</xdr:row>
      <xdr:rowOff>25400</xdr:rowOff>
    </xdr:from>
    <xdr:to>
      <xdr:col>9</xdr:col>
      <xdr:colOff>825087</xdr:colOff>
      <xdr:row>36</xdr:row>
      <xdr:rowOff>158750</xdr:rowOff>
    </xdr:to>
    <xdr:graphicFrame macro="">
      <xdr:nvGraphicFramePr>
        <xdr:cNvPr id="2" name="BWChart">
          <a:extLst>
            <a:ext uri="{FF2B5EF4-FFF2-40B4-BE49-F238E27FC236}">
              <a16:creationId xmlns:a16="http://schemas.microsoft.com/office/drawing/2014/main" id="{8C185254-0A74-36DB-6651-93B66A0A8A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753068</xdr:colOff>
      <xdr:row>31</xdr:row>
      <xdr:rowOff>57152</xdr:rowOff>
    </xdr:from>
    <xdr:to>
      <xdr:col>9</xdr:col>
      <xdr:colOff>254994</xdr:colOff>
      <xdr:row>32</xdr:row>
      <xdr:rowOff>123520</xdr:rowOff>
    </xdr:to>
    <xdr:grpSp>
      <xdr:nvGrpSpPr>
        <xdr:cNvPr id="22" name="Group 21">
          <a:extLst>
            <a:ext uri="{FF2B5EF4-FFF2-40B4-BE49-F238E27FC236}">
              <a16:creationId xmlns:a16="http://schemas.microsoft.com/office/drawing/2014/main" id="{2D087EA2-8AA5-AB21-A724-77D124209AF0}"/>
            </a:ext>
          </a:extLst>
        </xdr:cNvPr>
        <xdr:cNvGrpSpPr/>
      </xdr:nvGrpSpPr>
      <xdr:grpSpPr>
        <a:xfrm>
          <a:off x="4747218" y="5765802"/>
          <a:ext cx="4327926" cy="250518"/>
          <a:chOff x="4389903" y="5435600"/>
          <a:chExt cx="4023418" cy="266770"/>
        </a:xfrm>
      </xdr:grpSpPr>
      <xdr:sp macro="" textlink="">
        <xdr:nvSpPr>
          <xdr:cNvPr id="19" name="Rectangle 18">
            <a:extLst>
              <a:ext uri="{FF2B5EF4-FFF2-40B4-BE49-F238E27FC236}">
                <a16:creationId xmlns:a16="http://schemas.microsoft.com/office/drawing/2014/main" id="{6D27E70D-E8D1-4982-BB29-69108A59B6EC}"/>
              </a:ext>
            </a:extLst>
          </xdr:cNvPr>
          <xdr:cNvSpPr/>
        </xdr:nvSpPr>
        <xdr:spPr>
          <a:xfrm>
            <a:off x="4389903" y="5534060"/>
            <a:ext cx="323850" cy="69850"/>
          </a:xfrm>
          <a:prstGeom prst="rect">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lot Data'!G4">
        <xdr:nvSpPr>
          <xdr:cNvPr id="20" name="TextBox 19">
            <a:extLst>
              <a:ext uri="{FF2B5EF4-FFF2-40B4-BE49-F238E27FC236}">
                <a16:creationId xmlns:a16="http://schemas.microsoft.com/office/drawing/2014/main" id="{435398F4-3F23-45B7-BBB4-721E34BE325E}"/>
              </a:ext>
            </a:extLst>
          </xdr:cNvPr>
          <xdr:cNvSpPr txBox="1"/>
        </xdr:nvSpPr>
        <xdr:spPr>
          <a:xfrm>
            <a:off x="6826374" y="5435600"/>
            <a:ext cx="1586947" cy="2667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D688EB07-5026-4183-A5B5-370D1E7F6C3B}" type="TxLink">
              <a:rPr lang="en-US" sz="1000" b="0" i="0" u="none" strike="noStrike">
                <a:solidFill>
                  <a:srgbClr val="595959"/>
                </a:solidFill>
                <a:latin typeface="Calibri"/>
                <a:ea typeface="Calibri"/>
                <a:cs typeface="Calibri"/>
              </a:rPr>
              <a:pPr/>
              <a:t>Operating Frequency Range</a:t>
            </a:fld>
            <a:endParaRPr lang="en-US" sz="1000">
              <a:solidFill>
                <a:srgbClr val="595959"/>
              </a:solidFill>
            </a:endParaRPr>
          </a:p>
        </xdr:txBody>
      </xdr:sp>
      <xdr:sp macro="" textlink="">
        <xdr:nvSpPr>
          <xdr:cNvPr id="21" name="Rectangle 20">
            <a:extLst>
              <a:ext uri="{FF2B5EF4-FFF2-40B4-BE49-F238E27FC236}">
                <a16:creationId xmlns:a16="http://schemas.microsoft.com/office/drawing/2014/main" id="{69B44372-AF39-4D70-BC2F-969C3DD3F334}"/>
              </a:ext>
            </a:extLst>
          </xdr:cNvPr>
          <xdr:cNvSpPr/>
        </xdr:nvSpPr>
        <xdr:spPr>
          <a:xfrm>
            <a:off x="6520023" y="5534060"/>
            <a:ext cx="323850" cy="69850"/>
          </a:xfrm>
          <a:prstGeom prst="rect">
            <a:avLst/>
          </a:prstGeom>
          <a:solidFill>
            <a:schemeClr val="accent4">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lot Data'!F4">
        <xdr:nvSpPr>
          <xdr:cNvPr id="18" name="TextBox 17">
            <a:extLst>
              <a:ext uri="{FF2B5EF4-FFF2-40B4-BE49-F238E27FC236}">
                <a16:creationId xmlns:a16="http://schemas.microsoft.com/office/drawing/2014/main" id="{460174D6-E94C-4B1A-9433-C7201B2F297D}"/>
              </a:ext>
            </a:extLst>
          </xdr:cNvPr>
          <xdr:cNvSpPr txBox="1"/>
        </xdr:nvSpPr>
        <xdr:spPr>
          <a:xfrm>
            <a:off x="4683296" y="5435600"/>
            <a:ext cx="1726410" cy="2667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B093F7BC-B48B-49EF-8CE2-C21A7773B197}" type="TxLink">
              <a:rPr lang="en-US" sz="1000" b="0" i="0" u="none" strike="noStrike">
                <a:solidFill>
                  <a:srgbClr val="595959"/>
                </a:solidFill>
                <a:latin typeface="Calibri"/>
                <a:ea typeface="Calibri"/>
                <a:cs typeface="Calibri"/>
              </a:rPr>
              <a:pPr/>
              <a:t>Useable Waveguide Bandwidth</a:t>
            </a:fld>
            <a:endParaRPr lang="en-US" sz="1000">
              <a:solidFill>
                <a:srgbClr val="595959"/>
              </a:solidFill>
            </a:endParaRPr>
          </a:p>
        </xdr:txBody>
      </xdr:sp>
    </xdr:grpSp>
    <xdr:clientData/>
  </xdr:twoCellAnchor>
</xdr:wsDr>
</file>

<file path=xl/drawings/drawing2.xml><?xml version="1.0" encoding="utf-8"?>
<xdr:wsDr xmlns:xdr="http://schemas.openxmlformats.org/drawingml/2006/spreadsheetDrawing" xmlns:a="http://schemas.openxmlformats.org/drawingml/2006/main">
  <xdr:oneCellAnchor>
    <xdr:from>
      <xdr:col>3</xdr:col>
      <xdr:colOff>88900</xdr:colOff>
      <xdr:row>8</xdr:row>
      <xdr:rowOff>25400</xdr:rowOff>
    </xdr:from>
    <xdr:ext cx="1576393" cy="17376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60011D46-8C07-42CE-B862-E78F5B8A96AE}"/>
                </a:ext>
              </a:extLst>
            </xdr:cNvPr>
            <xdr:cNvSpPr txBox="1"/>
          </xdr:nvSpPr>
          <xdr:spPr>
            <a:xfrm>
              <a:off x="3841750" y="1600200"/>
              <a:ext cx="1576393"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ea typeface="Cambria Math" panose="02040503050406030204" pitchFamily="18" charset="0"/>
                      </a:rPr>
                      <m:t>𝜌</m:t>
                    </m:r>
                    <m:d>
                      <m:dPr>
                        <m:ctrlPr>
                          <a:rPr lang="en-US" sz="1100" b="0" i="1">
                            <a:latin typeface="Cambria Math" panose="02040503050406030204" pitchFamily="18" charset="0"/>
                            <a:ea typeface="Cambria Math" panose="02040503050406030204" pitchFamily="18" charset="0"/>
                          </a:rPr>
                        </m:ctrlPr>
                      </m:dPr>
                      <m:e>
                        <m:r>
                          <a:rPr lang="en-US" sz="1100" b="0" i="1">
                            <a:latin typeface="Cambria Math" panose="02040503050406030204" pitchFamily="18" charset="0"/>
                            <a:ea typeface="Cambria Math" panose="02040503050406030204" pitchFamily="18" charset="0"/>
                          </a:rPr>
                          <m:t>𝑇</m:t>
                        </m:r>
                      </m:e>
                    </m:d>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𝜌</m:t>
                        </m:r>
                      </m:e>
                      <m:sub>
                        <m:r>
                          <a:rPr lang="en-US" sz="1100" b="0" i="1">
                            <a:latin typeface="Cambria Math" panose="02040503050406030204" pitchFamily="18" charset="0"/>
                          </a:rPr>
                          <m:t>0</m:t>
                        </m:r>
                      </m:sub>
                    </m:sSub>
                    <m:d>
                      <m:dPr>
                        <m:begChr m:val="["/>
                        <m:endChr m:val="]"/>
                        <m:ctrlPr>
                          <a:rPr lang="en-US" sz="1100" b="0" i="1">
                            <a:latin typeface="Cambria Math" panose="02040503050406030204" pitchFamily="18" charset="0"/>
                          </a:rPr>
                        </m:ctrlPr>
                      </m:dPr>
                      <m:e>
                        <m:r>
                          <a:rPr lang="en-US" sz="1100" b="0" i="1">
                            <a:latin typeface="Cambria Math" panose="02040503050406030204" pitchFamily="18" charset="0"/>
                          </a:rPr>
                          <m:t>1+</m:t>
                        </m:r>
                        <m:r>
                          <a:rPr lang="en-US" sz="1100" b="0" i="1">
                            <a:latin typeface="Cambria Math" panose="02040503050406030204" pitchFamily="18" charset="0"/>
                            <a:ea typeface="Cambria Math" panose="02040503050406030204" pitchFamily="18" charset="0"/>
                          </a:rPr>
                          <m:t>𝛼</m:t>
                        </m:r>
                        <m:d>
                          <m:dPr>
                            <m:ctrlPr>
                              <a:rPr lang="en-US" sz="1100" b="0" i="1">
                                <a:latin typeface="Cambria Math" panose="02040503050406030204" pitchFamily="18" charset="0"/>
                                <a:ea typeface="Cambria Math" panose="02040503050406030204" pitchFamily="18" charset="0"/>
                              </a:rPr>
                            </m:ctrlPr>
                          </m:dPr>
                          <m:e>
                            <m:r>
                              <a:rPr lang="en-US" sz="1100" b="0" i="1">
                                <a:latin typeface="Cambria Math" panose="02040503050406030204" pitchFamily="18" charset="0"/>
                                <a:ea typeface="Cambria Math" panose="02040503050406030204" pitchFamily="18" charset="0"/>
                              </a:rPr>
                              <m:t>𝑇</m:t>
                            </m:r>
                            <m:r>
                              <a:rPr lang="en-US" sz="1100" b="0" i="1">
                                <a:latin typeface="Cambria Math" panose="02040503050406030204" pitchFamily="18" charset="0"/>
                                <a:ea typeface="Cambria Math" panose="02040503050406030204" pitchFamily="18" charset="0"/>
                              </a:rPr>
                              <m:t>−</m:t>
                            </m:r>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𝑇</m:t>
                                </m:r>
                              </m:e>
                              <m:sub>
                                <m:r>
                                  <a:rPr lang="en-US" sz="1100" b="0" i="1">
                                    <a:latin typeface="Cambria Math" panose="02040503050406030204" pitchFamily="18" charset="0"/>
                                    <a:ea typeface="Cambria Math" panose="02040503050406030204" pitchFamily="18" charset="0"/>
                                  </a:rPr>
                                  <m:t>0</m:t>
                                </m:r>
                              </m:sub>
                            </m:sSub>
                          </m:e>
                        </m:d>
                      </m:e>
                    </m:d>
                  </m:oMath>
                </m:oMathPara>
              </a14:m>
              <a:endParaRPr lang="en-US" sz="1100"/>
            </a:p>
          </xdr:txBody>
        </xdr:sp>
      </mc:Choice>
      <mc:Fallback xmlns="">
        <xdr:sp macro="" textlink="">
          <xdr:nvSpPr>
            <xdr:cNvPr id="2" name="TextBox 1">
              <a:extLst>
                <a:ext uri="{FF2B5EF4-FFF2-40B4-BE49-F238E27FC236}">
                  <a16:creationId xmlns:a16="http://schemas.microsoft.com/office/drawing/2014/main" id="{60011D46-8C07-42CE-B862-E78F5B8A96AE}"/>
                </a:ext>
              </a:extLst>
            </xdr:cNvPr>
            <xdr:cNvSpPr txBox="1"/>
          </xdr:nvSpPr>
          <xdr:spPr>
            <a:xfrm>
              <a:off x="3841750" y="1600200"/>
              <a:ext cx="1576393"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𝜌(𝑇)</a:t>
              </a:r>
              <a:r>
                <a:rPr lang="en-US" sz="1100" b="0" i="0">
                  <a:latin typeface="Cambria Math" panose="02040503050406030204" pitchFamily="18" charset="0"/>
                </a:rPr>
                <a:t>=</a:t>
              </a:r>
              <a:r>
                <a:rPr lang="en-US" sz="1100" b="0" i="0">
                  <a:latin typeface="Cambria Math" panose="02040503050406030204" pitchFamily="18" charset="0"/>
                  <a:ea typeface="Cambria Math" panose="02040503050406030204" pitchFamily="18" charset="0"/>
                </a:rPr>
                <a:t>𝜌_</a:t>
              </a:r>
              <a:r>
                <a:rPr lang="en-US" sz="1100" b="0" i="0">
                  <a:latin typeface="Cambria Math" panose="02040503050406030204" pitchFamily="18" charset="0"/>
                </a:rPr>
                <a:t>0 [1+</a:t>
              </a:r>
              <a:r>
                <a:rPr lang="en-US" sz="1100" b="0" i="0">
                  <a:latin typeface="Cambria Math" panose="02040503050406030204" pitchFamily="18" charset="0"/>
                  <a:ea typeface="Cambria Math" panose="02040503050406030204" pitchFamily="18" charset="0"/>
                </a:rPr>
                <a:t>𝛼(𝑇−𝑇_0 )]</a:t>
              </a:r>
              <a:endParaRPr lang="en-US" sz="1100"/>
            </a:p>
          </xdr:txBody>
        </xdr:sp>
      </mc:Fallback>
    </mc:AlternateContent>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AA4157F-697A-4DE4-8785-BF898DAB405E}" name="WGTable" displayName="WGTable" ref="A3:L36" totalsRowShown="0" headerRowDxfId="18" dataDxfId="16" headerRowBorderDxfId="17" tableBorderDxfId="15" totalsRowBorderDxfId="14">
  <autoFilter ref="A3:L36" xr:uid="{EAA4157F-697A-4DE4-8785-BF898DAB405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0B785D20-688D-4C68-8CE9-A9A92DA773A5}" name="USA WR-(size)" dataDxfId="13"/>
    <tableColumn id="2" xr3:uid="{75C14D46-6851-48BD-92F6-6C28EA327A7A}" name="USA WR-(size) Designator" dataDxfId="12"/>
    <tableColumn id="3" xr3:uid="{F7FD4445-1478-4E35-A89A-51A4336832B5}" name="Europe WG-(size)" dataDxfId="11"/>
    <tableColumn id="4" xr3:uid="{BB908741-43A1-48CE-A19B-D8CE63B296AA}" name="START Frequency (Ghz)" dataDxfId="10"/>
    <tableColumn id="5" xr3:uid="{4C2A6F66-89E5-4394-A8DF-B8708549B61E}" name="STOP Frequency (Ghz)" dataDxfId="9"/>
    <tableColumn id="6" xr3:uid="{938CEC0C-A123-4707-9B78-E422BCF76FB2}" name="TE10 CUTOFF Frequency, (GHz.)" dataDxfId="8"/>
    <tableColumn id="7" xr3:uid="{A077D5BE-D628-4E3E-AEC6-B9A138F7E197}" name="TE20 CUTOFF Frequency, (GHz.)" dataDxfId="7"/>
    <tableColumn id="8" xr3:uid="{EFA5FA75-13B3-42E9-BF45-23744079F844}" name="Inside Broadwall “a”" dataDxfId="6"/>
    <tableColumn id="9" xr3:uid="{00A486FE-73F3-4A61-94A8-BD51E1EDF025}" name="Inside Narrow Wall “b”" dataDxfId="5"/>
    <tableColumn id="10" xr3:uid="{D21B3F59-6F41-43CA-8B7E-46105C147D44}" name="Inside Tol: (±)" dataDxfId="4"/>
    <tableColumn id="11" xr3:uid="{DD0C30B5-799A-42B5-B1CF-DFE92D0AEC7A}" name="Wall Thickness (in)" dataDxfId="3"/>
    <tableColumn id="12" xr3:uid="{034501DE-DF0C-4ABB-917B-0CD2F94F700C}" name="Usable" dataDxfId="2">
      <calculatedColumnFormula>AND(fmin&gt;=WGTable[[#This Row],[START Frequency (Ghz)]]*1000000000,fmax&lt;=WGTable[[#This Row],[STOP Frequency (Ghz)]]*1000000000)</calculatedColumnFormula>
    </tableColumn>
  </tableColumns>
  <tableStyleInfo name="TableStyleMedium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F6A81A6-0D6C-4A45-9C9F-ECA8F75F37BA}" name="Table2" displayName="Table2" ref="A3:B79" totalsRowShown="0">
  <autoFilter ref="A3:B79" xr:uid="{EF6A81A6-0D6C-4A45-9C9F-ECA8F75F37BA}">
    <filterColumn colId="0" hiddenButton="1"/>
    <filterColumn colId="1" hiddenButton="1"/>
  </autoFilter>
  <tableColumns count="2">
    <tableColumn id="1" xr3:uid="{870974C0-2F79-462A-B14D-87EC393267CB}" name="Frequency (Hz)" dataDxfId="1">
      <calculatedColumnFormula>A3*1.01</calculatedColumnFormula>
    </tableColumn>
    <tableColumn id="2" xr3:uid="{708CD904-0C30-4588-A822-66D4057B1FCA}" name="dB/ft" dataDxfId="0">
      <calculatedColumnFormula>(0.01107/a^1.5)*((0.5*(a/b)*((Table2[[#This Row],[Frequency (Hz)]]/_fc)^1.5))+(Table2[[#This Row],[Frequency (Hz)]]/_fc)^-0.5)/(SQRT((Table2[[#This Row],[Frequency (Hz)]]/_fc)^2-1))*SQRT(ρselmaxT/ρcu)</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62F04-2743-45D2-8D13-8F155B346A5E}">
  <sheetPr codeName="Sheet22">
    <tabColor theme="0"/>
    <pageSetUpPr fitToPage="1"/>
  </sheetPr>
  <dimension ref="A1:AO130"/>
  <sheetViews>
    <sheetView showGridLines="0" tabSelected="1" zoomScaleNormal="100" workbookViewId="0"/>
  </sheetViews>
  <sheetFormatPr defaultRowHeight="14.5" x14ac:dyDescent="0.35"/>
  <cols>
    <col min="1" max="1" width="32" customWidth="1"/>
    <col min="2" max="2" width="5.7265625" bestFit="1" customWidth="1"/>
    <col min="3" max="3" width="14.453125" customWidth="1"/>
    <col min="4" max="4" width="5" bestFit="1" customWidth="1"/>
    <col min="5" max="5" width="31.26953125" bestFit="1" customWidth="1"/>
    <col min="6" max="6" width="5.81640625" bestFit="1" customWidth="1"/>
    <col min="7" max="7" width="12.26953125" customWidth="1"/>
    <col min="8" max="8" width="11" customWidth="1"/>
    <col min="10" max="10" width="12" customWidth="1"/>
    <col min="12" max="12" width="11.81640625" bestFit="1" customWidth="1"/>
    <col min="15" max="15" width="10.54296875" customWidth="1"/>
    <col min="16" max="16" width="9.90625" customWidth="1"/>
    <col min="17" max="17" width="9.81640625" customWidth="1"/>
    <col min="38" max="38" width="10.54296875" customWidth="1"/>
    <col min="39" max="39" width="18.81640625" customWidth="1"/>
    <col min="42" max="42" width="11.36328125" bestFit="1" customWidth="1"/>
    <col min="43" max="43" width="14.08984375" bestFit="1" customWidth="1"/>
    <col min="45" max="45" width="9.81640625" bestFit="1" customWidth="1"/>
    <col min="257" max="257" width="25.7265625" customWidth="1"/>
    <col min="258" max="258" width="14.453125" customWidth="1"/>
    <col min="259" max="259" width="10.7265625" customWidth="1"/>
    <col min="260" max="260" width="22.7265625" customWidth="1"/>
    <col min="261" max="261" width="16.453125" customWidth="1"/>
    <col min="262" max="262" width="11" customWidth="1"/>
    <col min="264" max="264" width="12" bestFit="1" customWidth="1"/>
    <col min="513" max="513" width="25.7265625" customWidth="1"/>
    <col min="514" max="514" width="14.453125" customWidth="1"/>
    <col min="515" max="515" width="10.7265625" customWidth="1"/>
    <col min="516" max="516" width="22.7265625" customWidth="1"/>
    <col min="517" max="517" width="16.453125" customWidth="1"/>
    <col min="518" max="518" width="11" customWidth="1"/>
    <col min="520" max="520" width="12" bestFit="1" customWidth="1"/>
    <col min="769" max="769" width="25.7265625" customWidth="1"/>
    <col min="770" max="770" width="14.453125" customWidth="1"/>
    <col min="771" max="771" width="10.7265625" customWidth="1"/>
    <col min="772" max="772" width="22.7265625" customWidth="1"/>
    <col min="773" max="773" width="16.453125" customWidth="1"/>
    <col min="774" max="774" width="11" customWidth="1"/>
    <col min="776" max="776" width="12" bestFit="1" customWidth="1"/>
    <col min="1025" max="1025" width="25.7265625" customWidth="1"/>
    <col min="1026" max="1026" width="14.453125" customWidth="1"/>
    <col min="1027" max="1027" width="10.7265625" customWidth="1"/>
    <col min="1028" max="1028" width="22.7265625" customWidth="1"/>
    <col min="1029" max="1029" width="16.453125" customWidth="1"/>
    <col min="1030" max="1030" width="11" customWidth="1"/>
    <col min="1032" max="1032" width="12" bestFit="1" customWidth="1"/>
    <col min="1281" max="1281" width="25.7265625" customWidth="1"/>
    <col min="1282" max="1282" width="14.453125" customWidth="1"/>
    <col min="1283" max="1283" width="10.7265625" customWidth="1"/>
    <col min="1284" max="1284" width="22.7265625" customWidth="1"/>
    <col min="1285" max="1285" width="16.453125" customWidth="1"/>
    <col min="1286" max="1286" width="11" customWidth="1"/>
    <col min="1288" max="1288" width="12" bestFit="1" customWidth="1"/>
    <col min="1537" max="1537" width="25.7265625" customWidth="1"/>
    <col min="1538" max="1538" width="14.453125" customWidth="1"/>
    <col min="1539" max="1539" width="10.7265625" customWidth="1"/>
    <col min="1540" max="1540" width="22.7265625" customWidth="1"/>
    <col min="1541" max="1541" width="16.453125" customWidth="1"/>
    <col min="1542" max="1542" width="11" customWidth="1"/>
    <col min="1544" max="1544" width="12" bestFit="1" customWidth="1"/>
    <col min="1793" max="1793" width="25.7265625" customWidth="1"/>
    <col min="1794" max="1794" width="14.453125" customWidth="1"/>
    <col min="1795" max="1795" width="10.7265625" customWidth="1"/>
    <col min="1796" max="1796" width="22.7265625" customWidth="1"/>
    <col min="1797" max="1797" width="16.453125" customWidth="1"/>
    <col min="1798" max="1798" width="11" customWidth="1"/>
    <col min="1800" max="1800" width="12" bestFit="1" customWidth="1"/>
    <col min="2049" max="2049" width="25.7265625" customWidth="1"/>
    <col min="2050" max="2050" width="14.453125" customWidth="1"/>
    <col min="2051" max="2051" width="10.7265625" customWidth="1"/>
    <col min="2052" max="2052" width="22.7265625" customWidth="1"/>
    <col min="2053" max="2053" width="16.453125" customWidth="1"/>
    <col min="2054" max="2054" width="11" customWidth="1"/>
    <col min="2056" max="2056" width="12" bestFit="1" customWidth="1"/>
    <col min="2305" max="2305" width="25.7265625" customWidth="1"/>
    <col min="2306" max="2306" width="14.453125" customWidth="1"/>
    <col min="2307" max="2307" width="10.7265625" customWidth="1"/>
    <col min="2308" max="2308" width="22.7265625" customWidth="1"/>
    <col min="2309" max="2309" width="16.453125" customWidth="1"/>
    <col min="2310" max="2310" width="11" customWidth="1"/>
    <col min="2312" max="2312" width="12" bestFit="1" customWidth="1"/>
    <col min="2561" max="2561" width="25.7265625" customWidth="1"/>
    <col min="2562" max="2562" width="14.453125" customWidth="1"/>
    <col min="2563" max="2563" width="10.7265625" customWidth="1"/>
    <col min="2564" max="2564" width="22.7265625" customWidth="1"/>
    <col min="2565" max="2565" width="16.453125" customWidth="1"/>
    <col min="2566" max="2566" width="11" customWidth="1"/>
    <col min="2568" max="2568" width="12" bestFit="1" customWidth="1"/>
    <col min="2817" max="2817" width="25.7265625" customWidth="1"/>
    <col min="2818" max="2818" width="14.453125" customWidth="1"/>
    <col min="2819" max="2819" width="10.7265625" customWidth="1"/>
    <col min="2820" max="2820" width="22.7265625" customWidth="1"/>
    <col min="2821" max="2821" width="16.453125" customWidth="1"/>
    <col min="2822" max="2822" width="11" customWidth="1"/>
    <col min="2824" max="2824" width="12" bestFit="1" customWidth="1"/>
    <col min="3073" max="3073" width="25.7265625" customWidth="1"/>
    <col min="3074" max="3074" width="14.453125" customWidth="1"/>
    <col min="3075" max="3075" width="10.7265625" customWidth="1"/>
    <col min="3076" max="3076" width="22.7265625" customWidth="1"/>
    <col min="3077" max="3077" width="16.453125" customWidth="1"/>
    <col min="3078" max="3078" width="11" customWidth="1"/>
    <col min="3080" max="3080" width="12" bestFit="1" customWidth="1"/>
    <col min="3329" max="3329" width="25.7265625" customWidth="1"/>
    <col min="3330" max="3330" width="14.453125" customWidth="1"/>
    <col min="3331" max="3331" width="10.7265625" customWidth="1"/>
    <col min="3332" max="3332" width="22.7265625" customWidth="1"/>
    <col min="3333" max="3333" width="16.453125" customWidth="1"/>
    <col min="3334" max="3334" width="11" customWidth="1"/>
    <col min="3336" max="3336" width="12" bestFit="1" customWidth="1"/>
    <col min="3585" max="3585" width="25.7265625" customWidth="1"/>
    <col min="3586" max="3586" width="14.453125" customWidth="1"/>
    <col min="3587" max="3587" width="10.7265625" customWidth="1"/>
    <col min="3588" max="3588" width="22.7265625" customWidth="1"/>
    <col min="3589" max="3589" width="16.453125" customWidth="1"/>
    <col min="3590" max="3590" width="11" customWidth="1"/>
    <col min="3592" max="3592" width="12" bestFit="1" customWidth="1"/>
    <col min="3841" max="3841" width="25.7265625" customWidth="1"/>
    <col min="3842" max="3842" width="14.453125" customWidth="1"/>
    <col min="3843" max="3843" width="10.7265625" customWidth="1"/>
    <col min="3844" max="3844" width="22.7265625" customWidth="1"/>
    <col min="3845" max="3845" width="16.453125" customWidth="1"/>
    <col min="3846" max="3846" width="11" customWidth="1"/>
    <col min="3848" max="3848" width="12" bestFit="1" customWidth="1"/>
    <col min="4097" max="4097" width="25.7265625" customWidth="1"/>
    <col min="4098" max="4098" width="14.453125" customWidth="1"/>
    <col min="4099" max="4099" width="10.7265625" customWidth="1"/>
    <col min="4100" max="4100" width="22.7265625" customWidth="1"/>
    <col min="4101" max="4101" width="16.453125" customWidth="1"/>
    <col min="4102" max="4102" width="11" customWidth="1"/>
    <col min="4104" max="4104" width="12" bestFit="1" customWidth="1"/>
    <col min="4353" max="4353" width="25.7265625" customWidth="1"/>
    <col min="4354" max="4354" width="14.453125" customWidth="1"/>
    <col min="4355" max="4355" width="10.7265625" customWidth="1"/>
    <col min="4356" max="4356" width="22.7265625" customWidth="1"/>
    <col min="4357" max="4357" width="16.453125" customWidth="1"/>
    <col min="4358" max="4358" width="11" customWidth="1"/>
    <col min="4360" max="4360" width="12" bestFit="1" customWidth="1"/>
    <col min="4609" max="4609" width="25.7265625" customWidth="1"/>
    <col min="4610" max="4610" width="14.453125" customWidth="1"/>
    <col min="4611" max="4611" width="10.7265625" customWidth="1"/>
    <col min="4612" max="4612" width="22.7265625" customWidth="1"/>
    <col min="4613" max="4613" width="16.453125" customWidth="1"/>
    <col min="4614" max="4614" width="11" customWidth="1"/>
    <col min="4616" max="4616" width="12" bestFit="1" customWidth="1"/>
    <col min="4865" max="4865" width="25.7265625" customWidth="1"/>
    <col min="4866" max="4866" width="14.453125" customWidth="1"/>
    <col min="4867" max="4867" width="10.7265625" customWidth="1"/>
    <col min="4868" max="4868" width="22.7265625" customWidth="1"/>
    <col min="4869" max="4869" width="16.453125" customWidth="1"/>
    <col min="4870" max="4870" width="11" customWidth="1"/>
    <col min="4872" max="4872" width="12" bestFit="1" customWidth="1"/>
    <col min="5121" max="5121" width="25.7265625" customWidth="1"/>
    <col min="5122" max="5122" width="14.453125" customWidth="1"/>
    <col min="5123" max="5123" width="10.7265625" customWidth="1"/>
    <col min="5124" max="5124" width="22.7265625" customWidth="1"/>
    <col min="5125" max="5125" width="16.453125" customWidth="1"/>
    <col min="5126" max="5126" width="11" customWidth="1"/>
    <col min="5128" max="5128" width="12" bestFit="1" customWidth="1"/>
    <col min="5377" max="5377" width="25.7265625" customWidth="1"/>
    <col min="5378" max="5378" width="14.453125" customWidth="1"/>
    <col min="5379" max="5379" width="10.7265625" customWidth="1"/>
    <col min="5380" max="5380" width="22.7265625" customWidth="1"/>
    <col min="5381" max="5381" width="16.453125" customWidth="1"/>
    <col min="5382" max="5382" width="11" customWidth="1"/>
    <col min="5384" max="5384" width="12" bestFit="1" customWidth="1"/>
    <col min="5633" max="5633" width="25.7265625" customWidth="1"/>
    <col min="5634" max="5634" width="14.453125" customWidth="1"/>
    <col min="5635" max="5635" width="10.7265625" customWidth="1"/>
    <col min="5636" max="5636" width="22.7265625" customWidth="1"/>
    <col min="5637" max="5637" width="16.453125" customWidth="1"/>
    <col min="5638" max="5638" width="11" customWidth="1"/>
    <col min="5640" max="5640" width="12" bestFit="1" customWidth="1"/>
    <col min="5889" max="5889" width="25.7265625" customWidth="1"/>
    <col min="5890" max="5890" width="14.453125" customWidth="1"/>
    <col min="5891" max="5891" width="10.7265625" customWidth="1"/>
    <col min="5892" max="5892" width="22.7265625" customWidth="1"/>
    <col min="5893" max="5893" width="16.453125" customWidth="1"/>
    <col min="5894" max="5894" width="11" customWidth="1"/>
    <col min="5896" max="5896" width="12" bestFit="1" customWidth="1"/>
    <col min="6145" max="6145" width="25.7265625" customWidth="1"/>
    <col min="6146" max="6146" width="14.453125" customWidth="1"/>
    <col min="6147" max="6147" width="10.7265625" customWidth="1"/>
    <col min="6148" max="6148" width="22.7265625" customWidth="1"/>
    <col min="6149" max="6149" width="16.453125" customWidth="1"/>
    <col min="6150" max="6150" width="11" customWidth="1"/>
    <col min="6152" max="6152" width="12" bestFit="1" customWidth="1"/>
    <col min="6401" max="6401" width="25.7265625" customWidth="1"/>
    <col min="6402" max="6402" width="14.453125" customWidth="1"/>
    <col min="6403" max="6403" width="10.7265625" customWidth="1"/>
    <col min="6404" max="6404" width="22.7265625" customWidth="1"/>
    <col min="6405" max="6405" width="16.453125" customWidth="1"/>
    <col min="6406" max="6406" width="11" customWidth="1"/>
    <col min="6408" max="6408" width="12" bestFit="1" customWidth="1"/>
    <col min="6657" max="6657" width="25.7265625" customWidth="1"/>
    <col min="6658" max="6658" width="14.453125" customWidth="1"/>
    <col min="6659" max="6659" width="10.7265625" customWidth="1"/>
    <col min="6660" max="6660" width="22.7265625" customWidth="1"/>
    <col min="6661" max="6661" width="16.453125" customWidth="1"/>
    <col min="6662" max="6662" width="11" customWidth="1"/>
    <col min="6664" max="6664" width="12" bestFit="1" customWidth="1"/>
    <col min="6913" max="6913" width="25.7265625" customWidth="1"/>
    <col min="6914" max="6914" width="14.453125" customWidth="1"/>
    <col min="6915" max="6915" width="10.7265625" customWidth="1"/>
    <col min="6916" max="6916" width="22.7265625" customWidth="1"/>
    <col min="6917" max="6917" width="16.453125" customWidth="1"/>
    <col min="6918" max="6918" width="11" customWidth="1"/>
    <col min="6920" max="6920" width="12" bestFit="1" customWidth="1"/>
    <col min="7169" max="7169" width="25.7265625" customWidth="1"/>
    <col min="7170" max="7170" width="14.453125" customWidth="1"/>
    <col min="7171" max="7171" width="10.7265625" customWidth="1"/>
    <col min="7172" max="7172" width="22.7265625" customWidth="1"/>
    <col min="7173" max="7173" width="16.453125" customWidth="1"/>
    <col min="7174" max="7174" width="11" customWidth="1"/>
    <col min="7176" max="7176" width="12" bestFit="1" customWidth="1"/>
    <col min="7425" max="7425" width="25.7265625" customWidth="1"/>
    <col min="7426" max="7426" width="14.453125" customWidth="1"/>
    <col min="7427" max="7427" width="10.7265625" customWidth="1"/>
    <col min="7428" max="7428" width="22.7265625" customWidth="1"/>
    <col min="7429" max="7429" width="16.453125" customWidth="1"/>
    <col min="7430" max="7430" width="11" customWidth="1"/>
    <col min="7432" max="7432" width="12" bestFit="1" customWidth="1"/>
    <col min="7681" max="7681" width="25.7265625" customWidth="1"/>
    <col min="7682" max="7682" width="14.453125" customWidth="1"/>
    <col min="7683" max="7683" width="10.7265625" customWidth="1"/>
    <col min="7684" max="7684" width="22.7265625" customWidth="1"/>
    <col min="7685" max="7685" width="16.453125" customWidth="1"/>
    <col min="7686" max="7686" width="11" customWidth="1"/>
    <col min="7688" max="7688" width="12" bestFit="1" customWidth="1"/>
    <col min="7937" max="7937" width="25.7265625" customWidth="1"/>
    <col min="7938" max="7938" width="14.453125" customWidth="1"/>
    <col min="7939" max="7939" width="10.7265625" customWidth="1"/>
    <col min="7940" max="7940" width="22.7265625" customWidth="1"/>
    <col min="7941" max="7941" width="16.453125" customWidth="1"/>
    <col min="7942" max="7942" width="11" customWidth="1"/>
    <col min="7944" max="7944" width="12" bestFit="1" customWidth="1"/>
    <col min="8193" max="8193" width="25.7265625" customWidth="1"/>
    <col min="8194" max="8194" width="14.453125" customWidth="1"/>
    <col min="8195" max="8195" width="10.7265625" customWidth="1"/>
    <col min="8196" max="8196" width="22.7265625" customWidth="1"/>
    <col min="8197" max="8197" width="16.453125" customWidth="1"/>
    <col min="8198" max="8198" width="11" customWidth="1"/>
    <col min="8200" max="8200" width="12" bestFit="1" customWidth="1"/>
    <col min="8449" max="8449" width="25.7265625" customWidth="1"/>
    <col min="8450" max="8450" width="14.453125" customWidth="1"/>
    <col min="8451" max="8451" width="10.7265625" customWidth="1"/>
    <col min="8452" max="8452" width="22.7265625" customWidth="1"/>
    <col min="8453" max="8453" width="16.453125" customWidth="1"/>
    <col min="8454" max="8454" width="11" customWidth="1"/>
    <col min="8456" max="8456" width="12" bestFit="1" customWidth="1"/>
    <col min="8705" max="8705" width="25.7265625" customWidth="1"/>
    <col min="8706" max="8706" width="14.453125" customWidth="1"/>
    <col min="8707" max="8707" width="10.7265625" customWidth="1"/>
    <col min="8708" max="8708" width="22.7265625" customWidth="1"/>
    <col min="8709" max="8709" width="16.453125" customWidth="1"/>
    <col min="8710" max="8710" width="11" customWidth="1"/>
    <col min="8712" max="8712" width="12" bestFit="1" customWidth="1"/>
    <col min="8961" max="8961" width="25.7265625" customWidth="1"/>
    <col min="8962" max="8962" width="14.453125" customWidth="1"/>
    <col min="8963" max="8963" width="10.7265625" customWidth="1"/>
    <col min="8964" max="8964" width="22.7265625" customWidth="1"/>
    <col min="8965" max="8965" width="16.453125" customWidth="1"/>
    <col min="8966" max="8966" width="11" customWidth="1"/>
    <col min="8968" max="8968" width="12" bestFit="1" customWidth="1"/>
    <col min="9217" max="9217" width="25.7265625" customWidth="1"/>
    <col min="9218" max="9218" width="14.453125" customWidth="1"/>
    <col min="9219" max="9219" width="10.7265625" customWidth="1"/>
    <col min="9220" max="9220" width="22.7265625" customWidth="1"/>
    <col min="9221" max="9221" width="16.453125" customWidth="1"/>
    <col min="9222" max="9222" width="11" customWidth="1"/>
    <col min="9224" max="9224" width="12" bestFit="1" customWidth="1"/>
    <col min="9473" max="9473" width="25.7265625" customWidth="1"/>
    <col min="9474" max="9474" width="14.453125" customWidth="1"/>
    <col min="9475" max="9475" width="10.7265625" customWidth="1"/>
    <col min="9476" max="9476" width="22.7265625" customWidth="1"/>
    <col min="9477" max="9477" width="16.453125" customWidth="1"/>
    <col min="9478" max="9478" width="11" customWidth="1"/>
    <col min="9480" max="9480" width="12" bestFit="1" customWidth="1"/>
    <col min="9729" max="9729" width="25.7265625" customWidth="1"/>
    <col min="9730" max="9730" width="14.453125" customWidth="1"/>
    <col min="9731" max="9731" width="10.7265625" customWidth="1"/>
    <col min="9732" max="9732" width="22.7265625" customWidth="1"/>
    <col min="9733" max="9733" width="16.453125" customWidth="1"/>
    <col min="9734" max="9734" width="11" customWidth="1"/>
    <col min="9736" max="9736" width="12" bestFit="1" customWidth="1"/>
    <col min="9985" max="9985" width="25.7265625" customWidth="1"/>
    <col min="9986" max="9986" width="14.453125" customWidth="1"/>
    <col min="9987" max="9987" width="10.7265625" customWidth="1"/>
    <col min="9988" max="9988" width="22.7265625" customWidth="1"/>
    <col min="9989" max="9989" width="16.453125" customWidth="1"/>
    <col min="9990" max="9990" width="11" customWidth="1"/>
    <col min="9992" max="9992" width="12" bestFit="1" customWidth="1"/>
    <col min="10241" max="10241" width="25.7265625" customWidth="1"/>
    <col min="10242" max="10242" width="14.453125" customWidth="1"/>
    <col min="10243" max="10243" width="10.7265625" customWidth="1"/>
    <col min="10244" max="10244" width="22.7265625" customWidth="1"/>
    <col min="10245" max="10245" width="16.453125" customWidth="1"/>
    <col min="10246" max="10246" width="11" customWidth="1"/>
    <col min="10248" max="10248" width="12" bestFit="1" customWidth="1"/>
    <col min="10497" max="10497" width="25.7265625" customWidth="1"/>
    <col min="10498" max="10498" width="14.453125" customWidth="1"/>
    <col min="10499" max="10499" width="10.7265625" customWidth="1"/>
    <col min="10500" max="10500" width="22.7265625" customWidth="1"/>
    <col min="10501" max="10501" width="16.453125" customWidth="1"/>
    <col min="10502" max="10502" width="11" customWidth="1"/>
    <col min="10504" max="10504" width="12" bestFit="1" customWidth="1"/>
    <col min="10753" max="10753" width="25.7265625" customWidth="1"/>
    <col min="10754" max="10754" width="14.453125" customWidth="1"/>
    <col min="10755" max="10755" width="10.7265625" customWidth="1"/>
    <col min="10756" max="10756" width="22.7265625" customWidth="1"/>
    <col min="10757" max="10757" width="16.453125" customWidth="1"/>
    <col min="10758" max="10758" width="11" customWidth="1"/>
    <col min="10760" max="10760" width="12" bestFit="1" customWidth="1"/>
    <col min="11009" max="11009" width="25.7265625" customWidth="1"/>
    <col min="11010" max="11010" width="14.453125" customWidth="1"/>
    <col min="11011" max="11011" width="10.7265625" customWidth="1"/>
    <col min="11012" max="11012" width="22.7265625" customWidth="1"/>
    <col min="11013" max="11013" width="16.453125" customWidth="1"/>
    <col min="11014" max="11014" width="11" customWidth="1"/>
    <col min="11016" max="11016" width="12" bestFit="1" customWidth="1"/>
    <col min="11265" max="11265" width="25.7265625" customWidth="1"/>
    <col min="11266" max="11266" width="14.453125" customWidth="1"/>
    <col min="11267" max="11267" width="10.7265625" customWidth="1"/>
    <col min="11268" max="11268" width="22.7265625" customWidth="1"/>
    <col min="11269" max="11269" width="16.453125" customWidth="1"/>
    <col min="11270" max="11270" width="11" customWidth="1"/>
    <col min="11272" max="11272" width="12" bestFit="1" customWidth="1"/>
    <col min="11521" max="11521" width="25.7265625" customWidth="1"/>
    <col min="11522" max="11522" width="14.453125" customWidth="1"/>
    <col min="11523" max="11523" width="10.7265625" customWidth="1"/>
    <col min="11524" max="11524" width="22.7265625" customWidth="1"/>
    <col min="11525" max="11525" width="16.453125" customWidth="1"/>
    <col min="11526" max="11526" width="11" customWidth="1"/>
    <col min="11528" max="11528" width="12" bestFit="1" customWidth="1"/>
    <col min="11777" max="11777" width="25.7265625" customWidth="1"/>
    <col min="11778" max="11778" width="14.453125" customWidth="1"/>
    <col min="11779" max="11779" width="10.7265625" customWidth="1"/>
    <col min="11780" max="11780" width="22.7265625" customWidth="1"/>
    <col min="11781" max="11781" width="16.453125" customWidth="1"/>
    <col min="11782" max="11782" width="11" customWidth="1"/>
    <col min="11784" max="11784" width="12" bestFit="1" customWidth="1"/>
    <col min="12033" max="12033" width="25.7265625" customWidth="1"/>
    <col min="12034" max="12034" width="14.453125" customWidth="1"/>
    <col min="12035" max="12035" width="10.7265625" customWidth="1"/>
    <col min="12036" max="12036" width="22.7265625" customWidth="1"/>
    <col min="12037" max="12037" width="16.453125" customWidth="1"/>
    <col min="12038" max="12038" width="11" customWidth="1"/>
    <col min="12040" max="12040" width="12" bestFit="1" customWidth="1"/>
    <col min="12289" max="12289" width="25.7265625" customWidth="1"/>
    <col min="12290" max="12290" width="14.453125" customWidth="1"/>
    <col min="12291" max="12291" width="10.7265625" customWidth="1"/>
    <col min="12292" max="12292" width="22.7265625" customWidth="1"/>
    <col min="12293" max="12293" width="16.453125" customWidth="1"/>
    <col min="12294" max="12294" width="11" customWidth="1"/>
    <col min="12296" max="12296" width="12" bestFit="1" customWidth="1"/>
    <col min="12545" max="12545" width="25.7265625" customWidth="1"/>
    <col min="12546" max="12546" width="14.453125" customWidth="1"/>
    <col min="12547" max="12547" width="10.7265625" customWidth="1"/>
    <col min="12548" max="12548" width="22.7265625" customWidth="1"/>
    <col min="12549" max="12549" width="16.453125" customWidth="1"/>
    <col min="12550" max="12550" width="11" customWidth="1"/>
    <col min="12552" max="12552" width="12" bestFit="1" customWidth="1"/>
    <col min="12801" max="12801" width="25.7265625" customWidth="1"/>
    <col min="12802" max="12802" width="14.453125" customWidth="1"/>
    <col min="12803" max="12803" width="10.7265625" customWidth="1"/>
    <col min="12804" max="12804" width="22.7265625" customWidth="1"/>
    <col min="12805" max="12805" width="16.453125" customWidth="1"/>
    <col min="12806" max="12806" width="11" customWidth="1"/>
    <col min="12808" max="12808" width="12" bestFit="1" customWidth="1"/>
    <col min="13057" max="13057" width="25.7265625" customWidth="1"/>
    <col min="13058" max="13058" width="14.453125" customWidth="1"/>
    <col min="13059" max="13059" width="10.7265625" customWidth="1"/>
    <col min="13060" max="13060" width="22.7265625" customWidth="1"/>
    <col min="13061" max="13061" width="16.453125" customWidth="1"/>
    <col min="13062" max="13062" width="11" customWidth="1"/>
    <col min="13064" max="13064" width="12" bestFit="1" customWidth="1"/>
    <col min="13313" max="13313" width="25.7265625" customWidth="1"/>
    <col min="13314" max="13314" width="14.453125" customWidth="1"/>
    <col min="13315" max="13315" width="10.7265625" customWidth="1"/>
    <col min="13316" max="13316" width="22.7265625" customWidth="1"/>
    <col min="13317" max="13317" width="16.453125" customWidth="1"/>
    <col min="13318" max="13318" width="11" customWidth="1"/>
    <col min="13320" max="13320" width="12" bestFit="1" customWidth="1"/>
    <col min="13569" max="13569" width="25.7265625" customWidth="1"/>
    <col min="13570" max="13570" width="14.453125" customWidth="1"/>
    <col min="13571" max="13571" width="10.7265625" customWidth="1"/>
    <col min="13572" max="13572" width="22.7265625" customWidth="1"/>
    <col min="13573" max="13573" width="16.453125" customWidth="1"/>
    <col min="13574" max="13574" width="11" customWidth="1"/>
    <col min="13576" max="13576" width="12" bestFit="1" customWidth="1"/>
    <col min="13825" max="13825" width="25.7265625" customWidth="1"/>
    <col min="13826" max="13826" width="14.453125" customWidth="1"/>
    <col min="13827" max="13827" width="10.7265625" customWidth="1"/>
    <col min="13828" max="13828" width="22.7265625" customWidth="1"/>
    <col min="13829" max="13829" width="16.453125" customWidth="1"/>
    <col min="13830" max="13830" width="11" customWidth="1"/>
    <col min="13832" max="13832" width="12" bestFit="1" customWidth="1"/>
    <col min="14081" max="14081" width="25.7265625" customWidth="1"/>
    <col min="14082" max="14082" width="14.453125" customWidth="1"/>
    <col min="14083" max="14083" width="10.7265625" customWidth="1"/>
    <col min="14084" max="14084" width="22.7265625" customWidth="1"/>
    <col min="14085" max="14085" width="16.453125" customWidth="1"/>
    <col min="14086" max="14086" width="11" customWidth="1"/>
    <col min="14088" max="14088" width="12" bestFit="1" customWidth="1"/>
    <col min="14337" max="14337" width="25.7265625" customWidth="1"/>
    <col min="14338" max="14338" width="14.453125" customWidth="1"/>
    <col min="14339" max="14339" width="10.7265625" customWidth="1"/>
    <col min="14340" max="14340" width="22.7265625" customWidth="1"/>
    <col min="14341" max="14341" width="16.453125" customWidth="1"/>
    <col min="14342" max="14342" width="11" customWidth="1"/>
    <col min="14344" max="14344" width="12" bestFit="1" customWidth="1"/>
    <col min="14593" max="14593" width="25.7265625" customWidth="1"/>
    <col min="14594" max="14594" width="14.453125" customWidth="1"/>
    <col min="14595" max="14595" width="10.7265625" customWidth="1"/>
    <col min="14596" max="14596" width="22.7265625" customWidth="1"/>
    <col min="14597" max="14597" width="16.453125" customWidth="1"/>
    <col min="14598" max="14598" width="11" customWidth="1"/>
    <col min="14600" max="14600" width="12" bestFit="1" customWidth="1"/>
    <col min="14849" max="14849" width="25.7265625" customWidth="1"/>
    <col min="14850" max="14850" width="14.453125" customWidth="1"/>
    <col min="14851" max="14851" width="10.7265625" customWidth="1"/>
    <col min="14852" max="14852" width="22.7265625" customWidth="1"/>
    <col min="14853" max="14853" width="16.453125" customWidth="1"/>
    <col min="14854" max="14854" width="11" customWidth="1"/>
    <col min="14856" max="14856" width="12" bestFit="1" customWidth="1"/>
    <col min="15105" max="15105" width="25.7265625" customWidth="1"/>
    <col min="15106" max="15106" width="14.453125" customWidth="1"/>
    <col min="15107" max="15107" width="10.7265625" customWidth="1"/>
    <col min="15108" max="15108" width="22.7265625" customWidth="1"/>
    <col min="15109" max="15109" width="16.453125" customWidth="1"/>
    <col min="15110" max="15110" width="11" customWidth="1"/>
    <col min="15112" max="15112" width="12" bestFit="1" customWidth="1"/>
    <col min="15361" max="15361" width="25.7265625" customWidth="1"/>
    <col min="15362" max="15362" width="14.453125" customWidth="1"/>
    <col min="15363" max="15363" width="10.7265625" customWidth="1"/>
    <col min="15364" max="15364" width="22.7265625" customWidth="1"/>
    <col min="15365" max="15365" width="16.453125" customWidth="1"/>
    <col min="15366" max="15366" width="11" customWidth="1"/>
    <col min="15368" max="15368" width="12" bestFit="1" customWidth="1"/>
    <col min="15617" max="15617" width="25.7265625" customWidth="1"/>
    <col min="15618" max="15618" width="14.453125" customWidth="1"/>
    <col min="15619" max="15619" width="10.7265625" customWidth="1"/>
    <col min="15620" max="15620" width="22.7265625" customWidth="1"/>
    <col min="15621" max="15621" width="16.453125" customWidth="1"/>
    <col min="15622" max="15622" width="11" customWidth="1"/>
    <col min="15624" max="15624" width="12" bestFit="1" customWidth="1"/>
    <col min="15873" max="15873" width="25.7265625" customWidth="1"/>
    <col min="15874" max="15874" width="14.453125" customWidth="1"/>
    <col min="15875" max="15875" width="10.7265625" customWidth="1"/>
    <col min="15876" max="15876" width="22.7265625" customWidth="1"/>
    <col min="15877" max="15877" width="16.453125" customWidth="1"/>
    <col min="15878" max="15878" width="11" customWidth="1"/>
    <col min="15880" max="15880" width="12" bestFit="1" customWidth="1"/>
    <col min="16129" max="16129" width="25.7265625" customWidth="1"/>
    <col min="16130" max="16130" width="14.453125" customWidth="1"/>
    <col min="16131" max="16131" width="10.7265625" customWidth="1"/>
    <col min="16132" max="16132" width="22.7265625" customWidth="1"/>
    <col min="16133" max="16133" width="16.453125" customWidth="1"/>
    <col min="16134" max="16134" width="11" customWidth="1"/>
    <col min="16136" max="16136" width="12" bestFit="1" customWidth="1"/>
  </cols>
  <sheetData>
    <row r="1" spans="1:41" ht="14.5" customHeight="1" x14ac:dyDescent="0.45">
      <c r="A1" s="33" t="s">
        <v>61</v>
      </c>
      <c r="B1" s="33"/>
    </row>
    <row r="2" spans="1:41" ht="14.5" customHeight="1" x14ac:dyDescent="0.35">
      <c r="A2" s="7"/>
      <c r="B2" s="7"/>
    </row>
    <row r="3" spans="1:41" ht="14.5" customHeight="1" x14ac:dyDescent="0.35">
      <c r="A3" s="12"/>
      <c r="B3" s="12"/>
      <c r="C3" s="34" t="s">
        <v>116</v>
      </c>
      <c r="E3" s="6"/>
      <c r="F3" s="6"/>
      <c r="G3" s="45" t="s">
        <v>115</v>
      </c>
      <c r="AO3" s="5"/>
    </row>
    <row r="4" spans="1:41" ht="14.5" customHeight="1" x14ac:dyDescent="0.45">
      <c r="A4" s="1" t="s">
        <v>103</v>
      </c>
      <c r="B4" s="43" t="s">
        <v>79</v>
      </c>
      <c r="C4" s="13">
        <v>9900000000</v>
      </c>
      <c r="D4" t="s">
        <v>4</v>
      </c>
      <c r="E4" s="1" t="s">
        <v>92</v>
      </c>
      <c r="F4" s="43" t="s">
        <v>93</v>
      </c>
      <c r="G4" s="14" cm="1">
        <f t="array" ref="G4">_xlfn.XLOOKUP(WGSelect,WGTable[USA WR-(size) Designator],a_range,"",0)</f>
        <v>0.9</v>
      </c>
      <c r="H4" t="s">
        <v>3</v>
      </c>
    </row>
    <row r="5" spans="1:41" ht="14.5" customHeight="1" x14ac:dyDescent="0.45">
      <c r="A5" s="1" t="s">
        <v>104</v>
      </c>
      <c r="B5" s="43" t="s">
        <v>80</v>
      </c>
      <c r="C5" s="13">
        <v>11000000000</v>
      </c>
      <c r="D5" t="s">
        <v>4</v>
      </c>
      <c r="E5" s="1" t="s">
        <v>94</v>
      </c>
      <c r="F5" s="43" t="s">
        <v>95</v>
      </c>
      <c r="G5" s="14" cm="1">
        <f t="array" ref="G5">_xlfn.XLOOKUP(WGSelect,WGTable[USA WR-(size) Designator],b_range,"",0)</f>
        <v>0.4</v>
      </c>
      <c r="H5" t="s">
        <v>3</v>
      </c>
      <c r="L5" s="2"/>
    </row>
    <row r="6" spans="1:41" ht="14.5" customHeight="1" x14ac:dyDescent="0.45">
      <c r="A6" s="1" t="s">
        <v>83</v>
      </c>
      <c r="B6" s="43" t="s">
        <v>84</v>
      </c>
      <c r="C6" s="35" t="s">
        <v>20</v>
      </c>
      <c r="E6" s="1" t="s">
        <v>96</v>
      </c>
      <c r="F6" s="43" t="s">
        <v>97</v>
      </c>
      <c r="G6" s="31">
        <f>_c/(2*CONVERT(a,"in","m"))</f>
        <v>6557140376.2029753</v>
      </c>
      <c r="H6" t="s">
        <v>4</v>
      </c>
      <c r="L6" s="2"/>
    </row>
    <row r="7" spans="1:41" ht="14.5" customHeight="1" x14ac:dyDescent="0.45">
      <c r="A7" s="1" t="s">
        <v>85</v>
      </c>
      <c r="B7" s="43" t="s">
        <v>84</v>
      </c>
      <c r="C7" s="15" t="s">
        <v>58</v>
      </c>
      <c r="E7" s="1" t="s">
        <v>98</v>
      </c>
      <c r="F7" s="43" t="s">
        <v>99</v>
      </c>
      <c r="G7" s="14">
        <f>_c/_fc</f>
        <v>4.5719999999999997E-2</v>
      </c>
      <c r="H7" t="s">
        <v>70</v>
      </c>
      <c r="L7" s="2"/>
    </row>
    <row r="8" spans="1:41" ht="14.5" customHeight="1" x14ac:dyDescent="0.45">
      <c r="A8" s="1" t="s">
        <v>105</v>
      </c>
      <c r="B8" s="43" t="s">
        <v>81</v>
      </c>
      <c r="C8" s="15">
        <v>50</v>
      </c>
      <c r="D8" t="s">
        <v>5</v>
      </c>
      <c r="E8" s="1" t="s">
        <v>108</v>
      </c>
      <c r="F8" s="44" t="s">
        <v>100</v>
      </c>
      <c r="G8" s="32">
        <f>(0.01107/a^1.5)*(((a/b)/2*(fmax/_fc)^1.5)+(fmax/_fc)^-0.5)/(SQRT((fmax/_fc)^2-1))*SQRT(ρselmaxT/ρcu)</f>
        <v>4.9838805065519541E-2</v>
      </c>
      <c r="H8" s="2" t="s">
        <v>6</v>
      </c>
      <c r="L8" s="2"/>
    </row>
    <row r="9" spans="1:41" ht="14.5" customHeight="1" x14ac:dyDescent="0.45">
      <c r="A9" s="1" t="s">
        <v>77</v>
      </c>
      <c r="B9" s="43" t="s">
        <v>82</v>
      </c>
      <c r="C9" s="42">
        <v>30</v>
      </c>
      <c r="D9" t="s">
        <v>74</v>
      </c>
      <c r="E9" s="1" t="s">
        <v>109</v>
      </c>
      <c r="F9" s="44" t="s">
        <v>101</v>
      </c>
      <c r="G9" s="32">
        <f>(0.01107/a^1.5)*(((a/b)/2*(fmin/_fc)^1.5)+(fmin/_fc)^-0.5)/(SQRT((fmin/_fc)^2-1))*SQRT(ρselmaxT/ρcu)</f>
        <v>5.3523296816223247E-2</v>
      </c>
      <c r="H9" t="s">
        <v>6</v>
      </c>
      <c r="L9" s="2"/>
    </row>
    <row r="10" spans="1:41" ht="14.5" customHeight="1" x14ac:dyDescent="0.35">
      <c r="B10" s="43"/>
      <c r="E10" s="1" t="s">
        <v>68</v>
      </c>
      <c r="F10" s="43" t="s">
        <v>84</v>
      </c>
      <c r="G10" s="37">
        <f>ROUNDDOWN('Plot Data'!A4,-9)</f>
        <v>6000000000</v>
      </c>
      <c r="H10" t="s">
        <v>4</v>
      </c>
      <c r="M10" t="s">
        <v>110</v>
      </c>
      <c r="O10" s="36"/>
    </row>
    <row r="11" spans="1:41" ht="14.5" customHeight="1" x14ac:dyDescent="0.35">
      <c r="A11" s="1" t="s">
        <v>106</v>
      </c>
      <c r="B11" s="43"/>
      <c r="C11" s="4">
        <f>(fmax/_fc)</f>
        <v>1.6775605475705462</v>
      </c>
      <c r="E11" s="1"/>
      <c r="F11" s="1"/>
    </row>
    <row r="12" spans="1:41" ht="14.5" customHeight="1" x14ac:dyDescent="0.35">
      <c r="A12" s="1" t="s">
        <v>107</v>
      </c>
      <c r="B12" s="43"/>
      <c r="C12" s="4">
        <f>(fmin/_fc)</f>
        <v>1.5098044928134915</v>
      </c>
    </row>
    <row r="13" spans="1:41" ht="14.5" customHeight="1" x14ac:dyDescent="0.35">
      <c r="B13" s="43"/>
      <c r="C13" s="2"/>
    </row>
    <row r="14" spans="1:41" ht="14.5" customHeight="1" x14ac:dyDescent="0.35">
      <c r="B14" s="43"/>
    </row>
    <row r="15" spans="1:41" ht="14.5" customHeight="1" x14ac:dyDescent="0.35">
      <c r="B15" s="43"/>
    </row>
    <row r="16" spans="1:41" ht="14.5" customHeight="1" x14ac:dyDescent="0.35">
      <c r="B16" s="43"/>
    </row>
    <row r="17" spans="1:4" ht="14.5" customHeight="1" x14ac:dyDescent="0.35">
      <c r="B17" s="43"/>
    </row>
    <row r="18" spans="1:4" ht="14.5" customHeight="1" x14ac:dyDescent="0.35">
      <c r="B18" s="43"/>
    </row>
    <row r="19" spans="1:4" ht="14.5" customHeight="1" x14ac:dyDescent="0.35">
      <c r="B19" s="43"/>
    </row>
    <row r="20" spans="1:4" ht="14.5" customHeight="1" x14ac:dyDescent="0.35">
      <c r="B20" s="43"/>
    </row>
    <row r="21" spans="1:4" ht="14.5" customHeight="1" x14ac:dyDescent="0.35"/>
    <row r="22" spans="1:4" ht="14.5" customHeight="1" x14ac:dyDescent="0.35">
      <c r="B22" s="43"/>
    </row>
    <row r="23" spans="1:4" ht="14.5" customHeight="1" x14ac:dyDescent="0.35">
      <c r="B23" s="43"/>
    </row>
    <row r="24" spans="1:4" ht="14.5" customHeight="1" x14ac:dyDescent="0.35">
      <c r="B24" s="43"/>
    </row>
    <row r="25" spans="1:4" ht="14.5" customHeight="1" x14ac:dyDescent="0.35"/>
    <row r="26" spans="1:4" ht="14.5" customHeight="1" x14ac:dyDescent="0.45">
      <c r="A26" s="38" t="s">
        <v>90</v>
      </c>
      <c r="B26" s="44" t="s">
        <v>87</v>
      </c>
      <c r="C26" s="32">
        <f>_c/fmin</f>
        <v>3.0282066464646464E-2</v>
      </c>
      <c r="D26" t="s">
        <v>70</v>
      </c>
    </row>
    <row r="27" spans="1:4" ht="14.5" customHeight="1" x14ac:dyDescent="0.45">
      <c r="A27" s="1" t="s">
        <v>91</v>
      </c>
      <c r="B27" s="43" t="s">
        <v>86</v>
      </c>
      <c r="C27" s="32">
        <f>λ0/SQRT(1-(λ0/λC)^2)</f>
        <v>4.0418895928355812E-2</v>
      </c>
      <c r="D27" t="s">
        <v>70</v>
      </c>
    </row>
    <row r="28" spans="1:4" ht="14.5" customHeight="1" x14ac:dyDescent="0.35">
      <c r="B28" s="43"/>
    </row>
    <row r="29" spans="1:4" ht="14.5" customHeight="1" x14ac:dyDescent="0.35"/>
    <row r="30" spans="1:4" ht="14.5" customHeight="1" x14ac:dyDescent="0.35">
      <c r="B30" s="43"/>
    </row>
    <row r="31" spans="1:4" ht="14.5" customHeight="1" x14ac:dyDescent="0.35"/>
    <row r="32" spans="1:4" ht="14.5" customHeight="1" x14ac:dyDescent="0.35"/>
    <row r="33" spans="1:4" ht="14.5" customHeight="1" x14ac:dyDescent="0.35"/>
    <row r="34" spans="1:4" ht="14.5" customHeight="1" x14ac:dyDescent="0.45">
      <c r="A34" s="1" t="s">
        <v>76</v>
      </c>
      <c r="B34" s="43" t="s">
        <v>89</v>
      </c>
      <c r="C34" s="31">
        <f>0.000663*CONVERT(a,"in","cm")*CONVERT(b,"in","cm")*(λ0/λg)*Emax^2</f>
        <v>1038309.9932383252</v>
      </c>
      <c r="D34" t="s">
        <v>71</v>
      </c>
    </row>
    <row r="35" spans="1:4" ht="14.5" customHeight="1" x14ac:dyDescent="0.45">
      <c r="A35" s="1" t="s">
        <v>77</v>
      </c>
      <c r="B35" s="43" t="s">
        <v>88</v>
      </c>
      <c r="C35" s="40">
        <f>10^((Pinmax_dBm-30)/10)</f>
        <v>1</v>
      </c>
      <c r="D35" t="s">
        <v>71</v>
      </c>
    </row>
    <row r="36" spans="1:4" ht="14.5" customHeight="1" x14ac:dyDescent="0.35">
      <c r="B36" s="1" t="s">
        <v>75</v>
      </c>
      <c r="C36" s="41">
        <f>C35/MaxPower</f>
        <v>9.6310351100556931E-7</v>
      </c>
    </row>
    <row r="37" spans="1:4" ht="14.5" customHeight="1" x14ac:dyDescent="0.35"/>
    <row r="38" spans="1:4" ht="14.5" customHeight="1" x14ac:dyDescent="0.35"/>
    <row r="39" spans="1:4" x14ac:dyDescent="0.35">
      <c r="C39" s="6"/>
    </row>
    <row r="42" spans="1:4" x14ac:dyDescent="0.35">
      <c r="A42" s="2"/>
      <c r="B42" s="2"/>
    </row>
    <row r="43" spans="1:4" x14ac:dyDescent="0.35">
      <c r="A43" s="2"/>
      <c r="B43" s="2"/>
    </row>
    <row r="44" spans="1:4" x14ac:dyDescent="0.35">
      <c r="A44" s="2"/>
      <c r="B44" s="2"/>
    </row>
    <row r="45" spans="1:4" x14ac:dyDescent="0.35">
      <c r="A45" s="2"/>
      <c r="B45" s="2"/>
    </row>
    <row r="46" spans="1:4" x14ac:dyDescent="0.35">
      <c r="A46" s="2"/>
      <c r="B46" s="2"/>
    </row>
    <row r="94" spans="1:2" x14ac:dyDescent="0.35">
      <c r="A94" s="2"/>
      <c r="B94" s="2"/>
    </row>
    <row r="95" spans="1:2" x14ac:dyDescent="0.35">
      <c r="A95" s="2"/>
      <c r="B95" s="2"/>
    </row>
    <row r="96" spans="1:2" x14ac:dyDescent="0.35">
      <c r="A96" s="2"/>
      <c r="B96" s="2"/>
    </row>
    <row r="97" spans="1:2" x14ac:dyDescent="0.35">
      <c r="A97" s="2"/>
      <c r="B97" s="2"/>
    </row>
    <row r="98" spans="1:2" x14ac:dyDescent="0.35">
      <c r="A98" s="2"/>
      <c r="B98" s="2"/>
    </row>
    <row r="99" spans="1:2" x14ac:dyDescent="0.35">
      <c r="A99" s="2"/>
      <c r="B99" s="2"/>
    </row>
    <row r="100" spans="1:2" x14ac:dyDescent="0.35">
      <c r="A100" s="2"/>
      <c r="B100" s="2"/>
    </row>
    <row r="101" spans="1:2" x14ac:dyDescent="0.35">
      <c r="A101" s="2"/>
      <c r="B101" s="2"/>
    </row>
    <row r="102" spans="1:2" x14ac:dyDescent="0.35">
      <c r="A102" s="2"/>
      <c r="B102" s="2"/>
    </row>
    <row r="103" spans="1:2" x14ac:dyDescent="0.35">
      <c r="A103" s="2"/>
      <c r="B103" s="2"/>
    </row>
    <row r="104" spans="1:2" x14ac:dyDescent="0.35">
      <c r="A104" s="2"/>
      <c r="B104" s="2"/>
    </row>
    <row r="105" spans="1:2" x14ac:dyDescent="0.35">
      <c r="A105" s="2"/>
      <c r="B105" s="2"/>
    </row>
    <row r="106" spans="1:2" x14ac:dyDescent="0.35">
      <c r="A106" s="2"/>
      <c r="B106" s="2"/>
    </row>
    <row r="107" spans="1:2" x14ac:dyDescent="0.35">
      <c r="A107" s="2"/>
      <c r="B107" s="2"/>
    </row>
    <row r="108" spans="1:2" x14ac:dyDescent="0.35">
      <c r="A108" s="2"/>
      <c r="B108" s="2"/>
    </row>
    <row r="109" spans="1:2" x14ac:dyDescent="0.35">
      <c r="A109" s="2"/>
      <c r="B109" s="2"/>
    </row>
    <row r="110" spans="1:2" x14ac:dyDescent="0.35">
      <c r="A110" s="2"/>
      <c r="B110" s="2"/>
    </row>
    <row r="111" spans="1:2" x14ac:dyDescent="0.35">
      <c r="A111" s="2"/>
      <c r="B111" s="2"/>
    </row>
    <row r="112" spans="1:2" x14ac:dyDescent="0.35">
      <c r="A112" s="2"/>
      <c r="B112" s="2"/>
    </row>
    <row r="113" spans="1:2" x14ac:dyDescent="0.35">
      <c r="A113" s="2"/>
      <c r="B113" s="2"/>
    </row>
    <row r="114" spans="1:2" x14ac:dyDescent="0.35">
      <c r="A114" s="2"/>
      <c r="B114" s="2"/>
    </row>
    <row r="115" spans="1:2" x14ac:dyDescent="0.35">
      <c r="A115" s="2"/>
      <c r="B115" s="2"/>
    </row>
    <row r="116" spans="1:2" x14ac:dyDescent="0.35">
      <c r="A116" s="2"/>
      <c r="B116" s="2"/>
    </row>
    <row r="117" spans="1:2" x14ac:dyDescent="0.35">
      <c r="A117" s="2"/>
      <c r="B117" s="2"/>
    </row>
    <row r="118" spans="1:2" x14ac:dyDescent="0.35">
      <c r="A118" s="2"/>
      <c r="B118" s="2"/>
    </row>
    <row r="119" spans="1:2" x14ac:dyDescent="0.35">
      <c r="A119" s="2"/>
      <c r="B119" s="2"/>
    </row>
    <row r="120" spans="1:2" x14ac:dyDescent="0.35">
      <c r="A120" s="2"/>
      <c r="B120" s="2"/>
    </row>
    <row r="121" spans="1:2" x14ac:dyDescent="0.35">
      <c r="A121" s="2"/>
      <c r="B121" s="2"/>
    </row>
    <row r="122" spans="1:2" x14ac:dyDescent="0.35">
      <c r="A122" s="2"/>
      <c r="B122" s="2"/>
    </row>
    <row r="123" spans="1:2" x14ac:dyDescent="0.35">
      <c r="A123" s="2"/>
      <c r="B123" s="2"/>
    </row>
    <row r="124" spans="1:2" x14ac:dyDescent="0.35">
      <c r="A124" s="2"/>
      <c r="B124" s="2"/>
    </row>
    <row r="125" spans="1:2" x14ac:dyDescent="0.35">
      <c r="A125" s="2"/>
      <c r="B125" s="2"/>
    </row>
    <row r="126" spans="1:2" x14ac:dyDescent="0.35">
      <c r="A126" s="2"/>
      <c r="B126" s="2"/>
    </row>
    <row r="127" spans="1:2" x14ac:dyDescent="0.35">
      <c r="A127" s="2"/>
      <c r="B127" s="2"/>
    </row>
    <row r="128" spans="1:2" x14ac:dyDescent="0.35">
      <c r="A128" s="2"/>
      <c r="B128" s="2"/>
    </row>
    <row r="129" spans="1:2" x14ac:dyDescent="0.35">
      <c r="A129" s="2"/>
      <c r="B129" s="2"/>
    </row>
    <row r="130" spans="1:2" x14ac:dyDescent="0.35">
      <c r="A130" s="2"/>
      <c r="B130" s="2"/>
    </row>
  </sheetData>
  <conditionalFormatting sqref="C12">
    <cfRule type="cellIs" dxfId="22" priority="1" operator="lessThan">
      <formula>1.25</formula>
    </cfRule>
    <cfRule type="cellIs" dxfId="21" priority="6" stopIfTrue="1" operator="lessThan">
      <formula>1.25</formula>
    </cfRule>
  </conditionalFormatting>
  <conditionalFormatting sqref="C11">
    <cfRule type="cellIs" dxfId="20" priority="2" operator="greaterThan">
      <formula>1.89</formula>
    </cfRule>
  </conditionalFormatting>
  <dataValidations count="5">
    <dataValidation allowBlank="1" showInputMessage="1" showErrorMessage="1" prompt="Input the maximum operating frequency in Hz" sqref="WVJ98304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C65542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C131078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C196614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C262150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C327686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C393222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C458758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C524294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C589830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C655366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C720902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C786438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C851974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C917510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C983046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xr:uid="{87A5CC79-06DD-4D85-9A16-C4E6DAA9C17F}"/>
    <dataValidation allowBlank="1" showInputMessage="1" showErrorMessage="1" prompt="Input the minimum operating frequency in Hz" sqref="WVJ983047 IX7 ST7 ACP7 AML7 AWH7 BGD7 BPZ7 BZV7 CJR7 CTN7 DDJ7 DNF7 DXB7 EGX7 EQT7 FAP7 FKL7 FUH7 GED7 GNZ7 GXV7 HHR7 HRN7 IBJ7 ILF7 IVB7 JEX7 JOT7 JYP7 KIL7 KSH7 LCD7 LLZ7 LVV7 MFR7 MPN7 MZJ7 NJF7 NTB7 OCX7 OMT7 OWP7 PGL7 PQH7 QAD7 QJZ7 QTV7 RDR7 RNN7 RXJ7 SHF7 SRB7 TAX7 TKT7 TUP7 UEL7 UOH7 UYD7 VHZ7 VRV7 WBR7 WLN7 WVJ7 C65543 IX65543 ST65543 ACP65543 AML65543 AWH65543 BGD65543 BPZ65543 BZV65543 CJR65543 CTN65543 DDJ65543 DNF65543 DXB65543 EGX65543 EQT65543 FAP65543 FKL65543 FUH65543 GED65543 GNZ65543 GXV65543 HHR65543 HRN65543 IBJ65543 ILF65543 IVB65543 JEX65543 JOT65543 JYP65543 KIL65543 KSH65543 LCD65543 LLZ65543 LVV65543 MFR65543 MPN65543 MZJ65543 NJF65543 NTB65543 OCX65543 OMT65543 OWP65543 PGL65543 PQH65543 QAD65543 QJZ65543 QTV65543 RDR65543 RNN65543 RXJ65543 SHF65543 SRB65543 TAX65543 TKT65543 TUP65543 UEL65543 UOH65543 UYD65543 VHZ65543 VRV65543 WBR65543 WLN65543 WVJ65543 C131079 IX131079 ST131079 ACP131079 AML131079 AWH131079 BGD131079 BPZ131079 BZV131079 CJR131079 CTN131079 DDJ131079 DNF131079 DXB131079 EGX131079 EQT131079 FAP131079 FKL131079 FUH131079 GED131079 GNZ131079 GXV131079 HHR131079 HRN131079 IBJ131079 ILF131079 IVB131079 JEX131079 JOT131079 JYP131079 KIL131079 KSH131079 LCD131079 LLZ131079 LVV131079 MFR131079 MPN131079 MZJ131079 NJF131079 NTB131079 OCX131079 OMT131079 OWP131079 PGL131079 PQH131079 QAD131079 QJZ131079 QTV131079 RDR131079 RNN131079 RXJ131079 SHF131079 SRB131079 TAX131079 TKT131079 TUP131079 UEL131079 UOH131079 UYD131079 VHZ131079 VRV131079 WBR131079 WLN131079 WVJ131079 C196615 IX196615 ST196615 ACP196615 AML196615 AWH196615 BGD196615 BPZ196615 BZV196615 CJR196615 CTN196615 DDJ196615 DNF196615 DXB196615 EGX196615 EQT196615 FAP196615 FKL196615 FUH196615 GED196615 GNZ196615 GXV196615 HHR196615 HRN196615 IBJ196615 ILF196615 IVB196615 JEX196615 JOT196615 JYP196615 KIL196615 KSH196615 LCD196615 LLZ196615 LVV196615 MFR196615 MPN196615 MZJ196615 NJF196615 NTB196615 OCX196615 OMT196615 OWP196615 PGL196615 PQH196615 QAD196615 QJZ196615 QTV196615 RDR196615 RNN196615 RXJ196615 SHF196615 SRB196615 TAX196615 TKT196615 TUP196615 UEL196615 UOH196615 UYD196615 VHZ196615 VRV196615 WBR196615 WLN196615 WVJ196615 C262151 IX262151 ST262151 ACP262151 AML262151 AWH262151 BGD262151 BPZ262151 BZV262151 CJR262151 CTN262151 DDJ262151 DNF262151 DXB262151 EGX262151 EQT262151 FAP262151 FKL262151 FUH262151 GED262151 GNZ262151 GXV262151 HHR262151 HRN262151 IBJ262151 ILF262151 IVB262151 JEX262151 JOT262151 JYP262151 KIL262151 KSH262151 LCD262151 LLZ262151 LVV262151 MFR262151 MPN262151 MZJ262151 NJF262151 NTB262151 OCX262151 OMT262151 OWP262151 PGL262151 PQH262151 QAD262151 QJZ262151 QTV262151 RDR262151 RNN262151 RXJ262151 SHF262151 SRB262151 TAX262151 TKT262151 TUP262151 UEL262151 UOH262151 UYD262151 VHZ262151 VRV262151 WBR262151 WLN262151 WVJ262151 C327687 IX327687 ST327687 ACP327687 AML327687 AWH327687 BGD327687 BPZ327687 BZV327687 CJR327687 CTN327687 DDJ327687 DNF327687 DXB327687 EGX327687 EQT327687 FAP327687 FKL327687 FUH327687 GED327687 GNZ327687 GXV327687 HHR327687 HRN327687 IBJ327687 ILF327687 IVB327687 JEX327687 JOT327687 JYP327687 KIL327687 KSH327687 LCD327687 LLZ327687 LVV327687 MFR327687 MPN327687 MZJ327687 NJF327687 NTB327687 OCX327687 OMT327687 OWP327687 PGL327687 PQH327687 QAD327687 QJZ327687 QTV327687 RDR327687 RNN327687 RXJ327687 SHF327687 SRB327687 TAX327687 TKT327687 TUP327687 UEL327687 UOH327687 UYD327687 VHZ327687 VRV327687 WBR327687 WLN327687 WVJ327687 C393223 IX393223 ST393223 ACP393223 AML393223 AWH393223 BGD393223 BPZ393223 BZV393223 CJR393223 CTN393223 DDJ393223 DNF393223 DXB393223 EGX393223 EQT393223 FAP393223 FKL393223 FUH393223 GED393223 GNZ393223 GXV393223 HHR393223 HRN393223 IBJ393223 ILF393223 IVB393223 JEX393223 JOT393223 JYP393223 KIL393223 KSH393223 LCD393223 LLZ393223 LVV393223 MFR393223 MPN393223 MZJ393223 NJF393223 NTB393223 OCX393223 OMT393223 OWP393223 PGL393223 PQH393223 QAD393223 QJZ393223 QTV393223 RDR393223 RNN393223 RXJ393223 SHF393223 SRB393223 TAX393223 TKT393223 TUP393223 UEL393223 UOH393223 UYD393223 VHZ393223 VRV393223 WBR393223 WLN393223 WVJ393223 C458759 IX458759 ST458759 ACP458759 AML458759 AWH458759 BGD458759 BPZ458759 BZV458759 CJR458759 CTN458759 DDJ458759 DNF458759 DXB458759 EGX458759 EQT458759 FAP458759 FKL458759 FUH458759 GED458759 GNZ458759 GXV458759 HHR458759 HRN458759 IBJ458759 ILF458759 IVB458759 JEX458759 JOT458759 JYP458759 KIL458759 KSH458759 LCD458759 LLZ458759 LVV458759 MFR458759 MPN458759 MZJ458759 NJF458759 NTB458759 OCX458759 OMT458759 OWP458759 PGL458759 PQH458759 QAD458759 QJZ458759 QTV458759 RDR458759 RNN458759 RXJ458759 SHF458759 SRB458759 TAX458759 TKT458759 TUP458759 UEL458759 UOH458759 UYD458759 VHZ458759 VRV458759 WBR458759 WLN458759 WVJ458759 C524295 IX524295 ST524295 ACP524295 AML524295 AWH524295 BGD524295 BPZ524295 BZV524295 CJR524295 CTN524295 DDJ524295 DNF524295 DXB524295 EGX524295 EQT524295 FAP524295 FKL524295 FUH524295 GED524295 GNZ524295 GXV524295 HHR524295 HRN524295 IBJ524295 ILF524295 IVB524295 JEX524295 JOT524295 JYP524295 KIL524295 KSH524295 LCD524295 LLZ524295 LVV524295 MFR524295 MPN524295 MZJ524295 NJF524295 NTB524295 OCX524295 OMT524295 OWP524295 PGL524295 PQH524295 QAD524295 QJZ524295 QTV524295 RDR524295 RNN524295 RXJ524295 SHF524295 SRB524295 TAX524295 TKT524295 TUP524295 UEL524295 UOH524295 UYD524295 VHZ524295 VRV524295 WBR524295 WLN524295 WVJ524295 C589831 IX589831 ST589831 ACP589831 AML589831 AWH589831 BGD589831 BPZ589831 BZV589831 CJR589831 CTN589831 DDJ589831 DNF589831 DXB589831 EGX589831 EQT589831 FAP589831 FKL589831 FUH589831 GED589831 GNZ589831 GXV589831 HHR589831 HRN589831 IBJ589831 ILF589831 IVB589831 JEX589831 JOT589831 JYP589831 KIL589831 KSH589831 LCD589831 LLZ589831 LVV589831 MFR589831 MPN589831 MZJ589831 NJF589831 NTB589831 OCX589831 OMT589831 OWP589831 PGL589831 PQH589831 QAD589831 QJZ589831 QTV589831 RDR589831 RNN589831 RXJ589831 SHF589831 SRB589831 TAX589831 TKT589831 TUP589831 UEL589831 UOH589831 UYD589831 VHZ589831 VRV589831 WBR589831 WLN589831 WVJ589831 C655367 IX655367 ST655367 ACP655367 AML655367 AWH655367 BGD655367 BPZ655367 BZV655367 CJR655367 CTN655367 DDJ655367 DNF655367 DXB655367 EGX655367 EQT655367 FAP655367 FKL655367 FUH655367 GED655367 GNZ655367 GXV655367 HHR655367 HRN655367 IBJ655367 ILF655367 IVB655367 JEX655367 JOT655367 JYP655367 KIL655367 KSH655367 LCD655367 LLZ655367 LVV655367 MFR655367 MPN655367 MZJ655367 NJF655367 NTB655367 OCX655367 OMT655367 OWP655367 PGL655367 PQH655367 QAD655367 QJZ655367 QTV655367 RDR655367 RNN655367 RXJ655367 SHF655367 SRB655367 TAX655367 TKT655367 TUP655367 UEL655367 UOH655367 UYD655367 VHZ655367 VRV655367 WBR655367 WLN655367 WVJ655367 C720903 IX720903 ST720903 ACP720903 AML720903 AWH720903 BGD720903 BPZ720903 BZV720903 CJR720903 CTN720903 DDJ720903 DNF720903 DXB720903 EGX720903 EQT720903 FAP720903 FKL720903 FUH720903 GED720903 GNZ720903 GXV720903 HHR720903 HRN720903 IBJ720903 ILF720903 IVB720903 JEX720903 JOT720903 JYP720903 KIL720903 KSH720903 LCD720903 LLZ720903 LVV720903 MFR720903 MPN720903 MZJ720903 NJF720903 NTB720903 OCX720903 OMT720903 OWP720903 PGL720903 PQH720903 QAD720903 QJZ720903 QTV720903 RDR720903 RNN720903 RXJ720903 SHF720903 SRB720903 TAX720903 TKT720903 TUP720903 UEL720903 UOH720903 UYD720903 VHZ720903 VRV720903 WBR720903 WLN720903 WVJ720903 C786439 IX786439 ST786439 ACP786439 AML786439 AWH786439 BGD786439 BPZ786439 BZV786439 CJR786439 CTN786439 DDJ786439 DNF786439 DXB786439 EGX786439 EQT786439 FAP786439 FKL786439 FUH786439 GED786439 GNZ786439 GXV786439 HHR786439 HRN786439 IBJ786439 ILF786439 IVB786439 JEX786439 JOT786439 JYP786439 KIL786439 KSH786439 LCD786439 LLZ786439 LVV786439 MFR786439 MPN786439 MZJ786439 NJF786439 NTB786439 OCX786439 OMT786439 OWP786439 PGL786439 PQH786439 QAD786439 QJZ786439 QTV786439 RDR786439 RNN786439 RXJ786439 SHF786439 SRB786439 TAX786439 TKT786439 TUP786439 UEL786439 UOH786439 UYD786439 VHZ786439 VRV786439 WBR786439 WLN786439 WVJ786439 C851975 IX851975 ST851975 ACP851975 AML851975 AWH851975 BGD851975 BPZ851975 BZV851975 CJR851975 CTN851975 DDJ851975 DNF851975 DXB851975 EGX851975 EQT851975 FAP851975 FKL851975 FUH851975 GED851975 GNZ851975 GXV851975 HHR851975 HRN851975 IBJ851975 ILF851975 IVB851975 JEX851975 JOT851975 JYP851975 KIL851975 KSH851975 LCD851975 LLZ851975 LVV851975 MFR851975 MPN851975 MZJ851975 NJF851975 NTB851975 OCX851975 OMT851975 OWP851975 PGL851975 PQH851975 QAD851975 QJZ851975 QTV851975 RDR851975 RNN851975 RXJ851975 SHF851975 SRB851975 TAX851975 TKT851975 TUP851975 UEL851975 UOH851975 UYD851975 VHZ851975 VRV851975 WBR851975 WLN851975 WVJ851975 C917511 IX917511 ST917511 ACP917511 AML917511 AWH917511 BGD917511 BPZ917511 BZV917511 CJR917511 CTN917511 DDJ917511 DNF917511 DXB917511 EGX917511 EQT917511 FAP917511 FKL917511 FUH917511 GED917511 GNZ917511 GXV917511 HHR917511 HRN917511 IBJ917511 ILF917511 IVB917511 JEX917511 JOT917511 JYP917511 KIL917511 KSH917511 LCD917511 LLZ917511 LVV917511 MFR917511 MPN917511 MZJ917511 NJF917511 NTB917511 OCX917511 OMT917511 OWP917511 PGL917511 PQH917511 QAD917511 QJZ917511 QTV917511 RDR917511 RNN917511 RXJ917511 SHF917511 SRB917511 TAX917511 TKT917511 TUP917511 UEL917511 UOH917511 UYD917511 VHZ917511 VRV917511 WBR917511 WLN917511 WVJ917511 C983047 IX983047 ST983047 ACP983047 AML983047 AWH983047 BGD983047 BPZ983047 BZV983047 CJR983047 CTN983047 DDJ983047 DNF983047 DXB983047 EGX983047 EQT983047 FAP983047 FKL983047 FUH983047 GED983047 GNZ983047 GXV983047 HHR983047 HRN983047 IBJ983047 ILF983047 IVB983047 JEX983047 JOT983047 JYP983047 KIL983047 KSH983047 LCD983047 LLZ983047 LVV983047 MFR983047 MPN983047 MZJ983047 NJF983047 NTB983047 OCX983047 OMT983047 OWP983047 PGL983047 PQH983047 QAD983047 QJZ983047 QTV983047 RDR983047 RNN983047 RXJ983047 SHF983047 SRB983047 TAX983047 TKT983047 TUP983047 UEL983047 UOH983047 UYD983047 VHZ983047 VRV983047 WBR983047 WLN983047" xr:uid="{D270AF44-E2D3-4E90-9DAB-FBB792B92AD2}"/>
    <dataValidation type="list" allowBlank="1" showInputMessage="1" showErrorMessage="1" promptTitle="Material" prompt="Select Waveguide Material" sqref="C7" xr:uid="{CED0D61C-B4A0-4CAE-AC15-FDC8DE6E6235}">
      <formula1>"Aluminum,Copper"</formula1>
    </dataValidation>
    <dataValidation type="list" allowBlank="1" showInputMessage="1" showErrorMessage="1" promptTitle="Material" prompt="Select Waveguide Material" sqref="IX5 ST5 ACP5 AML5 AWH5 BGD5 BPZ5 BZV5 CJR5 CTN5 DDJ5 DNF5 DXB5 EGX5 EQT5 FAP5 FKL5 FUH5 GED5 GNZ5 GXV5 HHR5 HRN5 IBJ5 ILF5 IVB5 JEX5 JOT5 JYP5 KIL5 KSH5 LCD5 LLZ5 LVV5 MFR5 MPN5 MZJ5 NJF5 NTB5 OCX5 OMT5 OWP5 PGL5 PQH5 QAD5 QJZ5 QTV5 RDR5 RNN5 RXJ5 SHF5 SRB5 TAX5 TKT5 TUP5 UEL5 UOH5 UYD5 VHZ5 VRV5 WBR5 WLN5 WVJ5 C65541 IX65541 ST65541 ACP65541 AML65541 AWH65541 BGD65541 BPZ65541 BZV65541 CJR65541 CTN65541 DDJ65541 DNF65541 DXB65541 EGX65541 EQT65541 FAP65541 FKL65541 FUH65541 GED65541 GNZ65541 GXV65541 HHR65541 HRN65541 IBJ65541 ILF65541 IVB65541 JEX65541 JOT65541 JYP65541 KIL65541 KSH65541 LCD65541 LLZ65541 LVV65541 MFR65541 MPN65541 MZJ65541 NJF65541 NTB65541 OCX65541 OMT65541 OWP65541 PGL65541 PQH65541 QAD65541 QJZ65541 QTV65541 RDR65541 RNN65541 RXJ65541 SHF65541 SRB65541 TAX65541 TKT65541 TUP65541 UEL65541 UOH65541 UYD65541 VHZ65541 VRV65541 WBR65541 WLN65541 WVJ65541 C131077 IX131077 ST131077 ACP131077 AML131077 AWH131077 BGD131077 BPZ131077 BZV131077 CJR131077 CTN131077 DDJ131077 DNF131077 DXB131077 EGX131077 EQT131077 FAP131077 FKL131077 FUH131077 GED131077 GNZ131077 GXV131077 HHR131077 HRN131077 IBJ131077 ILF131077 IVB131077 JEX131077 JOT131077 JYP131077 KIL131077 KSH131077 LCD131077 LLZ131077 LVV131077 MFR131077 MPN131077 MZJ131077 NJF131077 NTB131077 OCX131077 OMT131077 OWP131077 PGL131077 PQH131077 QAD131077 QJZ131077 QTV131077 RDR131077 RNN131077 RXJ131077 SHF131077 SRB131077 TAX131077 TKT131077 TUP131077 UEL131077 UOH131077 UYD131077 VHZ131077 VRV131077 WBR131077 WLN131077 WVJ131077 C196613 IX196613 ST196613 ACP196613 AML196613 AWH196613 BGD196613 BPZ196613 BZV196613 CJR196613 CTN196613 DDJ196613 DNF196613 DXB196613 EGX196613 EQT196613 FAP196613 FKL196613 FUH196613 GED196613 GNZ196613 GXV196613 HHR196613 HRN196613 IBJ196613 ILF196613 IVB196613 JEX196613 JOT196613 JYP196613 KIL196613 KSH196613 LCD196613 LLZ196613 LVV196613 MFR196613 MPN196613 MZJ196613 NJF196613 NTB196613 OCX196613 OMT196613 OWP196613 PGL196613 PQH196613 QAD196613 QJZ196613 QTV196613 RDR196613 RNN196613 RXJ196613 SHF196613 SRB196613 TAX196613 TKT196613 TUP196613 UEL196613 UOH196613 UYD196613 VHZ196613 VRV196613 WBR196613 WLN196613 WVJ196613 C262149 IX262149 ST262149 ACP262149 AML262149 AWH262149 BGD262149 BPZ262149 BZV262149 CJR262149 CTN262149 DDJ262149 DNF262149 DXB262149 EGX262149 EQT262149 FAP262149 FKL262149 FUH262149 GED262149 GNZ262149 GXV262149 HHR262149 HRN262149 IBJ262149 ILF262149 IVB262149 JEX262149 JOT262149 JYP262149 KIL262149 KSH262149 LCD262149 LLZ262149 LVV262149 MFR262149 MPN262149 MZJ262149 NJF262149 NTB262149 OCX262149 OMT262149 OWP262149 PGL262149 PQH262149 QAD262149 QJZ262149 QTV262149 RDR262149 RNN262149 RXJ262149 SHF262149 SRB262149 TAX262149 TKT262149 TUP262149 UEL262149 UOH262149 UYD262149 VHZ262149 VRV262149 WBR262149 WLN262149 WVJ262149 C327685 IX327685 ST327685 ACP327685 AML327685 AWH327685 BGD327685 BPZ327685 BZV327685 CJR327685 CTN327685 DDJ327685 DNF327685 DXB327685 EGX327685 EQT327685 FAP327685 FKL327685 FUH327685 GED327685 GNZ327685 GXV327685 HHR327685 HRN327685 IBJ327685 ILF327685 IVB327685 JEX327685 JOT327685 JYP327685 KIL327685 KSH327685 LCD327685 LLZ327685 LVV327685 MFR327685 MPN327685 MZJ327685 NJF327685 NTB327685 OCX327685 OMT327685 OWP327685 PGL327685 PQH327685 QAD327685 QJZ327685 QTV327685 RDR327685 RNN327685 RXJ327685 SHF327685 SRB327685 TAX327685 TKT327685 TUP327685 UEL327685 UOH327685 UYD327685 VHZ327685 VRV327685 WBR327685 WLN327685 WVJ327685 C393221 IX393221 ST393221 ACP393221 AML393221 AWH393221 BGD393221 BPZ393221 BZV393221 CJR393221 CTN393221 DDJ393221 DNF393221 DXB393221 EGX393221 EQT393221 FAP393221 FKL393221 FUH393221 GED393221 GNZ393221 GXV393221 HHR393221 HRN393221 IBJ393221 ILF393221 IVB393221 JEX393221 JOT393221 JYP393221 KIL393221 KSH393221 LCD393221 LLZ393221 LVV393221 MFR393221 MPN393221 MZJ393221 NJF393221 NTB393221 OCX393221 OMT393221 OWP393221 PGL393221 PQH393221 QAD393221 QJZ393221 QTV393221 RDR393221 RNN393221 RXJ393221 SHF393221 SRB393221 TAX393221 TKT393221 TUP393221 UEL393221 UOH393221 UYD393221 VHZ393221 VRV393221 WBR393221 WLN393221 WVJ393221 C458757 IX458757 ST458757 ACP458757 AML458757 AWH458757 BGD458757 BPZ458757 BZV458757 CJR458757 CTN458757 DDJ458757 DNF458757 DXB458757 EGX458757 EQT458757 FAP458757 FKL458757 FUH458757 GED458757 GNZ458757 GXV458757 HHR458757 HRN458757 IBJ458757 ILF458757 IVB458757 JEX458757 JOT458757 JYP458757 KIL458757 KSH458757 LCD458757 LLZ458757 LVV458757 MFR458757 MPN458757 MZJ458757 NJF458757 NTB458757 OCX458757 OMT458757 OWP458757 PGL458757 PQH458757 QAD458757 QJZ458757 QTV458757 RDR458757 RNN458757 RXJ458757 SHF458757 SRB458757 TAX458757 TKT458757 TUP458757 UEL458757 UOH458757 UYD458757 VHZ458757 VRV458757 WBR458757 WLN458757 WVJ458757 C524293 IX524293 ST524293 ACP524293 AML524293 AWH524293 BGD524293 BPZ524293 BZV524293 CJR524293 CTN524293 DDJ524293 DNF524293 DXB524293 EGX524293 EQT524293 FAP524293 FKL524293 FUH524293 GED524293 GNZ524293 GXV524293 HHR524293 HRN524293 IBJ524293 ILF524293 IVB524293 JEX524293 JOT524293 JYP524293 KIL524293 KSH524293 LCD524293 LLZ524293 LVV524293 MFR524293 MPN524293 MZJ524293 NJF524293 NTB524293 OCX524293 OMT524293 OWP524293 PGL524293 PQH524293 QAD524293 QJZ524293 QTV524293 RDR524293 RNN524293 RXJ524293 SHF524293 SRB524293 TAX524293 TKT524293 TUP524293 UEL524293 UOH524293 UYD524293 VHZ524293 VRV524293 WBR524293 WLN524293 WVJ524293 C589829 IX589829 ST589829 ACP589829 AML589829 AWH589829 BGD589829 BPZ589829 BZV589829 CJR589829 CTN589829 DDJ589829 DNF589829 DXB589829 EGX589829 EQT589829 FAP589829 FKL589829 FUH589829 GED589829 GNZ589829 GXV589829 HHR589829 HRN589829 IBJ589829 ILF589829 IVB589829 JEX589829 JOT589829 JYP589829 KIL589829 KSH589829 LCD589829 LLZ589829 LVV589829 MFR589829 MPN589829 MZJ589829 NJF589829 NTB589829 OCX589829 OMT589829 OWP589829 PGL589829 PQH589829 QAD589829 QJZ589829 QTV589829 RDR589829 RNN589829 RXJ589829 SHF589829 SRB589829 TAX589829 TKT589829 TUP589829 UEL589829 UOH589829 UYD589829 VHZ589829 VRV589829 WBR589829 WLN589829 WVJ589829 C655365 IX655365 ST655365 ACP655365 AML655365 AWH655365 BGD655365 BPZ655365 BZV655365 CJR655365 CTN655365 DDJ655365 DNF655365 DXB655365 EGX655365 EQT655365 FAP655365 FKL655365 FUH655365 GED655365 GNZ655365 GXV655365 HHR655365 HRN655365 IBJ655365 ILF655365 IVB655365 JEX655365 JOT655365 JYP655365 KIL655365 KSH655365 LCD655365 LLZ655365 LVV655365 MFR655365 MPN655365 MZJ655365 NJF655365 NTB655365 OCX655365 OMT655365 OWP655365 PGL655365 PQH655365 QAD655365 QJZ655365 QTV655365 RDR655365 RNN655365 RXJ655365 SHF655365 SRB655365 TAX655365 TKT655365 TUP655365 UEL655365 UOH655365 UYD655365 VHZ655365 VRV655365 WBR655365 WLN655365 WVJ655365 C720901 IX720901 ST720901 ACP720901 AML720901 AWH720901 BGD720901 BPZ720901 BZV720901 CJR720901 CTN720901 DDJ720901 DNF720901 DXB720901 EGX720901 EQT720901 FAP720901 FKL720901 FUH720901 GED720901 GNZ720901 GXV720901 HHR720901 HRN720901 IBJ720901 ILF720901 IVB720901 JEX720901 JOT720901 JYP720901 KIL720901 KSH720901 LCD720901 LLZ720901 LVV720901 MFR720901 MPN720901 MZJ720901 NJF720901 NTB720901 OCX720901 OMT720901 OWP720901 PGL720901 PQH720901 QAD720901 QJZ720901 QTV720901 RDR720901 RNN720901 RXJ720901 SHF720901 SRB720901 TAX720901 TKT720901 TUP720901 UEL720901 UOH720901 UYD720901 VHZ720901 VRV720901 WBR720901 WLN720901 WVJ720901 C786437 IX786437 ST786437 ACP786437 AML786437 AWH786437 BGD786437 BPZ786437 BZV786437 CJR786437 CTN786437 DDJ786437 DNF786437 DXB786437 EGX786437 EQT786437 FAP786437 FKL786437 FUH786437 GED786437 GNZ786437 GXV786437 HHR786437 HRN786437 IBJ786437 ILF786437 IVB786437 JEX786437 JOT786437 JYP786437 KIL786437 KSH786437 LCD786437 LLZ786437 LVV786437 MFR786437 MPN786437 MZJ786437 NJF786437 NTB786437 OCX786437 OMT786437 OWP786437 PGL786437 PQH786437 QAD786437 QJZ786437 QTV786437 RDR786437 RNN786437 RXJ786437 SHF786437 SRB786437 TAX786437 TKT786437 TUP786437 UEL786437 UOH786437 UYD786437 VHZ786437 VRV786437 WBR786437 WLN786437 WVJ786437 C851973 IX851973 ST851973 ACP851973 AML851973 AWH851973 BGD851973 BPZ851973 BZV851973 CJR851973 CTN851973 DDJ851973 DNF851973 DXB851973 EGX851973 EQT851973 FAP851973 FKL851973 FUH851973 GED851973 GNZ851973 GXV851973 HHR851973 HRN851973 IBJ851973 ILF851973 IVB851973 JEX851973 JOT851973 JYP851973 KIL851973 KSH851973 LCD851973 LLZ851973 LVV851973 MFR851973 MPN851973 MZJ851973 NJF851973 NTB851973 OCX851973 OMT851973 OWP851973 PGL851973 PQH851973 QAD851973 QJZ851973 QTV851973 RDR851973 RNN851973 RXJ851973 SHF851973 SRB851973 TAX851973 TKT851973 TUP851973 UEL851973 UOH851973 UYD851973 VHZ851973 VRV851973 WBR851973 WLN851973 WVJ851973 C917509 IX917509 ST917509 ACP917509 AML917509 AWH917509 BGD917509 BPZ917509 BZV917509 CJR917509 CTN917509 DDJ917509 DNF917509 DXB917509 EGX917509 EQT917509 FAP917509 FKL917509 FUH917509 GED917509 GNZ917509 GXV917509 HHR917509 HRN917509 IBJ917509 ILF917509 IVB917509 JEX917509 JOT917509 JYP917509 KIL917509 KSH917509 LCD917509 LLZ917509 LVV917509 MFR917509 MPN917509 MZJ917509 NJF917509 NTB917509 OCX917509 OMT917509 OWP917509 PGL917509 PQH917509 QAD917509 QJZ917509 QTV917509 RDR917509 RNN917509 RXJ917509 SHF917509 SRB917509 TAX917509 TKT917509 TUP917509 UEL917509 UOH917509 UYD917509 VHZ917509 VRV917509 WBR917509 WLN917509 WVJ917509 C983045 IX983045 ST983045 ACP983045 AML983045 AWH983045 BGD983045 BPZ983045 BZV983045 CJR983045 CTN983045 DDJ983045 DNF983045 DXB983045 EGX983045 EQT983045 FAP983045 FKL983045 FUH983045 GED983045 GNZ983045 GXV983045 HHR983045 HRN983045 IBJ983045 ILF983045 IVB983045 JEX983045 JOT983045 JYP983045 KIL983045 KSH983045 LCD983045 LLZ983045 LVV983045 MFR983045 MPN983045 MZJ983045 NJF983045 NTB983045 OCX983045 OMT983045 OWP983045 PGL983045 PQH983045 QAD983045 QJZ983045 QTV983045 RDR983045 RNN983045 RXJ983045 SHF983045 SRB983045 TAX983045 TKT983045 TUP983045 UEL983045 UOH983045 UYD983045 VHZ983045 VRV983045 WBR983045 WLN983045 WVJ983045" xr:uid="{00114604-8ED0-453A-8524-12B21C00F925}">
      <formula1>$AO$4:$AO$5</formula1>
    </dataValidation>
    <dataValidation type="custom" allowBlank="1" showInputMessage="1" showErrorMessage="1" errorTitle="Out of Range" error="Must be greater that the min oparting frequency and less that 220 GHz._x000a__x000a_Also, the largest ratio bandwidth is where fmax/fmin = 1.58." prompt="Input the maximum operating frequency in Hz" sqref="C5" xr:uid="{CDD5EB4E-C5CB-45C4-B6D2-05B099F27F3C}">
      <formula1>AND(C5&gt;C4,C5&lt;=1.58*C4)</formula1>
    </dataValidation>
  </dataValidations>
  <pageMargins left="0.7" right="0.7" top="0.75" bottom="0.75" header="0.3" footer="0.3"/>
  <pageSetup paperSize="17" scale="80" orientation="landscape" r:id="rId1"/>
  <headerFooter alignWithMargins="0"/>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promptTitle="Waveguide Size" prompt="Drop down to select waveguide size" xr:uid="{55456987-C023-4CD6-A911-5A4F6332070D}">
          <x14:formula1>
            <xm:f>'Waveguide Datasheet'!$B$4:$B$36</xm:f>
          </x14:formula1>
          <xm:sqref>WVJ983044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C65540 IX65540 ST65540 ACP65540 AML65540 AWH65540 BGD65540 BPZ65540 BZV65540 CJR65540 CTN65540 DDJ65540 DNF65540 DXB65540 EGX65540 EQT65540 FAP65540 FKL65540 FUH65540 GED65540 GNZ65540 GXV65540 HHR65540 HRN65540 IBJ65540 ILF65540 IVB65540 JEX65540 JOT65540 JYP65540 KIL65540 KSH65540 LCD65540 LLZ65540 LVV65540 MFR65540 MPN65540 MZJ65540 NJF65540 NTB65540 OCX65540 OMT65540 OWP65540 PGL65540 PQH65540 QAD65540 QJZ65540 QTV65540 RDR65540 RNN65540 RXJ65540 SHF65540 SRB65540 TAX65540 TKT65540 TUP65540 UEL65540 UOH65540 UYD65540 VHZ65540 VRV65540 WBR65540 WLN65540 WVJ65540 C131076 IX131076 ST131076 ACP131076 AML131076 AWH131076 BGD131076 BPZ131076 BZV131076 CJR131076 CTN131076 DDJ131076 DNF131076 DXB131076 EGX131076 EQT131076 FAP131076 FKL131076 FUH131076 GED131076 GNZ131076 GXV131076 HHR131076 HRN131076 IBJ131076 ILF131076 IVB131076 JEX131076 JOT131076 JYP131076 KIL131076 KSH131076 LCD131076 LLZ131076 LVV131076 MFR131076 MPN131076 MZJ131076 NJF131076 NTB131076 OCX131076 OMT131076 OWP131076 PGL131076 PQH131076 QAD131076 QJZ131076 QTV131076 RDR131076 RNN131076 RXJ131076 SHF131076 SRB131076 TAX131076 TKT131076 TUP131076 UEL131076 UOH131076 UYD131076 VHZ131076 VRV131076 WBR131076 WLN131076 WVJ131076 C196612 IX196612 ST196612 ACP196612 AML196612 AWH196612 BGD196612 BPZ196612 BZV196612 CJR196612 CTN196612 DDJ196612 DNF196612 DXB196612 EGX196612 EQT196612 FAP196612 FKL196612 FUH196612 GED196612 GNZ196612 GXV196612 HHR196612 HRN196612 IBJ196612 ILF196612 IVB196612 JEX196612 JOT196612 JYP196612 KIL196612 KSH196612 LCD196612 LLZ196612 LVV196612 MFR196612 MPN196612 MZJ196612 NJF196612 NTB196612 OCX196612 OMT196612 OWP196612 PGL196612 PQH196612 QAD196612 QJZ196612 QTV196612 RDR196612 RNN196612 RXJ196612 SHF196612 SRB196612 TAX196612 TKT196612 TUP196612 UEL196612 UOH196612 UYD196612 VHZ196612 VRV196612 WBR196612 WLN196612 WVJ196612 C262148 IX262148 ST262148 ACP262148 AML262148 AWH262148 BGD262148 BPZ262148 BZV262148 CJR262148 CTN262148 DDJ262148 DNF262148 DXB262148 EGX262148 EQT262148 FAP262148 FKL262148 FUH262148 GED262148 GNZ262148 GXV262148 HHR262148 HRN262148 IBJ262148 ILF262148 IVB262148 JEX262148 JOT262148 JYP262148 KIL262148 KSH262148 LCD262148 LLZ262148 LVV262148 MFR262148 MPN262148 MZJ262148 NJF262148 NTB262148 OCX262148 OMT262148 OWP262148 PGL262148 PQH262148 QAD262148 QJZ262148 QTV262148 RDR262148 RNN262148 RXJ262148 SHF262148 SRB262148 TAX262148 TKT262148 TUP262148 UEL262148 UOH262148 UYD262148 VHZ262148 VRV262148 WBR262148 WLN262148 WVJ262148 C327684 IX327684 ST327684 ACP327684 AML327684 AWH327684 BGD327684 BPZ327684 BZV327684 CJR327684 CTN327684 DDJ327684 DNF327684 DXB327684 EGX327684 EQT327684 FAP327684 FKL327684 FUH327684 GED327684 GNZ327684 GXV327684 HHR327684 HRN327684 IBJ327684 ILF327684 IVB327684 JEX327684 JOT327684 JYP327684 KIL327684 KSH327684 LCD327684 LLZ327684 LVV327684 MFR327684 MPN327684 MZJ327684 NJF327684 NTB327684 OCX327684 OMT327684 OWP327684 PGL327684 PQH327684 QAD327684 QJZ327684 QTV327684 RDR327684 RNN327684 RXJ327684 SHF327684 SRB327684 TAX327684 TKT327684 TUP327684 UEL327684 UOH327684 UYD327684 VHZ327684 VRV327684 WBR327684 WLN327684 WVJ327684 C393220 IX393220 ST393220 ACP393220 AML393220 AWH393220 BGD393220 BPZ393220 BZV393220 CJR393220 CTN393220 DDJ393220 DNF393220 DXB393220 EGX393220 EQT393220 FAP393220 FKL393220 FUH393220 GED393220 GNZ393220 GXV393220 HHR393220 HRN393220 IBJ393220 ILF393220 IVB393220 JEX393220 JOT393220 JYP393220 KIL393220 KSH393220 LCD393220 LLZ393220 LVV393220 MFR393220 MPN393220 MZJ393220 NJF393220 NTB393220 OCX393220 OMT393220 OWP393220 PGL393220 PQH393220 QAD393220 QJZ393220 QTV393220 RDR393220 RNN393220 RXJ393220 SHF393220 SRB393220 TAX393220 TKT393220 TUP393220 UEL393220 UOH393220 UYD393220 VHZ393220 VRV393220 WBR393220 WLN393220 WVJ393220 C458756 IX458756 ST458756 ACP458756 AML458756 AWH458756 BGD458756 BPZ458756 BZV458756 CJR458756 CTN458756 DDJ458756 DNF458756 DXB458756 EGX458756 EQT458756 FAP458756 FKL458756 FUH458756 GED458756 GNZ458756 GXV458756 HHR458756 HRN458756 IBJ458756 ILF458756 IVB458756 JEX458756 JOT458756 JYP458756 KIL458756 KSH458756 LCD458756 LLZ458756 LVV458756 MFR458756 MPN458756 MZJ458756 NJF458756 NTB458756 OCX458756 OMT458756 OWP458756 PGL458756 PQH458756 QAD458756 QJZ458756 QTV458756 RDR458756 RNN458756 RXJ458756 SHF458756 SRB458756 TAX458756 TKT458756 TUP458756 UEL458756 UOH458756 UYD458756 VHZ458756 VRV458756 WBR458756 WLN458756 WVJ458756 C524292 IX524292 ST524292 ACP524292 AML524292 AWH524292 BGD524292 BPZ524292 BZV524292 CJR524292 CTN524292 DDJ524292 DNF524292 DXB524292 EGX524292 EQT524292 FAP524292 FKL524292 FUH524292 GED524292 GNZ524292 GXV524292 HHR524292 HRN524292 IBJ524292 ILF524292 IVB524292 JEX524292 JOT524292 JYP524292 KIL524292 KSH524292 LCD524292 LLZ524292 LVV524292 MFR524292 MPN524292 MZJ524292 NJF524292 NTB524292 OCX524292 OMT524292 OWP524292 PGL524292 PQH524292 QAD524292 QJZ524292 QTV524292 RDR524292 RNN524292 RXJ524292 SHF524292 SRB524292 TAX524292 TKT524292 TUP524292 UEL524292 UOH524292 UYD524292 VHZ524292 VRV524292 WBR524292 WLN524292 WVJ524292 C589828 IX589828 ST589828 ACP589828 AML589828 AWH589828 BGD589828 BPZ589828 BZV589828 CJR589828 CTN589828 DDJ589828 DNF589828 DXB589828 EGX589828 EQT589828 FAP589828 FKL589828 FUH589828 GED589828 GNZ589828 GXV589828 HHR589828 HRN589828 IBJ589828 ILF589828 IVB589828 JEX589828 JOT589828 JYP589828 KIL589828 KSH589828 LCD589828 LLZ589828 LVV589828 MFR589828 MPN589828 MZJ589828 NJF589828 NTB589828 OCX589828 OMT589828 OWP589828 PGL589828 PQH589828 QAD589828 QJZ589828 QTV589828 RDR589828 RNN589828 RXJ589828 SHF589828 SRB589828 TAX589828 TKT589828 TUP589828 UEL589828 UOH589828 UYD589828 VHZ589828 VRV589828 WBR589828 WLN589828 WVJ589828 C655364 IX655364 ST655364 ACP655364 AML655364 AWH655364 BGD655364 BPZ655364 BZV655364 CJR655364 CTN655364 DDJ655364 DNF655364 DXB655364 EGX655364 EQT655364 FAP655364 FKL655364 FUH655364 GED655364 GNZ655364 GXV655364 HHR655364 HRN655364 IBJ655364 ILF655364 IVB655364 JEX655364 JOT655364 JYP655364 KIL655364 KSH655364 LCD655364 LLZ655364 LVV655364 MFR655364 MPN655364 MZJ655364 NJF655364 NTB655364 OCX655364 OMT655364 OWP655364 PGL655364 PQH655364 QAD655364 QJZ655364 QTV655364 RDR655364 RNN655364 RXJ655364 SHF655364 SRB655364 TAX655364 TKT655364 TUP655364 UEL655364 UOH655364 UYD655364 VHZ655364 VRV655364 WBR655364 WLN655364 WVJ655364 C720900 IX720900 ST720900 ACP720900 AML720900 AWH720900 BGD720900 BPZ720900 BZV720900 CJR720900 CTN720900 DDJ720900 DNF720900 DXB720900 EGX720900 EQT720900 FAP720900 FKL720900 FUH720900 GED720900 GNZ720900 GXV720900 HHR720900 HRN720900 IBJ720900 ILF720900 IVB720900 JEX720900 JOT720900 JYP720900 KIL720900 KSH720900 LCD720900 LLZ720900 LVV720900 MFR720900 MPN720900 MZJ720900 NJF720900 NTB720900 OCX720900 OMT720900 OWP720900 PGL720900 PQH720900 QAD720900 QJZ720900 QTV720900 RDR720900 RNN720900 RXJ720900 SHF720900 SRB720900 TAX720900 TKT720900 TUP720900 UEL720900 UOH720900 UYD720900 VHZ720900 VRV720900 WBR720900 WLN720900 WVJ720900 C786436 IX786436 ST786436 ACP786436 AML786436 AWH786436 BGD786436 BPZ786436 BZV786436 CJR786436 CTN786436 DDJ786436 DNF786436 DXB786436 EGX786436 EQT786436 FAP786436 FKL786436 FUH786436 GED786436 GNZ786436 GXV786436 HHR786436 HRN786436 IBJ786436 ILF786436 IVB786436 JEX786436 JOT786436 JYP786436 KIL786436 KSH786436 LCD786436 LLZ786436 LVV786436 MFR786436 MPN786436 MZJ786436 NJF786436 NTB786436 OCX786436 OMT786436 OWP786436 PGL786436 PQH786436 QAD786436 QJZ786436 QTV786436 RDR786436 RNN786436 RXJ786436 SHF786436 SRB786436 TAX786436 TKT786436 TUP786436 UEL786436 UOH786436 UYD786436 VHZ786436 VRV786436 WBR786436 WLN786436 WVJ786436 C851972 IX851972 ST851972 ACP851972 AML851972 AWH851972 BGD851972 BPZ851972 BZV851972 CJR851972 CTN851972 DDJ851972 DNF851972 DXB851972 EGX851972 EQT851972 FAP851972 FKL851972 FUH851972 GED851972 GNZ851972 GXV851972 HHR851972 HRN851972 IBJ851972 ILF851972 IVB851972 JEX851972 JOT851972 JYP851972 KIL851972 KSH851972 LCD851972 LLZ851972 LVV851972 MFR851972 MPN851972 MZJ851972 NJF851972 NTB851972 OCX851972 OMT851972 OWP851972 PGL851972 PQH851972 QAD851972 QJZ851972 QTV851972 RDR851972 RNN851972 RXJ851972 SHF851972 SRB851972 TAX851972 TKT851972 TUP851972 UEL851972 UOH851972 UYD851972 VHZ851972 VRV851972 WBR851972 WLN851972 WVJ851972 C917508 IX917508 ST917508 ACP917508 AML917508 AWH917508 BGD917508 BPZ917508 BZV917508 CJR917508 CTN917508 DDJ917508 DNF917508 DXB917508 EGX917508 EQT917508 FAP917508 FKL917508 FUH917508 GED917508 GNZ917508 GXV917508 HHR917508 HRN917508 IBJ917508 ILF917508 IVB917508 JEX917508 JOT917508 JYP917508 KIL917508 KSH917508 LCD917508 LLZ917508 LVV917508 MFR917508 MPN917508 MZJ917508 NJF917508 NTB917508 OCX917508 OMT917508 OWP917508 PGL917508 PQH917508 QAD917508 QJZ917508 QTV917508 RDR917508 RNN917508 RXJ917508 SHF917508 SRB917508 TAX917508 TKT917508 TUP917508 UEL917508 UOH917508 UYD917508 VHZ917508 VRV917508 WBR917508 WLN917508 WVJ917508 C983044 IX983044 ST983044 ACP983044 AML983044 AWH983044 BGD983044 BPZ983044 BZV983044 CJR983044 CTN983044 DDJ983044 DNF983044 DXB983044 EGX983044 EQT983044 FAP983044 FKL983044 FUH983044 GED983044 GNZ983044 GXV983044 HHR983044 HRN983044 IBJ983044 ILF983044 IVB983044 JEX983044 JOT983044 JYP983044 KIL983044 KSH983044 LCD983044 LLZ983044 LVV983044 MFR983044 MPN983044 MZJ983044 NJF983044 NTB983044 OCX983044 OMT983044 OWP983044 PGL983044 PQH983044 QAD983044 QJZ983044 QTV983044 RDR983044 RNN983044 RXJ983044 SHF983044 SRB983044 TAX983044 TKT983044 TUP983044 UEL983044 UOH983044 UYD983044 VHZ983044 VRV983044 WBR983044 WLN983044</xm:sqref>
        </x14:dataValidation>
        <x14:dataValidation type="custom" allowBlank="1" showInputMessage="1" showErrorMessage="1" errorTitle="Out of Range" error="Must be greater than 0.32 Ghz and less than the max operating frequency." prompt="Input the minimum operating frequency in Hz" xr:uid="{A08B8053-F23B-4DE3-A198-50E398D68B12}">
          <x14:formula1>
            <xm:f>AND(C4&lt;C5,C4&gt;='Waveguide Datasheet'!E36*1000000000)</xm:f>
          </x14:formula1>
          <xm:sqref>C4</xm:sqref>
        </x14:dataValidation>
        <x14:dataValidation type="list" allowBlank="1" showInputMessage="1" showErrorMessage="1" promptTitle="Waveguide Size" prompt="Drop down to select waveguide size" xr:uid="{A28EA3F3-8B05-4379-B13A-5F758E401310}">
          <x14:formula1>
            <xm:f>_xlfn.ANCHORARRAY('Waveguide Datasheet'!$R$4)</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E10C3-A363-4A9B-8AE0-22C5B07A43F3}">
  <sheetPr codeName="Sheet1"/>
  <dimension ref="A1:R36"/>
  <sheetViews>
    <sheetView showGridLines="0" workbookViewId="0">
      <selection activeCell="M37" sqref="M37"/>
    </sheetView>
  </sheetViews>
  <sheetFormatPr defaultRowHeight="14.5" x14ac:dyDescent="0.35"/>
  <cols>
    <col min="1" max="1" width="9.90625" customWidth="1"/>
    <col min="2" max="2" width="10.36328125" customWidth="1"/>
    <col min="3" max="3" width="11.90625" customWidth="1"/>
    <col min="4" max="4" width="13.7265625" customWidth="1"/>
    <col min="5" max="5" width="12" customWidth="1"/>
    <col min="6" max="6" width="16.54296875" customWidth="1"/>
    <col min="7" max="7" width="18.7265625" customWidth="1"/>
    <col min="8" max="8" width="12.08984375" customWidth="1"/>
    <col min="9" max="9" width="12" customWidth="1"/>
    <col min="10" max="10" width="8.90625" customWidth="1"/>
    <col min="11" max="11" width="13.36328125" customWidth="1"/>
  </cols>
  <sheetData>
    <row r="1" spans="1:18" x14ac:dyDescent="0.35">
      <c r="A1" s="33" t="s">
        <v>1</v>
      </c>
    </row>
    <row r="2" spans="1:18" x14ac:dyDescent="0.35">
      <c r="A2" s="17"/>
      <c r="B2" s="17"/>
      <c r="C2" s="17"/>
      <c r="D2" s="18"/>
      <c r="E2" s="18"/>
      <c r="H2" s="19"/>
      <c r="I2" s="19"/>
      <c r="J2" s="19"/>
      <c r="K2" s="19"/>
    </row>
    <row r="3" spans="1:18" ht="43.5" x14ac:dyDescent="0.35">
      <c r="A3" s="27" t="s">
        <v>49</v>
      </c>
      <c r="B3" s="16" t="s">
        <v>51</v>
      </c>
      <c r="C3" s="16" t="s">
        <v>50</v>
      </c>
      <c r="D3" s="16" t="s">
        <v>52</v>
      </c>
      <c r="E3" s="16" t="s">
        <v>53</v>
      </c>
      <c r="F3" s="22" t="s">
        <v>54</v>
      </c>
      <c r="G3" s="22" t="s">
        <v>55</v>
      </c>
      <c r="H3" s="16" t="s">
        <v>56</v>
      </c>
      <c r="I3" s="16" t="s">
        <v>57</v>
      </c>
      <c r="J3" s="16" t="s">
        <v>47</v>
      </c>
      <c r="K3" s="28" t="s">
        <v>48</v>
      </c>
      <c r="L3" s="28" t="s">
        <v>117</v>
      </c>
      <c r="R3" s="49" t="s">
        <v>118</v>
      </c>
    </row>
    <row r="4" spans="1:18" x14ac:dyDescent="0.35">
      <c r="A4" s="20">
        <v>5</v>
      </c>
      <c r="B4" s="25" t="s">
        <v>7</v>
      </c>
      <c r="C4" s="10">
        <v>30</v>
      </c>
      <c r="D4" s="10">
        <v>140</v>
      </c>
      <c r="E4" s="10">
        <v>220</v>
      </c>
      <c r="F4" s="10">
        <v>115.7</v>
      </c>
      <c r="G4" s="10">
        <v>231.42</v>
      </c>
      <c r="H4" s="10">
        <v>5.0999999999999997E-2</v>
      </c>
      <c r="I4" s="10">
        <v>2.5499999999999998E-2</v>
      </c>
      <c r="J4" s="10">
        <v>2.0000000000000001E-4</v>
      </c>
      <c r="K4" s="21">
        <v>0.02</v>
      </c>
      <c r="L4" s="10" t="b">
        <f>AND(fmin&gt;=WGTable[[#This Row],[START Frequency (Ghz)]]*1000000000,fmax&lt;=WGTable[[#This Row],[STOP Frequency (Ghz)]]*1000000000)</f>
        <v>0</v>
      </c>
      <c r="R4" t="str" cm="1">
        <f t="array" ref="R4:R5">_xlfn._xlws.FILTER(WGTable[USA WR-(size) Designator],WGTable[Usable]=TRUE,"None")</f>
        <v>WR90</v>
      </c>
    </row>
    <row r="5" spans="1:18" x14ac:dyDescent="0.35">
      <c r="A5" s="20">
        <v>7</v>
      </c>
      <c r="B5" s="25" t="s">
        <v>8</v>
      </c>
      <c r="C5" s="10">
        <v>29</v>
      </c>
      <c r="D5" s="10">
        <v>110</v>
      </c>
      <c r="E5" s="10">
        <v>170</v>
      </c>
      <c r="F5" s="10">
        <v>90.9</v>
      </c>
      <c r="G5" s="10">
        <v>181.5</v>
      </c>
      <c r="H5" s="10">
        <v>6.5000000000000002E-2</v>
      </c>
      <c r="I5" s="10">
        <v>3.2500000000000001E-2</v>
      </c>
      <c r="J5" s="10">
        <v>2.0000000000000001E-4</v>
      </c>
      <c r="K5" s="21">
        <v>0.02</v>
      </c>
      <c r="L5" s="10" t="b">
        <f>AND(fmin&gt;=WGTable[[#This Row],[START Frequency (Ghz)]]*1000000000,fmax&lt;=WGTable[[#This Row],[STOP Frequency (Ghz)]]*1000000000)</f>
        <v>0</v>
      </c>
      <c r="R5" t="str">
        <v>WR102</v>
      </c>
    </row>
    <row r="6" spans="1:18" x14ac:dyDescent="0.35">
      <c r="A6" s="20">
        <v>8</v>
      </c>
      <c r="B6" s="25" t="s">
        <v>9</v>
      </c>
      <c r="C6" s="10">
        <v>28</v>
      </c>
      <c r="D6" s="10">
        <v>90</v>
      </c>
      <c r="E6" s="10">
        <v>140</v>
      </c>
      <c r="F6" s="10">
        <v>73.599999999999994</v>
      </c>
      <c r="G6" s="10">
        <v>147.53</v>
      </c>
      <c r="H6" s="10">
        <v>0.08</v>
      </c>
      <c r="I6" s="10">
        <v>0.04</v>
      </c>
      <c r="J6" s="10">
        <v>2.9999999999999997E-4</v>
      </c>
      <c r="K6" s="21">
        <v>0.02</v>
      </c>
      <c r="L6" s="10" t="b">
        <f>AND(fmin&gt;=WGTable[[#This Row],[START Frequency (Ghz)]]*1000000000,fmax&lt;=WGTable[[#This Row],[STOP Frequency (Ghz)]]*1000000000)</f>
        <v>0</v>
      </c>
    </row>
    <row r="7" spans="1:18" x14ac:dyDescent="0.35">
      <c r="A7" s="20">
        <v>10</v>
      </c>
      <c r="B7" s="25" t="s">
        <v>10</v>
      </c>
      <c r="C7" s="10">
        <v>27</v>
      </c>
      <c r="D7" s="10">
        <v>75</v>
      </c>
      <c r="E7" s="10">
        <v>110</v>
      </c>
      <c r="F7" s="10">
        <v>59.01</v>
      </c>
      <c r="G7" s="10">
        <v>118</v>
      </c>
      <c r="H7" s="10">
        <v>0.1</v>
      </c>
      <c r="I7" s="10">
        <v>0.05</v>
      </c>
      <c r="J7" s="10">
        <v>5.0000000000000001E-4</v>
      </c>
      <c r="K7" s="21">
        <v>0.04</v>
      </c>
      <c r="L7" s="10" t="b">
        <f>AND(fmin&gt;=WGTable[[#This Row],[START Frequency (Ghz)]]*1000000000,fmax&lt;=WGTable[[#This Row],[STOP Frequency (Ghz)]]*1000000000)</f>
        <v>0</v>
      </c>
    </row>
    <row r="8" spans="1:18" x14ac:dyDescent="0.35">
      <c r="A8" s="20">
        <v>12</v>
      </c>
      <c r="B8" s="25" t="s">
        <v>11</v>
      </c>
      <c r="C8" s="10">
        <v>26</v>
      </c>
      <c r="D8" s="10">
        <v>60</v>
      </c>
      <c r="E8" s="10">
        <v>90</v>
      </c>
      <c r="F8" s="10">
        <v>48.35</v>
      </c>
      <c r="G8" s="10">
        <v>96.74</v>
      </c>
      <c r="H8" s="10">
        <v>0.122</v>
      </c>
      <c r="I8" s="10">
        <v>6.0999999999999999E-2</v>
      </c>
      <c r="J8" s="10">
        <v>5.0000000000000001E-4</v>
      </c>
      <c r="K8" s="21">
        <v>0.04</v>
      </c>
      <c r="L8" s="10" t="b">
        <f>AND(fmin&gt;=WGTable[[#This Row],[START Frequency (Ghz)]]*1000000000,fmax&lt;=WGTable[[#This Row],[STOP Frequency (Ghz)]]*1000000000)</f>
        <v>0</v>
      </c>
    </row>
    <row r="9" spans="1:18" x14ac:dyDescent="0.35">
      <c r="A9" s="20">
        <v>15</v>
      </c>
      <c r="B9" s="25" t="s">
        <v>12</v>
      </c>
      <c r="C9" s="10">
        <v>25</v>
      </c>
      <c r="D9" s="10">
        <v>50</v>
      </c>
      <c r="E9" s="10">
        <v>75</v>
      </c>
      <c r="F9" s="10">
        <v>39.86</v>
      </c>
      <c r="G9" s="10">
        <v>79.739999999999995</v>
      </c>
      <c r="H9" s="10">
        <v>0.14799999999999999</v>
      </c>
      <c r="I9" s="10">
        <v>7.3999999999999996E-2</v>
      </c>
      <c r="J9" s="10">
        <v>1E-3</v>
      </c>
      <c r="K9" s="21">
        <v>0.04</v>
      </c>
      <c r="L9" s="10" t="b">
        <f>AND(fmin&gt;=WGTable[[#This Row],[START Frequency (Ghz)]]*1000000000,fmax&lt;=WGTable[[#This Row],[STOP Frequency (Ghz)]]*1000000000)</f>
        <v>0</v>
      </c>
    </row>
    <row r="10" spans="1:18" x14ac:dyDescent="0.35">
      <c r="A10" s="20">
        <v>19</v>
      </c>
      <c r="B10" s="25" t="s">
        <v>13</v>
      </c>
      <c r="C10" s="10">
        <v>24</v>
      </c>
      <c r="D10" s="10">
        <v>40</v>
      </c>
      <c r="E10" s="10">
        <v>60</v>
      </c>
      <c r="F10" s="10">
        <v>31.36</v>
      </c>
      <c r="G10" s="10">
        <v>62.78</v>
      </c>
      <c r="H10" s="10">
        <v>0.188</v>
      </c>
      <c r="I10" s="10">
        <v>9.4E-2</v>
      </c>
      <c r="J10" s="10">
        <v>1E-3</v>
      </c>
      <c r="K10" s="21">
        <v>0.04</v>
      </c>
      <c r="L10" s="10" t="b">
        <f>AND(fmin&gt;=WGTable[[#This Row],[START Frequency (Ghz)]]*1000000000,fmax&lt;=WGTable[[#This Row],[STOP Frequency (Ghz)]]*1000000000)</f>
        <v>0</v>
      </c>
    </row>
    <row r="11" spans="1:18" x14ac:dyDescent="0.35">
      <c r="A11" s="20">
        <v>22</v>
      </c>
      <c r="B11" s="25" t="s">
        <v>14</v>
      </c>
      <c r="C11" s="10">
        <v>23</v>
      </c>
      <c r="D11" s="10">
        <v>33</v>
      </c>
      <c r="E11" s="10">
        <v>50</v>
      </c>
      <c r="F11" s="10">
        <v>26.34</v>
      </c>
      <c r="G11" s="10">
        <v>52.69</v>
      </c>
      <c r="H11" s="10">
        <v>0.224</v>
      </c>
      <c r="I11" s="10">
        <v>0.112</v>
      </c>
      <c r="J11" s="10">
        <v>1E-3</v>
      </c>
      <c r="K11" s="21">
        <v>0.04</v>
      </c>
      <c r="L11" s="10" t="b">
        <f>AND(fmin&gt;=WGTable[[#This Row],[START Frequency (Ghz)]]*1000000000,fmax&lt;=WGTable[[#This Row],[STOP Frequency (Ghz)]]*1000000000)</f>
        <v>0</v>
      </c>
    </row>
    <row r="12" spans="1:18" x14ac:dyDescent="0.35">
      <c r="A12" s="20">
        <v>28</v>
      </c>
      <c r="B12" s="25" t="s">
        <v>15</v>
      </c>
      <c r="C12" s="10">
        <v>22</v>
      </c>
      <c r="D12" s="10">
        <v>26.5</v>
      </c>
      <c r="E12" s="10">
        <v>40</v>
      </c>
      <c r="F12" s="10">
        <v>21.08</v>
      </c>
      <c r="G12" s="10">
        <v>42.15</v>
      </c>
      <c r="H12" s="10">
        <v>0.28000000000000003</v>
      </c>
      <c r="I12" s="10">
        <v>0.14000000000000001</v>
      </c>
      <c r="J12" s="10">
        <v>2E-3</v>
      </c>
      <c r="K12" s="21">
        <v>0.04</v>
      </c>
      <c r="L12" s="10" t="b">
        <f>AND(fmin&gt;=WGTable[[#This Row],[START Frequency (Ghz)]]*1000000000,fmax&lt;=WGTable[[#This Row],[STOP Frequency (Ghz)]]*1000000000)</f>
        <v>0</v>
      </c>
    </row>
    <row r="13" spans="1:18" x14ac:dyDescent="0.35">
      <c r="A13" s="20">
        <v>34</v>
      </c>
      <c r="B13" s="25" t="s">
        <v>16</v>
      </c>
      <c r="C13" s="10">
        <v>21</v>
      </c>
      <c r="D13" s="10">
        <v>22</v>
      </c>
      <c r="E13" s="10">
        <v>33</v>
      </c>
      <c r="F13" s="10">
        <v>17.327999999999999</v>
      </c>
      <c r="G13" s="10">
        <v>34.71</v>
      </c>
      <c r="H13" s="10">
        <v>0.34</v>
      </c>
      <c r="I13" s="10">
        <v>0.17</v>
      </c>
      <c r="J13" s="10">
        <v>2E-3</v>
      </c>
      <c r="K13" s="21">
        <v>0.04</v>
      </c>
      <c r="L13" s="10" t="b">
        <f>AND(fmin&gt;=WGTable[[#This Row],[START Frequency (Ghz)]]*1000000000,fmax&lt;=WGTable[[#This Row],[STOP Frequency (Ghz)]]*1000000000)</f>
        <v>0</v>
      </c>
    </row>
    <row r="14" spans="1:18" x14ac:dyDescent="0.35">
      <c r="A14" s="20">
        <v>42</v>
      </c>
      <c r="B14" s="25" t="s">
        <v>17</v>
      </c>
      <c r="C14" s="10">
        <v>20</v>
      </c>
      <c r="D14" s="10">
        <v>18</v>
      </c>
      <c r="E14" s="10">
        <v>26.5</v>
      </c>
      <c r="F14" s="10">
        <v>14.047000000000001</v>
      </c>
      <c r="G14" s="10">
        <v>28.1</v>
      </c>
      <c r="H14" s="10">
        <v>0.42</v>
      </c>
      <c r="I14" s="10">
        <v>0.17</v>
      </c>
      <c r="J14" s="10">
        <v>2E-3</v>
      </c>
      <c r="K14" s="21">
        <v>0.04</v>
      </c>
      <c r="L14" s="10" t="b">
        <f>AND(fmin&gt;=WGTable[[#This Row],[START Frequency (Ghz)]]*1000000000,fmax&lt;=WGTable[[#This Row],[STOP Frequency (Ghz)]]*1000000000)</f>
        <v>0</v>
      </c>
    </row>
    <row r="15" spans="1:18" x14ac:dyDescent="0.35">
      <c r="A15" s="20">
        <v>51</v>
      </c>
      <c r="B15" s="25" t="s">
        <v>18</v>
      </c>
      <c r="C15" s="10">
        <v>19</v>
      </c>
      <c r="D15" s="10">
        <v>15</v>
      </c>
      <c r="E15" s="10">
        <v>22</v>
      </c>
      <c r="F15" s="10">
        <v>11.574</v>
      </c>
      <c r="G15" s="10">
        <v>23.14</v>
      </c>
      <c r="H15" s="10">
        <v>0.51</v>
      </c>
      <c r="I15" s="10">
        <v>0.255</v>
      </c>
      <c r="J15" s="10">
        <v>2E-3</v>
      </c>
      <c r="K15" s="21">
        <v>0.04</v>
      </c>
      <c r="L15" s="10" t="b">
        <f>AND(fmin&gt;=WGTable[[#This Row],[START Frequency (Ghz)]]*1000000000,fmax&lt;=WGTable[[#This Row],[STOP Frequency (Ghz)]]*1000000000)</f>
        <v>0</v>
      </c>
    </row>
    <row r="16" spans="1:18" x14ac:dyDescent="0.35">
      <c r="A16" s="20">
        <v>62</v>
      </c>
      <c r="B16" s="25" t="s">
        <v>2</v>
      </c>
      <c r="C16" s="10">
        <v>18</v>
      </c>
      <c r="D16" s="10">
        <v>12.4</v>
      </c>
      <c r="E16" s="10">
        <v>18</v>
      </c>
      <c r="F16" s="10">
        <v>9.4860000000000007</v>
      </c>
      <c r="G16" s="10">
        <v>18.97</v>
      </c>
      <c r="H16" s="10">
        <v>0.622</v>
      </c>
      <c r="I16" s="10">
        <v>0.311</v>
      </c>
      <c r="J16" s="10">
        <v>2E-3</v>
      </c>
      <c r="K16" s="21">
        <v>0.04</v>
      </c>
      <c r="L16" s="10" t="b">
        <f>AND(fmin&gt;=WGTable[[#This Row],[START Frequency (Ghz)]]*1000000000,fmax&lt;=WGTable[[#This Row],[STOP Frequency (Ghz)]]*1000000000)</f>
        <v>0</v>
      </c>
    </row>
    <row r="17" spans="1:12" x14ac:dyDescent="0.35">
      <c r="A17" s="20">
        <v>75</v>
      </c>
      <c r="B17" s="25" t="s">
        <v>19</v>
      </c>
      <c r="C17" s="10">
        <v>17</v>
      </c>
      <c r="D17" s="10">
        <v>10</v>
      </c>
      <c r="E17" s="10">
        <v>15</v>
      </c>
      <c r="F17" s="10">
        <v>7.8680000000000003</v>
      </c>
      <c r="G17" s="10">
        <v>15.73</v>
      </c>
      <c r="H17" s="10">
        <v>0.75</v>
      </c>
      <c r="I17" s="10">
        <v>0.375</v>
      </c>
      <c r="J17" s="10">
        <v>3.0000000000000001E-3</v>
      </c>
      <c r="K17" s="21">
        <v>0.05</v>
      </c>
      <c r="L17" s="10" t="b">
        <f>AND(fmin&gt;=WGTable[[#This Row],[START Frequency (Ghz)]]*1000000000,fmax&lt;=WGTable[[#This Row],[STOP Frequency (Ghz)]]*1000000000)</f>
        <v>0</v>
      </c>
    </row>
    <row r="18" spans="1:12" x14ac:dyDescent="0.35">
      <c r="A18" s="20">
        <v>90</v>
      </c>
      <c r="B18" s="25" t="s">
        <v>20</v>
      </c>
      <c r="C18" s="10">
        <v>16</v>
      </c>
      <c r="D18" s="10">
        <v>8.1999999999999993</v>
      </c>
      <c r="E18" s="10">
        <v>12.4</v>
      </c>
      <c r="F18" s="10">
        <v>6.5570000000000004</v>
      </c>
      <c r="G18" s="10">
        <v>13.11</v>
      </c>
      <c r="H18" s="10">
        <v>0.9</v>
      </c>
      <c r="I18" s="10">
        <v>0.4</v>
      </c>
      <c r="J18" s="10">
        <v>3.0000000000000001E-3</v>
      </c>
      <c r="K18" s="21">
        <v>0.05</v>
      </c>
      <c r="L18" s="10" t="b">
        <f>AND(fmin&gt;=WGTable[[#This Row],[START Frequency (Ghz)]]*1000000000,fmax&lt;=WGTable[[#This Row],[STOP Frequency (Ghz)]]*1000000000)</f>
        <v>1</v>
      </c>
    </row>
    <row r="19" spans="1:12" x14ac:dyDescent="0.35">
      <c r="A19" s="20">
        <v>102</v>
      </c>
      <c r="B19" s="25" t="s">
        <v>21</v>
      </c>
      <c r="C19" s="10"/>
      <c r="D19" s="10">
        <v>7</v>
      </c>
      <c r="E19" s="10">
        <v>11</v>
      </c>
      <c r="F19" s="10">
        <v>5.7850000000000001</v>
      </c>
      <c r="G19" s="10">
        <v>11.57</v>
      </c>
      <c r="H19" s="10">
        <v>1.02</v>
      </c>
      <c r="I19" s="10">
        <v>0.51</v>
      </c>
      <c r="J19" s="10">
        <v>3.0000000000000001E-3</v>
      </c>
      <c r="K19" s="21">
        <v>6.4000000000000001E-2</v>
      </c>
      <c r="L19" s="10" t="b">
        <f>AND(fmin&gt;=WGTable[[#This Row],[START Frequency (Ghz)]]*1000000000,fmax&lt;=WGTable[[#This Row],[STOP Frequency (Ghz)]]*1000000000)</f>
        <v>1</v>
      </c>
    </row>
    <row r="20" spans="1:12" x14ac:dyDescent="0.35">
      <c r="A20" s="20">
        <v>112</v>
      </c>
      <c r="B20" s="25" t="s">
        <v>22</v>
      </c>
      <c r="C20" s="10">
        <v>15</v>
      </c>
      <c r="D20" s="10">
        <v>7.05</v>
      </c>
      <c r="E20" s="10">
        <v>10</v>
      </c>
      <c r="F20" s="10">
        <v>5.2590000000000003</v>
      </c>
      <c r="G20" s="10">
        <v>10.51</v>
      </c>
      <c r="H20" s="10">
        <v>1.1220000000000001</v>
      </c>
      <c r="I20" s="10">
        <v>0.497</v>
      </c>
      <c r="J20" s="10">
        <v>4.0000000000000001E-3</v>
      </c>
      <c r="K20" s="21">
        <v>6.4000000000000001E-2</v>
      </c>
      <c r="L20" s="10" t="b">
        <f>AND(fmin&gt;=WGTable[[#This Row],[START Frequency (Ghz)]]*1000000000,fmax&lt;=WGTable[[#This Row],[STOP Frequency (Ghz)]]*1000000000)</f>
        <v>0</v>
      </c>
    </row>
    <row r="21" spans="1:12" x14ac:dyDescent="0.35">
      <c r="A21" s="20">
        <v>137</v>
      </c>
      <c r="B21" s="25" t="s">
        <v>23</v>
      </c>
      <c r="C21" s="10">
        <v>14</v>
      </c>
      <c r="D21" s="10">
        <v>5.85</v>
      </c>
      <c r="E21" s="10">
        <v>8.1999999999999993</v>
      </c>
      <c r="F21" s="10">
        <v>4.3010000000000002</v>
      </c>
      <c r="G21" s="10">
        <v>8.6</v>
      </c>
      <c r="H21" s="10">
        <v>1.3720000000000001</v>
      </c>
      <c r="I21" s="10">
        <v>0.622</v>
      </c>
      <c r="J21" s="10">
        <v>4.0000000000000001E-3</v>
      </c>
      <c r="K21" s="21">
        <v>6.4000000000000001E-2</v>
      </c>
      <c r="L21" s="10" t="b">
        <f>AND(fmin&gt;=WGTable[[#This Row],[START Frequency (Ghz)]]*1000000000,fmax&lt;=WGTable[[#This Row],[STOP Frequency (Ghz)]]*1000000000)</f>
        <v>0</v>
      </c>
    </row>
    <row r="22" spans="1:12" x14ac:dyDescent="0.35">
      <c r="A22" s="20">
        <v>159</v>
      </c>
      <c r="B22" s="25" t="s">
        <v>24</v>
      </c>
      <c r="C22" s="10">
        <v>13</v>
      </c>
      <c r="D22" s="10">
        <v>4.9000000000000004</v>
      </c>
      <c r="E22" s="10">
        <v>7.05</v>
      </c>
      <c r="F22" s="10">
        <v>3.7109999999999999</v>
      </c>
      <c r="G22" s="10">
        <v>7.42</v>
      </c>
      <c r="H22" s="10">
        <v>1.59</v>
      </c>
      <c r="I22" s="10">
        <v>0.79500000000000004</v>
      </c>
      <c r="J22" s="10">
        <v>4.0000000000000001E-3</v>
      </c>
      <c r="K22" s="21">
        <v>6.4000000000000001E-2</v>
      </c>
      <c r="L22" s="10" t="b">
        <f>AND(fmin&gt;=WGTable[[#This Row],[START Frequency (Ghz)]]*1000000000,fmax&lt;=WGTable[[#This Row],[STOP Frequency (Ghz)]]*1000000000)</f>
        <v>0</v>
      </c>
    </row>
    <row r="23" spans="1:12" x14ac:dyDescent="0.35">
      <c r="A23" s="20">
        <v>187</v>
      </c>
      <c r="B23" s="25" t="s">
        <v>26</v>
      </c>
      <c r="C23" s="10">
        <v>12</v>
      </c>
      <c r="D23" s="10">
        <v>3.95</v>
      </c>
      <c r="E23" s="10">
        <v>5.85</v>
      </c>
      <c r="F23" s="10">
        <v>3.1520000000000001</v>
      </c>
      <c r="G23" s="10">
        <v>6.3</v>
      </c>
      <c r="H23" s="10">
        <v>1.8720000000000001</v>
      </c>
      <c r="I23" s="10">
        <v>0.872</v>
      </c>
      <c r="J23" s="10">
        <v>5.0000000000000001E-3</v>
      </c>
      <c r="K23" s="21">
        <v>6.4000000000000001E-2</v>
      </c>
      <c r="L23" s="10" t="b">
        <f>AND(fmin&gt;=WGTable[[#This Row],[START Frequency (Ghz)]]*1000000000,fmax&lt;=WGTable[[#This Row],[STOP Frequency (Ghz)]]*1000000000)</f>
        <v>0</v>
      </c>
    </row>
    <row r="24" spans="1:12" x14ac:dyDescent="0.35">
      <c r="A24" s="20">
        <v>229</v>
      </c>
      <c r="B24" s="25" t="s">
        <v>27</v>
      </c>
      <c r="C24" s="10" t="s">
        <v>28</v>
      </c>
      <c r="D24" s="10">
        <v>3.3</v>
      </c>
      <c r="E24" s="10">
        <v>4.9000000000000004</v>
      </c>
      <c r="F24" s="10">
        <v>2.577</v>
      </c>
      <c r="G24" s="10">
        <v>5.15</v>
      </c>
      <c r="H24" s="10">
        <v>2.29</v>
      </c>
      <c r="I24" s="10">
        <v>1.145</v>
      </c>
      <c r="J24" s="10">
        <v>5.0000000000000001E-3</v>
      </c>
      <c r="K24" s="21">
        <v>6.4000000000000001E-2</v>
      </c>
      <c r="L24" s="10" t="b">
        <f>AND(fmin&gt;=WGTable[[#This Row],[START Frequency (Ghz)]]*1000000000,fmax&lt;=WGTable[[#This Row],[STOP Frequency (Ghz)]]*1000000000)</f>
        <v>0</v>
      </c>
    </row>
    <row r="25" spans="1:12" x14ac:dyDescent="0.35">
      <c r="A25" s="20">
        <v>284</v>
      </c>
      <c r="B25" s="25" t="s">
        <v>30</v>
      </c>
      <c r="C25" s="10">
        <v>10</v>
      </c>
      <c r="D25" s="10">
        <v>2.6</v>
      </c>
      <c r="E25" s="10">
        <v>3.95</v>
      </c>
      <c r="F25" s="10">
        <v>2.0779999999999998</v>
      </c>
      <c r="G25" s="10">
        <v>4.1500000000000004</v>
      </c>
      <c r="H25" s="10">
        <v>2.84</v>
      </c>
      <c r="I25" s="10">
        <v>1.34</v>
      </c>
      <c r="J25" s="10">
        <v>5.0000000000000001E-3</v>
      </c>
      <c r="K25" s="21">
        <v>0.08</v>
      </c>
      <c r="L25" s="10" t="b">
        <f>AND(fmin&gt;=WGTable[[#This Row],[START Frequency (Ghz)]]*1000000000,fmax&lt;=WGTable[[#This Row],[STOP Frequency (Ghz)]]*1000000000)</f>
        <v>0</v>
      </c>
    </row>
    <row r="26" spans="1:12" x14ac:dyDescent="0.35">
      <c r="A26" s="20">
        <v>340</v>
      </c>
      <c r="B26" s="25" t="s">
        <v>31</v>
      </c>
      <c r="C26" s="10" t="s">
        <v>32</v>
      </c>
      <c r="D26" s="10">
        <v>2.2000000000000002</v>
      </c>
      <c r="E26" s="10">
        <v>3.3</v>
      </c>
      <c r="F26" s="10">
        <v>1.736</v>
      </c>
      <c r="G26" s="10">
        <v>3.47</v>
      </c>
      <c r="H26" s="10">
        <v>3.4</v>
      </c>
      <c r="I26" s="10">
        <v>1.7</v>
      </c>
      <c r="J26" s="10">
        <v>5.0000000000000001E-3</v>
      </c>
      <c r="K26" s="21">
        <v>0.08</v>
      </c>
      <c r="L26" s="10" t="b">
        <f>AND(fmin&gt;=WGTable[[#This Row],[START Frequency (Ghz)]]*1000000000,fmax&lt;=WGTable[[#This Row],[STOP Frequency (Ghz)]]*1000000000)</f>
        <v>0</v>
      </c>
    </row>
    <row r="27" spans="1:12" x14ac:dyDescent="0.35">
      <c r="A27" s="20">
        <v>430</v>
      </c>
      <c r="B27" s="25" t="s">
        <v>33</v>
      </c>
      <c r="C27" s="10">
        <v>8</v>
      </c>
      <c r="D27" s="10">
        <v>1.7</v>
      </c>
      <c r="E27" s="10">
        <v>2.6</v>
      </c>
      <c r="F27" s="10">
        <v>1.3720000000000001</v>
      </c>
      <c r="G27" s="10">
        <v>2.74</v>
      </c>
      <c r="H27" s="10">
        <v>4.3</v>
      </c>
      <c r="I27" s="10">
        <v>2.15</v>
      </c>
      <c r="J27" s="10">
        <v>8.0000000000000002E-3</v>
      </c>
      <c r="K27" s="21">
        <v>0.08</v>
      </c>
      <c r="L27" s="10" t="b">
        <f>AND(fmin&gt;=WGTable[[#This Row],[START Frequency (Ghz)]]*1000000000,fmax&lt;=WGTable[[#This Row],[STOP Frequency (Ghz)]]*1000000000)</f>
        <v>0</v>
      </c>
    </row>
    <row r="28" spans="1:12" x14ac:dyDescent="0.35">
      <c r="A28" s="20">
        <v>510</v>
      </c>
      <c r="B28" s="25" t="s">
        <v>34</v>
      </c>
      <c r="C28" s="10"/>
      <c r="D28" s="10">
        <v>1.45</v>
      </c>
      <c r="E28" s="10">
        <v>2.2000000000000002</v>
      </c>
      <c r="F28" s="10">
        <v>1.157</v>
      </c>
      <c r="G28" s="10">
        <v>2.31</v>
      </c>
      <c r="H28" s="10">
        <v>5.0999999999999996</v>
      </c>
      <c r="I28" s="10">
        <v>2.5499999999999998</v>
      </c>
      <c r="J28" s="10">
        <v>0.01</v>
      </c>
      <c r="K28" s="21">
        <v>0.08</v>
      </c>
      <c r="L28" s="10" t="b">
        <f>AND(fmin&gt;=WGTable[[#This Row],[START Frequency (Ghz)]]*1000000000,fmax&lt;=WGTable[[#This Row],[STOP Frequency (Ghz)]]*1000000000)</f>
        <v>0</v>
      </c>
    </row>
    <row r="29" spans="1:12" x14ac:dyDescent="0.35">
      <c r="A29" s="20">
        <v>650</v>
      </c>
      <c r="B29" s="25" t="s">
        <v>35</v>
      </c>
      <c r="C29" s="10">
        <v>6</v>
      </c>
      <c r="D29" s="10">
        <v>1.1200000000000001</v>
      </c>
      <c r="E29" s="10">
        <v>1.7</v>
      </c>
      <c r="F29" s="10">
        <v>0.90800000000000003</v>
      </c>
      <c r="G29" s="10">
        <v>1.82</v>
      </c>
      <c r="H29" s="10">
        <v>6.5</v>
      </c>
      <c r="I29" s="10">
        <v>3.25</v>
      </c>
      <c r="J29" s="10">
        <v>0.01</v>
      </c>
      <c r="K29" s="21">
        <v>0.08</v>
      </c>
      <c r="L29" s="10" t="b">
        <f>AND(fmin&gt;=WGTable[[#This Row],[START Frequency (Ghz)]]*1000000000,fmax&lt;=WGTable[[#This Row],[STOP Frequency (Ghz)]]*1000000000)</f>
        <v>0</v>
      </c>
    </row>
    <row r="30" spans="1:12" x14ac:dyDescent="0.35">
      <c r="A30" s="20">
        <v>770</v>
      </c>
      <c r="B30" s="25" t="s">
        <v>36</v>
      </c>
      <c r="C30" s="10"/>
      <c r="D30" s="10">
        <v>0.96</v>
      </c>
      <c r="E30" s="10">
        <v>1.46</v>
      </c>
      <c r="F30" s="10">
        <v>0.76</v>
      </c>
      <c r="G30" s="10">
        <v>1.53</v>
      </c>
      <c r="H30" s="10">
        <v>7.7</v>
      </c>
      <c r="I30" s="10">
        <v>3.85</v>
      </c>
      <c r="J30" s="10">
        <v>0.01</v>
      </c>
      <c r="K30" s="21">
        <v>0.125</v>
      </c>
      <c r="L30" s="10" t="b">
        <f>AND(fmin&gt;=WGTable[[#This Row],[START Frequency (Ghz)]]*1000000000,fmax&lt;=WGTable[[#This Row],[STOP Frequency (Ghz)]]*1000000000)</f>
        <v>0</v>
      </c>
    </row>
    <row r="31" spans="1:12" x14ac:dyDescent="0.35">
      <c r="A31" s="20">
        <v>975</v>
      </c>
      <c r="B31" s="25" t="s">
        <v>37</v>
      </c>
      <c r="C31" s="10"/>
      <c r="D31" s="10">
        <v>0.75</v>
      </c>
      <c r="E31" s="10">
        <v>1.1200000000000001</v>
      </c>
      <c r="F31" s="10">
        <v>0.6</v>
      </c>
      <c r="G31" s="10">
        <v>1.21</v>
      </c>
      <c r="H31" s="10">
        <v>9.75</v>
      </c>
      <c r="I31" s="10">
        <v>4.875</v>
      </c>
      <c r="J31" s="10">
        <v>0.01</v>
      </c>
      <c r="K31" s="21">
        <v>0.125</v>
      </c>
      <c r="L31" s="10" t="b">
        <f>AND(fmin&gt;=WGTable[[#This Row],[START Frequency (Ghz)]]*1000000000,fmax&lt;=WGTable[[#This Row],[STOP Frequency (Ghz)]]*1000000000)</f>
        <v>0</v>
      </c>
    </row>
    <row r="32" spans="1:12" x14ac:dyDescent="0.35">
      <c r="A32" s="20">
        <v>1150</v>
      </c>
      <c r="B32" s="25" t="s">
        <v>38</v>
      </c>
      <c r="C32" s="10"/>
      <c r="D32" s="10">
        <v>0.64</v>
      </c>
      <c r="E32" s="10">
        <v>0.96</v>
      </c>
      <c r="F32" s="10">
        <v>0.51</v>
      </c>
      <c r="G32" s="10">
        <v>1.02</v>
      </c>
      <c r="H32" s="10">
        <v>11.5</v>
      </c>
      <c r="I32" s="10">
        <v>5.75</v>
      </c>
      <c r="J32" s="10">
        <v>1.4999999999999999E-2</v>
      </c>
      <c r="K32" s="21">
        <v>0.125</v>
      </c>
      <c r="L32" s="10" t="b">
        <f>AND(fmin&gt;=WGTable[[#This Row],[START Frequency (Ghz)]]*1000000000,fmax&lt;=WGTable[[#This Row],[STOP Frequency (Ghz)]]*1000000000)</f>
        <v>0</v>
      </c>
    </row>
    <row r="33" spans="1:12" x14ac:dyDescent="0.35">
      <c r="A33" s="20">
        <v>1500</v>
      </c>
      <c r="B33" s="25" t="s">
        <v>39</v>
      </c>
      <c r="C33" s="10"/>
      <c r="D33" s="10">
        <v>0.49</v>
      </c>
      <c r="E33" s="10">
        <v>0.75</v>
      </c>
      <c r="F33" s="10">
        <v>0.39</v>
      </c>
      <c r="G33" s="10">
        <v>0.78</v>
      </c>
      <c r="H33" s="10">
        <v>15</v>
      </c>
      <c r="I33" s="10">
        <v>7.5</v>
      </c>
      <c r="J33" s="10">
        <v>1.4999999999999999E-2</v>
      </c>
      <c r="K33" s="21">
        <v>0.125</v>
      </c>
      <c r="L33" s="10" t="b">
        <f>AND(fmin&gt;=WGTable[[#This Row],[START Frequency (Ghz)]]*1000000000,fmax&lt;=WGTable[[#This Row],[STOP Frequency (Ghz)]]*1000000000)</f>
        <v>0</v>
      </c>
    </row>
    <row r="34" spans="1:12" x14ac:dyDescent="0.35">
      <c r="A34" s="20">
        <v>1800</v>
      </c>
      <c r="B34" s="25" t="s">
        <v>40</v>
      </c>
      <c r="C34" s="10"/>
      <c r="D34" s="10">
        <v>0.41</v>
      </c>
      <c r="E34" s="10">
        <v>0.62</v>
      </c>
      <c r="F34" s="10">
        <v>0.32</v>
      </c>
      <c r="G34" s="10">
        <v>0.65</v>
      </c>
      <c r="H34" s="10">
        <v>18</v>
      </c>
      <c r="I34" s="10">
        <v>9</v>
      </c>
      <c r="J34" s="10">
        <v>0.02</v>
      </c>
      <c r="K34" s="21">
        <v>0.125</v>
      </c>
      <c r="L34" s="10" t="b">
        <f>AND(fmin&gt;=WGTable[[#This Row],[START Frequency (Ghz)]]*1000000000,fmax&lt;=WGTable[[#This Row],[STOP Frequency (Ghz)]]*1000000000)</f>
        <v>0</v>
      </c>
    </row>
    <row r="35" spans="1:12" x14ac:dyDescent="0.35">
      <c r="A35" s="20">
        <v>2100</v>
      </c>
      <c r="B35" s="25" t="s">
        <v>41</v>
      </c>
      <c r="C35" s="10"/>
      <c r="D35" s="10">
        <v>0.35</v>
      </c>
      <c r="E35" s="10">
        <v>0.53</v>
      </c>
      <c r="F35" s="10">
        <v>0.28000000000000003</v>
      </c>
      <c r="G35" s="10">
        <v>0.56000000000000005</v>
      </c>
      <c r="H35" s="10">
        <v>21</v>
      </c>
      <c r="I35" s="10">
        <v>10.5</v>
      </c>
      <c r="J35" s="10">
        <v>0.02</v>
      </c>
      <c r="K35" s="21">
        <v>0.125</v>
      </c>
      <c r="L35" s="10" t="b">
        <f>AND(fmin&gt;=WGTable[[#This Row],[START Frequency (Ghz)]]*1000000000,fmax&lt;=WGTable[[#This Row],[STOP Frequency (Ghz)]]*1000000000)</f>
        <v>0</v>
      </c>
    </row>
    <row r="36" spans="1:12" x14ac:dyDescent="0.35">
      <c r="A36" s="23">
        <v>2300</v>
      </c>
      <c r="B36" s="26" t="s">
        <v>42</v>
      </c>
      <c r="C36" s="11"/>
      <c r="D36" s="11">
        <v>0.32</v>
      </c>
      <c r="E36" s="11">
        <v>0.49</v>
      </c>
      <c r="F36" s="11">
        <v>0.25600000000000001</v>
      </c>
      <c r="G36" s="11">
        <v>0.51</v>
      </c>
      <c r="H36" s="11">
        <v>23</v>
      </c>
      <c r="I36" s="11">
        <v>11.5</v>
      </c>
      <c r="J36" s="11">
        <v>0.02</v>
      </c>
      <c r="K36" s="24">
        <v>0.15</v>
      </c>
      <c r="L36" s="10" t="b">
        <f>AND(fmin&gt;=WGTable[[#This Row],[START Frequency (Ghz)]]*1000000000,fmax&lt;=WGTable[[#This Row],[STOP Frequency (Ghz)]]*1000000000)</f>
        <v>0</v>
      </c>
    </row>
  </sheetData>
  <conditionalFormatting sqref="L4:L36">
    <cfRule type="cellIs" dxfId="19" priority="1" operator="equal">
      <formula>TRUE</formula>
    </cfRule>
  </conditionalFormatting>
  <dataValidations disablePrompts="1" count="1">
    <dataValidation type="list" allowBlank="1" showInputMessage="1" showErrorMessage="1" sqref="T9" xr:uid="{3422F5D1-74B9-4EEB-A4E6-B80EA78390D6}">
      <formula1>_xlfn.ANCHORARRAY($R$4)</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57D1EF-2034-4E78-BE3E-F2EFA6867571}">
  <sheetPr codeName="Sheet2"/>
  <dimension ref="A1:K79"/>
  <sheetViews>
    <sheetView showGridLines="0" workbookViewId="0">
      <selection activeCell="B4" sqref="B4"/>
    </sheetView>
  </sheetViews>
  <sheetFormatPr defaultRowHeight="14.5" x14ac:dyDescent="0.35"/>
  <cols>
    <col min="1" max="1" width="16.7265625" bestFit="1" customWidth="1"/>
    <col min="2" max="2" width="13.453125" customWidth="1"/>
    <col min="4" max="4" width="14.7265625" customWidth="1"/>
    <col min="5" max="5" width="9.36328125" bestFit="1" customWidth="1"/>
    <col min="6" max="6" width="27" bestFit="1" customWidth="1"/>
    <col min="7" max="7" width="24" bestFit="1" customWidth="1"/>
    <col min="11" max="11" width="9.36328125" bestFit="1" customWidth="1"/>
  </cols>
  <sheetData>
    <row r="1" spans="1:11" x14ac:dyDescent="0.35">
      <c r="A1" s="6" t="s">
        <v>0</v>
      </c>
      <c r="D1" s="1" t="s">
        <v>78</v>
      </c>
      <c r="E1" t="str">
        <f>WGSelect&amp;" "&amp;WGMaterial&amp;" Waveguide Attenuation"</f>
        <v>WR90 Aluminum Waveguide Attenuation</v>
      </c>
    </row>
    <row r="3" spans="1:11" x14ac:dyDescent="0.35">
      <c r="A3" t="s">
        <v>46</v>
      </c>
      <c r="B3" t="s">
        <v>6</v>
      </c>
      <c r="F3" t="s">
        <v>114</v>
      </c>
    </row>
    <row r="4" spans="1:11" x14ac:dyDescent="0.35">
      <c r="A4" s="2">
        <f>_fc*1.001</f>
        <v>6563697516.5791779</v>
      </c>
      <c r="B4" s="2">
        <f>(0.01107/a^1.5)*((0.5*(a/b)*((Table2[[#This Row],[Frequency (Hz)]]/_fc)^1.5))+(Table2[[#This Row],[Frequency (Hz)]]/_fc)^-0.5)/(SQRT((Table2[[#This Row],[Frequency (Hz)]]/_fc)^2-1))*SQRT(ρselmaxT/ρcu)</f>
        <v>0.99199811433592233</v>
      </c>
      <c r="F4" s="46" t="s">
        <v>63</v>
      </c>
      <c r="G4" s="47" t="s">
        <v>62</v>
      </c>
      <c r="K4" s="2"/>
    </row>
    <row r="5" spans="1:11" ht="16.5" x14ac:dyDescent="0.45">
      <c r="A5" s="2">
        <f>A4*1.01</f>
        <v>6629334491.7449694</v>
      </c>
      <c r="B5" s="2">
        <f>(0.01107/a^1.5)*((0.5*(a/b)*((Table2[[#This Row],[Frequency (Hz)]]/_fc)^1.5))+(Table2[[#This Row],[Frequency (Hz)]]/_fc)^-0.5)/(SQRT((Table2[[#This Row],[Frequency (Hz)]]/_fc)^2-1))*SQRT(ρselmaxT/ρcu)</f>
        <v>0.29989844884933581</v>
      </c>
      <c r="E5" s="1" t="s">
        <v>113</v>
      </c>
      <c r="F5" s="48">
        <f>1.25*_fc</f>
        <v>8196425470.2537193</v>
      </c>
      <c r="G5" s="48">
        <f>fmin</f>
        <v>9900000000</v>
      </c>
      <c r="H5" t="s">
        <v>111</v>
      </c>
      <c r="K5" s="2"/>
    </row>
    <row r="6" spans="1:11" ht="16.5" x14ac:dyDescent="0.45">
      <c r="A6" s="2">
        <f t="shared" ref="A6:A69" si="0">A5*1.01</f>
        <v>6695627836.6624193</v>
      </c>
      <c r="B6" s="2">
        <f>(0.01107/a^1.5)*((0.5*(a/b)*((Table2[[#This Row],[Frequency (Hz)]]/_fc)^1.5))+(Table2[[#This Row],[Frequency (Hz)]]/_fc)^-0.5)/(SQRT((Table2[[#This Row],[Frequency (Hz)]]/_fc)^2-1))*SQRT(ρselmaxT/ρcu)</f>
        <v>0.21722726831375272</v>
      </c>
      <c r="D6" s="1"/>
      <c r="E6" s="1" t="s">
        <v>112</v>
      </c>
      <c r="F6" s="48">
        <f>1.89*_fc-fWGL</f>
        <v>4196569840.7699032</v>
      </c>
      <c r="G6" s="48">
        <f>fmax-fmin</f>
        <v>1100000000</v>
      </c>
      <c r="H6" t="s">
        <v>69</v>
      </c>
      <c r="K6" s="2"/>
    </row>
    <row r="7" spans="1:11" x14ac:dyDescent="0.35">
      <c r="A7" s="2">
        <f t="shared" si="0"/>
        <v>6762584115.0290432</v>
      </c>
      <c r="B7" s="2">
        <f>(0.01107/a^1.5)*((0.5*(a/b)*((Table2[[#This Row],[Frequency (Hz)]]/_fc)^1.5))+(Table2[[#This Row],[Frequency (Hz)]]/_fc)^-0.5)/(SQRT((Table2[[#This Row],[Frequency (Hz)]]/_fc)^2-1))*SQRT(ρselmaxT/ρcu)</f>
        <v>0.17893896047649235</v>
      </c>
      <c r="D7" s="1"/>
      <c r="E7" s="36"/>
      <c r="K7" s="2"/>
    </row>
    <row r="8" spans="1:11" x14ac:dyDescent="0.35">
      <c r="A8" s="2">
        <f t="shared" si="0"/>
        <v>6830209956.1793337</v>
      </c>
      <c r="B8" s="2">
        <f>(0.01107/a^1.5)*((0.5*(a/b)*((Table2[[#This Row],[Frequency (Hz)]]/_fc)^1.5))+(Table2[[#This Row],[Frequency (Hz)]]/_fc)^-0.5)/(SQRT((Table2[[#This Row],[Frequency (Hz)]]/_fc)^2-1))*SQRT(ρselmaxT/ρcu)</f>
        <v>0.15573412346277302</v>
      </c>
      <c r="E8" s="36"/>
      <c r="K8" s="2"/>
    </row>
    <row r="9" spans="1:11" x14ac:dyDescent="0.35">
      <c r="A9" s="2">
        <f t="shared" si="0"/>
        <v>6898512055.741127</v>
      </c>
      <c r="B9" s="2">
        <f>(0.01107/a^1.5)*((0.5*(a/b)*((Table2[[#This Row],[Frequency (Hz)]]/_fc)^1.5))+(Table2[[#This Row],[Frequency (Hz)]]/_fc)^-0.5)/(SQRT((Table2[[#This Row],[Frequency (Hz)]]/_fc)^2-1))*SQRT(ρselmaxT/ρcu)</f>
        <v>0.13976968284223779</v>
      </c>
      <c r="K9" s="2"/>
    </row>
    <row r="10" spans="1:11" x14ac:dyDescent="0.35">
      <c r="A10" s="2">
        <f t="shared" si="0"/>
        <v>6967497176.2985382</v>
      </c>
      <c r="B10" s="2">
        <f>(0.01107/a^1.5)*((0.5*(a/b)*((Table2[[#This Row],[Frequency (Hz)]]/_fc)^1.5))+(Table2[[#This Row],[Frequency (Hz)]]/_fc)^-0.5)/(SQRT((Table2[[#This Row],[Frequency (Hz)]]/_fc)^2-1))*SQRT(ρselmaxT/ρcu)</f>
        <v>0.12793497871002243</v>
      </c>
      <c r="K10" s="2"/>
    </row>
    <row r="11" spans="1:11" x14ac:dyDescent="0.35">
      <c r="A11" s="2">
        <f t="shared" si="0"/>
        <v>7037172148.0615234</v>
      </c>
      <c r="B11" s="2">
        <f>(0.01107/a^1.5)*((0.5*(a/b)*((Table2[[#This Row],[Frequency (Hz)]]/_fc)^1.5))+(Table2[[#This Row],[Frequency (Hz)]]/_fc)^-0.5)/(SQRT((Table2[[#This Row],[Frequency (Hz)]]/_fc)^2-1))*SQRT(ρselmaxT/ρcu)</f>
        <v>0.11871771819848614</v>
      </c>
      <c r="K11" s="2"/>
    </row>
    <row r="12" spans="1:11" x14ac:dyDescent="0.35">
      <c r="A12" s="2">
        <f t="shared" si="0"/>
        <v>7107543869.5421391</v>
      </c>
      <c r="B12" s="2">
        <f>(0.01107/a^1.5)*((0.5*(a/b)*((Table2[[#This Row],[Frequency (Hz)]]/_fc)^1.5))+(Table2[[#This Row],[Frequency (Hz)]]/_fc)^-0.5)/(SQRT((Table2[[#This Row],[Frequency (Hz)]]/_fc)^2-1))*SQRT(ρselmaxT/ρcu)</f>
        <v>0.11128260200240149</v>
      </c>
      <c r="D12" s="1"/>
      <c r="E12" s="36"/>
      <c r="K12" s="2"/>
    </row>
    <row r="13" spans="1:11" x14ac:dyDescent="0.35">
      <c r="A13" s="2">
        <f t="shared" si="0"/>
        <v>7178619308.2375603</v>
      </c>
      <c r="B13" s="2">
        <f>(0.01107/a^1.5)*((0.5*(a/b)*((Table2[[#This Row],[Frequency (Hz)]]/_fc)^1.5))+(Table2[[#This Row],[Frequency (Hz)]]/_fc)^-0.5)/(SQRT((Table2[[#This Row],[Frequency (Hz)]]/_fc)^2-1))*SQRT(ρselmaxT/ρcu)</f>
        <v>0.10512567416158629</v>
      </c>
      <c r="D13" s="1"/>
      <c r="E13" s="36"/>
      <c r="K13" s="2"/>
    </row>
    <row r="14" spans="1:11" x14ac:dyDescent="0.35">
      <c r="A14" s="2">
        <f t="shared" si="0"/>
        <v>7250405501.3199358</v>
      </c>
      <c r="B14" s="2">
        <f>(0.01107/a^1.5)*((0.5*(a/b)*((Table2[[#This Row],[Frequency (Hz)]]/_fc)^1.5))+(Table2[[#This Row],[Frequency (Hz)]]/_fc)^-0.5)/(SQRT((Table2[[#This Row],[Frequency (Hz)]]/_fc)^2-1))*SQRT(ρselmaxT/ρcu)</f>
        <v>9.9922466956530176E-2</v>
      </c>
      <c r="E14" s="36"/>
      <c r="K14" s="2"/>
    </row>
    <row r="15" spans="1:11" x14ac:dyDescent="0.35">
      <c r="A15" s="2">
        <f t="shared" si="0"/>
        <v>7322909556.3331356</v>
      </c>
      <c r="B15" s="2">
        <f>(0.01107/a^1.5)*((0.5*(a/b)*((Table2[[#This Row],[Frequency (Hz)]]/_fc)^1.5))+(Table2[[#This Row],[Frequency (Hz)]]/_fc)^-0.5)/(SQRT((Table2[[#This Row],[Frequency (Hz)]]/_fc)^2-1))*SQRT(ρselmaxT/ρcu)</f>
        <v>9.5453371077484375E-2</v>
      </c>
      <c r="K15" s="2"/>
    </row>
    <row r="16" spans="1:11" x14ac:dyDescent="0.35">
      <c r="A16" s="2">
        <f t="shared" si="0"/>
        <v>7396138651.8964672</v>
      </c>
      <c r="B16" s="2">
        <f>(0.01107/a^1.5)*((0.5*(a/b)*((Table2[[#This Row],[Frequency (Hz)]]/_fc)^1.5))+(Table2[[#This Row],[Frequency (Hz)]]/_fc)^-0.5)/(SQRT((Table2[[#This Row],[Frequency (Hz)]]/_fc)^2-1))*SQRT(ρselmaxT/ρcu)</f>
        <v>9.156373428001352E-2</v>
      </c>
      <c r="K16" s="2"/>
    </row>
    <row r="17" spans="1:11" x14ac:dyDescent="0.35">
      <c r="A17" s="2">
        <f t="shared" si="0"/>
        <v>7470100038.415432</v>
      </c>
      <c r="B17" s="2">
        <f>(0.01107/a^1.5)*((0.5*(a/b)*((Table2[[#This Row],[Frequency (Hz)]]/_fc)^1.5))+(Table2[[#This Row],[Frequency (Hz)]]/_fc)^-0.5)/(SQRT((Table2[[#This Row],[Frequency (Hz)]]/_fc)^2-1))*SQRT(ρselmaxT/ρcu)</f>
        <v>8.8141075157518012E-2</v>
      </c>
      <c r="K17" s="2"/>
    </row>
    <row r="18" spans="1:11" x14ac:dyDescent="0.35">
      <c r="A18" s="2">
        <f t="shared" si="0"/>
        <v>7544801038.7995863</v>
      </c>
      <c r="B18" s="2">
        <f>(0.01107/a^1.5)*((0.5*(a/b)*((Table2[[#This Row],[Frequency (Hz)]]/_fc)^1.5))+(Table2[[#This Row],[Frequency (Hz)]]/_fc)^-0.5)/(SQRT((Table2[[#This Row],[Frequency (Hz)]]/_fc)^2-1))*SQRT(ρselmaxT/ρcu)</f>
        <v>8.5101361946737286E-2</v>
      </c>
      <c r="K18" s="2"/>
    </row>
    <row r="19" spans="1:11" x14ac:dyDescent="0.35">
      <c r="A19" s="2">
        <f t="shared" si="0"/>
        <v>7620249049.187582</v>
      </c>
      <c r="B19" s="2">
        <f>(0.01107/a^1.5)*((0.5*(a/b)*((Table2[[#This Row],[Frequency (Hz)]]/_fc)^1.5))+(Table2[[#This Row],[Frequency (Hz)]]/_fc)^-0.5)/(SQRT((Table2[[#This Row],[Frequency (Hz)]]/_fc)^2-1))*SQRT(ρselmaxT/ρcu)</f>
        <v>8.2380381081057205E-2</v>
      </c>
      <c r="K19" s="2"/>
    </row>
    <row r="20" spans="1:11" x14ac:dyDescent="0.35">
      <c r="A20" s="2">
        <f t="shared" si="0"/>
        <v>7696451539.6794577</v>
      </c>
      <c r="B20" s="2">
        <f>(0.01107/a^1.5)*((0.5*(a/b)*((Table2[[#This Row],[Frequency (Hz)]]/_fc)^1.5))+(Table2[[#This Row],[Frequency (Hz)]]/_fc)^-0.5)/(SQRT((Table2[[#This Row],[Frequency (Hz)]]/_fc)^2-1))*SQRT(ρselmaxT/ρcu)</f>
        <v>7.9928104854862375E-2</v>
      </c>
      <c r="K20" s="2"/>
    </row>
    <row r="21" spans="1:11" x14ac:dyDescent="0.35">
      <c r="A21" s="2">
        <f t="shared" si="0"/>
        <v>7773416055.076252</v>
      </c>
      <c r="B21" s="2">
        <f>(0.01107/a^1.5)*((0.5*(a/b)*((Table2[[#This Row],[Frequency (Hz)]]/_fc)^1.5))+(Table2[[#This Row],[Frequency (Hz)]]/_fc)^-0.5)/(SQRT((Table2[[#This Row],[Frequency (Hz)]]/_fc)^2-1))*SQRT(ρselmaxT/ρcu)</f>
        <v>7.7704899653607648E-2</v>
      </c>
      <c r="K21" s="2"/>
    </row>
    <row r="22" spans="1:11" x14ac:dyDescent="0.35">
      <c r="A22" s="2">
        <f t="shared" si="0"/>
        <v>7851150215.6270142</v>
      </c>
      <c r="B22" s="2">
        <f>(0.01107/a^1.5)*((0.5*(a/b)*((Table2[[#This Row],[Frequency (Hz)]]/_fc)^1.5))+(Table2[[#This Row],[Frequency (Hz)]]/_fc)^-0.5)/(SQRT((Table2[[#This Row],[Frequency (Hz)]]/_fc)^2-1))*SQRT(ρselmaxT/ρcu)</f>
        <v>7.5678903693169625E-2</v>
      </c>
      <c r="K22" s="2"/>
    </row>
    <row r="23" spans="1:11" x14ac:dyDescent="0.35">
      <c r="A23" s="2">
        <f t="shared" si="0"/>
        <v>7929661717.7832842</v>
      </c>
      <c r="B23" s="2">
        <f>(0.01107/a^1.5)*((0.5*(a/b)*((Table2[[#This Row],[Frequency (Hz)]]/_fc)^1.5))+(Table2[[#This Row],[Frequency (Hz)]]/_fc)^-0.5)/(SQRT((Table2[[#This Row],[Frequency (Hz)]]/_fc)^2-1))*SQRT(ρselmaxT/ρcu)</f>
        <v>7.3824170551985702E-2</v>
      </c>
      <c r="K23" s="2"/>
    </row>
    <row r="24" spans="1:11" x14ac:dyDescent="0.35">
      <c r="A24" s="2">
        <f t="shared" si="0"/>
        <v>8008958334.9611168</v>
      </c>
      <c r="B24" s="2">
        <f>(0.01107/a^1.5)*((0.5*(a/b)*((Table2[[#This Row],[Frequency (Hz)]]/_fc)^1.5))+(Table2[[#This Row],[Frequency (Hz)]]/_fc)^-0.5)/(SQRT((Table2[[#This Row],[Frequency (Hz)]]/_fc)^2-1))*SQRT(ρselmaxT/ρcu)</f>
        <v>7.2119327490652238E-2</v>
      </c>
      <c r="K24" s="2"/>
    </row>
    <row r="25" spans="1:11" x14ac:dyDescent="0.35">
      <c r="A25" s="2">
        <f t="shared" si="0"/>
        <v>8089047918.3107281</v>
      </c>
      <c r="B25" s="2">
        <f>(0.01107/a^1.5)*((0.5*(a/b)*((Table2[[#This Row],[Frequency (Hz)]]/_fc)^1.5))+(Table2[[#This Row],[Frequency (Hz)]]/_fc)^-0.5)/(SQRT((Table2[[#This Row],[Frequency (Hz)]]/_fc)^2-1))*SQRT(ρselmaxT/ρcu)</f>
        <v>7.0546587935247776E-2</v>
      </c>
      <c r="K25" s="2"/>
    </row>
    <row r="26" spans="1:11" x14ac:dyDescent="0.35">
      <c r="A26" s="2">
        <f t="shared" si="0"/>
        <v>8169938397.4938354</v>
      </c>
      <c r="B26" s="2">
        <f>(0.01107/a^1.5)*((0.5*(a/b)*((Table2[[#This Row],[Frequency (Hz)]]/_fc)^1.5))+(Table2[[#This Row],[Frequency (Hz)]]/_fc)^-0.5)/(SQRT((Table2[[#This Row],[Frequency (Hz)]]/_fc)^2-1))*SQRT(ρselmaxT/ρcu)</f>
        <v>6.909101268517244E-2</v>
      </c>
      <c r="K26" s="2"/>
    </row>
    <row r="27" spans="1:11" x14ac:dyDescent="0.35">
      <c r="A27" s="2">
        <f t="shared" si="0"/>
        <v>8251637781.4687738</v>
      </c>
      <c r="B27" s="2">
        <f>(0.01107/a^1.5)*((0.5*(a/b)*((Table2[[#This Row],[Frequency (Hz)]]/_fc)^1.5))+(Table2[[#This Row],[Frequency (Hz)]]/_fc)^-0.5)/(SQRT((Table2[[#This Row],[Frequency (Hz)]]/_fc)^2-1))*SQRT(ρselmaxT/ρcu)</f>
        <v>6.7739949043034958E-2</v>
      </c>
      <c r="K27" s="2"/>
    </row>
    <row r="28" spans="1:11" x14ac:dyDescent="0.35">
      <c r="A28" s="2">
        <f t="shared" si="0"/>
        <v>8334154159.2834616</v>
      </c>
      <c r="B28" s="2">
        <f>(0.01107/a^1.5)*((0.5*(a/b)*((Table2[[#This Row],[Frequency (Hz)]]/_fc)^1.5))+(Table2[[#This Row],[Frequency (Hz)]]/_fc)^-0.5)/(SQRT((Table2[[#This Row],[Frequency (Hz)]]/_fc)^2-1))*SQRT(ρselmaxT/ρcu)</f>
        <v>6.6482599345805041E-2</v>
      </c>
      <c r="K28" s="2"/>
    </row>
    <row r="29" spans="1:11" x14ac:dyDescent="0.35">
      <c r="A29" s="2">
        <f t="shared" si="0"/>
        <v>8417495700.876296</v>
      </c>
      <c r="B29" s="2">
        <f>(0.01107/a^1.5)*((0.5*(a/b)*((Table2[[#This Row],[Frequency (Hz)]]/_fc)^1.5))+(Table2[[#This Row],[Frequency (Hz)]]/_fc)^-0.5)/(SQRT((Table2[[#This Row],[Frequency (Hz)]]/_fc)^2-1))*SQRT(ρselmaxT/ρcu)</f>
        <v>6.5309685030592105E-2</v>
      </c>
      <c r="K29" s="2"/>
    </row>
    <row r="30" spans="1:11" x14ac:dyDescent="0.35">
      <c r="A30" s="2">
        <f t="shared" si="0"/>
        <v>8501670657.8850594</v>
      </c>
      <c r="B30" s="2">
        <f>(0.01107/a^1.5)*((0.5*(a/b)*((Table2[[#This Row],[Frequency (Hz)]]/_fc)^1.5))+(Table2[[#This Row],[Frequency (Hz)]]/_fc)^-0.5)/(SQRT((Table2[[#This Row],[Frequency (Hz)]]/_fc)^2-1))*SQRT(ρselmaxT/ρcu)</f>
        <v>6.4213182200479793E-2</v>
      </c>
      <c r="K30" s="2"/>
    </row>
    <row r="31" spans="1:11" x14ac:dyDescent="0.35">
      <c r="A31" s="2">
        <f t="shared" si="0"/>
        <v>8586687364.4639101</v>
      </c>
      <c r="B31" s="2">
        <f>(0.01107/a^1.5)*((0.5*(a/b)*((Table2[[#This Row],[Frequency (Hz)]]/_fc)^1.5))+(Table2[[#This Row],[Frequency (Hz)]]/_fc)^-0.5)/(SQRT((Table2[[#This Row],[Frequency (Hz)]]/_fc)^2-1))*SQRT(ρselmaxT/ρcu)</f>
        <v>6.3186111373264991E-2</v>
      </c>
      <c r="K31" s="2"/>
    </row>
    <row r="32" spans="1:11" x14ac:dyDescent="0.35">
      <c r="A32" s="2">
        <f t="shared" si="0"/>
        <v>8672554238.1085491</v>
      </c>
      <c r="B32" s="2">
        <f>(0.01107/a^1.5)*((0.5*(a/b)*((Table2[[#This Row],[Frequency (Hz)]]/_fc)^1.5))+(Table2[[#This Row],[Frequency (Hz)]]/_fc)^-0.5)/(SQRT((Table2[[#This Row],[Frequency (Hz)]]/_fc)^2-1))*SQRT(ρselmaxT/ρcu)</f>
        <v>6.2222368761909931E-2</v>
      </c>
      <c r="K32" s="2"/>
    </row>
    <row r="33" spans="1:11" x14ac:dyDescent="0.35">
      <c r="A33" s="2">
        <f t="shared" si="0"/>
        <v>8759279780.4896355</v>
      </c>
      <c r="B33" s="2">
        <f>(0.01107/a^1.5)*((0.5*(a/b)*((Table2[[#This Row],[Frequency (Hz)]]/_fc)^1.5))+(Table2[[#This Row],[Frequency (Hz)]]/_fc)^-0.5)/(SQRT((Table2[[#This Row],[Frequency (Hz)]]/_fc)^2-1))*SQRT(ρselmaxT/ρcu)</f>
        <v>6.131658972597534E-2</v>
      </c>
      <c r="K33" s="2"/>
    </row>
    <row r="34" spans="1:11" x14ac:dyDescent="0.35">
      <c r="A34" s="2">
        <f t="shared" si="0"/>
        <v>8846872578.2945328</v>
      </c>
      <c r="B34" s="2">
        <f>(0.01107/a^1.5)*((0.5*(a/b)*((Table2[[#This Row],[Frequency (Hz)]]/_fc)^1.5))+(Table2[[#This Row],[Frequency (Hz)]]/_fc)^-0.5)/(SQRT((Table2[[#This Row],[Frequency (Hz)]]/_fc)^2-1))*SQRT(ρselmaxT/ρcu)</f>
        <v>6.046403738628859E-2</v>
      </c>
      <c r="K34" s="2"/>
    </row>
    <row r="35" spans="1:11" x14ac:dyDescent="0.35">
      <c r="A35" s="2">
        <f t="shared" si="0"/>
        <v>8935341304.0774784</v>
      </c>
      <c r="B35" s="2">
        <f>(0.01107/a^1.5)*((0.5*(a/b)*((Table2[[#This Row],[Frequency (Hz)]]/_fc)^1.5))+(Table2[[#This Row],[Frequency (Hz)]]/_fc)^-0.5)/(SQRT((Table2[[#This Row],[Frequency (Hz)]]/_fc)^2-1))*SQRT(ρselmaxT/ρcu)</f>
        <v>5.9660511099460245E-2</v>
      </c>
      <c r="K35" s="2"/>
    </row>
    <row r="36" spans="1:11" x14ac:dyDescent="0.35">
      <c r="A36" s="2">
        <f t="shared" si="0"/>
        <v>9024694717.1182537</v>
      </c>
      <c r="B36" s="2">
        <f>(0.01107/a^1.5)*((0.5*(a/b)*((Table2[[#This Row],[Frequency (Hz)]]/_fc)^1.5))+(Table2[[#This Row],[Frequency (Hz)]]/_fc)^-0.5)/(SQRT((Table2[[#This Row],[Frequency (Hz)]]/_fc)^2-1))*SQRT(ρselmaxT/ρcu)</f>
        <v>5.8902270738164106E-2</v>
      </c>
      <c r="K36" s="2"/>
    </row>
    <row r="37" spans="1:11" x14ac:dyDescent="0.35">
      <c r="A37" s="2">
        <f t="shared" si="0"/>
        <v>9114941664.2894363</v>
      </c>
      <c r="B37" s="2">
        <f>(0.01107/a^1.5)*((0.5*(a/b)*((Table2[[#This Row],[Frequency (Hz)]]/_fc)^1.5))+(Table2[[#This Row],[Frequency (Hz)]]/_fc)^-0.5)/(SQRT((Table2[[#This Row],[Frequency (Hz)]]/_fc)^2-1))*SQRT(ρselmaxT/ρcu)</f>
        <v>5.8185973649002173E-2</v>
      </c>
      <c r="K37" s="2"/>
    </row>
    <row r="38" spans="1:11" x14ac:dyDescent="0.35">
      <c r="A38" s="2">
        <f t="shared" si="0"/>
        <v>9206091080.9323311</v>
      </c>
      <c r="B38" s="2">
        <f>(0.01107/a^1.5)*((0.5*(a/b)*((Table2[[#This Row],[Frequency (Hz)]]/_fc)^1.5))+(Table2[[#This Row],[Frequency (Hz)]]/_fc)^-0.5)/(SQRT((Table2[[#This Row],[Frequency (Hz)]]/_fc)^2-1))*SQRT(ρselmaxT/ρcu)</f>
        <v>5.7508621853090053E-2</v>
      </c>
      <c r="K38" s="2"/>
    </row>
    <row r="39" spans="1:11" x14ac:dyDescent="0.35">
      <c r="A39" s="2">
        <f t="shared" si="0"/>
        <v>9298151991.7416553</v>
      </c>
      <c r="B39" s="2">
        <f>(0.01107/a^1.5)*((0.5*(a/b)*((Table2[[#This Row],[Frequency (Hz)]]/_fc)^1.5))+(Table2[[#This Row],[Frequency (Hz)]]/_fc)^-0.5)/(SQRT((Table2[[#This Row],[Frequency (Hz)]]/_fc)^2-1))*SQRT(ρselmaxT/ρcu)</f>
        <v>5.6867517578649066E-2</v>
      </c>
      <c r="K39" s="2"/>
    </row>
    <row r="40" spans="1:11" x14ac:dyDescent="0.35">
      <c r="A40" s="2">
        <f t="shared" si="0"/>
        <v>9391133511.6590729</v>
      </c>
      <c r="B40" s="2">
        <f>(0.01107/a^1.5)*((0.5*(a/b)*((Table2[[#This Row],[Frequency (Hz)]]/_fc)^1.5))+(Table2[[#This Row],[Frequency (Hz)]]/_fc)^-0.5)/(SQRT((Table2[[#This Row],[Frequency (Hz)]]/_fc)^2-1))*SQRT(ρselmaxT/ρcu)</f>
        <v>5.6260225614726454E-2</v>
      </c>
      <c r="K40" s="2"/>
    </row>
    <row r="41" spans="1:11" x14ac:dyDescent="0.35">
      <c r="A41" s="2">
        <f t="shared" si="0"/>
        <v>9485044846.7756634</v>
      </c>
      <c r="B41" s="2">
        <f>(0.01107/a^1.5)*((0.5*(a/b)*((Table2[[#This Row],[Frequency (Hz)]]/_fc)^1.5))+(Table2[[#This Row],[Frequency (Hz)]]/_fc)^-0.5)/(SQRT((Table2[[#This Row],[Frequency (Hz)]]/_fc)^2-1))*SQRT(ρselmaxT/ρcu)</f>
        <v>5.5684541282740765E-2</v>
      </c>
      <c r="K41" s="2"/>
    </row>
    <row r="42" spans="1:11" x14ac:dyDescent="0.35">
      <c r="A42" s="2">
        <f t="shared" si="0"/>
        <v>9579895295.2434196</v>
      </c>
      <c r="B42" s="2">
        <f>(0.01107/a^1.5)*((0.5*(a/b)*((Table2[[#This Row],[Frequency (Hz)]]/_fc)^1.5))+(Table2[[#This Row],[Frequency (Hz)]]/_fc)^-0.5)/(SQRT((Table2[[#This Row],[Frequency (Hz)]]/_fc)^2-1))*SQRT(ρselmaxT/ρcu)</f>
        <v>5.5138463061036043E-2</v>
      </c>
      <c r="K42" s="2"/>
    </row>
    <row r="43" spans="1:11" x14ac:dyDescent="0.35">
      <c r="A43" s="2">
        <f t="shared" si="0"/>
        <v>9675694248.1958542</v>
      </c>
      <c r="B43" s="2">
        <f>(0.01107/a^1.5)*((0.5*(a/b)*((Table2[[#This Row],[Frequency (Hz)]]/_fc)^1.5))+(Table2[[#This Row],[Frequency (Hz)]]/_fc)^-0.5)/(SQRT((Table2[[#This Row],[Frequency (Hz)]]/_fc)^2-1))*SQRT(ρselmaxT/ρcu)</f>
        <v>5.4620169083919048E-2</v>
      </c>
      <c r="K43" s="2"/>
    </row>
    <row r="44" spans="1:11" x14ac:dyDescent="0.35">
      <c r="A44" s="2">
        <f t="shared" si="0"/>
        <v>9772451190.6778126</v>
      </c>
      <c r="B44" s="2">
        <f>(0.01107/a^1.5)*((0.5*(a/b)*((Table2[[#This Row],[Frequency (Hz)]]/_fc)^1.5))+(Table2[[#This Row],[Frequency (Hz)]]/_fc)^-0.5)/(SQRT((Table2[[#This Row],[Frequency (Hz)]]/_fc)^2-1))*SQRT(ρselmaxT/ρcu)</f>
        <v>5.4127996883201988E-2</v>
      </c>
      <c r="K44" s="2"/>
    </row>
    <row r="45" spans="1:11" x14ac:dyDescent="0.35">
      <c r="A45" s="2">
        <f t="shared" si="0"/>
        <v>9870175702.5845909</v>
      </c>
      <c r="B45" s="2">
        <f>(0.01107/a^1.5)*((0.5*(a/b)*((Table2[[#This Row],[Frequency (Hz)]]/_fc)^1.5))+(Table2[[#This Row],[Frequency (Hz)]]/_fc)^-0.5)/(SQRT((Table2[[#This Row],[Frequency (Hz)]]/_fc)^2-1))*SQRT(ρselmaxT/ρcu)</f>
        <v>5.3660425856318063E-2</v>
      </c>
      <c r="K45" s="2"/>
    </row>
    <row r="46" spans="1:11" x14ac:dyDescent="0.35">
      <c r="A46" s="2">
        <f t="shared" si="0"/>
        <v>9968877459.6104374</v>
      </c>
      <c r="B46" s="2">
        <f>(0.01107/a^1.5)*((0.5*(a/b)*((Table2[[#This Row],[Frequency (Hz)]]/_fc)^1.5))+(Table2[[#This Row],[Frequency (Hz)]]/_fc)^-0.5)/(SQRT((Table2[[#This Row],[Frequency (Hz)]]/_fc)^2-1))*SQRT(ρselmaxT/ρcu)</f>
        <v>5.3216062037550471E-2</v>
      </c>
      <c r="K46" s="2"/>
    </row>
    <row r="47" spans="1:11" x14ac:dyDescent="0.35">
      <c r="A47" s="2">
        <f t="shared" si="0"/>
        <v>10068566234.206541</v>
      </c>
      <c r="B47" s="2">
        <f>(0.01107/a^1.5)*((0.5*(a/b)*((Table2[[#This Row],[Frequency (Hz)]]/_fc)^1.5))+(Table2[[#This Row],[Frequency (Hz)]]/_fc)^-0.5)/(SQRT((Table2[[#This Row],[Frequency (Hz)]]/_fc)^2-1))*SQRT(ρselmaxT/ρcu)</f>
        <v>5.2793624823038794E-2</v>
      </c>
      <c r="K47" s="2"/>
    </row>
    <row r="48" spans="1:11" x14ac:dyDescent="0.35">
      <c r="A48" s="2">
        <f t="shared" si="0"/>
        <v>10169251896.548607</v>
      </c>
      <c r="B48" s="2">
        <f>(0.01107/a^1.5)*((0.5*(a/b)*((Table2[[#This Row],[Frequency (Hz)]]/_fc)^1.5))+(Table2[[#This Row],[Frequency (Hz)]]/_fc)^-0.5)/(SQRT((Table2[[#This Row],[Frequency (Hz)]]/_fc)^2-1))*SQRT(ρselmaxT/ρcu)</f>
        <v>5.2391935359982086E-2</v>
      </c>
      <c r="K48" s="2"/>
    </row>
    <row r="49" spans="1:11" x14ac:dyDescent="0.35">
      <c r="A49" s="2">
        <f t="shared" si="0"/>
        <v>10270944415.514093</v>
      </c>
      <c r="B49" s="2">
        <f>(0.01107/a^1.5)*((0.5*(a/b)*((Table2[[#This Row],[Frequency (Hz)]]/_fc)^1.5))+(Table2[[#This Row],[Frequency (Hz)]]/_fc)^-0.5)/(SQRT((Table2[[#This Row],[Frequency (Hz)]]/_fc)^2-1))*SQRT(ρselmaxT/ρcu)</f>
        <v>5.2009906358884743E-2</v>
      </c>
      <c r="K49" s="2"/>
    </row>
    <row r="50" spans="1:11" x14ac:dyDescent="0.35">
      <c r="A50" s="2">
        <f t="shared" si="0"/>
        <v>10373653859.669235</v>
      </c>
      <c r="B50" s="2">
        <f>(0.01107/a^1.5)*((0.5*(a/b)*((Table2[[#This Row],[Frequency (Hz)]]/_fc)^1.5))+(Table2[[#This Row],[Frequency (Hz)]]/_fc)^-0.5)/(SQRT((Table2[[#This Row],[Frequency (Hz)]]/_fc)^2-1))*SQRT(ρselmaxT/ρcu)</f>
        <v>5.1646533127139592E-2</v>
      </c>
      <c r="K50" s="2"/>
    </row>
    <row r="51" spans="1:11" x14ac:dyDescent="0.35">
      <c r="A51" s="2">
        <f t="shared" si="0"/>
        <v>10477390398.265928</v>
      </c>
      <c r="B51" s="2">
        <f>(0.01107/a^1.5)*((0.5*(a/b)*((Table2[[#This Row],[Frequency (Hz)]]/_fc)^1.5))+(Table2[[#This Row],[Frequency (Hz)]]/_fc)^-0.5)/(SQRT((Table2[[#This Row],[Frequency (Hz)]]/_fc)^2-1))*SQRT(ρselmaxT/ρcu)</f>
        <v>5.1300885654533612E-2</v>
      </c>
      <c r="K51" s="2"/>
    </row>
    <row r="52" spans="1:11" x14ac:dyDescent="0.35">
      <c r="A52" s="2">
        <f t="shared" si="0"/>
        <v>10582164302.248589</v>
      </c>
      <c r="B52" s="2">
        <f>(0.01107/a^1.5)*((0.5*(a/b)*((Table2[[#This Row],[Frequency (Hz)]]/_fc)^1.5))+(Table2[[#This Row],[Frequency (Hz)]]/_fc)^-0.5)/(SQRT((Table2[[#This Row],[Frequency (Hz)]]/_fc)^2-1))*SQRT(ρselmaxT/ρcu)</f>
        <v>5.0972101607815144E-2</v>
      </c>
      <c r="K52" s="2"/>
    </row>
    <row r="53" spans="1:11" x14ac:dyDescent="0.35">
      <c r="A53" s="2">
        <f t="shared" si="0"/>
        <v>10687985945.271074</v>
      </c>
      <c r="B53" s="2">
        <f>(0.01107/a^1.5)*((0.5*(a/b)*((Table2[[#This Row],[Frequency (Hz)]]/_fc)^1.5))+(Table2[[#This Row],[Frequency (Hz)]]/_fc)^-0.5)/(SQRT((Table2[[#This Row],[Frequency (Hz)]]/_fc)^2-1))*SQRT(ρselmaxT/ρcu)</f>
        <v>5.0659380113394353E-2</v>
      </c>
      <c r="K53" s="2"/>
    </row>
    <row r="54" spans="1:11" x14ac:dyDescent="0.35">
      <c r="A54" s="2">
        <f t="shared" si="0"/>
        <v>10794865804.723785</v>
      </c>
      <c r="B54" s="2">
        <f>(0.01107/a^1.5)*((0.5*(a/b)*((Table2[[#This Row],[Frequency (Hz)]]/_fc)^1.5))+(Table2[[#This Row],[Frequency (Hz)]]/_fc)^-0.5)/(SQRT((Table2[[#This Row],[Frequency (Hz)]]/_fc)^2-1))*SQRT(ρselmaxT/ρcu)</f>
        <v>5.0361976225441946E-2</v>
      </c>
      <c r="K54" s="2"/>
    </row>
    <row r="55" spans="1:11" x14ac:dyDescent="0.35">
      <c r="A55" s="2">
        <f t="shared" si="0"/>
        <v>10902814462.771023</v>
      </c>
      <c r="B55" s="2">
        <f>(0.01107/a^1.5)*((0.5*(a/b)*((Table2[[#This Row],[Frequency (Hz)]]/_fc)^1.5))+(Table2[[#This Row],[Frequency (Hz)]]/_fc)^-0.5)/(SQRT((Table2[[#This Row],[Frequency (Hz)]]/_fc)^2-1))*SQRT(ρselmaxT/ρcu)</f>
        <v>5.0079195991802446E-2</v>
      </c>
      <c r="K55" s="2"/>
    </row>
    <row r="56" spans="1:11" x14ac:dyDescent="0.35">
      <c r="A56" s="2">
        <f t="shared" si="0"/>
        <v>11011842607.398733</v>
      </c>
      <c r="B56" s="2">
        <f>(0.01107/a^1.5)*((0.5*(a/b)*((Table2[[#This Row],[Frequency (Hz)]]/_fc)^1.5))+(Table2[[#This Row],[Frequency (Hz)]]/_fc)^-0.5)/(SQRT((Table2[[#This Row],[Frequency (Hz)]]/_fc)^2-1))*SQRT(ρselmaxT/ρcu)</f>
        <v>4.981039204280583E-2</v>
      </c>
      <c r="K56" s="2"/>
    </row>
    <row r="57" spans="1:11" x14ac:dyDescent="0.35">
      <c r="A57" s="2">
        <f t="shared" si="0"/>
        <v>11121961033.472721</v>
      </c>
      <c r="B57" s="2">
        <f>(0.01107/a^1.5)*((0.5*(a/b)*((Table2[[#This Row],[Frequency (Hz)]]/_fc)^1.5))+(Table2[[#This Row],[Frequency (Hz)]]/_fc)^-0.5)/(SQRT((Table2[[#This Row],[Frequency (Hz)]]/_fc)^2-1))*SQRT(ρselmaxT/ρcu)</f>
        <v>4.9554959638692164E-2</v>
      </c>
      <c r="K57" s="2"/>
    </row>
    <row r="58" spans="1:11" x14ac:dyDescent="0.35">
      <c r="A58" s="2">
        <f t="shared" si="0"/>
        <v>11233180643.807449</v>
      </c>
      <c r="B58" s="2">
        <f>(0.01107/a^1.5)*((0.5*(a/b)*((Table2[[#This Row],[Frequency (Hz)]]/_fc)^1.5))+(Table2[[#This Row],[Frequency (Hz)]]/_fc)^-0.5)/(SQRT((Table2[[#This Row],[Frequency (Hz)]]/_fc)^2-1))*SQRT(ρselmaxT/ρcu)</f>
        <v>4.9312333120315091E-2</v>
      </c>
      <c r="K58" s="2"/>
    </row>
    <row r="59" spans="1:11" x14ac:dyDescent="0.35">
      <c r="A59" s="2">
        <f t="shared" si="0"/>
        <v>11345512450.245523</v>
      </c>
      <c r="B59" s="2">
        <f>(0.01107/a^1.5)*((0.5*(a/b)*((Table2[[#This Row],[Frequency (Hz)]]/_fc)^1.5))+(Table2[[#This Row],[Frequency (Hz)]]/_fc)^-0.5)/(SQRT((Table2[[#This Row],[Frequency (Hz)]]/_fc)^2-1))*SQRT(ρselmaxT/ρcu)</f>
        <v>4.9081982715356277E-2</v>
      </c>
      <c r="K59" s="2"/>
    </row>
    <row r="60" spans="1:11" x14ac:dyDescent="0.35">
      <c r="A60" s="2">
        <f t="shared" si="0"/>
        <v>11458967574.747978</v>
      </c>
      <c r="B60" s="2">
        <f>(0.01107/a^1.5)*((0.5*(a/b)*((Table2[[#This Row],[Frequency (Hz)]]/_fc)^1.5))+(Table2[[#This Row],[Frequency (Hz)]]/_fc)^-0.5)/(SQRT((Table2[[#This Row],[Frequency (Hz)]]/_fc)^2-1))*SQRT(ρselmaxT/ρcu)</f>
        <v>4.8863411658694976E-2</v>
      </c>
      <c r="K60" s="2"/>
    </row>
    <row r="61" spans="1:11" x14ac:dyDescent="0.35">
      <c r="A61" s="2">
        <f t="shared" si="0"/>
        <v>11573557250.495459</v>
      </c>
      <c r="B61" s="2">
        <f>(0.01107/a^1.5)*((0.5*(a/b)*((Table2[[#This Row],[Frequency (Hz)]]/_fc)^1.5))+(Table2[[#This Row],[Frequency (Hz)]]/_fc)^-0.5)/(SQRT((Table2[[#This Row],[Frequency (Hz)]]/_fc)^2-1))*SQRT(ρselmaxT/ρcu)</f>
        <v>4.8656153591033292E-2</v>
      </c>
      <c r="K61" s="2"/>
    </row>
    <row r="62" spans="1:11" x14ac:dyDescent="0.35">
      <c r="A62" s="2">
        <f t="shared" si="0"/>
        <v>11689292823.000414</v>
      </c>
      <c r="B62" s="2">
        <f>(0.01107/a^1.5)*((0.5*(a/b)*((Table2[[#This Row],[Frequency (Hz)]]/_fc)^1.5))+(Table2[[#This Row],[Frequency (Hz)]]/_fc)^-0.5)/(SQRT((Table2[[#This Row],[Frequency (Hz)]]/_fc)^2-1))*SQRT(ρselmaxT/ρcu)</f>
        <v>4.8459770204529365E-2</v>
      </c>
      <c r="K62" s="2"/>
    </row>
    <row r="63" spans="1:11" x14ac:dyDescent="0.35">
      <c r="A63" s="2">
        <f t="shared" si="0"/>
        <v>11806185751.230417</v>
      </c>
      <c r="B63" s="2">
        <f>(0.01107/a^1.5)*((0.5*(a/b)*((Table2[[#This Row],[Frequency (Hz)]]/_fc)^1.5))+(Table2[[#This Row],[Frequency (Hz)]]/_fc)^-0.5)/(SQRT((Table2[[#This Row],[Frequency (Hz)]]/_fc)^2-1))*SQRT(ρselmaxT/ρcu)</f>
        <v>4.8273849108173332E-2</v>
      </c>
      <c r="K63" s="2"/>
    </row>
    <row r="64" spans="1:11" x14ac:dyDescent="0.35">
      <c r="A64" s="2">
        <f t="shared" si="0"/>
        <v>11924247608.742722</v>
      </c>
      <c r="B64" s="2">
        <f>(0.01107/a^1.5)*((0.5*(a/b)*((Table2[[#This Row],[Frequency (Hz)]]/_fc)^1.5))+(Table2[[#This Row],[Frequency (Hz)]]/_fc)^-0.5)/(SQRT((Table2[[#This Row],[Frequency (Hz)]]/_fc)^2-1))*SQRT(ρselmaxT/ρcu)</f>
        <v>4.8098001889055553E-2</v>
      </c>
      <c r="K64" s="2"/>
    </row>
    <row r="65" spans="1:11" x14ac:dyDescent="0.35">
      <c r="A65" s="2">
        <f t="shared" si="0"/>
        <v>12043490084.830149</v>
      </c>
      <c r="B65" s="2">
        <f>(0.01107/a^1.5)*((0.5*(a/b)*((Table2[[#This Row],[Frequency (Hz)]]/_fc)^1.5))+(Table2[[#This Row],[Frequency (Hz)]]/_fc)^-0.5)/(SQRT((Table2[[#This Row],[Frequency (Hz)]]/_fc)^2-1))*SQRT(ρselmaxT/ρcu)</f>
        <v>4.7931862348616482E-2</v>
      </c>
      <c r="K65" s="2"/>
    </row>
    <row r="66" spans="1:11" x14ac:dyDescent="0.35">
      <c r="A66" s="2">
        <f t="shared" si="0"/>
        <v>12163924985.67845</v>
      </c>
      <c r="B66" s="2">
        <f>(0.01107/a^1.5)*((0.5*(a/b)*((Table2[[#This Row],[Frequency (Hz)]]/_fc)^1.5))+(Table2[[#This Row],[Frequency (Hz)]]/_fc)^-0.5)/(SQRT((Table2[[#This Row],[Frequency (Hz)]]/_fc)^2-1))*SQRT(ρselmaxT/ρcu)</f>
        <v>4.7775084895501446E-2</v>
      </c>
      <c r="K66" s="2"/>
    </row>
    <row r="67" spans="1:11" x14ac:dyDescent="0.35">
      <c r="A67" s="2">
        <f t="shared" si="0"/>
        <v>12285564235.535234</v>
      </c>
      <c r="B67" s="2">
        <f>(0.01107/a^1.5)*((0.5*(a/b)*((Table2[[#This Row],[Frequency (Hz)]]/_fc)^1.5))+(Table2[[#This Row],[Frequency (Hz)]]/_fc)^-0.5)/(SQRT((Table2[[#This Row],[Frequency (Hz)]]/_fc)^2-1))*SQRT(ρselmaxT/ρcu)</f>
        <v>4.7627343078836433E-2</v>
      </c>
      <c r="K67" s="2"/>
    </row>
    <row r="68" spans="1:11" x14ac:dyDescent="0.35">
      <c r="A68" s="2">
        <f t="shared" si="0"/>
        <v>12408419877.890587</v>
      </c>
      <c r="B68" s="2">
        <f>(0.01107/a^1.5)*((0.5*(a/b)*((Table2[[#This Row],[Frequency (Hz)]]/_fc)^1.5))+(Table2[[#This Row],[Frequency (Hz)]]/_fc)^-0.5)/(SQRT((Table2[[#This Row],[Frequency (Hz)]]/_fc)^2-1))*SQRT(ρselmaxT/ρcu)</f>
        <v>4.7488328247641043E-2</v>
      </c>
      <c r="K68" s="2"/>
    </row>
    <row r="69" spans="1:11" x14ac:dyDescent="0.35">
      <c r="A69" s="2">
        <f t="shared" si="0"/>
        <v>12532504076.669493</v>
      </c>
      <c r="B69" s="2">
        <f>(0.01107/a^1.5)*((0.5*(a/b)*((Table2[[#This Row],[Frequency (Hz)]]/_fc)^1.5))+(Table2[[#This Row],[Frequency (Hz)]]/_fc)^-0.5)/(SQRT((Table2[[#This Row],[Frequency (Hz)]]/_fc)^2-1))*SQRT(ρselmaxT/ρcu)</f>
        <v>4.7357748323746139E-2</v>
      </c>
      <c r="K69" s="2"/>
    </row>
    <row r="70" spans="1:11" x14ac:dyDescent="0.35">
      <c r="A70" s="2">
        <f t="shared" ref="A70:A79" si="1">A69*1.01</f>
        <v>12657829117.436188</v>
      </c>
      <c r="B70" s="2">
        <f>(0.01107/a^1.5)*((0.5*(a/b)*((Table2[[#This Row],[Frequency (Hz)]]/_fc)^1.5))+(Table2[[#This Row],[Frequency (Hz)]]/_fc)^-0.5)/(SQRT((Table2[[#This Row],[Frequency (Hz)]]/_fc)^2-1))*SQRT(ρselmaxT/ρcu)</f>
        <v>4.7235326677021801E-2</v>
      </c>
      <c r="K70" s="2"/>
    </row>
    <row r="71" spans="1:11" x14ac:dyDescent="0.35">
      <c r="A71" s="2">
        <f t="shared" si="1"/>
        <v>12784407408.61055</v>
      </c>
      <c r="B71" s="2">
        <f>(0.01107/a^1.5)*((0.5*(a/b)*((Table2[[#This Row],[Frequency (Hz)]]/_fc)^1.5))+(Table2[[#This Row],[Frequency (Hz)]]/_fc)^-0.5)/(SQRT((Table2[[#This Row],[Frequency (Hz)]]/_fc)^2-1))*SQRT(ρselmaxT/ρcu)</f>
        <v>4.7120801092976755E-2</v>
      </c>
      <c r="K71" s="2"/>
    </row>
    <row r="72" spans="1:11" x14ac:dyDescent="0.35">
      <c r="A72" s="2">
        <f t="shared" si="1"/>
        <v>12912251482.696655</v>
      </c>
      <c r="B72" s="2">
        <f>(0.01107/a^1.5)*((0.5*(a/b)*((Table2[[#This Row],[Frequency (Hz)]]/_fc)^1.5))+(Table2[[#This Row],[Frequency (Hz)]]/_fc)^-0.5)/(SQRT((Table2[[#This Row],[Frequency (Hz)]]/_fc)^2-1))*SQRT(ρselmaxT/ρcu)</f>
        <v>4.7013922823888346E-2</v>
      </c>
      <c r="K72" s="2"/>
    </row>
    <row r="73" spans="1:11" x14ac:dyDescent="0.35">
      <c r="A73" s="2">
        <f t="shared" si="1"/>
        <v>13041373997.523623</v>
      </c>
      <c r="B73" s="2">
        <f>(0.01107/a^1.5)*((0.5*(a/b)*((Table2[[#This Row],[Frequency (Hz)]]/_fc)^1.5))+(Table2[[#This Row],[Frequency (Hz)]]/_fc)^-0.5)/(SQRT((Table2[[#This Row],[Frequency (Hz)]]/_fc)^2-1))*SQRT(ρselmaxT/ρcu)</f>
        <v>4.691445571558505E-2</v>
      </c>
      <c r="K73" s="2"/>
    </row>
    <row r="74" spans="1:11" x14ac:dyDescent="0.35">
      <c r="A74" s="2">
        <f t="shared" si="1"/>
        <v>13171787737.498859</v>
      </c>
      <c r="B74" s="2">
        <f>(0.01107/a^1.5)*((0.5*(a/b)*((Table2[[#This Row],[Frequency (Hz)]]/_fc)^1.5))+(Table2[[#This Row],[Frequency (Hz)]]/_fc)^-0.5)/(SQRT((Table2[[#This Row],[Frequency (Hz)]]/_fc)^2-1))*SQRT(ρselmaxT/ρcu)</f>
        <v>4.6822175402848283E-2</v>
      </c>
      <c r="K74" s="2"/>
    </row>
    <row r="75" spans="1:11" x14ac:dyDescent="0.35">
      <c r="A75" s="2">
        <f t="shared" si="1"/>
        <v>13303505614.873848</v>
      </c>
      <c r="B75" s="2">
        <f>(0.01107/a^1.5)*((0.5*(a/b)*((Table2[[#This Row],[Frequency (Hz)]]/_fc)^1.5))+(Table2[[#This Row],[Frequency (Hz)]]/_fc)^-0.5)/(SQRT((Table2[[#This Row],[Frequency (Hz)]]/_fc)^2-1))*SQRT(ρselmaxT/ρcu)</f>
        <v>4.6736868567145463E-2</v>
      </c>
      <c r="K75" s="2"/>
    </row>
    <row r="76" spans="1:11" x14ac:dyDescent="0.35">
      <c r="A76" s="2">
        <f t="shared" si="1"/>
        <v>13436540671.022587</v>
      </c>
      <c r="B76" s="2">
        <f>(0.01107/a^1.5)*((0.5*(a/b)*((Table2[[#This Row],[Frequency (Hz)]]/_fc)^1.5))+(Table2[[#This Row],[Frequency (Hz)]]/_fc)^-0.5)/(SQRT((Table2[[#This Row],[Frequency (Hz)]]/_fc)^2-1))*SQRT(ρselmaxT/ρcu)</f>
        <v>4.6658332251061023E-2</v>
      </c>
      <c r="K76" s="2"/>
    </row>
    <row r="77" spans="1:11" x14ac:dyDescent="0.35">
      <c r="A77" s="2">
        <f t="shared" si="1"/>
        <v>13570906077.732813</v>
      </c>
      <c r="B77" s="2">
        <f>(0.01107/a^1.5)*((0.5*(a/b)*((Table2[[#This Row],[Frequency (Hz)]]/_fc)^1.5))+(Table2[[#This Row],[Frequency (Hz)]]/_fc)^-0.5)/(SQRT((Table2[[#This Row],[Frequency (Hz)]]/_fc)^2-1))*SQRT(ρselmaxT/ρcu)</f>
        <v>4.6586373224372986E-2</v>
      </c>
      <c r="K77" s="2"/>
    </row>
    <row r="78" spans="1:11" x14ac:dyDescent="0.35">
      <c r="A78" s="2">
        <f t="shared" si="1"/>
        <v>13706615138.510141</v>
      </c>
      <c r="B78" s="2">
        <f>(0.01107/a^1.5)*((0.5*(a/b)*((Table2[[#This Row],[Frequency (Hz)]]/_fc)^1.5))+(Table2[[#This Row],[Frequency (Hz)]]/_fc)^-0.5)/(SQRT((Table2[[#This Row],[Frequency (Hz)]]/_fc)^2-1))*SQRT(ρselmaxT/ρcu)</f>
        <v>4.6520807397234104E-2</v>
      </c>
      <c r="K78" s="2"/>
    </row>
    <row r="79" spans="1:11" x14ac:dyDescent="0.35">
      <c r="A79" s="2">
        <f t="shared" si="1"/>
        <v>13843681289.895243</v>
      </c>
      <c r="B79" s="2">
        <f>(0.01107/a^1.5)*((0.5*(a/b)*((Table2[[#This Row],[Frequency (Hz)]]/_fc)^1.5))+(Table2[[#This Row],[Frequency (Hz)]]/_fc)^-0.5)/(SQRT((Table2[[#This Row],[Frequency (Hz)]]/_fc)^2-1))*SQRT(ρselmaxT/ρcu)</f>
        <v>4.6461459276372706E-2</v>
      </c>
      <c r="K79" s="2"/>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D4271-61AF-4B3C-AC2C-850267E20037}">
  <sheetPr codeName="Sheet3"/>
  <dimension ref="A1:D11"/>
  <sheetViews>
    <sheetView showGridLines="0" workbookViewId="0">
      <selection activeCell="A5" sqref="A5"/>
    </sheetView>
  </sheetViews>
  <sheetFormatPr defaultRowHeight="14.5" x14ac:dyDescent="0.35"/>
  <cols>
    <col min="1" max="1" width="47.36328125" customWidth="1"/>
    <col min="2" max="2" width="9.81640625" bestFit="1" customWidth="1"/>
    <col min="3" max="3" width="5.1796875" bestFit="1" customWidth="1"/>
  </cols>
  <sheetData>
    <row r="1" spans="1:4" x14ac:dyDescent="0.35">
      <c r="A1" s="9" t="s">
        <v>45</v>
      </c>
    </row>
    <row r="2" spans="1:4" x14ac:dyDescent="0.35">
      <c r="A2" s="1" t="s">
        <v>102</v>
      </c>
      <c r="B2" s="8">
        <v>299792458</v>
      </c>
      <c r="C2" t="s">
        <v>44</v>
      </c>
    </row>
    <row r="3" spans="1:4" ht="16.5" x14ac:dyDescent="0.45">
      <c r="A3" s="1" t="s">
        <v>66</v>
      </c>
      <c r="B3" s="8">
        <v>17.2</v>
      </c>
      <c r="C3" s="3" t="s">
        <v>25</v>
      </c>
    </row>
    <row r="4" spans="1:4" ht="16.5" x14ac:dyDescent="0.45">
      <c r="A4" s="1" t="s">
        <v>67</v>
      </c>
      <c r="B4" s="8">
        <v>39.9</v>
      </c>
      <c r="C4" s="3" t="s">
        <v>25</v>
      </c>
    </row>
    <row r="5" spans="1:4" ht="16.5" x14ac:dyDescent="0.45">
      <c r="A5" s="1" t="s">
        <v>64</v>
      </c>
      <c r="B5" s="29">
        <v>4.0400000000000002E-3</v>
      </c>
      <c r="C5" t="s">
        <v>43</v>
      </c>
    </row>
    <row r="6" spans="1:4" ht="16.5" x14ac:dyDescent="0.45">
      <c r="A6" s="1" t="s">
        <v>65</v>
      </c>
      <c r="B6" s="29">
        <v>3.8999999999999998E-3</v>
      </c>
      <c r="C6" t="s">
        <v>43</v>
      </c>
    </row>
    <row r="7" spans="1:4" ht="16.5" x14ac:dyDescent="0.45">
      <c r="A7" s="1" t="s">
        <v>72</v>
      </c>
      <c r="B7" s="39">
        <v>30000</v>
      </c>
      <c r="C7" t="s">
        <v>73</v>
      </c>
    </row>
    <row r="9" spans="1:4" x14ac:dyDescent="0.35">
      <c r="A9" s="1" t="s">
        <v>59</v>
      </c>
      <c r="B9" s="30">
        <f>ρcu*(1+αcu*(Tmax-20))</f>
        <v>19.28464</v>
      </c>
      <c r="C9" s="3" t="s">
        <v>25</v>
      </c>
    </row>
    <row r="10" spans="1:4" x14ac:dyDescent="0.35">
      <c r="A10" s="1" t="s">
        <v>29</v>
      </c>
      <c r="B10" s="30">
        <f>ρal*(1+αal*(Tmax-20))</f>
        <v>44.568300000000001</v>
      </c>
      <c r="C10" s="3" t="s">
        <v>25</v>
      </c>
    </row>
    <row r="11" spans="1:4" x14ac:dyDescent="0.35">
      <c r="A11" s="1" t="s">
        <v>60</v>
      </c>
      <c r="B11" s="30">
        <f>IF(WGMaterial="Aluminum",ρalmaxT,ρcumaxT)</f>
        <v>44.568300000000001</v>
      </c>
      <c r="C11" s="3" t="s">
        <v>25</v>
      </c>
      <c r="D11" t="str">
        <f>WGMaterial</f>
        <v>Aluminum</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34</vt:i4>
      </vt:variant>
    </vt:vector>
  </HeadingPairs>
  <TitlesOfParts>
    <vt:vector size="38" baseType="lpstr">
      <vt:lpstr>Waveguide Loss</vt:lpstr>
      <vt:lpstr>Waveguide Datasheet</vt:lpstr>
      <vt:lpstr>Plot Data</vt:lpstr>
      <vt:lpstr>Constants</vt:lpstr>
      <vt:lpstr>_c</vt:lpstr>
      <vt:lpstr>_fc</vt:lpstr>
      <vt:lpstr>a</vt:lpstr>
      <vt:lpstr>a_range</vt:lpstr>
      <vt:lpstr>attenchartfmin</vt:lpstr>
      <vt:lpstr>AttenChartTitle</vt:lpstr>
      <vt:lpstr>b</vt:lpstr>
      <vt:lpstr>b_range</vt:lpstr>
      <vt:lpstr>Emax</vt:lpstr>
      <vt:lpstr>fmax</vt:lpstr>
      <vt:lpstr>fmax_pc</vt:lpstr>
      <vt:lpstr>fmin</vt:lpstr>
      <vt:lpstr>fmin_pc</vt:lpstr>
      <vt:lpstr>fWGL</vt:lpstr>
      <vt:lpstr>MaxPower</vt:lpstr>
      <vt:lpstr>Percent_max</vt:lpstr>
      <vt:lpstr>Pinmax_dBm</vt:lpstr>
      <vt:lpstr>Pinmax_w</vt:lpstr>
      <vt:lpstr>'Waveguide Loss'!Print_Area</vt:lpstr>
      <vt:lpstr>Tmax</vt:lpstr>
      <vt:lpstr>WGMaterial</vt:lpstr>
      <vt:lpstr>WGSelect</vt:lpstr>
      <vt:lpstr>αal</vt:lpstr>
      <vt:lpstr>αcu</vt:lpstr>
      <vt:lpstr>αfmax</vt:lpstr>
      <vt:lpstr>αfmin</vt:lpstr>
      <vt:lpstr>λ0</vt:lpstr>
      <vt:lpstr>λC</vt:lpstr>
      <vt:lpstr>λg</vt:lpstr>
      <vt:lpstr>ρal</vt:lpstr>
      <vt:lpstr>ρalmaxT</vt:lpstr>
      <vt:lpstr>ρcu</vt:lpstr>
      <vt:lpstr>ρcumaxT</vt:lpstr>
      <vt:lpstr>ρselmaxT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Oldhack EE</dc:creator>
  <cp:lastModifiedBy>Oldhack EE</cp:lastModifiedBy>
  <dcterms:created xsi:type="dcterms:W3CDTF">2024-07-26T20:51:48Z</dcterms:created>
  <dcterms:modified xsi:type="dcterms:W3CDTF">2024-10-12T18:44:43Z</dcterms:modified>
</cp:coreProperties>
</file>