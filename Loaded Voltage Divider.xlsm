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c1699b8cd4d2a22/Documents/Terry's Presentations/Basics/Loaded Voltage Divider/"/>
    </mc:Choice>
  </mc:AlternateContent>
  <xr:revisionPtr revIDLastSave="549" documentId="8_{CE358729-6764-4774-9ACA-E2A297E9375E}" xr6:coauthVersionLast="47" xr6:coauthVersionMax="47" xr10:uidLastSave="{88806533-250A-4A41-AE6F-EFBADB30BF5D}"/>
  <bookViews>
    <workbookView xWindow="-28740" yWindow="330" windowWidth="26130" windowHeight="14370" xr2:uid="{00000000-000D-0000-FFFF-FFFF00000000}"/>
  </bookViews>
  <sheets>
    <sheet name="RL Known" sheetId="1" r:id="rId1"/>
  </sheets>
  <functionGroups builtInGroupCount="19"/>
  <definedNames>
    <definedName name="CseriesSel">'RL Known'!$B$5</definedName>
    <definedName name="IDIV">'RL Known'!$C$4</definedName>
    <definedName name="RA">'RL Known'!$C$8</definedName>
    <definedName name="RB">'RL Known'!$C$9</definedName>
    <definedName name="RL">'RL Known'!$C$5</definedName>
    <definedName name="Rseries">'RL Known'!$O$9</definedName>
    <definedName name="RseriesSel">'RL Known'!$C$6</definedName>
    <definedName name="VIN">'RL Known'!$C$2</definedName>
    <definedName name="VORES">'RL Known'!$C$11</definedName>
    <definedName name="VOUT">'RL Known'!$C$3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1" l="1" a="1"/>
  <c r="O9" i="1" s="1"/>
  <c r="S4" i="1" a="1"/>
  <c r="C8" i="1" a="1"/>
  <c r="C8" i="1" l="1"/>
  <c r="S4" i="1"/>
  <c r="C9" i="1" a="1"/>
  <c r="S2" i="1" a="1"/>
  <c r="C9" i="1" l="1"/>
  <c r="S2" i="1"/>
  <c r="S3" i="1" a="1"/>
  <c r="S3" i="1" l="1"/>
  <c r="C11" i="1"/>
  <c r="C1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<sst xmlns="http://schemas.openxmlformats.org/spreadsheetml/2006/main" count="38" uniqueCount="30">
  <si>
    <t>Loaded Voltage Divider</t>
  </si>
  <si>
    <t>Input Voltage</t>
  </si>
  <si>
    <t>Output Voltage</t>
  </si>
  <si>
    <t>Divider Current</t>
  </si>
  <si>
    <r>
      <t>(I</t>
    </r>
    <r>
      <rPr>
        <vertAlign val="subscript"/>
        <sz val="11"/>
        <color theme="1"/>
        <rFont val="Calibri"/>
        <family val="2"/>
        <scheme val="minor"/>
      </rPr>
      <t>DIV</t>
    </r>
    <r>
      <rPr>
        <sz val="11"/>
        <color theme="1"/>
        <rFont val="Calibri"/>
        <family val="2"/>
      </rPr>
      <t>)</t>
    </r>
  </si>
  <si>
    <r>
      <t>(V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</rPr>
      <t>)</t>
    </r>
  </si>
  <si>
    <r>
      <t>(V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</rPr>
      <t>)</t>
    </r>
  </si>
  <si>
    <r>
      <t>(R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</rPr>
      <t>)</t>
    </r>
  </si>
  <si>
    <r>
      <t>(R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</rPr>
      <t>)</t>
    </r>
  </si>
  <si>
    <r>
      <t>(R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</rPr>
      <t>)</t>
    </r>
  </si>
  <si>
    <t>Load Resistance</t>
  </si>
  <si>
    <t>Top Resistor</t>
  </si>
  <si>
    <t>Bottom Resistor</t>
  </si>
  <si>
    <r>
      <t>(V</t>
    </r>
    <r>
      <rPr>
        <vertAlign val="subscript"/>
        <sz val="11"/>
        <color theme="1"/>
        <rFont val="Calibri"/>
        <family val="2"/>
        <scheme val="minor"/>
      </rPr>
      <t>ORES</t>
    </r>
    <r>
      <rPr>
        <sz val="11"/>
        <color theme="1"/>
        <rFont val="Calibri"/>
        <family val="2"/>
      </rPr>
      <t>)</t>
    </r>
  </si>
  <si>
    <t>Error</t>
  </si>
  <si>
    <t>Ω</t>
  </si>
  <si>
    <t>V</t>
  </si>
  <si>
    <t>A</t>
  </si>
  <si>
    <t>Component Series Lookup</t>
  </si>
  <si>
    <t>E3 (40%)</t>
  </si>
  <si>
    <t>E6 (20%)</t>
  </si>
  <si>
    <t>E12 (10%)</t>
  </si>
  <si>
    <t>E24 (5%)</t>
  </si>
  <si>
    <t>E48 (2%)</t>
  </si>
  <si>
    <t>E96 (1%)</t>
  </si>
  <si>
    <t>E192 (&lt;= 0.5%)</t>
  </si>
  <si>
    <t>Resistor Series</t>
  </si>
  <si>
    <t>Resultant Output Voltage</t>
  </si>
  <si>
    <t>Schematic Values</t>
  </si>
  <si>
    <t>Selected Resistor Series Argument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</si>
</sst>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0.00E+0"/>
    <numFmt numFmtId="165" formatCode="0.0000%"/>
  </numFmts>
  <fonts count="8" x14ac:knownFonts="1">
    <font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theme="1"/>
      <name val="Calibri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0" fontId="4" fillId="2" borderId="1">
      <alignment horizontal="center" vertical="center"/>
      <protection locked="0"/>
    </xf>
    <xf numFmtId="0" fontId="4" fillId="6" borderId="1">
      <alignment horizontal="center" vertical="center"/>
    </xf>
    <xf numFmtId="0" fontId="4" fillId="3" borderId="1">
      <alignment horizontal="center" vertical="center"/>
    </xf>
    <xf numFmtId="0" fontId="4" fillId="4" borderId="1">
      <alignment horizontal="center" vertical="center"/>
    </xf>
    <xf numFmtId="0" fontId="5" fillId="5" borderId="1" applyProtection="0">
      <alignment horizontal="center" vertical="center"/>
    </xf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2" borderId="1" xfId="2">
      <alignment horizontal="center" vertical="center"/>
      <protection locked="0"/>
    </xf>
    <xf numFmtId="0" fontId="4" fillId="6" borderId="1" xfId="3">
      <alignment horizontal="center" vertical="center"/>
    </xf>
    <xf numFmtId="164" fontId="4" fillId="2" borderId="1" xfId="2" applyNumberFormat="1">
      <alignment horizontal="center" vertical="center"/>
      <protection locked="0"/>
    </xf>
    <xf numFmtId="0" fontId="6" fillId="0" borderId="0" xfId="0" applyFont="1"/>
    <xf numFmtId="165" fontId="4" fillId="6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wrapText="1"/>
    </xf>
    <xf numFmtId="0" fontId="7" fillId="0" borderId="1" xfId="0" applyFont="1" applyBorder="1" applyAlignment="1">
      <alignment vertical="center"/>
    </xf>
  </cellXfs>
  <cellStyles count="7">
    <cellStyle name="INPUTS" xfId="2" xr:uid="{3B93D7A5-89F4-4FB3-BE71-D675D80D3B2D}"/>
    <cellStyle name="Normal" xfId="0" builtinId="0" customBuiltin="1"/>
    <cellStyle name="OUTPUTS" xfId="3" xr:uid="{2ABDCA7F-30E7-40ED-8832-B5A8B078C14C}"/>
    <cellStyle name="Percent" xfId="1" builtinId="5"/>
    <cellStyle name="REFERENCE" xfId="4" xr:uid="{20DDD2DB-CC30-4537-A3F0-F1C0101FD1BC}"/>
    <cellStyle name="SPECS" xfId="5" xr:uid="{6221AD05-955B-4B40-B7A0-CAE9C81114FB}"/>
    <cellStyle name="UNPROTECTED OUTPUTS" xfId="6" xr:uid="{1CB7769D-5F1F-438C-BE38-C0A9935C328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215900</xdr:colOff>
      <xdr:row>7</xdr:row>
      <xdr:rowOff>66675</xdr:rowOff>
    </xdr:from>
    <xdr:ext cx="1023037" cy="3455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0F8BE1-B4CC-DDFA-3D0E-40AAC0BBFFA8}"/>
                </a:ext>
              </a:extLst>
            </xdr:cNvPr>
            <xdr:cNvSpPr txBox="1"/>
          </xdr:nvSpPr>
          <xdr:spPr>
            <a:xfrm>
              <a:off x="2305050" y="1457325"/>
              <a:ext cx="1023037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𝑂𝑈𝑇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𝐼𝑁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𝐷𝐼𝑉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0F8BE1-B4CC-DDFA-3D0E-40AAC0BBFFA8}"/>
                </a:ext>
              </a:extLst>
            </xdr:cNvPr>
            <xdr:cNvSpPr txBox="1"/>
          </xdr:nvSpPr>
          <xdr:spPr>
            <a:xfrm>
              <a:off x="2305050" y="1457325"/>
              <a:ext cx="1023037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𝑅_𝐴=(𝑉_𝑂𝑈𝑇−𝑉_𝐼𝑁)/𝐼_𝐷𝐼𝑉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215900</xdr:colOff>
      <xdr:row>10</xdr:row>
      <xdr:rowOff>9525</xdr:rowOff>
    </xdr:from>
    <xdr:ext cx="1239314" cy="4801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38260DE-2F5D-B072-9420-473F1618D327}"/>
                </a:ext>
              </a:extLst>
            </xdr:cNvPr>
            <xdr:cNvSpPr txBox="1"/>
          </xdr:nvSpPr>
          <xdr:spPr>
            <a:xfrm>
              <a:off x="2305050" y="2562225"/>
              <a:ext cx="1239314" cy="480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𝑂𝑈𝑇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𝐼𝑁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sub>
                            </m:sSub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𝐵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38260DE-2F5D-B072-9420-473F1618D327}"/>
                </a:ext>
              </a:extLst>
            </xdr:cNvPr>
            <xdr:cNvSpPr txBox="1"/>
          </xdr:nvSpPr>
          <xdr:spPr>
            <a:xfrm>
              <a:off x="2305050" y="2562225"/>
              <a:ext cx="1239314" cy="480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𝑉_𝑂𝑈𝑇=𝑉_𝐼𝑁/(1+𝑅_𝐴/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𝑅_𝐿 </a:t>
              </a:r>
              <a:r>
                <a:rPr lang="en-US" sz="1100" b="0" i="0">
                  <a:latin typeface="Cambria Math" panose="02040503050406030204" pitchFamily="18" charset="0"/>
                </a:rPr>
                <a:t>+𝑅_𝐴/𝑅_𝐵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190500</xdr:colOff>
      <xdr:row>8</xdr:row>
      <xdr:rowOff>3175</xdr:rowOff>
    </xdr:from>
    <xdr:ext cx="1239314" cy="481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925D8430-5565-EA43-4092-D2A1A581AE32}"/>
                </a:ext>
              </a:extLst>
            </xdr:cNvPr>
            <xdr:cNvSpPr txBox="1"/>
          </xdr:nvSpPr>
          <xdr:spPr>
            <a:xfrm>
              <a:off x="2279650" y="1870075"/>
              <a:ext cx="1239314" cy="481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</m:num>
                      <m:den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𝐼𝑁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𝑂𝑈𝑇</m:t>
                                </m:r>
                              </m:sub>
                            </m:sSub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925D8430-5565-EA43-4092-D2A1A581AE32}"/>
                </a:ext>
              </a:extLst>
            </xdr:cNvPr>
            <xdr:cNvSpPr txBox="1"/>
          </xdr:nvSpPr>
          <xdr:spPr>
            <a:xfrm>
              <a:off x="2279650" y="1870075"/>
              <a:ext cx="1239314" cy="481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𝑅_𝐵=𝑅_𝐴/(𝑉_𝐼𝑁/𝑉_𝑂𝑈𝑇 −𝑅_𝐴/𝑅_𝐿 −1)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241300</xdr:colOff>
      <xdr:row>0</xdr:row>
      <xdr:rowOff>139700</xdr:rowOff>
    </xdr:from>
    <xdr:to>
      <xdr:col>7</xdr:col>
      <xdr:colOff>438150</xdr:colOff>
      <xdr:row>9</xdr:row>
      <xdr:rowOff>26100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6393D3BA-E081-4348-C658-6D74E2235D69}"/>
            </a:ext>
          </a:extLst>
        </xdr:cNvPr>
        <xdr:cNvGrpSpPr/>
      </xdr:nvGrpSpPr>
      <xdr:grpSpPr>
        <a:xfrm>
          <a:off x="4343400" y="142875"/>
          <a:ext cx="2028825" cy="2248600"/>
          <a:chOff x="3937000" y="107950"/>
          <a:chExt cx="2025650" cy="2254950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8C0E5AF8-8C1D-27E5-AD0E-3444A959D1FF}"/>
              </a:ext>
            </a:extLst>
          </xdr:cNvPr>
          <xdr:cNvGrpSpPr/>
        </xdr:nvGrpSpPr>
        <xdr:grpSpPr>
          <a:xfrm>
            <a:off x="4057650" y="107950"/>
            <a:ext cx="1905000" cy="2254950"/>
            <a:chOff x="3073400" y="1843262"/>
            <a:chExt cx="1905000" cy="1609275"/>
          </a:xfrm>
        </xdr:grpSpPr>
        <xdr:pic>
          <xdr:nvPicPr>
            <xdr:cNvPr id="4" name="Graphic 3">
              <a:extLst>
                <a:ext uri="{FF2B5EF4-FFF2-40B4-BE49-F238E27FC236}">
                  <a16:creationId xmlns:a16="http://schemas.microsoft.com/office/drawing/2014/main" id="{2672C9D0-DC9C-AB05-A58C-14ED3675C73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3251220" y="1843262"/>
              <a:ext cx="1368171" cy="1609275"/>
            </a:xfrm>
            <a:prstGeom prst="rect">
              <a:avLst/>
            </a:prstGeom>
          </xdr:spPr>
        </xdr:pic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5" name="TextBox 4">
                  <a:extLst>
                    <a:ext uri="{FF2B5EF4-FFF2-40B4-BE49-F238E27FC236}">
                      <a16:creationId xmlns:a16="http://schemas.microsoft.com/office/drawing/2014/main" id="{D2BECDC1-7D21-4B23-EAD2-B2B6C8553816}"/>
                    </a:ext>
                  </a:extLst>
                </xdr:cNvPr>
                <xdr:cNvSpPr txBox="1"/>
              </xdr:nvSpPr>
              <xdr:spPr>
                <a:xfrm>
                  <a:off x="3302000" y="2070644"/>
                  <a:ext cx="238463" cy="21916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spAutoFit/>
                </a:bodyPr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</m:oMath>
                    </m:oMathPara>
                  </a14:m>
                  <a:endParaRPr lang="en-US" sz="1400"/>
                </a:p>
              </xdr:txBody>
            </xdr:sp>
          </mc:Choice>
          <mc:Fallback xmlns="">
            <xdr:sp macro="" textlink="">
              <xdr:nvSpPr>
                <xdr:cNvPr id="5" name="TextBox 4">
                  <a:extLst>
                    <a:ext uri="{FF2B5EF4-FFF2-40B4-BE49-F238E27FC236}">
                      <a16:creationId xmlns:a16="http://schemas.microsoft.com/office/drawing/2014/main" id="{D2BECDC1-7D21-4B23-EAD2-B2B6C8553816}"/>
                    </a:ext>
                  </a:extLst>
                </xdr:cNvPr>
                <xdr:cNvSpPr txBox="1"/>
              </xdr:nvSpPr>
              <xdr:spPr>
                <a:xfrm>
                  <a:off x="3302000" y="2070644"/>
                  <a:ext cx="238463" cy="21916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spAutoFit/>
                </a:bodyPr>
                <a:lstStyle/>
                <a:p>
                  <a:pPr/>
                  <a:r>
                    <a:rPr lang="en-US" sz="1400" b="0" i="0">
                      <a:latin typeface="Cambria Math" panose="02040503050406030204" pitchFamily="18" charset="0"/>
                    </a:rPr>
                    <a:t>𝑅_𝐴</a:t>
                  </a:r>
                  <a:endParaRPr lang="en-US" sz="14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6" name="TextBox 5">
                  <a:extLst>
                    <a:ext uri="{FF2B5EF4-FFF2-40B4-BE49-F238E27FC236}">
                      <a16:creationId xmlns:a16="http://schemas.microsoft.com/office/drawing/2014/main" id="{BACBFA60-2CEB-940D-7F96-949B6EB006A3}"/>
                    </a:ext>
                  </a:extLst>
                </xdr:cNvPr>
                <xdr:cNvSpPr txBox="1"/>
              </xdr:nvSpPr>
              <xdr:spPr>
                <a:xfrm>
                  <a:off x="3295650" y="2604238"/>
                  <a:ext cx="251736" cy="21916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spAutoFit/>
                </a:bodyPr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</m:sSub>
                      </m:oMath>
                    </m:oMathPara>
                  </a14:m>
                  <a:endParaRPr lang="en-US" sz="1400"/>
                </a:p>
              </xdr:txBody>
            </xdr:sp>
          </mc:Choice>
          <mc:Fallback xmlns="">
            <xdr:sp macro="" textlink="">
              <xdr:nvSpPr>
                <xdr:cNvPr id="6" name="TextBox 5">
                  <a:extLst>
                    <a:ext uri="{FF2B5EF4-FFF2-40B4-BE49-F238E27FC236}">
                      <a16:creationId xmlns:a16="http://schemas.microsoft.com/office/drawing/2014/main" id="{BACBFA60-2CEB-940D-7F96-949B6EB006A3}"/>
                    </a:ext>
                  </a:extLst>
                </xdr:cNvPr>
                <xdr:cNvSpPr txBox="1"/>
              </xdr:nvSpPr>
              <xdr:spPr>
                <a:xfrm>
                  <a:off x="3295650" y="2604238"/>
                  <a:ext cx="251736" cy="21916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spAutoFit/>
                </a:bodyPr>
                <a:lstStyle/>
                <a:p>
                  <a:pPr/>
                  <a:r>
                    <a:rPr lang="en-US" sz="1400" b="0" i="0">
                      <a:latin typeface="Cambria Math" panose="02040503050406030204" pitchFamily="18" charset="0"/>
                    </a:rPr>
                    <a:t>𝑅_𝐵</a:t>
                  </a:r>
                  <a:endParaRPr lang="en-US" sz="14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7" name="TextBox 6">
                  <a:extLst>
                    <a:ext uri="{FF2B5EF4-FFF2-40B4-BE49-F238E27FC236}">
                      <a16:creationId xmlns:a16="http://schemas.microsoft.com/office/drawing/2014/main" id="{E9678D66-644D-DAF4-0DF5-A2D0A8E1F64B}"/>
                    </a:ext>
                  </a:extLst>
                </xdr:cNvPr>
                <xdr:cNvSpPr txBox="1"/>
              </xdr:nvSpPr>
              <xdr:spPr>
                <a:xfrm>
                  <a:off x="4318000" y="2604239"/>
                  <a:ext cx="234551" cy="21916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spAutoFit/>
                </a:bodyPr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sub>
                        </m:sSub>
                      </m:oMath>
                    </m:oMathPara>
                  </a14:m>
                  <a:endParaRPr lang="en-US" sz="1400"/>
                </a:p>
              </xdr:txBody>
            </xdr:sp>
          </mc:Choice>
          <mc:Fallback xmlns="">
            <xdr:sp macro="" textlink="">
              <xdr:nvSpPr>
                <xdr:cNvPr id="7" name="TextBox 6">
                  <a:extLst>
                    <a:ext uri="{FF2B5EF4-FFF2-40B4-BE49-F238E27FC236}">
                      <a16:creationId xmlns:a16="http://schemas.microsoft.com/office/drawing/2014/main" id="{E9678D66-644D-DAF4-0DF5-A2D0A8E1F64B}"/>
                    </a:ext>
                  </a:extLst>
                </xdr:cNvPr>
                <xdr:cNvSpPr txBox="1"/>
              </xdr:nvSpPr>
              <xdr:spPr>
                <a:xfrm>
                  <a:off x="4318000" y="2604239"/>
                  <a:ext cx="234551" cy="21916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spAutoFit/>
                </a:bodyPr>
                <a:lstStyle/>
                <a:p>
                  <a:pPr/>
                  <a:r>
                    <a:rPr lang="en-US" sz="1400" b="0" i="0">
                      <a:latin typeface="Cambria Math" panose="02040503050406030204" pitchFamily="18" charset="0"/>
                    </a:rPr>
                    <a:t>𝑅_𝐿</a:t>
                  </a:r>
                  <a:endParaRPr lang="en-US" sz="14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8" name="TextBox 7">
                  <a:extLst>
                    <a:ext uri="{FF2B5EF4-FFF2-40B4-BE49-F238E27FC236}">
                      <a16:creationId xmlns:a16="http://schemas.microsoft.com/office/drawing/2014/main" id="{4B191970-8C00-7272-5504-9DD147C2C489}"/>
                    </a:ext>
                  </a:extLst>
                </xdr:cNvPr>
                <xdr:cNvSpPr txBox="1"/>
              </xdr:nvSpPr>
              <xdr:spPr>
                <a:xfrm>
                  <a:off x="3073400" y="1863725"/>
                  <a:ext cx="289759" cy="21916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spAutoFit/>
                </a:bodyPr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𝐼𝑁</m:t>
                            </m:r>
                          </m:sub>
                        </m:sSub>
                      </m:oMath>
                    </m:oMathPara>
                  </a14:m>
                  <a:endParaRPr lang="en-US" sz="1400"/>
                </a:p>
              </xdr:txBody>
            </xdr:sp>
          </mc:Choice>
          <mc:Fallback xmlns="">
            <xdr:sp macro="" textlink="">
              <xdr:nvSpPr>
                <xdr:cNvPr id="8" name="TextBox 7">
                  <a:extLst>
                    <a:ext uri="{FF2B5EF4-FFF2-40B4-BE49-F238E27FC236}">
                      <a16:creationId xmlns:a16="http://schemas.microsoft.com/office/drawing/2014/main" id="{4B191970-8C00-7272-5504-9DD147C2C489}"/>
                    </a:ext>
                  </a:extLst>
                </xdr:cNvPr>
                <xdr:cNvSpPr txBox="1"/>
              </xdr:nvSpPr>
              <xdr:spPr>
                <a:xfrm>
                  <a:off x="3073400" y="1863725"/>
                  <a:ext cx="289759" cy="21916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spAutoFit/>
                </a:bodyPr>
                <a:lstStyle/>
                <a:p>
                  <a:pPr/>
                  <a:r>
                    <a:rPr lang="en-US" sz="1400" b="0" i="0">
                      <a:latin typeface="Cambria Math" panose="02040503050406030204" pitchFamily="18" charset="0"/>
                    </a:rPr>
                    <a:t>𝑉_𝐼𝑁</a:t>
                  </a:r>
                  <a:endParaRPr lang="en-US" sz="14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9" name="TextBox 8">
                  <a:extLst>
                    <a:ext uri="{FF2B5EF4-FFF2-40B4-BE49-F238E27FC236}">
                      <a16:creationId xmlns:a16="http://schemas.microsoft.com/office/drawing/2014/main" id="{CBF96A65-6D8F-9959-4CFB-C2A4423A23C2}"/>
                    </a:ext>
                  </a:extLst>
                </xdr:cNvPr>
                <xdr:cNvSpPr txBox="1"/>
              </xdr:nvSpPr>
              <xdr:spPr>
                <a:xfrm>
                  <a:off x="4533900" y="2415418"/>
                  <a:ext cx="444500" cy="282575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noAutofit/>
                </a:bodyPr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𝑂𝑈𝑇</m:t>
                            </m:r>
                          </m:sub>
                        </m:sSub>
                      </m:oMath>
                    </m:oMathPara>
                  </a14:m>
                  <a:endParaRPr lang="en-US" sz="1400"/>
                </a:p>
              </xdr:txBody>
            </xdr:sp>
          </mc:Choice>
          <mc:Fallback xmlns="">
            <xdr:sp macro="" textlink="">
              <xdr:nvSpPr>
                <xdr:cNvPr id="9" name="TextBox 8">
                  <a:extLst>
                    <a:ext uri="{FF2B5EF4-FFF2-40B4-BE49-F238E27FC236}">
                      <a16:creationId xmlns:a16="http://schemas.microsoft.com/office/drawing/2014/main" id="{CBF96A65-6D8F-9959-4CFB-C2A4423A23C2}"/>
                    </a:ext>
                  </a:extLst>
                </xdr:cNvPr>
                <xdr:cNvSpPr txBox="1"/>
              </xdr:nvSpPr>
              <xdr:spPr>
                <a:xfrm>
                  <a:off x="4533900" y="2415418"/>
                  <a:ext cx="444500" cy="282575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0" tIns="0" rIns="0" bIns="0" rtlCol="0" anchor="t">
                  <a:noAutofit/>
                </a:bodyPr>
                <a:lstStyle/>
                <a:p>
                  <a:pPr/>
                  <a:r>
                    <a:rPr lang="en-US" sz="1400" b="0" i="0">
                      <a:latin typeface="Cambria Math" panose="02040503050406030204" pitchFamily="18" charset="0"/>
                    </a:rPr>
                    <a:t>𝑉_𝑂𝑈𝑇</a:t>
                  </a:r>
                  <a:endParaRPr lang="en-US" sz="1400"/>
                </a:p>
              </xdr:txBody>
            </xdr:sp>
          </mc:Fallback>
        </mc:AlternateContent>
      </xdr:grpSp>
      <xdr:sp macro="" textlink="$S$2">
        <xdr:nvSpPr>
          <xdr:cNvPr id="2" name="TextBox 1">
            <a:extLst>
              <a:ext uri="{FF2B5EF4-FFF2-40B4-BE49-F238E27FC236}">
                <a16:creationId xmlns:a16="http://schemas.microsoft.com/office/drawing/2014/main" id="{53C411DC-06E0-77FF-C294-B575DC024DFD}"/>
              </a:ext>
            </a:extLst>
          </xdr:cNvPr>
          <xdr:cNvSpPr txBox="1"/>
        </xdr:nvSpPr>
        <xdr:spPr>
          <a:xfrm>
            <a:off x="3957089" y="608128"/>
            <a:ext cx="62959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r"/>
            <a:fld id="{052A4033-A321-4826-9213-035761B2674E}" type="TxLink">
              <a:rPr lang="en-US" sz="1200" b="0" i="0" u="none" strike="noStrike">
                <a:solidFill>
                  <a:srgbClr val="0070C0"/>
                </a:solidFill>
                <a:latin typeface="Calibri"/>
                <a:ea typeface="Calibri"/>
                <a:cs typeface="Calibri"/>
              </a:rPr>
              <a:pPr algn="r"/>
              <a:t>5.23kΩ</a:t>
            </a:fld>
            <a:endParaRPr lang="en-US" sz="1200">
              <a:solidFill>
                <a:srgbClr val="0070C0"/>
              </a:solidFill>
            </a:endParaRPr>
          </a:p>
        </xdr:txBody>
      </xdr:sp>
      <xdr:sp macro="" textlink="$S$3">
        <xdr:nvSpPr>
          <xdr:cNvPr id="15" name="TextBox 14">
            <a:extLst>
              <a:ext uri="{FF2B5EF4-FFF2-40B4-BE49-F238E27FC236}">
                <a16:creationId xmlns:a16="http://schemas.microsoft.com/office/drawing/2014/main" id="{2D56A521-2CDB-E6C2-8AE3-66589DCC874B}"/>
              </a:ext>
            </a:extLst>
          </xdr:cNvPr>
          <xdr:cNvSpPr txBox="1"/>
        </xdr:nvSpPr>
        <xdr:spPr>
          <a:xfrm>
            <a:off x="3937000" y="1363778"/>
            <a:ext cx="64968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marL="0" indent="0" algn="r"/>
            <a:fld id="{AF851FCE-1DF9-4FC3-AE1E-FC2732F93722}" type="TxLink">
              <a:rPr lang="en-US" sz="1200" b="0" i="0" u="none" strike="noStrike">
                <a:solidFill>
                  <a:srgbClr val="0070C0"/>
                </a:solidFill>
                <a:latin typeface="Calibri"/>
                <a:ea typeface="Calibri"/>
                <a:cs typeface="Calibri"/>
              </a:rPr>
              <a:pPr marL="0" indent="0" algn="r"/>
              <a:t>9.31kΩ</a:t>
            </a:fld>
            <a:endParaRPr lang="en-US" sz="1200" b="0" i="0" u="none" strike="noStrike">
              <a:solidFill>
                <a:srgbClr val="0070C0"/>
              </a:solidFill>
              <a:latin typeface="Calibri"/>
              <a:ea typeface="Calibri"/>
              <a:cs typeface="Calibri"/>
            </a:endParaRPr>
          </a:p>
        </xdr:txBody>
      </xdr:sp>
      <xdr:sp macro="" textlink="$S$4">
        <xdr:nvSpPr>
          <xdr:cNvPr id="16" name="TextBox 15">
            <a:extLst>
              <a:ext uri="{FF2B5EF4-FFF2-40B4-BE49-F238E27FC236}">
                <a16:creationId xmlns:a16="http://schemas.microsoft.com/office/drawing/2014/main" id="{242B01D5-B61C-A1B8-ADEF-5296633481F2}"/>
              </a:ext>
            </a:extLst>
          </xdr:cNvPr>
          <xdr:cNvSpPr txBox="1"/>
        </xdr:nvSpPr>
        <xdr:spPr>
          <a:xfrm>
            <a:off x="5235966" y="1363778"/>
            <a:ext cx="51276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marL="0" indent="0" algn="l"/>
            <a:fld id="{B854D32A-412F-478B-B739-F585B9936097}" type="TxLink">
              <a:rPr lang="en-US" sz="1200" b="0" i="0" u="none" strike="noStrike">
                <a:solidFill>
                  <a:srgbClr val="0070C0"/>
                </a:solidFill>
                <a:latin typeface="Calibri"/>
                <a:ea typeface="Calibri"/>
                <a:cs typeface="Calibri"/>
              </a:rPr>
              <a:pPr marL="0" indent="0" algn="l"/>
              <a:t>10kΩ</a:t>
            </a:fld>
            <a:endParaRPr lang="en-US" sz="1200" b="0" i="0" u="none" strike="noStrike">
              <a:solidFill>
                <a:srgbClr val="0070C0"/>
              </a:solidFill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4"/>
  <sheetViews>
    <sheetView showGridLines="0" tabSelected="1" workbookViewId="0">
      <selection activeCell="C2" sqref="C2"/>
    </sheetView>
  </sheetViews>
  <sheetFormatPr defaultRowHeight="14.5" x14ac:dyDescent="0.35"/>
  <cols>
    <col min="1" max="1" width="14.453125" customWidth="1"/>
    <col min="2" max="2" width="6.08984375" bestFit="1" customWidth="1"/>
    <col min="3" max="3" width="14.08984375" customWidth="1"/>
    <col min="4" max="4" width="24.08984375" customWidth="1"/>
    <col min="5" max="13" width="8.7265625" customWidth="1"/>
    <col min="14" max="14" width="13.6328125" customWidth="1"/>
    <col min="15" max="15" width="1.81640625" bestFit="1" customWidth="1"/>
    <col min="16" max="16" width="8.7265625" customWidth="1"/>
  </cols>
  <sheetData>
    <row r="1" spans="1:19" x14ac:dyDescent="0.35">
      <c r="A1" s="1" t="s">
        <v>0</v>
      </c>
      <c r="N1" s="8" t="s">
        <v>18</v>
      </c>
      <c r="R1" s="8" t="s">
        <v>28</v>
      </c>
    </row>
    <row r="2" spans="1:19" ht="16.5" x14ac:dyDescent="0.35">
      <c r="A2" s="2" t="s">
        <v>1</v>
      </c>
      <c r="B2" s="4" t="s">
        <v>6</v>
      </c>
      <c r="C2" s="5">
        <v>10</v>
      </c>
      <c r="D2" s="3" t="s">
        <v>16</v>
      </c>
      <c r="N2" t="s">
        <v>19</v>
      </c>
      <c r="O2" s="3">
        <v>1</v>
      </c>
      <c r="R2" s="4" t="s">
        <v>7</v>
      </c>
      <c r="S2" t="str" cm="1">
        <f t="array" ref="S2">EngPrefix(RA)&amp;"Ω"</f>
        <v>5.23kΩ</v>
      </c>
    </row>
    <row r="3" spans="1:19" ht="16.5" x14ac:dyDescent="0.35">
      <c r="A3" s="2" t="s">
        <v>2</v>
      </c>
      <c r="B3" s="4" t="s">
        <v>5</v>
      </c>
      <c r="C3" s="5">
        <v>4.8</v>
      </c>
      <c r="D3" s="3" t="s">
        <v>16</v>
      </c>
      <c r="N3" t="s">
        <v>20</v>
      </c>
      <c r="O3" s="3">
        <v>2</v>
      </c>
      <c r="R3" s="4" t="s">
        <v>9</v>
      </c>
      <c r="S3" t="str" cm="1">
        <f t="array" ref="S3">EngPrefix(RB)&amp;"Ω"</f>
        <v>9.31kΩ</v>
      </c>
    </row>
    <row r="4" spans="1:19" ht="16.5" x14ac:dyDescent="0.35">
      <c r="A4" s="2" t="s">
        <v>3</v>
      </c>
      <c r="B4" s="4" t="s">
        <v>4</v>
      </c>
      <c r="C4" s="7">
        <v>1E-3</v>
      </c>
      <c r="D4" s="3" t="s">
        <v>17</v>
      </c>
      <c r="N4" t="s">
        <v>21</v>
      </c>
      <c r="O4" s="3">
        <v>3</v>
      </c>
      <c r="R4" s="4" t="s">
        <v>8</v>
      </c>
      <c r="S4" t="str" cm="1">
        <f t="array" ref="S4">EngPrefix(RL)&amp;"Ω"</f>
        <v>10kΩ</v>
      </c>
    </row>
    <row r="5" spans="1:19" ht="16.5" x14ac:dyDescent="0.35">
      <c r="A5" s="2" t="s">
        <v>10</v>
      </c>
      <c r="B5" s="4" t="s">
        <v>8</v>
      </c>
      <c r="C5" s="5">
        <v>10000</v>
      </c>
      <c r="D5" s="3" t="s">
        <v>15</v>
      </c>
      <c r="N5" t="s">
        <v>22</v>
      </c>
      <c r="O5" s="3">
        <v>4</v>
      </c>
    </row>
    <row r="6" spans="1:19" x14ac:dyDescent="0.35">
      <c r="A6" s="2" t="s">
        <v>26</v>
      </c>
      <c r="B6" s="4"/>
      <c r="C6" s="5" t="s">
        <v>24</v>
      </c>
      <c r="D6" s="3"/>
      <c r="N6" t="s">
        <v>23</v>
      </c>
      <c r="O6" s="3">
        <v>5</v>
      </c>
    </row>
    <row r="7" spans="1:19" x14ac:dyDescent="0.35">
      <c r="D7" s="3"/>
      <c r="N7" t="s">
        <v>24</v>
      </c>
      <c r="O7" s="3">
        <v>6</v>
      </c>
    </row>
    <row r="8" spans="1:19" ht="37.5" customHeight="1" x14ac:dyDescent="0.35">
      <c r="A8" s="2" t="s">
        <v>11</v>
      </c>
      <c r="B8" s="4" t="s">
        <v>7</v>
      </c>
      <c r="C8" s="6" cm="1">
        <f t="array" ref="C8">eseries((VIN-VOUT)/IDIV,Rseries)</f>
        <v>5230</v>
      </c>
      <c r="D8" s="12" t="s">
        <v>15</v>
      </c>
      <c r="N8" s="11" t="s">
        <v>25</v>
      </c>
      <c r="O8" s="11">
        <v>7</v>
      </c>
    </row>
    <row r="9" spans="1:19" ht="39.5" customHeight="1" x14ac:dyDescent="0.35">
      <c r="A9" s="2" t="s">
        <v>12</v>
      </c>
      <c r="B9" s="4" t="s">
        <v>9</v>
      </c>
      <c r="C9" s="6" cm="1">
        <f t="array" ref="C9">eseries(RA/(VIN/VOUT-RA/RL-1),Rseries)</f>
        <v>9310</v>
      </c>
      <c r="D9" s="12" t="s">
        <v>15</v>
      </c>
      <c r="N9" s="13" t="s">
        <v>29</v>
      </c>
      <c r="O9" s="14" cm="1">
        <f t="array" ref="O9">_xlfn.XLOOKUP(RseriesSel,N3:N9,O3:Rseries)</f>
        <v>6</v>
      </c>
    </row>
    <row r="10" spans="1:19" x14ac:dyDescent="0.35">
      <c r="D10" s="3"/>
    </row>
    <row r="11" spans="1:19" ht="41" customHeight="1" x14ac:dyDescent="0.35">
      <c r="A11" s="10" t="s">
        <v>27</v>
      </c>
      <c r="B11" s="3" t="s">
        <v>13</v>
      </c>
      <c r="C11" s="6">
        <f>VIN/(1+(RA/RL)+(RA/RB))</f>
        <v>4.7967116506510079</v>
      </c>
      <c r="D11" s="12" t="s">
        <v>16</v>
      </c>
    </row>
    <row r="12" spans="1:19" x14ac:dyDescent="0.35">
      <c r="A12" s="2" t="s">
        <v>14</v>
      </c>
      <c r="C12" s="9">
        <f>(VORES-VOUT)/VOUT</f>
        <v>-6.8507278103998226E-4</v>
      </c>
      <c r="D12" s="3"/>
    </row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</sheetData>
  <sheetProtection sheet="1" objects="1" scenarios="1"/>
  <dataValidations count="5">
    <dataValidation type="list" allowBlank="1" showInputMessage="1" showErrorMessage="1" promptTitle="Select the desired E-series" sqref="C6" xr:uid="{6EDFA921-4949-4C42-BE63-5086FE40D550}">
      <formula1>$N$4:$N$8</formula1>
    </dataValidation>
    <dataValidation type="decimal" operator="greaterThan" allowBlank="1" showInputMessage="1" showErrorMessage="1" errorTitle="Out of Range" error="Must be greater than VOUT." promptTitle="Divider Input Voltage" prompt="Must be greater than VOUT." sqref="C2" xr:uid="{A143F069-5189-4241-9DE0-C0E1F2FDB952}">
      <formula1>C3</formula1>
    </dataValidation>
    <dataValidation type="custom" allowBlank="1" showInputMessage="1" showErrorMessage="1" errorTitle="Out of Range" error="Must be greater than zero and less that VIN." promptTitle="Divider Output Voltage" prompt="Must be greater than zero and less that VIN." sqref="C3" xr:uid="{94906F5B-7FDA-40EC-B463-4DE793AA1AF7}">
      <formula1>AND(C3&gt;0,C3&lt;C2)</formula1>
    </dataValidation>
    <dataValidation type="decimal" operator="greaterThan" allowBlank="1" showInputMessage="1" showErrorMessage="1" errorTitle="Out of Range" error="Must be greater than zero." promptTitle="Divider Current" prompt="Enter the desired current in the divider. Must be greater than zero." sqref="C4" xr:uid="{541F8F3E-7D65-460E-896D-4D1D398644A2}">
      <formula1>0</formula1>
    </dataValidation>
    <dataValidation type="decimal" operator="greaterThan" allowBlank="1" showInputMessage="1" showErrorMessage="1" errorTitle="Out of Range" error="Must be greater than zero." promptTitle="Load Resistance" prompt="Must be greater than zero." sqref="C5" xr:uid="{FD0538BC-B9C4-4DA5-AF0D-3410B68EF9A9}">
      <formula1>0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RL Known</vt:lpstr>
      <vt:lpstr>CseriesSel</vt:lpstr>
      <vt:lpstr>IDIV</vt:lpstr>
      <vt:lpstr>RA</vt:lpstr>
      <vt:lpstr>RB</vt:lpstr>
      <vt:lpstr>RL</vt:lpstr>
      <vt:lpstr>Rseries</vt:lpstr>
      <vt:lpstr>RseriesSel</vt:lpstr>
      <vt:lpstr>VIN</vt:lpstr>
      <vt:lpstr>VORES</vt:lpstr>
      <vt:lpstr>VOUT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Oldhack EE</dc:creator>
  <cp:lastModifiedBy>Oldhack EE</cp:lastModifiedBy>
  <dcterms:created xsi:type="dcterms:W3CDTF">2015-06-05T18:17:20Z</dcterms:created>
  <dcterms:modified xsi:type="dcterms:W3CDTF">2024-06-19T14:56:31Z</dcterms:modified>
</cp:coreProperties>
</file>